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46184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46184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46184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46184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46184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46184</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46184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46184</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46184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46184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46184</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46184</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46184</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46184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26362-2023</t>
        </is>
      </c>
      <c r="B24" s="1" t="n">
        <v>45091</v>
      </c>
      <c r="C24" s="1" t="n">
        <v>46184</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46184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46184</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46184</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46184</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46184</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25142-2026</t>
        </is>
      </c>
      <c r="B30" s="1" t="n">
        <v>46175</v>
      </c>
      <c r="C30" s="1" t="n">
        <v>46184</v>
      </c>
      <c r="D30" t="inlineStr">
        <is>
          <t>VÄSTERNORRLANDS LÄN</t>
        </is>
      </c>
      <c r="E30" t="inlineStr">
        <is>
          <t>ÅNGE</t>
        </is>
      </c>
      <c r="G30" t="n">
        <v>2.3</v>
      </c>
      <c r="H30" t="n">
        <v>4</v>
      </c>
      <c r="I30" t="n">
        <v>3</v>
      </c>
      <c r="J30" t="n">
        <v>6</v>
      </c>
      <c r="K30" t="n">
        <v>2</v>
      </c>
      <c r="L30" t="n">
        <v>0</v>
      </c>
      <c r="M30" t="n">
        <v>0</v>
      </c>
      <c r="N30" t="n">
        <v>0</v>
      </c>
      <c r="O30" t="n">
        <v>8</v>
      </c>
      <c r="P30" t="n">
        <v>2</v>
      </c>
      <c r="Q30" t="n">
        <v>13</v>
      </c>
      <c r="R30" s="2" t="inlineStr">
        <is>
          <t>Knärot
Rynkskinn
Garnlav
Mörk kolflarnlav
Rosenticka
Tretåig hackspett
Ullticka
Vitgrynig nållav
Bollvitmossa
Stuplav
Vårärt
Fläcknycklar
Revlummer</t>
        </is>
      </c>
      <c r="S30">
        <f>HYPERLINK("https://klasma.github.io/Logging_2260/artfynd/A 25142-2026 artfynd.xlsx", "A 25142-2026")</f>
        <v/>
      </c>
      <c r="T30">
        <f>HYPERLINK("https://klasma.github.io/Logging_2260/kartor/A 25142-2026 karta.png", "A 25142-2026")</f>
        <v/>
      </c>
      <c r="U30">
        <f>HYPERLINK("https://klasma.github.io/Logging_2260/knärot/A 25142-2026 karta knärot.png", "A 25142-2026")</f>
        <v/>
      </c>
      <c r="V30">
        <f>HYPERLINK("https://klasma.github.io/Logging_2260/klagomål/A 25142-2026 FSC-klagomål.docx", "A 25142-2026")</f>
        <v/>
      </c>
      <c r="W30">
        <f>HYPERLINK("https://klasma.github.io/Logging_2260/klagomålsmail/A 25142-2026 FSC-klagomål mail.docx", "A 25142-2026")</f>
        <v/>
      </c>
      <c r="X30">
        <f>HYPERLINK("https://klasma.github.io/Logging_2260/tillsyn/A 25142-2026 tillsynsbegäran.docx", "A 25142-2026")</f>
        <v/>
      </c>
      <c r="Y30">
        <f>HYPERLINK("https://klasma.github.io/Logging_2260/tillsynsmail/A 25142-2026 tillsynsbegäran mail.docx", "A 25142-2026")</f>
        <v/>
      </c>
      <c r="Z30">
        <f>HYPERLINK("https://klasma.github.io/Logging_2260/fåglar/A 25142-2026 prioriterade fågelarter.docx", "A 25142-2026")</f>
        <v/>
      </c>
    </row>
    <row r="31" ht="15" customHeight="1">
      <c r="A31" t="inlineStr">
        <is>
          <t>A 64944-2023</t>
        </is>
      </c>
      <c r="B31" s="1" t="n">
        <v>45282</v>
      </c>
      <c r="C31" s="1" t="n">
        <v>46184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48738-2024</t>
        </is>
      </c>
      <c r="B32" s="1" t="n">
        <v>45593</v>
      </c>
      <c r="C32" s="1" t="n">
        <v>46184</v>
      </c>
      <c r="D32" t="inlineStr">
        <is>
          <t>VÄSTERNORRLANDS LÄN</t>
        </is>
      </c>
      <c r="E32" t="inlineStr">
        <is>
          <t>ÅNGE</t>
        </is>
      </c>
      <c r="F32" t="inlineStr">
        <is>
          <t>SCA</t>
        </is>
      </c>
      <c r="G32" t="n">
        <v>19.8</v>
      </c>
      <c r="H32" t="n">
        <v>5</v>
      </c>
      <c r="I32" t="n">
        <v>6</v>
      </c>
      <c r="J32" t="n">
        <v>4</v>
      </c>
      <c r="K32" t="n">
        <v>0</v>
      </c>
      <c r="L32" t="n">
        <v>0</v>
      </c>
      <c r="M32" t="n">
        <v>0</v>
      </c>
      <c r="N32" t="n">
        <v>0</v>
      </c>
      <c r="O32" t="n">
        <v>4</v>
      </c>
      <c r="P32" t="n">
        <v>0</v>
      </c>
      <c r="Q32" t="n">
        <v>12</v>
      </c>
      <c r="R32" s="2" t="inlineStr">
        <is>
          <t>Gammelgransskål
Garnlav
Lunglav
Spillkråka
Korallblylav
Korallrot
Kransrams
Spindelblomster
Stuplav
Svavelriska
Fläcknycklar
Revlummer</t>
        </is>
      </c>
      <c r="S32">
        <f>HYPERLINK("https://klasma.github.io/Logging_2260/artfynd/A 48738-2024 artfynd.xlsx", "A 48738-2024")</f>
        <v/>
      </c>
      <c r="T32">
        <f>HYPERLINK("https://klasma.github.io/Logging_2260/kartor/A 48738-2024 karta.png", "A 48738-2024")</f>
        <v/>
      </c>
      <c r="V32">
        <f>HYPERLINK("https://klasma.github.io/Logging_2260/klagomål/A 48738-2024 FSC-klagomål.docx", "A 48738-2024")</f>
        <v/>
      </c>
      <c r="W32">
        <f>HYPERLINK("https://klasma.github.io/Logging_2260/klagomålsmail/A 48738-2024 FSC-klagomål mail.docx", "A 48738-2024")</f>
        <v/>
      </c>
      <c r="X32">
        <f>HYPERLINK("https://klasma.github.io/Logging_2260/tillsyn/A 48738-2024 tillsynsbegäran.docx", "A 48738-2024")</f>
        <v/>
      </c>
      <c r="Y32">
        <f>HYPERLINK("https://klasma.github.io/Logging_2260/tillsynsmail/A 48738-2024 tillsynsbegäran mail.docx", "A 48738-2024")</f>
        <v/>
      </c>
      <c r="Z32">
        <f>HYPERLINK("https://klasma.github.io/Logging_2260/fåglar/A 48738-2024 prioriterade fågelarter.docx", "A 48738-2024")</f>
        <v/>
      </c>
    </row>
    <row r="33" ht="15" customHeight="1">
      <c r="A33" t="inlineStr">
        <is>
          <t>A 47789-2023</t>
        </is>
      </c>
      <c r="B33" s="1" t="n">
        <v>45203</v>
      </c>
      <c r="C33" s="1" t="n">
        <v>46184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46375-2025</t>
        </is>
      </c>
      <c r="B34" s="1" t="n">
        <v>45925</v>
      </c>
      <c r="C34" s="1" t="n">
        <v>46184</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42309-2021</t>
        </is>
      </c>
      <c r="B35" s="1" t="n">
        <v>44427</v>
      </c>
      <c r="C35" s="1" t="n">
        <v>46184</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46184</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46184</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46184</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11894-2022</t>
        </is>
      </c>
      <c r="B39" s="1" t="n">
        <v>44635</v>
      </c>
      <c r="C39" s="1" t="n">
        <v>46184</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46184</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46184</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46184</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61524-2025</t>
        </is>
      </c>
      <c r="B43" s="1" t="n">
        <v>46001.68811342592</v>
      </c>
      <c r="C43" s="1" t="n">
        <v>46184</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46184</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30840-2023</t>
        </is>
      </c>
      <c r="B45" s="1" t="n">
        <v>45112</v>
      </c>
      <c r="C45" s="1" t="n">
        <v>46184</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25323-2023</t>
        </is>
      </c>
      <c r="B46" s="1" t="n">
        <v>45086</v>
      </c>
      <c r="C46" s="1" t="n">
        <v>46184</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30474-2025</t>
        </is>
      </c>
      <c r="B47" s="1" t="n">
        <v>45828.34430555555</v>
      </c>
      <c r="C47" s="1" t="n">
        <v>46184</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34786-2021</t>
        </is>
      </c>
      <c r="B48" s="1" t="n">
        <v>44382</v>
      </c>
      <c r="C48" s="1" t="n">
        <v>46184</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46184</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46184</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46184</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46184</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46184</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19845-2026</t>
        </is>
      </c>
      <c r="B54" s="1" t="n">
        <v>46135.61526620371</v>
      </c>
      <c r="C54" s="1" t="n">
        <v>46184</v>
      </c>
      <c r="D54" t="inlineStr">
        <is>
          <t>VÄSTERNORRLANDS LÄN</t>
        </is>
      </c>
      <c r="E54" t="inlineStr">
        <is>
          <t>ÅNGE</t>
        </is>
      </c>
      <c r="G54" t="n">
        <v>4.7</v>
      </c>
      <c r="H54" t="n">
        <v>3</v>
      </c>
      <c r="I54" t="n">
        <v>2</v>
      </c>
      <c r="J54" t="n">
        <v>5</v>
      </c>
      <c r="K54" t="n">
        <v>1</v>
      </c>
      <c r="L54" t="n">
        <v>0</v>
      </c>
      <c r="M54" t="n">
        <v>0</v>
      </c>
      <c r="N54" t="n">
        <v>0</v>
      </c>
      <c r="O54" t="n">
        <v>6</v>
      </c>
      <c r="P54" t="n">
        <v>1</v>
      </c>
      <c r="Q54" t="n">
        <v>9</v>
      </c>
      <c r="R54" s="2" t="inlineStr">
        <is>
          <t>Knärot
Kötticka
Rosenticka
Tretåig hackspett
Ullticka
Vitgrynig nållav
Svart trolldruva
Vedticka
Revlummer</t>
        </is>
      </c>
      <c r="S54">
        <f>HYPERLINK("https://klasma.github.io/Logging_2260/artfynd/A 19845-2026 artfynd.xlsx", "A 19845-2026")</f>
        <v/>
      </c>
      <c r="T54">
        <f>HYPERLINK("https://klasma.github.io/Logging_2260/kartor/A 19845-2026 karta.png", "A 19845-2026")</f>
        <v/>
      </c>
      <c r="U54">
        <f>HYPERLINK("https://klasma.github.io/Logging_2260/knärot/A 19845-2026 karta knärot.png", "A 19845-2026")</f>
        <v/>
      </c>
      <c r="V54">
        <f>HYPERLINK("https://klasma.github.io/Logging_2260/klagomål/A 19845-2026 FSC-klagomål.docx", "A 19845-2026")</f>
        <v/>
      </c>
      <c r="W54">
        <f>HYPERLINK("https://klasma.github.io/Logging_2260/klagomålsmail/A 19845-2026 FSC-klagomål mail.docx", "A 19845-2026")</f>
        <v/>
      </c>
      <c r="X54">
        <f>HYPERLINK("https://klasma.github.io/Logging_2260/tillsyn/A 19845-2026 tillsynsbegäran.docx", "A 19845-2026")</f>
        <v/>
      </c>
      <c r="Y54">
        <f>HYPERLINK("https://klasma.github.io/Logging_2260/tillsynsmail/A 19845-2026 tillsynsbegäran mail.docx", "A 19845-2026")</f>
        <v/>
      </c>
      <c r="Z54">
        <f>HYPERLINK("https://klasma.github.io/Logging_2260/fåglar/A 19845-2026 prioriterade fågelarter.docx", "A 19845-2026")</f>
        <v/>
      </c>
    </row>
    <row r="55" ht="15" customHeight="1">
      <c r="A55" t="inlineStr">
        <is>
          <t>A 44607-2021</t>
        </is>
      </c>
      <c r="B55" s="1" t="n">
        <v>44435</v>
      </c>
      <c r="C55" s="1" t="n">
        <v>46184</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46184</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46417-2025</t>
        </is>
      </c>
      <c r="B57" s="1" t="n">
        <v>45925.59454861111</v>
      </c>
      <c r="C57" s="1" t="n">
        <v>46184</v>
      </c>
      <c r="D57" t="inlineStr">
        <is>
          <t>VÄSTERNORRLANDS LÄN</t>
        </is>
      </c>
      <c r="E57" t="inlineStr">
        <is>
          <t>ÅNGE</t>
        </is>
      </c>
      <c r="F57" t="inlineStr">
        <is>
          <t>SCA</t>
        </is>
      </c>
      <c r="G57" t="n">
        <v>6.6</v>
      </c>
      <c r="H57" t="n">
        <v>2</v>
      </c>
      <c r="I57" t="n">
        <v>1</v>
      </c>
      <c r="J57" t="n">
        <v>6</v>
      </c>
      <c r="K57" t="n">
        <v>0</v>
      </c>
      <c r="L57" t="n">
        <v>0</v>
      </c>
      <c r="M57" t="n">
        <v>0</v>
      </c>
      <c r="N57" t="n">
        <v>0</v>
      </c>
      <c r="O57" t="n">
        <v>6</v>
      </c>
      <c r="P57" t="n">
        <v>0</v>
      </c>
      <c r="Q57" t="n">
        <v>8</v>
      </c>
      <c r="R57" s="2" t="inlineStr">
        <is>
          <t>Garnlav
Kolflarnlav
Lunglav
Tretåig hackspett
Violettgrå tagellav
Vitgrynig nållav
Norrlandslav
Tjäder</t>
        </is>
      </c>
      <c r="S57">
        <f>HYPERLINK("https://klasma.github.io/Logging_2260/artfynd/A 46417-2025 artfynd.xlsx", "A 46417-2025")</f>
        <v/>
      </c>
      <c r="T57">
        <f>HYPERLINK("https://klasma.github.io/Logging_2260/kartor/A 46417-2025 karta.png", "A 46417-2025")</f>
        <v/>
      </c>
      <c r="V57">
        <f>HYPERLINK("https://klasma.github.io/Logging_2260/klagomål/A 46417-2025 FSC-klagomål.docx", "A 46417-2025")</f>
        <v/>
      </c>
      <c r="W57">
        <f>HYPERLINK("https://klasma.github.io/Logging_2260/klagomålsmail/A 46417-2025 FSC-klagomål mail.docx", "A 46417-2025")</f>
        <v/>
      </c>
      <c r="X57">
        <f>HYPERLINK("https://klasma.github.io/Logging_2260/tillsyn/A 46417-2025 tillsynsbegäran.docx", "A 46417-2025")</f>
        <v/>
      </c>
      <c r="Y57">
        <f>HYPERLINK("https://klasma.github.io/Logging_2260/tillsynsmail/A 46417-2025 tillsynsbegäran mail.docx", "A 46417-2025")</f>
        <v/>
      </c>
      <c r="Z57">
        <f>HYPERLINK("https://klasma.github.io/Logging_2260/fåglar/A 46417-2025 prioriterade fågelarter.docx", "A 46417-2025")</f>
        <v/>
      </c>
    </row>
    <row r="58" ht="15" customHeight="1">
      <c r="A58" t="inlineStr">
        <is>
          <t>A 31113-2025</t>
        </is>
      </c>
      <c r="B58" s="1" t="n">
        <v>45832.61501157407</v>
      </c>
      <c r="C58" s="1" t="n">
        <v>46184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46184</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3966-2025</t>
        </is>
      </c>
      <c r="B60" s="1" t="n">
        <v>45684.51072916666</v>
      </c>
      <c r="C60" s="1" t="n">
        <v>46184</v>
      </c>
      <c r="D60" t="inlineStr">
        <is>
          <t>VÄSTERNORRLANDS LÄN</t>
        </is>
      </c>
      <c r="E60" t="inlineStr">
        <is>
          <t>ÅNGE</t>
        </is>
      </c>
      <c r="F60" t="inlineStr">
        <is>
          <t>SCA</t>
        </is>
      </c>
      <c r="G60" t="n">
        <v>3.9</v>
      </c>
      <c r="H60" t="n">
        <v>4</v>
      </c>
      <c r="I60" t="n">
        <v>1</v>
      </c>
      <c r="J60" t="n">
        <v>4</v>
      </c>
      <c r="K60" t="n">
        <v>1</v>
      </c>
      <c r="L60" t="n">
        <v>0</v>
      </c>
      <c r="M60" t="n">
        <v>0</v>
      </c>
      <c r="N60" t="n">
        <v>0</v>
      </c>
      <c r="O60" t="n">
        <v>5</v>
      </c>
      <c r="P60" t="n">
        <v>1</v>
      </c>
      <c r="Q60" t="n">
        <v>8</v>
      </c>
      <c r="R60" s="2" t="inlineStr">
        <is>
          <t>Knärot
Rosenticka
Spillkråka
Stjärntagging
Ullticka
Vedticka
Tjäder
Revlummer</t>
        </is>
      </c>
      <c r="S60">
        <f>HYPERLINK("https://klasma.github.io/Logging_2260/artfynd/A 3966-2025 artfynd.xlsx", "A 3966-2025")</f>
        <v/>
      </c>
      <c r="T60">
        <f>HYPERLINK("https://klasma.github.io/Logging_2260/kartor/A 3966-2025 karta.png", "A 3966-2025")</f>
        <v/>
      </c>
      <c r="U60">
        <f>HYPERLINK("https://klasma.github.io/Logging_2260/knärot/A 3966-2025 karta knärot.png", "A 3966-2025")</f>
        <v/>
      </c>
      <c r="V60">
        <f>HYPERLINK("https://klasma.github.io/Logging_2260/klagomål/A 3966-2025 FSC-klagomål.docx", "A 3966-2025")</f>
        <v/>
      </c>
      <c r="W60">
        <f>HYPERLINK("https://klasma.github.io/Logging_2260/klagomålsmail/A 3966-2025 FSC-klagomål mail.docx", "A 3966-2025")</f>
        <v/>
      </c>
      <c r="X60">
        <f>HYPERLINK("https://klasma.github.io/Logging_2260/tillsyn/A 3966-2025 tillsynsbegäran.docx", "A 3966-2025")</f>
        <v/>
      </c>
      <c r="Y60">
        <f>HYPERLINK("https://klasma.github.io/Logging_2260/tillsynsmail/A 3966-2025 tillsynsbegäran mail.docx", "A 3966-2025")</f>
        <v/>
      </c>
      <c r="Z60">
        <f>HYPERLINK("https://klasma.github.io/Logging_2260/fåglar/A 3966-2025 prioriterade fågelarter.docx", "A 3966-2025")</f>
        <v/>
      </c>
    </row>
    <row r="61" ht="15" customHeight="1">
      <c r="A61" t="inlineStr">
        <is>
          <t>A 57843-2024</t>
        </is>
      </c>
      <c r="B61" s="1" t="n">
        <v>45631</v>
      </c>
      <c r="C61" s="1" t="n">
        <v>46184</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37450-2025</t>
        </is>
      </c>
      <c r="B62" s="1" t="n">
        <v>45877</v>
      </c>
      <c r="C62" s="1" t="n">
        <v>46184</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22737-2023</t>
        </is>
      </c>
      <c r="B63" s="1" t="n">
        <v>45071</v>
      </c>
      <c r="C63" s="1" t="n">
        <v>46184</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39065-2023</t>
        </is>
      </c>
      <c r="B64" s="1" t="n">
        <v>45163</v>
      </c>
      <c r="C64" s="1" t="n">
        <v>46184</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25898-2022</t>
        </is>
      </c>
      <c r="B65" s="1" t="n">
        <v>44733</v>
      </c>
      <c r="C65" s="1" t="n">
        <v>46184</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46184</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46184</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60240-2025</t>
        </is>
      </c>
      <c r="B68" s="1" t="n">
        <v>45994.57857638889</v>
      </c>
      <c r="C68" s="1" t="n">
        <v>46184</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21682-2023</t>
        </is>
      </c>
      <c r="B69" s="1" t="n">
        <v>45063.94219907407</v>
      </c>
      <c r="C69" s="1" t="n">
        <v>46184</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55176-2024</t>
        </is>
      </c>
      <c r="B70" s="1" t="n">
        <v>45621</v>
      </c>
      <c r="C70" s="1" t="n">
        <v>46184</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48191-2025</t>
        </is>
      </c>
      <c r="B71" s="1" t="n">
        <v>45933.46956018519</v>
      </c>
      <c r="C71" s="1" t="n">
        <v>46184</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10085-2023</t>
        </is>
      </c>
      <c r="B72" s="1" t="n">
        <v>44985.9447337963</v>
      </c>
      <c r="C72" s="1" t="n">
        <v>46184</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45402-2025</t>
        </is>
      </c>
      <c r="B73" s="1" t="n">
        <v>45922.4278587963</v>
      </c>
      <c r="C73" s="1" t="n">
        <v>46184</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53456-2023</t>
        </is>
      </c>
      <c r="B74" s="1" t="n">
        <v>45229</v>
      </c>
      <c r="C74" s="1" t="n">
        <v>46184</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52601-2025</t>
        </is>
      </c>
      <c r="B75" s="1" t="n">
        <v>45954</v>
      </c>
      <c r="C75" s="1" t="n">
        <v>46184</v>
      </c>
      <c r="D75" t="inlineStr">
        <is>
          <t>VÄSTERNORRLANDS LÄN</t>
        </is>
      </c>
      <c r="E75" t="inlineStr">
        <is>
          <t>ÅNGE</t>
        </is>
      </c>
      <c r="F75" t="inlineStr">
        <is>
          <t>SCA</t>
        </is>
      </c>
      <c r="G75" t="n">
        <v>3.1</v>
      </c>
      <c r="H75" t="n">
        <v>4</v>
      </c>
      <c r="I75" t="n">
        <v>4</v>
      </c>
      <c r="J75" t="n">
        <v>1</v>
      </c>
      <c r="K75" t="n">
        <v>1</v>
      </c>
      <c r="L75" t="n">
        <v>0</v>
      </c>
      <c r="M75" t="n">
        <v>0</v>
      </c>
      <c r="N75" t="n">
        <v>0</v>
      </c>
      <c r="O75" t="n">
        <v>2</v>
      </c>
      <c r="P75" t="n">
        <v>1</v>
      </c>
      <c r="Q75" t="n">
        <v>6</v>
      </c>
      <c r="R75" s="2" t="inlineStr">
        <is>
          <t>Knärot
Garnlav
Bågpraktmossa
Korallrot
Spindelblomster
Tvåblad</t>
        </is>
      </c>
      <c r="S75">
        <f>HYPERLINK("https://klasma.github.io/Logging_2260/artfynd/A 52601-2025 artfynd.xlsx", "A 52601-2025")</f>
        <v/>
      </c>
      <c r="T75">
        <f>HYPERLINK("https://klasma.github.io/Logging_2260/kartor/A 52601-2025 karta.png", "A 52601-2025")</f>
        <v/>
      </c>
      <c r="U75">
        <f>HYPERLINK("https://klasma.github.io/Logging_2260/knärot/A 52601-2025 karta knärot.png", "A 52601-2025")</f>
        <v/>
      </c>
      <c r="V75">
        <f>HYPERLINK("https://klasma.github.io/Logging_2260/klagomål/A 52601-2025 FSC-klagomål.docx", "A 52601-2025")</f>
        <v/>
      </c>
      <c r="W75">
        <f>HYPERLINK("https://klasma.github.io/Logging_2260/klagomålsmail/A 52601-2025 FSC-klagomål mail.docx", "A 52601-2025")</f>
        <v/>
      </c>
      <c r="X75">
        <f>HYPERLINK("https://klasma.github.io/Logging_2260/tillsyn/A 52601-2025 tillsynsbegäran.docx", "A 52601-2025")</f>
        <v/>
      </c>
      <c r="Y75">
        <f>HYPERLINK("https://klasma.github.io/Logging_2260/tillsynsmail/A 52601-2025 tillsynsbegäran mail.docx", "A 52601-2025")</f>
        <v/>
      </c>
    </row>
    <row r="76" ht="15" customHeight="1">
      <c r="A76" t="inlineStr">
        <is>
          <t>A 26363-2023</t>
        </is>
      </c>
      <c r="B76" s="1" t="n">
        <v>45091</v>
      </c>
      <c r="C76" s="1" t="n">
        <v>46184</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49528-2025</t>
        </is>
      </c>
      <c r="B77" s="1" t="n">
        <v>45939.40664351852</v>
      </c>
      <c r="C77" s="1" t="n">
        <v>46184</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4130-2023</t>
        </is>
      </c>
      <c r="B78" s="1" t="n">
        <v>44952</v>
      </c>
      <c r="C78" s="1" t="n">
        <v>46184</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5637-2026</t>
        </is>
      </c>
      <c r="B79" s="1" t="n">
        <v>46051</v>
      </c>
      <c r="C79" s="1" t="n">
        <v>46184</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20580-2026</t>
        </is>
      </c>
      <c r="B80" s="1" t="n">
        <v>46140.63605324074</v>
      </c>
      <c r="C80" s="1" t="n">
        <v>46184</v>
      </c>
      <c r="D80" t="inlineStr">
        <is>
          <t>VÄSTERNORRLANDS LÄN</t>
        </is>
      </c>
      <c r="E80" t="inlineStr">
        <is>
          <t>ÅNGE</t>
        </is>
      </c>
      <c r="F80" t="inlineStr">
        <is>
          <t>SCA</t>
        </is>
      </c>
      <c r="G80" t="n">
        <v>5.6</v>
      </c>
      <c r="H80" t="n">
        <v>1</v>
      </c>
      <c r="I80" t="n">
        <v>3</v>
      </c>
      <c r="J80" t="n">
        <v>2</v>
      </c>
      <c r="K80" t="n">
        <v>0</v>
      </c>
      <c r="L80" t="n">
        <v>0</v>
      </c>
      <c r="M80" t="n">
        <v>0</v>
      </c>
      <c r="N80" t="n">
        <v>0</v>
      </c>
      <c r="O80" t="n">
        <v>2</v>
      </c>
      <c r="P80" t="n">
        <v>0</v>
      </c>
      <c r="Q80" t="n">
        <v>6</v>
      </c>
      <c r="R80" s="2" t="inlineStr">
        <is>
          <t>Garnlav
Vedskivlav
Dropptaggsvamp
Stor aspticka
Vedticka
Tjäder</t>
        </is>
      </c>
      <c r="S80">
        <f>HYPERLINK("https://klasma.github.io/Logging_2260/artfynd/A 20580-2026 artfynd.xlsx", "A 20580-2026")</f>
        <v/>
      </c>
      <c r="T80">
        <f>HYPERLINK("https://klasma.github.io/Logging_2260/kartor/A 20580-2026 karta.png", "A 20580-2026")</f>
        <v/>
      </c>
      <c r="V80">
        <f>HYPERLINK("https://klasma.github.io/Logging_2260/klagomål/A 20580-2026 FSC-klagomål.docx", "A 20580-2026")</f>
        <v/>
      </c>
      <c r="W80">
        <f>HYPERLINK("https://klasma.github.io/Logging_2260/klagomålsmail/A 20580-2026 FSC-klagomål mail.docx", "A 20580-2026")</f>
        <v/>
      </c>
      <c r="X80">
        <f>HYPERLINK("https://klasma.github.io/Logging_2260/tillsyn/A 20580-2026 tillsynsbegäran.docx", "A 20580-2026")</f>
        <v/>
      </c>
      <c r="Y80">
        <f>HYPERLINK("https://klasma.github.io/Logging_2260/tillsynsmail/A 20580-2026 tillsynsbegäran mail.docx", "A 20580-2026")</f>
        <v/>
      </c>
      <c r="Z80">
        <f>HYPERLINK("https://klasma.github.io/Logging_2260/fåglar/A 20580-2026 prioriterade fågelarter.docx", "A 20580-2026")</f>
        <v/>
      </c>
    </row>
    <row r="81" ht="15" customHeight="1">
      <c r="A81" t="inlineStr">
        <is>
          <t>A 19010-2025</t>
        </is>
      </c>
      <c r="B81" s="1" t="n">
        <v>45764</v>
      </c>
      <c r="C81" s="1" t="n">
        <v>46184</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34694-2023</t>
        </is>
      </c>
      <c r="B82" s="1" t="n">
        <v>45140.96324074074</v>
      </c>
      <c r="C82" s="1" t="n">
        <v>46184</v>
      </c>
      <c r="D82" t="inlineStr">
        <is>
          <t>VÄSTERNORRLANDS LÄN</t>
        </is>
      </c>
      <c r="E82" t="inlineStr">
        <is>
          <t>ÅNGE</t>
        </is>
      </c>
      <c r="F82" t="inlineStr">
        <is>
          <t>SCA</t>
        </is>
      </c>
      <c r="G82" t="n">
        <v>3</v>
      </c>
      <c r="H82" t="n">
        <v>1</v>
      </c>
      <c r="I82" t="n">
        <v>3</v>
      </c>
      <c r="J82" t="n">
        <v>2</v>
      </c>
      <c r="K82" t="n">
        <v>1</v>
      </c>
      <c r="L82" t="n">
        <v>0</v>
      </c>
      <c r="M82" t="n">
        <v>0</v>
      </c>
      <c r="N82" t="n">
        <v>0</v>
      </c>
      <c r="O82" t="n">
        <v>3</v>
      </c>
      <c r="P82" t="n">
        <v>1</v>
      </c>
      <c r="Q82" t="n">
        <v>6</v>
      </c>
      <c r="R82" s="2" t="inlineStr">
        <is>
          <t>Laxgröppa
Garnlav
Vedskivlav
Dropptaggsvamp
Spindelblomster
Vedticka</t>
        </is>
      </c>
      <c r="S82">
        <f>HYPERLINK("https://klasma.github.io/Logging_2260/artfynd/A 34694-2023 artfynd.xlsx", "A 34694-2023")</f>
        <v/>
      </c>
      <c r="T82">
        <f>HYPERLINK("https://klasma.github.io/Logging_2260/kartor/A 34694-2023 karta.png", "A 34694-2023")</f>
        <v/>
      </c>
      <c r="V82">
        <f>HYPERLINK("https://klasma.github.io/Logging_2260/klagomål/A 34694-2023 FSC-klagomål.docx", "A 34694-2023")</f>
        <v/>
      </c>
      <c r="W82">
        <f>HYPERLINK("https://klasma.github.io/Logging_2260/klagomålsmail/A 34694-2023 FSC-klagomål mail.docx", "A 34694-2023")</f>
        <v/>
      </c>
      <c r="X82">
        <f>HYPERLINK("https://klasma.github.io/Logging_2260/tillsyn/A 34694-2023 tillsynsbegäran.docx", "A 34694-2023")</f>
        <v/>
      </c>
      <c r="Y82">
        <f>HYPERLINK("https://klasma.github.io/Logging_2260/tillsynsmail/A 34694-2023 tillsynsbegäran mail.docx", "A 34694-2023")</f>
        <v/>
      </c>
    </row>
    <row r="83" ht="15" customHeight="1">
      <c r="A83" t="inlineStr">
        <is>
          <t>A 31364-2022</t>
        </is>
      </c>
      <c r="B83" s="1" t="n">
        <v>44774</v>
      </c>
      <c r="C83" s="1" t="n">
        <v>46184</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52269-2024</t>
        </is>
      </c>
      <c r="B84" s="1" t="n">
        <v>45608.65660879629</v>
      </c>
      <c r="C84" s="1" t="n">
        <v>46184</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46184</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46184</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46184</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52392-2025</t>
        </is>
      </c>
      <c r="B88" s="1" t="n">
        <v>45954.34424768519</v>
      </c>
      <c r="C88" s="1" t="n">
        <v>46184</v>
      </c>
      <c r="D88" t="inlineStr">
        <is>
          <t>VÄSTERNORRLANDS LÄN</t>
        </is>
      </c>
      <c r="E88" t="inlineStr">
        <is>
          <t>ÅNGE</t>
        </is>
      </c>
      <c r="F88" t="inlineStr">
        <is>
          <t>SCA</t>
        </is>
      </c>
      <c r="G88" t="n">
        <v>2.6</v>
      </c>
      <c r="H88" t="n">
        <v>1</v>
      </c>
      <c r="I88" t="n">
        <v>1</v>
      </c>
      <c r="J88" t="n">
        <v>4</v>
      </c>
      <c r="K88" t="n">
        <v>0</v>
      </c>
      <c r="L88" t="n">
        <v>0</v>
      </c>
      <c r="M88" t="n">
        <v>0</v>
      </c>
      <c r="N88" t="n">
        <v>0</v>
      </c>
      <c r="O88" t="n">
        <v>4</v>
      </c>
      <c r="P88" t="n">
        <v>0</v>
      </c>
      <c r="Q88" t="n">
        <v>5</v>
      </c>
      <c r="R88" s="2" t="inlineStr">
        <is>
          <t>Garnlav
Rosenticka
Tretåig hackspett
Ullticka
Brandticka</t>
        </is>
      </c>
      <c r="S88">
        <f>HYPERLINK("https://klasma.github.io/Logging_2260/artfynd/A 52392-2025 artfynd.xlsx", "A 52392-2025")</f>
        <v/>
      </c>
      <c r="T88">
        <f>HYPERLINK("https://klasma.github.io/Logging_2260/kartor/A 52392-2025 karta.png", "A 52392-2025")</f>
        <v/>
      </c>
      <c r="V88">
        <f>HYPERLINK("https://klasma.github.io/Logging_2260/klagomål/A 52392-2025 FSC-klagomål.docx", "A 52392-2025")</f>
        <v/>
      </c>
      <c r="W88">
        <f>HYPERLINK("https://klasma.github.io/Logging_2260/klagomålsmail/A 52392-2025 FSC-klagomål mail.docx", "A 52392-2025")</f>
        <v/>
      </c>
      <c r="X88">
        <f>HYPERLINK("https://klasma.github.io/Logging_2260/tillsyn/A 52392-2025 tillsynsbegäran.docx", "A 52392-2025")</f>
        <v/>
      </c>
      <c r="Y88">
        <f>HYPERLINK("https://klasma.github.io/Logging_2260/tillsynsmail/A 52392-2025 tillsynsbegäran mail.docx", "A 52392-2025")</f>
        <v/>
      </c>
      <c r="Z88">
        <f>HYPERLINK("https://klasma.github.io/Logging_2260/fåglar/A 52392-2025 prioriterade fågelarter.docx", "A 52392-2025")</f>
        <v/>
      </c>
    </row>
    <row r="89" ht="15" customHeight="1">
      <c r="A89" t="inlineStr">
        <is>
          <t>A 47102-2025</t>
        </is>
      </c>
      <c r="B89" s="1" t="n">
        <v>45929</v>
      </c>
      <c r="C89" s="1" t="n">
        <v>46184</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38322-2025</t>
        </is>
      </c>
      <c r="B90" s="1" t="n">
        <v>45883.49003472222</v>
      </c>
      <c r="C90" s="1" t="n">
        <v>46184</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46184</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15784-2026</t>
        </is>
      </c>
      <c r="B92" s="1" t="n">
        <v>46107.46947916667</v>
      </c>
      <c r="C92" s="1" t="n">
        <v>46184</v>
      </c>
      <c r="D92" t="inlineStr">
        <is>
          <t>VÄSTERNORRLANDS LÄN</t>
        </is>
      </c>
      <c r="E92" t="inlineStr">
        <is>
          <t>ÅNGE</t>
        </is>
      </c>
      <c r="F92" t="inlineStr">
        <is>
          <t>SCA</t>
        </is>
      </c>
      <c r="G92" t="n">
        <v>10.4</v>
      </c>
      <c r="H92" t="n">
        <v>1</v>
      </c>
      <c r="I92" t="n">
        <v>2</v>
      </c>
      <c r="J92" t="n">
        <v>2</v>
      </c>
      <c r="K92" t="n">
        <v>0</v>
      </c>
      <c r="L92" t="n">
        <v>0</v>
      </c>
      <c r="M92" t="n">
        <v>0</v>
      </c>
      <c r="N92" t="n">
        <v>0</v>
      </c>
      <c r="O92" t="n">
        <v>2</v>
      </c>
      <c r="P92" t="n">
        <v>0</v>
      </c>
      <c r="Q92" t="n">
        <v>5</v>
      </c>
      <c r="R92" s="2" t="inlineStr">
        <is>
          <t>Lunglav
Ullticka
Bollvitmossa
Kransrams
Nattviol</t>
        </is>
      </c>
      <c r="S92">
        <f>HYPERLINK("https://klasma.github.io/Logging_2260/artfynd/A 15784-2026 artfynd.xlsx", "A 15784-2026")</f>
        <v/>
      </c>
      <c r="T92">
        <f>HYPERLINK("https://klasma.github.io/Logging_2260/kartor/A 15784-2026 karta.png", "A 15784-2026")</f>
        <v/>
      </c>
      <c r="V92">
        <f>HYPERLINK("https://klasma.github.io/Logging_2260/klagomål/A 15784-2026 FSC-klagomål.docx", "A 15784-2026")</f>
        <v/>
      </c>
      <c r="W92">
        <f>HYPERLINK("https://klasma.github.io/Logging_2260/klagomålsmail/A 15784-2026 FSC-klagomål mail.docx", "A 15784-2026")</f>
        <v/>
      </c>
      <c r="X92">
        <f>HYPERLINK("https://klasma.github.io/Logging_2260/tillsyn/A 15784-2026 tillsynsbegäran.docx", "A 15784-2026")</f>
        <v/>
      </c>
      <c r="Y92">
        <f>HYPERLINK("https://klasma.github.io/Logging_2260/tillsynsmail/A 15784-2026 tillsynsbegäran mail.docx", "A 15784-2026")</f>
        <v/>
      </c>
    </row>
    <row r="93" ht="15" customHeight="1">
      <c r="A93" t="inlineStr">
        <is>
          <t>A 27914-2024</t>
        </is>
      </c>
      <c r="B93" s="1" t="n">
        <v>45475</v>
      </c>
      <c r="C93" s="1" t="n">
        <v>46184</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42090-2024</t>
        </is>
      </c>
      <c r="B94" s="1" t="n">
        <v>45562</v>
      </c>
      <c r="C94" s="1" t="n">
        <v>46184</v>
      </c>
      <c r="D94" t="inlineStr">
        <is>
          <t>VÄSTERNORRLANDS LÄN</t>
        </is>
      </c>
      <c r="E94" t="inlineStr">
        <is>
          <t>ÅNGE</t>
        </is>
      </c>
      <c r="F94" t="inlineStr">
        <is>
          <t>SCA</t>
        </is>
      </c>
      <c r="G94" t="n">
        <v>20.2</v>
      </c>
      <c r="H94" t="n">
        <v>0</v>
      </c>
      <c r="I94" t="n">
        <v>1</v>
      </c>
      <c r="J94" t="n">
        <v>4</v>
      </c>
      <c r="K94" t="n">
        <v>0</v>
      </c>
      <c r="L94" t="n">
        <v>0</v>
      </c>
      <c r="M94" t="n">
        <v>0</v>
      </c>
      <c r="N94" t="n">
        <v>0</v>
      </c>
      <c r="O94" t="n">
        <v>4</v>
      </c>
      <c r="P94" t="n">
        <v>0</v>
      </c>
      <c r="Q94" t="n">
        <v>5</v>
      </c>
      <c r="R94" s="2" t="inlineStr">
        <is>
          <t>Garnlav
Granticka
Rosenticka
Ullticka
Vedticka</t>
        </is>
      </c>
      <c r="S94">
        <f>HYPERLINK("https://klasma.github.io/Logging_2260/artfynd/A 42090-2024 artfynd.xlsx", "A 42090-2024")</f>
        <v/>
      </c>
      <c r="T94">
        <f>HYPERLINK("https://klasma.github.io/Logging_2260/kartor/A 42090-2024 karta.png", "A 42090-2024")</f>
        <v/>
      </c>
      <c r="V94">
        <f>HYPERLINK("https://klasma.github.io/Logging_2260/klagomål/A 42090-2024 FSC-klagomål.docx", "A 42090-2024")</f>
        <v/>
      </c>
      <c r="W94">
        <f>HYPERLINK("https://klasma.github.io/Logging_2260/klagomålsmail/A 42090-2024 FSC-klagomål mail.docx", "A 42090-2024")</f>
        <v/>
      </c>
      <c r="X94">
        <f>HYPERLINK("https://klasma.github.io/Logging_2260/tillsyn/A 42090-2024 tillsynsbegäran.docx", "A 42090-2024")</f>
        <v/>
      </c>
      <c r="Y94">
        <f>HYPERLINK("https://klasma.github.io/Logging_2260/tillsynsmail/A 42090-2024 tillsynsbegäran mail.docx", "A 42090-2024")</f>
        <v/>
      </c>
    </row>
    <row r="95" ht="15" customHeight="1">
      <c r="A95" t="inlineStr">
        <is>
          <t>A 25972-2026</t>
        </is>
      </c>
      <c r="B95" s="1" t="n">
        <v>46181.38618055556</v>
      </c>
      <c r="C95" s="1" t="n">
        <v>46184</v>
      </c>
      <c r="D95" t="inlineStr">
        <is>
          <t>VÄSTERNORRLANDS LÄN</t>
        </is>
      </c>
      <c r="E95" t="inlineStr">
        <is>
          <t>ÅNGE</t>
        </is>
      </c>
      <c r="F95" t="inlineStr">
        <is>
          <t>SCA</t>
        </is>
      </c>
      <c r="G95" t="n">
        <v>1.4</v>
      </c>
      <c r="H95" t="n">
        <v>0</v>
      </c>
      <c r="I95" t="n">
        <v>1</v>
      </c>
      <c r="J95" t="n">
        <v>3</v>
      </c>
      <c r="K95" t="n">
        <v>1</v>
      </c>
      <c r="L95" t="n">
        <v>0</v>
      </c>
      <c r="M95" t="n">
        <v>0</v>
      </c>
      <c r="N95" t="n">
        <v>0</v>
      </c>
      <c r="O95" t="n">
        <v>4</v>
      </c>
      <c r="P95" t="n">
        <v>1</v>
      </c>
      <c r="Q95" t="n">
        <v>5</v>
      </c>
      <c r="R95" s="2" t="inlineStr">
        <is>
          <t>Rynkskinn
Kolflarnlav
Rosenticka
Ullticka
Dropptaggsvamp</t>
        </is>
      </c>
      <c r="S95">
        <f>HYPERLINK("https://klasma.github.io/Logging_2260/artfynd/A 25972-2026 artfynd.xlsx", "A 25972-2026")</f>
        <v/>
      </c>
      <c r="T95">
        <f>HYPERLINK("https://klasma.github.io/Logging_2260/kartor/A 25972-2026 karta.png", "A 25972-2026")</f>
        <v/>
      </c>
      <c r="V95">
        <f>HYPERLINK("https://klasma.github.io/Logging_2260/klagomål/A 25972-2026 FSC-klagomål.docx", "A 25972-2026")</f>
        <v/>
      </c>
      <c r="W95">
        <f>HYPERLINK("https://klasma.github.io/Logging_2260/klagomålsmail/A 25972-2026 FSC-klagomål mail.docx", "A 25972-2026")</f>
        <v/>
      </c>
      <c r="X95">
        <f>HYPERLINK("https://klasma.github.io/Logging_2260/tillsyn/A 25972-2026 tillsynsbegäran.docx", "A 25972-2026")</f>
        <v/>
      </c>
      <c r="Y95">
        <f>HYPERLINK("https://klasma.github.io/Logging_2260/tillsynsmail/A 25972-2026 tillsynsbegäran mail.docx", "A 25972-2026")</f>
        <v/>
      </c>
    </row>
    <row r="96" ht="15" customHeight="1">
      <c r="A96" t="inlineStr">
        <is>
          <t>A 55004-2023</t>
        </is>
      </c>
      <c r="B96" s="1" t="n">
        <v>45236</v>
      </c>
      <c r="C96" s="1" t="n">
        <v>46184</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46184</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2451-2024</t>
        </is>
      </c>
      <c r="B98" s="1" t="n">
        <v>45312.58627314815</v>
      </c>
      <c r="C98" s="1" t="n">
        <v>46184</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24796-2024</t>
        </is>
      </c>
      <c r="B99" s="1" t="n">
        <v>45460</v>
      </c>
      <c r="C99" s="1" t="n">
        <v>46184</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46184</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46184</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54095-2025</t>
        </is>
      </c>
      <c r="B102" s="1" t="n">
        <v>45964.40685185185</v>
      </c>
      <c r="C102" s="1" t="n">
        <v>46184</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38713-2025</t>
        </is>
      </c>
      <c r="B103" s="1" t="n">
        <v>45886.34479166667</v>
      </c>
      <c r="C103" s="1" t="n">
        <v>46184</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61007-2025</t>
        </is>
      </c>
      <c r="B104" s="1" t="n">
        <v>45998</v>
      </c>
      <c r="C104" s="1" t="n">
        <v>46184</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61487-2025</t>
        </is>
      </c>
      <c r="B105" s="1" t="n">
        <v>46001.63628472222</v>
      </c>
      <c r="C105" s="1" t="n">
        <v>46184</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44558-2024</t>
        </is>
      </c>
      <c r="B106" s="1" t="n">
        <v>45574.47001157407</v>
      </c>
      <c r="C106" s="1" t="n">
        <v>46184</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57299-2022</t>
        </is>
      </c>
      <c r="B107" s="1" t="n">
        <v>44895.95090277777</v>
      </c>
      <c r="C107" s="1" t="n">
        <v>46184</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46184</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39176-2024</t>
        </is>
      </c>
      <c r="B109" s="1" t="n">
        <v>45548</v>
      </c>
      <c r="C109" s="1" t="n">
        <v>46184</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46184</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10317-2022</t>
        </is>
      </c>
      <c r="B111" s="1" t="n">
        <v>44622</v>
      </c>
      <c r="C111" s="1" t="n">
        <v>46184</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21267-2025</t>
        </is>
      </c>
      <c r="B112" s="1" t="n">
        <v>45779</v>
      </c>
      <c r="C112" s="1" t="n">
        <v>46184</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23754-2025</t>
        </is>
      </c>
      <c r="B113" s="1" t="n">
        <v>45793.45782407407</v>
      </c>
      <c r="C113" s="1" t="n">
        <v>46184</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46184</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41868-2025</t>
        </is>
      </c>
      <c r="B115" s="1" t="n">
        <v>45903.34429398148</v>
      </c>
      <c r="C115" s="1" t="n">
        <v>46184</v>
      </c>
      <c r="D115" t="inlineStr">
        <is>
          <t>VÄSTERNORRLANDS LÄN</t>
        </is>
      </c>
      <c r="E115" t="inlineStr">
        <is>
          <t>ÅNGE</t>
        </is>
      </c>
      <c r="F115" t="inlineStr">
        <is>
          <t>SCA</t>
        </is>
      </c>
      <c r="G115" t="n">
        <v>5.4</v>
      </c>
      <c r="H115" t="n">
        <v>2</v>
      </c>
      <c r="I115" t="n">
        <v>1</v>
      </c>
      <c r="J115" t="n">
        <v>1</v>
      </c>
      <c r="K115" t="n">
        <v>0</v>
      </c>
      <c r="L115" t="n">
        <v>0</v>
      </c>
      <c r="M115" t="n">
        <v>0</v>
      </c>
      <c r="N115" t="n">
        <v>0</v>
      </c>
      <c r="O115" t="n">
        <v>1</v>
      </c>
      <c r="P115" t="n">
        <v>0</v>
      </c>
      <c r="Q115" t="n">
        <v>3</v>
      </c>
      <c r="R115" s="2" t="inlineStr">
        <is>
          <t>Garnlav
Spindelblomster
Revlummer</t>
        </is>
      </c>
      <c r="S115">
        <f>HYPERLINK("https://klasma.github.io/Logging_2260/artfynd/A 41868-2025 artfynd.xlsx", "A 41868-2025")</f>
        <v/>
      </c>
      <c r="T115">
        <f>HYPERLINK("https://klasma.github.io/Logging_2260/kartor/A 41868-2025 karta.png", "A 41868-2025")</f>
        <v/>
      </c>
      <c r="V115">
        <f>HYPERLINK("https://klasma.github.io/Logging_2260/klagomål/A 41868-2025 FSC-klagomål.docx", "A 41868-2025")</f>
        <v/>
      </c>
      <c r="W115">
        <f>HYPERLINK("https://klasma.github.io/Logging_2260/klagomålsmail/A 41868-2025 FSC-klagomål mail.docx", "A 41868-2025")</f>
        <v/>
      </c>
      <c r="X115">
        <f>HYPERLINK("https://klasma.github.io/Logging_2260/tillsyn/A 41868-2025 tillsynsbegäran.docx", "A 41868-2025")</f>
        <v/>
      </c>
      <c r="Y115">
        <f>HYPERLINK("https://klasma.github.io/Logging_2260/tillsynsmail/A 41868-2025 tillsynsbegäran mail.docx", "A 41868-2025")</f>
        <v/>
      </c>
    </row>
    <row r="116" ht="15" customHeight="1">
      <c r="A116" t="inlineStr">
        <is>
          <t>A 50259-2025</t>
        </is>
      </c>
      <c r="B116" s="1" t="n">
        <v>45944.34498842592</v>
      </c>
      <c r="C116" s="1" t="n">
        <v>46184</v>
      </c>
      <c r="D116" t="inlineStr">
        <is>
          <t>VÄSTERNORRLANDS LÄN</t>
        </is>
      </c>
      <c r="E116" t="inlineStr">
        <is>
          <t>ÅNGE</t>
        </is>
      </c>
      <c r="F116" t="inlineStr">
        <is>
          <t>SCA</t>
        </is>
      </c>
      <c r="G116" t="n">
        <v>1.7</v>
      </c>
      <c r="H116" t="n">
        <v>1</v>
      </c>
      <c r="I116" t="n">
        <v>1</v>
      </c>
      <c r="J116" t="n">
        <v>1</v>
      </c>
      <c r="K116" t="n">
        <v>0</v>
      </c>
      <c r="L116" t="n">
        <v>0</v>
      </c>
      <c r="M116" t="n">
        <v>0</v>
      </c>
      <c r="N116" t="n">
        <v>0</v>
      </c>
      <c r="O116" t="n">
        <v>1</v>
      </c>
      <c r="P116" t="n">
        <v>0</v>
      </c>
      <c r="Q116" t="n">
        <v>3</v>
      </c>
      <c r="R116" s="2" t="inlineStr">
        <is>
          <t>Lunglav
Bollvitmossa
Fläcknycklar</t>
        </is>
      </c>
      <c r="S116">
        <f>HYPERLINK("https://klasma.github.io/Logging_2260/artfynd/A 50259-2025 artfynd.xlsx", "A 50259-2025")</f>
        <v/>
      </c>
      <c r="T116">
        <f>HYPERLINK("https://klasma.github.io/Logging_2260/kartor/A 50259-2025 karta.png", "A 50259-2025")</f>
        <v/>
      </c>
      <c r="V116">
        <f>HYPERLINK("https://klasma.github.io/Logging_2260/klagomål/A 50259-2025 FSC-klagomål.docx", "A 50259-2025")</f>
        <v/>
      </c>
      <c r="W116">
        <f>HYPERLINK("https://klasma.github.io/Logging_2260/klagomålsmail/A 50259-2025 FSC-klagomål mail.docx", "A 50259-2025")</f>
        <v/>
      </c>
      <c r="X116">
        <f>HYPERLINK("https://klasma.github.io/Logging_2260/tillsyn/A 50259-2025 tillsynsbegäran.docx", "A 50259-2025")</f>
        <v/>
      </c>
      <c r="Y116">
        <f>HYPERLINK("https://klasma.github.io/Logging_2260/tillsynsmail/A 50259-2025 tillsynsbegäran mail.docx", "A 50259-2025")</f>
        <v/>
      </c>
    </row>
    <row r="117" ht="15" customHeight="1">
      <c r="A117" t="inlineStr">
        <is>
          <t>A 43319-2025</t>
        </is>
      </c>
      <c r="B117" s="1" t="n">
        <v>45910.65681712963</v>
      </c>
      <c r="C117" s="1" t="n">
        <v>46184</v>
      </c>
      <c r="D117" t="inlineStr">
        <is>
          <t>VÄSTERNORRLANDS LÄN</t>
        </is>
      </c>
      <c r="E117" t="inlineStr">
        <is>
          <t>ÅNGE</t>
        </is>
      </c>
      <c r="F117" t="inlineStr">
        <is>
          <t>SCA</t>
        </is>
      </c>
      <c r="G117" t="n">
        <v>6.6</v>
      </c>
      <c r="H117" t="n">
        <v>0</v>
      </c>
      <c r="I117" t="n">
        <v>1</v>
      </c>
      <c r="J117" t="n">
        <v>2</v>
      </c>
      <c r="K117" t="n">
        <v>0</v>
      </c>
      <c r="L117" t="n">
        <v>0</v>
      </c>
      <c r="M117" t="n">
        <v>0</v>
      </c>
      <c r="N117" t="n">
        <v>0</v>
      </c>
      <c r="O117" t="n">
        <v>2</v>
      </c>
      <c r="P117" t="n">
        <v>0</v>
      </c>
      <c r="Q117" t="n">
        <v>3</v>
      </c>
      <c r="R117" s="2" t="inlineStr">
        <is>
          <t>Ullticka
Violettgrå tagellav
Korallblylav</t>
        </is>
      </c>
      <c r="S117">
        <f>HYPERLINK("https://klasma.github.io/Logging_2260/artfynd/A 43319-2025 artfynd.xlsx", "A 43319-2025")</f>
        <v/>
      </c>
      <c r="T117">
        <f>HYPERLINK("https://klasma.github.io/Logging_2260/kartor/A 43319-2025 karta.png", "A 43319-2025")</f>
        <v/>
      </c>
      <c r="V117">
        <f>HYPERLINK("https://klasma.github.io/Logging_2260/klagomål/A 43319-2025 FSC-klagomål.docx", "A 43319-2025")</f>
        <v/>
      </c>
      <c r="W117">
        <f>HYPERLINK("https://klasma.github.io/Logging_2260/klagomålsmail/A 43319-2025 FSC-klagomål mail.docx", "A 43319-2025")</f>
        <v/>
      </c>
      <c r="X117">
        <f>HYPERLINK("https://klasma.github.io/Logging_2260/tillsyn/A 43319-2025 tillsynsbegäran.docx", "A 43319-2025")</f>
        <v/>
      </c>
      <c r="Y117">
        <f>HYPERLINK("https://klasma.github.io/Logging_2260/tillsynsmail/A 43319-2025 tillsynsbegäran mail.docx", "A 43319-2025")</f>
        <v/>
      </c>
    </row>
    <row r="118" ht="15" customHeight="1">
      <c r="A118" t="inlineStr">
        <is>
          <t>A 22996-2023</t>
        </is>
      </c>
      <c r="B118" s="1" t="n">
        <v>45072</v>
      </c>
      <c r="C118" s="1" t="n">
        <v>46184</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26679-2025</t>
        </is>
      </c>
      <c r="B119" s="1" t="n">
        <v>45810</v>
      </c>
      <c r="C119" s="1" t="n">
        <v>46184</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39179-2024</t>
        </is>
      </c>
      <c r="B120" s="1" t="n">
        <v>45548.65703703704</v>
      </c>
      <c r="C120" s="1" t="n">
        <v>46184</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43880-2025</t>
        </is>
      </c>
      <c r="B121" s="1" t="n">
        <v>45912</v>
      </c>
      <c r="C121" s="1" t="n">
        <v>46184</v>
      </c>
      <c r="D121" t="inlineStr">
        <is>
          <t>VÄSTERNORRLANDS LÄN</t>
        </is>
      </c>
      <c r="E121" t="inlineStr">
        <is>
          <t>ÅNGE</t>
        </is>
      </c>
      <c r="F121" t="inlineStr">
        <is>
          <t>SCA</t>
        </is>
      </c>
      <c r="G121" t="n">
        <v>3.5</v>
      </c>
      <c r="H121" t="n">
        <v>1</v>
      </c>
      <c r="I121" t="n">
        <v>0</v>
      </c>
      <c r="J121" t="n">
        <v>3</v>
      </c>
      <c r="K121" t="n">
        <v>0</v>
      </c>
      <c r="L121" t="n">
        <v>0</v>
      </c>
      <c r="M121" t="n">
        <v>0</v>
      </c>
      <c r="N121" t="n">
        <v>0</v>
      </c>
      <c r="O121" t="n">
        <v>3</v>
      </c>
      <c r="P121" t="n">
        <v>0</v>
      </c>
      <c r="Q121" t="n">
        <v>3</v>
      </c>
      <c r="R121" s="2" t="inlineStr">
        <is>
          <t>Granticka
Tretåig hackspett
Vitgrynig nållav</t>
        </is>
      </c>
      <c r="S121">
        <f>HYPERLINK("https://klasma.github.io/Logging_2260/artfynd/A 43880-2025 artfynd.xlsx", "A 43880-2025")</f>
        <v/>
      </c>
      <c r="T121">
        <f>HYPERLINK("https://klasma.github.io/Logging_2260/kartor/A 43880-2025 karta.png", "A 43880-2025")</f>
        <v/>
      </c>
      <c r="V121">
        <f>HYPERLINK("https://klasma.github.io/Logging_2260/klagomål/A 43880-2025 FSC-klagomål.docx", "A 43880-2025")</f>
        <v/>
      </c>
      <c r="W121">
        <f>HYPERLINK("https://klasma.github.io/Logging_2260/klagomålsmail/A 43880-2025 FSC-klagomål mail.docx", "A 43880-2025")</f>
        <v/>
      </c>
      <c r="X121">
        <f>HYPERLINK("https://klasma.github.io/Logging_2260/tillsyn/A 43880-2025 tillsynsbegäran.docx", "A 43880-2025")</f>
        <v/>
      </c>
      <c r="Y121">
        <f>HYPERLINK("https://klasma.github.io/Logging_2260/tillsynsmail/A 43880-2025 tillsynsbegäran mail.docx", "A 43880-2025")</f>
        <v/>
      </c>
      <c r="Z121">
        <f>HYPERLINK("https://klasma.github.io/Logging_2260/fåglar/A 43880-2025 prioriterade fågelarter.docx", "A 43880-2025")</f>
        <v/>
      </c>
    </row>
    <row r="122" ht="15" customHeight="1">
      <c r="A122" t="inlineStr">
        <is>
          <t>A 16307-2025</t>
        </is>
      </c>
      <c r="B122" s="1" t="n">
        <v>45751.34686342593</v>
      </c>
      <c r="C122" s="1" t="n">
        <v>46184</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31212-2025</t>
        </is>
      </c>
      <c r="B123" s="1" t="n">
        <v>45832.71978009259</v>
      </c>
      <c r="C123" s="1" t="n">
        <v>46184</v>
      </c>
      <c r="D123" t="inlineStr">
        <is>
          <t>VÄSTERNORRLANDS LÄN</t>
        </is>
      </c>
      <c r="E123" t="inlineStr">
        <is>
          <t>ÅNGE</t>
        </is>
      </c>
      <c r="F123" t="inlineStr">
        <is>
          <t>SCA</t>
        </is>
      </c>
      <c r="G123" t="n">
        <v>1.6</v>
      </c>
      <c r="H123" t="n">
        <v>0</v>
      </c>
      <c r="I123" t="n">
        <v>2</v>
      </c>
      <c r="J123" t="n">
        <v>1</v>
      </c>
      <c r="K123" t="n">
        <v>0</v>
      </c>
      <c r="L123" t="n">
        <v>0</v>
      </c>
      <c r="M123" t="n">
        <v>0</v>
      </c>
      <c r="N123" t="n">
        <v>0</v>
      </c>
      <c r="O123" t="n">
        <v>1</v>
      </c>
      <c r="P123" t="n">
        <v>0</v>
      </c>
      <c r="Q123" t="n">
        <v>3</v>
      </c>
      <c r="R123" s="2" t="inlineStr">
        <is>
          <t>Ullticka
Barkticka
Korallblylav</t>
        </is>
      </c>
      <c r="S123">
        <f>HYPERLINK("https://klasma.github.io/Logging_2260/artfynd/A 31212-2025 artfynd.xlsx", "A 31212-2025")</f>
        <v/>
      </c>
      <c r="T123">
        <f>HYPERLINK("https://klasma.github.io/Logging_2260/kartor/A 31212-2025 karta.png", "A 31212-2025")</f>
        <v/>
      </c>
      <c r="V123">
        <f>HYPERLINK("https://klasma.github.io/Logging_2260/klagomål/A 31212-2025 FSC-klagomål.docx", "A 31212-2025")</f>
        <v/>
      </c>
      <c r="W123">
        <f>HYPERLINK("https://klasma.github.io/Logging_2260/klagomålsmail/A 31212-2025 FSC-klagomål mail.docx", "A 31212-2025")</f>
        <v/>
      </c>
      <c r="X123">
        <f>HYPERLINK("https://klasma.github.io/Logging_2260/tillsyn/A 31212-2025 tillsynsbegäran.docx", "A 31212-2025")</f>
        <v/>
      </c>
      <c r="Y123">
        <f>HYPERLINK("https://klasma.github.io/Logging_2260/tillsynsmail/A 31212-2025 tillsynsbegäran mail.docx", "A 31212-2025")</f>
        <v/>
      </c>
    </row>
    <row r="124" ht="15" customHeight="1">
      <c r="A124" t="inlineStr">
        <is>
          <t>A 53710-2025</t>
        </is>
      </c>
      <c r="B124" s="1" t="n">
        <v>45960.6153125</v>
      </c>
      <c r="C124" s="1" t="n">
        <v>46184</v>
      </c>
      <c r="D124" t="inlineStr">
        <is>
          <t>VÄSTERNORRLANDS LÄN</t>
        </is>
      </c>
      <c r="E124" t="inlineStr">
        <is>
          <t>ÅNGE</t>
        </is>
      </c>
      <c r="F124" t="inlineStr">
        <is>
          <t>SCA</t>
        </is>
      </c>
      <c r="G124" t="n">
        <v>7.9</v>
      </c>
      <c r="H124" t="n">
        <v>1</v>
      </c>
      <c r="I124" t="n">
        <v>0</v>
      </c>
      <c r="J124" t="n">
        <v>3</v>
      </c>
      <c r="K124" t="n">
        <v>0</v>
      </c>
      <c r="L124" t="n">
        <v>0</v>
      </c>
      <c r="M124" t="n">
        <v>0</v>
      </c>
      <c r="N124" t="n">
        <v>0</v>
      </c>
      <c r="O124" t="n">
        <v>3</v>
      </c>
      <c r="P124" t="n">
        <v>0</v>
      </c>
      <c r="Q124" t="n">
        <v>3</v>
      </c>
      <c r="R124" s="2" t="inlineStr">
        <is>
          <t>Kolflarnlav
Spillkråka
Vedskivlav</t>
        </is>
      </c>
      <c r="S124">
        <f>HYPERLINK("https://klasma.github.io/Logging_2260/artfynd/A 53710-2025 artfynd.xlsx", "A 53710-2025")</f>
        <v/>
      </c>
      <c r="T124">
        <f>HYPERLINK("https://klasma.github.io/Logging_2260/kartor/A 53710-2025 karta.png", "A 53710-2025")</f>
        <v/>
      </c>
      <c r="V124">
        <f>HYPERLINK("https://klasma.github.io/Logging_2260/klagomål/A 53710-2025 FSC-klagomål.docx", "A 53710-2025")</f>
        <v/>
      </c>
      <c r="W124">
        <f>HYPERLINK("https://klasma.github.io/Logging_2260/klagomålsmail/A 53710-2025 FSC-klagomål mail.docx", "A 53710-2025")</f>
        <v/>
      </c>
      <c r="X124">
        <f>HYPERLINK("https://klasma.github.io/Logging_2260/tillsyn/A 53710-2025 tillsynsbegäran.docx", "A 53710-2025")</f>
        <v/>
      </c>
      <c r="Y124">
        <f>HYPERLINK("https://klasma.github.io/Logging_2260/tillsynsmail/A 53710-2025 tillsynsbegäran mail.docx", "A 53710-2025")</f>
        <v/>
      </c>
      <c r="Z124">
        <f>HYPERLINK("https://klasma.github.io/Logging_2260/fåglar/A 53710-2025 prioriterade fågelarter.docx", "A 53710-2025")</f>
        <v/>
      </c>
    </row>
    <row r="125" ht="15" customHeight="1">
      <c r="A125" t="inlineStr">
        <is>
          <t>A 33806-2025</t>
        </is>
      </c>
      <c r="B125" s="1" t="n">
        <v>45842.44865740741</v>
      </c>
      <c r="C125" s="1" t="n">
        <v>46184</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37184-2025</t>
        </is>
      </c>
      <c r="B126" s="1" t="n">
        <v>45875.63591435185</v>
      </c>
      <c r="C126" s="1" t="n">
        <v>46184</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45122-2021</t>
        </is>
      </c>
      <c r="B127" s="1" t="n">
        <v>44439</v>
      </c>
      <c r="C127" s="1" t="n">
        <v>46184</v>
      </c>
      <c r="D127" t="inlineStr">
        <is>
          <t>VÄSTERNORRLANDS LÄN</t>
        </is>
      </c>
      <c r="E127" t="inlineStr">
        <is>
          <t>ÅNGE</t>
        </is>
      </c>
      <c r="G127" t="n">
        <v>20.3</v>
      </c>
      <c r="H127" t="n">
        <v>0</v>
      </c>
      <c r="I127" t="n">
        <v>2</v>
      </c>
      <c r="J127" t="n">
        <v>1</v>
      </c>
      <c r="K127" t="n">
        <v>0</v>
      </c>
      <c r="L127" t="n">
        <v>0</v>
      </c>
      <c r="M127" t="n">
        <v>0</v>
      </c>
      <c r="N127" t="n">
        <v>0</v>
      </c>
      <c r="O127" t="n">
        <v>1</v>
      </c>
      <c r="P127" t="n">
        <v>0</v>
      </c>
      <c r="Q127" t="n">
        <v>3</v>
      </c>
      <c r="R127" s="2" t="inlineStr">
        <is>
          <t>Reliktbock
Cixidia
Skinnlav</t>
        </is>
      </c>
      <c r="S127">
        <f>HYPERLINK("https://klasma.github.io/Logging_2260/artfynd/A 45122-2021 artfynd.xlsx", "A 45122-2021")</f>
        <v/>
      </c>
      <c r="T127">
        <f>HYPERLINK("https://klasma.github.io/Logging_2260/kartor/A 45122-2021 karta.png", "A 45122-2021")</f>
        <v/>
      </c>
      <c r="V127">
        <f>HYPERLINK("https://klasma.github.io/Logging_2260/klagomål/A 45122-2021 FSC-klagomål.docx", "A 45122-2021")</f>
        <v/>
      </c>
      <c r="W127">
        <f>HYPERLINK("https://klasma.github.io/Logging_2260/klagomålsmail/A 45122-2021 FSC-klagomål mail.docx", "A 45122-2021")</f>
        <v/>
      </c>
      <c r="X127">
        <f>HYPERLINK("https://klasma.github.io/Logging_2260/tillsyn/A 45122-2021 tillsynsbegäran.docx", "A 45122-2021")</f>
        <v/>
      </c>
      <c r="Y127">
        <f>HYPERLINK("https://klasma.github.io/Logging_2260/tillsynsmail/A 45122-2021 tillsynsbegäran mail.docx", "A 45122-2021")</f>
        <v/>
      </c>
    </row>
    <row r="128" ht="15" customHeight="1">
      <c r="A128" t="inlineStr">
        <is>
          <t>A 7533-2023</t>
        </is>
      </c>
      <c r="B128" s="1" t="n">
        <v>44971</v>
      </c>
      <c r="C128" s="1" t="n">
        <v>46184</v>
      </c>
      <c r="D128" t="inlineStr">
        <is>
          <t>VÄSTERNORRLANDS LÄN</t>
        </is>
      </c>
      <c r="E128" t="inlineStr">
        <is>
          <t>ÅNGE</t>
        </is>
      </c>
      <c r="F128" t="inlineStr">
        <is>
          <t>SCA</t>
        </is>
      </c>
      <c r="G128" t="n">
        <v>15.7</v>
      </c>
      <c r="H128" t="n">
        <v>2</v>
      </c>
      <c r="I128" t="n">
        <v>0</v>
      </c>
      <c r="J128" t="n">
        <v>1</v>
      </c>
      <c r="K128" t="n">
        <v>1</v>
      </c>
      <c r="L128" t="n">
        <v>0</v>
      </c>
      <c r="M128" t="n">
        <v>0</v>
      </c>
      <c r="N128" t="n">
        <v>0</v>
      </c>
      <c r="O128" t="n">
        <v>2</v>
      </c>
      <c r="P128" t="n">
        <v>1</v>
      </c>
      <c r="Q128" t="n">
        <v>3</v>
      </c>
      <c r="R128" s="2" t="inlineStr">
        <is>
          <t>Doftticka
Lunglav
Blåsippa</t>
        </is>
      </c>
      <c r="S128">
        <f>HYPERLINK("https://klasma.github.io/Logging_2260/artfynd/A 7533-2023 artfynd.xlsx", "A 7533-2023")</f>
        <v/>
      </c>
      <c r="T128">
        <f>HYPERLINK("https://klasma.github.io/Logging_2260/kartor/A 7533-2023 karta.png", "A 7533-2023")</f>
        <v/>
      </c>
      <c r="V128">
        <f>HYPERLINK("https://klasma.github.io/Logging_2260/klagomål/A 7533-2023 FSC-klagomål.docx", "A 7533-2023")</f>
        <v/>
      </c>
      <c r="W128">
        <f>HYPERLINK("https://klasma.github.io/Logging_2260/klagomålsmail/A 7533-2023 FSC-klagomål mail.docx", "A 7533-2023")</f>
        <v/>
      </c>
      <c r="X128">
        <f>HYPERLINK("https://klasma.github.io/Logging_2260/tillsyn/A 7533-2023 tillsynsbegäran.docx", "A 7533-2023")</f>
        <v/>
      </c>
      <c r="Y128">
        <f>HYPERLINK("https://klasma.github.io/Logging_2260/tillsynsmail/A 7533-2023 tillsynsbegäran mail.docx", "A 7533-2023")</f>
        <v/>
      </c>
    </row>
    <row r="129" ht="15" customHeight="1">
      <c r="A129" t="inlineStr">
        <is>
          <t>A 39708-2024</t>
        </is>
      </c>
      <c r="B129" s="1" t="n">
        <v>45552.59408564815</v>
      </c>
      <c r="C129" s="1" t="n">
        <v>46184</v>
      </c>
      <c r="D129" t="inlineStr">
        <is>
          <t>VÄSTERNORRLANDS LÄN</t>
        </is>
      </c>
      <c r="E129" t="inlineStr">
        <is>
          <t>ÅNGE</t>
        </is>
      </c>
      <c r="F129" t="inlineStr">
        <is>
          <t>SCA</t>
        </is>
      </c>
      <c r="G129" t="n">
        <v>6.2</v>
      </c>
      <c r="H129" t="n">
        <v>0</v>
      </c>
      <c r="I129" t="n">
        <v>0</v>
      </c>
      <c r="J129" t="n">
        <v>3</v>
      </c>
      <c r="K129" t="n">
        <v>0</v>
      </c>
      <c r="L129" t="n">
        <v>0</v>
      </c>
      <c r="M129" t="n">
        <v>0</v>
      </c>
      <c r="N129" t="n">
        <v>0</v>
      </c>
      <c r="O129" t="n">
        <v>3</v>
      </c>
      <c r="P129" t="n">
        <v>0</v>
      </c>
      <c r="Q129" t="n">
        <v>3</v>
      </c>
      <c r="R129" s="2" t="inlineStr">
        <is>
          <t>Granticka
Ullticka
Vitgrynig nållav</t>
        </is>
      </c>
      <c r="S129">
        <f>HYPERLINK("https://klasma.github.io/Logging_2260/artfynd/A 39708-2024 artfynd.xlsx", "A 39708-2024")</f>
        <v/>
      </c>
      <c r="T129">
        <f>HYPERLINK("https://klasma.github.io/Logging_2260/kartor/A 39708-2024 karta.png", "A 39708-2024")</f>
        <v/>
      </c>
      <c r="V129">
        <f>HYPERLINK("https://klasma.github.io/Logging_2260/klagomål/A 39708-2024 FSC-klagomål.docx", "A 39708-2024")</f>
        <v/>
      </c>
      <c r="W129">
        <f>HYPERLINK("https://klasma.github.io/Logging_2260/klagomålsmail/A 39708-2024 FSC-klagomål mail.docx", "A 39708-2024")</f>
        <v/>
      </c>
      <c r="X129">
        <f>HYPERLINK("https://klasma.github.io/Logging_2260/tillsyn/A 39708-2024 tillsynsbegäran.docx", "A 39708-2024")</f>
        <v/>
      </c>
      <c r="Y129">
        <f>HYPERLINK("https://klasma.github.io/Logging_2260/tillsynsmail/A 39708-2024 tillsynsbegäran mail.docx", "A 39708-2024")</f>
        <v/>
      </c>
    </row>
    <row r="130" ht="15" customHeight="1">
      <c r="A130" t="inlineStr">
        <is>
          <t>A 29691-2024</t>
        </is>
      </c>
      <c r="B130" s="1" t="n">
        <v>45484.9446875</v>
      </c>
      <c r="C130" s="1" t="n">
        <v>46184</v>
      </c>
      <c r="D130" t="inlineStr">
        <is>
          <t>VÄSTERNORRLANDS LÄN</t>
        </is>
      </c>
      <c r="E130" t="inlineStr">
        <is>
          <t>ÅNGE</t>
        </is>
      </c>
      <c r="F130" t="inlineStr">
        <is>
          <t>SCA</t>
        </is>
      </c>
      <c r="G130" t="n">
        <v>6.8</v>
      </c>
      <c r="H130" t="n">
        <v>0</v>
      </c>
      <c r="I130" t="n">
        <v>1</v>
      </c>
      <c r="J130" t="n">
        <v>2</v>
      </c>
      <c r="K130" t="n">
        <v>0</v>
      </c>
      <c r="L130" t="n">
        <v>0</v>
      </c>
      <c r="M130" t="n">
        <v>0</v>
      </c>
      <c r="N130" t="n">
        <v>0</v>
      </c>
      <c r="O130" t="n">
        <v>2</v>
      </c>
      <c r="P130" t="n">
        <v>0</v>
      </c>
      <c r="Q130" t="n">
        <v>3</v>
      </c>
      <c r="R130" s="2" t="inlineStr">
        <is>
          <t>Lunglav
Rosenticka
Vedticka</t>
        </is>
      </c>
      <c r="S130">
        <f>HYPERLINK("https://klasma.github.io/Logging_2260/artfynd/A 29691-2024 artfynd.xlsx", "A 29691-2024")</f>
        <v/>
      </c>
      <c r="T130">
        <f>HYPERLINK("https://klasma.github.io/Logging_2260/kartor/A 29691-2024 karta.png", "A 29691-2024")</f>
        <v/>
      </c>
      <c r="V130">
        <f>HYPERLINK("https://klasma.github.io/Logging_2260/klagomål/A 29691-2024 FSC-klagomål.docx", "A 29691-2024")</f>
        <v/>
      </c>
      <c r="W130">
        <f>HYPERLINK("https://klasma.github.io/Logging_2260/klagomålsmail/A 29691-2024 FSC-klagomål mail.docx", "A 29691-2024")</f>
        <v/>
      </c>
      <c r="X130">
        <f>HYPERLINK("https://klasma.github.io/Logging_2260/tillsyn/A 29691-2024 tillsynsbegäran.docx", "A 29691-2024")</f>
        <v/>
      </c>
      <c r="Y130">
        <f>HYPERLINK("https://klasma.github.io/Logging_2260/tillsynsmail/A 29691-2024 tillsynsbegäran mail.docx", "A 29691-2024")</f>
        <v/>
      </c>
    </row>
    <row r="131" ht="15" customHeight="1">
      <c r="A131" t="inlineStr">
        <is>
          <t>A 39181-2024</t>
        </is>
      </c>
      <c r="B131" s="1" t="n">
        <v>45548</v>
      </c>
      <c r="C131" s="1" t="n">
        <v>46184</v>
      </c>
      <c r="D131" t="inlineStr">
        <is>
          <t>VÄSTERNORRLANDS LÄN</t>
        </is>
      </c>
      <c r="E131" t="inlineStr">
        <is>
          <t>ÅNGE</t>
        </is>
      </c>
      <c r="F131" t="inlineStr">
        <is>
          <t>SCA</t>
        </is>
      </c>
      <c r="G131" t="n">
        <v>21.1</v>
      </c>
      <c r="H131" t="n">
        <v>1</v>
      </c>
      <c r="I131" t="n">
        <v>1</v>
      </c>
      <c r="J131" t="n">
        <v>1</v>
      </c>
      <c r="K131" t="n">
        <v>1</v>
      </c>
      <c r="L131" t="n">
        <v>0</v>
      </c>
      <c r="M131" t="n">
        <v>0</v>
      </c>
      <c r="N131" t="n">
        <v>0</v>
      </c>
      <c r="O131" t="n">
        <v>2</v>
      </c>
      <c r="P131" t="n">
        <v>1</v>
      </c>
      <c r="Q131" t="n">
        <v>3</v>
      </c>
      <c r="R131" s="2" t="inlineStr">
        <is>
          <t>Knärot
Granticka
Kransrams</t>
        </is>
      </c>
      <c r="S131">
        <f>HYPERLINK("https://klasma.github.io/Logging_2260/artfynd/A 39181-2024 artfynd.xlsx", "A 39181-2024")</f>
        <v/>
      </c>
      <c r="T131">
        <f>HYPERLINK("https://klasma.github.io/Logging_2260/kartor/A 39181-2024 karta.png", "A 39181-2024")</f>
        <v/>
      </c>
      <c r="U131">
        <f>HYPERLINK("https://klasma.github.io/Logging_2260/knärot/A 39181-2024 karta knärot.png", "A 39181-2024")</f>
        <v/>
      </c>
      <c r="V131">
        <f>HYPERLINK("https://klasma.github.io/Logging_2260/klagomål/A 39181-2024 FSC-klagomål.docx", "A 39181-2024")</f>
        <v/>
      </c>
      <c r="W131">
        <f>HYPERLINK("https://klasma.github.io/Logging_2260/klagomålsmail/A 39181-2024 FSC-klagomål mail.docx", "A 39181-2024")</f>
        <v/>
      </c>
      <c r="X131">
        <f>HYPERLINK("https://klasma.github.io/Logging_2260/tillsyn/A 39181-2024 tillsynsbegäran.docx", "A 39181-2024")</f>
        <v/>
      </c>
      <c r="Y131">
        <f>HYPERLINK("https://klasma.github.io/Logging_2260/tillsynsmail/A 39181-2024 tillsynsbegäran mail.docx", "A 39181-2024")</f>
        <v/>
      </c>
    </row>
    <row r="132" ht="15" customHeight="1">
      <c r="A132" t="inlineStr">
        <is>
          <t>A 24795-2024</t>
        </is>
      </c>
      <c r="B132" s="1" t="n">
        <v>45460.95252314815</v>
      </c>
      <c r="C132" s="1" t="n">
        <v>46184</v>
      </c>
      <c r="D132" t="inlineStr">
        <is>
          <t>VÄSTERNORRLANDS LÄN</t>
        </is>
      </c>
      <c r="E132" t="inlineStr">
        <is>
          <t>ÅNGE</t>
        </is>
      </c>
      <c r="F132" t="inlineStr">
        <is>
          <t>SCA</t>
        </is>
      </c>
      <c r="G132" t="n">
        <v>2.2</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HYPERLINK("https://klasma.github.io/Logging_2260/artfynd/A 24795-2024 artfynd.xlsx", "A 24795-2024")</f>
        <v/>
      </c>
      <c r="T132">
        <f>HYPERLINK("https://klasma.github.io/Logging_2260/kartor/A 24795-2024 karta.png", "A 24795-2024")</f>
        <v/>
      </c>
      <c r="V132">
        <f>HYPERLINK("https://klasma.github.io/Logging_2260/klagomål/A 24795-2024 FSC-klagomål.docx", "A 24795-2024")</f>
        <v/>
      </c>
      <c r="W132">
        <f>HYPERLINK("https://klasma.github.io/Logging_2260/klagomålsmail/A 24795-2024 FSC-klagomål mail.docx", "A 24795-2024")</f>
        <v/>
      </c>
      <c r="X132">
        <f>HYPERLINK("https://klasma.github.io/Logging_2260/tillsyn/A 24795-2024 tillsynsbegäran.docx", "A 24795-2024")</f>
        <v/>
      </c>
      <c r="Y132">
        <f>HYPERLINK("https://klasma.github.io/Logging_2260/tillsynsmail/A 24795-2024 tillsynsbegäran mail.docx", "A 24795-2024")</f>
        <v/>
      </c>
    </row>
    <row r="133" ht="15" customHeight="1">
      <c r="A133" t="inlineStr">
        <is>
          <t>A 28274-2023</t>
        </is>
      </c>
      <c r="B133" s="1" t="n">
        <v>45099</v>
      </c>
      <c r="C133" s="1" t="n">
        <v>46184</v>
      </c>
      <c r="D133" t="inlineStr">
        <is>
          <t>VÄSTERNORRLANDS LÄN</t>
        </is>
      </c>
      <c r="E133" t="inlineStr">
        <is>
          <t>ÅNGE</t>
        </is>
      </c>
      <c r="G133" t="n">
        <v>19.2</v>
      </c>
      <c r="H133" t="n">
        <v>1</v>
      </c>
      <c r="I133" t="n">
        <v>1</v>
      </c>
      <c r="J133" t="n">
        <v>1</v>
      </c>
      <c r="K133" t="n">
        <v>1</v>
      </c>
      <c r="L133" t="n">
        <v>0</v>
      </c>
      <c r="M133" t="n">
        <v>0</v>
      </c>
      <c r="N133" t="n">
        <v>0</v>
      </c>
      <c r="O133" t="n">
        <v>2</v>
      </c>
      <c r="P133" t="n">
        <v>1</v>
      </c>
      <c r="Q133" t="n">
        <v>3</v>
      </c>
      <c r="R133" s="2" t="inlineStr">
        <is>
          <t>Knärot
Lunglav
Grönpyrola</t>
        </is>
      </c>
      <c r="S133">
        <f>HYPERLINK("https://klasma.github.io/Logging_2260/artfynd/A 28274-2023 artfynd.xlsx", "A 28274-2023")</f>
        <v/>
      </c>
      <c r="T133">
        <f>HYPERLINK("https://klasma.github.io/Logging_2260/kartor/A 28274-2023 karta.png", "A 28274-2023")</f>
        <v/>
      </c>
      <c r="U133">
        <f>HYPERLINK("https://klasma.github.io/Logging_2260/knärot/A 28274-2023 karta knärot.png", "A 28274-2023")</f>
        <v/>
      </c>
      <c r="V133">
        <f>HYPERLINK("https://klasma.github.io/Logging_2260/klagomål/A 28274-2023 FSC-klagomål.docx", "A 28274-2023")</f>
        <v/>
      </c>
      <c r="W133">
        <f>HYPERLINK("https://klasma.github.io/Logging_2260/klagomålsmail/A 28274-2023 FSC-klagomål mail.docx", "A 28274-2023")</f>
        <v/>
      </c>
      <c r="X133">
        <f>HYPERLINK("https://klasma.github.io/Logging_2260/tillsyn/A 28274-2023 tillsynsbegäran.docx", "A 28274-2023")</f>
        <v/>
      </c>
      <c r="Y133">
        <f>HYPERLINK("https://klasma.github.io/Logging_2260/tillsynsmail/A 28274-2023 tillsynsbegäran mail.docx", "A 28274-2023")</f>
        <v/>
      </c>
    </row>
    <row r="134" ht="15" customHeight="1">
      <c r="A134" t="inlineStr">
        <is>
          <t>A 36635-2021</t>
        </is>
      </c>
      <c r="B134" s="1" t="n">
        <v>44391</v>
      </c>
      <c r="C134" s="1" t="n">
        <v>46184</v>
      </c>
      <c r="D134" t="inlineStr">
        <is>
          <t>VÄSTERNORRLANDS LÄN</t>
        </is>
      </c>
      <c r="E134" t="inlineStr">
        <is>
          <t>ÅNGE</t>
        </is>
      </c>
      <c r="F134" t="inlineStr">
        <is>
          <t>SCA</t>
        </is>
      </c>
      <c r="G134" t="n">
        <v>3.7</v>
      </c>
      <c r="H134" t="n">
        <v>1</v>
      </c>
      <c r="I134" t="n">
        <v>0</v>
      </c>
      <c r="J134" t="n">
        <v>1</v>
      </c>
      <c r="K134" t="n">
        <v>1</v>
      </c>
      <c r="L134" t="n">
        <v>0</v>
      </c>
      <c r="M134" t="n">
        <v>0</v>
      </c>
      <c r="N134" t="n">
        <v>0</v>
      </c>
      <c r="O134" t="n">
        <v>2</v>
      </c>
      <c r="P134" t="n">
        <v>1</v>
      </c>
      <c r="Q134" t="n">
        <v>2</v>
      </c>
      <c r="R134" s="2" t="inlineStr">
        <is>
          <t>Knärot
Tallticka</t>
        </is>
      </c>
      <c r="S134">
        <f>HYPERLINK("https://klasma.github.io/Logging_2260/artfynd/A 36635-2021 artfynd.xlsx", "A 36635-2021")</f>
        <v/>
      </c>
      <c r="T134">
        <f>HYPERLINK("https://klasma.github.io/Logging_2260/kartor/A 36635-2021 karta.png", "A 36635-2021")</f>
        <v/>
      </c>
      <c r="U134">
        <f>HYPERLINK("https://klasma.github.io/Logging_2260/knärot/A 36635-2021 karta knärot.png", "A 36635-2021")</f>
        <v/>
      </c>
      <c r="V134">
        <f>HYPERLINK("https://klasma.github.io/Logging_2260/klagomål/A 36635-2021 FSC-klagomål.docx", "A 36635-2021")</f>
        <v/>
      </c>
      <c r="W134">
        <f>HYPERLINK("https://klasma.github.io/Logging_2260/klagomålsmail/A 36635-2021 FSC-klagomål mail.docx", "A 36635-2021")</f>
        <v/>
      </c>
      <c r="X134">
        <f>HYPERLINK("https://klasma.github.io/Logging_2260/tillsyn/A 36635-2021 tillsynsbegäran.docx", "A 36635-2021")</f>
        <v/>
      </c>
      <c r="Y134">
        <f>HYPERLINK("https://klasma.github.io/Logging_2260/tillsynsmail/A 36635-2021 tillsynsbegäran mail.docx", "A 36635-2021")</f>
        <v/>
      </c>
    </row>
    <row r="135" ht="15" customHeight="1">
      <c r="A135" t="inlineStr">
        <is>
          <t>A 1082-2022</t>
        </is>
      </c>
      <c r="B135" s="1" t="n">
        <v>44571</v>
      </c>
      <c r="C135" s="1" t="n">
        <v>46184</v>
      </c>
      <c r="D135" t="inlineStr">
        <is>
          <t>VÄSTERNORRLANDS LÄN</t>
        </is>
      </c>
      <c r="E135" t="inlineStr">
        <is>
          <t>ÅNGE</t>
        </is>
      </c>
      <c r="G135" t="n">
        <v>0.9</v>
      </c>
      <c r="H135" t="n">
        <v>1</v>
      </c>
      <c r="I135" t="n">
        <v>0</v>
      </c>
      <c r="J135" t="n">
        <v>2</v>
      </c>
      <c r="K135" t="n">
        <v>0</v>
      </c>
      <c r="L135" t="n">
        <v>0</v>
      </c>
      <c r="M135" t="n">
        <v>0</v>
      </c>
      <c r="N135" t="n">
        <v>0</v>
      </c>
      <c r="O135" t="n">
        <v>2</v>
      </c>
      <c r="P135" t="n">
        <v>0</v>
      </c>
      <c r="Q135" t="n">
        <v>2</v>
      </c>
      <c r="R135" s="2" t="inlineStr">
        <is>
          <t>Garnlav
Talltita</t>
        </is>
      </c>
      <c r="S135">
        <f>HYPERLINK("https://klasma.github.io/Logging_2260/artfynd/A 1082-2022 artfynd.xlsx", "A 1082-2022")</f>
        <v/>
      </c>
      <c r="T135">
        <f>HYPERLINK("https://klasma.github.io/Logging_2260/kartor/A 1082-2022 karta.png", "A 1082-2022")</f>
        <v/>
      </c>
      <c r="V135">
        <f>HYPERLINK("https://klasma.github.io/Logging_2260/klagomål/A 1082-2022 FSC-klagomål.docx", "A 1082-2022")</f>
        <v/>
      </c>
      <c r="W135">
        <f>HYPERLINK("https://klasma.github.io/Logging_2260/klagomålsmail/A 1082-2022 FSC-klagomål mail.docx", "A 1082-2022")</f>
        <v/>
      </c>
      <c r="X135">
        <f>HYPERLINK("https://klasma.github.io/Logging_2260/tillsyn/A 1082-2022 tillsynsbegäran.docx", "A 1082-2022")</f>
        <v/>
      </c>
      <c r="Y135">
        <f>HYPERLINK("https://klasma.github.io/Logging_2260/tillsynsmail/A 1082-2022 tillsynsbegäran mail.docx", "A 1082-2022")</f>
        <v/>
      </c>
      <c r="Z135">
        <f>HYPERLINK("https://klasma.github.io/Logging_2260/fåglar/A 1082-2022 prioriterade fågelarter.docx", "A 1082-2022")</f>
        <v/>
      </c>
    </row>
    <row r="136" ht="15" customHeight="1">
      <c r="A136" t="inlineStr">
        <is>
          <t>A 48152-2022</t>
        </is>
      </c>
      <c r="B136" s="1" t="n">
        <v>44853</v>
      </c>
      <c r="C136" s="1" t="n">
        <v>46184</v>
      </c>
      <c r="D136" t="inlineStr">
        <is>
          <t>VÄSTERNORRLANDS LÄN</t>
        </is>
      </c>
      <c r="E136" t="inlineStr">
        <is>
          <t>ÅNGE</t>
        </is>
      </c>
      <c r="G136" t="n">
        <v>2.9</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48152-2022 artfynd.xlsx", "A 48152-2022")</f>
        <v/>
      </c>
      <c r="T136">
        <f>HYPERLINK("https://klasma.github.io/Logging_2260/kartor/A 48152-2022 karta.png", "A 48152-2022")</f>
        <v/>
      </c>
      <c r="V136">
        <f>HYPERLINK("https://klasma.github.io/Logging_2260/klagomål/A 48152-2022 FSC-klagomål.docx", "A 48152-2022")</f>
        <v/>
      </c>
      <c r="W136">
        <f>HYPERLINK("https://klasma.github.io/Logging_2260/klagomålsmail/A 48152-2022 FSC-klagomål mail.docx", "A 48152-2022")</f>
        <v/>
      </c>
      <c r="X136">
        <f>HYPERLINK("https://klasma.github.io/Logging_2260/tillsyn/A 48152-2022 tillsynsbegäran.docx", "A 48152-2022")</f>
        <v/>
      </c>
      <c r="Y136">
        <f>HYPERLINK("https://klasma.github.io/Logging_2260/tillsynsmail/A 48152-2022 tillsynsbegäran mail.docx", "A 48152-2022")</f>
        <v/>
      </c>
    </row>
    <row r="137" ht="15" customHeight="1">
      <c r="A137" t="inlineStr">
        <is>
          <t>A 47799-2022</t>
        </is>
      </c>
      <c r="B137" s="1" t="n">
        <v>44854.95371527778</v>
      </c>
      <c r="C137" s="1" t="n">
        <v>46184</v>
      </c>
      <c r="D137" t="inlineStr">
        <is>
          <t>VÄSTERNORRLANDS LÄN</t>
        </is>
      </c>
      <c r="E137" t="inlineStr">
        <is>
          <t>ÅNGE</t>
        </is>
      </c>
      <c r="F137" t="inlineStr">
        <is>
          <t>SCA</t>
        </is>
      </c>
      <c r="G137" t="n">
        <v>5</v>
      </c>
      <c r="H137" t="n">
        <v>1</v>
      </c>
      <c r="I137" t="n">
        <v>0</v>
      </c>
      <c r="J137" t="n">
        <v>1</v>
      </c>
      <c r="K137" t="n">
        <v>0</v>
      </c>
      <c r="L137" t="n">
        <v>0</v>
      </c>
      <c r="M137" t="n">
        <v>0</v>
      </c>
      <c r="N137" t="n">
        <v>0</v>
      </c>
      <c r="O137" t="n">
        <v>1</v>
      </c>
      <c r="P137" t="n">
        <v>0</v>
      </c>
      <c r="Q137" t="n">
        <v>2</v>
      </c>
      <c r="R137" s="2" t="inlineStr">
        <is>
          <t>Lunglav
Fläcknycklar</t>
        </is>
      </c>
      <c r="S137">
        <f>HYPERLINK("https://klasma.github.io/Logging_2260/artfynd/A 47799-2022 artfynd.xlsx", "A 47799-2022")</f>
        <v/>
      </c>
      <c r="T137">
        <f>HYPERLINK("https://klasma.github.io/Logging_2260/kartor/A 47799-2022 karta.png", "A 47799-2022")</f>
        <v/>
      </c>
      <c r="V137">
        <f>HYPERLINK("https://klasma.github.io/Logging_2260/klagomål/A 47799-2022 FSC-klagomål.docx", "A 47799-2022")</f>
        <v/>
      </c>
      <c r="W137">
        <f>HYPERLINK("https://klasma.github.io/Logging_2260/klagomålsmail/A 47799-2022 FSC-klagomål mail.docx", "A 47799-2022")</f>
        <v/>
      </c>
      <c r="X137">
        <f>HYPERLINK("https://klasma.github.io/Logging_2260/tillsyn/A 47799-2022 tillsynsbegäran.docx", "A 47799-2022")</f>
        <v/>
      </c>
      <c r="Y137">
        <f>HYPERLINK("https://klasma.github.io/Logging_2260/tillsynsmail/A 47799-2022 tillsynsbegäran mail.docx", "A 47799-2022")</f>
        <v/>
      </c>
    </row>
    <row r="138" ht="15" customHeight="1">
      <c r="A138" t="inlineStr">
        <is>
          <t>A 40965-2021</t>
        </is>
      </c>
      <c r="B138" s="1" t="n">
        <v>44421.57918981482</v>
      </c>
      <c r="C138" s="1" t="n">
        <v>46184</v>
      </c>
      <c r="D138" t="inlineStr">
        <is>
          <t>VÄSTERNORRLANDS LÄN</t>
        </is>
      </c>
      <c r="E138" t="inlineStr">
        <is>
          <t>ÅNGE</t>
        </is>
      </c>
      <c r="F138" t="inlineStr">
        <is>
          <t>Sveaskog</t>
        </is>
      </c>
      <c r="G138" t="n">
        <v>5.4</v>
      </c>
      <c r="H138" t="n">
        <v>1</v>
      </c>
      <c r="I138" t="n">
        <v>1</v>
      </c>
      <c r="J138" t="n">
        <v>1</v>
      </c>
      <c r="K138" t="n">
        <v>0</v>
      </c>
      <c r="L138" t="n">
        <v>0</v>
      </c>
      <c r="M138" t="n">
        <v>0</v>
      </c>
      <c r="N138" t="n">
        <v>0</v>
      </c>
      <c r="O138" t="n">
        <v>1</v>
      </c>
      <c r="P138" t="n">
        <v>0</v>
      </c>
      <c r="Q138" t="n">
        <v>2</v>
      </c>
      <c r="R138" s="2" t="inlineStr">
        <is>
          <t>Skogsfru
Skogsbräsma</t>
        </is>
      </c>
      <c r="S138">
        <f>HYPERLINK("https://klasma.github.io/Logging_2260/artfynd/A 40965-2021 artfynd.xlsx", "A 40965-2021")</f>
        <v/>
      </c>
      <c r="T138">
        <f>HYPERLINK("https://klasma.github.io/Logging_2260/kartor/A 40965-2021 karta.png", "A 40965-2021")</f>
        <v/>
      </c>
      <c r="V138">
        <f>HYPERLINK("https://klasma.github.io/Logging_2260/klagomål/A 40965-2021 FSC-klagomål.docx", "A 40965-2021")</f>
        <v/>
      </c>
      <c r="W138">
        <f>HYPERLINK("https://klasma.github.io/Logging_2260/klagomålsmail/A 40965-2021 FSC-klagomål mail.docx", "A 40965-2021")</f>
        <v/>
      </c>
      <c r="X138">
        <f>HYPERLINK("https://klasma.github.io/Logging_2260/tillsyn/A 40965-2021 tillsynsbegäran.docx", "A 40965-2021")</f>
        <v/>
      </c>
      <c r="Y138">
        <f>HYPERLINK("https://klasma.github.io/Logging_2260/tillsynsmail/A 40965-2021 tillsynsbegäran mail.docx", "A 40965-2021")</f>
        <v/>
      </c>
    </row>
    <row r="139" ht="15" customHeight="1">
      <c r="A139" t="inlineStr">
        <is>
          <t>A 8234-2022</t>
        </is>
      </c>
      <c r="B139" s="1" t="n">
        <v>44609</v>
      </c>
      <c r="C139" s="1" t="n">
        <v>46184</v>
      </c>
      <c r="D139" t="inlineStr">
        <is>
          <t>VÄSTERNORRLANDS LÄN</t>
        </is>
      </c>
      <c r="E139" t="inlineStr">
        <is>
          <t>ÅNGE</t>
        </is>
      </c>
      <c r="F139" t="inlineStr">
        <is>
          <t>SCA</t>
        </is>
      </c>
      <c r="G139" t="n">
        <v>2.3</v>
      </c>
      <c r="H139" t="n">
        <v>1</v>
      </c>
      <c r="I139" t="n">
        <v>0</v>
      </c>
      <c r="J139" t="n">
        <v>1</v>
      </c>
      <c r="K139" t="n">
        <v>0</v>
      </c>
      <c r="L139" t="n">
        <v>0</v>
      </c>
      <c r="M139" t="n">
        <v>0</v>
      </c>
      <c r="N139" t="n">
        <v>0</v>
      </c>
      <c r="O139" t="n">
        <v>1</v>
      </c>
      <c r="P139" t="n">
        <v>0</v>
      </c>
      <c r="Q139" t="n">
        <v>2</v>
      </c>
      <c r="R139" s="2" t="inlineStr">
        <is>
          <t>Garnlav
Revlummer</t>
        </is>
      </c>
      <c r="S139">
        <f>HYPERLINK("https://klasma.github.io/Logging_2260/artfynd/A 8234-2022 artfynd.xlsx", "A 8234-2022")</f>
        <v/>
      </c>
      <c r="T139">
        <f>HYPERLINK("https://klasma.github.io/Logging_2260/kartor/A 8234-2022 karta.png", "A 8234-2022")</f>
        <v/>
      </c>
      <c r="V139">
        <f>HYPERLINK("https://klasma.github.io/Logging_2260/klagomål/A 8234-2022 FSC-klagomål.docx", "A 8234-2022")</f>
        <v/>
      </c>
      <c r="W139">
        <f>HYPERLINK("https://klasma.github.io/Logging_2260/klagomålsmail/A 8234-2022 FSC-klagomål mail.docx", "A 8234-2022")</f>
        <v/>
      </c>
      <c r="X139">
        <f>HYPERLINK("https://klasma.github.io/Logging_2260/tillsyn/A 8234-2022 tillsynsbegäran.docx", "A 8234-2022")</f>
        <v/>
      </c>
      <c r="Y139">
        <f>HYPERLINK("https://klasma.github.io/Logging_2260/tillsynsmail/A 8234-2022 tillsynsbegäran mail.docx", "A 8234-2022")</f>
        <v/>
      </c>
    </row>
    <row r="140" ht="15" customHeight="1">
      <c r="A140" t="inlineStr">
        <is>
          <t>A 55591-2021</t>
        </is>
      </c>
      <c r="B140" s="1" t="n">
        <v>44475</v>
      </c>
      <c r="C140" s="1" t="n">
        <v>46184</v>
      </c>
      <c r="D140" t="inlineStr">
        <is>
          <t>VÄSTERNORRLANDS LÄN</t>
        </is>
      </c>
      <c r="E140" t="inlineStr">
        <is>
          <t>ÅNGE</t>
        </is>
      </c>
      <c r="G140" t="n">
        <v>3.6</v>
      </c>
      <c r="H140" t="n">
        <v>0</v>
      </c>
      <c r="I140" t="n">
        <v>0</v>
      </c>
      <c r="J140" t="n">
        <v>2</v>
      </c>
      <c r="K140" t="n">
        <v>0</v>
      </c>
      <c r="L140" t="n">
        <v>0</v>
      </c>
      <c r="M140" t="n">
        <v>0</v>
      </c>
      <c r="N140" t="n">
        <v>0</v>
      </c>
      <c r="O140" t="n">
        <v>2</v>
      </c>
      <c r="P140" t="n">
        <v>0</v>
      </c>
      <c r="Q140" t="n">
        <v>2</v>
      </c>
      <c r="R140" s="2" t="inlineStr">
        <is>
          <t>Kolflarnlav
Skrovlig taggsvamp</t>
        </is>
      </c>
      <c r="S140">
        <f>HYPERLINK("https://klasma.github.io/Logging_2260/artfynd/A 55591-2021 artfynd.xlsx", "A 55591-2021")</f>
        <v/>
      </c>
      <c r="T140">
        <f>HYPERLINK("https://klasma.github.io/Logging_2260/kartor/A 55591-2021 karta.png", "A 55591-2021")</f>
        <v/>
      </c>
      <c r="V140">
        <f>HYPERLINK("https://klasma.github.io/Logging_2260/klagomål/A 55591-2021 FSC-klagomål.docx", "A 55591-2021")</f>
        <v/>
      </c>
      <c r="W140">
        <f>HYPERLINK("https://klasma.github.io/Logging_2260/klagomålsmail/A 55591-2021 FSC-klagomål mail.docx", "A 55591-2021")</f>
        <v/>
      </c>
      <c r="X140">
        <f>HYPERLINK("https://klasma.github.io/Logging_2260/tillsyn/A 55591-2021 tillsynsbegäran.docx", "A 55591-2021")</f>
        <v/>
      </c>
      <c r="Y140">
        <f>HYPERLINK("https://klasma.github.io/Logging_2260/tillsynsmail/A 55591-2021 tillsynsbegäran mail.docx", "A 55591-2021")</f>
        <v/>
      </c>
    </row>
    <row r="141" ht="15" customHeight="1">
      <c r="A141" t="inlineStr">
        <is>
          <t>A 24176-2025</t>
        </is>
      </c>
      <c r="B141" s="1" t="n">
        <v>45796.69832175926</v>
      </c>
      <c r="C141" s="1" t="n">
        <v>46184</v>
      </c>
      <c r="D141" t="inlineStr">
        <is>
          <t>VÄSTERNORRLANDS LÄN</t>
        </is>
      </c>
      <c r="E141" t="inlineStr">
        <is>
          <t>ÅNGE</t>
        </is>
      </c>
      <c r="F141" t="inlineStr">
        <is>
          <t>SCA</t>
        </is>
      </c>
      <c r="G141" t="n">
        <v>3.9</v>
      </c>
      <c r="H141" t="n">
        <v>0</v>
      </c>
      <c r="I141" t="n">
        <v>1</v>
      </c>
      <c r="J141" t="n">
        <v>1</v>
      </c>
      <c r="K141" t="n">
        <v>0</v>
      </c>
      <c r="L141" t="n">
        <v>0</v>
      </c>
      <c r="M141" t="n">
        <v>0</v>
      </c>
      <c r="N141" t="n">
        <v>0</v>
      </c>
      <c r="O141" t="n">
        <v>1</v>
      </c>
      <c r="P141" t="n">
        <v>0</v>
      </c>
      <c r="Q141" t="n">
        <v>2</v>
      </c>
      <c r="R141" s="2" t="inlineStr">
        <is>
          <t>Vitgrynig nållav
Vedticka</t>
        </is>
      </c>
      <c r="S141">
        <f>HYPERLINK("https://klasma.github.io/Logging_2260/artfynd/A 24176-2025 artfynd.xlsx", "A 24176-2025")</f>
        <v/>
      </c>
      <c r="T141">
        <f>HYPERLINK("https://klasma.github.io/Logging_2260/kartor/A 24176-2025 karta.png", "A 24176-2025")</f>
        <v/>
      </c>
      <c r="V141">
        <f>HYPERLINK("https://klasma.github.io/Logging_2260/klagomål/A 24176-2025 FSC-klagomål.docx", "A 24176-2025")</f>
        <v/>
      </c>
      <c r="W141">
        <f>HYPERLINK("https://klasma.github.io/Logging_2260/klagomålsmail/A 24176-2025 FSC-klagomål mail.docx", "A 24176-2025")</f>
        <v/>
      </c>
      <c r="X141">
        <f>HYPERLINK("https://klasma.github.io/Logging_2260/tillsyn/A 24176-2025 tillsynsbegäran.docx", "A 24176-2025")</f>
        <v/>
      </c>
      <c r="Y141">
        <f>HYPERLINK("https://klasma.github.io/Logging_2260/tillsynsmail/A 24176-2025 tillsynsbegäran mail.docx", "A 24176-2025")</f>
        <v/>
      </c>
    </row>
    <row r="142" ht="15" customHeight="1">
      <c r="A142" t="inlineStr">
        <is>
          <t>A 43721-2025</t>
        </is>
      </c>
      <c r="B142" s="1" t="n">
        <v>45912.42800925926</v>
      </c>
      <c r="C142" s="1" t="n">
        <v>46184</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26906-2025</t>
        </is>
      </c>
      <c r="B143" s="1" t="n">
        <v>45811.34552083333</v>
      </c>
      <c r="C143" s="1" t="n">
        <v>46184</v>
      </c>
      <c r="D143" t="inlineStr">
        <is>
          <t>VÄSTERNORRLANDS LÄN</t>
        </is>
      </c>
      <c r="E143" t="inlineStr">
        <is>
          <t>ÅNGE</t>
        </is>
      </c>
      <c r="F143" t="inlineStr">
        <is>
          <t>SCA</t>
        </is>
      </c>
      <c r="G143" t="n">
        <v>7</v>
      </c>
      <c r="H143" t="n">
        <v>0</v>
      </c>
      <c r="I143" t="n">
        <v>0</v>
      </c>
      <c r="J143" t="n">
        <v>2</v>
      </c>
      <c r="K143" t="n">
        <v>0</v>
      </c>
      <c r="L143" t="n">
        <v>0</v>
      </c>
      <c r="M143" t="n">
        <v>0</v>
      </c>
      <c r="N143" t="n">
        <v>0</v>
      </c>
      <c r="O143" t="n">
        <v>2</v>
      </c>
      <c r="P143" t="n">
        <v>0</v>
      </c>
      <c r="Q143" t="n">
        <v>2</v>
      </c>
      <c r="R143" s="2" t="inlineStr">
        <is>
          <t>Garnlav
Vitgrynig nållav</t>
        </is>
      </c>
      <c r="S143">
        <f>HYPERLINK("https://klasma.github.io/Logging_2260/artfynd/A 26906-2025 artfynd.xlsx", "A 26906-2025")</f>
        <v/>
      </c>
      <c r="T143">
        <f>HYPERLINK("https://klasma.github.io/Logging_2260/kartor/A 26906-2025 karta.png", "A 26906-2025")</f>
        <v/>
      </c>
      <c r="V143">
        <f>HYPERLINK("https://klasma.github.io/Logging_2260/klagomål/A 26906-2025 FSC-klagomål.docx", "A 26906-2025")</f>
        <v/>
      </c>
      <c r="W143">
        <f>HYPERLINK("https://klasma.github.io/Logging_2260/klagomålsmail/A 26906-2025 FSC-klagomål mail.docx", "A 26906-2025")</f>
        <v/>
      </c>
      <c r="X143">
        <f>HYPERLINK("https://klasma.github.io/Logging_2260/tillsyn/A 26906-2025 tillsynsbegäran.docx", "A 26906-2025")</f>
        <v/>
      </c>
      <c r="Y143">
        <f>HYPERLINK("https://klasma.github.io/Logging_2260/tillsynsmail/A 26906-2025 tillsynsbegäran mail.docx", "A 26906-2025")</f>
        <v/>
      </c>
    </row>
    <row r="144" ht="15" customHeight="1">
      <c r="A144" t="inlineStr">
        <is>
          <t>A 18081-2025</t>
        </is>
      </c>
      <c r="B144" s="1" t="n">
        <v>45761.51086805556</v>
      </c>
      <c r="C144" s="1" t="n">
        <v>46184</v>
      </c>
      <c r="D144" t="inlineStr">
        <is>
          <t>VÄSTERNORRLANDS LÄN</t>
        </is>
      </c>
      <c r="E144" t="inlineStr">
        <is>
          <t>ÅNGE</t>
        </is>
      </c>
      <c r="F144" t="inlineStr">
        <is>
          <t>SCA</t>
        </is>
      </c>
      <c r="G144" t="n">
        <v>2.6</v>
      </c>
      <c r="H144" t="n">
        <v>1</v>
      </c>
      <c r="I144" t="n">
        <v>1</v>
      </c>
      <c r="J144" t="n">
        <v>0</v>
      </c>
      <c r="K144" t="n">
        <v>1</v>
      </c>
      <c r="L144" t="n">
        <v>0</v>
      </c>
      <c r="M144" t="n">
        <v>0</v>
      </c>
      <c r="N144" t="n">
        <v>0</v>
      </c>
      <c r="O144" t="n">
        <v>1</v>
      </c>
      <c r="P144" t="n">
        <v>1</v>
      </c>
      <c r="Q144" t="n">
        <v>2</v>
      </c>
      <c r="R144" s="2" t="inlineStr">
        <is>
          <t>Knärot
Dropptaggsvamp</t>
        </is>
      </c>
      <c r="S144">
        <f>HYPERLINK("https://klasma.github.io/Logging_2260/artfynd/A 18081-2025 artfynd.xlsx", "A 18081-2025")</f>
        <v/>
      </c>
      <c r="T144">
        <f>HYPERLINK("https://klasma.github.io/Logging_2260/kartor/A 18081-2025 karta.png", "A 18081-2025")</f>
        <v/>
      </c>
      <c r="U144">
        <f>HYPERLINK("https://klasma.github.io/Logging_2260/knärot/A 18081-2025 karta knärot.png", "A 18081-2025")</f>
        <v/>
      </c>
      <c r="V144">
        <f>HYPERLINK("https://klasma.github.io/Logging_2260/klagomål/A 18081-2025 FSC-klagomål.docx", "A 18081-2025")</f>
        <v/>
      </c>
      <c r="W144">
        <f>HYPERLINK("https://klasma.github.io/Logging_2260/klagomålsmail/A 18081-2025 FSC-klagomål mail.docx", "A 18081-2025")</f>
        <v/>
      </c>
      <c r="X144">
        <f>HYPERLINK("https://klasma.github.io/Logging_2260/tillsyn/A 18081-2025 tillsynsbegäran.docx", "A 18081-2025")</f>
        <v/>
      </c>
      <c r="Y144">
        <f>HYPERLINK("https://klasma.github.io/Logging_2260/tillsynsmail/A 18081-2025 tillsynsbegäran mail.docx", "A 18081-2025")</f>
        <v/>
      </c>
    </row>
    <row r="145" ht="15" customHeight="1">
      <c r="A145" t="inlineStr">
        <is>
          <t>A 57597-2022</t>
        </is>
      </c>
      <c r="B145" s="1" t="n">
        <v>44896.97878472223</v>
      </c>
      <c r="C145" s="1" t="n">
        <v>46184</v>
      </c>
      <c r="D145" t="inlineStr">
        <is>
          <t>VÄSTERNORRLANDS LÄN</t>
        </is>
      </c>
      <c r="E145" t="inlineStr">
        <is>
          <t>ÅNGE</t>
        </is>
      </c>
      <c r="F145" t="inlineStr">
        <is>
          <t>SCA</t>
        </is>
      </c>
      <c r="G145" t="n">
        <v>6.2</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57597-2022 artfynd.xlsx", "A 57597-2022")</f>
        <v/>
      </c>
      <c r="T145">
        <f>HYPERLINK("https://klasma.github.io/Logging_2260/kartor/A 57597-2022 karta.png", "A 57597-2022")</f>
        <v/>
      </c>
      <c r="V145">
        <f>HYPERLINK("https://klasma.github.io/Logging_2260/klagomål/A 57597-2022 FSC-klagomål.docx", "A 57597-2022")</f>
        <v/>
      </c>
      <c r="W145">
        <f>HYPERLINK("https://klasma.github.io/Logging_2260/klagomålsmail/A 57597-2022 FSC-klagomål mail.docx", "A 57597-2022")</f>
        <v/>
      </c>
      <c r="X145">
        <f>HYPERLINK("https://klasma.github.io/Logging_2260/tillsyn/A 57597-2022 tillsynsbegäran.docx", "A 57597-2022")</f>
        <v/>
      </c>
      <c r="Y145">
        <f>HYPERLINK("https://klasma.github.io/Logging_2260/tillsynsmail/A 57597-2022 tillsynsbegäran mail.docx", "A 57597-2022")</f>
        <v/>
      </c>
    </row>
    <row r="146" ht="15" customHeight="1">
      <c r="A146" t="inlineStr">
        <is>
          <t>A 62861-2021</t>
        </is>
      </c>
      <c r="B146" s="1" t="n">
        <v>44503</v>
      </c>
      <c r="C146" s="1" t="n">
        <v>46184</v>
      </c>
      <c r="D146" t="inlineStr">
        <is>
          <t>VÄSTERNORRLANDS LÄN</t>
        </is>
      </c>
      <c r="E146" t="inlineStr">
        <is>
          <t>ÅNGE</t>
        </is>
      </c>
      <c r="F146" t="inlineStr">
        <is>
          <t>Övriga statliga verk och myndigheter</t>
        </is>
      </c>
      <c r="G146" t="n">
        <v>12.1</v>
      </c>
      <c r="H146" t="n">
        <v>1</v>
      </c>
      <c r="I146" t="n">
        <v>0</v>
      </c>
      <c r="J146" t="n">
        <v>1</v>
      </c>
      <c r="K146" t="n">
        <v>1</v>
      </c>
      <c r="L146" t="n">
        <v>0</v>
      </c>
      <c r="M146" t="n">
        <v>0</v>
      </c>
      <c r="N146" t="n">
        <v>0</v>
      </c>
      <c r="O146" t="n">
        <v>2</v>
      </c>
      <c r="P146" t="n">
        <v>1</v>
      </c>
      <c r="Q146" t="n">
        <v>2</v>
      </c>
      <c r="R146" s="2" t="inlineStr">
        <is>
          <t>Knärot
Rosenticka</t>
        </is>
      </c>
      <c r="S146">
        <f>HYPERLINK("https://klasma.github.io/Logging_2260/artfynd/A 62861-2021 artfynd.xlsx", "A 62861-2021")</f>
        <v/>
      </c>
      <c r="T146">
        <f>HYPERLINK("https://klasma.github.io/Logging_2260/kartor/A 62861-2021 karta.png", "A 62861-2021")</f>
        <v/>
      </c>
      <c r="U146">
        <f>HYPERLINK("https://klasma.github.io/Logging_2260/knärot/A 62861-2021 karta knärot.png", "A 62861-2021")</f>
        <v/>
      </c>
      <c r="V146">
        <f>HYPERLINK("https://klasma.github.io/Logging_2260/klagomål/A 62861-2021 FSC-klagomål.docx", "A 62861-2021")</f>
        <v/>
      </c>
      <c r="W146">
        <f>HYPERLINK("https://klasma.github.io/Logging_2260/klagomålsmail/A 62861-2021 FSC-klagomål mail.docx", "A 62861-2021")</f>
        <v/>
      </c>
      <c r="X146">
        <f>HYPERLINK("https://klasma.github.io/Logging_2260/tillsyn/A 62861-2021 tillsynsbegäran.docx", "A 62861-2021")</f>
        <v/>
      </c>
      <c r="Y146">
        <f>HYPERLINK("https://klasma.github.io/Logging_2260/tillsynsmail/A 62861-2021 tillsynsbegäran mail.docx", "A 62861-2021")</f>
        <v/>
      </c>
    </row>
    <row r="147" ht="15" customHeight="1">
      <c r="A147" t="inlineStr">
        <is>
          <t>A 25034-2024</t>
        </is>
      </c>
      <c r="B147" s="1" t="n">
        <v>45461.96458333333</v>
      </c>
      <c r="C147" s="1" t="n">
        <v>46184</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Rosenticka
Ullticka</t>
        </is>
      </c>
      <c r="S147">
        <f>HYPERLINK("https://klasma.github.io/Logging_2260/artfynd/A 25034-2024 artfynd.xlsx", "A 25034-2024")</f>
        <v/>
      </c>
      <c r="T147">
        <f>HYPERLINK("https://klasma.github.io/Logging_2260/kartor/A 25034-2024 karta.png", "A 25034-2024")</f>
        <v/>
      </c>
      <c r="V147">
        <f>HYPERLINK("https://klasma.github.io/Logging_2260/klagomål/A 25034-2024 FSC-klagomål.docx", "A 25034-2024")</f>
        <v/>
      </c>
      <c r="W147">
        <f>HYPERLINK("https://klasma.github.io/Logging_2260/klagomålsmail/A 25034-2024 FSC-klagomål mail.docx", "A 25034-2024")</f>
        <v/>
      </c>
      <c r="X147">
        <f>HYPERLINK("https://klasma.github.io/Logging_2260/tillsyn/A 25034-2024 tillsynsbegäran.docx", "A 25034-2024")</f>
        <v/>
      </c>
      <c r="Y147">
        <f>HYPERLINK("https://klasma.github.io/Logging_2260/tillsynsmail/A 25034-2024 tillsynsbegäran mail.docx", "A 25034-2024")</f>
        <v/>
      </c>
    </row>
    <row r="148" ht="15" customHeight="1">
      <c r="A148" t="inlineStr">
        <is>
          <t>A 53683-2025</t>
        </is>
      </c>
      <c r="B148" s="1" t="n">
        <v>45960</v>
      </c>
      <c r="C148" s="1" t="n">
        <v>46184</v>
      </c>
      <c r="D148" t="inlineStr">
        <is>
          <t>VÄSTERNORRLANDS LÄN</t>
        </is>
      </c>
      <c r="E148" t="inlineStr">
        <is>
          <t>ÅNGE</t>
        </is>
      </c>
      <c r="F148" t="inlineStr">
        <is>
          <t>SCA</t>
        </is>
      </c>
      <c r="G148" t="n">
        <v>3.6</v>
      </c>
      <c r="H148" t="n">
        <v>1</v>
      </c>
      <c r="I148" t="n">
        <v>1</v>
      </c>
      <c r="J148" t="n">
        <v>1</v>
      </c>
      <c r="K148" t="n">
        <v>0</v>
      </c>
      <c r="L148" t="n">
        <v>0</v>
      </c>
      <c r="M148" t="n">
        <v>0</v>
      </c>
      <c r="N148" t="n">
        <v>0</v>
      </c>
      <c r="O148" t="n">
        <v>1</v>
      </c>
      <c r="P148" t="n">
        <v>0</v>
      </c>
      <c r="Q148" t="n">
        <v>2</v>
      </c>
      <c r="R148" s="2" t="inlineStr">
        <is>
          <t>Talltita
Ögonpyrola</t>
        </is>
      </c>
      <c r="S148">
        <f>HYPERLINK("https://klasma.github.io/Logging_2260/artfynd/A 53683-2025 artfynd.xlsx", "A 53683-2025")</f>
        <v/>
      </c>
      <c r="T148">
        <f>HYPERLINK("https://klasma.github.io/Logging_2260/kartor/A 53683-2025 karta.png", "A 53683-2025")</f>
        <v/>
      </c>
      <c r="U148">
        <f>HYPERLINK("https://klasma.github.io/Logging_2260/knärot/A 53683-2025 karta knärot.png", "A 53683-2025")</f>
        <v/>
      </c>
      <c r="V148">
        <f>HYPERLINK("https://klasma.github.io/Logging_2260/klagomål/A 53683-2025 FSC-klagomål.docx", "A 53683-2025")</f>
        <v/>
      </c>
      <c r="W148">
        <f>HYPERLINK("https://klasma.github.io/Logging_2260/klagomålsmail/A 53683-2025 FSC-klagomål mail.docx", "A 53683-2025")</f>
        <v/>
      </c>
      <c r="X148">
        <f>HYPERLINK("https://klasma.github.io/Logging_2260/tillsyn/A 53683-2025 tillsynsbegäran.docx", "A 53683-2025")</f>
        <v/>
      </c>
      <c r="Y148">
        <f>HYPERLINK("https://klasma.github.io/Logging_2260/tillsynsmail/A 53683-2025 tillsynsbegäran mail.docx", "A 53683-2025")</f>
        <v/>
      </c>
      <c r="Z148">
        <f>HYPERLINK("https://klasma.github.io/Logging_2260/fåglar/A 53683-2025 prioriterade fågelarter.docx", "A 53683-2025")</f>
        <v/>
      </c>
    </row>
    <row r="149" ht="15" customHeight="1">
      <c r="A149" t="inlineStr">
        <is>
          <t>A 54625-2025</t>
        </is>
      </c>
      <c r="B149" s="1" t="n">
        <v>45966.34552083333</v>
      </c>
      <c r="C149" s="1" t="n">
        <v>46184</v>
      </c>
      <c r="D149" t="inlineStr">
        <is>
          <t>VÄSTERNORRLANDS LÄN</t>
        </is>
      </c>
      <c r="E149" t="inlineStr">
        <is>
          <t>ÅNGE</t>
        </is>
      </c>
      <c r="F149" t="inlineStr">
        <is>
          <t>SCA</t>
        </is>
      </c>
      <c r="G149" t="n">
        <v>2.5</v>
      </c>
      <c r="H149" t="n">
        <v>1</v>
      </c>
      <c r="I149" t="n">
        <v>1</v>
      </c>
      <c r="J149" t="n">
        <v>1</v>
      </c>
      <c r="K149" t="n">
        <v>0</v>
      </c>
      <c r="L149" t="n">
        <v>0</v>
      </c>
      <c r="M149" t="n">
        <v>0</v>
      </c>
      <c r="N149" t="n">
        <v>0</v>
      </c>
      <c r="O149" t="n">
        <v>1</v>
      </c>
      <c r="P149" t="n">
        <v>0</v>
      </c>
      <c r="Q149" t="n">
        <v>2</v>
      </c>
      <c r="R149" s="2" t="inlineStr">
        <is>
          <t>Talltita
Dropptaggsvamp</t>
        </is>
      </c>
      <c r="S149">
        <f>HYPERLINK("https://klasma.github.io/Logging_2260/artfynd/A 54625-2025 artfynd.xlsx", "A 54625-2025")</f>
        <v/>
      </c>
      <c r="T149">
        <f>HYPERLINK("https://klasma.github.io/Logging_2260/kartor/A 54625-2025 karta.png", "A 54625-2025")</f>
        <v/>
      </c>
      <c r="V149">
        <f>HYPERLINK("https://klasma.github.io/Logging_2260/klagomål/A 54625-2025 FSC-klagomål.docx", "A 54625-2025")</f>
        <v/>
      </c>
      <c r="W149">
        <f>HYPERLINK("https://klasma.github.io/Logging_2260/klagomålsmail/A 54625-2025 FSC-klagomål mail.docx", "A 54625-2025")</f>
        <v/>
      </c>
      <c r="X149">
        <f>HYPERLINK("https://klasma.github.io/Logging_2260/tillsyn/A 54625-2025 tillsynsbegäran.docx", "A 54625-2025")</f>
        <v/>
      </c>
      <c r="Y149">
        <f>HYPERLINK("https://klasma.github.io/Logging_2260/tillsynsmail/A 54625-2025 tillsynsbegäran mail.docx", "A 54625-2025")</f>
        <v/>
      </c>
      <c r="Z149">
        <f>HYPERLINK("https://klasma.github.io/Logging_2260/fåglar/A 54625-2025 prioriterade fågelarter.docx", "A 54625-2025")</f>
        <v/>
      </c>
    </row>
    <row r="150" ht="15" customHeight="1">
      <c r="A150" t="inlineStr">
        <is>
          <t>A 36414-2025</t>
        </is>
      </c>
      <c r="B150" s="1" t="n">
        <v>45868.69246527777</v>
      </c>
      <c r="C150" s="1" t="n">
        <v>46184</v>
      </c>
      <c r="D150" t="inlineStr">
        <is>
          <t>VÄSTERNORRLANDS LÄN</t>
        </is>
      </c>
      <c r="E150" t="inlineStr">
        <is>
          <t>ÅNGE</t>
        </is>
      </c>
      <c r="G150" t="n">
        <v>5.4</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36414-2025 artfynd.xlsx", "A 36414-2025")</f>
        <v/>
      </c>
      <c r="T150">
        <f>HYPERLINK("https://klasma.github.io/Logging_2260/kartor/A 36414-2025 karta.png", "A 36414-2025")</f>
        <v/>
      </c>
      <c r="V150">
        <f>HYPERLINK("https://klasma.github.io/Logging_2260/klagomål/A 36414-2025 FSC-klagomål.docx", "A 36414-2025")</f>
        <v/>
      </c>
      <c r="W150">
        <f>HYPERLINK("https://klasma.github.io/Logging_2260/klagomålsmail/A 36414-2025 FSC-klagomål mail.docx", "A 36414-2025")</f>
        <v/>
      </c>
      <c r="X150">
        <f>HYPERLINK("https://klasma.github.io/Logging_2260/tillsyn/A 36414-2025 tillsynsbegäran.docx", "A 36414-2025")</f>
        <v/>
      </c>
      <c r="Y150">
        <f>HYPERLINK("https://klasma.github.io/Logging_2260/tillsynsmail/A 36414-2025 tillsynsbegäran mail.docx", "A 36414-2025")</f>
        <v/>
      </c>
    </row>
    <row r="151" ht="15" customHeight="1">
      <c r="A151" t="inlineStr">
        <is>
          <t>A 55178-2024</t>
        </is>
      </c>
      <c r="B151" s="1" t="n">
        <v>45621</v>
      </c>
      <c r="C151" s="1" t="n">
        <v>46184</v>
      </c>
      <c r="D151" t="inlineStr">
        <is>
          <t>VÄSTERNORRLANDS LÄN</t>
        </is>
      </c>
      <c r="E151" t="inlineStr">
        <is>
          <t>ÅNGE</t>
        </is>
      </c>
      <c r="F151" t="inlineStr">
        <is>
          <t>SCA</t>
        </is>
      </c>
      <c r="G151" t="n">
        <v>4.8</v>
      </c>
      <c r="H151" t="n">
        <v>1</v>
      </c>
      <c r="I151" t="n">
        <v>0</v>
      </c>
      <c r="J151" t="n">
        <v>1</v>
      </c>
      <c r="K151" t="n">
        <v>1</v>
      </c>
      <c r="L151" t="n">
        <v>0</v>
      </c>
      <c r="M151" t="n">
        <v>0</v>
      </c>
      <c r="N151" t="n">
        <v>0</v>
      </c>
      <c r="O151" t="n">
        <v>2</v>
      </c>
      <c r="P151" t="n">
        <v>1</v>
      </c>
      <c r="Q151" t="n">
        <v>2</v>
      </c>
      <c r="R151" s="2" t="inlineStr">
        <is>
          <t>Knärot
Stiftgelélav</t>
        </is>
      </c>
      <c r="S151">
        <f>HYPERLINK("https://klasma.github.io/Logging_2260/artfynd/A 55178-2024 artfynd.xlsx", "A 55178-2024")</f>
        <v/>
      </c>
      <c r="T151">
        <f>HYPERLINK("https://klasma.github.io/Logging_2260/kartor/A 55178-2024 karta.png", "A 55178-2024")</f>
        <v/>
      </c>
      <c r="U151">
        <f>HYPERLINK("https://klasma.github.io/Logging_2260/knärot/A 55178-2024 karta knärot.png", "A 55178-2024")</f>
        <v/>
      </c>
      <c r="V151">
        <f>HYPERLINK("https://klasma.github.io/Logging_2260/klagomål/A 55178-2024 FSC-klagomål.docx", "A 55178-2024")</f>
        <v/>
      </c>
      <c r="W151">
        <f>HYPERLINK("https://klasma.github.io/Logging_2260/klagomålsmail/A 55178-2024 FSC-klagomål mail.docx", "A 55178-2024")</f>
        <v/>
      </c>
      <c r="X151">
        <f>HYPERLINK("https://klasma.github.io/Logging_2260/tillsyn/A 55178-2024 tillsynsbegäran.docx", "A 55178-2024")</f>
        <v/>
      </c>
      <c r="Y151">
        <f>HYPERLINK("https://klasma.github.io/Logging_2260/tillsynsmail/A 55178-2024 tillsynsbegäran mail.docx", "A 55178-2024")</f>
        <v/>
      </c>
    </row>
    <row r="152" ht="15" customHeight="1">
      <c r="A152" t="inlineStr">
        <is>
          <t>A 49871-2024</t>
        </is>
      </c>
      <c r="B152" s="1" t="n">
        <v>45597.4903125</v>
      </c>
      <c r="C152" s="1" t="n">
        <v>46184</v>
      </c>
      <c r="D152" t="inlineStr">
        <is>
          <t>VÄSTERNORRLANDS LÄN</t>
        </is>
      </c>
      <c r="E152" t="inlineStr">
        <is>
          <t>ÅNGE</t>
        </is>
      </c>
      <c r="F152" t="inlineStr">
        <is>
          <t>SCA</t>
        </is>
      </c>
      <c r="G152" t="n">
        <v>6.3</v>
      </c>
      <c r="H152" t="n">
        <v>1</v>
      </c>
      <c r="I152" t="n">
        <v>0</v>
      </c>
      <c r="J152" t="n">
        <v>1</v>
      </c>
      <c r="K152" t="n">
        <v>1</v>
      </c>
      <c r="L152" t="n">
        <v>0</v>
      </c>
      <c r="M152" t="n">
        <v>0</v>
      </c>
      <c r="N152" t="n">
        <v>0</v>
      </c>
      <c r="O152" t="n">
        <v>2</v>
      </c>
      <c r="P152" t="n">
        <v>1</v>
      </c>
      <c r="Q152" t="n">
        <v>2</v>
      </c>
      <c r="R152" s="2" t="inlineStr">
        <is>
          <t>Knärot
Garnlav</t>
        </is>
      </c>
      <c r="S152">
        <f>HYPERLINK("https://klasma.github.io/Logging_2260/artfynd/A 49871-2024 artfynd.xlsx", "A 49871-2024")</f>
        <v/>
      </c>
      <c r="T152">
        <f>HYPERLINK("https://klasma.github.io/Logging_2260/kartor/A 49871-2024 karta.png", "A 49871-2024")</f>
        <v/>
      </c>
      <c r="U152">
        <f>HYPERLINK("https://klasma.github.io/Logging_2260/knärot/A 49871-2024 karta knärot.png", "A 49871-2024")</f>
        <v/>
      </c>
      <c r="V152">
        <f>HYPERLINK("https://klasma.github.io/Logging_2260/klagomål/A 49871-2024 FSC-klagomål.docx", "A 49871-2024")</f>
        <v/>
      </c>
      <c r="W152">
        <f>HYPERLINK("https://klasma.github.io/Logging_2260/klagomålsmail/A 49871-2024 FSC-klagomål mail.docx", "A 49871-2024")</f>
        <v/>
      </c>
      <c r="X152">
        <f>HYPERLINK("https://klasma.github.io/Logging_2260/tillsyn/A 49871-2024 tillsynsbegäran.docx", "A 49871-2024")</f>
        <v/>
      </c>
      <c r="Y152">
        <f>HYPERLINK("https://klasma.github.io/Logging_2260/tillsynsmail/A 49871-2024 tillsynsbegäran mail.docx", "A 49871-2024")</f>
        <v/>
      </c>
    </row>
    <row r="153" ht="15" customHeight="1">
      <c r="A153" t="inlineStr">
        <is>
          <t>A 38298-2025</t>
        </is>
      </c>
      <c r="B153" s="1" t="n">
        <v>45883.4568287037</v>
      </c>
      <c r="C153" s="1" t="n">
        <v>46184</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39638-2024</t>
        </is>
      </c>
      <c r="B154" s="1" t="n">
        <v>45552</v>
      </c>
      <c r="C154" s="1" t="n">
        <v>46184</v>
      </c>
      <c r="D154" t="inlineStr">
        <is>
          <t>VÄSTERNORRLANDS LÄN</t>
        </is>
      </c>
      <c r="E154" t="inlineStr">
        <is>
          <t>ÅNGE</t>
        </is>
      </c>
      <c r="G154" t="n">
        <v>3</v>
      </c>
      <c r="H154" t="n">
        <v>1</v>
      </c>
      <c r="I154" t="n">
        <v>1</v>
      </c>
      <c r="J154" t="n">
        <v>0</v>
      </c>
      <c r="K154" t="n">
        <v>0</v>
      </c>
      <c r="L154" t="n">
        <v>0</v>
      </c>
      <c r="M154" t="n">
        <v>0</v>
      </c>
      <c r="N154" t="n">
        <v>0</v>
      </c>
      <c r="O154" t="n">
        <v>0</v>
      </c>
      <c r="P154" t="n">
        <v>0</v>
      </c>
      <c r="Q154" t="n">
        <v>2</v>
      </c>
      <c r="R154" s="2" t="inlineStr">
        <is>
          <t>Dropptaggsvamp
Tjäder</t>
        </is>
      </c>
      <c r="S154">
        <f>HYPERLINK("https://klasma.github.io/Logging_2260/artfynd/A 39638-2024 artfynd.xlsx", "A 39638-2024")</f>
        <v/>
      </c>
      <c r="T154">
        <f>HYPERLINK("https://klasma.github.io/Logging_2260/kartor/A 39638-2024 karta.png", "A 39638-2024")</f>
        <v/>
      </c>
      <c r="V154">
        <f>HYPERLINK("https://klasma.github.io/Logging_2260/klagomål/A 39638-2024 FSC-klagomål.docx", "A 39638-2024")</f>
        <v/>
      </c>
      <c r="W154">
        <f>HYPERLINK("https://klasma.github.io/Logging_2260/klagomålsmail/A 39638-2024 FSC-klagomål mail.docx", "A 39638-2024")</f>
        <v/>
      </c>
      <c r="X154">
        <f>HYPERLINK("https://klasma.github.io/Logging_2260/tillsyn/A 39638-2024 tillsynsbegäran.docx", "A 39638-2024")</f>
        <v/>
      </c>
      <c r="Y154">
        <f>HYPERLINK("https://klasma.github.io/Logging_2260/tillsynsmail/A 39638-2024 tillsynsbegäran mail.docx", "A 39638-2024")</f>
        <v/>
      </c>
      <c r="Z154">
        <f>HYPERLINK("https://klasma.github.io/Logging_2260/fåglar/A 39638-2024 prioriterade fågelarter.docx", "A 39638-2024")</f>
        <v/>
      </c>
    </row>
    <row r="155" ht="15" customHeight="1">
      <c r="A155" t="inlineStr">
        <is>
          <t>A 48695-2024</t>
        </is>
      </c>
      <c r="B155" s="1" t="n">
        <v>45593.5109837963</v>
      </c>
      <c r="C155" s="1" t="n">
        <v>46184</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4873-2025</t>
        </is>
      </c>
      <c r="B156" s="1" t="n">
        <v>45688.67633101852</v>
      </c>
      <c r="C156" s="1" t="n">
        <v>46184</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4873-2025 artfynd.xlsx", "A 4873-2025")</f>
        <v/>
      </c>
      <c r="T156">
        <f>HYPERLINK("https://klasma.github.io/Logging_2260/kartor/A 4873-2025 karta.png", "A 4873-2025")</f>
        <v/>
      </c>
      <c r="V156">
        <f>HYPERLINK("https://klasma.github.io/Logging_2260/klagomål/A 4873-2025 FSC-klagomål.docx", "A 4873-2025")</f>
        <v/>
      </c>
      <c r="W156">
        <f>HYPERLINK("https://klasma.github.io/Logging_2260/klagomålsmail/A 4873-2025 FSC-klagomål mail.docx", "A 4873-2025")</f>
        <v/>
      </c>
      <c r="X156">
        <f>HYPERLINK("https://klasma.github.io/Logging_2260/tillsyn/A 4873-2025 tillsynsbegäran.docx", "A 4873-2025")</f>
        <v/>
      </c>
      <c r="Y156">
        <f>HYPERLINK("https://klasma.github.io/Logging_2260/tillsynsmail/A 4873-2025 tillsynsbegäran mail.docx", "A 4873-2025")</f>
        <v/>
      </c>
    </row>
    <row r="157" ht="15" customHeight="1">
      <c r="A157" t="inlineStr">
        <is>
          <t>A 21592-2026</t>
        </is>
      </c>
      <c r="B157" s="1" t="n">
        <v>46149.34606481482</v>
      </c>
      <c r="C157" s="1" t="n">
        <v>46184</v>
      </c>
      <c r="D157" t="inlineStr">
        <is>
          <t>VÄSTERNORRLANDS LÄN</t>
        </is>
      </c>
      <c r="E157" t="inlineStr">
        <is>
          <t>ÅNGE</t>
        </is>
      </c>
      <c r="F157" t="inlineStr">
        <is>
          <t>SCA</t>
        </is>
      </c>
      <c r="G157" t="n">
        <v>19.7</v>
      </c>
      <c r="H157" t="n">
        <v>1</v>
      </c>
      <c r="I157" t="n">
        <v>0</v>
      </c>
      <c r="J157" t="n">
        <v>1</v>
      </c>
      <c r="K157" t="n">
        <v>1</v>
      </c>
      <c r="L157" t="n">
        <v>0</v>
      </c>
      <c r="M157" t="n">
        <v>0</v>
      </c>
      <c r="N157" t="n">
        <v>0</v>
      </c>
      <c r="O157" t="n">
        <v>2</v>
      </c>
      <c r="P157" t="n">
        <v>1</v>
      </c>
      <c r="Q157" t="n">
        <v>2</v>
      </c>
      <c r="R157" s="2" t="inlineStr">
        <is>
          <t>Långskägg
Garnlav</t>
        </is>
      </c>
      <c r="S157">
        <f>HYPERLINK("https://klasma.github.io/Logging_2260/artfynd/A 21592-2026 artfynd.xlsx", "A 21592-2026")</f>
        <v/>
      </c>
      <c r="T157">
        <f>HYPERLINK("https://klasma.github.io/Logging_2260/kartor/A 21592-2026 karta.png", "A 21592-2026")</f>
        <v/>
      </c>
      <c r="V157">
        <f>HYPERLINK("https://klasma.github.io/Logging_2260/klagomål/A 21592-2026 FSC-klagomål.docx", "A 21592-2026")</f>
        <v/>
      </c>
      <c r="W157">
        <f>HYPERLINK("https://klasma.github.io/Logging_2260/klagomålsmail/A 21592-2026 FSC-klagomål mail.docx", "A 21592-2026")</f>
        <v/>
      </c>
      <c r="X157">
        <f>HYPERLINK("https://klasma.github.io/Logging_2260/tillsyn/A 21592-2026 tillsynsbegäran.docx", "A 21592-2026")</f>
        <v/>
      </c>
      <c r="Y157">
        <f>HYPERLINK("https://klasma.github.io/Logging_2260/tillsynsmail/A 21592-2026 tillsynsbegäran mail.docx", "A 21592-2026")</f>
        <v/>
      </c>
    </row>
    <row r="158" ht="15" customHeight="1">
      <c r="A158" t="inlineStr">
        <is>
          <t>A 57089-2024</t>
        </is>
      </c>
      <c r="B158" s="1" t="n">
        <v>45629.35665509259</v>
      </c>
      <c r="C158" s="1" t="n">
        <v>46184</v>
      </c>
      <c r="D158" t="inlineStr">
        <is>
          <t>VÄSTERNORRLANDS LÄN</t>
        </is>
      </c>
      <c r="E158" t="inlineStr">
        <is>
          <t>ÅNGE</t>
        </is>
      </c>
      <c r="F158" t="inlineStr">
        <is>
          <t>SCA</t>
        </is>
      </c>
      <c r="G158" t="n">
        <v>1.5</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57089-2024 artfynd.xlsx", "A 57089-2024")</f>
        <v/>
      </c>
      <c r="T158">
        <f>HYPERLINK("https://klasma.github.io/Logging_2260/kartor/A 57089-2024 karta.png", "A 57089-2024")</f>
        <v/>
      </c>
      <c r="V158">
        <f>HYPERLINK("https://klasma.github.io/Logging_2260/klagomål/A 57089-2024 FSC-klagomål.docx", "A 57089-2024")</f>
        <v/>
      </c>
      <c r="W158">
        <f>HYPERLINK("https://klasma.github.io/Logging_2260/klagomålsmail/A 57089-2024 FSC-klagomål mail.docx", "A 57089-2024")</f>
        <v/>
      </c>
      <c r="X158">
        <f>HYPERLINK("https://klasma.github.io/Logging_2260/tillsyn/A 57089-2024 tillsynsbegäran.docx", "A 57089-2024")</f>
        <v/>
      </c>
      <c r="Y158">
        <f>HYPERLINK("https://klasma.github.io/Logging_2260/tillsynsmail/A 57089-2024 tillsynsbegäran mail.docx", "A 57089-2024")</f>
        <v/>
      </c>
    </row>
    <row r="159" ht="15" customHeight="1">
      <c r="A159" t="inlineStr">
        <is>
          <t>A 47719-2024</t>
        </is>
      </c>
      <c r="B159" s="1" t="n">
        <v>45588.48996527777</v>
      </c>
      <c r="C159" s="1" t="n">
        <v>46184</v>
      </c>
      <c r="D159" t="inlineStr">
        <is>
          <t>VÄSTERNORRLANDS LÄN</t>
        </is>
      </c>
      <c r="E159" t="inlineStr">
        <is>
          <t>ÅNGE</t>
        </is>
      </c>
      <c r="F159" t="inlineStr">
        <is>
          <t>SCA</t>
        </is>
      </c>
      <c r="G159" t="n">
        <v>1.4</v>
      </c>
      <c r="H159" t="n">
        <v>0</v>
      </c>
      <c r="I159" t="n">
        <v>0</v>
      </c>
      <c r="J159" t="n">
        <v>2</v>
      </c>
      <c r="K159" t="n">
        <v>0</v>
      </c>
      <c r="L159" t="n">
        <v>0</v>
      </c>
      <c r="M159" t="n">
        <v>0</v>
      </c>
      <c r="N159" t="n">
        <v>0</v>
      </c>
      <c r="O159" t="n">
        <v>2</v>
      </c>
      <c r="P159" t="n">
        <v>0</v>
      </c>
      <c r="Q159" t="n">
        <v>2</v>
      </c>
      <c r="R159" s="2" t="inlineStr">
        <is>
          <t>Dvärgbägarlav
Vedskivlav</t>
        </is>
      </c>
      <c r="S159">
        <f>HYPERLINK("https://klasma.github.io/Logging_2260/artfynd/A 47719-2024 artfynd.xlsx", "A 47719-2024")</f>
        <v/>
      </c>
      <c r="T159">
        <f>HYPERLINK("https://klasma.github.io/Logging_2260/kartor/A 47719-2024 karta.png", "A 47719-2024")</f>
        <v/>
      </c>
      <c r="V159">
        <f>HYPERLINK("https://klasma.github.io/Logging_2260/klagomål/A 47719-2024 FSC-klagomål.docx", "A 47719-2024")</f>
        <v/>
      </c>
      <c r="W159">
        <f>HYPERLINK("https://klasma.github.io/Logging_2260/klagomålsmail/A 47719-2024 FSC-klagomål mail.docx", "A 47719-2024")</f>
        <v/>
      </c>
      <c r="X159">
        <f>HYPERLINK("https://klasma.github.io/Logging_2260/tillsyn/A 47719-2024 tillsynsbegäran.docx", "A 47719-2024")</f>
        <v/>
      </c>
      <c r="Y159">
        <f>HYPERLINK("https://klasma.github.io/Logging_2260/tillsynsmail/A 47719-2024 tillsynsbegäran mail.docx", "A 47719-2024")</f>
        <v/>
      </c>
    </row>
    <row r="160" ht="15" customHeight="1">
      <c r="A160" t="inlineStr">
        <is>
          <t>A 42864-2025</t>
        </is>
      </c>
      <c r="B160" s="1" t="n">
        <v>45908</v>
      </c>
      <c r="C160" s="1" t="n">
        <v>46184</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57594-2022</t>
        </is>
      </c>
      <c r="B161" s="1" t="n">
        <v>44896.97854166666</v>
      </c>
      <c r="C161" s="1" t="n">
        <v>46184</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4093-2025</t>
        </is>
      </c>
      <c r="B162" s="1" t="n">
        <v>45684.67762731481</v>
      </c>
      <c r="C162" s="1" t="n">
        <v>46184</v>
      </c>
      <c r="D162" t="inlineStr">
        <is>
          <t>VÄSTERNORRLANDS LÄN</t>
        </is>
      </c>
      <c r="E162" t="inlineStr">
        <is>
          <t>ÅNGE</t>
        </is>
      </c>
      <c r="F162" t="inlineStr">
        <is>
          <t>SCA</t>
        </is>
      </c>
      <c r="G162" t="n">
        <v>2.6</v>
      </c>
      <c r="H162" t="n">
        <v>1</v>
      </c>
      <c r="I162" t="n">
        <v>2</v>
      </c>
      <c r="J162" t="n">
        <v>0</v>
      </c>
      <c r="K162" t="n">
        <v>0</v>
      </c>
      <c r="L162" t="n">
        <v>0</v>
      </c>
      <c r="M162" t="n">
        <v>0</v>
      </c>
      <c r="N162" t="n">
        <v>0</v>
      </c>
      <c r="O162" t="n">
        <v>0</v>
      </c>
      <c r="P162" t="n">
        <v>0</v>
      </c>
      <c r="Q162" t="n">
        <v>2</v>
      </c>
      <c r="R162" s="2" t="inlineStr">
        <is>
          <t>Kransrams
Spindelblomster</t>
        </is>
      </c>
      <c r="S162">
        <f>HYPERLINK("https://klasma.github.io/Logging_2260/artfynd/A 4093-2025 artfynd.xlsx", "A 4093-2025")</f>
        <v/>
      </c>
      <c r="T162">
        <f>HYPERLINK("https://klasma.github.io/Logging_2260/kartor/A 4093-2025 karta.png", "A 4093-2025")</f>
        <v/>
      </c>
      <c r="V162">
        <f>HYPERLINK("https://klasma.github.io/Logging_2260/klagomål/A 4093-2025 FSC-klagomål.docx", "A 4093-2025")</f>
        <v/>
      </c>
      <c r="W162">
        <f>HYPERLINK("https://klasma.github.io/Logging_2260/klagomålsmail/A 4093-2025 FSC-klagomål mail.docx", "A 4093-2025")</f>
        <v/>
      </c>
      <c r="X162">
        <f>HYPERLINK("https://klasma.github.io/Logging_2260/tillsyn/A 4093-2025 tillsynsbegäran.docx", "A 4093-2025")</f>
        <v/>
      </c>
      <c r="Y162">
        <f>HYPERLINK("https://klasma.github.io/Logging_2260/tillsynsmail/A 4093-2025 tillsynsbegäran mail.docx", "A 4093-2025")</f>
        <v/>
      </c>
    </row>
    <row r="163" ht="15" customHeight="1">
      <c r="A163" t="inlineStr">
        <is>
          <t>A 31493-2024</t>
        </is>
      </c>
      <c r="B163" s="1" t="n">
        <v>45505</v>
      </c>
      <c r="C163" s="1" t="n">
        <v>46184</v>
      </c>
      <c r="D163" t="inlineStr">
        <is>
          <t>VÄSTERNORRLANDS LÄN</t>
        </is>
      </c>
      <c r="E163" t="inlineStr">
        <is>
          <t>ÅNGE</t>
        </is>
      </c>
      <c r="F163" t="inlineStr">
        <is>
          <t>SCA</t>
        </is>
      </c>
      <c r="G163" t="n">
        <v>4.4</v>
      </c>
      <c r="H163" t="n">
        <v>1</v>
      </c>
      <c r="I163" t="n">
        <v>1</v>
      </c>
      <c r="J163" t="n">
        <v>0</v>
      </c>
      <c r="K163" t="n">
        <v>1</v>
      </c>
      <c r="L163" t="n">
        <v>0</v>
      </c>
      <c r="M163" t="n">
        <v>0</v>
      </c>
      <c r="N163" t="n">
        <v>0</v>
      </c>
      <c r="O163" t="n">
        <v>1</v>
      </c>
      <c r="P163" t="n">
        <v>1</v>
      </c>
      <c r="Q163" t="n">
        <v>2</v>
      </c>
      <c r="R163" s="2" t="inlineStr">
        <is>
          <t>Knärot
Korallblylav</t>
        </is>
      </c>
      <c r="S163">
        <f>HYPERLINK("https://klasma.github.io/Logging_2260/artfynd/A 31493-2024 artfynd.xlsx", "A 31493-2024")</f>
        <v/>
      </c>
      <c r="T163">
        <f>HYPERLINK("https://klasma.github.io/Logging_2260/kartor/A 31493-2024 karta.png", "A 31493-2024")</f>
        <v/>
      </c>
      <c r="U163">
        <f>HYPERLINK("https://klasma.github.io/Logging_2260/knärot/A 31493-2024 karta knärot.png", "A 31493-2024")</f>
        <v/>
      </c>
      <c r="V163">
        <f>HYPERLINK("https://klasma.github.io/Logging_2260/klagomål/A 31493-2024 FSC-klagomål.docx", "A 31493-2024")</f>
        <v/>
      </c>
      <c r="W163">
        <f>HYPERLINK("https://klasma.github.io/Logging_2260/klagomålsmail/A 31493-2024 FSC-klagomål mail.docx", "A 31493-2024")</f>
        <v/>
      </c>
      <c r="X163">
        <f>HYPERLINK("https://klasma.github.io/Logging_2260/tillsyn/A 31493-2024 tillsynsbegäran.docx", "A 31493-2024")</f>
        <v/>
      </c>
      <c r="Y163">
        <f>HYPERLINK("https://klasma.github.io/Logging_2260/tillsynsmail/A 31493-2024 tillsynsbegäran mail.docx", "A 31493-2024")</f>
        <v/>
      </c>
    </row>
    <row r="164" ht="15" customHeight="1">
      <c r="A164" t="inlineStr">
        <is>
          <t>A 165-2025</t>
        </is>
      </c>
      <c r="B164" s="1" t="n">
        <v>45659</v>
      </c>
      <c r="C164" s="1" t="n">
        <v>46184</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17861-2023</t>
        </is>
      </c>
      <c r="B165" s="1" t="n">
        <v>45037.94171296297</v>
      </c>
      <c r="C165" s="1" t="n">
        <v>46184</v>
      </c>
      <c r="D165" t="inlineStr">
        <is>
          <t>VÄSTERNORRLANDS LÄN</t>
        </is>
      </c>
      <c r="E165" t="inlineStr">
        <is>
          <t>ÅNGE</t>
        </is>
      </c>
      <c r="F165" t="inlineStr">
        <is>
          <t>SCA</t>
        </is>
      </c>
      <c r="G165" t="n">
        <v>1.1</v>
      </c>
      <c r="H165" t="n">
        <v>0</v>
      </c>
      <c r="I165" t="n">
        <v>1</v>
      </c>
      <c r="J165" t="n">
        <v>1</v>
      </c>
      <c r="K165" t="n">
        <v>0</v>
      </c>
      <c r="L165" t="n">
        <v>0</v>
      </c>
      <c r="M165" t="n">
        <v>0</v>
      </c>
      <c r="N165" t="n">
        <v>0</v>
      </c>
      <c r="O165" t="n">
        <v>1</v>
      </c>
      <c r="P165" t="n">
        <v>0</v>
      </c>
      <c r="Q165" t="n">
        <v>2</v>
      </c>
      <c r="R165" s="2" t="inlineStr">
        <is>
          <t>Skrovlig taggsvamp
Dropptaggsvamp</t>
        </is>
      </c>
      <c r="S165">
        <f>HYPERLINK("https://klasma.github.io/Logging_2260/artfynd/A 17861-2023 artfynd.xlsx", "A 17861-2023")</f>
        <v/>
      </c>
      <c r="T165">
        <f>HYPERLINK("https://klasma.github.io/Logging_2260/kartor/A 17861-2023 karta.png", "A 17861-2023")</f>
        <v/>
      </c>
      <c r="V165">
        <f>HYPERLINK("https://klasma.github.io/Logging_2260/klagomål/A 17861-2023 FSC-klagomål.docx", "A 17861-2023")</f>
        <v/>
      </c>
      <c r="W165">
        <f>HYPERLINK("https://klasma.github.io/Logging_2260/klagomålsmail/A 17861-2023 FSC-klagomål mail.docx", "A 17861-2023")</f>
        <v/>
      </c>
      <c r="X165">
        <f>HYPERLINK("https://klasma.github.io/Logging_2260/tillsyn/A 17861-2023 tillsynsbegäran.docx", "A 17861-2023")</f>
        <v/>
      </c>
      <c r="Y165">
        <f>HYPERLINK("https://klasma.github.io/Logging_2260/tillsynsmail/A 17861-2023 tillsynsbegäran mail.docx", "A 17861-2023")</f>
        <v/>
      </c>
    </row>
    <row r="166" ht="15" customHeight="1">
      <c r="A166" t="inlineStr">
        <is>
          <t>A 32659-2024</t>
        </is>
      </c>
      <c r="B166" s="1" t="n">
        <v>45513</v>
      </c>
      <c r="C166" s="1" t="n">
        <v>46184</v>
      </c>
      <c r="D166" t="inlineStr">
        <is>
          <t>VÄSTERNORRLANDS LÄN</t>
        </is>
      </c>
      <c r="E166" t="inlineStr">
        <is>
          <t>ÅNGE</t>
        </is>
      </c>
      <c r="F166" t="inlineStr">
        <is>
          <t>SCA</t>
        </is>
      </c>
      <c r="G166" t="n">
        <v>6.9</v>
      </c>
      <c r="H166" t="n">
        <v>0</v>
      </c>
      <c r="I166" t="n">
        <v>0</v>
      </c>
      <c r="J166" t="n">
        <v>2</v>
      </c>
      <c r="K166" t="n">
        <v>0</v>
      </c>
      <c r="L166" t="n">
        <v>0</v>
      </c>
      <c r="M166" t="n">
        <v>0</v>
      </c>
      <c r="N166" t="n">
        <v>0</v>
      </c>
      <c r="O166" t="n">
        <v>2</v>
      </c>
      <c r="P166" t="n">
        <v>0</v>
      </c>
      <c r="Q166" t="n">
        <v>2</v>
      </c>
      <c r="R166" s="2" t="inlineStr">
        <is>
          <t>Lunglav
Stjärntagging</t>
        </is>
      </c>
      <c r="S166">
        <f>HYPERLINK("https://klasma.github.io/Logging_2260/artfynd/A 32659-2024 artfynd.xlsx", "A 32659-2024")</f>
        <v/>
      </c>
      <c r="T166">
        <f>HYPERLINK("https://klasma.github.io/Logging_2260/kartor/A 32659-2024 karta.png", "A 32659-2024")</f>
        <v/>
      </c>
      <c r="V166">
        <f>HYPERLINK("https://klasma.github.io/Logging_2260/klagomål/A 32659-2024 FSC-klagomål.docx", "A 32659-2024")</f>
        <v/>
      </c>
      <c r="W166">
        <f>HYPERLINK("https://klasma.github.io/Logging_2260/klagomålsmail/A 32659-2024 FSC-klagomål mail.docx", "A 32659-2024")</f>
        <v/>
      </c>
      <c r="X166">
        <f>HYPERLINK("https://klasma.github.io/Logging_2260/tillsyn/A 32659-2024 tillsynsbegäran.docx", "A 32659-2024")</f>
        <v/>
      </c>
      <c r="Y166">
        <f>HYPERLINK("https://klasma.github.io/Logging_2260/tillsynsmail/A 32659-2024 tillsynsbegäran mail.docx", "A 32659-2024")</f>
        <v/>
      </c>
    </row>
    <row r="167" ht="15" customHeight="1">
      <c r="A167" t="inlineStr">
        <is>
          <t>A 31136-2022</t>
        </is>
      </c>
      <c r="B167" s="1" t="n">
        <v>44770.40920138889</v>
      </c>
      <c r="C167" s="1" t="n">
        <v>46184</v>
      </c>
      <c r="D167" t="inlineStr">
        <is>
          <t>VÄSTERNORRLANDS LÄN</t>
        </is>
      </c>
      <c r="E167" t="inlineStr">
        <is>
          <t>ÅNGE</t>
        </is>
      </c>
      <c r="F167" t="inlineStr">
        <is>
          <t>Övriga Aktiebolag</t>
        </is>
      </c>
      <c r="G167" t="n">
        <v>4.4</v>
      </c>
      <c r="H167" t="n">
        <v>1</v>
      </c>
      <c r="I167" t="n">
        <v>0</v>
      </c>
      <c r="J167" t="n">
        <v>0</v>
      </c>
      <c r="K167" t="n">
        <v>0</v>
      </c>
      <c r="L167" t="n">
        <v>0</v>
      </c>
      <c r="M167" t="n">
        <v>0</v>
      </c>
      <c r="N167" t="n">
        <v>0</v>
      </c>
      <c r="O167" t="n">
        <v>0</v>
      </c>
      <c r="P167" t="n">
        <v>0</v>
      </c>
      <c r="Q167" t="n">
        <v>1</v>
      </c>
      <c r="R167" s="2" t="inlineStr">
        <is>
          <t>Tjäder</t>
        </is>
      </c>
      <c r="S167">
        <f>HYPERLINK("https://klasma.github.io/Logging_2260/artfynd/A 31136-2022 artfynd.xlsx", "A 31136-2022")</f>
        <v/>
      </c>
      <c r="T167">
        <f>HYPERLINK("https://klasma.github.io/Logging_2260/kartor/A 31136-2022 karta.png", "A 31136-2022")</f>
        <v/>
      </c>
      <c r="V167">
        <f>HYPERLINK("https://klasma.github.io/Logging_2260/klagomål/A 31136-2022 FSC-klagomål.docx", "A 31136-2022")</f>
        <v/>
      </c>
      <c r="W167">
        <f>HYPERLINK("https://klasma.github.io/Logging_2260/klagomålsmail/A 31136-2022 FSC-klagomål mail.docx", "A 31136-2022")</f>
        <v/>
      </c>
      <c r="X167">
        <f>HYPERLINK("https://klasma.github.io/Logging_2260/tillsyn/A 31136-2022 tillsynsbegäran.docx", "A 31136-2022")</f>
        <v/>
      </c>
      <c r="Y167">
        <f>HYPERLINK("https://klasma.github.io/Logging_2260/tillsynsmail/A 31136-2022 tillsynsbegäran mail.docx", "A 31136-2022")</f>
        <v/>
      </c>
      <c r="Z167">
        <f>HYPERLINK("https://klasma.github.io/Logging_2260/fåglar/A 31136-2022 prioriterade fågelarter.docx", "A 31136-2022")</f>
        <v/>
      </c>
    </row>
    <row r="168" ht="15" customHeight="1">
      <c r="A168" t="inlineStr">
        <is>
          <t>A 61479-2021</t>
        </is>
      </c>
      <c r="B168" s="1" t="n">
        <v>44500</v>
      </c>
      <c r="C168" s="1" t="n">
        <v>46184</v>
      </c>
      <c r="D168" t="inlineStr">
        <is>
          <t>VÄSTERNORRLANDS LÄN</t>
        </is>
      </c>
      <c r="E168" t="inlineStr">
        <is>
          <t>ÅNGE</t>
        </is>
      </c>
      <c r="F168" t="inlineStr">
        <is>
          <t>SCA</t>
        </is>
      </c>
      <c r="G168" t="n">
        <v>7.2</v>
      </c>
      <c r="H168" t="n">
        <v>1</v>
      </c>
      <c r="I168" t="n">
        <v>0</v>
      </c>
      <c r="J168" t="n">
        <v>0</v>
      </c>
      <c r="K168" t="n">
        <v>1</v>
      </c>
      <c r="L168" t="n">
        <v>0</v>
      </c>
      <c r="M168" t="n">
        <v>0</v>
      </c>
      <c r="N168" t="n">
        <v>0</v>
      </c>
      <c r="O168" t="n">
        <v>1</v>
      </c>
      <c r="P168" t="n">
        <v>1</v>
      </c>
      <c r="Q168" t="n">
        <v>1</v>
      </c>
      <c r="R168" s="2" t="inlineStr">
        <is>
          <t>Knärot</t>
        </is>
      </c>
      <c r="S168">
        <f>HYPERLINK("https://klasma.github.io/Logging_2260/artfynd/A 61479-2021 artfynd.xlsx", "A 61479-2021")</f>
        <v/>
      </c>
      <c r="T168">
        <f>HYPERLINK("https://klasma.github.io/Logging_2260/kartor/A 61479-2021 karta.png", "A 61479-2021")</f>
        <v/>
      </c>
      <c r="U168">
        <f>HYPERLINK("https://klasma.github.io/Logging_2260/knärot/A 61479-2021 karta knärot.png", "A 61479-2021")</f>
        <v/>
      </c>
      <c r="V168">
        <f>HYPERLINK("https://klasma.github.io/Logging_2260/klagomål/A 61479-2021 FSC-klagomål.docx", "A 61479-2021")</f>
        <v/>
      </c>
      <c r="W168">
        <f>HYPERLINK("https://klasma.github.io/Logging_2260/klagomålsmail/A 61479-2021 FSC-klagomål mail.docx", "A 61479-2021")</f>
        <v/>
      </c>
      <c r="X168">
        <f>HYPERLINK("https://klasma.github.io/Logging_2260/tillsyn/A 61479-2021 tillsynsbegäran.docx", "A 61479-2021")</f>
        <v/>
      </c>
      <c r="Y168">
        <f>HYPERLINK("https://klasma.github.io/Logging_2260/tillsynsmail/A 61479-2021 tillsynsbegäran mail.docx", "A 61479-2021")</f>
        <v/>
      </c>
    </row>
    <row r="169" ht="15" customHeight="1">
      <c r="A169" t="inlineStr">
        <is>
          <t>A 31578-2021</t>
        </is>
      </c>
      <c r="B169" s="1" t="n">
        <v>44369</v>
      </c>
      <c r="C169" s="1" t="n">
        <v>46184</v>
      </c>
      <c r="D169" t="inlineStr">
        <is>
          <t>VÄSTERNORRLANDS LÄN</t>
        </is>
      </c>
      <c r="E169" t="inlineStr">
        <is>
          <t>ÅNGE</t>
        </is>
      </c>
      <c r="G169" t="n">
        <v>25.8</v>
      </c>
      <c r="H169" t="n">
        <v>1</v>
      </c>
      <c r="I169" t="n">
        <v>0</v>
      </c>
      <c r="J169" t="n">
        <v>0</v>
      </c>
      <c r="K169" t="n">
        <v>1</v>
      </c>
      <c r="L169" t="n">
        <v>0</v>
      </c>
      <c r="M169" t="n">
        <v>0</v>
      </c>
      <c r="N169" t="n">
        <v>0</v>
      </c>
      <c r="O169" t="n">
        <v>1</v>
      </c>
      <c r="P169" t="n">
        <v>1</v>
      </c>
      <c r="Q169" t="n">
        <v>1</v>
      </c>
      <c r="R169" s="2" t="inlineStr">
        <is>
          <t>Knärot</t>
        </is>
      </c>
      <c r="S169">
        <f>HYPERLINK("https://klasma.github.io/Logging_2260/artfynd/A 31578-2021 artfynd.xlsx", "A 31578-2021")</f>
        <v/>
      </c>
      <c r="T169">
        <f>HYPERLINK("https://klasma.github.io/Logging_2260/kartor/A 31578-2021 karta.png", "A 31578-2021")</f>
        <v/>
      </c>
      <c r="U169">
        <f>HYPERLINK("https://klasma.github.io/Logging_2260/knärot/A 31578-2021 karta knärot.png", "A 31578-2021")</f>
        <v/>
      </c>
      <c r="V169">
        <f>HYPERLINK("https://klasma.github.io/Logging_2260/klagomål/A 31578-2021 FSC-klagomål.docx", "A 31578-2021")</f>
        <v/>
      </c>
      <c r="W169">
        <f>HYPERLINK("https://klasma.github.io/Logging_2260/klagomålsmail/A 31578-2021 FSC-klagomål mail.docx", "A 31578-2021")</f>
        <v/>
      </c>
      <c r="X169">
        <f>HYPERLINK("https://klasma.github.io/Logging_2260/tillsyn/A 31578-2021 tillsynsbegäran.docx", "A 31578-2021")</f>
        <v/>
      </c>
      <c r="Y169">
        <f>HYPERLINK("https://klasma.github.io/Logging_2260/tillsynsmail/A 31578-2021 tillsynsbegäran mail.docx", "A 31578-2021")</f>
        <v/>
      </c>
    </row>
    <row r="170" ht="15" customHeight="1">
      <c r="A170" t="inlineStr">
        <is>
          <t>A 35018-2021</t>
        </is>
      </c>
      <c r="B170" s="1" t="n">
        <v>44383.69549768518</v>
      </c>
      <c r="C170" s="1" t="n">
        <v>46184</v>
      </c>
      <c r="D170" t="inlineStr">
        <is>
          <t>VÄSTERNORRLANDS LÄN</t>
        </is>
      </c>
      <c r="E170" t="inlineStr">
        <is>
          <t>ÅNGE</t>
        </is>
      </c>
      <c r="F170" t="inlineStr">
        <is>
          <t>Sveaskog</t>
        </is>
      </c>
      <c r="G170" t="n">
        <v>9.5</v>
      </c>
      <c r="H170" t="n">
        <v>1</v>
      </c>
      <c r="I170" t="n">
        <v>0</v>
      </c>
      <c r="J170" t="n">
        <v>1</v>
      </c>
      <c r="K170" t="n">
        <v>0</v>
      </c>
      <c r="L170" t="n">
        <v>0</v>
      </c>
      <c r="M170" t="n">
        <v>0</v>
      </c>
      <c r="N170" t="n">
        <v>0</v>
      </c>
      <c r="O170" t="n">
        <v>1</v>
      </c>
      <c r="P170" t="n">
        <v>0</v>
      </c>
      <c r="Q170" t="n">
        <v>1</v>
      </c>
      <c r="R170" s="2" t="inlineStr">
        <is>
          <t>Utter</t>
        </is>
      </c>
      <c r="S170">
        <f>HYPERLINK("https://klasma.github.io/Logging_2260/artfynd/A 35018-2021 artfynd.xlsx", "A 35018-2021")</f>
        <v/>
      </c>
      <c r="T170">
        <f>HYPERLINK("https://klasma.github.io/Logging_2260/kartor/A 35018-2021 karta.png", "A 35018-2021")</f>
        <v/>
      </c>
      <c r="V170">
        <f>HYPERLINK("https://klasma.github.io/Logging_2260/klagomål/A 35018-2021 FSC-klagomål.docx", "A 35018-2021")</f>
        <v/>
      </c>
      <c r="W170">
        <f>HYPERLINK("https://klasma.github.io/Logging_2260/klagomålsmail/A 35018-2021 FSC-klagomål mail.docx", "A 35018-2021")</f>
        <v/>
      </c>
      <c r="X170">
        <f>HYPERLINK("https://klasma.github.io/Logging_2260/tillsyn/A 35018-2021 tillsynsbegäran.docx", "A 35018-2021")</f>
        <v/>
      </c>
      <c r="Y170">
        <f>HYPERLINK("https://klasma.github.io/Logging_2260/tillsynsmail/A 35018-2021 tillsynsbegäran mail.docx", "A 35018-2021")</f>
        <v/>
      </c>
    </row>
    <row r="171" ht="15" customHeight="1">
      <c r="A171" t="inlineStr">
        <is>
          <t>A 48237-2025</t>
        </is>
      </c>
      <c r="B171" s="1" t="n">
        <v>45933</v>
      </c>
      <c r="C171" s="1" t="n">
        <v>46184</v>
      </c>
      <c r="D171" t="inlineStr">
        <is>
          <t>VÄSTERNORRLANDS LÄN</t>
        </is>
      </c>
      <c r="E171" t="inlineStr">
        <is>
          <t>ÅNGE</t>
        </is>
      </c>
      <c r="F171" t="inlineStr">
        <is>
          <t>SCA</t>
        </is>
      </c>
      <c r="G171" t="n">
        <v>1.9</v>
      </c>
      <c r="H171" t="n">
        <v>1</v>
      </c>
      <c r="I171" t="n">
        <v>0</v>
      </c>
      <c r="J171" t="n">
        <v>0</v>
      </c>
      <c r="K171" t="n">
        <v>1</v>
      </c>
      <c r="L171" t="n">
        <v>0</v>
      </c>
      <c r="M171" t="n">
        <v>0</v>
      </c>
      <c r="N171" t="n">
        <v>0</v>
      </c>
      <c r="O171" t="n">
        <v>1</v>
      </c>
      <c r="P171" t="n">
        <v>1</v>
      </c>
      <c r="Q171" t="n">
        <v>1</v>
      </c>
      <c r="R171" s="2" t="inlineStr">
        <is>
          <t>Knärot</t>
        </is>
      </c>
      <c r="S171">
        <f>HYPERLINK("https://klasma.github.io/Logging_2260/artfynd/A 48237-2025 artfynd.xlsx", "A 48237-2025")</f>
        <v/>
      </c>
      <c r="T171">
        <f>HYPERLINK("https://klasma.github.io/Logging_2260/kartor/A 48237-2025 karta.png", "A 48237-2025")</f>
        <v/>
      </c>
      <c r="U171">
        <f>HYPERLINK("https://klasma.github.io/Logging_2260/knärot/A 48237-2025 karta knärot.png", "A 48237-2025")</f>
        <v/>
      </c>
      <c r="V171">
        <f>HYPERLINK("https://klasma.github.io/Logging_2260/klagomål/A 48237-2025 FSC-klagomål.docx", "A 48237-2025")</f>
        <v/>
      </c>
      <c r="W171">
        <f>HYPERLINK("https://klasma.github.io/Logging_2260/klagomålsmail/A 48237-2025 FSC-klagomål mail.docx", "A 48237-2025")</f>
        <v/>
      </c>
      <c r="X171">
        <f>HYPERLINK("https://klasma.github.io/Logging_2260/tillsyn/A 48237-2025 tillsynsbegäran.docx", "A 48237-2025")</f>
        <v/>
      </c>
      <c r="Y171">
        <f>HYPERLINK("https://klasma.github.io/Logging_2260/tillsynsmail/A 48237-2025 tillsynsbegäran mail.docx", "A 48237-2025")</f>
        <v/>
      </c>
    </row>
    <row r="172" ht="15" customHeight="1">
      <c r="A172" t="inlineStr">
        <is>
          <t>A 71366-2021</t>
        </is>
      </c>
      <c r="B172" s="1" t="n">
        <v>44539</v>
      </c>
      <c r="C172" s="1" t="n">
        <v>46184</v>
      </c>
      <c r="D172" t="inlineStr">
        <is>
          <t>VÄSTERNORRLANDS LÄN</t>
        </is>
      </c>
      <c r="E172" t="inlineStr">
        <is>
          <t>ÅNGE</t>
        </is>
      </c>
      <c r="F172" t="inlineStr">
        <is>
          <t>SCA</t>
        </is>
      </c>
      <c r="G172" t="n">
        <v>2.3</v>
      </c>
      <c r="H172" t="n">
        <v>1</v>
      </c>
      <c r="I172" t="n">
        <v>0</v>
      </c>
      <c r="J172" t="n">
        <v>0</v>
      </c>
      <c r="K172" t="n">
        <v>1</v>
      </c>
      <c r="L172" t="n">
        <v>0</v>
      </c>
      <c r="M172" t="n">
        <v>0</v>
      </c>
      <c r="N172" t="n">
        <v>0</v>
      </c>
      <c r="O172" t="n">
        <v>1</v>
      </c>
      <c r="P172" t="n">
        <v>1</v>
      </c>
      <c r="Q172" t="n">
        <v>1</v>
      </c>
      <c r="R172" s="2" t="inlineStr">
        <is>
          <t>Knärot</t>
        </is>
      </c>
      <c r="S172">
        <f>HYPERLINK("https://klasma.github.io/Logging_2260/artfynd/A 71366-2021 artfynd.xlsx", "A 71366-2021")</f>
        <v/>
      </c>
      <c r="T172">
        <f>HYPERLINK("https://klasma.github.io/Logging_2260/kartor/A 71366-2021 karta.png", "A 71366-2021")</f>
        <v/>
      </c>
      <c r="U172">
        <f>HYPERLINK("https://klasma.github.io/Logging_2260/knärot/A 71366-2021 karta knärot.png", "A 71366-2021")</f>
        <v/>
      </c>
      <c r="V172">
        <f>HYPERLINK("https://klasma.github.io/Logging_2260/klagomål/A 71366-2021 FSC-klagomål.docx", "A 71366-2021")</f>
        <v/>
      </c>
      <c r="W172">
        <f>HYPERLINK("https://klasma.github.io/Logging_2260/klagomålsmail/A 71366-2021 FSC-klagomål mail.docx", "A 71366-2021")</f>
        <v/>
      </c>
      <c r="X172">
        <f>HYPERLINK("https://klasma.github.io/Logging_2260/tillsyn/A 71366-2021 tillsynsbegäran.docx", "A 71366-2021")</f>
        <v/>
      </c>
      <c r="Y172">
        <f>HYPERLINK("https://klasma.github.io/Logging_2260/tillsynsmail/A 71366-2021 tillsynsbegäran mail.docx", "A 71366-2021")</f>
        <v/>
      </c>
    </row>
    <row r="173" ht="15" customHeight="1">
      <c r="A173" t="inlineStr">
        <is>
          <t>A 30774-2024</t>
        </is>
      </c>
      <c r="B173" s="1" t="n">
        <v>45496.949375</v>
      </c>
      <c r="C173" s="1" t="n">
        <v>46184</v>
      </c>
      <c r="D173" t="inlineStr">
        <is>
          <t>VÄSTERNORRLANDS LÄN</t>
        </is>
      </c>
      <c r="E173" t="inlineStr">
        <is>
          <t>ÅNGE</t>
        </is>
      </c>
      <c r="F173" t="inlineStr">
        <is>
          <t>SCA</t>
        </is>
      </c>
      <c r="G173" t="n">
        <v>2.2</v>
      </c>
      <c r="H173" t="n">
        <v>1</v>
      </c>
      <c r="I173" t="n">
        <v>0</v>
      </c>
      <c r="J173" t="n">
        <v>0</v>
      </c>
      <c r="K173" t="n">
        <v>0</v>
      </c>
      <c r="L173" t="n">
        <v>0</v>
      </c>
      <c r="M173" t="n">
        <v>0</v>
      </c>
      <c r="N173" t="n">
        <v>0</v>
      </c>
      <c r="O173" t="n">
        <v>0</v>
      </c>
      <c r="P173" t="n">
        <v>0</v>
      </c>
      <c r="Q173" t="n">
        <v>1</v>
      </c>
      <c r="R173" s="2" t="inlineStr">
        <is>
          <t>Tjäder</t>
        </is>
      </c>
      <c r="S173">
        <f>HYPERLINK("https://klasma.github.io/Logging_2260/artfynd/A 30774-2024 artfynd.xlsx", "A 30774-2024")</f>
        <v/>
      </c>
      <c r="T173">
        <f>HYPERLINK("https://klasma.github.io/Logging_2260/kartor/A 30774-2024 karta.png", "A 30774-2024")</f>
        <v/>
      </c>
      <c r="V173">
        <f>HYPERLINK("https://klasma.github.io/Logging_2260/klagomål/A 30774-2024 FSC-klagomål.docx", "A 30774-2024")</f>
        <v/>
      </c>
      <c r="W173">
        <f>HYPERLINK("https://klasma.github.io/Logging_2260/klagomålsmail/A 30774-2024 FSC-klagomål mail.docx", "A 30774-2024")</f>
        <v/>
      </c>
      <c r="X173">
        <f>HYPERLINK("https://klasma.github.io/Logging_2260/tillsyn/A 30774-2024 tillsynsbegäran.docx", "A 30774-2024")</f>
        <v/>
      </c>
      <c r="Y173">
        <f>HYPERLINK("https://klasma.github.io/Logging_2260/tillsynsmail/A 30774-2024 tillsynsbegäran mail.docx", "A 30774-2024")</f>
        <v/>
      </c>
      <c r="Z173">
        <f>HYPERLINK("https://klasma.github.io/Logging_2260/fåglar/A 30774-2024 prioriterade fågelarter.docx", "A 30774-2024")</f>
        <v/>
      </c>
    </row>
    <row r="174" ht="15" customHeight="1">
      <c r="A174" t="inlineStr">
        <is>
          <t>A 25332-2025</t>
        </is>
      </c>
      <c r="B174" s="1" t="n">
        <v>45800.59418981482</v>
      </c>
      <c r="C174" s="1" t="n">
        <v>46184</v>
      </c>
      <c r="D174" t="inlineStr">
        <is>
          <t>VÄSTERNORRLANDS LÄN</t>
        </is>
      </c>
      <c r="E174" t="inlineStr">
        <is>
          <t>ÅNGE</t>
        </is>
      </c>
      <c r="F174" t="inlineStr">
        <is>
          <t>SCA</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HYPERLINK("https://klasma.github.io/Logging_2260/artfynd/A 25332-2025 artfynd.xlsx", "A 25332-2025")</f>
        <v/>
      </c>
      <c r="T174">
        <f>HYPERLINK("https://klasma.github.io/Logging_2260/kartor/A 25332-2025 karta.png", "A 25332-2025")</f>
        <v/>
      </c>
      <c r="V174">
        <f>HYPERLINK("https://klasma.github.io/Logging_2260/klagomål/A 25332-2025 FSC-klagomål.docx", "A 25332-2025")</f>
        <v/>
      </c>
      <c r="W174">
        <f>HYPERLINK("https://klasma.github.io/Logging_2260/klagomålsmail/A 25332-2025 FSC-klagomål mail.docx", "A 25332-2025")</f>
        <v/>
      </c>
      <c r="X174">
        <f>HYPERLINK("https://klasma.github.io/Logging_2260/tillsyn/A 25332-2025 tillsynsbegäran.docx", "A 25332-2025")</f>
        <v/>
      </c>
      <c r="Y174">
        <f>HYPERLINK("https://klasma.github.io/Logging_2260/tillsynsmail/A 25332-2025 tillsynsbegäran mail.docx", "A 25332-2025")</f>
        <v/>
      </c>
    </row>
    <row r="175" ht="15" customHeight="1">
      <c r="A175" t="inlineStr">
        <is>
          <t>A 43590-2025</t>
        </is>
      </c>
      <c r="B175" s="1" t="n">
        <v>45911.65665509259</v>
      </c>
      <c r="C175" s="1" t="n">
        <v>46184</v>
      </c>
      <c r="D175" t="inlineStr">
        <is>
          <t>VÄSTERNORRLANDS LÄN</t>
        </is>
      </c>
      <c r="E175" t="inlineStr">
        <is>
          <t>ÅNGE</t>
        </is>
      </c>
      <c r="F175" t="inlineStr">
        <is>
          <t>SCA</t>
        </is>
      </c>
      <c r="G175" t="n">
        <v>2.9</v>
      </c>
      <c r="H175" t="n">
        <v>0</v>
      </c>
      <c r="I175" t="n">
        <v>0</v>
      </c>
      <c r="J175" t="n">
        <v>1</v>
      </c>
      <c r="K175" t="n">
        <v>0</v>
      </c>
      <c r="L175" t="n">
        <v>0</v>
      </c>
      <c r="M175" t="n">
        <v>0</v>
      </c>
      <c r="N175" t="n">
        <v>0</v>
      </c>
      <c r="O175" t="n">
        <v>1</v>
      </c>
      <c r="P175" t="n">
        <v>0</v>
      </c>
      <c r="Q175" t="n">
        <v>1</v>
      </c>
      <c r="R175" s="2" t="inlineStr">
        <is>
          <t>Granticka</t>
        </is>
      </c>
      <c r="S175">
        <f>HYPERLINK("https://klasma.github.io/Logging_2260/artfynd/A 43590-2025 artfynd.xlsx", "A 43590-2025")</f>
        <v/>
      </c>
      <c r="T175">
        <f>HYPERLINK("https://klasma.github.io/Logging_2260/kartor/A 43590-2025 karta.png", "A 43590-2025")</f>
        <v/>
      </c>
      <c r="V175">
        <f>HYPERLINK("https://klasma.github.io/Logging_2260/klagomål/A 43590-2025 FSC-klagomål.docx", "A 43590-2025")</f>
        <v/>
      </c>
      <c r="W175">
        <f>HYPERLINK("https://klasma.github.io/Logging_2260/klagomålsmail/A 43590-2025 FSC-klagomål mail.docx", "A 43590-2025")</f>
        <v/>
      </c>
      <c r="X175">
        <f>HYPERLINK("https://klasma.github.io/Logging_2260/tillsyn/A 43590-2025 tillsynsbegäran.docx", "A 43590-2025")</f>
        <v/>
      </c>
      <c r="Y175">
        <f>HYPERLINK("https://klasma.github.io/Logging_2260/tillsynsmail/A 43590-2025 tillsynsbegäran mail.docx", "A 43590-2025")</f>
        <v/>
      </c>
    </row>
    <row r="176" ht="15" customHeight="1">
      <c r="A176" t="inlineStr">
        <is>
          <t>A 54386-2024</t>
        </is>
      </c>
      <c r="B176" s="1" t="n">
        <v>45617.44822916666</v>
      </c>
      <c r="C176" s="1" t="n">
        <v>46184</v>
      </c>
      <c r="D176" t="inlineStr">
        <is>
          <t>VÄSTERNORRLANDS LÄN</t>
        </is>
      </c>
      <c r="E176" t="inlineStr">
        <is>
          <t>ÅNGE</t>
        </is>
      </c>
      <c r="F176" t="inlineStr">
        <is>
          <t>SCA</t>
        </is>
      </c>
      <c r="G176" t="n">
        <v>1.9</v>
      </c>
      <c r="H176" t="n">
        <v>0</v>
      </c>
      <c r="I176" t="n">
        <v>0</v>
      </c>
      <c r="J176" t="n">
        <v>1</v>
      </c>
      <c r="K176" t="n">
        <v>0</v>
      </c>
      <c r="L176" t="n">
        <v>0</v>
      </c>
      <c r="M176" t="n">
        <v>0</v>
      </c>
      <c r="N176" t="n">
        <v>0</v>
      </c>
      <c r="O176" t="n">
        <v>1</v>
      </c>
      <c r="P176" t="n">
        <v>0</v>
      </c>
      <c r="Q176" t="n">
        <v>1</v>
      </c>
      <c r="R176" s="2" t="inlineStr">
        <is>
          <t>Reliktbock</t>
        </is>
      </c>
      <c r="S176">
        <f>HYPERLINK("https://klasma.github.io/Logging_2260/artfynd/A 54386-2024 artfynd.xlsx", "A 54386-2024")</f>
        <v/>
      </c>
      <c r="T176">
        <f>HYPERLINK("https://klasma.github.io/Logging_2260/kartor/A 54386-2024 karta.png", "A 54386-2024")</f>
        <v/>
      </c>
      <c r="V176">
        <f>HYPERLINK("https://klasma.github.io/Logging_2260/klagomål/A 54386-2024 FSC-klagomål.docx", "A 54386-2024")</f>
        <v/>
      </c>
      <c r="W176">
        <f>HYPERLINK("https://klasma.github.io/Logging_2260/klagomålsmail/A 54386-2024 FSC-klagomål mail.docx", "A 54386-2024")</f>
        <v/>
      </c>
      <c r="X176">
        <f>HYPERLINK("https://klasma.github.io/Logging_2260/tillsyn/A 54386-2024 tillsynsbegäran.docx", "A 54386-2024")</f>
        <v/>
      </c>
      <c r="Y176">
        <f>HYPERLINK("https://klasma.github.io/Logging_2260/tillsynsmail/A 54386-2024 tillsynsbegäran mail.docx", "A 54386-2024")</f>
        <v/>
      </c>
    </row>
    <row r="177" ht="15" customHeight="1">
      <c r="A177" t="inlineStr">
        <is>
          <t>A 46094-2025</t>
        </is>
      </c>
      <c r="B177" s="1" t="n">
        <v>45924</v>
      </c>
      <c r="C177" s="1" t="n">
        <v>46184</v>
      </c>
      <c r="D177" t="inlineStr">
        <is>
          <t>VÄSTERNORRLANDS LÄN</t>
        </is>
      </c>
      <c r="E177" t="inlineStr">
        <is>
          <t>ÅNGE</t>
        </is>
      </c>
      <c r="F177" t="inlineStr">
        <is>
          <t>SCA</t>
        </is>
      </c>
      <c r="G177" t="n">
        <v>1.1</v>
      </c>
      <c r="H177" t="n">
        <v>1</v>
      </c>
      <c r="I177" t="n">
        <v>0</v>
      </c>
      <c r="J177" t="n">
        <v>1</v>
      </c>
      <c r="K177" t="n">
        <v>0</v>
      </c>
      <c r="L177" t="n">
        <v>0</v>
      </c>
      <c r="M177" t="n">
        <v>0</v>
      </c>
      <c r="N177" t="n">
        <v>0</v>
      </c>
      <c r="O177" t="n">
        <v>1</v>
      </c>
      <c r="P177" t="n">
        <v>0</v>
      </c>
      <c r="Q177" t="n">
        <v>1</v>
      </c>
      <c r="R177" s="2" t="inlineStr">
        <is>
          <t>Utter</t>
        </is>
      </c>
      <c r="S177">
        <f>HYPERLINK("https://klasma.github.io/Logging_2260/artfynd/A 46094-2025 artfynd.xlsx", "A 46094-2025")</f>
        <v/>
      </c>
      <c r="T177">
        <f>HYPERLINK("https://klasma.github.io/Logging_2260/kartor/A 46094-2025 karta.png", "A 46094-2025")</f>
        <v/>
      </c>
      <c r="V177">
        <f>HYPERLINK("https://klasma.github.io/Logging_2260/klagomål/A 46094-2025 FSC-klagomål.docx", "A 46094-2025")</f>
        <v/>
      </c>
      <c r="W177">
        <f>HYPERLINK("https://klasma.github.io/Logging_2260/klagomålsmail/A 46094-2025 FSC-klagomål mail.docx", "A 46094-2025")</f>
        <v/>
      </c>
      <c r="X177">
        <f>HYPERLINK("https://klasma.github.io/Logging_2260/tillsyn/A 46094-2025 tillsynsbegäran.docx", "A 46094-2025")</f>
        <v/>
      </c>
      <c r="Y177">
        <f>HYPERLINK("https://klasma.github.io/Logging_2260/tillsynsmail/A 46094-2025 tillsynsbegäran mail.docx", "A 46094-2025")</f>
        <v/>
      </c>
    </row>
    <row r="178" ht="15" customHeight="1">
      <c r="A178" t="inlineStr">
        <is>
          <t>A 39933-2022</t>
        </is>
      </c>
      <c r="B178" s="1" t="n">
        <v>44819</v>
      </c>
      <c r="C178" s="1" t="n">
        <v>46184</v>
      </c>
      <c r="D178" t="inlineStr">
        <is>
          <t>VÄSTERNORRLANDS LÄN</t>
        </is>
      </c>
      <c r="E178" t="inlineStr">
        <is>
          <t>ÅNGE</t>
        </is>
      </c>
      <c r="F178" t="inlineStr">
        <is>
          <t>SCA</t>
        </is>
      </c>
      <c r="G178" t="n">
        <v>13.8</v>
      </c>
      <c r="H178" t="n">
        <v>1</v>
      </c>
      <c r="I178" t="n">
        <v>0</v>
      </c>
      <c r="J178" t="n">
        <v>0</v>
      </c>
      <c r="K178" t="n">
        <v>1</v>
      </c>
      <c r="L178" t="n">
        <v>0</v>
      </c>
      <c r="M178" t="n">
        <v>0</v>
      </c>
      <c r="N178" t="n">
        <v>0</v>
      </c>
      <c r="O178" t="n">
        <v>1</v>
      </c>
      <c r="P178" t="n">
        <v>1</v>
      </c>
      <c r="Q178" t="n">
        <v>1</v>
      </c>
      <c r="R178" s="2" t="inlineStr">
        <is>
          <t>Knärot</t>
        </is>
      </c>
      <c r="S178">
        <f>HYPERLINK("https://klasma.github.io/Logging_2260/artfynd/A 39933-2022 artfynd.xlsx", "A 39933-2022")</f>
        <v/>
      </c>
      <c r="T178">
        <f>HYPERLINK("https://klasma.github.io/Logging_2260/kartor/A 39933-2022 karta.png", "A 39933-2022")</f>
        <v/>
      </c>
      <c r="U178">
        <f>HYPERLINK("https://klasma.github.io/Logging_2260/knärot/A 39933-2022 karta knärot.png", "A 39933-2022")</f>
        <v/>
      </c>
      <c r="V178">
        <f>HYPERLINK("https://klasma.github.io/Logging_2260/klagomål/A 39933-2022 FSC-klagomål.docx", "A 39933-2022")</f>
        <v/>
      </c>
      <c r="W178">
        <f>HYPERLINK("https://klasma.github.io/Logging_2260/klagomålsmail/A 39933-2022 FSC-klagomål mail.docx", "A 39933-2022")</f>
        <v/>
      </c>
      <c r="X178">
        <f>HYPERLINK("https://klasma.github.io/Logging_2260/tillsyn/A 39933-2022 tillsynsbegäran.docx", "A 39933-2022")</f>
        <v/>
      </c>
      <c r="Y178">
        <f>HYPERLINK("https://klasma.github.io/Logging_2260/tillsynsmail/A 39933-2022 tillsynsbegäran mail.docx", "A 39933-2022")</f>
        <v/>
      </c>
    </row>
    <row r="179" ht="15" customHeight="1">
      <c r="A179" t="inlineStr">
        <is>
          <t>A 46829-2025</t>
        </is>
      </c>
      <c r="B179" s="1" t="n">
        <v>45927.34513888889</v>
      </c>
      <c r="C179" s="1" t="n">
        <v>46184</v>
      </c>
      <c r="D179" t="inlineStr">
        <is>
          <t>VÄSTERNORRLANDS LÄN</t>
        </is>
      </c>
      <c r="E179" t="inlineStr">
        <is>
          <t>ÅNGE</t>
        </is>
      </c>
      <c r="F179" t="inlineStr">
        <is>
          <t>SCA</t>
        </is>
      </c>
      <c r="G179" t="n">
        <v>3.1</v>
      </c>
      <c r="H179" t="n">
        <v>1</v>
      </c>
      <c r="I179" t="n">
        <v>0</v>
      </c>
      <c r="J179" t="n">
        <v>0</v>
      </c>
      <c r="K179" t="n">
        <v>1</v>
      </c>
      <c r="L179" t="n">
        <v>0</v>
      </c>
      <c r="M179" t="n">
        <v>0</v>
      </c>
      <c r="N179" t="n">
        <v>0</v>
      </c>
      <c r="O179" t="n">
        <v>1</v>
      </c>
      <c r="P179" t="n">
        <v>1</v>
      </c>
      <c r="Q179" t="n">
        <v>1</v>
      </c>
      <c r="R179" s="2" t="inlineStr">
        <is>
          <t>Kricka</t>
        </is>
      </c>
      <c r="S179">
        <f>HYPERLINK("https://klasma.github.io/Logging_2260/artfynd/A 46829-2025 artfynd.xlsx", "A 46829-2025")</f>
        <v/>
      </c>
      <c r="T179">
        <f>HYPERLINK("https://klasma.github.io/Logging_2260/kartor/A 46829-2025 karta.png", "A 46829-2025")</f>
        <v/>
      </c>
      <c r="V179">
        <f>HYPERLINK("https://klasma.github.io/Logging_2260/klagomål/A 46829-2025 FSC-klagomål.docx", "A 46829-2025")</f>
        <v/>
      </c>
      <c r="W179">
        <f>HYPERLINK("https://klasma.github.io/Logging_2260/klagomålsmail/A 46829-2025 FSC-klagomål mail.docx", "A 46829-2025")</f>
        <v/>
      </c>
      <c r="X179">
        <f>HYPERLINK("https://klasma.github.io/Logging_2260/tillsyn/A 46829-2025 tillsynsbegäran.docx", "A 46829-2025")</f>
        <v/>
      </c>
      <c r="Y179">
        <f>HYPERLINK("https://klasma.github.io/Logging_2260/tillsynsmail/A 46829-2025 tillsynsbegäran mail.docx", "A 46829-2025")</f>
        <v/>
      </c>
      <c r="Z179">
        <f>HYPERLINK("https://klasma.github.io/Logging_2260/fåglar/A 46829-2025 prioriterade fågelarter.docx", "A 46829-2025")</f>
        <v/>
      </c>
    </row>
    <row r="180" ht="15" customHeight="1">
      <c r="A180" t="inlineStr">
        <is>
          <t>A 38606-2024</t>
        </is>
      </c>
      <c r="B180" s="1" t="n">
        <v>45546.67804398148</v>
      </c>
      <c r="C180" s="1" t="n">
        <v>46184</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35648-2025</t>
        </is>
      </c>
      <c r="B181" s="1" t="n">
        <v>45859.51670138889</v>
      </c>
      <c r="C181" s="1" t="n">
        <v>46184</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37432-2025</t>
        </is>
      </c>
      <c r="B182" s="1" t="n">
        <v>45877.51106481482</v>
      </c>
      <c r="C182" s="1" t="n">
        <v>46184</v>
      </c>
      <c r="D182" t="inlineStr">
        <is>
          <t>VÄSTERNORRLANDS LÄN</t>
        </is>
      </c>
      <c r="E182" t="inlineStr">
        <is>
          <t>ÅNGE</t>
        </is>
      </c>
      <c r="F182" t="inlineStr">
        <is>
          <t>SCA</t>
        </is>
      </c>
      <c r="G182" t="n">
        <v>1.2</v>
      </c>
      <c r="H182" t="n">
        <v>1</v>
      </c>
      <c r="I182" t="n">
        <v>1</v>
      </c>
      <c r="J182" t="n">
        <v>0</v>
      </c>
      <c r="K182" t="n">
        <v>0</v>
      </c>
      <c r="L182" t="n">
        <v>0</v>
      </c>
      <c r="M182" t="n">
        <v>0</v>
      </c>
      <c r="N182" t="n">
        <v>0</v>
      </c>
      <c r="O182" t="n">
        <v>0</v>
      </c>
      <c r="P182" t="n">
        <v>0</v>
      </c>
      <c r="Q182" t="n">
        <v>1</v>
      </c>
      <c r="R182" s="2" t="inlineStr">
        <is>
          <t>Spindelblomster</t>
        </is>
      </c>
      <c r="S182">
        <f>HYPERLINK("https://klasma.github.io/Logging_2260/artfynd/A 37432-2025 artfynd.xlsx", "A 37432-2025")</f>
        <v/>
      </c>
      <c r="T182">
        <f>HYPERLINK("https://klasma.github.io/Logging_2260/kartor/A 37432-2025 karta.png", "A 37432-2025")</f>
        <v/>
      </c>
      <c r="V182">
        <f>HYPERLINK("https://klasma.github.io/Logging_2260/klagomål/A 37432-2025 FSC-klagomål.docx", "A 37432-2025")</f>
        <v/>
      </c>
      <c r="W182">
        <f>HYPERLINK("https://klasma.github.io/Logging_2260/klagomålsmail/A 37432-2025 FSC-klagomål mail.docx", "A 37432-2025")</f>
        <v/>
      </c>
      <c r="X182">
        <f>HYPERLINK("https://klasma.github.io/Logging_2260/tillsyn/A 37432-2025 tillsynsbegäran.docx", "A 37432-2025")</f>
        <v/>
      </c>
      <c r="Y182">
        <f>HYPERLINK("https://klasma.github.io/Logging_2260/tillsynsmail/A 37432-2025 tillsynsbegäran mail.docx", "A 37432-2025")</f>
        <v/>
      </c>
    </row>
    <row r="183" ht="15" customHeight="1">
      <c r="A183" t="inlineStr">
        <is>
          <t>A 58534-2025</t>
        </is>
      </c>
      <c r="B183" s="1" t="n">
        <v>45985.80396990741</v>
      </c>
      <c r="C183" s="1" t="n">
        <v>46184</v>
      </c>
      <c r="D183" t="inlineStr">
        <is>
          <t>VÄSTERNORRLANDS LÄN</t>
        </is>
      </c>
      <c r="E183" t="inlineStr">
        <is>
          <t>ÅNGE</t>
        </is>
      </c>
      <c r="F183" t="inlineStr">
        <is>
          <t>Holmen skog AB</t>
        </is>
      </c>
      <c r="G183" t="n">
        <v>2.2</v>
      </c>
      <c r="H183" t="n">
        <v>0</v>
      </c>
      <c r="I183" t="n">
        <v>0</v>
      </c>
      <c r="J183" t="n">
        <v>1</v>
      </c>
      <c r="K183" t="n">
        <v>0</v>
      </c>
      <c r="L183" t="n">
        <v>0</v>
      </c>
      <c r="M183" t="n">
        <v>0</v>
      </c>
      <c r="N183" t="n">
        <v>0</v>
      </c>
      <c r="O183" t="n">
        <v>1</v>
      </c>
      <c r="P183" t="n">
        <v>0</v>
      </c>
      <c r="Q183" t="n">
        <v>1</v>
      </c>
      <c r="R183" s="2" t="inlineStr">
        <is>
          <t>Ullticka</t>
        </is>
      </c>
      <c r="S183">
        <f>HYPERLINK("https://klasma.github.io/Logging_2260/artfynd/A 58534-2025 artfynd.xlsx", "A 58534-2025")</f>
        <v/>
      </c>
      <c r="T183">
        <f>HYPERLINK("https://klasma.github.io/Logging_2260/kartor/A 58534-2025 karta.png", "A 58534-2025")</f>
        <v/>
      </c>
      <c r="V183">
        <f>HYPERLINK("https://klasma.github.io/Logging_2260/klagomål/A 58534-2025 FSC-klagomål.docx", "A 58534-2025")</f>
        <v/>
      </c>
      <c r="W183">
        <f>HYPERLINK("https://klasma.github.io/Logging_2260/klagomålsmail/A 58534-2025 FSC-klagomål mail.docx", "A 58534-2025")</f>
        <v/>
      </c>
      <c r="X183">
        <f>HYPERLINK("https://klasma.github.io/Logging_2260/tillsyn/A 58534-2025 tillsynsbegäran.docx", "A 58534-2025")</f>
        <v/>
      </c>
      <c r="Y183">
        <f>HYPERLINK("https://klasma.github.io/Logging_2260/tillsynsmail/A 58534-2025 tillsynsbegäran mail.docx", "A 58534-2025")</f>
        <v/>
      </c>
    </row>
    <row r="184" ht="15" customHeight="1">
      <c r="A184" t="inlineStr">
        <is>
          <t>A 61076-2025</t>
        </is>
      </c>
      <c r="B184" s="1" t="n">
        <v>46000.39689814814</v>
      </c>
      <c r="C184" s="1" t="n">
        <v>46184</v>
      </c>
      <c r="D184" t="inlineStr">
        <is>
          <t>VÄSTERNORRLANDS LÄN</t>
        </is>
      </c>
      <c r="E184" t="inlineStr">
        <is>
          <t>ÅNGE</t>
        </is>
      </c>
      <c r="F184" t="inlineStr">
        <is>
          <t>Holmen skog AB</t>
        </is>
      </c>
      <c r="G184" t="n">
        <v>2.7</v>
      </c>
      <c r="H184" t="n">
        <v>0</v>
      </c>
      <c r="I184" t="n">
        <v>1</v>
      </c>
      <c r="J184" t="n">
        <v>0</v>
      </c>
      <c r="K184" t="n">
        <v>0</v>
      </c>
      <c r="L184" t="n">
        <v>0</v>
      </c>
      <c r="M184" t="n">
        <v>0</v>
      </c>
      <c r="N184" t="n">
        <v>0</v>
      </c>
      <c r="O184" t="n">
        <v>0</v>
      </c>
      <c r="P184" t="n">
        <v>0</v>
      </c>
      <c r="Q184" t="n">
        <v>1</v>
      </c>
      <c r="R184" s="2" t="inlineStr">
        <is>
          <t>Stor aspticka</t>
        </is>
      </c>
      <c r="S184">
        <f>HYPERLINK("https://klasma.github.io/Logging_2260/artfynd/A 61076-2025 artfynd.xlsx", "A 61076-2025")</f>
        <v/>
      </c>
      <c r="T184">
        <f>HYPERLINK("https://klasma.github.io/Logging_2260/kartor/A 61076-2025 karta.png", "A 61076-2025")</f>
        <v/>
      </c>
      <c r="V184">
        <f>HYPERLINK("https://klasma.github.io/Logging_2260/klagomål/A 61076-2025 FSC-klagomål.docx", "A 61076-2025")</f>
        <v/>
      </c>
      <c r="W184">
        <f>HYPERLINK("https://klasma.github.io/Logging_2260/klagomålsmail/A 61076-2025 FSC-klagomål mail.docx", "A 61076-2025")</f>
        <v/>
      </c>
      <c r="X184">
        <f>HYPERLINK("https://klasma.github.io/Logging_2260/tillsyn/A 61076-2025 tillsynsbegäran.docx", "A 61076-2025")</f>
        <v/>
      </c>
      <c r="Y184">
        <f>HYPERLINK("https://klasma.github.io/Logging_2260/tillsynsmail/A 61076-2025 tillsynsbegäran mail.docx", "A 61076-2025")</f>
        <v/>
      </c>
    </row>
    <row r="185" ht="15" customHeight="1">
      <c r="A185" t="inlineStr">
        <is>
          <t>A 64510-2023</t>
        </is>
      </c>
      <c r="B185" s="1" t="n">
        <v>45281</v>
      </c>
      <c r="C185" s="1" t="n">
        <v>46184</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24798-2024</t>
        </is>
      </c>
      <c r="B186" s="1" t="n">
        <v>45460.95277777778</v>
      </c>
      <c r="C186" s="1" t="n">
        <v>46184</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46184</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46184</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38603-2024</t>
        </is>
      </c>
      <c r="B189" s="1" t="n">
        <v>45546</v>
      </c>
      <c r="C189" s="1" t="n">
        <v>46184</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31878-2024</t>
        </is>
      </c>
      <c r="B190" s="1" t="n">
        <v>45509</v>
      </c>
      <c r="C190" s="1" t="n">
        <v>46184</v>
      </c>
      <c r="D190" t="inlineStr">
        <is>
          <t>VÄSTERNORRLANDS LÄN</t>
        </is>
      </c>
      <c r="E190" t="inlineStr">
        <is>
          <t>ÅNGE</t>
        </is>
      </c>
      <c r="F190" t="inlineStr">
        <is>
          <t>SCA</t>
        </is>
      </c>
      <c r="G190" t="n">
        <v>5.1</v>
      </c>
      <c r="H190" t="n">
        <v>0</v>
      </c>
      <c r="I190" t="n">
        <v>1</v>
      </c>
      <c r="J190" t="n">
        <v>0</v>
      </c>
      <c r="K190" t="n">
        <v>0</v>
      </c>
      <c r="L190" t="n">
        <v>0</v>
      </c>
      <c r="M190" t="n">
        <v>0</v>
      </c>
      <c r="N190" t="n">
        <v>0</v>
      </c>
      <c r="O190" t="n">
        <v>0</v>
      </c>
      <c r="P190" t="n">
        <v>0</v>
      </c>
      <c r="Q190" t="n">
        <v>1</v>
      </c>
      <c r="R190" s="2" t="inlineStr">
        <is>
          <t>Grönpyrola</t>
        </is>
      </c>
      <c r="S190">
        <f>HYPERLINK("https://klasma.github.io/Logging_2260/artfynd/A 31878-2024 artfynd.xlsx", "A 31878-2024")</f>
        <v/>
      </c>
      <c r="T190">
        <f>HYPERLINK("https://klasma.github.io/Logging_2260/kartor/A 31878-2024 karta.png", "A 31878-2024")</f>
        <v/>
      </c>
      <c r="V190">
        <f>HYPERLINK("https://klasma.github.io/Logging_2260/klagomål/A 31878-2024 FSC-klagomål.docx", "A 31878-2024")</f>
        <v/>
      </c>
      <c r="W190">
        <f>HYPERLINK("https://klasma.github.io/Logging_2260/klagomålsmail/A 31878-2024 FSC-klagomål mail.docx", "A 31878-2024")</f>
        <v/>
      </c>
      <c r="X190">
        <f>HYPERLINK("https://klasma.github.io/Logging_2260/tillsyn/A 31878-2024 tillsynsbegäran.docx", "A 31878-2024")</f>
        <v/>
      </c>
      <c r="Y190">
        <f>HYPERLINK("https://klasma.github.io/Logging_2260/tillsynsmail/A 31878-2024 tillsynsbegäran mail.docx", "A 31878-2024")</f>
        <v/>
      </c>
    </row>
    <row r="191" ht="15" customHeight="1">
      <c r="A191" t="inlineStr">
        <is>
          <t>A 329-2026</t>
        </is>
      </c>
      <c r="B191" s="1" t="n">
        <v>46027.59431712963</v>
      </c>
      <c r="C191" s="1" t="n">
        <v>46184</v>
      </c>
      <c r="D191" t="inlineStr">
        <is>
          <t>VÄSTERNORRLANDS LÄN</t>
        </is>
      </c>
      <c r="E191" t="inlineStr">
        <is>
          <t>ÅNGE</t>
        </is>
      </c>
      <c r="F191" t="inlineStr">
        <is>
          <t>SCA</t>
        </is>
      </c>
      <c r="G191" t="n">
        <v>3.3</v>
      </c>
      <c r="H191" t="n">
        <v>1</v>
      </c>
      <c r="I191" t="n">
        <v>0</v>
      </c>
      <c r="J191" t="n">
        <v>0</v>
      </c>
      <c r="K191" t="n">
        <v>0</v>
      </c>
      <c r="L191" t="n">
        <v>0</v>
      </c>
      <c r="M191" t="n">
        <v>0</v>
      </c>
      <c r="N191" t="n">
        <v>0</v>
      </c>
      <c r="O191" t="n">
        <v>0</v>
      </c>
      <c r="P191" t="n">
        <v>0</v>
      </c>
      <c r="Q191" t="n">
        <v>1</v>
      </c>
      <c r="R191" s="2" t="inlineStr">
        <is>
          <t>Revlummer</t>
        </is>
      </c>
      <c r="S191">
        <f>HYPERLINK("https://klasma.github.io/Logging_2260/artfynd/A 329-2026 artfynd.xlsx", "A 329-2026")</f>
        <v/>
      </c>
      <c r="T191">
        <f>HYPERLINK("https://klasma.github.io/Logging_2260/kartor/A 329-2026 karta.png", "A 329-2026")</f>
        <v/>
      </c>
      <c r="V191">
        <f>HYPERLINK("https://klasma.github.io/Logging_2260/klagomål/A 329-2026 FSC-klagomål.docx", "A 329-2026")</f>
        <v/>
      </c>
      <c r="W191">
        <f>HYPERLINK("https://klasma.github.io/Logging_2260/klagomålsmail/A 329-2026 FSC-klagomål mail.docx", "A 329-2026")</f>
        <v/>
      </c>
      <c r="X191">
        <f>HYPERLINK("https://klasma.github.io/Logging_2260/tillsyn/A 329-2026 tillsynsbegäran.docx", "A 329-2026")</f>
        <v/>
      </c>
      <c r="Y191">
        <f>HYPERLINK("https://klasma.github.io/Logging_2260/tillsynsmail/A 329-2026 tillsynsbegäran mail.docx", "A 329-2026")</f>
        <v/>
      </c>
    </row>
    <row r="192" ht="15" customHeight="1">
      <c r="A192" t="inlineStr">
        <is>
          <t>A 25705-2024</t>
        </is>
      </c>
      <c r="B192" s="1" t="n">
        <v>45463.9428587963</v>
      </c>
      <c r="C192" s="1" t="n">
        <v>46184</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57272-2024</t>
        </is>
      </c>
      <c r="B193" s="1" t="n">
        <v>45629.57380787037</v>
      </c>
      <c r="C193" s="1" t="n">
        <v>46184</v>
      </c>
      <c r="D193" t="inlineStr">
        <is>
          <t>VÄSTERNORRLANDS LÄN</t>
        </is>
      </c>
      <c r="E193" t="inlineStr">
        <is>
          <t>ÅNGE</t>
        </is>
      </c>
      <c r="F193" t="inlineStr">
        <is>
          <t>SCA</t>
        </is>
      </c>
      <c r="G193" t="n">
        <v>5.4</v>
      </c>
      <c r="H193" t="n">
        <v>0</v>
      </c>
      <c r="I193" t="n">
        <v>0</v>
      </c>
      <c r="J193" t="n">
        <v>1</v>
      </c>
      <c r="K193" t="n">
        <v>0</v>
      </c>
      <c r="L193" t="n">
        <v>0</v>
      </c>
      <c r="M193" t="n">
        <v>0</v>
      </c>
      <c r="N193" t="n">
        <v>0</v>
      </c>
      <c r="O193" t="n">
        <v>1</v>
      </c>
      <c r="P193" t="n">
        <v>0</v>
      </c>
      <c r="Q193" t="n">
        <v>1</v>
      </c>
      <c r="R193" s="2" t="inlineStr">
        <is>
          <t>Orange taggsvamp</t>
        </is>
      </c>
      <c r="S193">
        <f>HYPERLINK("https://klasma.github.io/Logging_2260/artfynd/A 57272-2024 artfynd.xlsx", "A 57272-2024")</f>
        <v/>
      </c>
      <c r="T193">
        <f>HYPERLINK("https://klasma.github.io/Logging_2260/kartor/A 57272-2024 karta.png", "A 57272-2024")</f>
        <v/>
      </c>
      <c r="V193">
        <f>HYPERLINK("https://klasma.github.io/Logging_2260/klagomål/A 57272-2024 FSC-klagomål.docx", "A 57272-2024")</f>
        <v/>
      </c>
      <c r="W193">
        <f>HYPERLINK("https://klasma.github.io/Logging_2260/klagomålsmail/A 57272-2024 FSC-klagomål mail.docx", "A 57272-2024")</f>
        <v/>
      </c>
      <c r="X193">
        <f>HYPERLINK("https://klasma.github.io/Logging_2260/tillsyn/A 57272-2024 tillsynsbegäran.docx", "A 57272-2024")</f>
        <v/>
      </c>
      <c r="Y193">
        <f>HYPERLINK("https://klasma.github.io/Logging_2260/tillsynsmail/A 57272-2024 tillsynsbegäran mail.docx", "A 57272-2024")</f>
        <v/>
      </c>
    </row>
    <row r="194" ht="15" customHeight="1">
      <c r="A194" t="inlineStr">
        <is>
          <t>A 1449-2025</t>
        </is>
      </c>
      <c r="B194" s="1" t="n">
        <v>45670.27537037037</v>
      </c>
      <c r="C194" s="1" t="n">
        <v>46184</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50651-2021</t>
        </is>
      </c>
      <c r="B195" s="1" t="n">
        <v>44459</v>
      </c>
      <c r="C195" s="1" t="n">
        <v>46184</v>
      </c>
      <c r="D195" t="inlineStr">
        <is>
          <t>VÄSTERNORRLANDS LÄN</t>
        </is>
      </c>
      <c r="E195" t="inlineStr">
        <is>
          <t>ÅNGE</t>
        </is>
      </c>
      <c r="G195" t="n">
        <v>20.6</v>
      </c>
      <c r="H195" t="n">
        <v>0</v>
      </c>
      <c r="I195" t="n">
        <v>0</v>
      </c>
      <c r="J195" t="n">
        <v>1</v>
      </c>
      <c r="K195" t="n">
        <v>0</v>
      </c>
      <c r="L195" t="n">
        <v>0</v>
      </c>
      <c r="M195" t="n">
        <v>0</v>
      </c>
      <c r="N195" t="n">
        <v>0</v>
      </c>
      <c r="O195" t="n">
        <v>1</v>
      </c>
      <c r="P195" t="n">
        <v>0</v>
      </c>
      <c r="Q195" t="n">
        <v>1</v>
      </c>
      <c r="R195" s="2" t="inlineStr">
        <is>
          <t>Garnlav</t>
        </is>
      </c>
      <c r="S195">
        <f>HYPERLINK("https://klasma.github.io/Logging_2260/artfynd/A 50651-2021 artfynd.xlsx", "A 50651-2021")</f>
        <v/>
      </c>
      <c r="T195">
        <f>HYPERLINK("https://klasma.github.io/Logging_2260/kartor/A 50651-2021 karta.png", "A 50651-2021")</f>
        <v/>
      </c>
      <c r="V195">
        <f>HYPERLINK("https://klasma.github.io/Logging_2260/klagomål/A 50651-2021 FSC-klagomål.docx", "A 50651-2021")</f>
        <v/>
      </c>
      <c r="W195">
        <f>HYPERLINK("https://klasma.github.io/Logging_2260/klagomålsmail/A 50651-2021 FSC-klagomål mail.docx", "A 50651-2021")</f>
        <v/>
      </c>
      <c r="X195">
        <f>HYPERLINK("https://klasma.github.io/Logging_2260/tillsyn/A 50651-2021 tillsynsbegäran.docx", "A 50651-2021")</f>
        <v/>
      </c>
      <c r="Y195">
        <f>HYPERLINK("https://klasma.github.io/Logging_2260/tillsynsmail/A 50651-2021 tillsynsbegäran mail.docx", "A 50651-2021")</f>
        <v/>
      </c>
    </row>
    <row r="196" ht="15" customHeight="1">
      <c r="A196" t="inlineStr">
        <is>
          <t>A 4351-2024</t>
        </is>
      </c>
      <c r="B196" s="1" t="n">
        <v>45324</v>
      </c>
      <c r="C196" s="1" t="n">
        <v>46184</v>
      </c>
      <c r="D196" t="inlineStr">
        <is>
          <t>VÄSTERNORRLANDS LÄN</t>
        </is>
      </c>
      <c r="E196" t="inlineStr">
        <is>
          <t>ÅNGE</t>
        </is>
      </c>
      <c r="F196" t="inlineStr">
        <is>
          <t>SCA</t>
        </is>
      </c>
      <c r="G196" t="n">
        <v>0.5</v>
      </c>
      <c r="H196" t="n">
        <v>0</v>
      </c>
      <c r="I196" t="n">
        <v>0</v>
      </c>
      <c r="J196" t="n">
        <v>1</v>
      </c>
      <c r="K196" t="n">
        <v>0</v>
      </c>
      <c r="L196" t="n">
        <v>0</v>
      </c>
      <c r="M196" t="n">
        <v>0</v>
      </c>
      <c r="N196" t="n">
        <v>0</v>
      </c>
      <c r="O196" t="n">
        <v>1</v>
      </c>
      <c r="P196" t="n">
        <v>0</v>
      </c>
      <c r="Q196" t="n">
        <v>1</v>
      </c>
      <c r="R196" s="2" t="inlineStr">
        <is>
          <t>Garnlav</t>
        </is>
      </c>
      <c r="S196">
        <f>HYPERLINK("https://klasma.github.io/Logging_2260/artfynd/A 4351-2024 artfynd.xlsx", "A 4351-2024")</f>
        <v/>
      </c>
      <c r="T196">
        <f>HYPERLINK("https://klasma.github.io/Logging_2260/kartor/A 4351-2024 karta.png", "A 4351-2024")</f>
        <v/>
      </c>
      <c r="V196">
        <f>HYPERLINK("https://klasma.github.io/Logging_2260/klagomål/A 4351-2024 FSC-klagomål.docx", "A 4351-2024")</f>
        <v/>
      </c>
      <c r="W196">
        <f>HYPERLINK("https://klasma.github.io/Logging_2260/klagomålsmail/A 4351-2024 FSC-klagomål mail.docx", "A 4351-2024")</f>
        <v/>
      </c>
      <c r="X196">
        <f>HYPERLINK("https://klasma.github.io/Logging_2260/tillsyn/A 4351-2024 tillsynsbegäran.docx", "A 4351-2024")</f>
        <v/>
      </c>
      <c r="Y196">
        <f>HYPERLINK("https://klasma.github.io/Logging_2260/tillsynsmail/A 4351-2024 tillsynsbegäran mail.docx", "A 4351-2024")</f>
        <v/>
      </c>
    </row>
    <row r="197" ht="15" customHeight="1">
      <c r="A197" t="inlineStr">
        <is>
          <t>A 40214-2024</t>
        </is>
      </c>
      <c r="B197" s="1" t="n">
        <v>45554.59460648148</v>
      </c>
      <c r="C197" s="1" t="n">
        <v>46184</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13953-2026</t>
        </is>
      </c>
      <c r="B198" s="1" t="n">
        <v>46098.55194444444</v>
      </c>
      <c r="C198" s="1" t="n">
        <v>46184</v>
      </c>
      <c r="D198" t="inlineStr">
        <is>
          <t>VÄSTERNORRLANDS LÄN</t>
        </is>
      </c>
      <c r="E198" t="inlineStr">
        <is>
          <t>ÅNGE</t>
        </is>
      </c>
      <c r="F198" t="inlineStr">
        <is>
          <t>Holmen skog AB</t>
        </is>
      </c>
      <c r="G198" t="n">
        <v>3.1</v>
      </c>
      <c r="H198" t="n">
        <v>0</v>
      </c>
      <c r="I198" t="n">
        <v>1</v>
      </c>
      <c r="J198" t="n">
        <v>0</v>
      </c>
      <c r="K198" t="n">
        <v>0</v>
      </c>
      <c r="L198" t="n">
        <v>0</v>
      </c>
      <c r="M198" t="n">
        <v>0</v>
      </c>
      <c r="N198" t="n">
        <v>0</v>
      </c>
      <c r="O198" t="n">
        <v>0</v>
      </c>
      <c r="P198" t="n">
        <v>0</v>
      </c>
      <c r="Q198" t="n">
        <v>1</v>
      </c>
      <c r="R198" s="2" t="inlineStr">
        <is>
          <t>Stuplav</t>
        </is>
      </c>
      <c r="S198">
        <f>HYPERLINK("https://klasma.github.io/Logging_2260/artfynd/A 13953-2026 artfynd.xlsx", "A 13953-2026")</f>
        <v/>
      </c>
      <c r="T198">
        <f>HYPERLINK("https://klasma.github.io/Logging_2260/kartor/A 13953-2026 karta.png", "A 13953-2026")</f>
        <v/>
      </c>
      <c r="V198">
        <f>HYPERLINK("https://klasma.github.io/Logging_2260/klagomål/A 13953-2026 FSC-klagomål.docx", "A 13953-2026")</f>
        <v/>
      </c>
      <c r="W198">
        <f>HYPERLINK("https://klasma.github.io/Logging_2260/klagomålsmail/A 13953-2026 FSC-klagomål mail.docx", "A 13953-2026")</f>
        <v/>
      </c>
      <c r="X198">
        <f>HYPERLINK("https://klasma.github.io/Logging_2260/tillsyn/A 13953-2026 tillsynsbegäran.docx", "A 13953-2026")</f>
        <v/>
      </c>
      <c r="Y198">
        <f>HYPERLINK("https://klasma.github.io/Logging_2260/tillsynsmail/A 13953-2026 tillsynsbegäran mail.docx", "A 13953-2026")</f>
        <v/>
      </c>
    </row>
    <row r="199" ht="15" customHeight="1">
      <c r="A199" t="inlineStr">
        <is>
          <t>A 52424-2023</t>
        </is>
      </c>
      <c r="B199" s="1" t="n">
        <v>45217</v>
      </c>
      <c r="C199" s="1" t="n">
        <v>46184</v>
      </c>
      <c r="D199" t="inlineStr">
        <is>
          <t>VÄSTERNORRLANDS LÄN</t>
        </is>
      </c>
      <c r="E199" t="inlineStr">
        <is>
          <t>ÅNGE</t>
        </is>
      </c>
      <c r="F199" t="inlineStr">
        <is>
          <t>SCA</t>
        </is>
      </c>
      <c r="G199" t="n">
        <v>3.8</v>
      </c>
      <c r="H199" t="n">
        <v>1</v>
      </c>
      <c r="I199" t="n">
        <v>0</v>
      </c>
      <c r="J199" t="n">
        <v>0</v>
      </c>
      <c r="K199" t="n">
        <v>0</v>
      </c>
      <c r="L199" t="n">
        <v>0</v>
      </c>
      <c r="M199" t="n">
        <v>0</v>
      </c>
      <c r="N199" t="n">
        <v>0</v>
      </c>
      <c r="O199" t="n">
        <v>0</v>
      </c>
      <c r="P199" t="n">
        <v>0</v>
      </c>
      <c r="Q199" t="n">
        <v>1</v>
      </c>
      <c r="R199" s="2" t="inlineStr">
        <is>
          <t>Revlummer</t>
        </is>
      </c>
      <c r="S199">
        <f>HYPERLINK("https://klasma.github.io/Logging_2260/artfynd/A 52424-2023 artfynd.xlsx", "A 52424-2023")</f>
        <v/>
      </c>
      <c r="T199">
        <f>HYPERLINK("https://klasma.github.io/Logging_2260/kartor/A 52424-2023 karta.png", "A 52424-2023")</f>
        <v/>
      </c>
      <c r="V199">
        <f>HYPERLINK("https://klasma.github.io/Logging_2260/klagomål/A 52424-2023 FSC-klagomål.docx", "A 52424-2023")</f>
        <v/>
      </c>
      <c r="W199">
        <f>HYPERLINK("https://klasma.github.io/Logging_2260/klagomålsmail/A 52424-2023 FSC-klagomål mail.docx", "A 52424-2023")</f>
        <v/>
      </c>
      <c r="X199">
        <f>HYPERLINK("https://klasma.github.io/Logging_2260/tillsyn/A 52424-2023 tillsynsbegäran.docx", "A 52424-2023")</f>
        <v/>
      </c>
      <c r="Y199">
        <f>HYPERLINK("https://klasma.github.io/Logging_2260/tillsynsmail/A 52424-2023 tillsynsbegäran mail.docx", "A 52424-2023")</f>
        <v/>
      </c>
    </row>
    <row r="200" ht="15" customHeight="1">
      <c r="A200" t="inlineStr">
        <is>
          <t>A 22262-2026</t>
        </is>
      </c>
      <c r="B200" s="1" t="n">
        <v>46154.37927083333</v>
      </c>
      <c r="C200" s="1" t="n">
        <v>46184</v>
      </c>
      <c r="D200" t="inlineStr">
        <is>
          <t>VÄSTERNORRLANDS LÄN</t>
        </is>
      </c>
      <c r="E200" t="inlineStr">
        <is>
          <t>ÅNGE</t>
        </is>
      </c>
      <c r="G200" t="n">
        <v>1</v>
      </c>
      <c r="H200" t="n">
        <v>1</v>
      </c>
      <c r="I200" t="n">
        <v>0</v>
      </c>
      <c r="J200" t="n">
        <v>0</v>
      </c>
      <c r="K200" t="n">
        <v>1</v>
      </c>
      <c r="L200" t="n">
        <v>0</v>
      </c>
      <c r="M200" t="n">
        <v>0</v>
      </c>
      <c r="N200" t="n">
        <v>0</v>
      </c>
      <c r="O200" t="n">
        <v>1</v>
      </c>
      <c r="P200" t="n">
        <v>1</v>
      </c>
      <c r="Q200" t="n">
        <v>1</v>
      </c>
      <c r="R200" s="2" t="inlineStr">
        <is>
          <t>Lappuggla</t>
        </is>
      </c>
      <c r="S200">
        <f>HYPERLINK("https://klasma.github.io/Logging_2260/artfynd/A 22262-2026 artfynd.xlsx", "A 22262-2026")</f>
        <v/>
      </c>
      <c r="T200">
        <f>HYPERLINK("https://klasma.github.io/Logging_2260/kartor/A 22262-2026 karta.png", "A 22262-2026")</f>
        <v/>
      </c>
      <c r="V200">
        <f>HYPERLINK("https://klasma.github.io/Logging_2260/klagomål/A 22262-2026 FSC-klagomål.docx", "A 22262-2026")</f>
        <v/>
      </c>
      <c r="W200">
        <f>HYPERLINK("https://klasma.github.io/Logging_2260/klagomålsmail/A 22262-2026 FSC-klagomål mail.docx", "A 22262-2026")</f>
        <v/>
      </c>
      <c r="X200">
        <f>HYPERLINK("https://klasma.github.io/Logging_2260/tillsyn/A 22262-2026 tillsynsbegäran.docx", "A 22262-2026")</f>
        <v/>
      </c>
      <c r="Y200">
        <f>HYPERLINK("https://klasma.github.io/Logging_2260/tillsynsmail/A 22262-2026 tillsynsbegäran mail.docx", "A 22262-2026")</f>
        <v/>
      </c>
      <c r="Z200">
        <f>HYPERLINK("https://klasma.github.io/Logging_2260/fåglar/A 22262-2026 prioriterade fågelarter.docx", "A 22262-2026")</f>
        <v/>
      </c>
    </row>
    <row r="201" ht="15" customHeight="1">
      <c r="A201" t="inlineStr">
        <is>
          <t>A 31544-2024</t>
        </is>
      </c>
      <c r="B201" s="1" t="n">
        <v>45505</v>
      </c>
      <c r="C201" s="1" t="n">
        <v>46184</v>
      </c>
      <c r="D201" t="inlineStr">
        <is>
          <t>VÄSTERNORRLANDS LÄN</t>
        </is>
      </c>
      <c r="E201" t="inlineStr">
        <is>
          <t>ÅNGE</t>
        </is>
      </c>
      <c r="F201" t="inlineStr">
        <is>
          <t>SCA</t>
        </is>
      </c>
      <c r="G201" t="n">
        <v>3.5</v>
      </c>
      <c r="H201" t="n">
        <v>0</v>
      </c>
      <c r="I201" t="n">
        <v>0</v>
      </c>
      <c r="J201" t="n">
        <v>1</v>
      </c>
      <c r="K201" t="n">
        <v>0</v>
      </c>
      <c r="L201" t="n">
        <v>0</v>
      </c>
      <c r="M201" t="n">
        <v>0</v>
      </c>
      <c r="N201" t="n">
        <v>0</v>
      </c>
      <c r="O201" t="n">
        <v>1</v>
      </c>
      <c r="P201" t="n">
        <v>0</v>
      </c>
      <c r="Q201" t="n">
        <v>1</v>
      </c>
      <c r="R201" s="2" t="inlineStr">
        <is>
          <t>Granticka</t>
        </is>
      </c>
      <c r="S201">
        <f>HYPERLINK("https://klasma.github.io/Logging_2260/artfynd/A 31544-2024 artfynd.xlsx", "A 31544-2024")</f>
        <v/>
      </c>
      <c r="T201">
        <f>HYPERLINK("https://klasma.github.io/Logging_2260/kartor/A 31544-2024 karta.png", "A 31544-2024")</f>
        <v/>
      </c>
      <c r="V201">
        <f>HYPERLINK("https://klasma.github.io/Logging_2260/klagomål/A 31544-2024 FSC-klagomål.docx", "A 31544-2024")</f>
        <v/>
      </c>
      <c r="W201">
        <f>HYPERLINK("https://klasma.github.io/Logging_2260/klagomålsmail/A 31544-2024 FSC-klagomål mail.docx", "A 31544-2024")</f>
        <v/>
      </c>
      <c r="X201">
        <f>HYPERLINK("https://klasma.github.io/Logging_2260/tillsyn/A 31544-2024 tillsynsbegäran.docx", "A 31544-2024")</f>
        <v/>
      </c>
      <c r="Y201">
        <f>HYPERLINK("https://klasma.github.io/Logging_2260/tillsynsmail/A 31544-2024 tillsynsbegäran mail.docx", "A 31544-2024")</f>
        <v/>
      </c>
    </row>
    <row r="202" ht="15" customHeight="1">
      <c r="A202" t="inlineStr">
        <is>
          <t>A 56091-2024</t>
        </is>
      </c>
      <c r="B202" s="1" t="n">
        <v>45624.40678240741</v>
      </c>
      <c r="C202" s="1" t="n">
        <v>46184</v>
      </c>
      <c r="D202" t="inlineStr">
        <is>
          <t>VÄSTERNORRLANDS LÄN</t>
        </is>
      </c>
      <c r="E202" t="inlineStr">
        <is>
          <t>ÅNGE</t>
        </is>
      </c>
      <c r="F202" t="inlineStr">
        <is>
          <t>SCA</t>
        </is>
      </c>
      <c r="G202" t="n">
        <v>2.5</v>
      </c>
      <c r="H202" t="n">
        <v>0</v>
      </c>
      <c r="I202" t="n">
        <v>0</v>
      </c>
      <c r="J202" t="n">
        <v>1</v>
      </c>
      <c r="K202" t="n">
        <v>0</v>
      </c>
      <c r="L202" t="n">
        <v>0</v>
      </c>
      <c r="M202" t="n">
        <v>0</v>
      </c>
      <c r="N202" t="n">
        <v>0</v>
      </c>
      <c r="O202" t="n">
        <v>1</v>
      </c>
      <c r="P202" t="n">
        <v>0</v>
      </c>
      <c r="Q202" t="n">
        <v>1</v>
      </c>
      <c r="R202" s="2" t="inlineStr">
        <is>
          <t>Mörk kolflarnlav</t>
        </is>
      </c>
      <c r="S202">
        <f>HYPERLINK("https://klasma.github.io/Logging_2260/artfynd/A 56091-2024 artfynd.xlsx", "A 56091-2024")</f>
        <v/>
      </c>
      <c r="T202">
        <f>HYPERLINK("https://klasma.github.io/Logging_2260/kartor/A 56091-2024 karta.png", "A 56091-2024")</f>
        <v/>
      </c>
      <c r="V202">
        <f>HYPERLINK("https://klasma.github.io/Logging_2260/klagomål/A 56091-2024 FSC-klagomål.docx", "A 56091-2024")</f>
        <v/>
      </c>
      <c r="W202">
        <f>HYPERLINK("https://klasma.github.io/Logging_2260/klagomålsmail/A 56091-2024 FSC-klagomål mail.docx", "A 56091-2024")</f>
        <v/>
      </c>
      <c r="X202">
        <f>HYPERLINK("https://klasma.github.io/Logging_2260/tillsyn/A 56091-2024 tillsynsbegäran.docx", "A 56091-2024")</f>
        <v/>
      </c>
      <c r="Y202">
        <f>HYPERLINK("https://klasma.github.io/Logging_2260/tillsynsmail/A 56091-2024 tillsynsbegäran mail.docx", "A 56091-2024")</f>
        <v/>
      </c>
    </row>
    <row r="203" ht="15" customHeight="1">
      <c r="A203" t="inlineStr">
        <is>
          <t>A 13934-2024</t>
        </is>
      </c>
      <c r="B203" s="1" t="n">
        <v>45391</v>
      </c>
      <c r="C203" s="1" t="n">
        <v>46184</v>
      </c>
      <c r="D203" t="inlineStr">
        <is>
          <t>VÄSTERNORRLANDS LÄN</t>
        </is>
      </c>
      <c r="E203" t="inlineStr">
        <is>
          <t>ÅNGE</t>
        </is>
      </c>
      <c r="F203" t="inlineStr">
        <is>
          <t>SCA</t>
        </is>
      </c>
      <c r="G203" t="n">
        <v>5.8</v>
      </c>
      <c r="H203" t="n">
        <v>0</v>
      </c>
      <c r="I203" t="n">
        <v>0</v>
      </c>
      <c r="J203" t="n">
        <v>1</v>
      </c>
      <c r="K203" t="n">
        <v>0</v>
      </c>
      <c r="L203" t="n">
        <v>0</v>
      </c>
      <c r="M203" t="n">
        <v>0</v>
      </c>
      <c r="N203" t="n">
        <v>0</v>
      </c>
      <c r="O203" t="n">
        <v>1</v>
      </c>
      <c r="P203" t="n">
        <v>0</v>
      </c>
      <c r="Q203" t="n">
        <v>1</v>
      </c>
      <c r="R203" s="2" t="inlineStr">
        <is>
          <t>Ullticka</t>
        </is>
      </c>
      <c r="S203">
        <f>HYPERLINK("https://klasma.github.io/Logging_2260/artfynd/A 13934-2024 artfynd.xlsx", "A 13934-2024")</f>
        <v/>
      </c>
      <c r="T203">
        <f>HYPERLINK("https://klasma.github.io/Logging_2260/kartor/A 13934-2024 karta.png", "A 13934-2024")</f>
        <v/>
      </c>
      <c r="V203">
        <f>HYPERLINK("https://klasma.github.io/Logging_2260/klagomål/A 13934-2024 FSC-klagomål.docx", "A 13934-2024")</f>
        <v/>
      </c>
      <c r="W203">
        <f>HYPERLINK("https://klasma.github.io/Logging_2260/klagomålsmail/A 13934-2024 FSC-klagomål mail.docx", "A 13934-2024")</f>
        <v/>
      </c>
      <c r="X203">
        <f>HYPERLINK("https://klasma.github.io/Logging_2260/tillsyn/A 13934-2024 tillsynsbegäran.docx", "A 13934-2024")</f>
        <v/>
      </c>
      <c r="Y203">
        <f>HYPERLINK("https://klasma.github.io/Logging_2260/tillsynsmail/A 13934-2024 tillsynsbegäran mail.docx", "A 13934-2024")</f>
        <v/>
      </c>
    </row>
    <row r="204" ht="15" customHeight="1">
      <c r="A204" t="inlineStr">
        <is>
          <t>A 43171-2024</t>
        </is>
      </c>
      <c r="B204" s="1" t="n">
        <v>45567</v>
      </c>
      <c r="C204" s="1" t="n">
        <v>46184</v>
      </c>
      <c r="D204" t="inlineStr">
        <is>
          <t>VÄSTERNORRLANDS LÄN</t>
        </is>
      </c>
      <c r="E204" t="inlineStr">
        <is>
          <t>ÅNGE</t>
        </is>
      </c>
      <c r="F204" t="inlineStr">
        <is>
          <t>SCA</t>
        </is>
      </c>
      <c r="G204" t="n">
        <v>3.4</v>
      </c>
      <c r="H204" t="n">
        <v>0</v>
      </c>
      <c r="I204" t="n">
        <v>0</v>
      </c>
      <c r="J204" t="n">
        <v>1</v>
      </c>
      <c r="K204" t="n">
        <v>0</v>
      </c>
      <c r="L204" t="n">
        <v>0</v>
      </c>
      <c r="M204" t="n">
        <v>0</v>
      </c>
      <c r="N204" t="n">
        <v>0</v>
      </c>
      <c r="O204" t="n">
        <v>1</v>
      </c>
      <c r="P204" t="n">
        <v>0</v>
      </c>
      <c r="Q204" t="n">
        <v>1</v>
      </c>
      <c r="R204" s="2" t="inlineStr">
        <is>
          <t>Rosenticka</t>
        </is>
      </c>
      <c r="S204">
        <f>HYPERLINK("https://klasma.github.io/Logging_2260/artfynd/A 43171-2024 artfynd.xlsx", "A 43171-2024")</f>
        <v/>
      </c>
      <c r="T204">
        <f>HYPERLINK("https://klasma.github.io/Logging_2260/kartor/A 43171-2024 karta.png", "A 43171-2024")</f>
        <v/>
      </c>
      <c r="V204">
        <f>HYPERLINK("https://klasma.github.io/Logging_2260/klagomål/A 43171-2024 FSC-klagomål.docx", "A 43171-2024")</f>
        <v/>
      </c>
      <c r="W204">
        <f>HYPERLINK("https://klasma.github.io/Logging_2260/klagomålsmail/A 43171-2024 FSC-klagomål mail.docx", "A 43171-2024")</f>
        <v/>
      </c>
      <c r="X204">
        <f>HYPERLINK("https://klasma.github.io/Logging_2260/tillsyn/A 43171-2024 tillsynsbegäran.docx", "A 43171-2024")</f>
        <v/>
      </c>
      <c r="Y204">
        <f>HYPERLINK("https://klasma.github.io/Logging_2260/tillsynsmail/A 43171-2024 tillsynsbegäran mail.docx", "A 43171-2024")</f>
        <v/>
      </c>
    </row>
    <row r="205" ht="15" customHeight="1">
      <c r="A205" t="inlineStr">
        <is>
          <t>A 55015-2023</t>
        </is>
      </c>
      <c r="B205" s="1" t="n">
        <v>45237.32185185186</v>
      </c>
      <c r="C205" s="1" t="n">
        <v>46184</v>
      </c>
      <c r="D205" t="inlineStr">
        <is>
          <t>VÄSTERNORRLANDS LÄN</t>
        </is>
      </c>
      <c r="E205" t="inlineStr">
        <is>
          <t>ÅNGE</t>
        </is>
      </c>
      <c r="F205" t="inlineStr">
        <is>
          <t>Sveaskog</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HYPERLINK("https://klasma.github.io/Logging_2260/artfynd/A 55015-2023 artfynd.xlsx", "A 55015-2023")</f>
        <v/>
      </c>
      <c r="T205">
        <f>HYPERLINK("https://klasma.github.io/Logging_2260/kartor/A 55015-2023 karta.png", "A 55015-2023")</f>
        <v/>
      </c>
      <c r="V205">
        <f>HYPERLINK("https://klasma.github.io/Logging_2260/klagomål/A 55015-2023 FSC-klagomål.docx", "A 55015-2023")</f>
        <v/>
      </c>
      <c r="W205">
        <f>HYPERLINK("https://klasma.github.io/Logging_2260/klagomålsmail/A 55015-2023 FSC-klagomål mail.docx", "A 55015-2023")</f>
        <v/>
      </c>
      <c r="X205">
        <f>HYPERLINK("https://klasma.github.io/Logging_2260/tillsyn/A 55015-2023 tillsynsbegäran.docx", "A 55015-2023")</f>
        <v/>
      </c>
      <c r="Y205">
        <f>HYPERLINK("https://klasma.github.io/Logging_2260/tillsynsmail/A 55015-2023 tillsynsbegäran mail.docx", "A 55015-2023")</f>
        <v/>
      </c>
    </row>
    <row r="206" ht="15" customHeight="1">
      <c r="A206" t="inlineStr">
        <is>
          <t>A 41493-2021</t>
        </is>
      </c>
      <c r="B206" s="1" t="n">
        <v>44424</v>
      </c>
      <c r="C206" s="1" t="n">
        <v>46184</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31510-2024</t>
        </is>
      </c>
      <c r="B207" s="1" t="n">
        <v>45505</v>
      </c>
      <c r="C207" s="1" t="n">
        <v>46184</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37914-2024</t>
        </is>
      </c>
      <c r="B208" s="1" t="n">
        <v>45544</v>
      </c>
      <c r="C208" s="1" t="n">
        <v>46184</v>
      </c>
      <c r="D208" t="inlineStr">
        <is>
          <t>VÄSTERNORRLANDS LÄN</t>
        </is>
      </c>
      <c r="E208" t="inlineStr">
        <is>
          <t>ÅNGE</t>
        </is>
      </c>
      <c r="F208" t="inlineStr">
        <is>
          <t>SCA</t>
        </is>
      </c>
      <c r="G208" t="n">
        <v>9</v>
      </c>
      <c r="H208" t="n">
        <v>0</v>
      </c>
      <c r="I208" t="n">
        <v>0</v>
      </c>
      <c r="J208" t="n">
        <v>1</v>
      </c>
      <c r="K208" t="n">
        <v>0</v>
      </c>
      <c r="L208" t="n">
        <v>0</v>
      </c>
      <c r="M208" t="n">
        <v>0</v>
      </c>
      <c r="N208" t="n">
        <v>0</v>
      </c>
      <c r="O208" t="n">
        <v>1</v>
      </c>
      <c r="P208" t="n">
        <v>0</v>
      </c>
      <c r="Q208" t="n">
        <v>1</v>
      </c>
      <c r="R208" s="2" t="inlineStr">
        <is>
          <t>Granticka</t>
        </is>
      </c>
      <c r="S208">
        <f>HYPERLINK("https://klasma.github.io/Logging_2260/artfynd/A 37914-2024 artfynd.xlsx", "A 37914-2024")</f>
        <v/>
      </c>
      <c r="T208">
        <f>HYPERLINK("https://klasma.github.io/Logging_2260/kartor/A 37914-2024 karta.png", "A 37914-2024")</f>
        <v/>
      </c>
      <c r="V208">
        <f>HYPERLINK("https://klasma.github.io/Logging_2260/klagomål/A 37914-2024 FSC-klagomål.docx", "A 37914-2024")</f>
        <v/>
      </c>
      <c r="W208">
        <f>HYPERLINK("https://klasma.github.io/Logging_2260/klagomålsmail/A 37914-2024 FSC-klagomål mail.docx", "A 37914-2024")</f>
        <v/>
      </c>
      <c r="X208">
        <f>HYPERLINK("https://klasma.github.io/Logging_2260/tillsyn/A 37914-2024 tillsynsbegäran.docx", "A 37914-2024")</f>
        <v/>
      </c>
      <c r="Y208">
        <f>HYPERLINK("https://klasma.github.io/Logging_2260/tillsynsmail/A 37914-2024 tillsynsbegäran mail.docx", "A 37914-2024")</f>
        <v/>
      </c>
    </row>
    <row r="209" ht="15" customHeight="1">
      <c r="A209" t="inlineStr">
        <is>
          <t>A 54751-2021</t>
        </is>
      </c>
      <c r="B209" s="1" t="n">
        <v>44473</v>
      </c>
      <c r="C209" s="1" t="n">
        <v>46184</v>
      </c>
      <c r="D209" t="inlineStr">
        <is>
          <t>VÄSTERNORRLANDS LÄN</t>
        </is>
      </c>
      <c r="E209" t="inlineStr">
        <is>
          <t>ÅNGE</t>
        </is>
      </c>
      <c r="G209" t="n">
        <v>6.5</v>
      </c>
      <c r="H209" t="n">
        <v>0</v>
      </c>
      <c r="I209" t="n">
        <v>0</v>
      </c>
      <c r="J209" t="n">
        <v>0</v>
      </c>
      <c r="K209" t="n">
        <v>1</v>
      </c>
      <c r="L209" t="n">
        <v>0</v>
      </c>
      <c r="M209" t="n">
        <v>0</v>
      </c>
      <c r="N209" t="n">
        <v>0</v>
      </c>
      <c r="O209" t="n">
        <v>1</v>
      </c>
      <c r="P209" t="n">
        <v>1</v>
      </c>
      <c r="Q209" t="n">
        <v>1</v>
      </c>
      <c r="R209" s="2" t="inlineStr">
        <is>
          <t>Gräddporing</t>
        </is>
      </c>
      <c r="S209">
        <f>HYPERLINK("https://klasma.github.io/Logging_2260/artfynd/A 54751-2021 artfynd.xlsx", "A 54751-2021")</f>
        <v/>
      </c>
      <c r="T209">
        <f>HYPERLINK("https://klasma.github.io/Logging_2260/kartor/A 54751-2021 karta.png", "A 54751-2021")</f>
        <v/>
      </c>
      <c r="V209">
        <f>HYPERLINK("https://klasma.github.io/Logging_2260/klagomål/A 54751-2021 FSC-klagomål.docx", "A 54751-2021")</f>
        <v/>
      </c>
      <c r="W209">
        <f>HYPERLINK("https://klasma.github.io/Logging_2260/klagomålsmail/A 54751-2021 FSC-klagomål mail.docx", "A 54751-2021")</f>
        <v/>
      </c>
      <c r="X209">
        <f>HYPERLINK("https://klasma.github.io/Logging_2260/tillsyn/A 54751-2021 tillsynsbegäran.docx", "A 54751-2021")</f>
        <v/>
      </c>
      <c r="Y209">
        <f>HYPERLINK("https://klasma.github.io/Logging_2260/tillsynsmail/A 54751-2021 tillsynsbegäran mail.docx", "A 54751-2021")</f>
        <v/>
      </c>
    </row>
    <row r="210" ht="15" customHeight="1">
      <c r="A210" t="inlineStr">
        <is>
          <t>A 39180-2024</t>
        </is>
      </c>
      <c r="B210" s="1" t="n">
        <v>45548.6571412037</v>
      </c>
      <c r="C210" s="1" t="n">
        <v>46184</v>
      </c>
      <c r="D210" t="inlineStr">
        <is>
          <t>VÄSTERNORRLANDS LÄN</t>
        </is>
      </c>
      <c r="E210" t="inlineStr">
        <is>
          <t>ÅNGE</t>
        </is>
      </c>
      <c r="F210" t="inlineStr">
        <is>
          <t>SCA</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HYPERLINK("https://klasma.github.io/Logging_2260/artfynd/A 39180-2024 artfynd.xlsx", "A 39180-2024")</f>
        <v/>
      </c>
      <c r="T210">
        <f>HYPERLINK("https://klasma.github.io/Logging_2260/kartor/A 39180-2024 karta.png", "A 39180-2024")</f>
        <v/>
      </c>
      <c r="V210">
        <f>HYPERLINK("https://klasma.github.io/Logging_2260/klagomål/A 39180-2024 FSC-klagomål.docx", "A 39180-2024")</f>
        <v/>
      </c>
      <c r="W210">
        <f>HYPERLINK("https://klasma.github.io/Logging_2260/klagomålsmail/A 39180-2024 FSC-klagomål mail.docx", "A 39180-2024")</f>
        <v/>
      </c>
      <c r="X210">
        <f>HYPERLINK("https://klasma.github.io/Logging_2260/tillsyn/A 39180-2024 tillsynsbegäran.docx", "A 39180-2024")</f>
        <v/>
      </c>
      <c r="Y210">
        <f>HYPERLINK("https://klasma.github.io/Logging_2260/tillsynsmail/A 39180-2024 tillsynsbegäran mail.docx", "A 39180-2024")</f>
        <v/>
      </c>
    </row>
    <row r="211" ht="15" customHeight="1">
      <c r="A211" t="inlineStr">
        <is>
          <t>A 37624-2021</t>
        </is>
      </c>
      <c r="B211" s="1" t="n">
        <v>44399</v>
      </c>
      <c r="C211" s="1" t="n">
        <v>46184</v>
      </c>
      <c r="D211" t="inlineStr">
        <is>
          <t>VÄSTERNORRLANDS LÄN</t>
        </is>
      </c>
      <c r="E211" t="inlineStr">
        <is>
          <t>ÅNGE</t>
        </is>
      </c>
      <c r="G211" t="n">
        <v>4.1</v>
      </c>
      <c r="H211" t="n">
        <v>0</v>
      </c>
      <c r="I211" t="n">
        <v>0</v>
      </c>
      <c r="J211" t="n">
        <v>0</v>
      </c>
      <c r="K211" t="n">
        <v>0</v>
      </c>
      <c r="L211" t="n">
        <v>0</v>
      </c>
      <c r="M211" t="n">
        <v>0</v>
      </c>
      <c r="N211" t="n">
        <v>0</v>
      </c>
      <c r="O211" t="n">
        <v>0</v>
      </c>
      <c r="P211" t="n">
        <v>0</v>
      </c>
      <c r="Q211" t="n">
        <v>0</v>
      </c>
      <c r="R211" s="2" t="inlineStr"/>
    </row>
    <row r="212" ht="15" customHeight="1">
      <c r="A212" t="inlineStr">
        <is>
          <t>A 24353-2022</t>
        </is>
      </c>
      <c r="B212" s="1" t="n">
        <v>44726.37769675926</v>
      </c>
      <c r="C212" s="1" t="n">
        <v>46184</v>
      </c>
      <c r="D212" t="inlineStr">
        <is>
          <t>VÄSTERNORRLANDS LÄN</t>
        </is>
      </c>
      <c r="E212" t="inlineStr">
        <is>
          <t>ÅNGE</t>
        </is>
      </c>
      <c r="G212" t="n">
        <v>1</v>
      </c>
      <c r="H212" t="n">
        <v>0</v>
      </c>
      <c r="I212" t="n">
        <v>0</v>
      </c>
      <c r="J212" t="n">
        <v>0</v>
      </c>
      <c r="K212" t="n">
        <v>0</v>
      </c>
      <c r="L212" t="n">
        <v>0</v>
      </c>
      <c r="M212" t="n">
        <v>0</v>
      </c>
      <c r="N212" t="n">
        <v>0</v>
      </c>
      <c r="O212" t="n">
        <v>0</v>
      </c>
      <c r="P212" t="n">
        <v>0</v>
      </c>
      <c r="Q212" t="n">
        <v>0</v>
      </c>
      <c r="R212" s="2" t="inlineStr"/>
    </row>
    <row r="213" ht="15" customHeight="1">
      <c r="A213" t="inlineStr">
        <is>
          <t>A 5381-2022</t>
        </is>
      </c>
      <c r="B213" s="1" t="n">
        <v>44594.9337037037</v>
      </c>
      <c r="C213" s="1" t="n">
        <v>46184</v>
      </c>
      <c r="D213" t="inlineStr">
        <is>
          <t>VÄSTERNORRLANDS LÄN</t>
        </is>
      </c>
      <c r="E213" t="inlineStr">
        <is>
          <t>ÅNGE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38432-2021</t>
        </is>
      </c>
      <c r="B214" s="1" t="n">
        <v>44406</v>
      </c>
      <c r="C214" s="1" t="n">
        <v>46184</v>
      </c>
      <c r="D214" t="inlineStr">
        <is>
          <t>VÄSTERNORRLANDS LÄN</t>
        </is>
      </c>
      <c r="E214" t="inlineStr">
        <is>
          <t>ÅNGE</t>
        </is>
      </c>
      <c r="G214" t="n">
        <v>0.4</v>
      </c>
      <c r="H214" t="n">
        <v>0</v>
      </c>
      <c r="I214" t="n">
        <v>0</v>
      </c>
      <c r="J214" t="n">
        <v>0</v>
      </c>
      <c r="K214" t="n">
        <v>0</v>
      </c>
      <c r="L214" t="n">
        <v>0</v>
      </c>
      <c r="M214" t="n">
        <v>0</v>
      </c>
      <c r="N214" t="n">
        <v>0</v>
      </c>
      <c r="O214" t="n">
        <v>0</v>
      </c>
      <c r="P214" t="n">
        <v>0</v>
      </c>
      <c r="Q214" t="n">
        <v>0</v>
      </c>
      <c r="R214" s="2" t="inlineStr"/>
    </row>
    <row r="215" ht="15" customHeight="1">
      <c r="A215" t="inlineStr">
        <is>
          <t>A 48876-2021</t>
        </is>
      </c>
      <c r="B215" s="1" t="n">
        <v>44452</v>
      </c>
      <c r="C215" s="1" t="n">
        <v>46184</v>
      </c>
      <c r="D215" t="inlineStr">
        <is>
          <t>VÄSTERNORRLANDS LÄN</t>
        </is>
      </c>
      <c r="E215" t="inlineStr">
        <is>
          <t>ÅNGE</t>
        </is>
      </c>
      <c r="F215" t="inlineStr">
        <is>
          <t>SCA</t>
        </is>
      </c>
      <c r="G215" t="n">
        <v>3.9</v>
      </c>
      <c r="H215" t="n">
        <v>0</v>
      </c>
      <c r="I215" t="n">
        <v>0</v>
      </c>
      <c r="J215" t="n">
        <v>0</v>
      </c>
      <c r="K215" t="n">
        <v>0</v>
      </c>
      <c r="L215" t="n">
        <v>0</v>
      </c>
      <c r="M215" t="n">
        <v>0</v>
      </c>
      <c r="N215" t="n">
        <v>0</v>
      </c>
      <c r="O215" t="n">
        <v>0</v>
      </c>
      <c r="P215" t="n">
        <v>0</v>
      </c>
      <c r="Q215" t="n">
        <v>0</v>
      </c>
      <c r="R215" s="2" t="inlineStr"/>
    </row>
    <row r="216" ht="15" customHeight="1">
      <c r="A216" t="inlineStr">
        <is>
          <t>A 14433-2022</t>
        </is>
      </c>
      <c r="B216" s="1" t="n">
        <v>44652</v>
      </c>
      <c r="C216" s="1" t="n">
        <v>46184</v>
      </c>
      <c r="D216" t="inlineStr">
        <is>
          <t>VÄSTERNORRLANDS LÄN</t>
        </is>
      </c>
      <c r="E216" t="inlineStr">
        <is>
          <t>ÅNGE</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48990-2021</t>
        </is>
      </c>
      <c r="B217" s="1" t="n">
        <v>44453</v>
      </c>
      <c r="C217" s="1" t="n">
        <v>46184</v>
      </c>
      <c r="D217" t="inlineStr">
        <is>
          <t>VÄSTERNORRLANDS LÄN</t>
        </is>
      </c>
      <c r="E217" t="inlineStr">
        <is>
          <t>ÅNGE</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39744-2021</t>
        </is>
      </c>
      <c r="B218" s="1" t="n">
        <v>44417</v>
      </c>
      <c r="C218" s="1" t="n">
        <v>46184</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74088-2021</t>
        </is>
      </c>
      <c r="B219" s="1" t="n">
        <v>44557.59435185185</v>
      </c>
      <c r="C219" s="1" t="n">
        <v>46184</v>
      </c>
      <c r="D219" t="inlineStr">
        <is>
          <t>VÄSTERNORRLANDS LÄN</t>
        </is>
      </c>
      <c r="E219" t="inlineStr">
        <is>
          <t>ÅNGE</t>
        </is>
      </c>
      <c r="G219" t="n">
        <v>0.6</v>
      </c>
      <c r="H219" t="n">
        <v>0</v>
      </c>
      <c r="I219" t="n">
        <v>0</v>
      </c>
      <c r="J219" t="n">
        <v>0</v>
      </c>
      <c r="K219" t="n">
        <v>0</v>
      </c>
      <c r="L219" t="n">
        <v>0</v>
      </c>
      <c r="M219" t="n">
        <v>0</v>
      </c>
      <c r="N219" t="n">
        <v>0</v>
      </c>
      <c r="O219" t="n">
        <v>0</v>
      </c>
      <c r="P219" t="n">
        <v>0</v>
      </c>
      <c r="Q219" t="n">
        <v>0</v>
      </c>
      <c r="R219" s="2" t="inlineStr"/>
    </row>
    <row r="220" ht="15" customHeight="1">
      <c r="A220" t="inlineStr">
        <is>
          <t>A 71396-2021</t>
        </is>
      </c>
      <c r="B220" s="1" t="n">
        <v>44540.35644675926</v>
      </c>
      <c r="C220" s="1" t="n">
        <v>46184</v>
      </c>
      <c r="D220" t="inlineStr">
        <is>
          <t>VÄSTERNORRLANDS LÄN</t>
        </is>
      </c>
      <c r="E220" t="inlineStr">
        <is>
          <t>ÅNGE</t>
        </is>
      </c>
      <c r="G220" t="n">
        <v>0.5</v>
      </c>
      <c r="H220" t="n">
        <v>0</v>
      </c>
      <c r="I220" t="n">
        <v>0</v>
      </c>
      <c r="J220" t="n">
        <v>0</v>
      </c>
      <c r="K220" t="n">
        <v>0</v>
      </c>
      <c r="L220" t="n">
        <v>0</v>
      </c>
      <c r="M220" t="n">
        <v>0</v>
      </c>
      <c r="N220" t="n">
        <v>0</v>
      </c>
      <c r="O220" t="n">
        <v>0</v>
      </c>
      <c r="P220" t="n">
        <v>0</v>
      </c>
      <c r="Q220" t="n">
        <v>0</v>
      </c>
      <c r="R220" s="2" t="inlineStr"/>
    </row>
    <row r="221" ht="15" customHeight="1">
      <c r="A221" t="inlineStr">
        <is>
          <t>A 66265-2021</t>
        </is>
      </c>
      <c r="B221" s="1" t="n">
        <v>44518.45263888889</v>
      </c>
      <c r="C221" s="1" t="n">
        <v>46184</v>
      </c>
      <c r="D221" t="inlineStr">
        <is>
          <t>VÄSTERNORRLANDS LÄN</t>
        </is>
      </c>
      <c r="E221" t="inlineStr">
        <is>
          <t>ÅNGE</t>
        </is>
      </c>
      <c r="G221" t="n">
        <v>6</v>
      </c>
      <c r="H221" t="n">
        <v>0</v>
      </c>
      <c r="I221" t="n">
        <v>0</v>
      </c>
      <c r="J221" t="n">
        <v>0</v>
      </c>
      <c r="K221" t="n">
        <v>0</v>
      </c>
      <c r="L221" t="n">
        <v>0</v>
      </c>
      <c r="M221" t="n">
        <v>0</v>
      </c>
      <c r="N221" t="n">
        <v>0</v>
      </c>
      <c r="O221" t="n">
        <v>0</v>
      </c>
      <c r="P221" t="n">
        <v>0</v>
      </c>
      <c r="Q221" t="n">
        <v>0</v>
      </c>
      <c r="R221" s="2" t="inlineStr"/>
    </row>
    <row r="222" ht="15" customHeight="1">
      <c r="A222" t="inlineStr">
        <is>
          <t>A 71669-2021</t>
        </is>
      </c>
      <c r="B222" s="1" t="n">
        <v>44538</v>
      </c>
      <c r="C222" s="1" t="n">
        <v>46184</v>
      </c>
      <c r="D222" t="inlineStr">
        <is>
          <t>VÄSTERNORRLANDS LÄN</t>
        </is>
      </c>
      <c r="E222" t="inlineStr">
        <is>
          <t>ÅNGE</t>
        </is>
      </c>
      <c r="G222" t="n">
        <v>2.1</v>
      </c>
      <c r="H222" t="n">
        <v>0</v>
      </c>
      <c r="I222" t="n">
        <v>0</v>
      </c>
      <c r="J222" t="n">
        <v>0</v>
      </c>
      <c r="K222" t="n">
        <v>0</v>
      </c>
      <c r="L222" t="n">
        <v>0</v>
      </c>
      <c r="M222" t="n">
        <v>0</v>
      </c>
      <c r="N222" t="n">
        <v>0</v>
      </c>
      <c r="O222" t="n">
        <v>0</v>
      </c>
      <c r="P222" t="n">
        <v>0</v>
      </c>
      <c r="Q222" t="n">
        <v>0</v>
      </c>
      <c r="R222" s="2" t="inlineStr"/>
    </row>
    <row r="223" ht="15" customHeight="1">
      <c r="A223" t="inlineStr">
        <is>
          <t>A 46350-2022</t>
        </is>
      </c>
      <c r="B223" s="1" t="n">
        <v>44847.95120370371</v>
      </c>
      <c r="C223" s="1" t="n">
        <v>46184</v>
      </c>
      <c r="D223" t="inlineStr">
        <is>
          <t>VÄSTERNORRLANDS LÄN</t>
        </is>
      </c>
      <c r="E223" t="inlineStr">
        <is>
          <t>ÅNGE</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53969-2021</t>
        </is>
      </c>
      <c r="B224" s="1" t="n">
        <v>44469</v>
      </c>
      <c r="C224" s="1" t="n">
        <v>46184</v>
      </c>
      <c r="D224" t="inlineStr">
        <is>
          <t>VÄSTERNORRLANDS LÄN</t>
        </is>
      </c>
      <c r="E224" t="inlineStr">
        <is>
          <t>ÅNGE</t>
        </is>
      </c>
      <c r="G224" t="n">
        <v>0.7</v>
      </c>
      <c r="H224" t="n">
        <v>0</v>
      </c>
      <c r="I224" t="n">
        <v>0</v>
      </c>
      <c r="J224" t="n">
        <v>0</v>
      </c>
      <c r="K224" t="n">
        <v>0</v>
      </c>
      <c r="L224" t="n">
        <v>0</v>
      </c>
      <c r="M224" t="n">
        <v>0</v>
      </c>
      <c r="N224" t="n">
        <v>0</v>
      </c>
      <c r="O224" t="n">
        <v>0</v>
      </c>
      <c r="P224" t="n">
        <v>0</v>
      </c>
      <c r="Q224" t="n">
        <v>0</v>
      </c>
      <c r="R224" s="2" t="inlineStr"/>
    </row>
    <row r="225" ht="15" customHeight="1">
      <c r="A225" t="inlineStr">
        <is>
          <t>A 35359-2021</t>
        </is>
      </c>
      <c r="B225" s="1" t="n">
        <v>44384.93608796296</v>
      </c>
      <c r="C225" s="1" t="n">
        <v>46184</v>
      </c>
      <c r="D225" t="inlineStr">
        <is>
          <t>VÄSTERNORRLANDS LÄN</t>
        </is>
      </c>
      <c r="E225" t="inlineStr">
        <is>
          <t>ÅNGE</t>
        </is>
      </c>
      <c r="F225" t="inlineStr">
        <is>
          <t>SCA</t>
        </is>
      </c>
      <c r="G225" t="n">
        <v>10.1</v>
      </c>
      <c r="H225" t="n">
        <v>0</v>
      </c>
      <c r="I225" t="n">
        <v>0</v>
      </c>
      <c r="J225" t="n">
        <v>0</v>
      </c>
      <c r="K225" t="n">
        <v>0</v>
      </c>
      <c r="L225" t="n">
        <v>0</v>
      </c>
      <c r="M225" t="n">
        <v>0</v>
      </c>
      <c r="N225" t="n">
        <v>0</v>
      </c>
      <c r="O225" t="n">
        <v>0</v>
      </c>
      <c r="P225" t="n">
        <v>0</v>
      </c>
      <c r="Q225" t="n">
        <v>0</v>
      </c>
      <c r="R225" s="2" t="inlineStr"/>
    </row>
    <row r="226" ht="15" customHeight="1">
      <c r="A226" t="inlineStr">
        <is>
          <t>A 31191-2021</t>
        </is>
      </c>
      <c r="B226" s="1" t="n">
        <v>44368</v>
      </c>
      <c r="C226" s="1" t="n">
        <v>46184</v>
      </c>
      <c r="D226" t="inlineStr">
        <is>
          <t>VÄSTERNORRLANDS LÄN</t>
        </is>
      </c>
      <c r="E226" t="inlineStr">
        <is>
          <t>ÅNGE</t>
        </is>
      </c>
      <c r="F226" t="inlineStr">
        <is>
          <t>Sveaskog</t>
        </is>
      </c>
      <c r="G226" t="n">
        <v>21.6</v>
      </c>
      <c r="H226" t="n">
        <v>0</v>
      </c>
      <c r="I226" t="n">
        <v>0</v>
      </c>
      <c r="J226" t="n">
        <v>0</v>
      </c>
      <c r="K226" t="n">
        <v>0</v>
      </c>
      <c r="L226" t="n">
        <v>0</v>
      </c>
      <c r="M226" t="n">
        <v>0</v>
      </c>
      <c r="N226" t="n">
        <v>0</v>
      </c>
      <c r="O226" t="n">
        <v>0</v>
      </c>
      <c r="P226" t="n">
        <v>0</v>
      </c>
      <c r="Q226" t="n">
        <v>0</v>
      </c>
      <c r="R226" s="2" t="inlineStr"/>
    </row>
    <row r="227" ht="15" customHeight="1">
      <c r="A227" t="inlineStr">
        <is>
          <t>A 63609-2021</t>
        </is>
      </c>
      <c r="B227" s="1" t="n">
        <v>44508.94660879629</v>
      </c>
      <c r="C227" s="1" t="n">
        <v>46184</v>
      </c>
      <c r="D227" t="inlineStr">
        <is>
          <t>VÄSTERNORRLANDS LÄN</t>
        </is>
      </c>
      <c r="E227" t="inlineStr">
        <is>
          <t>ÅNGE</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7158-2022</t>
        </is>
      </c>
      <c r="B228" s="1" t="n">
        <v>44603.96534722222</v>
      </c>
      <c r="C228" s="1" t="n">
        <v>46184</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58941-2021</t>
        </is>
      </c>
      <c r="B229" s="1" t="n">
        <v>44489.92215277778</v>
      </c>
      <c r="C229" s="1" t="n">
        <v>46184</v>
      </c>
      <c r="D229" t="inlineStr">
        <is>
          <t>VÄSTERNORRLANDS LÄN</t>
        </is>
      </c>
      <c r="E229" t="inlineStr">
        <is>
          <t>ÅNGE</t>
        </is>
      </c>
      <c r="G229" t="n">
        <v>6.7</v>
      </c>
      <c r="H229" t="n">
        <v>0</v>
      </c>
      <c r="I229" t="n">
        <v>0</v>
      </c>
      <c r="J229" t="n">
        <v>0</v>
      </c>
      <c r="K229" t="n">
        <v>0</v>
      </c>
      <c r="L229" t="n">
        <v>0</v>
      </c>
      <c r="M229" t="n">
        <v>0</v>
      </c>
      <c r="N229" t="n">
        <v>0</v>
      </c>
      <c r="O229" t="n">
        <v>0</v>
      </c>
      <c r="P229" t="n">
        <v>0</v>
      </c>
      <c r="Q229" t="n">
        <v>0</v>
      </c>
      <c r="R229" s="2" t="inlineStr"/>
    </row>
    <row r="230" ht="15" customHeight="1">
      <c r="A230" t="inlineStr">
        <is>
          <t>A 52705-2021</t>
        </is>
      </c>
      <c r="B230" s="1" t="n">
        <v>44466</v>
      </c>
      <c r="C230" s="1" t="n">
        <v>46184</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52726-2021</t>
        </is>
      </c>
      <c r="B231" s="1" t="n">
        <v>44466</v>
      </c>
      <c r="C231" s="1" t="n">
        <v>46184</v>
      </c>
      <c r="D231" t="inlineStr">
        <is>
          <t>VÄSTERNORRLANDS LÄN</t>
        </is>
      </c>
      <c r="E231" t="inlineStr">
        <is>
          <t>ÅNGE</t>
        </is>
      </c>
      <c r="F231" t="inlineStr">
        <is>
          <t>SCA</t>
        </is>
      </c>
      <c r="G231" t="n">
        <v>9.5</v>
      </c>
      <c r="H231" t="n">
        <v>0</v>
      </c>
      <c r="I231" t="n">
        <v>0</v>
      </c>
      <c r="J231" t="n">
        <v>0</v>
      </c>
      <c r="K231" t="n">
        <v>0</v>
      </c>
      <c r="L231" t="n">
        <v>0</v>
      </c>
      <c r="M231" t="n">
        <v>0</v>
      </c>
      <c r="N231" t="n">
        <v>0</v>
      </c>
      <c r="O231" t="n">
        <v>0</v>
      </c>
      <c r="P231" t="n">
        <v>0</v>
      </c>
      <c r="Q231" t="n">
        <v>0</v>
      </c>
      <c r="R231" s="2" t="inlineStr"/>
    </row>
    <row r="232" ht="15" customHeight="1">
      <c r="A232" t="inlineStr">
        <is>
          <t>A 7649-2022</t>
        </is>
      </c>
      <c r="B232" s="1" t="n">
        <v>44607</v>
      </c>
      <c r="C232" s="1" t="n">
        <v>46184</v>
      </c>
      <c r="D232" t="inlineStr">
        <is>
          <t>VÄSTERNORRLANDS LÄN</t>
        </is>
      </c>
      <c r="E232" t="inlineStr">
        <is>
          <t>ÅNGE</t>
        </is>
      </c>
      <c r="G232" t="n">
        <v>1.9</v>
      </c>
      <c r="H232" t="n">
        <v>0</v>
      </c>
      <c r="I232" t="n">
        <v>0</v>
      </c>
      <c r="J232" t="n">
        <v>0</v>
      </c>
      <c r="K232" t="n">
        <v>0</v>
      </c>
      <c r="L232" t="n">
        <v>0</v>
      </c>
      <c r="M232" t="n">
        <v>0</v>
      </c>
      <c r="N232" t="n">
        <v>0</v>
      </c>
      <c r="O232" t="n">
        <v>0</v>
      </c>
      <c r="P232" t="n">
        <v>0</v>
      </c>
      <c r="Q232" t="n">
        <v>0</v>
      </c>
      <c r="R232" s="2" t="inlineStr"/>
    </row>
    <row r="233" ht="15" customHeight="1">
      <c r="A233" t="inlineStr">
        <is>
          <t>A 47282-2022</t>
        </is>
      </c>
      <c r="B233" s="1" t="n">
        <v>44852.95091435185</v>
      </c>
      <c r="C233" s="1" t="n">
        <v>46184</v>
      </c>
      <c r="D233" t="inlineStr">
        <is>
          <t>VÄSTERNORRLANDS LÄN</t>
        </is>
      </c>
      <c r="E233" t="inlineStr">
        <is>
          <t>ÅNGE</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6677-2022</t>
        </is>
      </c>
      <c r="B234" s="1" t="n">
        <v>44602.39258101852</v>
      </c>
      <c r="C234" s="1" t="n">
        <v>46184</v>
      </c>
      <c r="D234" t="inlineStr">
        <is>
          <t>VÄSTERNORRLANDS LÄN</t>
        </is>
      </c>
      <c r="E234" t="inlineStr">
        <is>
          <t>ÅNGE</t>
        </is>
      </c>
      <c r="G234" t="n">
        <v>2.7</v>
      </c>
      <c r="H234" t="n">
        <v>0</v>
      </c>
      <c r="I234" t="n">
        <v>0</v>
      </c>
      <c r="J234" t="n">
        <v>0</v>
      </c>
      <c r="K234" t="n">
        <v>0</v>
      </c>
      <c r="L234" t="n">
        <v>0</v>
      </c>
      <c r="M234" t="n">
        <v>0</v>
      </c>
      <c r="N234" t="n">
        <v>0</v>
      </c>
      <c r="O234" t="n">
        <v>0</v>
      </c>
      <c r="P234" t="n">
        <v>0</v>
      </c>
      <c r="Q234" t="n">
        <v>0</v>
      </c>
      <c r="R234" s="2" t="inlineStr"/>
    </row>
    <row r="235" ht="15" customHeight="1">
      <c r="A235" t="inlineStr">
        <is>
          <t>A 70809-2021</t>
        </is>
      </c>
      <c r="B235" s="1" t="n">
        <v>44537.91950231481</v>
      </c>
      <c r="C235" s="1" t="n">
        <v>46184</v>
      </c>
      <c r="D235" t="inlineStr">
        <is>
          <t>VÄSTERNORRLANDS LÄN</t>
        </is>
      </c>
      <c r="E235" t="inlineStr">
        <is>
          <t>ÅNGE</t>
        </is>
      </c>
      <c r="G235" t="n">
        <v>2.4</v>
      </c>
      <c r="H235" t="n">
        <v>0</v>
      </c>
      <c r="I235" t="n">
        <v>0</v>
      </c>
      <c r="J235" t="n">
        <v>0</v>
      </c>
      <c r="K235" t="n">
        <v>0</v>
      </c>
      <c r="L235" t="n">
        <v>0</v>
      </c>
      <c r="M235" t="n">
        <v>0</v>
      </c>
      <c r="N235" t="n">
        <v>0</v>
      </c>
      <c r="O235" t="n">
        <v>0</v>
      </c>
      <c r="P235" t="n">
        <v>0</v>
      </c>
      <c r="Q235" t="n">
        <v>0</v>
      </c>
      <c r="R235" s="2" t="inlineStr"/>
    </row>
    <row r="236" ht="15" customHeight="1">
      <c r="A236" t="inlineStr">
        <is>
          <t>A 65437-2021</t>
        </is>
      </c>
      <c r="B236" s="1" t="n">
        <v>44515.93900462963</v>
      </c>
      <c r="C236" s="1" t="n">
        <v>46184</v>
      </c>
      <c r="D236" t="inlineStr">
        <is>
          <t>VÄSTERNORRLANDS LÄN</t>
        </is>
      </c>
      <c r="E236" t="inlineStr">
        <is>
          <t>ÅNGE</t>
        </is>
      </c>
      <c r="F236" t="inlineStr">
        <is>
          <t>SCA</t>
        </is>
      </c>
      <c r="G236" t="n">
        <v>0.4</v>
      </c>
      <c r="H236" t="n">
        <v>0</v>
      </c>
      <c r="I236" t="n">
        <v>0</v>
      </c>
      <c r="J236" t="n">
        <v>0</v>
      </c>
      <c r="K236" t="n">
        <v>0</v>
      </c>
      <c r="L236" t="n">
        <v>0</v>
      </c>
      <c r="M236" t="n">
        <v>0</v>
      </c>
      <c r="N236" t="n">
        <v>0</v>
      </c>
      <c r="O236" t="n">
        <v>0</v>
      </c>
      <c r="P236" t="n">
        <v>0</v>
      </c>
      <c r="Q236" t="n">
        <v>0</v>
      </c>
      <c r="R236" s="2" t="inlineStr"/>
    </row>
    <row r="237" ht="15" customHeight="1">
      <c r="A237" t="inlineStr">
        <is>
          <t>A 23999-2022</t>
        </is>
      </c>
      <c r="B237" s="1" t="n">
        <v>44722.94055555556</v>
      </c>
      <c r="C237" s="1" t="n">
        <v>46184</v>
      </c>
      <c r="D237" t="inlineStr">
        <is>
          <t>VÄSTERNORRLANDS LÄN</t>
        </is>
      </c>
      <c r="E237" t="inlineStr">
        <is>
          <t>ÅNGE</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31649-2022</t>
        </is>
      </c>
      <c r="B238" s="1" t="n">
        <v>44775.94340277778</v>
      </c>
      <c r="C238" s="1" t="n">
        <v>46184</v>
      </c>
      <c r="D238" t="inlineStr">
        <is>
          <t>VÄSTERNORRLANDS LÄN</t>
        </is>
      </c>
      <c r="E238" t="inlineStr">
        <is>
          <t>ÅNGE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39729-2021</t>
        </is>
      </c>
      <c r="B239" s="1" t="n">
        <v>44417.48267361111</v>
      </c>
      <c r="C239" s="1" t="n">
        <v>46184</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51427-2021</t>
        </is>
      </c>
      <c r="B240" s="1" t="n">
        <v>44461</v>
      </c>
      <c r="C240" s="1" t="n">
        <v>46184</v>
      </c>
      <c r="D240" t="inlineStr">
        <is>
          <t>VÄSTERNORRLANDS LÄN</t>
        </is>
      </c>
      <c r="E240" t="inlineStr">
        <is>
          <t>ÅNGE</t>
        </is>
      </c>
      <c r="G240" t="n">
        <v>3.2</v>
      </c>
      <c r="H240" t="n">
        <v>0</v>
      </c>
      <c r="I240" t="n">
        <v>0</v>
      </c>
      <c r="J240" t="n">
        <v>0</v>
      </c>
      <c r="K240" t="n">
        <v>0</v>
      </c>
      <c r="L240" t="n">
        <v>0</v>
      </c>
      <c r="M240" t="n">
        <v>0</v>
      </c>
      <c r="N240" t="n">
        <v>0</v>
      </c>
      <c r="O240" t="n">
        <v>0</v>
      </c>
      <c r="P240" t="n">
        <v>0</v>
      </c>
      <c r="Q240" t="n">
        <v>0</v>
      </c>
      <c r="R240" s="2" t="inlineStr"/>
    </row>
    <row r="241" ht="15" customHeight="1">
      <c r="A241" t="inlineStr">
        <is>
          <t>A 9998-2022</t>
        </is>
      </c>
      <c r="B241" s="1" t="n">
        <v>44621.46462962963</v>
      </c>
      <c r="C241" s="1" t="n">
        <v>46184</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70899-2021</t>
        </is>
      </c>
      <c r="B242" s="1" t="n">
        <v>44537</v>
      </c>
      <c r="C242" s="1" t="n">
        <v>46184</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47654-2022</t>
        </is>
      </c>
      <c r="B243" s="1" t="n">
        <v>44854.45208333333</v>
      </c>
      <c r="C243" s="1" t="n">
        <v>46184</v>
      </c>
      <c r="D243" t="inlineStr">
        <is>
          <t>VÄSTERNORRLANDS LÄN</t>
        </is>
      </c>
      <c r="E243" t="inlineStr">
        <is>
          <t>ÅNGE</t>
        </is>
      </c>
      <c r="F243" t="inlineStr">
        <is>
          <t>Holmen skog AB</t>
        </is>
      </c>
      <c r="G243" t="n">
        <v>0.6</v>
      </c>
      <c r="H243" t="n">
        <v>0</v>
      </c>
      <c r="I243" t="n">
        <v>0</v>
      </c>
      <c r="J243" t="n">
        <v>0</v>
      </c>
      <c r="K243" t="n">
        <v>0</v>
      </c>
      <c r="L243" t="n">
        <v>0</v>
      </c>
      <c r="M243" t="n">
        <v>0</v>
      </c>
      <c r="N243" t="n">
        <v>0</v>
      </c>
      <c r="O243" t="n">
        <v>0</v>
      </c>
      <c r="P243" t="n">
        <v>0</v>
      </c>
      <c r="Q243" t="n">
        <v>0</v>
      </c>
      <c r="R243" s="2" t="inlineStr"/>
    </row>
    <row r="244" ht="15" customHeight="1">
      <c r="A244" t="inlineStr">
        <is>
          <t>A 19035-2022</t>
        </is>
      </c>
      <c r="B244" s="1" t="n">
        <v>44691</v>
      </c>
      <c r="C244" s="1" t="n">
        <v>46184</v>
      </c>
      <c r="D244" t="inlineStr">
        <is>
          <t>VÄSTERNORRLANDS LÄN</t>
        </is>
      </c>
      <c r="E244" t="inlineStr">
        <is>
          <t>ÅNGE</t>
        </is>
      </c>
      <c r="G244" t="n">
        <v>1.9</v>
      </c>
      <c r="H244" t="n">
        <v>0</v>
      </c>
      <c r="I244" t="n">
        <v>0</v>
      </c>
      <c r="J244" t="n">
        <v>0</v>
      </c>
      <c r="K244" t="n">
        <v>0</v>
      </c>
      <c r="L244" t="n">
        <v>0</v>
      </c>
      <c r="M244" t="n">
        <v>0</v>
      </c>
      <c r="N244" t="n">
        <v>0</v>
      </c>
      <c r="O244" t="n">
        <v>0</v>
      </c>
      <c r="P244" t="n">
        <v>0</v>
      </c>
      <c r="Q244" t="n">
        <v>0</v>
      </c>
      <c r="R244" s="2" t="inlineStr"/>
    </row>
    <row r="245" ht="15" customHeight="1">
      <c r="A245" t="inlineStr">
        <is>
          <t>A 35497-2022</t>
        </is>
      </c>
      <c r="B245" s="1" t="n">
        <v>44798</v>
      </c>
      <c r="C245" s="1" t="n">
        <v>46184</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32536-2022</t>
        </is>
      </c>
      <c r="B246" s="1" t="n">
        <v>44783.30246527777</v>
      </c>
      <c r="C246" s="1" t="n">
        <v>46184</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32631-2022</t>
        </is>
      </c>
      <c r="B247" s="1" t="n">
        <v>44783</v>
      </c>
      <c r="C247" s="1" t="n">
        <v>46184</v>
      </c>
      <c r="D247" t="inlineStr">
        <is>
          <t>VÄSTERNORRLANDS LÄN</t>
        </is>
      </c>
      <c r="E247" t="inlineStr">
        <is>
          <t>ÅNGE</t>
        </is>
      </c>
      <c r="G247" t="n">
        <v>0.7</v>
      </c>
      <c r="H247" t="n">
        <v>0</v>
      </c>
      <c r="I247" t="n">
        <v>0</v>
      </c>
      <c r="J247" t="n">
        <v>0</v>
      </c>
      <c r="K247" t="n">
        <v>0</v>
      </c>
      <c r="L247" t="n">
        <v>0</v>
      </c>
      <c r="M247" t="n">
        <v>0</v>
      </c>
      <c r="N247" t="n">
        <v>0</v>
      </c>
      <c r="O247" t="n">
        <v>0</v>
      </c>
      <c r="P247" t="n">
        <v>0</v>
      </c>
      <c r="Q247" t="n">
        <v>0</v>
      </c>
      <c r="R247" s="2" t="inlineStr"/>
    </row>
    <row r="248" ht="15" customHeight="1">
      <c r="A248" t="inlineStr">
        <is>
          <t>A 30495-2022</t>
        </is>
      </c>
      <c r="B248" s="1" t="n">
        <v>44761.9424074074</v>
      </c>
      <c r="C248" s="1" t="n">
        <v>46184</v>
      </c>
      <c r="D248" t="inlineStr">
        <is>
          <t>VÄSTERNORRLANDS LÄN</t>
        </is>
      </c>
      <c r="E248" t="inlineStr">
        <is>
          <t>ÅNGE</t>
        </is>
      </c>
      <c r="F248" t="inlineStr">
        <is>
          <t>SCA</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47443-2022</t>
        </is>
      </c>
      <c r="B249" s="1" t="n">
        <v>44853.59686342593</v>
      </c>
      <c r="C249" s="1" t="n">
        <v>46184</v>
      </c>
      <c r="D249" t="inlineStr">
        <is>
          <t>VÄSTERNORRLANDS LÄN</t>
        </is>
      </c>
      <c r="E249" t="inlineStr">
        <is>
          <t>ÅNGE</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42881-2021</t>
        </is>
      </c>
      <c r="B250" s="1" t="n">
        <v>44431.31181712963</v>
      </c>
      <c r="C250" s="1" t="n">
        <v>46184</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39723-2021</t>
        </is>
      </c>
      <c r="B251" s="1" t="n">
        <v>44417.47886574074</v>
      </c>
      <c r="C251" s="1" t="n">
        <v>46184</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58942-2021</t>
        </is>
      </c>
      <c r="B252" s="1" t="n">
        <v>44489.9221875</v>
      </c>
      <c r="C252" s="1" t="n">
        <v>46184</v>
      </c>
      <c r="D252" t="inlineStr">
        <is>
          <t>VÄSTERNORRLANDS LÄN</t>
        </is>
      </c>
      <c r="E252" t="inlineStr">
        <is>
          <t>ÅNGE</t>
        </is>
      </c>
      <c r="G252" t="n">
        <v>5.6</v>
      </c>
      <c r="H252" t="n">
        <v>0</v>
      </c>
      <c r="I252" t="n">
        <v>0</v>
      </c>
      <c r="J252" t="n">
        <v>0</v>
      </c>
      <c r="K252" t="n">
        <v>0</v>
      </c>
      <c r="L252" t="n">
        <v>0</v>
      </c>
      <c r="M252" t="n">
        <v>0</v>
      </c>
      <c r="N252" t="n">
        <v>0</v>
      </c>
      <c r="O252" t="n">
        <v>0</v>
      </c>
      <c r="P252" t="n">
        <v>0</v>
      </c>
      <c r="Q252" t="n">
        <v>0</v>
      </c>
      <c r="R252" s="2" t="inlineStr"/>
    </row>
    <row r="253" ht="15" customHeight="1">
      <c r="A253" t="inlineStr">
        <is>
          <t>A 71651-2021</t>
        </is>
      </c>
      <c r="B253" s="1" t="n">
        <v>44538</v>
      </c>
      <c r="C253" s="1" t="n">
        <v>46184</v>
      </c>
      <c r="D253" t="inlineStr">
        <is>
          <t>VÄSTERNORRLANDS LÄN</t>
        </is>
      </c>
      <c r="E253" t="inlineStr">
        <is>
          <t>ÅNGE</t>
        </is>
      </c>
      <c r="G253" t="n">
        <v>4.4</v>
      </c>
      <c r="H253" t="n">
        <v>0</v>
      </c>
      <c r="I253" t="n">
        <v>0</v>
      </c>
      <c r="J253" t="n">
        <v>0</v>
      </c>
      <c r="K253" t="n">
        <v>0</v>
      </c>
      <c r="L253" t="n">
        <v>0</v>
      </c>
      <c r="M253" t="n">
        <v>0</v>
      </c>
      <c r="N253" t="n">
        <v>0</v>
      </c>
      <c r="O253" t="n">
        <v>0</v>
      </c>
      <c r="P253" t="n">
        <v>0</v>
      </c>
      <c r="Q253" t="n">
        <v>0</v>
      </c>
      <c r="R253" s="2" t="inlineStr"/>
    </row>
    <row r="254" ht="15" customHeight="1">
      <c r="A254" t="inlineStr">
        <is>
          <t>A 30345-2021</t>
        </is>
      </c>
      <c r="B254" s="1" t="n">
        <v>44364</v>
      </c>
      <c r="C254" s="1" t="n">
        <v>46184</v>
      </c>
      <c r="D254" t="inlineStr">
        <is>
          <t>VÄSTERNORRLANDS LÄN</t>
        </is>
      </c>
      <c r="E254" t="inlineStr">
        <is>
          <t>ÅNGE</t>
        </is>
      </c>
      <c r="G254" t="n">
        <v>7.7</v>
      </c>
      <c r="H254" t="n">
        <v>0</v>
      </c>
      <c r="I254" t="n">
        <v>0</v>
      </c>
      <c r="J254" t="n">
        <v>0</v>
      </c>
      <c r="K254" t="n">
        <v>0</v>
      </c>
      <c r="L254" t="n">
        <v>0</v>
      </c>
      <c r="M254" t="n">
        <v>0</v>
      </c>
      <c r="N254" t="n">
        <v>0</v>
      </c>
      <c r="O254" t="n">
        <v>0</v>
      </c>
      <c r="P254" t="n">
        <v>0</v>
      </c>
      <c r="Q254" t="n">
        <v>0</v>
      </c>
      <c r="R254" s="2" t="inlineStr"/>
    </row>
    <row r="255" ht="15" customHeight="1">
      <c r="A255" t="inlineStr">
        <is>
          <t>A 46865-2021</t>
        </is>
      </c>
      <c r="B255" s="1" t="n">
        <v>44446.39883101852</v>
      </c>
      <c r="C255" s="1" t="n">
        <v>46184</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37010-2021</t>
        </is>
      </c>
      <c r="B256" s="1" t="n">
        <v>44393</v>
      </c>
      <c r="C256" s="1" t="n">
        <v>46184</v>
      </c>
      <c r="D256" t="inlineStr">
        <is>
          <t>VÄSTERNORRLANDS LÄN</t>
        </is>
      </c>
      <c r="E256" t="inlineStr">
        <is>
          <t>ÅNGE</t>
        </is>
      </c>
      <c r="F256" t="inlineStr">
        <is>
          <t>Kyrkan</t>
        </is>
      </c>
      <c r="G256" t="n">
        <v>16.8</v>
      </c>
      <c r="H256" t="n">
        <v>0</v>
      </c>
      <c r="I256" t="n">
        <v>0</v>
      </c>
      <c r="J256" t="n">
        <v>0</v>
      </c>
      <c r="K256" t="n">
        <v>0</v>
      </c>
      <c r="L256" t="n">
        <v>0</v>
      </c>
      <c r="M256" t="n">
        <v>0</v>
      </c>
      <c r="N256" t="n">
        <v>0</v>
      </c>
      <c r="O256" t="n">
        <v>0</v>
      </c>
      <c r="P256" t="n">
        <v>0</v>
      </c>
      <c r="Q256" t="n">
        <v>0</v>
      </c>
      <c r="R256" s="2" t="inlineStr"/>
    </row>
    <row r="257" ht="15" customHeight="1">
      <c r="A257" t="inlineStr">
        <is>
          <t>A 71357-2021</t>
        </is>
      </c>
      <c r="B257" s="1" t="n">
        <v>44539.92232638889</v>
      </c>
      <c r="C257" s="1" t="n">
        <v>46184</v>
      </c>
      <c r="D257" t="inlineStr">
        <is>
          <t>VÄSTERNORRLANDS LÄN</t>
        </is>
      </c>
      <c r="E257" t="inlineStr">
        <is>
          <t>ÅNGE</t>
        </is>
      </c>
      <c r="G257" t="n">
        <v>5.4</v>
      </c>
      <c r="H257" t="n">
        <v>0</v>
      </c>
      <c r="I257" t="n">
        <v>0</v>
      </c>
      <c r="J257" t="n">
        <v>0</v>
      </c>
      <c r="K257" t="n">
        <v>0</v>
      </c>
      <c r="L257" t="n">
        <v>0</v>
      </c>
      <c r="M257" t="n">
        <v>0</v>
      </c>
      <c r="N257" t="n">
        <v>0</v>
      </c>
      <c r="O257" t="n">
        <v>0</v>
      </c>
      <c r="P257" t="n">
        <v>0</v>
      </c>
      <c r="Q257" t="n">
        <v>0</v>
      </c>
      <c r="R257" s="2" t="inlineStr"/>
    </row>
    <row r="258" ht="15" customHeight="1">
      <c r="A258" t="inlineStr">
        <is>
          <t>A 6115-2022</t>
        </is>
      </c>
      <c r="B258" s="1" t="n">
        <v>44599</v>
      </c>
      <c r="C258" s="1" t="n">
        <v>46184</v>
      </c>
      <c r="D258" t="inlineStr">
        <is>
          <t>VÄSTERNORRLANDS LÄN</t>
        </is>
      </c>
      <c r="E258" t="inlineStr">
        <is>
          <t>ÅNGE</t>
        </is>
      </c>
      <c r="G258" t="n">
        <v>1.1</v>
      </c>
      <c r="H258" t="n">
        <v>0</v>
      </c>
      <c r="I258" t="n">
        <v>0</v>
      </c>
      <c r="J258" t="n">
        <v>0</v>
      </c>
      <c r="K258" t="n">
        <v>0</v>
      </c>
      <c r="L258" t="n">
        <v>0</v>
      </c>
      <c r="M258" t="n">
        <v>0</v>
      </c>
      <c r="N258" t="n">
        <v>0</v>
      </c>
      <c r="O258" t="n">
        <v>0</v>
      </c>
      <c r="P258" t="n">
        <v>0</v>
      </c>
      <c r="Q258" t="n">
        <v>0</v>
      </c>
      <c r="R258" s="2" t="inlineStr"/>
    </row>
    <row r="259" ht="15" customHeight="1">
      <c r="A259" t="inlineStr">
        <is>
          <t>A 49137-2021</t>
        </is>
      </c>
      <c r="B259" s="1" t="n">
        <v>44453</v>
      </c>
      <c r="C259" s="1" t="n">
        <v>46184</v>
      </c>
      <c r="D259" t="inlineStr">
        <is>
          <t>VÄSTERNORRLANDS LÄN</t>
        </is>
      </c>
      <c r="E259" t="inlineStr">
        <is>
          <t>ÅNGE</t>
        </is>
      </c>
      <c r="G259" t="n">
        <v>2.3</v>
      </c>
      <c r="H259" t="n">
        <v>0</v>
      </c>
      <c r="I259" t="n">
        <v>0</v>
      </c>
      <c r="J259" t="n">
        <v>0</v>
      </c>
      <c r="K259" t="n">
        <v>0</v>
      </c>
      <c r="L259" t="n">
        <v>0</v>
      </c>
      <c r="M259" t="n">
        <v>0</v>
      </c>
      <c r="N259" t="n">
        <v>0</v>
      </c>
      <c r="O259" t="n">
        <v>0</v>
      </c>
      <c r="P259" t="n">
        <v>0</v>
      </c>
      <c r="Q259" t="n">
        <v>0</v>
      </c>
      <c r="R259" s="2" t="inlineStr"/>
    </row>
    <row r="260" ht="15" customHeight="1">
      <c r="A260" t="inlineStr">
        <is>
          <t>A 50333-2021</t>
        </is>
      </c>
      <c r="B260" s="1" t="n">
        <v>44454</v>
      </c>
      <c r="C260" s="1" t="n">
        <v>46184</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65790-2021</t>
        </is>
      </c>
      <c r="B261" s="1" t="n">
        <v>44516.94785879629</v>
      </c>
      <c r="C261" s="1" t="n">
        <v>46184</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51163-2021</t>
        </is>
      </c>
      <c r="B262" s="1" t="n">
        <v>44461.4665625</v>
      </c>
      <c r="C262" s="1" t="n">
        <v>46184</v>
      </c>
      <c r="D262" t="inlineStr">
        <is>
          <t>VÄSTERNORRLANDS LÄN</t>
        </is>
      </c>
      <c r="E262" t="inlineStr">
        <is>
          <t>ÅNGE</t>
        </is>
      </c>
      <c r="G262" t="n">
        <v>2.5</v>
      </c>
      <c r="H262" t="n">
        <v>0</v>
      </c>
      <c r="I262" t="n">
        <v>0</v>
      </c>
      <c r="J262" t="n">
        <v>0</v>
      </c>
      <c r="K262" t="n">
        <v>0</v>
      </c>
      <c r="L262" t="n">
        <v>0</v>
      </c>
      <c r="M262" t="n">
        <v>0</v>
      </c>
      <c r="N262" t="n">
        <v>0</v>
      </c>
      <c r="O262" t="n">
        <v>0</v>
      </c>
      <c r="P262" t="n">
        <v>0</v>
      </c>
      <c r="Q262" t="n">
        <v>0</v>
      </c>
      <c r="R262" s="2" t="inlineStr"/>
    </row>
    <row r="263" ht="15" customHeight="1">
      <c r="A263" t="inlineStr">
        <is>
          <t>A 55912-2021</t>
        </is>
      </c>
      <c r="B263" s="1" t="n">
        <v>44476.91979166667</v>
      </c>
      <c r="C263" s="1" t="n">
        <v>46184</v>
      </c>
      <c r="D263" t="inlineStr">
        <is>
          <t>VÄSTERNORRLANDS LÄN</t>
        </is>
      </c>
      <c r="E263" t="inlineStr">
        <is>
          <t>ÅNGE</t>
        </is>
      </c>
      <c r="G263" t="n">
        <v>0.6</v>
      </c>
      <c r="H263" t="n">
        <v>0</v>
      </c>
      <c r="I263" t="n">
        <v>0</v>
      </c>
      <c r="J263" t="n">
        <v>0</v>
      </c>
      <c r="K263" t="n">
        <v>0</v>
      </c>
      <c r="L263" t="n">
        <v>0</v>
      </c>
      <c r="M263" t="n">
        <v>0</v>
      </c>
      <c r="N263" t="n">
        <v>0</v>
      </c>
      <c r="O263" t="n">
        <v>0</v>
      </c>
      <c r="P263" t="n">
        <v>0</v>
      </c>
      <c r="Q263" t="n">
        <v>0</v>
      </c>
      <c r="R263" s="2" t="inlineStr"/>
    </row>
    <row r="264" ht="15" customHeight="1">
      <c r="A264" t="inlineStr">
        <is>
          <t>A 5565-2022</t>
        </is>
      </c>
      <c r="B264" s="1" t="n">
        <v>44595</v>
      </c>
      <c r="C264" s="1" t="n">
        <v>46184</v>
      </c>
      <c r="D264" t="inlineStr">
        <is>
          <t>VÄSTERNORRLANDS LÄN</t>
        </is>
      </c>
      <c r="E264" t="inlineStr">
        <is>
          <t>ÅNGE</t>
        </is>
      </c>
      <c r="G264" t="n">
        <v>0.3</v>
      </c>
      <c r="H264" t="n">
        <v>0</v>
      </c>
      <c r="I264" t="n">
        <v>0</v>
      </c>
      <c r="J264" t="n">
        <v>0</v>
      </c>
      <c r="K264" t="n">
        <v>0</v>
      </c>
      <c r="L264" t="n">
        <v>0</v>
      </c>
      <c r="M264" t="n">
        <v>0</v>
      </c>
      <c r="N264" t="n">
        <v>0</v>
      </c>
      <c r="O264" t="n">
        <v>0</v>
      </c>
      <c r="P264" t="n">
        <v>0</v>
      </c>
      <c r="Q264" t="n">
        <v>0</v>
      </c>
      <c r="R264" s="2" t="inlineStr"/>
    </row>
    <row r="265" ht="15" customHeight="1">
      <c r="A265" t="inlineStr">
        <is>
          <t>A 66229-2021</t>
        </is>
      </c>
      <c r="B265" s="1" t="n">
        <v>44518.3875</v>
      </c>
      <c r="C265" s="1" t="n">
        <v>46184</v>
      </c>
      <c r="D265" t="inlineStr">
        <is>
          <t>VÄSTERNORRLANDS LÄN</t>
        </is>
      </c>
      <c r="E265" t="inlineStr">
        <is>
          <t>ÅNGE</t>
        </is>
      </c>
      <c r="G265" t="n">
        <v>3.5</v>
      </c>
      <c r="H265" t="n">
        <v>0</v>
      </c>
      <c r="I265" t="n">
        <v>0</v>
      </c>
      <c r="J265" t="n">
        <v>0</v>
      </c>
      <c r="K265" t="n">
        <v>0</v>
      </c>
      <c r="L265" t="n">
        <v>0</v>
      </c>
      <c r="M265" t="n">
        <v>0</v>
      </c>
      <c r="N265" t="n">
        <v>0</v>
      </c>
      <c r="O265" t="n">
        <v>0</v>
      </c>
      <c r="P265" t="n">
        <v>0</v>
      </c>
      <c r="Q265" t="n">
        <v>0</v>
      </c>
      <c r="R265" s="2" t="inlineStr"/>
    </row>
    <row r="266" ht="15" customHeight="1">
      <c r="A266" t="inlineStr">
        <is>
          <t>A 35058-2021</t>
        </is>
      </c>
      <c r="B266" s="1" t="n">
        <v>44383</v>
      </c>
      <c r="C266" s="1" t="n">
        <v>46184</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35079-2021</t>
        </is>
      </c>
      <c r="B267" s="1" t="n">
        <v>44383</v>
      </c>
      <c r="C267" s="1" t="n">
        <v>46184</v>
      </c>
      <c r="D267" t="inlineStr">
        <is>
          <t>VÄSTERNORRLANDS LÄN</t>
        </is>
      </c>
      <c r="E267" t="inlineStr">
        <is>
          <t>ÅNGE</t>
        </is>
      </c>
      <c r="G267" t="n">
        <v>2.8</v>
      </c>
      <c r="H267" t="n">
        <v>0</v>
      </c>
      <c r="I267" t="n">
        <v>0</v>
      </c>
      <c r="J267" t="n">
        <v>0</v>
      </c>
      <c r="K267" t="n">
        <v>0</v>
      </c>
      <c r="L267" t="n">
        <v>0</v>
      </c>
      <c r="M267" t="n">
        <v>0</v>
      </c>
      <c r="N267" t="n">
        <v>0</v>
      </c>
      <c r="O267" t="n">
        <v>0</v>
      </c>
      <c r="P267" t="n">
        <v>0</v>
      </c>
      <c r="Q267" t="n">
        <v>0</v>
      </c>
      <c r="R267" s="2" t="inlineStr"/>
    </row>
    <row r="268" ht="15" customHeight="1">
      <c r="A268" t="inlineStr">
        <is>
          <t>A 4939-2022</t>
        </is>
      </c>
      <c r="B268" s="1" t="n">
        <v>44593.50019675926</v>
      </c>
      <c r="C268" s="1" t="n">
        <v>46184</v>
      </c>
      <c r="D268" t="inlineStr">
        <is>
          <t>VÄSTERNORRLANDS LÄN</t>
        </is>
      </c>
      <c r="E268" t="inlineStr">
        <is>
          <t>ÅNGE</t>
        </is>
      </c>
      <c r="G268" t="n">
        <v>1.7</v>
      </c>
      <c r="H268" t="n">
        <v>0</v>
      </c>
      <c r="I268" t="n">
        <v>0</v>
      </c>
      <c r="J268" t="n">
        <v>0</v>
      </c>
      <c r="K268" t="n">
        <v>0</v>
      </c>
      <c r="L268" t="n">
        <v>0</v>
      </c>
      <c r="M268" t="n">
        <v>0</v>
      </c>
      <c r="N268" t="n">
        <v>0</v>
      </c>
      <c r="O268" t="n">
        <v>0</v>
      </c>
      <c r="P268" t="n">
        <v>0</v>
      </c>
      <c r="Q268" t="n">
        <v>0</v>
      </c>
      <c r="R268" s="2" t="inlineStr"/>
    </row>
    <row r="269" ht="15" customHeight="1">
      <c r="A269" t="inlineStr">
        <is>
          <t>A 50125-2021</t>
        </is>
      </c>
      <c r="B269" s="1" t="n">
        <v>44456</v>
      </c>
      <c r="C269" s="1" t="n">
        <v>46184</v>
      </c>
      <c r="D269" t="inlineStr">
        <is>
          <t>VÄSTERNORRLANDS LÄN</t>
        </is>
      </c>
      <c r="E269" t="inlineStr">
        <is>
          <t>ÅNGE</t>
        </is>
      </c>
      <c r="G269" t="n">
        <v>1.2</v>
      </c>
      <c r="H269" t="n">
        <v>0</v>
      </c>
      <c r="I269" t="n">
        <v>0</v>
      </c>
      <c r="J269" t="n">
        <v>0</v>
      </c>
      <c r="K269" t="n">
        <v>0</v>
      </c>
      <c r="L269" t="n">
        <v>0</v>
      </c>
      <c r="M269" t="n">
        <v>0</v>
      </c>
      <c r="N269" t="n">
        <v>0</v>
      </c>
      <c r="O269" t="n">
        <v>0</v>
      </c>
      <c r="P269" t="n">
        <v>0</v>
      </c>
      <c r="Q269" t="n">
        <v>0</v>
      </c>
      <c r="R269" s="2" t="inlineStr"/>
    </row>
    <row r="270" ht="15" customHeight="1">
      <c r="A270" t="inlineStr">
        <is>
          <t>A 69736-2021</t>
        </is>
      </c>
      <c r="B270" s="1" t="n">
        <v>44532</v>
      </c>
      <c r="C270" s="1" t="n">
        <v>46184</v>
      </c>
      <c r="D270" t="inlineStr">
        <is>
          <t>VÄSTERNORRLANDS LÄN</t>
        </is>
      </c>
      <c r="E270" t="inlineStr">
        <is>
          <t>ÅNGE</t>
        </is>
      </c>
      <c r="G270" t="n">
        <v>5</v>
      </c>
      <c r="H270" t="n">
        <v>0</v>
      </c>
      <c r="I270" t="n">
        <v>0</v>
      </c>
      <c r="J270" t="n">
        <v>0</v>
      </c>
      <c r="K270" t="n">
        <v>0</v>
      </c>
      <c r="L270" t="n">
        <v>0</v>
      </c>
      <c r="M270" t="n">
        <v>0</v>
      </c>
      <c r="N270" t="n">
        <v>0</v>
      </c>
      <c r="O270" t="n">
        <v>0</v>
      </c>
      <c r="P270" t="n">
        <v>0</v>
      </c>
      <c r="Q270" t="n">
        <v>0</v>
      </c>
      <c r="R270" s="2" t="inlineStr"/>
    </row>
    <row r="271" ht="15" customHeight="1">
      <c r="A271" t="inlineStr">
        <is>
          <t>A 6898-2022</t>
        </is>
      </c>
      <c r="B271" s="1" t="n">
        <v>44602.92141203704</v>
      </c>
      <c r="C271" s="1" t="n">
        <v>46184</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5279-2022</t>
        </is>
      </c>
      <c r="B272" s="1" t="n">
        <v>44594</v>
      </c>
      <c r="C272" s="1" t="n">
        <v>46184</v>
      </c>
      <c r="D272" t="inlineStr">
        <is>
          <t>VÄSTERNORRLANDS LÄN</t>
        </is>
      </c>
      <c r="E272" t="inlineStr">
        <is>
          <t>ÅNGE</t>
        </is>
      </c>
      <c r="G272" t="n">
        <v>0.9</v>
      </c>
      <c r="H272" t="n">
        <v>0</v>
      </c>
      <c r="I272" t="n">
        <v>0</v>
      </c>
      <c r="J272" t="n">
        <v>0</v>
      </c>
      <c r="K272" t="n">
        <v>0</v>
      </c>
      <c r="L272" t="n">
        <v>0</v>
      </c>
      <c r="M272" t="n">
        <v>0</v>
      </c>
      <c r="N272" t="n">
        <v>0</v>
      </c>
      <c r="O272" t="n">
        <v>0</v>
      </c>
      <c r="P272" t="n">
        <v>0</v>
      </c>
      <c r="Q272" t="n">
        <v>0</v>
      </c>
      <c r="R272" s="2" t="inlineStr"/>
    </row>
    <row r="273" ht="15" customHeight="1">
      <c r="A273" t="inlineStr">
        <is>
          <t>A 66560-2021</t>
        </is>
      </c>
      <c r="B273" s="1" t="n">
        <v>44519</v>
      </c>
      <c r="C273" s="1" t="n">
        <v>46184</v>
      </c>
      <c r="D273" t="inlineStr">
        <is>
          <t>VÄSTERNORRLANDS LÄN</t>
        </is>
      </c>
      <c r="E273" t="inlineStr">
        <is>
          <t>ÅNGE</t>
        </is>
      </c>
      <c r="G273" t="n">
        <v>2.6</v>
      </c>
      <c r="H273" t="n">
        <v>0</v>
      </c>
      <c r="I273" t="n">
        <v>0</v>
      </c>
      <c r="J273" t="n">
        <v>0</v>
      </c>
      <c r="K273" t="n">
        <v>0</v>
      </c>
      <c r="L273" t="n">
        <v>0</v>
      </c>
      <c r="M273" t="n">
        <v>0</v>
      </c>
      <c r="N273" t="n">
        <v>0</v>
      </c>
      <c r="O273" t="n">
        <v>0</v>
      </c>
      <c r="P273" t="n">
        <v>0</v>
      </c>
      <c r="Q273" t="n">
        <v>0</v>
      </c>
      <c r="R273" s="2" t="inlineStr"/>
    </row>
    <row r="274" ht="15" customHeight="1">
      <c r="A274" t="inlineStr">
        <is>
          <t>A 31647-2022</t>
        </is>
      </c>
      <c r="B274" s="1" t="n">
        <v>44775.94328703704</v>
      </c>
      <c r="C274" s="1" t="n">
        <v>46184</v>
      </c>
      <c r="D274" t="inlineStr">
        <is>
          <t>VÄSTERNORRLANDS LÄN</t>
        </is>
      </c>
      <c r="E274" t="inlineStr">
        <is>
          <t>ÅNGE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24355-2022</t>
        </is>
      </c>
      <c r="B275" s="1" t="n">
        <v>44726.3816087963</v>
      </c>
      <c r="C275" s="1" t="n">
        <v>46184</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35507-2022</t>
        </is>
      </c>
      <c r="B276" s="1" t="n">
        <v>44798</v>
      </c>
      <c r="C276" s="1" t="n">
        <v>46184</v>
      </c>
      <c r="D276" t="inlineStr">
        <is>
          <t>VÄSTERNORRLANDS LÄN</t>
        </is>
      </c>
      <c r="E276" t="inlineStr">
        <is>
          <t>ÅNGE</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10680-2022</t>
        </is>
      </c>
      <c r="B277" s="1" t="n">
        <v>44624</v>
      </c>
      <c r="C277" s="1" t="n">
        <v>46184</v>
      </c>
      <c r="D277" t="inlineStr">
        <is>
          <t>VÄSTERNORRLANDS LÄN</t>
        </is>
      </c>
      <c r="E277" t="inlineStr">
        <is>
          <t>ÅNGE</t>
        </is>
      </c>
      <c r="G277" t="n">
        <v>1</v>
      </c>
      <c r="H277" t="n">
        <v>0</v>
      </c>
      <c r="I277" t="n">
        <v>0</v>
      </c>
      <c r="J277" t="n">
        <v>0</v>
      </c>
      <c r="K277" t="n">
        <v>0</v>
      </c>
      <c r="L277" t="n">
        <v>0</v>
      </c>
      <c r="M277" t="n">
        <v>0</v>
      </c>
      <c r="N277" t="n">
        <v>0</v>
      </c>
      <c r="O277" t="n">
        <v>0</v>
      </c>
      <c r="P277" t="n">
        <v>0</v>
      </c>
      <c r="Q277" t="n">
        <v>0</v>
      </c>
      <c r="R277" s="2" t="inlineStr"/>
    </row>
    <row r="278" ht="15" customHeight="1">
      <c r="A278" t="inlineStr">
        <is>
          <t>A 10686-2022</t>
        </is>
      </c>
      <c r="B278" s="1" t="n">
        <v>44624.92680555556</v>
      </c>
      <c r="C278" s="1" t="n">
        <v>46184</v>
      </c>
      <c r="D278" t="inlineStr">
        <is>
          <t>VÄSTERNORRLANDS LÄN</t>
        </is>
      </c>
      <c r="E278" t="inlineStr">
        <is>
          <t>ÅNGE</t>
        </is>
      </c>
      <c r="G278" t="n">
        <v>1.2</v>
      </c>
      <c r="H278" t="n">
        <v>0</v>
      </c>
      <c r="I278" t="n">
        <v>0</v>
      </c>
      <c r="J278" t="n">
        <v>0</v>
      </c>
      <c r="K278" t="n">
        <v>0</v>
      </c>
      <c r="L278" t="n">
        <v>0</v>
      </c>
      <c r="M278" t="n">
        <v>0</v>
      </c>
      <c r="N278" t="n">
        <v>0</v>
      </c>
      <c r="O278" t="n">
        <v>0</v>
      </c>
      <c r="P278" t="n">
        <v>0</v>
      </c>
      <c r="Q278" t="n">
        <v>0</v>
      </c>
      <c r="R278" s="2" t="inlineStr"/>
    </row>
    <row r="279" ht="15" customHeight="1">
      <c r="A279" t="inlineStr">
        <is>
          <t>A 62870-2021</t>
        </is>
      </c>
      <c r="B279" s="1" t="n">
        <v>44503</v>
      </c>
      <c r="C279" s="1" t="n">
        <v>46184</v>
      </c>
      <c r="D279" t="inlineStr">
        <is>
          <t>VÄSTERNORRLANDS LÄN</t>
        </is>
      </c>
      <c r="E279" t="inlineStr">
        <is>
          <t>ÅNGE</t>
        </is>
      </c>
      <c r="F279" t="inlineStr">
        <is>
          <t>Övriga statliga verk och myndigheter</t>
        </is>
      </c>
      <c r="G279" t="n">
        <v>3</v>
      </c>
      <c r="H279" t="n">
        <v>0</v>
      </c>
      <c r="I279" t="n">
        <v>0</v>
      </c>
      <c r="J279" t="n">
        <v>0</v>
      </c>
      <c r="K279" t="n">
        <v>0</v>
      </c>
      <c r="L279" t="n">
        <v>0</v>
      </c>
      <c r="M279" t="n">
        <v>0</v>
      </c>
      <c r="N279" t="n">
        <v>0</v>
      </c>
      <c r="O279" t="n">
        <v>0</v>
      </c>
      <c r="P279" t="n">
        <v>0</v>
      </c>
      <c r="Q279" t="n">
        <v>0</v>
      </c>
      <c r="R279" s="2" t="inlineStr"/>
    </row>
    <row r="280" ht="15" customHeight="1">
      <c r="A280" t="inlineStr">
        <is>
          <t>A 14084-2022</t>
        </is>
      </c>
      <c r="B280" s="1" t="n">
        <v>44651</v>
      </c>
      <c r="C280" s="1" t="n">
        <v>46184</v>
      </c>
      <c r="D280" t="inlineStr">
        <is>
          <t>VÄSTERNORRLANDS LÄN</t>
        </is>
      </c>
      <c r="E280" t="inlineStr">
        <is>
          <t>ÅNGE</t>
        </is>
      </c>
      <c r="G280" t="n">
        <v>1</v>
      </c>
      <c r="H280" t="n">
        <v>0</v>
      </c>
      <c r="I280" t="n">
        <v>0</v>
      </c>
      <c r="J280" t="n">
        <v>0</v>
      </c>
      <c r="K280" t="n">
        <v>0</v>
      </c>
      <c r="L280" t="n">
        <v>0</v>
      </c>
      <c r="M280" t="n">
        <v>0</v>
      </c>
      <c r="N280" t="n">
        <v>0</v>
      </c>
      <c r="O280" t="n">
        <v>0</v>
      </c>
      <c r="P280" t="n">
        <v>0</v>
      </c>
      <c r="Q280" t="n">
        <v>0</v>
      </c>
      <c r="R280" s="2" t="inlineStr"/>
    </row>
    <row r="281" ht="15" customHeight="1">
      <c r="A281" t="inlineStr">
        <is>
          <t>A 14091-2022</t>
        </is>
      </c>
      <c r="B281" s="1" t="n">
        <v>44651</v>
      </c>
      <c r="C281" s="1" t="n">
        <v>46184</v>
      </c>
      <c r="D281" t="inlineStr">
        <is>
          <t>VÄSTERNORRLANDS LÄN</t>
        </is>
      </c>
      <c r="E281" t="inlineStr">
        <is>
          <t>ÅNGE</t>
        </is>
      </c>
      <c r="G281" t="n">
        <v>2.4</v>
      </c>
      <c r="H281" t="n">
        <v>0</v>
      </c>
      <c r="I281" t="n">
        <v>0</v>
      </c>
      <c r="J281" t="n">
        <v>0</v>
      </c>
      <c r="K281" t="n">
        <v>0</v>
      </c>
      <c r="L281" t="n">
        <v>0</v>
      </c>
      <c r="M281" t="n">
        <v>0</v>
      </c>
      <c r="N281" t="n">
        <v>0</v>
      </c>
      <c r="O281" t="n">
        <v>0</v>
      </c>
      <c r="P281" t="n">
        <v>0</v>
      </c>
      <c r="Q281" t="n">
        <v>0</v>
      </c>
      <c r="R281" s="2" t="inlineStr"/>
    </row>
    <row r="282" ht="15" customHeight="1">
      <c r="A282" t="inlineStr">
        <is>
          <t>A 5366-2022</t>
        </is>
      </c>
      <c r="B282" s="1" t="n">
        <v>44594.92107638889</v>
      </c>
      <c r="C282" s="1" t="n">
        <v>46184</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46351-2022</t>
        </is>
      </c>
      <c r="B283" s="1" t="n">
        <v>44847</v>
      </c>
      <c r="C283" s="1" t="n">
        <v>46184</v>
      </c>
      <c r="D283" t="inlineStr">
        <is>
          <t>VÄSTERNORRLANDS LÄN</t>
        </is>
      </c>
      <c r="E283" t="inlineStr">
        <is>
          <t>ÅNGE</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44413-2022</t>
        </is>
      </c>
      <c r="B284" s="1" t="n">
        <v>44839.92630787037</v>
      </c>
      <c r="C284" s="1" t="n">
        <v>46184</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53010-2022</t>
        </is>
      </c>
      <c r="B285" s="1" t="n">
        <v>44875</v>
      </c>
      <c r="C285" s="1" t="n">
        <v>46184</v>
      </c>
      <c r="D285" t="inlineStr">
        <is>
          <t>VÄSTERNORRLANDS LÄN</t>
        </is>
      </c>
      <c r="E285" t="inlineStr">
        <is>
          <t>ÅNGE</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55905-2021</t>
        </is>
      </c>
      <c r="B286" s="1" t="n">
        <v>44476.91895833334</v>
      </c>
      <c r="C286" s="1" t="n">
        <v>46184</v>
      </c>
      <c r="D286" t="inlineStr">
        <is>
          <t>VÄSTERNORRLANDS LÄN</t>
        </is>
      </c>
      <c r="E286" t="inlineStr">
        <is>
          <t>ÅNGE</t>
        </is>
      </c>
      <c r="G286" t="n">
        <v>0.9</v>
      </c>
      <c r="H286" t="n">
        <v>0</v>
      </c>
      <c r="I286" t="n">
        <v>0</v>
      </c>
      <c r="J286" t="n">
        <v>0</v>
      </c>
      <c r="K286" t="n">
        <v>0</v>
      </c>
      <c r="L286" t="n">
        <v>0</v>
      </c>
      <c r="M286" t="n">
        <v>0</v>
      </c>
      <c r="N286" t="n">
        <v>0</v>
      </c>
      <c r="O286" t="n">
        <v>0</v>
      </c>
      <c r="P286" t="n">
        <v>0</v>
      </c>
      <c r="Q286" t="n">
        <v>0</v>
      </c>
      <c r="R286" s="2" t="inlineStr"/>
    </row>
    <row r="287" ht="15" customHeight="1">
      <c r="A287" t="inlineStr">
        <is>
          <t>A 17580-2022</t>
        </is>
      </c>
      <c r="B287" s="1" t="n">
        <v>44679</v>
      </c>
      <c r="C287" s="1" t="n">
        <v>46184</v>
      </c>
      <c r="D287" t="inlineStr">
        <is>
          <t>VÄSTERNORRLANDS LÄN</t>
        </is>
      </c>
      <c r="E287" t="inlineStr">
        <is>
          <t>ÅNGE</t>
        </is>
      </c>
      <c r="G287" t="n">
        <v>0.6</v>
      </c>
      <c r="H287" t="n">
        <v>0</v>
      </c>
      <c r="I287" t="n">
        <v>0</v>
      </c>
      <c r="J287" t="n">
        <v>0</v>
      </c>
      <c r="K287" t="n">
        <v>0</v>
      </c>
      <c r="L287" t="n">
        <v>0</v>
      </c>
      <c r="M287" t="n">
        <v>0</v>
      </c>
      <c r="N287" t="n">
        <v>0</v>
      </c>
      <c r="O287" t="n">
        <v>0</v>
      </c>
      <c r="P287" t="n">
        <v>0</v>
      </c>
      <c r="Q287" t="n">
        <v>0</v>
      </c>
      <c r="R287" s="2" t="inlineStr"/>
    </row>
    <row r="288" ht="15" customHeight="1">
      <c r="A288" t="inlineStr">
        <is>
          <t>A 37605-2021</t>
        </is>
      </c>
      <c r="B288" s="1" t="n">
        <v>44399</v>
      </c>
      <c r="C288" s="1" t="n">
        <v>46184</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37620-2021</t>
        </is>
      </c>
      <c r="B289" s="1" t="n">
        <v>44399</v>
      </c>
      <c r="C289" s="1" t="n">
        <v>46184</v>
      </c>
      <c r="D289" t="inlineStr">
        <is>
          <t>VÄSTERNORRLANDS LÄN</t>
        </is>
      </c>
      <c r="E289" t="inlineStr">
        <is>
          <t>ÅNGE</t>
        </is>
      </c>
      <c r="G289" t="n">
        <v>4.3</v>
      </c>
      <c r="H289" t="n">
        <v>0</v>
      </c>
      <c r="I289" t="n">
        <v>0</v>
      </c>
      <c r="J289" t="n">
        <v>0</v>
      </c>
      <c r="K289" t="n">
        <v>0</v>
      </c>
      <c r="L289" t="n">
        <v>0</v>
      </c>
      <c r="M289" t="n">
        <v>0</v>
      </c>
      <c r="N289" t="n">
        <v>0</v>
      </c>
      <c r="O289" t="n">
        <v>0</v>
      </c>
      <c r="P289" t="n">
        <v>0</v>
      </c>
      <c r="Q289" t="n">
        <v>0</v>
      </c>
      <c r="R289" s="2" t="inlineStr"/>
    </row>
    <row r="290" ht="15" customHeight="1">
      <c r="A290" t="inlineStr">
        <is>
          <t>A 70893-2021</t>
        </is>
      </c>
      <c r="B290" s="1" t="n">
        <v>44538</v>
      </c>
      <c r="C290" s="1" t="n">
        <v>46184</v>
      </c>
      <c r="D290" t="inlineStr">
        <is>
          <t>VÄSTERNORRLANDS LÄN</t>
        </is>
      </c>
      <c r="E290" t="inlineStr">
        <is>
          <t>ÅNGE</t>
        </is>
      </c>
      <c r="G290" t="n">
        <v>6.2</v>
      </c>
      <c r="H290" t="n">
        <v>0</v>
      </c>
      <c r="I290" t="n">
        <v>0</v>
      </c>
      <c r="J290" t="n">
        <v>0</v>
      </c>
      <c r="K290" t="n">
        <v>0</v>
      </c>
      <c r="L290" t="n">
        <v>0</v>
      </c>
      <c r="M290" t="n">
        <v>0</v>
      </c>
      <c r="N290" t="n">
        <v>0</v>
      </c>
      <c r="O290" t="n">
        <v>0</v>
      </c>
      <c r="P290" t="n">
        <v>0</v>
      </c>
      <c r="Q290" t="n">
        <v>0</v>
      </c>
      <c r="R290" s="2" t="inlineStr"/>
    </row>
    <row r="291" ht="15" customHeight="1">
      <c r="A291" t="inlineStr">
        <is>
          <t>A 20369-2022</t>
        </is>
      </c>
      <c r="B291" s="1" t="n">
        <v>44699.41140046297</v>
      </c>
      <c r="C291" s="1" t="n">
        <v>46184</v>
      </c>
      <c r="D291" t="inlineStr">
        <is>
          <t>VÄSTERNORRLANDS LÄN</t>
        </is>
      </c>
      <c r="E291" t="inlineStr">
        <is>
          <t>ÅNGE</t>
        </is>
      </c>
      <c r="G291" t="n">
        <v>5.5</v>
      </c>
      <c r="H291" t="n">
        <v>0</v>
      </c>
      <c r="I291" t="n">
        <v>0</v>
      </c>
      <c r="J291" t="n">
        <v>0</v>
      </c>
      <c r="K291" t="n">
        <v>0</v>
      </c>
      <c r="L291" t="n">
        <v>0</v>
      </c>
      <c r="M291" t="n">
        <v>0</v>
      </c>
      <c r="N291" t="n">
        <v>0</v>
      </c>
      <c r="O291" t="n">
        <v>0</v>
      </c>
      <c r="P291" t="n">
        <v>0</v>
      </c>
      <c r="Q291" t="n">
        <v>0</v>
      </c>
      <c r="R291" s="2" t="inlineStr"/>
    </row>
    <row r="292" ht="15" customHeight="1">
      <c r="A292" t="inlineStr">
        <is>
          <t>A 5113-2022</t>
        </is>
      </c>
      <c r="B292" s="1" t="n">
        <v>44593.93362268519</v>
      </c>
      <c r="C292" s="1" t="n">
        <v>46184</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31668-2021</t>
        </is>
      </c>
      <c r="B293" s="1" t="n">
        <v>44369</v>
      </c>
      <c r="C293" s="1" t="n">
        <v>46184</v>
      </c>
      <c r="D293" t="inlineStr">
        <is>
          <t>VÄSTERNORRLANDS LÄN</t>
        </is>
      </c>
      <c r="E293" t="inlineStr">
        <is>
          <t>ÅNGE</t>
        </is>
      </c>
      <c r="F293" t="inlineStr">
        <is>
          <t>Kyrkan</t>
        </is>
      </c>
      <c r="G293" t="n">
        <v>3.6</v>
      </c>
      <c r="H293" t="n">
        <v>0</v>
      </c>
      <c r="I293" t="n">
        <v>0</v>
      </c>
      <c r="J293" t="n">
        <v>0</v>
      </c>
      <c r="K293" t="n">
        <v>0</v>
      </c>
      <c r="L293" t="n">
        <v>0</v>
      </c>
      <c r="M293" t="n">
        <v>0</v>
      </c>
      <c r="N293" t="n">
        <v>0</v>
      </c>
      <c r="O293" t="n">
        <v>0</v>
      </c>
      <c r="P293" t="n">
        <v>0</v>
      </c>
      <c r="Q293" t="n">
        <v>0</v>
      </c>
      <c r="R293" s="2" t="inlineStr"/>
    </row>
    <row r="294" ht="15" customHeight="1">
      <c r="A294" t="inlineStr">
        <is>
          <t>A 32328-2021</t>
        </is>
      </c>
      <c r="B294" s="1" t="n">
        <v>44371.55924768518</v>
      </c>
      <c r="C294" s="1" t="n">
        <v>46184</v>
      </c>
      <c r="D294" t="inlineStr">
        <is>
          <t>VÄSTERNORRLANDS LÄN</t>
        </is>
      </c>
      <c r="E294" t="inlineStr">
        <is>
          <t>ÅNGE</t>
        </is>
      </c>
      <c r="G294" t="n">
        <v>0.9</v>
      </c>
      <c r="H294" t="n">
        <v>0</v>
      </c>
      <c r="I294" t="n">
        <v>0</v>
      </c>
      <c r="J294" t="n">
        <v>0</v>
      </c>
      <c r="K294" t="n">
        <v>0</v>
      </c>
      <c r="L294" t="n">
        <v>0</v>
      </c>
      <c r="M294" t="n">
        <v>0</v>
      </c>
      <c r="N294" t="n">
        <v>0</v>
      </c>
      <c r="O294" t="n">
        <v>0</v>
      </c>
      <c r="P294" t="n">
        <v>0</v>
      </c>
      <c r="Q294" t="n">
        <v>0</v>
      </c>
      <c r="R294" s="2" t="inlineStr"/>
    </row>
    <row r="295" ht="15" customHeight="1">
      <c r="A295" t="inlineStr">
        <is>
          <t>A 61761-2021</t>
        </is>
      </c>
      <c r="B295" s="1" t="n">
        <v>44501</v>
      </c>
      <c r="C295" s="1" t="n">
        <v>46184</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37621-2021</t>
        </is>
      </c>
      <c r="B296" s="1" t="n">
        <v>44399</v>
      </c>
      <c r="C296" s="1" t="n">
        <v>46184</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30768-2022</t>
        </is>
      </c>
      <c r="B297" s="1" t="n">
        <v>44764.53608796297</v>
      </c>
      <c r="C297" s="1" t="n">
        <v>46184</v>
      </c>
      <c r="D297" t="inlineStr">
        <is>
          <t>VÄSTERNORRLANDS LÄN</t>
        </is>
      </c>
      <c r="E297" t="inlineStr">
        <is>
          <t>ÅNGE</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66233-2021</t>
        </is>
      </c>
      <c r="B298" s="1" t="n">
        <v>44518.39234953704</v>
      </c>
      <c r="C298" s="1" t="n">
        <v>46184</v>
      </c>
      <c r="D298" t="inlineStr">
        <is>
          <t>VÄSTERNORRLANDS LÄN</t>
        </is>
      </c>
      <c r="E298" t="inlineStr">
        <is>
          <t>ÅNGE</t>
        </is>
      </c>
      <c r="G298" t="n">
        <v>3.1</v>
      </c>
      <c r="H298" t="n">
        <v>0</v>
      </c>
      <c r="I298" t="n">
        <v>0</v>
      </c>
      <c r="J298" t="n">
        <v>0</v>
      </c>
      <c r="K298" t="n">
        <v>0</v>
      </c>
      <c r="L298" t="n">
        <v>0</v>
      </c>
      <c r="M298" t="n">
        <v>0</v>
      </c>
      <c r="N298" t="n">
        <v>0</v>
      </c>
      <c r="O298" t="n">
        <v>0</v>
      </c>
      <c r="P298" t="n">
        <v>0</v>
      </c>
      <c r="Q298" t="n">
        <v>0</v>
      </c>
      <c r="R298" s="2" t="inlineStr"/>
    </row>
    <row r="299" ht="15" customHeight="1">
      <c r="A299" t="inlineStr">
        <is>
          <t>A 51494-2022</t>
        </is>
      </c>
      <c r="B299" s="1" t="n">
        <v>44869</v>
      </c>
      <c r="C299" s="1" t="n">
        <v>46184</v>
      </c>
      <c r="D299" t="inlineStr">
        <is>
          <t>VÄSTERNORRLANDS LÄN</t>
        </is>
      </c>
      <c r="E299" t="inlineStr">
        <is>
          <t>ÅNGE</t>
        </is>
      </c>
      <c r="G299" t="n">
        <v>1.2</v>
      </c>
      <c r="H299" t="n">
        <v>0</v>
      </c>
      <c r="I299" t="n">
        <v>0</v>
      </c>
      <c r="J299" t="n">
        <v>0</v>
      </c>
      <c r="K299" t="n">
        <v>0</v>
      </c>
      <c r="L299" t="n">
        <v>0</v>
      </c>
      <c r="M299" t="n">
        <v>0</v>
      </c>
      <c r="N299" t="n">
        <v>0</v>
      </c>
      <c r="O299" t="n">
        <v>0</v>
      </c>
      <c r="P299" t="n">
        <v>0</v>
      </c>
      <c r="Q299" t="n">
        <v>0</v>
      </c>
      <c r="R299" s="2" t="inlineStr"/>
    </row>
    <row r="300" ht="15" customHeight="1">
      <c r="A300" t="inlineStr">
        <is>
          <t>A 30286-2021</t>
        </is>
      </c>
      <c r="B300" s="1" t="n">
        <v>44363</v>
      </c>
      <c r="C300" s="1" t="n">
        <v>46184</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35283-2022</t>
        </is>
      </c>
      <c r="B301" s="1" t="n">
        <v>44798.39916666667</v>
      </c>
      <c r="C301" s="1" t="n">
        <v>46184</v>
      </c>
      <c r="D301" t="inlineStr">
        <is>
          <t>VÄSTERNORRLANDS LÄN</t>
        </is>
      </c>
      <c r="E301" t="inlineStr">
        <is>
          <t>ÅNGE</t>
        </is>
      </c>
      <c r="G301" t="n">
        <v>4.5</v>
      </c>
      <c r="H301" t="n">
        <v>0</v>
      </c>
      <c r="I301" t="n">
        <v>0</v>
      </c>
      <c r="J301" t="n">
        <v>0</v>
      </c>
      <c r="K301" t="n">
        <v>0</v>
      </c>
      <c r="L301" t="n">
        <v>0</v>
      </c>
      <c r="M301" t="n">
        <v>0</v>
      </c>
      <c r="N301" t="n">
        <v>0</v>
      </c>
      <c r="O301" t="n">
        <v>0</v>
      </c>
      <c r="P301" t="n">
        <v>0</v>
      </c>
      <c r="Q301" t="n">
        <v>0</v>
      </c>
      <c r="R301" s="2" t="inlineStr"/>
    </row>
    <row r="302" ht="15" customHeight="1">
      <c r="A302" t="inlineStr">
        <is>
          <t>A 29509-2021</t>
        </is>
      </c>
      <c r="B302" s="1" t="n">
        <v>44361</v>
      </c>
      <c r="C302" s="1" t="n">
        <v>46184</v>
      </c>
      <c r="D302" t="inlineStr">
        <is>
          <t>VÄSTERNORRLANDS LÄN</t>
        </is>
      </c>
      <c r="E302" t="inlineStr">
        <is>
          <t>ÅNGE</t>
        </is>
      </c>
      <c r="G302" t="n">
        <v>3.6</v>
      </c>
      <c r="H302" t="n">
        <v>0</v>
      </c>
      <c r="I302" t="n">
        <v>0</v>
      </c>
      <c r="J302" t="n">
        <v>0</v>
      </c>
      <c r="K302" t="n">
        <v>0</v>
      </c>
      <c r="L302" t="n">
        <v>0</v>
      </c>
      <c r="M302" t="n">
        <v>0</v>
      </c>
      <c r="N302" t="n">
        <v>0</v>
      </c>
      <c r="O302" t="n">
        <v>0</v>
      </c>
      <c r="P302" t="n">
        <v>0</v>
      </c>
      <c r="Q302" t="n">
        <v>0</v>
      </c>
      <c r="R302" s="2" t="inlineStr"/>
    </row>
    <row r="303" ht="15" customHeight="1">
      <c r="A303" t="inlineStr">
        <is>
          <t>A 33274-2022</t>
        </is>
      </c>
      <c r="B303" s="1" t="n">
        <v>44788</v>
      </c>
      <c r="C303" s="1" t="n">
        <v>46184</v>
      </c>
      <c r="D303" t="inlineStr">
        <is>
          <t>VÄSTERNORRLANDS LÄN</t>
        </is>
      </c>
      <c r="E303" t="inlineStr">
        <is>
          <t>ÅNGE</t>
        </is>
      </c>
      <c r="G303" t="n">
        <v>1.1</v>
      </c>
      <c r="H303" t="n">
        <v>0</v>
      </c>
      <c r="I303" t="n">
        <v>0</v>
      </c>
      <c r="J303" t="n">
        <v>0</v>
      </c>
      <c r="K303" t="n">
        <v>0</v>
      </c>
      <c r="L303" t="n">
        <v>0</v>
      </c>
      <c r="M303" t="n">
        <v>0</v>
      </c>
      <c r="N303" t="n">
        <v>0</v>
      </c>
      <c r="O303" t="n">
        <v>0</v>
      </c>
      <c r="P303" t="n">
        <v>0</v>
      </c>
      <c r="Q303" t="n">
        <v>0</v>
      </c>
      <c r="R303" s="2" t="inlineStr"/>
    </row>
    <row r="304" ht="15" customHeight="1">
      <c r="A304" t="inlineStr">
        <is>
          <t>A 47660-2022</t>
        </is>
      </c>
      <c r="B304" s="1" t="n">
        <v>44854.45766203704</v>
      </c>
      <c r="C304" s="1" t="n">
        <v>46184</v>
      </c>
      <c r="D304" t="inlineStr">
        <is>
          <t>VÄSTERNORRLANDS LÄN</t>
        </is>
      </c>
      <c r="E304" t="inlineStr">
        <is>
          <t>ÅNGE</t>
        </is>
      </c>
      <c r="F304" t="inlineStr">
        <is>
          <t>Holmen skog AB</t>
        </is>
      </c>
      <c r="G304" t="n">
        <v>0.5</v>
      </c>
      <c r="H304" t="n">
        <v>0</v>
      </c>
      <c r="I304" t="n">
        <v>0</v>
      </c>
      <c r="J304" t="n">
        <v>0</v>
      </c>
      <c r="K304" t="n">
        <v>0</v>
      </c>
      <c r="L304" t="n">
        <v>0</v>
      </c>
      <c r="M304" t="n">
        <v>0</v>
      </c>
      <c r="N304" t="n">
        <v>0</v>
      </c>
      <c r="O304" t="n">
        <v>0</v>
      </c>
      <c r="P304" t="n">
        <v>0</v>
      </c>
      <c r="Q304" t="n">
        <v>0</v>
      </c>
      <c r="R304" s="2" t="inlineStr"/>
    </row>
    <row r="305" ht="15" customHeight="1">
      <c r="A305" t="inlineStr">
        <is>
          <t>A 50710-2021</t>
        </is>
      </c>
      <c r="B305" s="1" t="n">
        <v>44460.366875</v>
      </c>
      <c r="C305" s="1" t="n">
        <v>46184</v>
      </c>
      <c r="D305" t="inlineStr">
        <is>
          <t>VÄSTERNORRLANDS LÄN</t>
        </is>
      </c>
      <c r="E305" t="inlineStr">
        <is>
          <t>ÅNGE</t>
        </is>
      </c>
      <c r="G305" t="n">
        <v>2.2</v>
      </c>
      <c r="H305" t="n">
        <v>0</v>
      </c>
      <c r="I305" t="n">
        <v>0</v>
      </c>
      <c r="J305" t="n">
        <v>0</v>
      </c>
      <c r="K305" t="n">
        <v>0</v>
      </c>
      <c r="L305" t="n">
        <v>0</v>
      </c>
      <c r="M305" t="n">
        <v>0</v>
      </c>
      <c r="N305" t="n">
        <v>0</v>
      </c>
      <c r="O305" t="n">
        <v>0</v>
      </c>
      <c r="P305" t="n">
        <v>0</v>
      </c>
      <c r="Q305" t="n">
        <v>0</v>
      </c>
      <c r="R305" s="2" t="inlineStr"/>
    </row>
    <row r="306" ht="15" customHeight="1">
      <c r="A306" t="inlineStr">
        <is>
          <t>A 7633-2022</t>
        </is>
      </c>
      <c r="B306" s="1" t="n">
        <v>44607.71378472223</v>
      </c>
      <c r="C306" s="1" t="n">
        <v>46184</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40476-2022</t>
        </is>
      </c>
      <c r="B307" s="1" t="n">
        <v>44823.54685185185</v>
      </c>
      <c r="C307" s="1" t="n">
        <v>46184</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14813-2022</t>
        </is>
      </c>
      <c r="B308" s="1" t="n">
        <v>44656</v>
      </c>
      <c r="C308" s="1" t="n">
        <v>46184</v>
      </c>
      <c r="D308" t="inlineStr">
        <is>
          <t>VÄSTERNORRLANDS LÄN</t>
        </is>
      </c>
      <c r="E308" t="inlineStr">
        <is>
          <t>ÅNGE</t>
        </is>
      </c>
      <c r="G308" t="n">
        <v>2.2</v>
      </c>
      <c r="H308" t="n">
        <v>0</v>
      </c>
      <c r="I308" t="n">
        <v>0</v>
      </c>
      <c r="J308" t="n">
        <v>0</v>
      </c>
      <c r="K308" t="n">
        <v>0</v>
      </c>
      <c r="L308" t="n">
        <v>0</v>
      </c>
      <c r="M308" t="n">
        <v>0</v>
      </c>
      <c r="N308" t="n">
        <v>0</v>
      </c>
      <c r="O308" t="n">
        <v>0</v>
      </c>
      <c r="P308" t="n">
        <v>0</v>
      </c>
      <c r="Q308" t="n">
        <v>0</v>
      </c>
      <c r="R308" s="2" t="inlineStr"/>
    </row>
    <row r="309" ht="15" customHeight="1">
      <c r="A309" t="inlineStr">
        <is>
          <t>A 57418-2021</t>
        </is>
      </c>
      <c r="B309" s="1" t="n">
        <v>44483</v>
      </c>
      <c r="C309" s="1" t="n">
        <v>46184</v>
      </c>
      <c r="D309" t="inlineStr">
        <is>
          <t>VÄSTERNORRLANDS LÄN</t>
        </is>
      </c>
      <c r="E309" t="inlineStr">
        <is>
          <t>ÅNGE</t>
        </is>
      </c>
      <c r="G309" t="n">
        <v>4.4</v>
      </c>
      <c r="H309" t="n">
        <v>0</v>
      </c>
      <c r="I309" t="n">
        <v>0</v>
      </c>
      <c r="J309" t="n">
        <v>0</v>
      </c>
      <c r="K309" t="n">
        <v>0</v>
      </c>
      <c r="L309" t="n">
        <v>0</v>
      </c>
      <c r="M309" t="n">
        <v>0</v>
      </c>
      <c r="N309" t="n">
        <v>0</v>
      </c>
      <c r="O309" t="n">
        <v>0</v>
      </c>
      <c r="P309" t="n">
        <v>0</v>
      </c>
      <c r="Q309" t="n">
        <v>0</v>
      </c>
      <c r="R309" s="2" t="inlineStr"/>
    </row>
    <row r="310" ht="15" customHeight="1">
      <c r="A310" t="inlineStr">
        <is>
          <t>A 53664-2022</t>
        </is>
      </c>
      <c r="B310" s="1" t="n">
        <v>44879.95643518519</v>
      </c>
      <c r="C310" s="1" t="n">
        <v>46184</v>
      </c>
      <c r="D310" t="inlineStr">
        <is>
          <t>VÄSTERNORRLANDS LÄN</t>
        </is>
      </c>
      <c r="E310" t="inlineStr">
        <is>
          <t>ÅNGE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1297-2022</t>
        </is>
      </c>
      <c r="B311" s="1" t="n">
        <v>44572.69135416667</v>
      </c>
      <c r="C311" s="1" t="n">
        <v>46184</v>
      </c>
      <c r="D311" t="inlineStr">
        <is>
          <t>VÄSTERNORRLANDS LÄN</t>
        </is>
      </c>
      <c r="E311" t="inlineStr">
        <is>
          <t>ÅNGE</t>
        </is>
      </c>
      <c r="G311" t="n">
        <v>2.3</v>
      </c>
      <c r="H311" t="n">
        <v>0</v>
      </c>
      <c r="I311" t="n">
        <v>0</v>
      </c>
      <c r="J311" t="n">
        <v>0</v>
      </c>
      <c r="K311" t="n">
        <v>0</v>
      </c>
      <c r="L311" t="n">
        <v>0</v>
      </c>
      <c r="M311" t="n">
        <v>0</v>
      </c>
      <c r="N311" t="n">
        <v>0</v>
      </c>
      <c r="O311" t="n">
        <v>0</v>
      </c>
      <c r="P311" t="n">
        <v>0</v>
      </c>
      <c r="Q311" t="n">
        <v>0</v>
      </c>
      <c r="R311" s="2" t="inlineStr"/>
    </row>
    <row r="312" ht="15" customHeight="1">
      <c r="A312" t="inlineStr">
        <is>
          <t>A 33408-2021</t>
        </is>
      </c>
      <c r="B312" s="1" t="n">
        <v>44377</v>
      </c>
      <c r="C312" s="1" t="n">
        <v>46184</v>
      </c>
      <c r="D312" t="inlineStr">
        <is>
          <t>VÄSTERNORRLANDS LÄN</t>
        </is>
      </c>
      <c r="E312" t="inlineStr">
        <is>
          <t>ÅNGE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70899-2021</t>
        </is>
      </c>
      <c r="B313" s="1" t="n">
        <v>44537</v>
      </c>
      <c r="C313" s="1" t="n">
        <v>46184</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74194-2021</t>
        </is>
      </c>
      <c r="B314" s="1" t="n">
        <v>44558.47333333334</v>
      </c>
      <c r="C314" s="1" t="n">
        <v>46184</v>
      </c>
      <c r="D314" t="inlineStr">
        <is>
          <t>VÄSTERNORRLANDS LÄN</t>
        </is>
      </c>
      <c r="E314" t="inlineStr">
        <is>
          <t>ÅNGE</t>
        </is>
      </c>
      <c r="G314" t="n">
        <v>1.9</v>
      </c>
      <c r="H314" t="n">
        <v>0</v>
      </c>
      <c r="I314" t="n">
        <v>0</v>
      </c>
      <c r="J314" t="n">
        <v>0</v>
      </c>
      <c r="K314" t="n">
        <v>0</v>
      </c>
      <c r="L314" t="n">
        <v>0</v>
      </c>
      <c r="M314" t="n">
        <v>0</v>
      </c>
      <c r="N314" t="n">
        <v>0</v>
      </c>
      <c r="O314" t="n">
        <v>0</v>
      </c>
      <c r="P314" t="n">
        <v>0</v>
      </c>
      <c r="Q314" t="n">
        <v>0</v>
      </c>
      <c r="R314" s="2" t="inlineStr"/>
    </row>
    <row r="315" ht="15" customHeight="1">
      <c r="A315" t="inlineStr">
        <is>
          <t>A 13641-2022</t>
        </is>
      </c>
      <c r="B315" s="1" t="n">
        <v>44648</v>
      </c>
      <c r="C315" s="1" t="n">
        <v>46184</v>
      </c>
      <c r="D315" t="inlineStr">
        <is>
          <t>VÄSTERNORRLANDS LÄN</t>
        </is>
      </c>
      <c r="E315" t="inlineStr">
        <is>
          <t>ÅNGE</t>
        </is>
      </c>
      <c r="G315" t="n">
        <v>4.9</v>
      </c>
      <c r="H315" t="n">
        <v>0</v>
      </c>
      <c r="I315" t="n">
        <v>0</v>
      </c>
      <c r="J315" t="n">
        <v>0</v>
      </c>
      <c r="K315" t="n">
        <v>0</v>
      </c>
      <c r="L315" t="n">
        <v>0</v>
      </c>
      <c r="M315" t="n">
        <v>0</v>
      </c>
      <c r="N315" t="n">
        <v>0</v>
      </c>
      <c r="O315" t="n">
        <v>0</v>
      </c>
      <c r="P315" t="n">
        <v>0</v>
      </c>
      <c r="Q315" t="n">
        <v>0</v>
      </c>
      <c r="R315" s="2" t="inlineStr"/>
    </row>
    <row r="316" ht="15" customHeight="1">
      <c r="A316" t="inlineStr">
        <is>
          <t>A 61909-2021</t>
        </is>
      </c>
      <c r="B316" s="1" t="n">
        <v>44502.35310185186</v>
      </c>
      <c r="C316" s="1" t="n">
        <v>46184</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45145-2021</t>
        </is>
      </c>
      <c r="B317" s="1" t="n">
        <v>44439</v>
      </c>
      <c r="C317" s="1" t="n">
        <v>46184</v>
      </c>
      <c r="D317" t="inlineStr">
        <is>
          <t>VÄSTERNORRLANDS LÄN</t>
        </is>
      </c>
      <c r="E317" t="inlineStr">
        <is>
          <t>ÅNGE</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46053-2021</t>
        </is>
      </c>
      <c r="B318" s="1" t="n">
        <v>44441</v>
      </c>
      <c r="C318" s="1" t="n">
        <v>46184</v>
      </c>
      <c r="D318" t="inlineStr">
        <is>
          <t>VÄSTERNORRLANDS LÄN</t>
        </is>
      </c>
      <c r="E318" t="inlineStr">
        <is>
          <t>ÅNGE</t>
        </is>
      </c>
      <c r="F318" t="inlineStr">
        <is>
          <t>SCA</t>
        </is>
      </c>
      <c r="G318" t="n">
        <v>0.2</v>
      </c>
      <c r="H318" t="n">
        <v>0</v>
      </c>
      <c r="I318" t="n">
        <v>0</v>
      </c>
      <c r="J318" t="n">
        <v>0</v>
      </c>
      <c r="K318" t="n">
        <v>0</v>
      </c>
      <c r="L318" t="n">
        <v>0</v>
      </c>
      <c r="M318" t="n">
        <v>0</v>
      </c>
      <c r="N318" t="n">
        <v>0</v>
      </c>
      <c r="O318" t="n">
        <v>0</v>
      </c>
      <c r="P318" t="n">
        <v>0</v>
      </c>
      <c r="Q318" t="n">
        <v>0</v>
      </c>
      <c r="R318" s="2" t="inlineStr"/>
    </row>
    <row r="319" ht="15" customHeight="1">
      <c r="A319" t="inlineStr">
        <is>
          <t>A 71302-2021</t>
        </is>
      </c>
      <c r="B319" s="1" t="n">
        <v>44539.63871527778</v>
      </c>
      <c r="C319" s="1" t="n">
        <v>46184</v>
      </c>
      <c r="D319" t="inlineStr">
        <is>
          <t>VÄSTERNORRLANDS LÄN</t>
        </is>
      </c>
      <c r="E319" t="inlineStr">
        <is>
          <t>ÅNGE</t>
        </is>
      </c>
      <c r="G319" t="n">
        <v>0.5</v>
      </c>
      <c r="H319" t="n">
        <v>0</v>
      </c>
      <c r="I319" t="n">
        <v>0</v>
      </c>
      <c r="J319" t="n">
        <v>0</v>
      </c>
      <c r="K319" t="n">
        <v>0</v>
      </c>
      <c r="L319" t="n">
        <v>0</v>
      </c>
      <c r="M319" t="n">
        <v>0</v>
      </c>
      <c r="N319" t="n">
        <v>0</v>
      </c>
      <c r="O319" t="n">
        <v>0</v>
      </c>
      <c r="P319" t="n">
        <v>0</v>
      </c>
      <c r="Q319" t="n">
        <v>0</v>
      </c>
      <c r="R319" s="2" t="inlineStr"/>
    </row>
    <row r="320" ht="15" customHeight="1">
      <c r="A320" t="inlineStr">
        <is>
          <t>A 6732-2022</t>
        </is>
      </c>
      <c r="B320" s="1" t="n">
        <v>44602.46072916667</v>
      </c>
      <c r="C320" s="1" t="n">
        <v>46184</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6263-2022</t>
        </is>
      </c>
      <c r="B321" s="1" t="n">
        <v>44600</v>
      </c>
      <c r="C321" s="1" t="n">
        <v>46184</v>
      </c>
      <c r="D321" t="inlineStr">
        <is>
          <t>VÄSTERNORRLANDS LÄN</t>
        </is>
      </c>
      <c r="E321" t="inlineStr">
        <is>
          <t>ÅNGE</t>
        </is>
      </c>
      <c r="G321" t="n">
        <v>1.4</v>
      </c>
      <c r="H321" t="n">
        <v>0</v>
      </c>
      <c r="I321" t="n">
        <v>0</v>
      </c>
      <c r="J321" t="n">
        <v>0</v>
      </c>
      <c r="K321" t="n">
        <v>0</v>
      </c>
      <c r="L321" t="n">
        <v>0</v>
      </c>
      <c r="M321" t="n">
        <v>0</v>
      </c>
      <c r="N321" t="n">
        <v>0</v>
      </c>
      <c r="O321" t="n">
        <v>0</v>
      </c>
      <c r="P321" t="n">
        <v>0</v>
      </c>
      <c r="Q321" t="n">
        <v>0</v>
      </c>
      <c r="R321" s="2" t="inlineStr"/>
    </row>
    <row r="322" ht="15" customHeight="1">
      <c r="A322" t="inlineStr">
        <is>
          <t>A 44412-2022</t>
        </is>
      </c>
      <c r="B322" s="1" t="n">
        <v>44839.92626157407</v>
      </c>
      <c r="C322" s="1" t="n">
        <v>46184</v>
      </c>
      <c r="D322" t="inlineStr">
        <is>
          <t>VÄSTERNORRLANDS LÄN</t>
        </is>
      </c>
      <c r="E322" t="inlineStr">
        <is>
          <t>ÅNGE</t>
        </is>
      </c>
      <c r="G322" t="n">
        <v>1.6</v>
      </c>
      <c r="H322" t="n">
        <v>0</v>
      </c>
      <c r="I322" t="n">
        <v>0</v>
      </c>
      <c r="J322" t="n">
        <v>0</v>
      </c>
      <c r="K322" t="n">
        <v>0</v>
      </c>
      <c r="L322" t="n">
        <v>0</v>
      </c>
      <c r="M322" t="n">
        <v>0</v>
      </c>
      <c r="N322" t="n">
        <v>0</v>
      </c>
      <c r="O322" t="n">
        <v>0</v>
      </c>
      <c r="P322" t="n">
        <v>0</v>
      </c>
      <c r="Q322" t="n">
        <v>0</v>
      </c>
      <c r="R322" s="2" t="inlineStr"/>
    </row>
    <row r="323" ht="15" customHeight="1">
      <c r="A323" t="inlineStr">
        <is>
          <t>A 17044-2022</t>
        </is>
      </c>
      <c r="B323" s="1" t="n">
        <v>44676</v>
      </c>
      <c r="C323" s="1" t="n">
        <v>46184</v>
      </c>
      <c r="D323" t="inlineStr">
        <is>
          <t>VÄSTERNORRLANDS LÄN</t>
        </is>
      </c>
      <c r="E323" t="inlineStr">
        <is>
          <t>ÅNGE</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30365-2021</t>
        </is>
      </c>
      <c r="B324" s="1" t="n">
        <v>44364.45164351852</v>
      </c>
      <c r="C324" s="1" t="n">
        <v>46184</v>
      </c>
      <c r="D324" t="inlineStr">
        <is>
          <t>VÄSTERNORRLANDS LÄN</t>
        </is>
      </c>
      <c r="E324" t="inlineStr">
        <is>
          <t>ÅNGE</t>
        </is>
      </c>
      <c r="G324" t="n">
        <v>3.9</v>
      </c>
      <c r="H324" t="n">
        <v>0</v>
      </c>
      <c r="I324" t="n">
        <v>0</v>
      </c>
      <c r="J324" t="n">
        <v>0</v>
      </c>
      <c r="K324" t="n">
        <v>0</v>
      </c>
      <c r="L324" t="n">
        <v>0</v>
      </c>
      <c r="M324" t="n">
        <v>0</v>
      </c>
      <c r="N324" t="n">
        <v>0</v>
      </c>
      <c r="O324" t="n">
        <v>0</v>
      </c>
      <c r="P324" t="n">
        <v>0</v>
      </c>
      <c r="Q324" t="n">
        <v>0</v>
      </c>
      <c r="R324" s="2" t="inlineStr"/>
    </row>
    <row r="325" ht="15" customHeight="1">
      <c r="A325" t="inlineStr">
        <is>
          <t>A 50640-2022</t>
        </is>
      </c>
      <c r="B325" s="1" t="n">
        <v>44866.94734953704</v>
      </c>
      <c r="C325" s="1" t="n">
        <v>46184</v>
      </c>
      <c r="D325" t="inlineStr">
        <is>
          <t>VÄSTERNORRLANDS LÄN</t>
        </is>
      </c>
      <c r="E325" t="inlineStr">
        <is>
          <t>ÅNGE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38369-2021</t>
        </is>
      </c>
      <c r="B326" s="1" t="n">
        <v>44406</v>
      </c>
      <c r="C326" s="1" t="n">
        <v>46184</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18024-2022</t>
        </is>
      </c>
      <c r="B327" s="1" t="n">
        <v>44683.94383101852</v>
      </c>
      <c r="C327" s="1" t="n">
        <v>46184</v>
      </c>
      <c r="D327" t="inlineStr">
        <is>
          <t>VÄSTERNORRLANDS LÄN</t>
        </is>
      </c>
      <c r="E327" t="inlineStr">
        <is>
          <t>ÅNGE</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17963-2022</t>
        </is>
      </c>
      <c r="B328" s="1" t="n">
        <v>44683</v>
      </c>
      <c r="C328" s="1" t="n">
        <v>46184</v>
      </c>
      <c r="D328" t="inlineStr">
        <is>
          <t>VÄSTERNORRLANDS LÄN</t>
        </is>
      </c>
      <c r="E328" t="inlineStr">
        <is>
          <t>ÅNGE</t>
        </is>
      </c>
      <c r="G328" t="n">
        <v>0.2</v>
      </c>
      <c r="H328" t="n">
        <v>0</v>
      </c>
      <c r="I328" t="n">
        <v>0</v>
      </c>
      <c r="J328" t="n">
        <v>0</v>
      </c>
      <c r="K328" t="n">
        <v>0</v>
      </c>
      <c r="L328" t="n">
        <v>0</v>
      </c>
      <c r="M328" t="n">
        <v>0</v>
      </c>
      <c r="N328" t="n">
        <v>0</v>
      </c>
      <c r="O328" t="n">
        <v>0</v>
      </c>
      <c r="P328" t="n">
        <v>0</v>
      </c>
      <c r="Q328" t="n">
        <v>0</v>
      </c>
      <c r="R328" s="2" t="inlineStr"/>
    </row>
    <row r="329" ht="15" customHeight="1">
      <c r="A329" t="inlineStr">
        <is>
          <t>A 35496-2022</t>
        </is>
      </c>
      <c r="B329" s="1" t="n">
        <v>44798</v>
      </c>
      <c r="C329" s="1" t="n">
        <v>46184</v>
      </c>
      <c r="D329" t="inlineStr">
        <is>
          <t>VÄSTERNORRLANDS LÄN</t>
        </is>
      </c>
      <c r="E329" t="inlineStr">
        <is>
          <t>ÅNGE</t>
        </is>
      </c>
      <c r="F329" t="inlineStr">
        <is>
          <t>SCA</t>
        </is>
      </c>
      <c r="G329" t="n">
        <v>15.6</v>
      </c>
      <c r="H329" t="n">
        <v>0</v>
      </c>
      <c r="I329" t="n">
        <v>0</v>
      </c>
      <c r="J329" t="n">
        <v>0</v>
      </c>
      <c r="K329" t="n">
        <v>0</v>
      </c>
      <c r="L329" t="n">
        <v>0</v>
      </c>
      <c r="M329" t="n">
        <v>0</v>
      </c>
      <c r="N329" t="n">
        <v>0</v>
      </c>
      <c r="O329" t="n">
        <v>0</v>
      </c>
      <c r="P329" t="n">
        <v>0</v>
      </c>
      <c r="Q329" t="n">
        <v>0</v>
      </c>
      <c r="R329" s="2" t="inlineStr"/>
    </row>
    <row r="330" ht="15" customHeight="1">
      <c r="A330" t="inlineStr">
        <is>
          <t>A 46824-2021</t>
        </is>
      </c>
      <c r="B330" s="1" t="n">
        <v>44446.34271990741</v>
      </c>
      <c r="C330" s="1" t="n">
        <v>46184</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51542-2022</t>
        </is>
      </c>
      <c r="B331" s="1" t="n">
        <v>44869.94850694444</v>
      </c>
      <c r="C331" s="1" t="n">
        <v>46184</v>
      </c>
      <c r="D331" t="inlineStr">
        <is>
          <t>VÄSTERNORRLANDS LÄN</t>
        </is>
      </c>
      <c r="E331" t="inlineStr">
        <is>
          <t>ÅNGE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35026-2022</t>
        </is>
      </c>
      <c r="B332" s="1" t="n">
        <v>44796</v>
      </c>
      <c r="C332" s="1" t="n">
        <v>46184</v>
      </c>
      <c r="D332" t="inlineStr">
        <is>
          <t>VÄSTERNORRLANDS LÄN</t>
        </is>
      </c>
      <c r="E332" t="inlineStr">
        <is>
          <t>ÅNGE</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5552-2022</t>
        </is>
      </c>
      <c r="B333" s="1" t="n">
        <v>44595.62966435185</v>
      </c>
      <c r="C333" s="1" t="n">
        <v>46184</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39594-2022</t>
        </is>
      </c>
      <c r="B334" s="1" t="n">
        <v>44818</v>
      </c>
      <c r="C334" s="1" t="n">
        <v>46184</v>
      </c>
      <c r="D334" t="inlineStr">
        <is>
          <t>VÄSTERNORRLANDS LÄN</t>
        </is>
      </c>
      <c r="E334" t="inlineStr">
        <is>
          <t>ÅNGE</t>
        </is>
      </c>
      <c r="G334" t="n">
        <v>1.4</v>
      </c>
      <c r="H334" t="n">
        <v>0</v>
      </c>
      <c r="I334" t="n">
        <v>0</v>
      </c>
      <c r="J334" t="n">
        <v>0</v>
      </c>
      <c r="K334" t="n">
        <v>0</v>
      </c>
      <c r="L334" t="n">
        <v>0</v>
      </c>
      <c r="M334" t="n">
        <v>0</v>
      </c>
      <c r="N334" t="n">
        <v>0</v>
      </c>
      <c r="O334" t="n">
        <v>0</v>
      </c>
      <c r="P334" t="n">
        <v>0</v>
      </c>
      <c r="Q334" t="n">
        <v>0</v>
      </c>
      <c r="R334" s="2" t="inlineStr"/>
    </row>
    <row r="335" ht="15" customHeight="1">
      <c r="A335" t="inlineStr">
        <is>
          <t>A 10313-2022</t>
        </is>
      </c>
      <c r="B335" s="1" t="n">
        <v>44622</v>
      </c>
      <c r="C335" s="1" t="n">
        <v>46184</v>
      </c>
      <c r="D335" t="inlineStr">
        <is>
          <t>VÄSTERNORRLANDS LÄN</t>
        </is>
      </c>
      <c r="E335" t="inlineStr">
        <is>
          <t>ÅNGE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15368-2024</t>
        </is>
      </c>
      <c r="B336" s="1" t="n">
        <v>45400.92284722222</v>
      </c>
      <c r="C336" s="1" t="n">
        <v>46184</v>
      </c>
      <c r="D336" t="inlineStr">
        <is>
          <t>VÄSTERNORRLANDS LÄN</t>
        </is>
      </c>
      <c r="E336" t="inlineStr">
        <is>
          <t>ÅNGE</t>
        </is>
      </c>
      <c r="G336" t="n">
        <v>0.4</v>
      </c>
      <c r="H336" t="n">
        <v>0</v>
      </c>
      <c r="I336" t="n">
        <v>0</v>
      </c>
      <c r="J336" t="n">
        <v>0</v>
      </c>
      <c r="K336" t="n">
        <v>0</v>
      </c>
      <c r="L336" t="n">
        <v>0</v>
      </c>
      <c r="M336" t="n">
        <v>0</v>
      </c>
      <c r="N336" t="n">
        <v>0</v>
      </c>
      <c r="O336" t="n">
        <v>0</v>
      </c>
      <c r="P336" t="n">
        <v>0</v>
      </c>
      <c r="Q336" t="n">
        <v>0</v>
      </c>
      <c r="R336" s="2" t="inlineStr"/>
    </row>
    <row r="337" ht="15" customHeight="1">
      <c r="A337" t="inlineStr">
        <is>
          <t>A 6680-2024</t>
        </is>
      </c>
      <c r="B337" s="1" t="n">
        <v>45341</v>
      </c>
      <c r="C337" s="1" t="n">
        <v>46184</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6689-2024</t>
        </is>
      </c>
      <c r="B338" s="1" t="n">
        <v>45341.9259375</v>
      </c>
      <c r="C338" s="1" t="n">
        <v>46184</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37382-2021</t>
        </is>
      </c>
      <c r="B339" s="1" t="n">
        <v>44397</v>
      </c>
      <c r="C339" s="1" t="n">
        <v>46184</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16303-2025</t>
        </is>
      </c>
      <c r="B340" s="1" t="n">
        <v>45751.3462037037</v>
      </c>
      <c r="C340" s="1" t="n">
        <v>46184</v>
      </c>
      <c r="D340" t="inlineStr">
        <is>
          <t>VÄSTERNORRLANDS LÄN</t>
        </is>
      </c>
      <c r="E340" t="inlineStr">
        <is>
          <t>ÅNGE</t>
        </is>
      </c>
      <c r="F340" t="inlineStr">
        <is>
          <t>SCA</t>
        </is>
      </c>
      <c r="G340" t="n">
        <v>0.3</v>
      </c>
      <c r="H340" t="n">
        <v>0</v>
      </c>
      <c r="I340" t="n">
        <v>0</v>
      </c>
      <c r="J340" t="n">
        <v>0</v>
      </c>
      <c r="K340" t="n">
        <v>0</v>
      </c>
      <c r="L340" t="n">
        <v>0</v>
      </c>
      <c r="M340" t="n">
        <v>0</v>
      </c>
      <c r="N340" t="n">
        <v>0</v>
      </c>
      <c r="O340" t="n">
        <v>0</v>
      </c>
      <c r="P340" t="n">
        <v>0</v>
      </c>
      <c r="Q340" t="n">
        <v>0</v>
      </c>
      <c r="R340" s="2" t="inlineStr"/>
    </row>
    <row r="341" ht="15" customHeight="1">
      <c r="A341" t="inlineStr">
        <is>
          <t>A 17009-2023</t>
        </is>
      </c>
      <c r="B341" s="1" t="n">
        <v>45033.9455787037</v>
      </c>
      <c r="C341" s="1" t="n">
        <v>46184</v>
      </c>
      <c r="D341" t="inlineStr">
        <is>
          <t>VÄSTERNORRLANDS LÄN</t>
        </is>
      </c>
      <c r="E341" t="inlineStr">
        <is>
          <t>ÅNGE</t>
        </is>
      </c>
      <c r="F341" t="inlineStr">
        <is>
          <t>SCA</t>
        </is>
      </c>
      <c r="G341" t="n">
        <v>5.8</v>
      </c>
      <c r="H341" t="n">
        <v>0</v>
      </c>
      <c r="I341" t="n">
        <v>0</v>
      </c>
      <c r="J341" t="n">
        <v>0</v>
      </c>
      <c r="K341" t="n">
        <v>0</v>
      </c>
      <c r="L341" t="n">
        <v>0</v>
      </c>
      <c r="M341" t="n">
        <v>0</v>
      </c>
      <c r="N341" t="n">
        <v>0</v>
      </c>
      <c r="O341" t="n">
        <v>0</v>
      </c>
      <c r="P341" t="n">
        <v>0</v>
      </c>
      <c r="Q341" t="n">
        <v>0</v>
      </c>
      <c r="R341" s="2" t="inlineStr"/>
    </row>
    <row r="342" ht="15" customHeight="1">
      <c r="A342" t="inlineStr">
        <is>
          <t>A 24324-2022</t>
        </is>
      </c>
      <c r="B342" s="1" t="n">
        <v>44725.945</v>
      </c>
      <c r="C342" s="1" t="n">
        <v>46184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24325-2022</t>
        </is>
      </c>
      <c r="B343" s="1" t="n">
        <v>44725.94506944445</v>
      </c>
      <c r="C343" s="1" t="n">
        <v>46184</v>
      </c>
      <c r="D343" t="inlineStr">
        <is>
          <t>VÄSTERNORRLANDS LÄN</t>
        </is>
      </c>
      <c r="E343" t="inlineStr">
        <is>
          <t>ÅNGE</t>
        </is>
      </c>
      <c r="G343" t="n">
        <v>1.6</v>
      </c>
      <c r="H343" t="n">
        <v>0</v>
      </c>
      <c r="I343" t="n">
        <v>0</v>
      </c>
      <c r="J343" t="n">
        <v>0</v>
      </c>
      <c r="K343" t="n">
        <v>0</v>
      </c>
      <c r="L343" t="n">
        <v>0</v>
      </c>
      <c r="M343" t="n">
        <v>0</v>
      </c>
      <c r="N343" t="n">
        <v>0</v>
      </c>
      <c r="O343" t="n">
        <v>0</v>
      </c>
      <c r="P343" t="n">
        <v>0</v>
      </c>
      <c r="Q343" t="n">
        <v>0</v>
      </c>
      <c r="R343" s="2" t="inlineStr"/>
    </row>
    <row r="344" ht="15" customHeight="1">
      <c r="A344" t="inlineStr">
        <is>
          <t>A 11529-2023</t>
        </is>
      </c>
      <c r="B344" s="1" t="n">
        <v>44993</v>
      </c>
      <c r="C344" s="1" t="n">
        <v>46184</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34851-2023</t>
        </is>
      </c>
      <c r="B345" s="1" t="n">
        <v>45141</v>
      </c>
      <c r="C345" s="1" t="n">
        <v>46184</v>
      </c>
      <c r="D345" t="inlineStr">
        <is>
          <t>VÄSTERNORRLANDS LÄN</t>
        </is>
      </c>
      <c r="E345" t="inlineStr">
        <is>
          <t>ÅNGE</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54946-2021</t>
        </is>
      </c>
      <c r="B346" s="1" t="n">
        <v>44474.46466435185</v>
      </c>
      <c r="C346" s="1" t="n">
        <v>46184</v>
      </c>
      <c r="D346" t="inlineStr">
        <is>
          <t>VÄSTERNORRLANDS LÄN</t>
        </is>
      </c>
      <c r="E346" t="inlineStr">
        <is>
          <t>ÅNGE</t>
        </is>
      </c>
      <c r="G346" t="n">
        <v>5.4</v>
      </c>
      <c r="H346" t="n">
        <v>0</v>
      </c>
      <c r="I346" t="n">
        <v>0</v>
      </c>
      <c r="J346" t="n">
        <v>0</v>
      </c>
      <c r="K346" t="n">
        <v>0</v>
      </c>
      <c r="L346" t="n">
        <v>0</v>
      </c>
      <c r="M346" t="n">
        <v>0</v>
      </c>
      <c r="N346" t="n">
        <v>0</v>
      </c>
      <c r="O346" t="n">
        <v>0</v>
      </c>
      <c r="P346" t="n">
        <v>0</v>
      </c>
      <c r="Q346" t="n">
        <v>0</v>
      </c>
      <c r="R346" s="2" t="inlineStr"/>
    </row>
    <row r="347" ht="15" customHeight="1">
      <c r="A347" t="inlineStr">
        <is>
          <t>A 38960-2021</t>
        </is>
      </c>
      <c r="B347" s="1" t="n">
        <v>44411</v>
      </c>
      <c r="C347" s="1" t="n">
        <v>46184</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27002-2023</t>
        </is>
      </c>
      <c r="B348" s="1" t="n">
        <v>45093</v>
      </c>
      <c r="C348" s="1" t="n">
        <v>46184</v>
      </c>
      <c r="D348" t="inlineStr">
        <is>
          <t>VÄSTERNORRLANDS LÄN</t>
        </is>
      </c>
      <c r="E348" t="inlineStr">
        <is>
          <t>ÅNGE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113-2025</t>
        </is>
      </c>
      <c r="B349" s="1" t="n">
        <v>45659.5106712963</v>
      </c>
      <c r="C349" s="1" t="n">
        <v>46184</v>
      </c>
      <c r="D349" t="inlineStr">
        <is>
          <t>VÄSTERNORRLANDS LÄN</t>
        </is>
      </c>
      <c r="E349" t="inlineStr">
        <is>
          <t>ÅNGE</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45027-2023</t>
        </is>
      </c>
      <c r="B350" s="1" t="n">
        <v>45190.96303240741</v>
      </c>
      <c r="C350" s="1" t="n">
        <v>46184</v>
      </c>
      <c r="D350" t="inlineStr">
        <is>
          <t>VÄSTERNORRLANDS LÄN</t>
        </is>
      </c>
      <c r="E350" t="inlineStr">
        <is>
          <t>ÅNGE</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63709-2023</t>
        </is>
      </c>
      <c r="B351" s="1" t="n">
        <v>45275.95069444444</v>
      </c>
      <c r="C351" s="1" t="n">
        <v>46184</v>
      </c>
      <c r="D351" t="inlineStr">
        <is>
          <t>VÄSTERNORRLANDS LÄN</t>
        </is>
      </c>
      <c r="E351" t="inlineStr">
        <is>
          <t>ÅNGE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16362-2023</t>
        </is>
      </c>
      <c r="B352" s="1" t="n">
        <v>45028.9250462963</v>
      </c>
      <c r="C352" s="1" t="n">
        <v>46184</v>
      </c>
      <c r="D352" t="inlineStr">
        <is>
          <t>VÄSTERNORRLANDS LÄN</t>
        </is>
      </c>
      <c r="E352" t="inlineStr">
        <is>
          <t>ÅNGE</t>
        </is>
      </c>
      <c r="G352" t="n">
        <v>4.8</v>
      </c>
      <c r="H352" t="n">
        <v>0</v>
      </c>
      <c r="I352" t="n">
        <v>0</v>
      </c>
      <c r="J352" t="n">
        <v>0</v>
      </c>
      <c r="K352" t="n">
        <v>0</v>
      </c>
      <c r="L352" t="n">
        <v>0</v>
      </c>
      <c r="M352" t="n">
        <v>0</v>
      </c>
      <c r="N352" t="n">
        <v>0</v>
      </c>
      <c r="O352" t="n">
        <v>0</v>
      </c>
      <c r="P352" t="n">
        <v>0</v>
      </c>
      <c r="Q352" t="n">
        <v>0</v>
      </c>
      <c r="R352" s="2" t="inlineStr"/>
    </row>
    <row r="353" ht="15" customHeight="1">
      <c r="A353" t="inlineStr">
        <is>
          <t>A 30353-2024</t>
        </is>
      </c>
      <c r="B353" s="1" t="n">
        <v>45490.95567129629</v>
      </c>
      <c r="C353" s="1" t="n">
        <v>46184</v>
      </c>
      <c r="D353" t="inlineStr">
        <is>
          <t>VÄSTERNORRLANDS LÄN</t>
        </is>
      </c>
      <c r="E353" t="inlineStr">
        <is>
          <t>ÅNGE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58929-2024</t>
        </is>
      </c>
      <c r="B354" s="1" t="n">
        <v>45636.51090277778</v>
      </c>
      <c r="C354" s="1" t="n">
        <v>46184</v>
      </c>
      <c r="D354" t="inlineStr">
        <is>
          <t>VÄSTERNORRLANDS LÄN</t>
        </is>
      </c>
      <c r="E354" t="inlineStr">
        <is>
          <t>ÅNGE</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42100-2023</t>
        </is>
      </c>
      <c r="B355" s="1" t="n">
        <v>45174</v>
      </c>
      <c r="C355" s="1" t="n">
        <v>46184</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24231-2024</t>
        </is>
      </c>
      <c r="B356" s="1" t="n">
        <v>45457.34393518518</v>
      </c>
      <c r="C356" s="1" t="n">
        <v>46184</v>
      </c>
      <c r="D356" t="inlineStr">
        <is>
          <t>VÄSTERNORRLANDS LÄN</t>
        </is>
      </c>
      <c r="E356" t="inlineStr">
        <is>
          <t>ÅNGE</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36290-2023</t>
        </is>
      </c>
      <c r="B357" s="1" t="n">
        <v>45152.35467592593</v>
      </c>
      <c r="C357" s="1" t="n">
        <v>46184</v>
      </c>
      <c r="D357" t="inlineStr">
        <is>
          <t>VÄSTERNORRLANDS LÄN</t>
        </is>
      </c>
      <c r="E357" t="inlineStr">
        <is>
          <t>ÅNGE</t>
        </is>
      </c>
      <c r="F357" t="inlineStr">
        <is>
          <t>Övriga Aktiebolag</t>
        </is>
      </c>
      <c r="G357" t="n">
        <v>3.4</v>
      </c>
      <c r="H357" t="n">
        <v>0</v>
      </c>
      <c r="I357" t="n">
        <v>0</v>
      </c>
      <c r="J357" t="n">
        <v>0</v>
      </c>
      <c r="K357" t="n">
        <v>0</v>
      </c>
      <c r="L357" t="n">
        <v>0</v>
      </c>
      <c r="M357" t="n">
        <v>0</v>
      </c>
      <c r="N357" t="n">
        <v>0</v>
      </c>
      <c r="O357" t="n">
        <v>0</v>
      </c>
      <c r="P357" t="n">
        <v>0</v>
      </c>
      <c r="Q357" t="n">
        <v>0</v>
      </c>
      <c r="R357" s="2" t="inlineStr"/>
    </row>
    <row r="358" ht="15" customHeight="1">
      <c r="A358" t="inlineStr">
        <is>
          <t>A 20716-2025</t>
        </is>
      </c>
      <c r="B358" s="1" t="n">
        <v>45776.49026620371</v>
      </c>
      <c r="C358" s="1" t="n">
        <v>46184</v>
      </c>
      <c r="D358" t="inlineStr">
        <is>
          <t>VÄSTERNORRLANDS LÄN</t>
        </is>
      </c>
      <c r="E358" t="inlineStr">
        <is>
          <t>ÅNGE</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39973-2023</t>
        </is>
      </c>
      <c r="B359" s="1" t="n">
        <v>45168.5858912037</v>
      </c>
      <c r="C359" s="1" t="n">
        <v>46184</v>
      </c>
      <c r="D359" t="inlineStr">
        <is>
          <t>VÄSTERNORRLANDS LÄN</t>
        </is>
      </c>
      <c r="E359" t="inlineStr">
        <is>
          <t>ÅNGE</t>
        </is>
      </c>
      <c r="G359" t="n">
        <v>3.6</v>
      </c>
      <c r="H359" t="n">
        <v>0</v>
      </c>
      <c r="I359" t="n">
        <v>0</v>
      </c>
      <c r="J359" t="n">
        <v>0</v>
      </c>
      <c r="K359" t="n">
        <v>0</v>
      </c>
      <c r="L359" t="n">
        <v>0</v>
      </c>
      <c r="M359" t="n">
        <v>0</v>
      </c>
      <c r="N359" t="n">
        <v>0</v>
      </c>
      <c r="O359" t="n">
        <v>0</v>
      </c>
      <c r="P359" t="n">
        <v>0</v>
      </c>
      <c r="Q359" t="n">
        <v>0</v>
      </c>
      <c r="R359" s="2" t="inlineStr"/>
    </row>
    <row r="360" ht="15" customHeight="1">
      <c r="A360" t="inlineStr">
        <is>
          <t>A 33747-2024</t>
        </is>
      </c>
      <c r="B360" s="1" t="n">
        <v>45520</v>
      </c>
      <c r="C360" s="1" t="n">
        <v>46184</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2365-2024</t>
        </is>
      </c>
      <c r="B361" s="1" t="n">
        <v>45310.59778935185</v>
      </c>
      <c r="C361" s="1" t="n">
        <v>46184</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2372-2024</t>
        </is>
      </c>
      <c r="B362" s="1" t="n">
        <v>45310.6115625</v>
      </c>
      <c r="C362" s="1" t="n">
        <v>46184</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30273-2023</t>
        </is>
      </c>
      <c r="B363" s="1" t="n">
        <v>45099</v>
      </c>
      <c r="C363" s="1" t="n">
        <v>46184</v>
      </c>
      <c r="D363" t="inlineStr">
        <is>
          <t>VÄSTERNORRLANDS LÄN</t>
        </is>
      </c>
      <c r="E363" t="inlineStr">
        <is>
          <t>ÅNGE</t>
        </is>
      </c>
      <c r="G363" t="n">
        <v>3.9</v>
      </c>
      <c r="H363" t="n">
        <v>0</v>
      </c>
      <c r="I363" t="n">
        <v>0</v>
      </c>
      <c r="J363" t="n">
        <v>0</v>
      </c>
      <c r="K363" t="n">
        <v>0</v>
      </c>
      <c r="L363" t="n">
        <v>0</v>
      </c>
      <c r="M363" t="n">
        <v>0</v>
      </c>
      <c r="N363" t="n">
        <v>0</v>
      </c>
      <c r="O363" t="n">
        <v>0</v>
      </c>
      <c r="P363" t="n">
        <v>0</v>
      </c>
      <c r="Q363" t="n">
        <v>0</v>
      </c>
      <c r="R363" s="2" t="inlineStr"/>
    </row>
    <row r="364" ht="15" customHeight="1">
      <c r="A364" t="inlineStr">
        <is>
          <t>A 29048-2021</t>
        </is>
      </c>
      <c r="B364" s="1" t="n">
        <v>44358</v>
      </c>
      <c r="C364" s="1" t="n">
        <v>46184</v>
      </c>
      <c r="D364" t="inlineStr">
        <is>
          <t>VÄSTERNORRLANDS LÄN</t>
        </is>
      </c>
      <c r="E364" t="inlineStr">
        <is>
          <t>ÅNGE</t>
        </is>
      </c>
      <c r="G364" t="n">
        <v>2.5</v>
      </c>
      <c r="H364" t="n">
        <v>0</v>
      </c>
      <c r="I364" t="n">
        <v>0</v>
      </c>
      <c r="J364" t="n">
        <v>0</v>
      </c>
      <c r="K364" t="n">
        <v>0</v>
      </c>
      <c r="L364" t="n">
        <v>0</v>
      </c>
      <c r="M364" t="n">
        <v>0</v>
      </c>
      <c r="N364" t="n">
        <v>0</v>
      </c>
      <c r="O364" t="n">
        <v>0</v>
      </c>
      <c r="P364" t="n">
        <v>0</v>
      </c>
      <c r="Q364" t="n">
        <v>0</v>
      </c>
      <c r="R364" s="2" t="inlineStr"/>
    </row>
    <row r="365" ht="15" customHeight="1">
      <c r="A365" t="inlineStr">
        <is>
          <t>A 14889-2022</t>
        </is>
      </c>
      <c r="B365" s="1" t="n">
        <v>44656</v>
      </c>
      <c r="C365" s="1" t="n">
        <v>46184</v>
      </c>
      <c r="D365" t="inlineStr">
        <is>
          <t>VÄSTERNORRLANDS LÄN</t>
        </is>
      </c>
      <c r="E365" t="inlineStr">
        <is>
          <t>ÅNGE</t>
        </is>
      </c>
      <c r="G365" t="n">
        <v>14</v>
      </c>
      <c r="H365" t="n">
        <v>0</v>
      </c>
      <c r="I365" t="n">
        <v>0</v>
      </c>
      <c r="J365" t="n">
        <v>0</v>
      </c>
      <c r="K365" t="n">
        <v>0</v>
      </c>
      <c r="L365" t="n">
        <v>0</v>
      </c>
      <c r="M365" t="n">
        <v>0</v>
      </c>
      <c r="N365" t="n">
        <v>0</v>
      </c>
      <c r="O365" t="n">
        <v>0</v>
      </c>
      <c r="P365" t="n">
        <v>0</v>
      </c>
      <c r="Q365" t="n">
        <v>0</v>
      </c>
      <c r="R365" s="2" t="inlineStr"/>
    </row>
    <row r="366" ht="15" customHeight="1">
      <c r="A366" t="inlineStr">
        <is>
          <t>A 21068-2025</t>
        </is>
      </c>
      <c r="B366" s="1" t="n">
        <v>45777.59413194445</v>
      </c>
      <c r="C366" s="1" t="n">
        <v>46184</v>
      </c>
      <c r="D366" t="inlineStr">
        <is>
          <t>VÄSTERNORRLANDS LÄN</t>
        </is>
      </c>
      <c r="E366" t="inlineStr">
        <is>
          <t>ÅNGE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17044-2023</t>
        </is>
      </c>
      <c r="B367" s="1" t="n">
        <v>45034</v>
      </c>
      <c r="C367" s="1" t="n">
        <v>46184</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38693-2025</t>
        </is>
      </c>
      <c r="B368" s="1" t="n">
        <v>45884.69829861111</v>
      </c>
      <c r="C368" s="1" t="n">
        <v>46184</v>
      </c>
      <c r="D368" t="inlineStr">
        <is>
          <t>VÄSTERNORRLANDS LÄN</t>
        </is>
      </c>
      <c r="E368" t="inlineStr">
        <is>
          <t>ÅNGE</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38703-2025</t>
        </is>
      </c>
      <c r="B369" s="1" t="n">
        <v>45885.34440972222</v>
      </c>
      <c r="C369" s="1" t="n">
        <v>46184</v>
      </c>
      <c r="D369" t="inlineStr">
        <is>
          <t>VÄSTERNORRLANDS LÄN</t>
        </is>
      </c>
      <c r="E369" t="inlineStr">
        <is>
          <t>ÅNGE</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38711-2025</t>
        </is>
      </c>
      <c r="B370" s="1" t="n">
        <v>45886.34450231482</v>
      </c>
      <c r="C370" s="1" t="n">
        <v>46184</v>
      </c>
      <c r="D370" t="inlineStr">
        <is>
          <t>VÄSTERNORRLANDS LÄN</t>
        </is>
      </c>
      <c r="E370" t="inlineStr">
        <is>
          <t>ÅNGE</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20776-2025</t>
        </is>
      </c>
      <c r="B371" s="1" t="n">
        <v>45776.59410879629</v>
      </c>
      <c r="C371" s="1" t="n">
        <v>46184</v>
      </c>
      <c r="D371" t="inlineStr">
        <is>
          <t>VÄSTERNORRLANDS LÄN</t>
        </is>
      </c>
      <c r="E371" t="inlineStr">
        <is>
          <t>ÅNGE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48055-2025</t>
        </is>
      </c>
      <c r="B372" s="1" t="n">
        <v>45932.67922453704</v>
      </c>
      <c r="C372" s="1" t="n">
        <v>46184</v>
      </c>
      <c r="D372" t="inlineStr">
        <is>
          <t>VÄSTERNORRLANDS LÄN</t>
        </is>
      </c>
      <c r="E372" t="inlineStr">
        <is>
          <t>ÅNGE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48069-2025</t>
        </is>
      </c>
      <c r="B373" s="1" t="n">
        <v>45932.69865740741</v>
      </c>
      <c r="C373" s="1" t="n">
        <v>46184</v>
      </c>
      <c r="D373" t="inlineStr">
        <is>
          <t>VÄSTERNORRLANDS LÄN</t>
        </is>
      </c>
      <c r="E373" t="inlineStr">
        <is>
          <t>ÅNGE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21174-2025</t>
        </is>
      </c>
      <c r="B374" s="1" t="n">
        <v>45779.42746527777</v>
      </c>
      <c r="C374" s="1" t="n">
        <v>46184</v>
      </c>
      <c r="D374" t="inlineStr">
        <is>
          <t>VÄSTERNORRLANDS LÄN</t>
        </is>
      </c>
      <c r="E374" t="inlineStr">
        <is>
          <t>ÅNGE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21197-2025</t>
        </is>
      </c>
      <c r="B375" s="1" t="n">
        <v>45779.46949074074</v>
      </c>
      <c r="C375" s="1" t="n">
        <v>46184</v>
      </c>
      <c r="D375" t="inlineStr">
        <is>
          <t>VÄSTERNORRLANDS LÄN</t>
        </is>
      </c>
      <c r="E375" t="inlineStr">
        <is>
          <t>ÅNGE</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45030-2024</t>
        </is>
      </c>
      <c r="B376" s="1" t="n">
        <v>45575.52089120371</v>
      </c>
      <c r="C376" s="1" t="n">
        <v>46184</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10087-2023</t>
        </is>
      </c>
      <c r="B377" s="1" t="n">
        <v>44985</v>
      </c>
      <c r="C377" s="1" t="n">
        <v>46184</v>
      </c>
      <c r="D377" t="inlineStr">
        <is>
          <t>VÄSTERNORRLANDS LÄN</t>
        </is>
      </c>
      <c r="E377" t="inlineStr">
        <is>
          <t>ÅNGE</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21251-2025</t>
        </is>
      </c>
      <c r="B378" s="1" t="n">
        <v>45779.57417824074</v>
      </c>
      <c r="C378" s="1" t="n">
        <v>46184</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21741-2025</t>
        </is>
      </c>
      <c r="B379" s="1" t="n">
        <v>45783.59415509259</v>
      </c>
      <c r="C379" s="1" t="n">
        <v>46184</v>
      </c>
      <c r="D379" t="inlineStr">
        <is>
          <t>VÄSTERNORRLANDS LÄN</t>
        </is>
      </c>
      <c r="E379" t="inlineStr">
        <is>
          <t>ÅNGE</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17670-2023</t>
        </is>
      </c>
      <c r="B380" s="1" t="n">
        <v>45036</v>
      </c>
      <c r="C380" s="1" t="n">
        <v>46184</v>
      </c>
      <c r="D380" t="inlineStr">
        <is>
          <t>VÄSTERNORRLANDS LÄN</t>
        </is>
      </c>
      <c r="E380" t="inlineStr">
        <is>
          <t>ÅNGE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57109-2023</t>
        </is>
      </c>
      <c r="B381" s="1" t="n">
        <v>45239</v>
      </c>
      <c r="C381" s="1" t="n">
        <v>46184</v>
      </c>
      <c r="D381" t="inlineStr">
        <is>
          <t>VÄSTERNORRLANDS LÄN</t>
        </is>
      </c>
      <c r="E381" t="inlineStr">
        <is>
          <t>ÅNGE</t>
        </is>
      </c>
      <c r="G381" t="n">
        <v>7</v>
      </c>
      <c r="H381" t="n">
        <v>0</v>
      </c>
      <c r="I381" t="n">
        <v>0</v>
      </c>
      <c r="J381" t="n">
        <v>0</v>
      </c>
      <c r="K381" t="n">
        <v>0</v>
      </c>
      <c r="L381" t="n">
        <v>0</v>
      </c>
      <c r="M381" t="n">
        <v>0</v>
      </c>
      <c r="N381" t="n">
        <v>0</v>
      </c>
      <c r="O381" t="n">
        <v>0</v>
      </c>
      <c r="P381" t="n">
        <v>0</v>
      </c>
      <c r="Q381" t="n">
        <v>0</v>
      </c>
      <c r="R381" s="2" t="inlineStr"/>
    </row>
    <row r="382" ht="15" customHeight="1">
      <c r="A382" t="inlineStr">
        <is>
          <t>A 38686-2025</t>
        </is>
      </c>
      <c r="B382" s="1" t="n">
        <v>45884.65658564815</v>
      </c>
      <c r="C382" s="1" t="n">
        <v>46184</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21685-2025</t>
        </is>
      </c>
      <c r="B383" s="1" t="n">
        <v>45783.49050925926</v>
      </c>
      <c r="C383" s="1" t="n">
        <v>46184</v>
      </c>
      <c r="D383" t="inlineStr">
        <is>
          <t>VÄSTERNORRLANDS LÄN</t>
        </is>
      </c>
      <c r="E383" t="inlineStr">
        <is>
          <t>ÅNGE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48679-2025</t>
        </is>
      </c>
      <c r="B384" s="1" t="n">
        <v>45936.59196759259</v>
      </c>
      <c r="C384" s="1" t="n">
        <v>46184</v>
      </c>
      <c r="D384" t="inlineStr">
        <is>
          <t>VÄSTERNORRLANDS LÄN</t>
        </is>
      </c>
      <c r="E384" t="inlineStr">
        <is>
          <t>ÅNGE</t>
        </is>
      </c>
      <c r="G384" t="n">
        <v>2.1</v>
      </c>
      <c r="H384" t="n">
        <v>0</v>
      </c>
      <c r="I384" t="n">
        <v>0</v>
      </c>
      <c r="J384" t="n">
        <v>0</v>
      </c>
      <c r="K384" t="n">
        <v>0</v>
      </c>
      <c r="L384" t="n">
        <v>0</v>
      </c>
      <c r="M384" t="n">
        <v>0</v>
      </c>
      <c r="N384" t="n">
        <v>0</v>
      </c>
      <c r="O384" t="n">
        <v>0</v>
      </c>
      <c r="P384" t="n">
        <v>0</v>
      </c>
      <c r="Q384" t="n">
        <v>0</v>
      </c>
      <c r="R384" s="2" t="inlineStr"/>
    </row>
    <row r="385" ht="15" customHeight="1">
      <c r="A385" t="inlineStr">
        <is>
          <t>A 17669-2023</t>
        </is>
      </c>
      <c r="B385" s="1" t="n">
        <v>45036.94457175926</v>
      </c>
      <c r="C385" s="1" t="n">
        <v>46184</v>
      </c>
      <c r="D385" t="inlineStr">
        <is>
          <t>VÄSTERNORRLANDS LÄN</t>
        </is>
      </c>
      <c r="E385" t="inlineStr">
        <is>
          <t>ÅNGE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25867-2024</t>
        </is>
      </c>
      <c r="B386" s="1" t="n">
        <v>45463</v>
      </c>
      <c r="C386" s="1" t="n">
        <v>46184</v>
      </c>
      <c r="D386" t="inlineStr">
        <is>
          <t>VÄSTERNORRLANDS LÄN</t>
        </is>
      </c>
      <c r="E386" t="inlineStr">
        <is>
          <t>ÅNGE</t>
        </is>
      </c>
      <c r="G386" t="n">
        <v>2.7</v>
      </c>
      <c r="H386" t="n">
        <v>0</v>
      </c>
      <c r="I386" t="n">
        <v>0</v>
      </c>
      <c r="J386" t="n">
        <v>0</v>
      </c>
      <c r="K386" t="n">
        <v>0</v>
      </c>
      <c r="L386" t="n">
        <v>0</v>
      </c>
      <c r="M386" t="n">
        <v>0</v>
      </c>
      <c r="N386" t="n">
        <v>0</v>
      </c>
      <c r="O386" t="n">
        <v>0</v>
      </c>
      <c r="P386" t="n">
        <v>0</v>
      </c>
      <c r="Q386" t="n">
        <v>0</v>
      </c>
      <c r="R386" s="2" t="inlineStr"/>
    </row>
    <row r="387" ht="15" customHeight="1">
      <c r="A387" t="inlineStr">
        <is>
          <t>A 2539-2025</t>
        </is>
      </c>
      <c r="B387" s="1" t="n">
        <v>45674.61581018518</v>
      </c>
      <c r="C387" s="1" t="n">
        <v>46184</v>
      </c>
      <c r="D387" t="inlineStr">
        <is>
          <t>VÄSTERNORRLANDS LÄN</t>
        </is>
      </c>
      <c r="E387" t="inlineStr">
        <is>
          <t>ÅNGE</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54295-2024</t>
        </is>
      </c>
      <c r="B388" s="1" t="n">
        <v>45617</v>
      </c>
      <c r="C388" s="1" t="n">
        <v>46184</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61577-2023</t>
        </is>
      </c>
      <c r="B389" s="1" t="n">
        <v>45265.47366898148</v>
      </c>
      <c r="C389" s="1" t="n">
        <v>46184</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21563-2025</t>
        </is>
      </c>
      <c r="B390" s="1" t="n">
        <v>45782.69822916666</v>
      </c>
      <c r="C390" s="1" t="n">
        <v>46184</v>
      </c>
      <c r="D390" t="inlineStr">
        <is>
          <t>VÄSTERNORRLANDS LÄN</t>
        </is>
      </c>
      <c r="E390" t="inlineStr">
        <is>
          <t>ÅNGE</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21712-2025</t>
        </is>
      </c>
      <c r="B391" s="1" t="n">
        <v>45783.53210648148</v>
      </c>
      <c r="C391" s="1" t="n">
        <v>46184</v>
      </c>
      <c r="D391" t="inlineStr">
        <is>
          <t>VÄSTERNORRLANDS LÄN</t>
        </is>
      </c>
      <c r="E391" t="inlineStr">
        <is>
          <t>ÅNGE</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39119-2024</t>
        </is>
      </c>
      <c r="B392" s="1" t="n">
        <v>45548.58939814815</v>
      </c>
      <c r="C392" s="1" t="n">
        <v>46184</v>
      </c>
      <c r="D392" t="inlineStr">
        <is>
          <t>VÄSTERNORRLANDS LÄN</t>
        </is>
      </c>
      <c r="E392" t="inlineStr">
        <is>
          <t>ÅNGE</t>
        </is>
      </c>
      <c r="G392" t="n">
        <v>8</v>
      </c>
      <c r="H392" t="n">
        <v>0</v>
      </c>
      <c r="I392" t="n">
        <v>0</v>
      </c>
      <c r="J392" t="n">
        <v>0</v>
      </c>
      <c r="K392" t="n">
        <v>0</v>
      </c>
      <c r="L392" t="n">
        <v>0</v>
      </c>
      <c r="M392" t="n">
        <v>0</v>
      </c>
      <c r="N392" t="n">
        <v>0</v>
      </c>
      <c r="O392" t="n">
        <v>0</v>
      </c>
      <c r="P392" t="n">
        <v>0</v>
      </c>
      <c r="Q392" t="n">
        <v>0</v>
      </c>
      <c r="R392" s="2" t="inlineStr"/>
    </row>
    <row r="393" ht="15" customHeight="1">
      <c r="A393" t="inlineStr">
        <is>
          <t>A 32257-2024</t>
        </is>
      </c>
      <c r="B393" s="1" t="n">
        <v>45511</v>
      </c>
      <c r="C393" s="1" t="n">
        <v>46184</v>
      </c>
      <c r="D393" t="inlineStr">
        <is>
          <t>VÄSTERNORRLANDS LÄN</t>
        </is>
      </c>
      <c r="E393" t="inlineStr">
        <is>
          <t>ÅNGE</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49562-2025</t>
        </is>
      </c>
      <c r="B394" s="1" t="n">
        <v>45939.46524305556</v>
      </c>
      <c r="C394" s="1" t="n">
        <v>46184</v>
      </c>
      <c r="D394" t="inlineStr">
        <is>
          <t>VÄSTERNORRLANDS LÄN</t>
        </is>
      </c>
      <c r="E394" t="inlineStr">
        <is>
          <t>ÅNGE</t>
        </is>
      </c>
      <c r="G394" t="n">
        <v>4.4</v>
      </c>
      <c r="H394" t="n">
        <v>0</v>
      </c>
      <c r="I394" t="n">
        <v>0</v>
      </c>
      <c r="J394" t="n">
        <v>0</v>
      </c>
      <c r="K394" t="n">
        <v>0</v>
      </c>
      <c r="L394" t="n">
        <v>0</v>
      </c>
      <c r="M394" t="n">
        <v>0</v>
      </c>
      <c r="N394" t="n">
        <v>0</v>
      </c>
      <c r="O394" t="n">
        <v>0</v>
      </c>
      <c r="P394" t="n">
        <v>0</v>
      </c>
      <c r="Q394" t="n">
        <v>0</v>
      </c>
      <c r="R394" s="2" t="inlineStr"/>
    </row>
    <row r="395" ht="15" customHeight="1">
      <c r="A395" t="inlineStr">
        <is>
          <t>A 20880-2025</t>
        </is>
      </c>
      <c r="B395" s="1" t="n">
        <v>45777</v>
      </c>
      <c r="C395" s="1" t="n">
        <v>46184</v>
      </c>
      <c r="D395" t="inlineStr">
        <is>
          <t>VÄSTERNORRLANDS LÄN</t>
        </is>
      </c>
      <c r="E395" t="inlineStr">
        <is>
          <t>ÅNGE</t>
        </is>
      </c>
      <c r="G395" t="n">
        <v>1.6</v>
      </c>
      <c r="H395" t="n">
        <v>0</v>
      </c>
      <c r="I395" t="n">
        <v>0</v>
      </c>
      <c r="J395" t="n">
        <v>0</v>
      </c>
      <c r="K395" t="n">
        <v>0</v>
      </c>
      <c r="L395" t="n">
        <v>0</v>
      </c>
      <c r="M395" t="n">
        <v>0</v>
      </c>
      <c r="N395" t="n">
        <v>0</v>
      </c>
      <c r="O395" t="n">
        <v>0</v>
      </c>
      <c r="P395" t="n">
        <v>0</v>
      </c>
      <c r="Q395" t="n">
        <v>0</v>
      </c>
      <c r="R395" s="2" t="inlineStr"/>
    </row>
    <row r="396" ht="15" customHeight="1">
      <c r="A396" t="inlineStr">
        <is>
          <t>A 22219-2025</t>
        </is>
      </c>
      <c r="B396" s="1" t="n">
        <v>45785.65849537037</v>
      </c>
      <c r="C396" s="1" t="n">
        <v>46184</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21862-2025</t>
        </is>
      </c>
      <c r="B397" s="1" t="n">
        <v>45784.36519675926</v>
      </c>
      <c r="C397" s="1" t="n">
        <v>46184</v>
      </c>
      <c r="D397" t="inlineStr">
        <is>
          <t>VÄSTERNORRLANDS LÄN</t>
        </is>
      </c>
      <c r="E397" t="inlineStr">
        <is>
          <t>ÅNGE</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22206-2025</t>
        </is>
      </c>
      <c r="B398" s="1" t="n">
        <v>45785.65699074074</v>
      </c>
      <c r="C398" s="1" t="n">
        <v>46184</v>
      </c>
      <c r="D398" t="inlineStr">
        <is>
          <t>VÄSTERNORRLANDS LÄN</t>
        </is>
      </c>
      <c r="E398" t="inlineStr">
        <is>
          <t>ÅNGE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29395-2023</t>
        </is>
      </c>
      <c r="B399" s="1" t="n">
        <v>45106.4359837963</v>
      </c>
      <c r="C399" s="1" t="n">
        <v>46184</v>
      </c>
      <c r="D399" t="inlineStr">
        <is>
          <t>VÄSTERNORRLANDS LÄN</t>
        </is>
      </c>
      <c r="E399" t="inlineStr">
        <is>
          <t>ÅNGE</t>
        </is>
      </c>
      <c r="G399" t="n">
        <v>3.5</v>
      </c>
      <c r="H399" t="n">
        <v>0</v>
      </c>
      <c r="I399" t="n">
        <v>0</v>
      </c>
      <c r="J399" t="n">
        <v>0</v>
      </c>
      <c r="K399" t="n">
        <v>0</v>
      </c>
      <c r="L399" t="n">
        <v>0</v>
      </c>
      <c r="M399" t="n">
        <v>0</v>
      </c>
      <c r="N399" t="n">
        <v>0</v>
      </c>
      <c r="O399" t="n">
        <v>0</v>
      </c>
      <c r="P399" t="n">
        <v>0</v>
      </c>
      <c r="Q399" t="n">
        <v>0</v>
      </c>
      <c r="R399" s="2" t="inlineStr"/>
    </row>
    <row r="400" ht="15" customHeight="1">
      <c r="A400" t="inlineStr">
        <is>
          <t>A 38800-2024</t>
        </is>
      </c>
      <c r="B400" s="1" t="n">
        <v>45547</v>
      </c>
      <c r="C400" s="1" t="n">
        <v>46184</v>
      </c>
      <c r="D400" t="inlineStr">
        <is>
          <t>VÄSTERNORRLANDS LÄN</t>
        </is>
      </c>
      <c r="E400" t="inlineStr">
        <is>
          <t>ÅNGE</t>
        </is>
      </c>
      <c r="G400" t="n">
        <v>2.6</v>
      </c>
      <c r="H400" t="n">
        <v>0</v>
      </c>
      <c r="I400" t="n">
        <v>0</v>
      </c>
      <c r="J400" t="n">
        <v>0</v>
      </c>
      <c r="K400" t="n">
        <v>0</v>
      </c>
      <c r="L400" t="n">
        <v>0</v>
      </c>
      <c r="M400" t="n">
        <v>0</v>
      </c>
      <c r="N400" t="n">
        <v>0</v>
      </c>
      <c r="O400" t="n">
        <v>0</v>
      </c>
      <c r="P400" t="n">
        <v>0</v>
      </c>
      <c r="Q400" t="n">
        <v>0</v>
      </c>
      <c r="R400" s="2" t="inlineStr"/>
    </row>
    <row r="401" ht="15" customHeight="1">
      <c r="A401" t="inlineStr">
        <is>
          <t>A 21883-2025</t>
        </is>
      </c>
      <c r="B401" s="1" t="n">
        <v>45784.41361111111</v>
      </c>
      <c r="C401" s="1" t="n">
        <v>46184</v>
      </c>
      <c r="D401" t="inlineStr">
        <is>
          <t>VÄSTERNORRLANDS LÄN</t>
        </is>
      </c>
      <c r="E401" t="inlineStr">
        <is>
          <t>ÅNGE</t>
        </is>
      </c>
      <c r="G401" t="n">
        <v>1.7</v>
      </c>
      <c r="H401" t="n">
        <v>0</v>
      </c>
      <c r="I401" t="n">
        <v>0</v>
      </c>
      <c r="J401" t="n">
        <v>0</v>
      </c>
      <c r="K401" t="n">
        <v>0</v>
      </c>
      <c r="L401" t="n">
        <v>0</v>
      </c>
      <c r="M401" t="n">
        <v>0</v>
      </c>
      <c r="N401" t="n">
        <v>0</v>
      </c>
      <c r="O401" t="n">
        <v>0</v>
      </c>
      <c r="P401" t="n">
        <v>0</v>
      </c>
      <c r="Q401" t="n">
        <v>0</v>
      </c>
      <c r="R401" s="2" t="inlineStr"/>
    </row>
    <row r="402" ht="15" customHeight="1">
      <c r="A402" t="inlineStr">
        <is>
          <t>A 31492-2024</t>
        </is>
      </c>
      <c r="B402" s="1" t="n">
        <v>45505</v>
      </c>
      <c r="C402" s="1" t="n">
        <v>46184</v>
      </c>
      <c r="D402" t="inlineStr">
        <is>
          <t>VÄSTERNORRLANDS LÄN</t>
        </is>
      </c>
      <c r="E402" t="inlineStr">
        <is>
          <t>ÅNGE</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49377-2025</t>
        </is>
      </c>
      <c r="B403" s="1" t="n">
        <v>45938.63626157407</v>
      </c>
      <c r="C403" s="1" t="n">
        <v>46184</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22187-2024</t>
        </is>
      </c>
      <c r="B404" s="1" t="n">
        <v>45446.35222222222</v>
      </c>
      <c r="C404" s="1" t="n">
        <v>46184</v>
      </c>
      <c r="D404" t="inlineStr">
        <is>
          <t>VÄSTERNORRLANDS LÄN</t>
        </is>
      </c>
      <c r="E404" t="inlineStr">
        <is>
          <t>ÅNGE</t>
        </is>
      </c>
      <c r="G404" t="n">
        <v>2.3</v>
      </c>
      <c r="H404" t="n">
        <v>0</v>
      </c>
      <c r="I404" t="n">
        <v>0</v>
      </c>
      <c r="J404" t="n">
        <v>0</v>
      </c>
      <c r="K404" t="n">
        <v>0</v>
      </c>
      <c r="L404" t="n">
        <v>0</v>
      </c>
      <c r="M404" t="n">
        <v>0</v>
      </c>
      <c r="N404" t="n">
        <v>0</v>
      </c>
      <c r="O404" t="n">
        <v>0</v>
      </c>
      <c r="P404" t="n">
        <v>0</v>
      </c>
      <c r="Q404" t="n">
        <v>0</v>
      </c>
      <c r="R404" s="2" t="inlineStr"/>
    </row>
    <row r="405" ht="15" customHeight="1">
      <c r="A405" t="inlineStr">
        <is>
          <t>A 18112-2025</t>
        </is>
      </c>
      <c r="B405" s="1" t="n">
        <v>45761.57350694444</v>
      </c>
      <c r="C405" s="1" t="n">
        <v>46184</v>
      </c>
      <c r="D405" t="inlineStr">
        <is>
          <t>VÄSTERNORRLANDS LÄN</t>
        </is>
      </c>
      <c r="E405" t="inlineStr">
        <is>
          <t>ÅNGE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49603-2025</t>
        </is>
      </c>
      <c r="B406" s="1" t="n">
        <v>45939.5484375</v>
      </c>
      <c r="C406" s="1" t="n">
        <v>46184</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34959-2023</t>
        </is>
      </c>
      <c r="B407" s="1" t="n">
        <v>45142</v>
      </c>
      <c r="C407" s="1" t="n">
        <v>46184</v>
      </c>
      <c r="D407" t="inlineStr">
        <is>
          <t>VÄSTERNORRLANDS LÄN</t>
        </is>
      </c>
      <c r="E407" t="inlineStr">
        <is>
          <t>ÅNGE</t>
        </is>
      </c>
      <c r="F407" t="inlineStr">
        <is>
          <t>Sveaskog</t>
        </is>
      </c>
      <c r="G407" t="n">
        <v>6.6</v>
      </c>
      <c r="H407" t="n">
        <v>0</v>
      </c>
      <c r="I407" t="n">
        <v>0</v>
      </c>
      <c r="J407" t="n">
        <v>0</v>
      </c>
      <c r="K407" t="n">
        <v>0</v>
      </c>
      <c r="L407" t="n">
        <v>0</v>
      </c>
      <c r="M407" t="n">
        <v>0</v>
      </c>
      <c r="N407" t="n">
        <v>0</v>
      </c>
      <c r="O407" t="n">
        <v>0</v>
      </c>
      <c r="P407" t="n">
        <v>0</v>
      </c>
      <c r="Q407" t="n">
        <v>0</v>
      </c>
      <c r="R407" s="2" t="inlineStr"/>
    </row>
    <row r="408" ht="15" customHeight="1">
      <c r="A408" t="inlineStr">
        <is>
          <t>A 8406-2023</t>
        </is>
      </c>
      <c r="B408" s="1" t="n">
        <v>44971</v>
      </c>
      <c r="C408" s="1" t="n">
        <v>46184</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42857-2022</t>
        </is>
      </c>
      <c r="B409" s="1" t="n">
        <v>44832</v>
      </c>
      <c r="C409" s="1" t="n">
        <v>46184</v>
      </c>
      <c r="D409" t="inlineStr">
        <is>
          <t>VÄSTERNORRLANDS LÄN</t>
        </is>
      </c>
      <c r="E409" t="inlineStr">
        <is>
          <t>ÅNGE</t>
        </is>
      </c>
      <c r="G409" t="n">
        <v>3.4</v>
      </c>
      <c r="H409" t="n">
        <v>0</v>
      </c>
      <c r="I409" t="n">
        <v>0</v>
      </c>
      <c r="J409" t="n">
        <v>0</v>
      </c>
      <c r="K409" t="n">
        <v>0</v>
      </c>
      <c r="L409" t="n">
        <v>0</v>
      </c>
      <c r="M409" t="n">
        <v>0</v>
      </c>
      <c r="N409" t="n">
        <v>0</v>
      </c>
      <c r="O409" t="n">
        <v>0</v>
      </c>
      <c r="P409" t="n">
        <v>0</v>
      </c>
      <c r="Q409" t="n">
        <v>0</v>
      </c>
      <c r="R409" s="2" t="inlineStr"/>
    </row>
    <row r="410" ht="15" customHeight="1">
      <c r="A410" t="inlineStr">
        <is>
          <t>A 49381-2025</t>
        </is>
      </c>
      <c r="B410" s="1" t="n">
        <v>45938.63694444444</v>
      </c>
      <c r="C410" s="1" t="n">
        <v>46184</v>
      </c>
      <c r="D410" t="inlineStr">
        <is>
          <t>VÄSTERNORRLANDS LÄN</t>
        </is>
      </c>
      <c r="E410" t="inlineStr">
        <is>
          <t>ÅNGE</t>
        </is>
      </c>
      <c r="F410" t="inlineStr">
        <is>
          <t>SCA</t>
        </is>
      </c>
      <c r="G410" t="n">
        <v>20.6</v>
      </c>
      <c r="H410" t="n">
        <v>0</v>
      </c>
      <c r="I410" t="n">
        <v>0</v>
      </c>
      <c r="J410" t="n">
        <v>0</v>
      </c>
      <c r="K410" t="n">
        <v>0</v>
      </c>
      <c r="L410" t="n">
        <v>0</v>
      </c>
      <c r="M410" t="n">
        <v>0</v>
      </c>
      <c r="N410" t="n">
        <v>0</v>
      </c>
      <c r="O410" t="n">
        <v>0</v>
      </c>
      <c r="P410" t="n">
        <v>0</v>
      </c>
      <c r="Q410" t="n">
        <v>0</v>
      </c>
      <c r="R410" s="2" t="inlineStr"/>
    </row>
    <row r="411" ht="15" customHeight="1">
      <c r="A411" t="inlineStr">
        <is>
          <t>A 39434-2025</t>
        </is>
      </c>
      <c r="B411" s="1" t="n">
        <v>45889.67811342593</v>
      </c>
      <c r="C411" s="1" t="n">
        <v>46184</v>
      </c>
      <c r="D411" t="inlineStr">
        <is>
          <t>VÄSTERNORRLANDS LÄN</t>
        </is>
      </c>
      <c r="E411" t="inlineStr">
        <is>
          <t>ÅNGE</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6-2025</t>
        </is>
      </c>
      <c r="B412" s="1" t="n">
        <v>45658.50759259259</v>
      </c>
      <c r="C412" s="1" t="n">
        <v>46184</v>
      </c>
      <c r="D412" t="inlineStr">
        <is>
          <t>VÄSTERNORRLANDS LÄN</t>
        </is>
      </c>
      <c r="E412" t="inlineStr">
        <is>
          <t>ÅNGE</t>
        </is>
      </c>
      <c r="G412" t="n">
        <v>4.3</v>
      </c>
      <c r="H412" t="n">
        <v>0</v>
      </c>
      <c r="I412" t="n">
        <v>0</v>
      </c>
      <c r="J412" t="n">
        <v>0</v>
      </c>
      <c r="K412" t="n">
        <v>0</v>
      </c>
      <c r="L412" t="n">
        <v>0</v>
      </c>
      <c r="M412" t="n">
        <v>0</v>
      </c>
      <c r="N412" t="n">
        <v>0</v>
      </c>
      <c r="O412" t="n">
        <v>0</v>
      </c>
      <c r="P412" t="n">
        <v>0</v>
      </c>
      <c r="Q412" t="n">
        <v>0</v>
      </c>
      <c r="R412" s="2" t="inlineStr"/>
    </row>
    <row r="413" ht="15" customHeight="1">
      <c r="A413" t="inlineStr">
        <is>
          <t>A 22489-2025</t>
        </is>
      </c>
      <c r="B413" s="1" t="n">
        <v>45786.64946759259</v>
      </c>
      <c r="C413" s="1" t="n">
        <v>46184</v>
      </c>
      <c r="D413" t="inlineStr">
        <is>
          <t>VÄSTERNORRLANDS LÄN</t>
        </is>
      </c>
      <c r="E413" t="inlineStr">
        <is>
          <t>ÅNGE</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22791-2025</t>
        </is>
      </c>
      <c r="B414" s="1" t="n">
        <v>45789.65663194445</v>
      </c>
      <c r="C414" s="1" t="n">
        <v>46184</v>
      </c>
      <c r="D414" t="inlineStr">
        <is>
          <t>VÄSTERNORRLANDS LÄN</t>
        </is>
      </c>
      <c r="E414" t="inlineStr">
        <is>
          <t>ÅNGE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22549-2025</t>
        </is>
      </c>
      <c r="B415" s="1" t="n">
        <v>45788.48113425926</v>
      </c>
      <c r="C415" s="1" t="n">
        <v>46184</v>
      </c>
      <c r="D415" t="inlineStr">
        <is>
          <t>VÄSTERNORRLANDS LÄN</t>
        </is>
      </c>
      <c r="E415" t="inlineStr">
        <is>
          <t>ÅNGE</t>
        </is>
      </c>
      <c r="G415" t="n">
        <v>2.6</v>
      </c>
      <c r="H415" t="n">
        <v>0</v>
      </c>
      <c r="I415" t="n">
        <v>0</v>
      </c>
      <c r="J415" t="n">
        <v>0</v>
      </c>
      <c r="K415" t="n">
        <v>0</v>
      </c>
      <c r="L415" t="n">
        <v>0</v>
      </c>
      <c r="M415" t="n">
        <v>0</v>
      </c>
      <c r="N415" t="n">
        <v>0</v>
      </c>
      <c r="O415" t="n">
        <v>0</v>
      </c>
      <c r="P415" t="n">
        <v>0</v>
      </c>
      <c r="Q415" t="n">
        <v>0</v>
      </c>
      <c r="R415" s="2" t="inlineStr"/>
    </row>
    <row r="416" ht="15" customHeight="1">
      <c r="A416" t="inlineStr">
        <is>
          <t>A 24232-2024</t>
        </is>
      </c>
      <c r="B416" s="1" t="n">
        <v>45457.34686342593</v>
      </c>
      <c r="C416" s="1" t="n">
        <v>46184</v>
      </c>
      <c r="D416" t="inlineStr">
        <is>
          <t>VÄSTERNORRLANDS LÄN</t>
        </is>
      </c>
      <c r="E416" t="inlineStr">
        <is>
          <t>ÅNGE</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49476-2025</t>
        </is>
      </c>
      <c r="B417" s="1" t="n">
        <v>45939.34506944445</v>
      </c>
      <c r="C417" s="1" t="n">
        <v>46184</v>
      </c>
      <c r="D417" t="inlineStr">
        <is>
          <t>VÄSTERNORRLANDS LÄN</t>
        </is>
      </c>
      <c r="E417" t="inlineStr">
        <is>
          <t>ÅNGE</t>
        </is>
      </c>
      <c r="F417" t="inlineStr">
        <is>
          <t>SCA</t>
        </is>
      </c>
      <c r="G417" t="n">
        <v>11.4</v>
      </c>
      <c r="H417" t="n">
        <v>0</v>
      </c>
      <c r="I417" t="n">
        <v>0</v>
      </c>
      <c r="J417" t="n">
        <v>0</v>
      </c>
      <c r="K417" t="n">
        <v>0</v>
      </c>
      <c r="L417" t="n">
        <v>0</v>
      </c>
      <c r="M417" t="n">
        <v>0</v>
      </c>
      <c r="N417" t="n">
        <v>0</v>
      </c>
      <c r="O417" t="n">
        <v>0</v>
      </c>
      <c r="P417" t="n">
        <v>0</v>
      </c>
      <c r="Q417" t="n">
        <v>0</v>
      </c>
      <c r="R417" s="2" t="inlineStr"/>
    </row>
    <row r="418" ht="15" customHeight="1">
      <c r="A418" t="inlineStr">
        <is>
          <t>A 31325-2022</t>
        </is>
      </c>
      <c r="B418" s="1" t="n">
        <v>44774.41421296296</v>
      </c>
      <c r="C418" s="1" t="n">
        <v>46184</v>
      </c>
      <c r="D418" t="inlineStr">
        <is>
          <t>VÄSTERNORRLANDS LÄN</t>
        </is>
      </c>
      <c r="E418" t="inlineStr">
        <is>
          <t>ÅNGE</t>
        </is>
      </c>
      <c r="G418" t="n">
        <v>6.3</v>
      </c>
      <c r="H418" t="n">
        <v>0</v>
      </c>
      <c r="I418" t="n">
        <v>0</v>
      </c>
      <c r="J418" t="n">
        <v>0</v>
      </c>
      <c r="K418" t="n">
        <v>0</v>
      </c>
      <c r="L418" t="n">
        <v>0</v>
      </c>
      <c r="M418" t="n">
        <v>0</v>
      </c>
      <c r="N418" t="n">
        <v>0</v>
      </c>
      <c r="O418" t="n">
        <v>0</v>
      </c>
      <c r="P418" t="n">
        <v>0</v>
      </c>
      <c r="Q418" t="n">
        <v>0</v>
      </c>
      <c r="R418" s="2" t="inlineStr"/>
    </row>
    <row r="419" ht="15" customHeight="1">
      <c r="A419" t="inlineStr">
        <is>
          <t>A 23252-2025</t>
        </is>
      </c>
      <c r="B419" s="1" t="n">
        <v>45791.53157407408</v>
      </c>
      <c r="C419" s="1" t="n">
        <v>46184</v>
      </c>
      <c r="D419" t="inlineStr">
        <is>
          <t>VÄSTERNORRLANDS LÄN</t>
        </is>
      </c>
      <c r="E419" t="inlineStr">
        <is>
          <t>ÅNGE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49600-2025</t>
        </is>
      </c>
      <c r="B420" s="1" t="n">
        <v>45939.54434027777</v>
      </c>
      <c r="C420" s="1" t="n">
        <v>46184</v>
      </c>
      <c r="D420" t="inlineStr">
        <is>
          <t>VÄSTERNORRLANDS LÄN</t>
        </is>
      </c>
      <c r="E420" t="inlineStr">
        <is>
          <t>ÅNGE</t>
        </is>
      </c>
      <c r="G420" t="n">
        <v>1.4</v>
      </c>
      <c r="H420" t="n">
        <v>0</v>
      </c>
      <c r="I420" t="n">
        <v>0</v>
      </c>
      <c r="J420" t="n">
        <v>0</v>
      </c>
      <c r="K420" t="n">
        <v>0</v>
      </c>
      <c r="L420" t="n">
        <v>0</v>
      </c>
      <c r="M420" t="n">
        <v>0</v>
      </c>
      <c r="N420" t="n">
        <v>0</v>
      </c>
      <c r="O420" t="n">
        <v>0</v>
      </c>
      <c r="P420" t="n">
        <v>0</v>
      </c>
      <c r="Q420" t="n">
        <v>0</v>
      </c>
      <c r="R420" s="2" t="inlineStr"/>
    </row>
    <row r="421" ht="15" customHeight="1">
      <c r="A421" t="inlineStr">
        <is>
          <t>A 22411-2023</t>
        </is>
      </c>
      <c r="B421" s="1" t="n">
        <v>45070</v>
      </c>
      <c r="C421" s="1" t="n">
        <v>46184</v>
      </c>
      <c r="D421" t="inlineStr">
        <is>
          <t>VÄSTERNORRLANDS LÄN</t>
        </is>
      </c>
      <c r="E421" t="inlineStr">
        <is>
          <t>ÅNGE</t>
        </is>
      </c>
      <c r="G421" t="n">
        <v>2.8</v>
      </c>
      <c r="H421" t="n">
        <v>0</v>
      </c>
      <c r="I421" t="n">
        <v>0</v>
      </c>
      <c r="J421" t="n">
        <v>0</v>
      </c>
      <c r="K421" t="n">
        <v>0</v>
      </c>
      <c r="L421" t="n">
        <v>0</v>
      </c>
      <c r="M421" t="n">
        <v>0</v>
      </c>
      <c r="N421" t="n">
        <v>0</v>
      </c>
      <c r="O421" t="n">
        <v>0</v>
      </c>
      <c r="P421" t="n">
        <v>0</v>
      </c>
      <c r="Q421" t="n">
        <v>0</v>
      </c>
      <c r="R421" s="2" t="inlineStr"/>
    </row>
    <row r="422" ht="15" customHeight="1">
      <c r="A422" t="inlineStr">
        <is>
          <t>A 50210-2025</t>
        </is>
      </c>
      <c r="B422" s="1" t="n">
        <v>45943.67379629629</v>
      </c>
      <c r="C422" s="1" t="n">
        <v>46184</v>
      </c>
      <c r="D422" t="inlineStr">
        <is>
          <t>VÄSTERNORRLANDS LÄN</t>
        </is>
      </c>
      <c r="E422" t="inlineStr">
        <is>
          <t>ÅNGE</t>
        </is>
      </c>
      <c r="G422" t="n">
        <v>2.5</v>
      </c>
      <c r="H422" t="n">
        <v>0</v>
      </c>
      <c r="I422" t="n">
        <v>0</v>
      </c>
      <c r="J422" t="n">
        <v>0</v>
      </c>
      <c r="K422" t="n">
        <v>0</v>
      </c>
      <c r="L422" t="n">
        <v>0</v>
      </c>
      <c r="M422" t="n">
        <v>0</v>
      </c>
      <c r="N422" t="n">
        <v>0</v>
      </c>
      <c r="O422" t="n">
        <v>0</v>
      </c>
      <c r="P422" t="n">
        <v>0</v>
      </c>
      <c r="Q422" t="n">
        <v>0</v>
      </c>
      <c r="R422" s="2" t="inlineStr"/>
    </row>
    <row r="423" ht="15" customHeight="1">
      <c r="A423" t="inlineStr">
        <is>
          <t>A 23748-2025</t>
        </is>
      </c>
      <c r="B423" s="1" t="n">
        <v>45793.44755787037</v>
      </c>
      <c r="C423" s="1" t="n">
        <v>46184</v>
      </c>
      <c r="D423" t="inlineStr">
        <is>
          <t>VÄSTERNORRLANDS LÄN</t>
        </is>
      </c>
      <c r="E423" t="inlineStr">
        <is>
          <t>ÅNGE</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50001-2025</t>
        </is>
      </c>
      <c r="B424" s="1" t="n">
        <v>45943.34421296296</v>
      </c>
      <c r="C424" s="1" t="n">
        <v>46184</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60368-2024</t>
        </is>
      </c>
      <c r="B425" s="1" t="n">
        <v>45643</v>
      </c>
      <c r="C425" s="1" t="n">
        <v>46184</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23529-2025</t>
        </is>
      </c>
      <c r="B426" s="1" t="n">
        <v>45792.53158564815</v>
      </c>
      <c r="C426" s="1" t="n">
        <v>46184</v>
      </c>
      <c r="D426" t="inlineStr">
        <is>
          <t>VÄSTERNORRLANDS LÄN</t>
        </is>
      </c>
      <c r="E426" t="inlineStr">
        <is>
          <t>ÅNGE</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60004-2023</t>
        </is>
      </c>
      <c r="B427" s="1" t="n">
        <v>45257</v>
      </c>
      <c r="C427" s="1" t="n">
        <v>46184</v>
      </c>
      <c r="D427" t="inlineStr">
        <is>
          <t>VÄSTERNORRLANDS LÄN</t>
        </is>
      </c>
      <c r="E427" t="inlineStr">
        <is>
          <t>ÅNGE</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4142-2024</t>
        </is>
      </c>
      <c r="B428" s="1" t="n">
        <v>45323</v>
      </c>
      <c r="C428" s="1" t="n">
        <v>46184</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40665-2025</t>
        </is>
      </c>
      <c r="B429" s="1" t="n">
        <v>45896.65663194445</v>
      </c>
      <c r="C429" s="1" t="n">
        <v>46184</v>
      </c>
      <c r="D429" t="inlineStr">
        <is>
          <t>VÄSTERNORRLANDS LÄN</t>
        </is>
      </c>
      <c r="E429" t="inlineStr">
        <is>
          <t>ÅNGE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40898-2025</t>
        </is>
      </c>
      <c r="B430" s="1" t="n">
        <v>45897.61503472222</v>
      </c>
      <c r="C430" s="1" t="n">
        <v>46184</v>
      </c>
      <c r="D430" t="inlineStr">
        <is>
          <t>VÄSTERNORRLANDS LÄN</t>
        </is>
      </c>
      <c r="E430" t="inlineStr">
        <is>
          <t>ÅNGE</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40899-2025</t>
        </is>
      </c>
      <c r="B431" s="1" t="n">
        <v>45897.61528935185</v>
      </c>
      <c r="C431" s="1" t="n">
        <v>46184</v>
      </c>
      <c r="D431" t="inlineStr">
        <is>
          <t>VÄSTERNORRLANDS LÄN</t>
        </is>
      </c>
      <c r="E431" t="inlineStr">
        <is>
          <t>ÅNGE</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54079-2023</t>
        </is>
      </c>
      <c r="B432" s="1" t="n">
        <v>45231</v>
      </c>
      <c r="C432" s="1" t="n">
        <v>46184</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24357-2025</t>
        </is>
      </c>
      <c r="B433" s="1" t="n">
        <v>45797.59467592592</v>
      </c>
      <c r="C433" s="1" t="n">
        <v>46184</v>
      </c>
      <c r="D433" t="inlineStr">
        <is>
          <t>VÄSTERNORRLANDS LÄN</t>
        </is>
      </c>
      <c r="E433" t="inlineStr">
        <is>
          <t>ÅNGE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9382-2025</t>
        </is>
      </c>
      <c r="B434" s="1" t="n">
        <v>45715.34425925926</v>
      </c>
      <c r="C434" s="1" t="n">
        <v>46184</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41575-2024</t>
        </is>
      </c>
      <c r="B435" s="1" t="n">
        <v>45560.55106481481</v>
      </c>
      <c r="C435" s="1" t="n">
        <v>46184</v>
      </c>
      <c r="D435" t="inlineStr">
        <is>
          <t>VÄSTERNORRLANDS LÄN</t>
        </is>
      </c>
      <c r="E435" t="inlineStr">
        <is>
          <t>ÅNGE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19007-2025</t>
        </is>
      </c>
      <c r="B436" s="1" t="n">
        <v>45764.58515046296</v>
      </c>
      <c r="C436" s="1" t="n">
        <v>46184</v>
      </c>
      <c r="D436" t="inlineStr">
        <is>
          <t>VÄSTERNORRLANDS LÄN</t>
        </is>
      </c>
      <c r="E436" t="inlineStr">
        <is>
          <t>ÅNGE</t>
        </is>
      </c>
      <c r="G436" t="n">
        <v>3.7</v>
      </c>
      <c r="H436" t="n">
        <v>0</v>
      </c>
      <c r="I436" t="n">
        <v>0</v>
      </c>
      <c r="J436" t="n">
        <v>0</v>
      </c>
      <c r="K436" t="n">
        <v>0</v>
      </c>
      <c r="L436" t="n">
        <v>0</v>
      </c>
      <c r="M436" t="n">
        <v>0</v>
      </c>
      <c r="N436" t="n">
        <v>0</v>
      </c>
      <c r="O436" t="n">
        <v>0</v>
      </c>
      <c r="P436" t="n">
        <v>0</v>
      </c>
      <c r="Q436" t="n">
        <v>0</v>
      </c>
      <c r="R436" s="2" t="inlineStr"/>
    </row>
    <row r="437" ht="15" customHeight="1">
      <c r="A437" t="inlineStr">
        <is>
          <t>A 56434-2021</t>
        </is>
      </c>
      <c r="B437" s="1" t="n">
        <v>44477</v>
      </c>
      <c r="C437" s="1" t="n">
        <v>46184</v>
      </c>
      <c r="D437" t="inlineStr">
        <is>
          <t>VÄSTERNORRLANDS LÄN</t>
        </is>
      </c>
      <c r="E437" t="inlineStr">
        <is>
          <t>ÅNGE</t>
        </is>
      </c>
      <c r="G437" t="n">
        <v>2.7</v>
      </c>
      <c r="H437" t="n">
        <v>0</v>
      </c>
      <c r="I437" t="n">
        <v>0</v>
      </c>
      <c r="J437" t="n">
        <v>0</v>
      </c>
      <c r="K437" t="n">
        <v>0</v>
      </c>
      <c r="L437" t="n">
        <v>0</v>
      </c>
      <c r="M437" t="n">
        <v>0</v>
      </c>
      <c r="N437" t="n">
        <v>0</v>
      </c>
      <c r="O437" t="n">
        <v>0</v>
      </c>
      <c r="P437" t="n">
        <v>0</v>
      </c>
      <c r="Q437" t="n">
        <v>0</v>
      </c>
      <c r="R437" s="2" t="inlineStr"/>
    </row>
    <row r="438" ht="15" customHeight="1">
      <c r="A438" t="inlineStr">
        <is>
          <t>A 41741-2023</t>
        </is>
      </c>
      <c r="B438" s="1" t="n">
        <v>45176.42164351852</v>
      </c>
      <c r="C438" s="1" t="n">
        <v>46184</v>
      </c>
      <c r="D438" t="inlineStr">
        <is>
          <t>VÄSTERNORRLANDS LÄN</t>
        </is>
      </c>
      <c r="E438" t="inlineStr">
        <is>
          <t>ÅNGE</t>
        </is>
      </c>
      <c r="G438" t="n">
        <v>7.8</v>
      </c>
      <c r="H438" t="n">
        <v>0</v>
      </c>
      <c r="I438" t="n">
        <v>0</v>
      </c>
      <c r="J438" t="n">
        <v>0</v>
      </c>
      <c r="K438" t="n">
        <v>0</v>
      </c>
      <c r="L438" t="n">
        <v>0</v>
      </c>
      <c r="M438" t="n">
        <v>0</v>
      </c>
      <c r="N438" t="n">
        <v>0</v>
      </c>
      <c r="O438" t="n">
        <v>0</v>
      </c>
      <c r="P438" t="n">
        <v>0</v>
      </c>
      <c r="Q438" t="n">
        <v>0</v>
      </c>
      <c r="R438" s="2" t="inlineStr"/>
    </row>
    <row r="439" ht="15" customHeight="1">
      <c r="A439" t="inlineStr">
        <is>
          <t>A 29702-2024</t>
        </is>
      </c>
      <c r="B439" s="1" t="n">
        <v>45485.31525462963</v>
      </c>
      <c r="C439" s="1" t="n">
        <v>46184</v>
      </c>
      <c r="D439" t="inlineStr">
        <is>
          <t>VÄSTERNORRLANDS LÄN</t>
        </is>
      </c>
      <c r="E439" t="inlineStr">
        <is>
          <t>ÅNGE</t>
        </is>
      </c>
      <c r="G439" t="n">
        <v>2.6</v>
      </c>
      <c r="H439" t="n">
        <v>0</v>
      </c>
      <c r="I439" t="n">
        <v>0</v>
      </c>
      <c r="J439" t="n">
        <v>0</v>
      </c>
      <c r="K439" t="n">
        <v>0</v>
      </c>
      <c r="L439" t="n">
        <v>0</v>
      </c>
      <c r="M439" t="n">
        <v>0</v>
      </c>
      <c r="N439" t="n">
        <v>0</v>
      </c>
      <c r="O439" t="n">
        <v>0</v>
      </c>
      <c r="P439" t="n">
        <v>0</v>
      </c>
      <c r="Q439" t="n">
        <v>0</v>
      </c>
      <c r="R439" s="2" t="inlineStr"/>
    </row>
    <row r="440" ht="15" customHeight="1">
      <c r="A440" t="inlineStr">
        <is>
          <t>A 23069-2024</t>
        </is>
      </c>
      <c r="B440" s="1" t="n">
        <v>45450</v>
      </c>
      <c r="C440" s="1" t="n">
        <v>46184</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18067-2025</t>
        </is>
      </c>
      <c r="B441" s="1" t="n">
        <v>45761.49016203704</v>
      </c>
      <c r="C441" s="1" t="n">
        <v>46184</v>
      </c>
      <c r="D441" t="inlineStr">
        <is>
          <t>VÄSTERNORRLANDS LÄN</t>
        </is>
      </c>
      <c r="E441" t="inlineStr">
        <is>
          <t>ÅNGE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24209-2025</t>
        </is>
      </c>
      <c r="B442" s="1" t="n">
        <v>45797.3446875</v>
      </c>
      <c r="C442" s="1" t="n">
        <v>46184</v>
      </c>
      <c r="D442" t="inlineStr">
        <is>
          <t>VÄSTERNORRLANDS LÄN</t>
        </is>
      </c>
      <c r="E442" t="inlineStr">
        <is>
          <t>ÅNGE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10781-2024</t>
        </is>
      </c>
      <c r="B443" s="1" t="n">
        <v>45369.59635416666</v>
      </c>
      <c r="C443" s="1" t="n">
        <v>46184</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23975-2025</t>
        </is>
      </c>
      <c r="B444" s="1" t="n">
        <v>45796.38614583333</v>
      </c>
      <c r="C444" s="1" t="n">
        <v>46184</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23976-2025</t>
        </is>
      </c>
      <c r="B445" s="1" t="n">
        <v>45796.38625</v>
      </c>
      <c r="C445" s="1" t="n">
        <v>46184</v>
      </c>
      <c r="D445" t="inlineStr">
        <is>
          <t>VÄSTERNORRLANDS LÄN</t>
        </is>
      </c>
      <c r="E445" t="inlineStr">
        <is>
          <t>ÅNGE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57516-2023</t>
        </is>
      </c>
      <c r="B446" s="1" t="n">
        <v>45246.44665509259</v>
      </c>
      <c r="C446" s="1" t="n">
        <v>46184</v>
      </c>
      <c r="D446" t="inlineStr">
        <is>
          <t>VÄSTERNORRLANDS LÄN</t>
        </is>
      </c>
      <c r="E446" t="inlineStr">
        <is>
          <t>ÅNGE</t>
        </is>
      </c>
      <c r="G446" t="n">
        <v>2.2</v>
      </c>
      <c r="H446" t="n">
        <v>0</v>
      </c>
      <c r="I446" t="n">
        <v>0</v>
      </c>
      <c r="J446" t="n">
        <v>0</v>
      </c>
      <c r="K446" t="n">
        <v>0</v>
      </c>
      <c r="L446" t="n">
        <v>0</v>
      </c>
      <c r="M446" t="n">
        <v>0</v>
      </c>
      <c r="N446" t="n">
        <v>0</v>
      </c>
      <c r="O446" t="n">
        <v>0</v>
      </c>
      <c r="P446" t="n">
        <v>0</v>
      </c>
      <c r="Q446" t="n">
        <v>0</v>
      </c>
      <c r="R446" s="2" t="inlineStr"/>
    </row>
    <row r="447" ht="15" customHeight="1">
      <c r="A447" t="inlineStr">
        <is>
          <t>A 11396-2024</t>
        </is>
      </c>
      <c r="B447" s="1" t="n">
        <v>45372</v>
      </c>
      <c r="C447" s="1" t="n">
        <v>46184</v>
      </c>
      <c r="D447" t="inlineStr">
        <is>
          <t>VÄSTERNORRLANDS LÄN</t>
        </is>
      </c>
      <c r="E447" t="inlineStr">
        <is>
          <t>ÅNGE</t>
        </is>
      </c>
      <c r="G447" t="n">
        <v>2.2</v>
      </c>
      <c r="H447" t="n">
        <v>0</v>
      </c>
      <c r="I447" t="n">
        <v>0</v>
      </c>
      <c r="J447" t="n">
        <v>0</v>
      </c>
      <c r="K447" t="n">
        <v>0</v>
      </c>
      <c r="L447" t="n">
        <v>0</v>
      </c>
      <c r="M447" t="n">
        <v>0</v>
      </c>
      <c r="N447" t="n">
        <v>0</v>
      </c>
      <c r="O447" t="n">
        <v>0</v>
      </c>
      <c r="P447" t="n">
        <v>0</v>
      </c>
      <c r="Q447" t="n">
        <v>0</v>
      </c>
      <c r="R447" s="2" t="inlineStr"/>
    </row>
    <row r="448" ht="15" customHeight="1">
      <c r="A448" t="inlineStr">
        <is>
          <t>A 26641-2024</t>
        </is>
      </c>
      <c r="B448" s="1" t="n">
        <v>45469.92836805555</v>
      </c>
      <c r="C448" s="1" t="n">
        <v>46184</v>
      </c>
      <c r="D448" t="inlineStr">
        <is>
          <t>VÄSTERNORRLANDS LÄN</t>
        </is>
      </c>
      <c r="E448" t="inlineStr">
        <is>
          <t>ÅNGE</t>
        </is>
      </c>
      <c r="G448" t="n">
        <v>4.5</v>
      </c>
      <c r="H448" t="n">
        <v>0</v>
      </c>
      <c r="I448" t="n">
        <v>0</v>
      </c>
      <c r="J448" t="n">
        <v>0</v>
      </c>
      <c r="K448" t="n">
        <v>0</v>
      </c>
      <c r="L448" t="n">
        <v>0</v>
      </c>
      <c r="M448" t="n">
        <v>0</v>
      </c>
      <c r="N448" t="n">
        <v>0</v>
      </c>
      <c r="O448" t="n">
        <v>0</v>
      </c>
      <c r="P448" t="n">
        <v>0</v>
      </c>
      <c r="Q448" t="n">
        <v>0</v>
      </c>
      <c r="R448" s="2" t="inlineStr"/>
    </row>
    <row r="449" ht="15" customHeight="1">
      <c r="A449" t="inlineStr">
        <is>
          <t>A 50291-2025</t>
        </is>
      </c>
      <c r="B449" s="1" t="n">
        <v>45944.40677083333</v>
      </c>
      <c r="C449" s="1" t="n">
        <v>46184</v>
      </c>
      <c r="D449" t="inlineStr">
        <is>
          <t>VÄSTERNORRLANDS LÄN</t>
        </is>
      </c>
      <c r="E449" t="inlineStr">
        <is>
          <t>ÅNGE</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37992-2024</t>
        </is>
      </c>
      <c r="B450" s="1" t="n">
        <v>45544.59524305556</v>
      </c>
      <c r="C450" s="1" t="n">
        <v>46184</v>
      </c>
      <c r="D450" t="inlineStr">
        <is>
          <t>VÄSTERNORRLANDS LÄN</t>
        </is>
      </c>
      <c r="E450" t="inlineStr">
        <is>
          <t>ÅNGE</t>
        </is>
      </c>
      <c r="G450" t="n">
        <v>3.9</v>
      </c>
      <c r="H450" t="n">
        <v>0</v>
      </c>
      <c r="I450" t="n">
        <v>0</v>
      </c>
      <c r="J450" t="n">
        <v>0</v>
      </c>
      <c r="K450" t="n">
        <v>0</v>
      </c>
      <c r="L450" t="n">
        <v>0</v>
      </c>
      <c r="M450" t="n">
        <v>0</v>
      </c>
      <c r="N450" t="n">
        <v>0</v>
      </c>
      <c r="O450" t="n">
        <v>0</v>
      </c>
      <c r="P450" t="n">
        <v>0</v>
      </c>
      <c r="Q450" t="n">
        <v>0</v>
      </c>
      <c r="R450" s="2" t="inlineStr"/>
    </row>
    <row r="451" ht="15" customHeight="1">
      <c r="A451" t="inlineStr">
        <is>
          <t>A 41872-2025</t>
        </is>
      </c>
      <c r="B451" s="1" t="n">
        <v>45903.34497685185</v>
      </c>
      <c r="C451" s="1" t="n">
        <v>46184</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15778-2025</t>
        </is>
      </c>
      <c r="B452" s="1" t="n">
        <v>45748.60030092593</v>
      </c>
      <c r="C452" s="1" t="n">
        <v>46184</v>
      </c>
      <c r="D452" t="inlineStr">
        <is>
          <t>VÄSTERNORRLANDS LÄN</t>
        </is>
      </c>
      <c r="E452" t="inlineStr">
        <is>
          <t>ÅNGE</t>
        </is>
      </c>
      <c r="F452" t="inlineStr">
        <is>
          <t>SCA</t>
        </is>
      </c>
      <c r="G452" t="n">
        <v>13.6</v>
      </c>
      <c r="H452" t="n">
        <v>0</v>
      </c>
      <c r="I452" t="n">
        <v>0</v>
      </c>
      <c r="J452" t="n">
        <v>0</v>
      </c>
      <c r="K452" t="n">
        <v>0</v>
      </c>
      <c r="L452" t="n">
        <v>0</v>
      </c>
      <c r="M452" t="n">
        <v>0</v>
      </c>
      <c r="N452" t="n">
        <v>0</v>
      </c>
      <c r="O452" t="n">
        <v>0</v>
      </c>
      <c r="P452" t="n">
        <v>0</v>
      </c>
      <c r="Q452" t="n">
        <v>0</v>
      </c>
      <c r="R452" s="2" t="inlineStr"/>
    </row>
    <row r="453" ht="15" customHeight="1">
      <c r="A453" t="inlineStr">
        <is>
          <t>A 41870-2025</t>
        </is>
      </c>
      <c r="B453" s="1" t="n">
        <v>45903.3446412037</v>
      </c>
      <c r="C453" s="1" t="n">
        <v>46184</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50571-2025</t>
        </is>
      </c>
      <c r="B454" s="1" t="n">
        <v>45945.57443287037</v>
      </c>
      <c r="C454" s="1" t="n">
        <v>46184</v>
      </c>
      <c r="D454" t="inlineStr">
        <is>
          <t>VÄSTERNORRLANDS LÄN</t>
        </is>
      </c>
      <c r="E454" t="inlineStr">
        <is>
          <t>ÅNGE</t>
        </is>
      </c>
      <c r="G454" t="n">
        <v>2.5</v>
      </c>
      <c r="H454" t="n">
        <v>0</v>
      </c>
      <c r="I454" t="n">
        <v>0</v>
      </c>
      <c r="J454" t="n">
        <v>0</v>
      </c>
      <c r="K454" t="n">
        <v>0</v>
      </c>
      <c r="L454" t="n">
        <v>0</v>
      </c>
      <c r="M454" t="n">
        <v>0</v>
      </c>
      <c r="N454" t="n">
        <v>0</v>
      </c>
      <c r="O454" t="n">
        <v>0</v>
      </c>
      <c r="P454" t="n">
        <v>0</v>
      </c>
      <c r="Q454" t="n">
        <v>0</v>
      </c>
      <c r="R454" s="2" t="inlineStr"/>
    </row>
    <row r="455" ht="15" customHeight="1">
      <c r="A455" t="inlineStr">
        <is>
          <t>A 43145-2024</t>
        </is>
      </c>
      <c r="B455" s="1" t="n">
        <v>45567.63030092593</v>
      </c>
      <c r="C455" s="1" t="n">
        <v>46184</v>
      </c>
      <c r="D455" t="inlineStr">
        <is>
          <t>VÄSTERNORRLANDS LÄN</t>
        </is>
      </c>
      <c r="E455" t="inlineStr">
        <is>
          <t>ÅNGE</t>
        </is>
      </c>
      <c r="G455" t="n">
        <v>1.4</v>
      </c>
      <c r="H455" t="n">
        <v>0</v>
      </c>
      <c r="I455" t="n">
        <v>0</v>
      </c>
      <c r="J455" t="n">
        <v>0</v>
      </c>
      <c r="K455" t="n">
        <v>0</v>
      </c>
      <c r="L455" t="n">
        <v>0</v>
      </c>
      <c r="M455" t="n">
        <v>0</v>
      </c>
      <c r="N455" t="n">
        <v>0</v>
      </c>
      <c r="O455" t="n">
        <v>0</v>
      </c>
      <c r="P455" t="n">
        <v>0</v>
      </c>
      <c r="Q455" t="n">
        <v>0</v>
      </c>
      <c r="R455" s="2" t="inlineStr"/>
    </row>
    <row r="456" ht="15" customHeight="1">
      <c r="A456" t="inlineStr">
        <is>
          <t>A 24232-2025</t>
        </is>
      </c>
      <c r="B456" s="1" t="n">
        <v>45797.37846064815</v>
      </c>
      <c r="C456" s="1" t="n">
        <v>46184</v>
      </c>
      <c r="D456" t="inlineStr">
        <is>
          <t>VÄSTERNORRLANDS LÄN</t>
        </is>
      </c>
      <c r="E456" t="inlineStr">
        <is>
          <t>ÅNGE</t>
        </is>
      </c>
      <c r="G456" t="n">
        <v>2.8</v>
      </c>
      <c r="H456" t="n">
        <v>0</v>
      </c>
      <c r="I456" t="n">
        <v>0</v>
      </c>
      <c r="J456" t="n">
        <v>0</v>
      </c>
      <c r="K456" t="n">
        <v>0</v>
      </c>
      <c r="L456" t="n">
        <v>0</v>
      </c>
      <c r="M456" t="n">
        <v>0</v>
      </c>
      <c r="N456" t="n">
        <v>0</v>
      </c>
      <c r="O456" t="n">
        <v>0</v>
      </c>
      <c r="P456" t="n">
        <v>0</v>
      </c>
      <c r="Q456" t="n">
        <v>0</v>
      </c>
      <c r="R456" s="2" t="inlineStr"/>
    </row>
    <row r="457" ht="15" customHeight="1">
      <c r="A457" t="inlineStr">
        <is>
          <t>A 56188-2024</t>
        </is>
      </c>
      <c r="B457" s="1" t="n">
        <v>45624.57800925926</v>
      </c>
      <c r="C457" s="1" t="n">
        <v>46184</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24458-2025</t>
        </is>
      </c>
      <c r="B458" s="1" t="n">
        <v>45798.34476851852</v>
      </c>
      <c r="C458" s="1" t="n">
        <v>46184</v>
      </c>
      <c r="D458" t="inlineStr">
        <is>
          <t>VÄSTERNORRLANDS LÄN</t>
        </is>
      </c>
      <c r="E458" t="inlineStr">
        <is>
          <t>ÅNGE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5035-2025</t>
        </is>
      </c>
      <c r="B459" s="1" t="n">
        <v>45691</v>
      </c>
      <c r="C459" s="1" t="n">
        <v>46184</v>
      </c>
      <c r="D459" t="inlineStr">
        <is>
          <t>VÄSTERNORRLANDS LÄN</t>
        </is>
      </c>
      <c r="E459" t="inlineStr">
        <is>
          <t>ÅNGE</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24627-2025</t>
        </is>
      </c>
      <c r="B460" s="1" t="n">
        <v>45798.59471064815</v>
      </c>
      <c r="C460" s="1" t="n">
        <v>46184</v>
      </c>
      <c r="D460" t="inlineStr">
        <is>
          <t>VÄSTERNORRLANDS LÄN</t>
        </is>
      </c>
      <c r="E460" t="inlineStr">
        <is>
          <t>ÅNGE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27853-2024</t>
        </is>
      </c>
      <c r="B461" s="1" t="n">
        <v>45475</v>
      </c>
      <c r="C461" s="1" t="n">
        <v>46184</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50767-2025</t>
        </is>
      </c>
      <c r="B462" s="1" t="n">
        <v>45946</v>
      </c>
      <c r="C462" s="1" t="n">
        <v>46184</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50769-2025</t>
        </is>
      </c>
      <c r="B463" s="1" t="n">
        <v>45946.44864583333</v>
      </c>
      <c r="C463" s="1" t="n">
        <v>46184</v>
      </c>
      <c r="D463" t="inlineStr">
        <is>
          <t>VÄSTERNORRLANDS LÄN</t>
        </is>
      </c>
      <c r="E463" t="inlineStr">
        <is>
          <t>ÅNGE</t>
        </is>
      </c>
      <c r="G463" t="n">
        <v>3.4</v>
      </c>
      <c r="H463" t="n">
        <v>0</v>
      </c>
      <c r="I463" t="n">
        <v>0</v>
      </c>
      <c r="J463" t="n">
        <v>0</v>
      </c>
      <c r="K463" t="n">
        <v>0</v>
      </c>
      <c r="L463" t="n">
        <v>0</v>
      </c>
      <c r="M463" t="n">
        <v>0</v>
      </c>
      <c r="N463" t="n">
        <v>0</v>
      </c>
      <c r="O463" t="n">
        <v>0</v>
      </c>
      <c r="P463" t="n">
        <v>0</v>
      </c>
      <c r="Q463" t="n">
        <v>0</v>
      </c>
      <c r="R463" s="2" t="inlineStr"/>
    </row>
    <row r="464" ht="15" customHeight="1">
      <c r="A464" t="inlineStr">
        <is>
          <t>A 24847-2025</t>
        </is>
      </c>
      <c r="B464" s="1" t="n">
        <v>45799.46907407408</v>
      </c>
      <c r="C464" s="1" t="n">
        <v>46184</v>
      </c>
      <c r="D464" t="inlineStr">
        <is>
          <t>VÄSTERNORRLANDS LÄN</t>
        </is>
      </c>
      <c r="E464" t="inlineStr">
        <is>
          <t>ÅNGE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25017-2025</t>
        </is>
      </c>
      <c r="B465" s="1" t="n">
        <v>45799.63791666667</v>
      </c>
      <c r="C465" s="1" t="n">
        <v>46184</v>
      </c>
      <c r="D465" t="inlineStr">
        <is>
          <t>VÄSTERNORRLANDS LÄN</t>
        </is>
      </c>
      <c r="E465" t="inlineStr">
        <is>
          <t>ÅNGE</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46775-2024</t>
        </is>
      </c>
      <c r="B466" s="1" t="n">
        <v>45583.49711805556</v>
      </c>
      <c r="C466" s="1" t="n">
        <v>46184</v>
      </c>
      <c r="D466" t="inlineStr">
        <is>
          <t>VÄSTERNORRLANDS LÄN</t>
        </is>
      </c>
      <c r="E466" t="inlineStr">
        <is>
          <t>ÅNGE</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46780-2024</t>
        </is>
      </c>
      <c r="B467" s="1" t="n">
        <v>45583.51076388889</v>
      </c>
      <c r="C467" s="1" t="n">
        <v>46184</v>
      </c>
      <c r="D467" t="inlineStr">
        <is>
          <t>VÄSTERNORRLANDS LÄN</t>
        </is>
      </c>
      <c r="E467" t="inlineStr">
        <is>
          <t>ÅNGE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42786-2025</t>
        </is>
      </c>
      <c r="B468" s="1" t="n">
        <v>45908.51097222222</v>
      </c>
      <c r="C468" s="1" t="n">
        <v>46184</v>
      </c>
      <c r="D468" t="inlineStr">
        <is>
          <t>VÄSTERNORRLANDS LÄN</t>
        </is>
      </c>
      <c r="E468" t="inlineStr">
        <is>
          <t>ÅNGE</t>
        </is>
      </c>
      <c r="G468" t="n">
        <v>0.4</v>
      </c>
      <c r="H468" t="n">
        <v>0</v>
      </c>
      <c r="I468" t="n">
        <v>0</v>
      </c>
      <c r="J468" t="n">
        <v>0</v>
      </c>
      <c r="K468" t="n">
        <v>0</v>
      </c>
      <c r="L468" t="n">
        <v>0</v>
      </c>
      <c r="M468" t="n">
        <v>0</v>
      </c>
      <c r="N468" t="n">
        <v>0</v>
      </c>
      <c r="O468" t="n">
        <v>0</v>
      </c>
      <c r="P468" t="n">
        <v>0</v>
      </c>
      <c r="Q468" t="n">
        <v>0</v>
      </c>
      <c r="R468" s="2" t="inlineStr"/>
    </row>
    <row r="469" ht="15" customHeight="1">
      <c r="A469" t="inlineStr">
        <is>
          <t>A 51109-2025</t>
        </is>
      </c>
      <c r="B469" s="1" t="n">
        <v>45947.50263888889</v>
      </c>
      <c r="C469" s="1" t="n">
        <v>46184</v>
      </c>
      <c r="D469" t="inlineStr">
        <is>
          <t>VÄSTERNORRLANDS LÄN</t>
        </is>
      </c>
      <c r="E469" t="inlineStr">
        <is>
          <t>ÅNGE</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30054-2024</t>
        </is>
      </c>
      <c r="B470" s="1" t="n">
        <v>45488.94758101852</v>
      </c>
      <c r="C470" s="1" t="n">
        <v>46184</v>
      </c>
      <c r="D470" t="inlineStr">
        <is>
          <t>VÄSTERNORRLANDS LÄN</t>
        </is>
      </c>
      <c r="E470" t="inlineStr">
        <is>
          <t>ÅNGE</t>
        </is>
      </c>
      <c r="F470" t="inlineStr">
        <is>
          <t>SCA</t>
        </is>
      </c>
      <c r="G470" t="n">
        <v>11.7</v>
      </c>
      <c r="H470" t="n">
        <v>0</v>
      </c>
      <c r="I470" t="n">
        <v>0</v>
      </c>
      <c r="J470" t="n">
        <v>0</v>
      </c>
      <c r="K470" t="n">
        <v>0</v>
      </c>
      <c r="L470" t="n">
        <v>0</v>
      </c>
      <c r="M470" t="n">
        <v>0</v>
      </c>
      <c r="N470" t="n">
        <v>0</v>
      </c>
      <c r="O470" t="n">
        <v>0</v>
      </c>
      <c r="P470" t="n">
        <v>0</v>
      </c>
      <c r="Q470" t="n">
        <v>0</v>
      </c>
      <c r="R470" s="2" t="inlineStr"/>
    </row>
    <row r="471" ht="15" customHeight="1">
      <c r="A471" t="inlineStr">
        <is>
          <t>A 43622-2023</t>
        </is>
      </c>
      <c r="B471" s="1" t="n">
        <v>45184.70777777778</v>
      </c>
      <c r="C471" s="1" t="n">
        <v>46184</v>
      </c>
      <c r="D471" t="inlineStr">
        <is>
          <t>VÄSTERNORRLANDS LÄN</t>
        </is>
      </c>
      <c r="E471" t="inlineStr">
        <is>
          <t>ÅNGE</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41355-2024</t>
        </is>
      </c>
      <c r="B472" s="1" t="n">
        <v>45559.69833333333</v>
      </c>
      <c r="C472" s="1" t="n">
        <v>46184</v>
      </c>
      <c r="D472" t="inlineStr">
        <is>
          <t>VÄSTERNORRLANDS LÄN</t>
        </is>
      </c>
      <c r="E472" t="inlineStr">
        <is>
          <t>ÅNGE</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42764-2025</t>
        </is>
      </c>
      <c r="B473" s="1" t="n">
        <v>45908.46943287037</v>
      </c>
      <c r="C473" s="1" t="n">
        <v>46184</v>
      </c>
      <c r="D473" t="inlineStr">
        <is>
          <t>VÄSTERNORRLANDS LÄN</t>
        </is>
      </c>
      <c r="E473" t="inlineStr">
        <is>
          <t>ÅNGE</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25067-2025</t>
        </is>
      </c>
      <c r="B474" s="1" t="n">
        <v>45799.71908564815</v>
      </c>
      <c r="C474" s="1" t="n">
        <v>46184</v>
      </c>
      <c r="D474" t="inlineStr">
        <is>
          <t>VÄSTERNORRLANDS LÄN</t>
        </is>
      </c>
      <c r="E474" t="inlineStr">
        <is>
          <t>ÅNGE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29390-2021</t>
        </is>
      </c>
      <c r="B475" s="1" t="n">
        <v>44361</v>
      </c>
      <c r="C475" s="1" t="n">
        <v>46184</v>
      </c>
      <c r="D475" t="inlineStr">
        <is>
          <t>VÄSTERNORRLANDS LÄN</t>
        </is>
      </c>
      <c r="E475" t="inlineStr">
        <is>
          <t>ÅNGE</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732-2023</t>
        </is>
      </c>
      <c r="B476" s="1" t="n">
        <v>44931.29981481482</v>
      </c>
      <c r="C476" s="1" t="n">
        <v>46184</v>
      </c>
      <c r="D476" t="inlineStr">
        <is>
          <t>VÄSTERNORRLANDS LÄN</t>
        </is>
      </c>
      <c r="E476" t="inlineStr">
        <is>
          <t>ÅNGE</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36877-2024</t>
        </is>
      </c>
      <c r="B477" s="1" t="n">
        <v>45538.59418981482</v>
      </c>
      <c r="C477" s="1" t="n">
        <v>46184</v>
      </c>
      <c r="D477" t="inlineStr">
        <is>
          <t>VÄSTERNORRLANDS LÄN</t>
        </is>
      </c>
      <c r="E477" t="inlineStr">
        <is>
          <t>ÅNGE</t>
        </is>
      </c>
      <c r="G477" t="n">
        <v>3.3</v>
      </c>
      <c r="H477" t="n">
        <v>0</v>
      </c>
      <c r="I477" t="n">
        <v>0</v>
      </c>
      <c r="J477" t="n">
        <v>0</v>
      </c>
      <c r="K477" t="n">
        <v>0</v>
      </c>
      <c r="L477" t="n">
        <v>0</v>
      </c>
      <c r="M477" t="n">
        <v>0</v>
      </c>
      <c r="N477" t="n">
        <v>0</v>
      </c>
      <c r="O477" t="n">
        <v>0</v>
      </c>
      <c r="P477" t="n">
        <v>0</v>
      </c>
      <c r="Q477" t="n">
        <v>0</v>
      </c>
      <c r="R477" s="2" t="inlineStr"/>
    </row>
    <row r="478" ht="15" customHeight="1">
      <c r="A478" t="inlineStr">
        <is>
          <t>A 25352-2025</t>
        </is>
      </c>
      <c r="B478" s="1" t="n">
        <v>45800.61552083334</v>
      </c>
      <c r="C478" s="1" t="n">
        <v>46184</v>
      </c>
      <c r="D478" t="inlineStr">
        <is>
          <t>VÄSTERNORRLANDS LÄN</t>
        </is>
      </c>
      <c r="E478" t="inlineStr">
        <is>
          <t>ÅNGE</t>
        </is>
      </c>
      <c r="F478" t="inlineStr">
        <is>
          <t>SCA</t>
        </is>
      </c>
      <c r="G478" t="n">
        <v>6.3</v>
      </c>
      <c r="H478" t="n">
        <v>0</v>
      </c>
      <c r="I478" t="n">
        <v>0</v>
      </c>
      <c r="J478" t="n">
        <v>0</v>
      </c>
      <c r="K478" t="n">
        <v>0</v>
      </c>
      <c r="L478" t="n">
        <v>0</v>
      </c>
      <c r="M478" t="n">
        <v>0</v>
      </c>
      <c r="N478" t="n">
        <v>0</v>
      </c>
      <c r="O478" t="n">
        <v>0</v>
      </c>
      <c r="P478" t="n">
        <v>0</v>
      </c>
      <c r="Q478" t="n">
        <v>0</v>
      </c>
      <c r="R478" s="2" t="inlineStr"/>
    </row>
    <row r="479" ht="15" customHeight="1">
      <c r="A479" t="inlineStr">
        <is>
          <t>A 43091-2025</t>
        </is>
      </c>
      <c r="B479" s="1" t="n">
        <v>45909.62511574074</v>
      </c>
      <c r="C479" s="1" t="n">
        <v>46184</v>
      </c>
      <c r="D479" t="inlineStr">
        <is>
          <t>VÄSTERNORRLANDS LÄN</t>
        </is>
      </c>
      <c r="E479" t="inlineStr">
        <is>
          <t>ÅNGE</t>
        </is>
      </c>
      <c r="F479" t="inlineStr">
        <is>
          <t>Kyrkan</t>
        </is>
      </c>
      <c r="G479" t="n">
        <v>0.5</v>
      </c>
      <c r="H479" t="n">
        <v>0</v>
      </c>
      <c r="I479" t="n">
        <v>0</v>
      </c>
      <c r="J479" t="n">
        <v>0</v>
      </c>
      <c r="K479" t="n">
        <v>0</v>
      </c>
      <c r="L479" t="n">
        <v>0</v>
      </c>
      <c r="M479" t="n">
        <v>0</v>
      </c>
      <c r="N479" t="n">
        <v>0</v>
      </c>
      <c r="O479" t="n">
        <v>0</v>
      </c>
      <c r="P479" t="n">
        <v>0</v>
      </c>
      <c r="Q479" t="n">
        <v>0</v>
      </c>
      <c r="R479" s="2" t="inlineStr"/>
    </row>
    <row r="480" ht="15" customHeight="1">
      <c r="A480" t="inlineStr">
        <is>
          <t>A 58943-2022</t>
        </is>
      </c>
      <c r="B480" s="1" t="n">
        <v>44903.64400462963</v>
      </c>
      <c r="C480" s="1" t="n">
        <v>46184</v>
      </c>
      <c r="D480" t="inlineStr">
        <is>
          <t>VÄSTERNORRLANDS LÄN</t>
        </is>
      </c>
      <c r="E480" t="inlineStr">
        <is>
          <t>ÅNGE</t>
        </is>
      </c>
      <c r="G480" t="n">
        <v>5.6</v>
      </c>
      <c r="H480" t="n">
        <v>0</v>
      </c>
      <c r="I480" t="n">
        <v>0</v>
      </c>
      <c r="J480" t="n">
        <v>0</v>
      </c>
      <c r="K480" t="n">
        <v>0</v>
      </c>
      <c r="L480" t="n">
        <v>0</v>
      </c>
      <c r="M480" t="n">
        <v>0</v>
      </c>
      <c r="N480" t="n">
        <v>0</v>
      </c>
      <c r="O480" t="n">
        <v>0</v>
      </c>
      <c r="P480" t="n">
        <v>0</v>
      </c>
      <c r="Q480" t="n">
        <v>0</v>
      </c>
      <c r="R480" s="2" t="inlineStr"/>
    </row>
    <row r="481" ht="15" customHeight="1">
      <c r="A481" t="inlineStr">
        <is>
          <t>A 53651-2023</t>
        </is>
      </c>
      <c r="B481" s="1" t="n">
        <v>45230.60815972222</v>
      </c>
      <c r="C481" s="1" t="n">
        <v>46184</v>
      </c>
      <c r="D481" t="inlineStr">
        <is>
          <t>VÄSTERNORRLANDS LÄN</t>
        </is>
      </c>
      <c r="E481" t="inlineStr">
        <is>
          <t>ÅNGE</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25340-2025</t>
        </is>
      </c>
      <c r="B482" s="1" t="n">
        <v>45800.60074074074</v>
      </c>
      <c r="C482" s="1" t="n">
        <v>46184</v>
      </c>
      <c r="D482" t="inlineStr">
        <is>
          <t>VÄSTERNORRLANDS LÄN</t>
        </is>
      </c>
      <c r="E482" t="inlineStr">
        <is>
          <t>ÅNGE</t>
        </is>
      </c>
      <c r="G482" t="n">
        <v>2.7</v>
      </c>
      <c r="H482" t="n">
        <v>0</v>
      </c>
      <c r="I482" t="n">
        <v>0</v>
      </c>
      <c r="J482" t="n">
        <v>0</v>
      </c>
      <c r="K482" t="n">
        <v>0</v>
      </c>
      <c r="L482" t="n">
        <v>0</v>
      </c>
      <c r="M482" t="n">
        <v>0</v>
      </c>
      <c r="N482" t="n">
        <v>0</v>
      </c>
      <c r="O482" t="n">
        <v>0</v>
      </c>
      <c r="P482" t="n">
        <v>0</v>
      </c>
      <c r="Q482" t="n">
        <v>0</v>
      </c>
      <c r="R482" s="2" t="inlineStr"/>
    </row>
    <row r="483" ht="15" customHeight="1">
      <c r="A483" t="inlineStr">
        <is>
          <t>A 42730-2025</t>
        </is>
      </c>
      <c r="B483" s="1" t="n">
        <v>45908.40666666667</v>
      </c>
      <c r="C483" s="1" t="n">
        <v>46184</v>
      </c>
      <c r="D483" t="inlineStr">
        <is>
          <t>VÄSTERNORRLANDS LÄN</t>
        </is>
      </c>
      <c r="E483" t="inlineStr">
        <is>
          <t>ÅNGE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43237-2025</t>
        </is>
      </c>
      <c r="B484" s="1" t="n">
        <v>45910.51670138889</v>
      </c>
      <c r="C484" s="1" t="n">
        <v>46184</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43250-2025</t>
        </is>
      </c>
      <c r="B485" s="1" t="n">
        <v>45910.5525462963</v>
      </c>
      <c r="C485" s="1" t="n">
        <v>46184</v>
      </c>
      <c r="D485" t="inlineStr">
        <is>
          <t>VÄSTERNORRLANDS LÄN</t>
        </is>
      </c>
      <c r="E485" t="inlineStr">
        <is>
          <t>ÅNGE</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25532-2025</t>
        </is>
      </c>
      <c r="B486" s="1" t="n">
        <v>45803.4065162037</v>
      </c>
      <c r="C486" s="1" t="n">
        <v>46184</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29462-2024</t>
        </is>
      </c>
      <c r="B487" s="1" t="n">
        <v>45483.96979166667</v>
      </c>
      <c r="C487" s="1" t="n">
        <v>46184</v>
      </c>
      <c r="D487" t="inlineStr">
        <is>
          <t>VÄSTERNORRLANDS LÄN</t>
        </is>
      </c>
      <c r="E487" t="inlineStr">
        <is>
          <t>ÅNGE</t>
        </is>
      </c>
      <c r="F487" t="inlineStr">
        <is>
          <t>SCA</t>
        </is>
      </c>
      <c r="G487" t="n">
        <v>8.4</v>
      </c>
      <c r="H487" t="n">
        <v>0</v>
      </c>
      <c r="I487" t="n">
        <v>0</v>
      </c>
      <c r="J487" t="n">
        <v>0</v>
      </c>
      <c r="K487" t="n">
        <v>0</v>
      </c>
      <c r="L487" t="n">
        <v>0</v>
      </c>
      <c r="M487" t="n">
        <v>0</v>
      </c>
      <c r="N487" t="n">
        <v>0</v>
      </c>
      <c r="O487" t="n">
        <v>0</v>
      </c>
      <c r="P487" t="n">
        <v>0</v>
      </c>
      <c r="Q487" t="n">
        <v>0</v>
      </c>
      <c r="R487" s="2" t="inlineStr"/>
    </row>
    <row r="488" ht="15" customHeight="1">
      <c r="A488" t="inlineStr">
        <is>
          <t>A 43415-2025</t>
        </is>
      </c>
      <c r="B488" s="1" t="n">
        <v>45911.40662037037</v>
      </c>
      <c r="C488" s="1" t="n">
        <v>46184</v>
      </c>
      <c r="D488" t="inlineStr">
        <is>
          <t>VÄSTERNORRLANDS LÄN</t>
        </is>
      </c>
      <c r="E488" t="inlineStr">
        <is>
          <t>ÅNGE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43386-2025</t>
        </is>
      </c>
      <c r="B489" s="1" t="n">
        <v>45911.36520833334</v>
      </c>
      <c r="C489" s="1" t="n">
        <v>46184</v>
      </c>
      <c r="D489" t="inlineStr">
        <is>
          <t>VÄSTERNORRLANDS LÄN</t>
        </is>
      </c>
      <c r="E489" t="inlineStr">
        <is>
          <t>ÅNGE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25241-2025</t>
        </is>
      </c>
      <c r="B490" s="1" t="n">
        <v>45800.49053240741</v>
      </c>
      <c r="C490" s="1" t="n">
        <v>46184</v>
      </c>
      <c r="D490" t="inlineStr">
        <is>
          <t>VÄSTERNORRLANDS LÄN</t>
        </is>
      </c>
      <c r="E490" t="inlineStr">
        <is>
          <t>ÅNGE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43385-2025</t>
        </is>
      </c>
      <c r="B491" s="1" t="n">
        <v>45911.36508101852</v>
      </c>
      <c r="C491" s="1" t="n">
        <v>46184</v>
      </c>
      <c r="D491" t="inlineStr">
        <is>
          <t>VÄSTERNORRLANDS LÄN</t>
        </is>
      </c>
      <c r="E491" t="inlineStr">
        <is>
          <t>ÅNGE</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55177-2024</t>
        </is>
      </c>
      <c r="B492" s="1" t="n">
        <v>45621.53179398148</v>
      </c>
      <c r="C492" s="1" t="n">
        <v>46184</v>
      </c>
      <c r="D492" t="inlineStr">
        <is>
          <t>VÄSTERNORRLANDS LÄN</t>
        </is>
      </c>
      <c r="E492" t="inlineStr">
        <is>
          <t>ÅNGE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43546-2025</t>
        </is>
      </c>
      <c r="B493" s="1" t="n">
        <v>45911.6153125</v>
      </c>
      <c r="C493" s="1" t="n">
        <v>46184</v>
      </c>
      <c r="D493" t="inlineStr">
        <is>
          <t>VÄSTERNORRLANDS LÄN</t>
        </is>
      </c>
      <c r="E493" t="inlineStr">
        <is>
          <t>ÅNGE</t>
        </is>
      </c>
      <c r="F493" t="inlineStr">
        <is>
          <t>SCA</t>
        </is>
      </c>
      <c r="G493" t="n">
        <v>9.6</v>
      </c>
      <c r="H493" t="n">
        <v>0</v>
      </c>
      <c r="I493" t="n">
        <v>0</v>
      </c>
      <c r="J493" t="n">
        <v>0</v>
      </c>
      <c r="K493" t="n">
        <v>0</v>
      </c>
      <c r="L493" t="n">
        <v>0</v>
      </c>
      <c r="M493" t="n">
        <v>0</v>
      </c>
      <c r="N493" t="n">
        <v>0</v>
      </c>
      <c r="O493" t="n">
        <v>0</v>
      </c>
      <c r="P493" t="n">
        <v>0</v>
      </c>
      <c r="Q493" t="n">
        <v>0</v>
      </c>
      <c r="R493" s="2" t="inlineStr"/>
    </row>
    <row r="494" ht="15" customHeight="1">
      <c r="A494" t="inlineStr">
        <is>
          <t>A 31863-2024</t>
        </is>
      </c>
      <c r="B494" s="1" t="n">
        <v>45509.74121527778</v>
      </c>
      <c r="C494" s="1" t="n">
        <v>46184</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43389-2025</t>
        </is>
      </c>
      <c r="B495" s="1" t="n">
        <v>45911.36560185185</v>
      </c>
      <c r="C495" s="1" t="n">
        <v>46184</v>
      </c>
      <c r="D495" t="inlineStr">
        <is>
          <t>VÄSTERNORRLANDS LÄN</t>
        </is>
      </c>
      <c r="E495" t="inlineStr">
        <is>
          <t>ÅNGE</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25273-2025</t>
        </is>
      </c>
      <c r="B496" s="1" t="n">
        <v>45800.55253472222</v>
      </c>
      <c r="C496" s="1" t="n">
        <v>46184</v>
      </c>
      <c r="D496" t="inlineStr">
        <is>
          <t>VÄSTERNORRLANDS LÄN</t>
        </is>
      </c>
      <c r="E496" t="inlineStr">
        <is>
          <t>ÅNGE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43221-2025</t>
        </is>
      </c>
      <c r="B497" s="1" t="n">
        <v>45910.47981481482</v>
      </c>
      <c r="C497" s="1" t="n">
        <v>46184</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33305-2024</t>
        </is>
      </c>
      <c r="B498" s="1" t="n">
        <v>45518</v>
      </c>
      <c r="C498" s="1" t="n">
        <v>46184</v>
      </c>
      <c r="D498" t="inlineStr">
        <is>
          <t>VÄSTERNORRLANDS LÄN</t>
        </is>
      </c>
      <c r="E498" t="inlineStr">
        <is>
          <t>ÅNGE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33306-2024</t>
        </is>
      </c>
      <c r="B499" s="1" t="n">
        <v>45518</v>
      </c>
      <c r="C499" s="1" t="n">
        <v>46184</v>
      </c>
      <c r="D499" t="inlineStr">
        <is>
          <t>VÄSTERNORRLANDS LÄN</t>
        </is>
      </c>
      <c r="E499" t="inlineStr">
        <is>
          <t>ÅNGE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43265-2025</t>
        </is>
      </c>
      <c r="B500" s="1" t="n">
        <v>45910.57377314815</v>
      </c>
      <c r="C500" s="1" t="n">
        <v>46184</v>
      </c>
      <c r="D500" t="inlineStr">
        <is>
          <t>VÄSTERNORRLANDS LÄN</t>
        </is>
      </c>
      <c r="E500" t="inlineStr">
        <is>
          <t>ÅNGE</t>
        </is>
      </c>
      <c r="F500" t="inlineStr">
        <is>
          <t>SCA</t>
        </is>
      </c>
      <c r="G500" t="n">
        <v>7</v>
      </c>
      <c r="H500" t="n">
        <v>0</v>
      </c>
      <c r="I500" t="n">
        <v>0</v>
      </c>
      <c r="J500" t="n">
        <v>0</v>
      </c>
      <c r="K500" t="n">
        <v>0</v>
      </c>
      <c r="L500" t="n">
        <v>0</v>
      </c>
      <c r="M500" t="n">
        <v>0</v>
      </c>
      <c r="N500" t="n">
        <v>0</v>
      </c>
      <c r="O500" t="n">
        <v>0</v>
      </c>
      <c r="P500" t="n">
        <v>0</v>
      </c>
      <c r="Q500" t="n">
        <v>0</v>
      </c>
      <c r="R500" s="2" t="inlineStr"/>
    </row>
    <row r="501" ht="15" customHeight="1">
      <c r="A501" t="inlineStr">
        <is>
          <t>A 15863-2022</t>
        </is>
      </c>
      <c r="B501" s="1" t="n">
        <v>44664</v>
      </c>
      <c r="C501" s="1" t="n">
        <v>46184</v>
      </c>
      <c r="D501" t="inlineStr">
        <is>
          <t>VÄSTERNORRLANDS LÄN</t>
        </is>
      </c>
      <c r="E501" t="inlineStr">
        <is>
          <t>ÅNGE</t>
        </is>
      </c>
      <c r="G501" t="n">
        <v>3.6</v>
      </c>
      <c r="H501" t="n">
        <v>0</v>
      </c>
      <c r="I501" t="n">
        <v>0</v>
      </c>
      <c r="J501" t="n">
        <v>0</v>
      </c>
      <c r="K501" t="n">
        <v>0</v>
      </c>
      <c r="L501" t="n">
        <v>0</v>
      </c>
      <c r="M501" t="n">
        <v>0</v>
      </c>
      <c r="N501" t="n">
        <v>0</v>
      </c>
      <c r="O501" t="n">
        <v>0</v>
      </c>
      <c r="P501" t="n">
        <v>0</v>
      </c>
      <c r="Q501" t="n">
        <v>0</v>
      </c>
      <c r="R501" s="2" t="inlineStr"/>
    </row>
    <row r="502" ht="15" customHeight="1">
      <c r="A502" t="inlineStr">
        <is>
          <t>A 53856-2024</t>
        </is>
      </c>
      <c r="B502" s="1" t="n">
        <v>45615</v>
      </c>
      <c r="C502" s="1" t="n">
        <v>46184</v>
      </c>
      <c r="D502" t="inlineStr">
        <is>
          <t>VÄSTERNORRLANDS LÄN</t>
        </is>
      </c>
      <c r="E502" t="inlineStr">
        <is>
          <t>ÅNGE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28506-2024</t>
        </is>
      </c>
      <c r="B503" s="1" t="n">
        <v>45477.9475</v>
      </c>
      <c r="C503" s="1" t="n">
        <v>46184</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25810-2025</t>
        </is>
      </c>
      <c r="B504" s="1" t="n">
        <v>45804.42083333333</v>
      </c>
      <c r="C504" s="1" t="n">
        <v>46184</v>
      </c>
      <c r="D504" t="inlineStr">
        <is>
          <t>VÄSTERNORRLANDS LÄN</t>
        </is>
      </c>
      <c r="E504" t="inlineStr">
        <is>
          <t>ÅNGE</t>
        </is>
      </c>
      <c r="G504" t="n">
        <v>6.2</v>
      </c>
      <c r="H504" t="n">
        <v>0</v>
      </c>
      <c r="I504" t="n">
        <v>0</v>
      </c>
      <c r="J504" t="n">
        <v>0</v>
      </c>
      <c r="K504" t="n">
        <v>0</v>
      </c>
      <c r="L504" t="n">
        <v>0</v>
      </c>
      <c r="M504" t="n">
        <v>0</v>
      </c>
      <c r="N504" t="n">
        <v>0</v>
      </c>
      <c r="O504" t="n">
        <v>0</v>
      </c>
      <c r="P504" t="n">
        <v>0</v>
      </c>
      <c r="Q504" t="n">
        <v>0</v>
      </c>
      <c r="R504" s="2" t="inlineStr"/>
    </row>
    <row r="505" ht="15" customHeight="1">
      <c r="A505" t="inlineStr">
        <is>
          <t>A 52121-2025</t>
        </is>
      </c>
      <c r="B505" s="1" t="n">
        <v>45952.71921296296</v>
      </c>
      <c r="C505" s="1" t="n">
        <v>46184</v>
      </c>
      <c r="D505" t="inlineStr">
        <is>
          <t>VÄSTERNORRLANDS LÄN</t>
        </is>
      </c>
      <c r="E505" t="inlineStr">
        <is>
          <t>ÅNGE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52306-2025</t>
        </is>
      </c>
      <c r="B506" s="1" t="n">
        <v>45953.63600694444</v>
      </c>
      <c r="C506" s="1" t="n">
        <v>46184</v>
      </c>
      <c r="D506" t="inlineStr">
        <is>
          <t>VÄSTERNORRLANDS LÄN</t>
        </is>
      </c>
      <c r="E506" t="inlineStr">
        <is>
          <t>ÅNGE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51059-2024</t>
        </is>
      </c>
      <c r="B507" s="1" t="n">
        <v>45603</v>
      </c>
      <c r="C507" s="1" t="n">
        <v>46184</v>
      </c>
      <c r="D507" t="inlineStr">
        <is>
          <t>VÄSTERNORRLANDS LÄN</t>
        </is>
      </c>
      <c r="E507" t="inlineStr">
        <is>
          <t>ÅNGE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51054-2024</t>
        </is>
      </c>
      <c r="B508" s="1" t="n">
        <v>45603</v>
      </c>
      <c r="C508" s="1" t="n">
        <v>46184</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34861-2024</t>
        </is>
      </c>
      <c r="B509" s="1" t="n">
        <v>45527.339375</v>
      </c>
      <c r="C509" s="1" t="n">
        <v>46184</v>
      </c>
      <c r="D509" t="inlineStr">
        <is>
          <t>VÄSTERNORRLANDS LÄN</t>
        </is>
      </c>
      <c r="E509" t="inlineStr">
        <is>
          <t>ÅNGE</t>
        </is>
      </c>
      <c r="F509" t="inlineStr">
        <is>
          <t>SCA</t>
        </is>
      </c>
      <c r="G509" t="n">
        <v>9.1</v>
      </c>
      <c r="H509" t="n">
        <v>0</v>
      </c>
      <c r="I509" t="n">
        <v>0</v>
      </c>
      <c r="J509" t="n">
        <v>0</v>
      </c>
      <c r="K509" t="n">
        <v>0</v>
      </c>
      <c r="L509" t="n">
        <v>0</v>
      </c>
      <c r="M509" t="n">
        <v>0</v>
      </c>
      <c r="N509" t="n">
        <v>0</v>
      </c>
      <c r="O509" t="n">
        <v>0</v>
      </c>
      <c r="P509" t="n">
        <v>0</v>
      </c>
      <c r="Q509" t="n">
        <v>0</v>
      </c>
      <c r="R509" s="2" t="inlineStr"/>
    </row>
    <row r="510" ht="15" customHeight="1">
      <c r="A510" t="inlineStr">
        <is>
          <t>A 51813-2025</t>
        </is>
      </c>
      <c r="B510" s="1" t="n">
        <v>45951.83082175926</v>
      </c>
      <c r="C510" s="1" t="n">
        <v>46184</v>
      </c>
      <c r="D510" t="inlineStr">
        <is>
          <t>VÄSTERNORRLANDS LÄN</t>
        </is>
      </c>
      <c r="E510" t="inlineStr">
        <is>
          <t>ÅNGE</t>
        </is>
      </c>
      <c r="G510" t="n">
        <v>2.5</v>
      </c>
      <c r="H510" t="n">
        <v>0</v>
      </c>
      <c r="I510" t="n">
        <v>0</v>
      </c>
      <c r="J510" t="n">
        <v>0</v>
      </c>
      <c r="K510" t="n">
        <v>0</v>
      </c>
      <c r="L510" t="n">
        <v>0</v>
      </c>
      <c r="M510" t="n">
        <v>0</v>
      </c>
      <c r="N510" t="n">
        <v>0</v>
      </c>
      <c r="O510" t="n">
        <v>0</v>
      </c>
      <c r="P510" t="n">
        <v>0</v>
      </c>
      <c r="Q510" t="n">
        <v>0</v>
      </c>
      <c r="R510" s="2" t="inlineStr"/>
    </row>
    <row r="511" ht="15" customHeight="1">
      <c r="A511" t="inlineStr">
        <is>
          <t>A 43707-2025</t>
        </is>
      </c>
      <c r="B511" s="1" t="n">
        <v>45912.40668981482</v>
      </c>
      <c r="C511" s="1" t="n">
        <v>46184</v>
      </c>
      <c r="D511" t="inlineStr">
        <is>
          <t>VÄSTERNORRLANDS LÄN</t>
        </is>
      </c>
      <c r="E511" t="inlineStr">
        <is>
          <t>ÅNGE</t>
        </is>
      </c>
      <c r="F511" t="inlineStr">
        <is>
          <t>SCA</t>
        </is>
      </c>
      <c r="G511" t="n">
        <v>12.5</v>
      </c>
      <c r="H511" t="n">
        <v>0</v>
      </c>
      <c r="I511" t="n">
        <v>0</v>
      </c>
      <c r="J511" t="n">
        <v>0</v>
      </c>
      <c r="K511" t="n">
        <v>0</v>
      </c>
      <c r="L511" t="n">
        <v>0</v>
      </c>
      <c r="M511" t="n">
        <v>0</v>
      </c>
      <c r="N511" t="n">
        <v>0</v>
      </c>
      <c r="O511" t="n">
        <v>0</v>
      </c>
      <c r="P511" t="n">
        <v>0</v>
      </c>
      <c r="Q511" t="n">
        <v>0</v>
      </c>
      <c r="R511" s="2" t="inlineStr"/>
      <c r="U511">
        <f>HYPERLINK("https://klasma.github.io/Logging_2260/knärot/A 43707-2025 karta knärot.png", "A 43707-2025")</f>
        <v/>
      </c>
      <c r="V511">
        <f>HYPERLINK("https://klasma.github.io/Logging_2260/klagomål/A 43707-2025 FSC-klagomål.docx", "A 43707-2025")</f>
        <v/>
      </c>
      <c r="W511">
        <f>HYPERLINK("https://klasma.github.io/Logging_2260/klagomålsmail/A 43707-2025 FSC-klagomål mail.docx", "A 43707-2025")</f>
        <v/>
      </c>
      <c r="X511">
        <f>HYPERLINK("https://klasma.github.io/Logging_2260/tillsyn/A 43707-2025 tillsynsbegäran.docx", "A 43707-2025")</f>
        <v/>
      </c>
      <c r="Y511">
        <f>HYPERLINK("https://klasma.github.io/Logging_2260/tillsynsmail/A 43707-2025 tillsynsbegäran mail.docx", "A 43707-2025")</f>
        <v/>
      </c>
    </row>
    <row r="512" ht="15" customHeight="1">
      <c r="A512" t="inlineStr">
        <is>
          <t>A 61461-2023</t>
        </is>
      </c>
      <c r="B512" s="1" t="n">
        <v>45264.9261574074</v>
      </c>
      <c r="C512" s="1" t="n">
        <v>46184</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39005-2024</t>
        </is>
      </c>
      <c r="B513" s="1" t="n">
        <v>45548.42743055556</v>
      </c>
      <c r="C513" s="1" t="n">
        <v>46184</v>
      </c>
      <c r="D513" t="inlineStr">
        <is>
          <t>VÄSTERNORRLANDS LÄN</t>
        </is>
      </c>
      <c r="E513" t="inlineStr">
        <is>
          <t>ÅNGE</t>
        </is>
      </c>
      <c r="F513" t="inlineStr">
        <is>
          <t>SCA</t>
        </is>
      </c>
      <c r="G513" t="n">
        <v>2.6</v>
      </c>
      <c r="H513" t="n">
        <v>0</v>
      </c>
      <c r="I513" t="n">
        <v>0</v>
      </c>
      <c r="J513" t="n">
        <v>0</v>
      </c>
      <c r="K513" t="n">
        <v>0</v>
      </c>
      <c r="L513" t="n">
        <v>0</v>
      </c>
      <c r="M513" t="n">
        <v>0</v>
      </c>
      <c r="N513" t="n">
        <v>0</v>
      </c>
      <c r="O513" t="n">
        <v>0</v>
      </c>
      <c r="P513" t="n">
        <v>0</v>
      </c>
      <c r="Q513" t="n">
        <v>0</v>
      </c>
      <c r="R513" s="2" t="inlineStr"/>
      <c r="U513">
        <f>HYPERLINK("https://klasma.github.io/Logging_2260/knärot/A 39005-2024 karta knärot.png", "A 39005-2024")</f>
        <v/>
      </c>
      <c r="V513">
        <f>HYPERLINK("https://klasma.github.io/Logging_2260/klagomål/A 39005-2024 FSC-klagomål.docx", "A 39005-2024")</f>
        <v/>
      </c>
      <c r="W513">
        <f>HYPERLINK("https://klasma.github.io/Logging_2260/klagomålsmail/A 39005-2024 FSC-klagomål mail.docx", "A 39005-2024")</f>
        <v/>
      </c>
      <c r="X513">
        <f>HYPERLINK("https://klasma.github.io/Logging_2260/tillsyn/A 39005-2024 tillsynsbegäran.docx", "A 39005-2024")</f>
        <v/>
      </c>
      <c r="Y513">
        <f>HYPERLINK("https://klasma.github.io/Logging_2260/tillsynsmail/A 39005-2024 tillsynsbegäran mail.docx", "A 39005-2024")</f>
        <v/>
      </c>
    </row>
    <row r="514" ht="15" customHeight="1">
      <c r="A514" t="inlineStr">
        <is>
          <t>A 24552-2023</t>
        </is>
      </c>
      <c r="B514" s="1" t="n">
        <v>45082.94226851852</v>
      </c>
      <c r="C514" s="1" t="n">
        <v>46184</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26655-2025</t>
        </is>
      </c>
      <c r="B515" s="1" t="n">
        <v>45810.39047453704</v>
      </c>
      <c r="C515" s="1" t="n">
        <v>46184</v>
      </c>
      <c r="D515" t="inlineStr">
        <is>
          <t>VÄSTERNORRLANDS LÄN</t>
        </is>
      </c>
      <c r="E515" t="inlineStr">
        <is>
          <t>ÅNGE</t>
        </is>
      </c>
      <c r="G515" t="n">
        <v>0.6</v>
      </c>
      <c r="H515" t="n">
        <v>0</v>
      </c>
      <c r="I515" t="n">
        <v>0</v>
      </c>
      <c r="J515" t="n">
        <v>0</v>
      </c>
      <c r="K515" t="n">
        <v>0</v>
      </c>
      <c r="L515" t="n">
        <v>0</v>
      </c>
      <c r="M515" t="n">
        <v>0</v>
      </c>
      <c r="N515" t="n">
        <v>0</v>
      </c>
      <c r="O515" t="n">
        <v>0</v>
      </c>
      <c r="P515" t="n">
        <v>0</v>
      </c>
      <c r="Q515" t="n">
        <v>0</v>
      </c>
      <c r="R515" s="2" t="inlineStr"/>
    </row>
    <row r="516" ht="15" customHeight="1">
      <c r="A516" t="inlineStr">
        <is>
          <t>A 5931-2025</t>
        </is>
      </c>
      <c r="B516" s="1" t="n">
        <v>45695.44827546296</v>
      </c>
      <c r="C516" s="1" t="n">
        <v>46184</v>
      </c>
      <c r="D516" t="inlineStr">
        <is>
          <t>VÄSTERNORRLANDS LÄN</t>
        </is>
      </c>
      <c r="E516" t="inlineStr">
        <is>
          <t>ÅNGE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57593-2022</t>
        </is>
      </c>
      <c r="B517" s="1" t="n">
        <v>44896.97847222222</v>
      </c>
      <c r="C517" s="1" t="n">
        <v>46184</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27023-2025</t>
        </is>
      </c>
      <c r="B518" s="1" t="n">
        <v>45811.57342592593</v>
      </c>
      <c r="C518" s="1" t="n">
        <v>46184</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57596-2022</t>
        </is>
      </c>
      <c r="B519" s="1" t="n">
        <v>44896.97871527778</v>
      </c>
      <c r="C519" s="1" t="n">
        <v>46184</v>
      </c>
      <c r="D519" t="inlineStr">
        <is>
          <t>VÄSTERNORRLANDS LÄN</t>
        </is>
      </c>
      <c r="E519" t="inlineStr">
        <is>
          <t>ÅNGE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36790-2023</t>
        </is>
      </c>
      <c r="B520" s="1" t="n">
        <v>45154.36418981481</v>
      </c>
      <c r="C520" s="1" t="n">
        <v>46184</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42242-2023</t>
        </is>
      </c>
      <c r="B521" s="1" t="n">
        <v>45180.35025462963</v>
      </c>
      <c r="C521" s="1" t="n">
        <v>46184</v>
      </c>
      <c r="D521" t="inlineStr">
        <is>
          <t>VÄSTERNORRLANDS LÄN</t>
        </is>
      </c>
      <c r="E521" t="inlineStr">
        <is>
          <t>ÅNGE</t>
        </is>
      </c>
      <c r="G521" t="n">
        <v>5.7</v>
      </c>
      <c r="H521" t="n">
        <v>0</v>
      </c>
      <c r="I521" t="n">
        <v>0</v>
      </c>
      <c r="J521" t="n">
        <v>0</v>
      </c>
      <c r="K521" t="n">
        <v>0</v>
      </c>
      <c r="L521" t="n">
        <v>0</v>
      </c>
      <c r="M521" t="n">
        <v>0</v>
      </c>
      <c r="N521" t="n">
        <v>0</v>
      </c>
      <c r="O521" t="n">
        <v>0</v>
      </c>
      <c r="P521" t="n">
        <v>0</v>
      </c>
      <c r="Q521" t="n">
        <v>0</v>
      </c>
      <c r="R521" s="2" t="inlineStr"/>
    </row>
    <row r="522" ht="15" customHeight="1">
      <c r="A522" t="inlineStr">
        <is>
          <t>A 23063-2024</t>
        </is>
      </c>
      <c r="B522" s="1" t="n">
        <v>45450.44278935185</v>
      </c>
      <c r="C522" s="1" t="n">
        <v>46184</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25973-2022</t>
        </is>
      </c>
      <c r="B523" s="1" t="n">
        <v>44734</v>
      </c>
      <c r="C523" s="1" t="n">
        <v>46184</v>
      </c>
      <c r="D523" t="inlineStr">
        <is>
          <t>VÄSTERNORRLANDS LÄN</t>
        </is>
      </c>
      <c r="E523" t="inlineStr">
        <is>
          <t>ÅNGE</t>
        </is>
      </c>
      <c r="G523" t="n">
        <v>4.1</v>
      </c>
      <c r="H523" t="n">
        <v>0</v>
      </c>
      <c r="I523" t="n">
        <v>0</v>
      </c>
      <c r="J523" t="n">
        <v>0</v>
      </c>
      <c r="K523" t="n">
        <v>0</v>
      </c>
      <c r="L523" t="n">
        <v>0</v>
      </c>
      <c r="M523" t="n">
        <v>0</v>
      </c>
      <c r="N523" t="n">
        <v>0</v>
      </c>
      <c r="O523" t="n">
        <v>0</v>
      </c>
      <c r="P523" t="n">
        <v>0</v>
      </c>
      <c r="Q523" t="n">
        <v>0</v>
      </c>
      <c r="R523" s="2" t="inlineStr"/>
    </row>
    <row r="524" ht="15" customHeight="1">
      <c r="A524" t="inlineStr">
        <is>
          <t>A 10558-2023</t>
        </is>
      </c>
      <c r="B524" s="1" t="n">
        <v>44987.94438657408</v>
      </c>
      <c r="C524" s="1" t="n">
        <v>46184</v>
      </c>
      <c r="D524" t="inlineStr">
        <is>
          <t>VÄSTERNORRLANDS LÄN</t>
        </is>
      </c>
      <c r="E524" t="inlineStr">
        <is>
          <t>ÅNGE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44158-2024</t>
        </is>
      </c>
      <c r="B525" s="1" t="n">
        <v>45572</v>
      </c>
      <c r="C525" s="1" t="n">
        <v>46184</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27164-2025</t>
        </is>
      </c>
      <c r="B526" s="1" t="n">
        <v>45812.34430555555</v>
      </c>
      <c r="C526" s="1" t="n">
        <v>46184</v>
      </c>
      <c r="D526" t="inlineStr">
        <is>
          <t>VÄSTERNORRLANDS LÄN</t>
        </is>
      </c>
      <c r="E526" t="inlineStr">
        <is>
          <t>ÅNGE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52335-2025</t>
        </is>
      </c>
      <c r="B527" s="1" t="n">
        <v>45953.68591435185</v>
      </c>
      <c r="C527" s="1" t="n">
        <v>46184</v>
      </c>
      <c r="D527" t="inlineStr">
        <is>
          <t>VÄSTERNORRLANDS LÄN</t>
        </is>
      </c>
      <c r="E527" t="inlineStr">
        <is>
          <t>ÅNGE</t>
        </is>
      </c>
      <c r="G527" t="n">
        <v>0.6</v>
      </c>
      <c r="H527" t="n">
        <v>0</v>
      </c>
      <c r="I527" t="n">
        <v>0</v>
      </c>
      <c r="J527" t="n">
        <v>0</v>
      </c>
      <c r="K527" t="n">
        <v>0</v>
      </c>
      <c r="L527" t="n">
        <v>0</v>
      </c>
      <c r="M527" t="n">
        <v>0</v>
      </c>
      <c r="N527" t="n">
        <v>0</v>
      </c>
      <c r="O527" t="n">
        <v>0</v>
      </c>
      <c r="P527" t="n">
        <v>0</v>
      </c>
      <c r="Q527" t="n">
        <v>0</v>
      </c>
      <c r="R527" s="2" t="inlineStr"/>
    </row>
    <row r="528" ht="15" customHeight="1">
      <c r="A528" t="inlineStr">
        <is>
          <t>A 52283-2025</t>
        </is>
      </c>
      <c r="B528" s="1" t="n">
        <v>45953.57346064815</v>
      </c>
      <c r="C528" s="1" t="n">
        <v>46184</v>
      </c>
      <c r="D528" t="inlineStr">
        <is>
          <t>VÄSTERNORRLANDS LÄN</t>
        </is>
      </c>
      <c r="E528" t="inlineStr">
        <is>
          <t>ÅNGE</t>
        </is>
      </c>
      <c r="G528" t="n">
        <v>8.9</v>
      </c>
      <c r="H528" t="n">
        <v>0</v>
      </c>
      <c r="I528" t="n">
        <v>0</v>
      </c>
      <c r="J528" t="n">
        <v>0</v>
      </c>
      <c r="K528" t="n">
        <v>0</v>
      </c>
      <c r="L528" t="n">
        <v>0</v>
      </c>
      <c r="M528" t="n">
        <v>0</v>
      </c>
      <c r="N528" t="n">
        <v>0</v>
      </c>
      <c r="O528" t="n">
        <v>0</v>
      </c>
      <c r="P528" t="n">
        <v>0</v>
      </c>
      <c r="Q528" t="n">
        <v>0</v>
      </c>
      <c r="R528" s="2" t="inlineStr"/>
    </row>
    <row r="529" ht="15" customHeight="1">
      <c r="A529" t="inlineStr">
        <is>
          <t>A 27606-2025</t>
        </is>
      </c>
      <c r="B529" s="1" t="n">
        <v>45813.53200231482</v>
      </c>
      <c r="C529" s="1" t="n">
        <v>46184</v>
      </c>
      <c r="D529" t="inlineStr">
        <is>
          <t>VÄSTERNORRLANDS LÄN</t>
        </is>
      </c>
      <c r="E529" t="inlineStr">
        <is>
          <t>ÅNGE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41829-2021</t>
        </is>
      </c>
      <c r="B530" s="1" t="n">
        <v>44425.92202546296</v>
      </c>
      <c r="C530" s="1" t="n">
        <v>46184</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33750-2024</t>
        </is>
      </c>
      <c r="B531" s="1" t="n">
        <v>45520.56475694444</v>
      </c>
      <c r="C531" s="1" t="n">
        <v>46184</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25903-2022</t>
        </is>
      </c>
      <c r="B532" s="1" t="n">
        <v>44733</v>
      </c>
      <c r="C532" s="1" t="n">
        <v>46184</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27165-2025</t>
        </is>
      </c>
      <c r="B533" s="1" t="n">
        <v>45812.34440972222</v>
      </c>
      <c r="C533" s="1" t="n">
        <v>46184</v>
      </c>
      <c r="D533" t="inlineStr">
        <is>
          <t>VÄSTERNORRLANDS LÄN</t>
        </is>
      </c>
      <c r="E533" t="inlineStr">
        <is>
          <t>ÅNGE</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1103-2023</t>
        </is>
      </c>
      <c r="B534" s="1" t="n">
        <v>44929</v>
      </c>
      <c r="C534" s="1" t="n">
        <v>46184</v>
      </c>
      <c r="D534" t="inlineStr">
        <is>
          <t>VÄSTERNORRLANDS LÄN</t>
        </is>
      </c>
      <c r="E534" t="inlineStr">
        <is>
          <t>ÅNGE</t>
        </is>
      </c>
      <c r="G534" t="n">
        <v>7.3</v>
      </c>
      <c r="H534" t="n">
        <v>0</v>
      </c>
      <c r="I534" t="n">
        <v>0</v>
      </c>
      <c r="J534" t="n">
        <v>0</v>
      </c>
      <c r="K534" t="n">
        <v>0</v>
      </c>
      <c r="L534" t="n">
        <v>0</v>
      </c>
      <c r="M534" t="n">
        <v>0</v>
      </c>
      <c r="N534" t="n">
        <v>0</v>
      </c>
      <c r="O534" t="n">
        <v>0</v>
      </c>
      <c r="P534" t="n">
        <v>0</v>
      </c>
      <c r="Q534" t="n">
        <v>0</v>
      </c>
      <c r="R534" s="2" t="inlineStr"/>
    </row>
    <row r="535" ht="15" customHeight="1">
      <c r="A535" t="inlineStr">
        <is>
          <t>A 45401-2025</t>
        </is>
      </c>
      <c r="B535" s="1" t="n">
        <v>45922.42767361111</v>
      </c>
      <c r="C535" s="1" t="n">
        <v>46184</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45404-2025</t>
        </is>
      </c>
      <c r="B536" s="1" t="n">
        <v>45922.42820601852</v>
      </c>
      <c r="C536" s="1" t="n">
        <v>46184</v>
      </c>
      <c r="D536" t="inlineStr">
        <is>
          <t>VÄSTERNORRLANDS LÄN</t>
        </is>
      </c>
      <c r="E536" t="inlineStr">
        <is>
          <t>ÅNGE</t>
        </is>
      </c>
      <c r="F536" t="inlineStr">
        <is>
          <t>SCA</t>
        </is>
      </c>
      <c r="G536" t="n">
        <v>6.6</v>
      </c>
      <c r="H536" t="n">
        <v>0</v>
      </c>
      <c r="I536" t="n">
        <v>0</v>
      </c>
      <c r="J536" t="n">
        <v>0</v>
      </c>
      <c r="K536" t="n">
        <v>0</v>
      </c>
      <c r="L536" t="n">
        <v>0</v>
      </c>
      <c r="M536" t="n">
        <v>0</v>
      </c>
      <c r="N536" t="n">
        <v>0</v>
      </c>
      <c r="O536" t="n">
        <v>0</v>
      </c>
      <c r="P536" t="n">
        <v>0</v>
      </c>
      <c r="Q536" t="n">
        <v>0</v>
      </c>
      <c r="R536" s="2" t="inlineStr"/>
    </row>
    <row r="537" ht="15" customHeight="1">
      <c r="A537" t="inlineStr">
        <is>
          <t>A 45660-2025</t>
        </is>
      </c>
      <c r="B537" s="1" t="n">
        <v>45923.34494212963</v>
      </c>
      <c r="C537" s="1" t="n">
        <v>46184</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45875-2025</t>
        </is>
      </c>
      <c r="B538" s="1" t="n">
        <v>45923.65690972222</v>
      </c>
      <c r="C538" s="1" t="n">
        <v>46184</v>
      </c>
      <c r="D538" t="inlineStr">
        <is>
          <t>VÄSTERNORRLANDS LÄN</t>
        </is>
      </c>
      <c r="E538" t="inlineStr">
        <is>
          <t>ÅNGE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45659-2025</t>
        </is>
      </c>
      <c r="B539" s="1" t="n">
        <v>45923.34471064815</v>
      </c>
      <c r="C539" s="1" t="n">
        <v>46184</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2140-2023</t>
        </is>
      </c>
      <c r="B540" s="1" t="n">
        <v>44940</v>
      </c>
      <c r="C540" s="1" t="n">
        <v>46184</v>
      </c>
      <c r="D540" t="inlineStr">
        <is>
          <t>VÄSTERNORRLANDS LÄN</t>
        </is>
      </c>
      <c r="E540" t="inlineStr">
        <is>
          <t>ÅNGE</t>
        </is>
      </c>
      <c r="G540" t="n">
        <v>2.9</v>
      </c>
      <c r="H540" t="n">
        <v>0</v>
      </c>
      <c r="I540" t="n">
        <v>0</v>
      </c>
      <c r="J540" t="n">
        <v>0</v>
      </c>
      <c r="K540" t="n">
        <v>0</v>
      </c>
      <c r="L540" t="n">
        <v>0</v>
      </c>
      <c r="M540" t="n">
        <v>0</v>
      </c>
      <c r="N540" t="n">
        <v>0</v>
      </c>
      <c r="O540" t="n">
        <v>0</v>
      </c>
      <c r="P540" t="n">
        <v>0</v>
      </c>
      <c r="Q540" t="n">
        <v>0</v>
      </c>
      <c r="R540" s="2" t="inlineStr"/>
    </row>
    <row r="541" ht="15" customHeight="1">
      <c r="A541" t="inlineStr">
        <is>
          <t>A 46419-2025</t>
        </is>
      </c>
      <c r="B541" s="1" t="n">
        <v>45925.5949537037</v>
      </c>
      <c r="C541" s="1" t="n">
        <v>46184</v>
      </c>
      <c r="D541" t="inlineStr">
        <is>
          <t>VÄSTERNORRLANDS LÄN</t>
        </is>
      </c>
      <c r="E541" t="inlineStr">
        <is>
          <t>ÅNGE</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47488-2023</t>
        </is>
      </c>
      <c r="B542" s="1" t="n">
        <v>45202.94168981481</v>
      </c>
      <c r="C542" s="1" t="n">
        <v>46184</v>
      </c>
      <c r="D542" t="inlineStr">
        <is>
          <t>VÄSTERNORRLANDS LÄN</t>
        </is>
      </c>
      <c r="E542" t="inlineStr">
        <is>
          <t>ÅNGE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46111-2025</t>
        </is>
      </c>
      <c r="B543" s="1" t="n">
        <v>45924.56684027778</v>
      </c>
      <c r="C543" s="1" t="n">
        <v>46184</v>
      </c>
      <c r="D543" t="inlineStr">
        <is>
          <t>VÄSTERNORRLANDS LÄN</t>
        </is>
      </c>
      <c r="E543" t="inlineStr">
        <is>
          <t>ÅNGE</t>
        </is>
      </c>
      <c r="G543" t="n">
        <v>1.1</v>
      </c>
      <c r="H543" t="n">
        <v>0</v>
      </c>
      <c r="I543" t="n">
        <v>0</v>
      </c>
      <c r="J543" t="n">
        <v>0</v>
      </c>
      <c r="K543" t="n">
        <v>0</v>
      </c>
      <c r="L543" t="n">
        <v>0</v>
      </c>
      <c r="M543" t="n">
        <v>0</v>
      </c>
      <c r="N543" t="n">
        <v>0</v>
      </c>
      <c r="O543" t="n">
        <v>0</v>
      </c>
      <c r="P543" t="n">
        <v>0</v>
      </c>
      <c r="Q543" t="n">
        <v>0</v>
      </c>
      <c r="R543" s="2" t="inlineStr"/>
    </row>
    <row r="544" ht="15" customHeight="1">
      <c r="A544" t="inlineStr">
        <is>
          <t>A 34754-2024</t>
        </is>
      </c>
      <c r="B544" s="1" t="n">
        <v>45526</v>
      </c>
      <c r="C544" s="1" t="n">
        <v>46184</v>
      </c>
      <c r="D544" t="inlineStr">
        <is>
          <t>VÄSTERNORRLANDS LÄN</t>
        </is>
      </c>
      <c r="E544" t="inlineStr">
        <is>
          <t>ÅNGE</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3362-2023</t>
        </is>
      </c>
      <c r="B545" s="1" t="n">
        <v>44945</v>
      </c>
      <c r="C545" s="1" t="n">
        <v>46184</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59600-2024</t>
        </is>
      </c>
      <c r="B546" s="1" t="n">
        <v>45638.71763888889</v>
      </c>
      <c r="C546" s="1" t="n">
        <v>46184</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46416-2025</t>
        </is>
      </c>
      <c r="B547" s="1" t="n">
        <v>45925.594375</v>
      </c>
      <c r="C547" s="1" t="n">
        <v>46184</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46109-2025</t>
        </is>
      </c>
      <c r="B548" s="1" t="n">
        <v>45924.5596412037</v>
      </c>
      <c r="C548" s="1" t="n">
        <v>46184</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45970-2025</t>
        </is>
      </c>
      <c r="B549" s="1" t="n">
        <v>45924.36519675926</v>
      </c>
      <c r="C549" s="1" t="n">
        <v>46184</v>
      </c>
      <c r="D549" t="inlineStr">
        <is>
          <t>VÄSTERNORRLANDS LÄN</t>
        </is>
      </c>
      <c r="E549" t="inlineStr">
        <is>
          <t>ÅNGE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52685-2024</t>
        </is>
      </c>
      <c r="B550" s="1" t="n">
        <v>45610</v>
      </c>
      <c r="C550" s="1" t="n">
        <v>46184</v>
      </c>
      <c r="D550" t="inlineStr">
        <is>
          <t>VÄSTERNORRLANDS LÄN</t>
        </is>
      </c>
      <c r="E550" t="inlineStr">
        <is>
          <t>ÅNGE</t>
        </is>
      </c>
      <c r="G550" t="n">
        <v>2.3</v>
      </c>
      <c r="H550" t="n">
        <v>0</v>
      </c>
      <c r="I550" t="n">
        <v>0</v>
      </c>
      <c r="J550" t="n">
        <v>0</v>
      </c>
      <c r="K550" t="n">
        <v>0</v>
      </c>
      <c r="L550" t="n">
        <v>0</v>
      </c>
      <c r="M550" t="n">
        <v>0</v>
      </c>
      <c r="N550" t="n">
        <v>0</v>
      </c>
      <c r="O550" t="n">
        <v>0</v>
      </c>
      <c r="P550" t="n">
        <v>0</v>
      </c>
      <c r="Q550" t="n">
        <v>0</v>
      </c>
      <c r="R550" s="2" t="inlineStr"/>
    </row>
    <row r="551" ht="15" customHeight="1">
      <c r="A551" t="inlineStr">
        <is>
          <t>A 29153-2025</t>
        </is>
      </c>
      <c r="B551" s="1" t="n">
        <v>45821.63574074074</v>
      </c>
      <c r="C551" s="1" t="n">
        <v>46184</v>
      </c>
      <c r="D551" t="inlineStr">
        <is>
          <t>VÄSTERNORRLANDS LÄN</t>
        </is>
      </c>
      <c r="E551" t="inlineStr">
        <is>
          <t>ÅNGE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46933-2025</t>
        </is>
      </c>
      <c r="B552" s="1" t="n">
        <v>45929.44645833333</v>
      </c>
      <c r="C552" s="1" t="n">
        <v>46184</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36466-2024</t>
        </is>
      </c>
      <c r="B553" s="1" t="n">
        <v>45537.35872685185</v>
      </c>
      <c r="C553" s="1" t="n">
        <v>46184</v>
      </c>
      <c r="D553" t="inlineStr">
        <is>
          <t>VÄSTERNORRLANDS LÄN</t>
        </is>
      </c>
      <c r="E553" t="inlineStr">
        <is>
          <t>ÅNGE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28717-2025</t>
        </is>
      </c>
      <c r="B554" s="1" t="n">
        <v>45820</v>
      </c>
      <c r="C554" s="1" t="n">
        <v>46184</v>
      </c>
      <c r="D554" t="inlineStr">
        <is>
          <t>VÄSTERNORRLANDS LÄN</t>
        </is>
      </c>
      <c r="E554" t="inlineStr">
        <is>
          <t>ÅNGE</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35650-2024</t>
        </is>
      </c>
      <c r="B555" s="1" t="n">
        <v>45532.34123842593</v>
      </c>
      <c r="C555" s="1" t="n">
        <v>46184</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19709-2025</t>
        </is>
      </c>
      <c r="B556" s="1" t="n">
        <v>45771.34263888889</v>
      </c>
      <c r="C556" s="1" t="n">
        <v>46184</v>
      </c>
      <c r="D556" t="inlineStr">
        <is>
          <t>VÄSTERNORRLANDS LÄN</t>
        </is>
      </c>
      <c r="E556" t="inlineStr">
        <is>
          <t>ÅNGE</t>
        </is>
      </c>
      <c r="G556" t="n">
        <v>3.8</v>
      </c>
      <c r="H556" t="n">
        <v>0</v>
      </c>
      <c r="I556" t="n">
        <v>0</v>
      </c>
      <c r="J556" t="n">
        <v>0</v>
      </c>
      <c r="K556" t="n">
        <v>0</v>
      </c>
      <c r="L556" t="n">
        <v>0</v>
      </c>
      <c r="M556" t="n">
        <v>0</v>
      </c>
      <c r="N556" t="n">
        <v>0</v>
      </c>
      <c r="O556" t="n">
        <v>0</v>
      </c>
      <c r="P556" t="n">
        <v>0</v>
      </c>
      <c r="Q556" t="n">
        <v>0</v>
      </c>
      <c r="R556" s="2" t="inlineStr"/>
    </row>
    <row r="557" ht="15" customHeight="1">
      <c r="A557" t="inlineStr">
        <is>
          <t>A 29786-2025</t>
        </is>
      </c>
      <c r="B557" s="1" t="n">
        <v>45825.65663194445</v>
      </c>
      <c r="C557" s="1" t="n">
        <v>46184</v>
      </c>
      <c r="D557" t="inlineStr">
        <is>
          <t>VÄSTERNORRLANDS LÄN</t>
        </is>
      </c>
      <c r="E557" t="inlineStr">
        <is>
          <t>ÅNGE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11531-2023</t>
        </is>
      </c>
      <c r="B558" s="1" t="n">
        <v>44993.77038194444</v>
      </c>
      <c r="C558" s="1" t="n">
        <v>46184</v>
      </c>
      <c r="D558" t="inlineStr">
        <is>
          <t>VÄSTERNORRLANDS LÄN</t>
        </is>
      </c>
      <c r="E558" t="inlineStr">
        <is>
          <t>ÅNGE</t>
        </is>
      </c>
      <c r="G558" t="n">
        <v>0.5</v>
      </c>
      <c r="H558" t="n">
        <v>0</v>
      </c>
      <c r="I558" t="n">
        <v>0</v>
      </c>
      <c r="J558" t="n">
        <v>0</v>
      </c>
      <c r="K558" t="n">
        <v>0</v>
      </c>
      <c r="L558" t="n">
        <v>0</v>
      </c>
      <c r="M558" t="n">
        <v>0</v>
      </c>
      <c r="N558" t="n">
        <v>0</v>
      </c>
      <c r="O558" t="n">
        <v>0</v>
      </c>
      <c r="P558" t="n">
        <v>0</v>
      </c>
      <c r="Q558" t="n">
        <v>0</v>
      </c>
      <c r="R558" s="2" t="inlineStr"/>
    </row>
    <row r="559" ht="15" customHeight="1">
      <c r="A559" t="inlineStr">
        <is>
          <t>A 11532-2023</t>
        </is>
      </c>
      <c r="B559" s="1" t="n">
        <v>44993.77212962963</v>
      </c>
      <c r="C559" s="1" t="n">
        <v>46184</v>
      </c>
      <c r="D559" t="inlineStr">
        <is>
          <t>VÄSTERNORRLANDS LÄN</t>
        </is>
      </c>
      <c r="E559" t="inlineStr">
        <is>
          <t>ÅNGE</t>
        </is>
      </c>
      <c r="G559" t="n">
        <v>0.5</v>
      </c>
      <c r="H559" t="n">
        <v>0</v>
      </c>
      <c r="I559" t="n">
        <v>0</v>
      </c>
      <c r="J559" t="n">
        <v>0</v>
      </c>
      <c r="K559" t="n">
        <v>0</v>
      </c>
      <c r="L559" t="n">
        <v>0</v>
      </c>
      <c r="M559" t="n">
        <v>0</v>
      </c>
      <c r="N559" t="n">
        <v>0</v>
      </c>
      <c r="O559" t="n">
        <v>0</v>
      </c>
      <c r="P559" t="n">
        <v>0</v>
      </c>
      <c r="Q559" t="n">
        <v>0</v>
      </c>
      <c r="R559" s="2" t="inlineStr"/>
    </row>
    <row r="560" ht="15" customHeight="1">
      <c r="A560" t="inlineStr">
        <is>
          <t>A 45459-2022</t>
        </is>
      </c>
      <c r="B560" s="1" t="n">
        <v>44845</v>
      </c>
      <c r="C560" s="1" t="n">
        <v>46184</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41758-2024</t>
        </is>
      </c>
      <c r="B561" s="1" t="n">
        <v>45561.34478009259</v>
      </c>
      <c r="C561" s="1" t="n">
        <v>46184</v>
      </c>
      <c r="D561" t="inlineStr">
        <is>
          <t>VÄSTERNORRLANDS LÄN</t>
        </is>
      </c>
      <c r="E561" t="inlineStr">
        <is>
          <t>ÅNGE</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9759-2024</t>
        </is>
      </c>
      <c r="B562" s="1" t="n">
        <v>45362</v>
      </c>
      <c r="C562" s="1" t="n">
        <v>46184</v>
      </c>
      <c r="D562" t="inlineStr">
        <is>
          <t>VÄSTERNORRLANDS LÄN</t>
        </is>
      </c>
      <c r="E562" t="inlineStr">
        <is>
          <t>ÅNGE</t>
        </is>
      </c>
      <c r="G562" t="n">
        <v>2.5</v>
      </c>
      <c r="H562" t="n">
        <v>0</v>
      </c>
      <c r="I562" t="n">
        <v>0</v>
      </c>
      <c r="J562" t="n">
        <v>0</v>
      </c>
      <c r="K562" t="n">
        <v>0</v>
      </c>
      <c r="L562" t="n">
        <v>0</v>
      </c>
      <c r="M562" t="n">
        <v>0</v>
      </c>
      <c r="N562" t="n">
        <v>0</v>
      </c>
      <c r="O562" t="n">
        <v>0</v>
      </c>
      <c r="P562" t="n">
        <v>0</v>
      </c>
      <c r="Q562" t="n">
        <v>0</v>
      </c>
      <c r="R562" s="2" t="inlineStr"/>
    </row>
    <row r="563" ht="15" customHeight="1">
      <c r="A563" t="inlineStr">
        <is>
          <t>A 47305-2025</t>
        </is>
      </c>
      <c r="B563" s="1" t="n">
        <v>45930</v>
      </c>
      <c r="C563" s="1" t="n">
        <v>46184</v>
      </c>
      <c r="D563" t="inlineStr">
        <is>
          <t>VÄSTERNORRLANDS LÄN</t>
        </is>
      </c>
      <c r="E563" t="inlineStr">
        <is>
          <t>ÅNGE</t>
        </is>
      </c>
      <c r="G563" t="n">
        <v>10.9</v>
      </c>
      <c r="H563" t="n">
        <v>0</v>
      </c>
      <c r="I563" t="n">
        <v>0</v>
      </c>
      <c r="J563" t="n">
        <v>0</v>
      </c>
      <c r="K563" t="n">
        <v>0</v>
      </c>
      <c r="L563" t="n">
        <v>0</v>
      </c>
      <c r="M563" t="n">
        <v>0</v>
      </c>
      <c r="N563" t="n">
        <v>0</v>
      </c>
      <c r="O563" t="n">
        <v>0</v>
      </c>
      <c r="P563" t="n">
        <v>0</v>
      </c>
      <c r="Q563" t="n">
        <v>0</v>
      </c>
      <c r="R563" s="2" t="inlineStr"/>
    </row>
    <row r="564" ht="15" customHeight="1">
      <c r="A564" t="inlineStr">
        <is>
          <t>A 55328-2023</t>
        </is>
      </c>
      <c r="B564" s="1" t="n">
        <v>45237</v>
      </c>
      <c r="C564" s="1" t="n">
        <v>46184</v>
      </c>
      <c r="D564" t="inlineStr">
        <is>
          <t>VÄSTERNORRLANDS LÄN</t>
        </is>
      </c>
      <c r="E564" t="inlineStr">
        <is>
          <t>ÅNGE</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52411-2025</t>
        </is>
      </c>
      <c r="B565" s="1" t="n">
        <v>45954.36518518518</v>
      </c>
      <c r="C565" s="1" t="n">
        <v>46184</v>
      </c>
      <c r="D565" t="inlineStr">
        <is>
          <t>VÄSTERNORRLANDS LÄN</t>
        </is>
      </c>
      <c r="E565" t="inlineStr">
        <is>
          <t>ÅNGE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5369-2022</t>
        </is>
      </c>
      <c r="B566" s="1" t="n">
        <v>44594.92113425926</v>
      </c>
      <c r="C566" s="1" t="n">
        <v>46184</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213-2024</t>
        </is>
      </c>
      <c r="B567" s="1" t="n">
        <v>45293</v>
      </c>
      <c r="C567" s="1" t="n">
        <v>46184</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47440-2025</t>
        </is>
      </c>
      <c r="B568" s="1" t="n">
        <v>45930.63766203704</v>
      </c>
      <c r="C568" s="1" t="n">
        <v>46184</v>
      </c>
      <c r="D568" t="inlineStr">
        <is>
          <t>VÄSTERNORRLANDS LÄN</t>
        </is>
      </c>
      <c r="E568" t="inlineStr">
        <is>
          <t>ÅNGE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47488-2025</t>
        </is>
      </c>
      <c r="B569" s="1" t="n">
        <v>45930.69890046296</v>
      </c>
      <c r="C569" s="1" t="n">
        <v>46184</v>
      </c>
      <c r="D569" t="inlineStr">
        <is>
          <t>VÄSTERNORRLANDS LÄN</t>
        </is>
      </c>
      <c r="E569" t="inlineStr">
        <is>
          <t>ÅNGE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47196-2025</t>
        </is>
      </c>
      <c r="B570" s="1" t="n">
        <v>45930.34520833333</v>
      </c>
      <c r="C570" s="1" t="n">
        <v>46184</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29862-2025</t>
        </is>
      </c>
      <c r="B571" s="1" t="n">
        <v>45826.3465625</v>
      </c>
      <c r="C571" s="1" t="n">
        <v>46184</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47377-2025</t>
        </is>
      </c>
      <c r="B572" s="1" t="n">
        <v>45930.59469907408</v>
      </c>
      <c r="C572" s="1" t="n">
        <v>46184</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29882-2025</t>
        </is>
      </c>
      <c r="B573" s="1" t="n">
        <v>45826.36548611111</v>
      </c>
      <c r="C573" s="1" t="n">
        <v>46184</v>
      </c>
      <c r="D573" t="inlineStr">
        <is>
          <t>VÄSTERNORRLANDS LÄN</t>
        </is>
      </c>
      <c r="E573" t="inlineStr">
        <is>
          <t>ÅNGE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52858-2025</t>
        </is>
      </c>
      <c r="B574" s="1" t="n">
        <v>45957.50284722223</v>
      </c>
      <c r="C574" s="1" t="n">
        <v>46184</v>
      </c>
      <c r="D574" t="inlineStr">
        <is>
          <t>VÄSTERNORRLANDS LÄN</t>
        </is>
      </c>
      <c r="E574" t="inlineStr">
        <is>
          <t>ÅNGE</t>
        </is>
      </c>
      <c r="G574" t="n">
        <v>1.7</v>
      </c>
      <c r="H574" t="n">
        <v>0</v>
      </c>
      <c r="I574" t="n">
        <v>0</v>
      </c>
      <c r="J574" t="n">
        <v>0</v>
      </c>
      <c r="K574" t="n">
        <v>0</v>
      </c>
      <c r="L574" t="n">
        <v>0</v>
      </c>
      <c r="M574" t="n">
        <v>0</v>
      </c>
      <c r="N574" t="n">
        <v>0</v>
      </c>
      <c r="O574" t="n">
        <v>0</v>
      </c>
      <c r="P574" t="n">
        <v>0</v>
      </c>
      <c r="Q574" t="n">
        <v>0</v>
      </c>
      <c r="R574" s="2" t="inlineStr"/>
    </row>
    <row r="575" ht="15" customHeight="1">
      <c r="A575" t="inlineStr">
        <is>
          <t>A 30475-2025</t>
        </is>
      </c>
      <c r="B575" s="1" t="n">
        <v>45828.34444444445</v>
      </c>
      <c r="C575" s="1" t="n">
        <v>46184</v>
      </c>
      <c r="D575" t="inlineStr">
        <is>
          <t>VÄSTERNORRLANDS LÄN</t>
        </is>
      </c>
      <c r="E575" t="inlineStr">
        <is>
          <t>ÅNGE</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30618-2025</t>
        </is>
      </c>
      <c r="B576" s="1" t="n">
        <v>45831.46909722222</v>
      </c>
      <c r="C576" s="1" t="n">
        <v>46184</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53381-2025</t>
        </is>
      </c>
      <c r="B577" s="1" t="n">
        <v>45959.53690972222</v>
      </c>
      <c r="C577" s="1" t="n">
        <v>46184</v>
      </c>
      <c r="D577" t="inlineStr">
        <is>
          <t>VÄSTERNORRLANDS LÄN</t>
        </is>
      </c>
      <c r="E577" t="inlineStr">
        <is>
          <t>ÅNGE</t>
        </is>
      </c>
      <c r="G577" t="n">
        <v>9.6</v>
      </c>
      <c r="H577" t="n">
        <v>0</v>
      </c>
      <c r="I577" t="n">
        <v>0</v>
      </c>
      <c r="J577" t="n">
        <v>0</v>
      </c>
      <c r="K577" t="n">
        <v>0</v>
      </c>
      <c r="L577" t="n">
        <v>0</v>
      </c>
      <c r="M577" t="n">
        <v>0</v>
      </c>
      <c r="N577" t="n">
        <v>0</v>
      </c>
      <c r="O577" t="n">
        <v>0</v>
      </c>
      <c r="P577" t="n">
        <v>0</v>
      </c>
      <c r="Q577" t="n">
        <v>0</v>
      </c>
      <c r="R577" s="2" t="inlineStr"/>
    </row>
    <row r="578" ht="15" customHeight="1">
      <c r="A578" t="inlineStr">
        <is>
          <t>A 30598-2025</t>
        </is>
      </c>
      <c r="B578" s="1" t="n">
        <v>45831.44834490741</v>
      </c>
      <c r="C578" s="1" t="n">
        <v>46184</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35426-2024</t>
        </is>
      </c>
      <c r="B579" s="1" t="n">
        <v>45531</v>
      </c>
      <c r="C579" s="1" t="n">
        <v>46184</v>
      </c>
      <c r="D579" t="inlineStr">
        <is>
          <t>VÄSTERNORRLANDS LÄN</t>
        </is>
      </c>
      <c r="E579" t="inlineStr">
        <is>
          <t>ÅNGE</t>
        </is>
      </c>
      <c r="F579" t="inlineStr">
        <is>
          <t>SCA</t>
        </is>
      </c>
      <c r="G579" t="n">
        <v>10.9</v>
      </c>
      <c r="H579" t="n">
        <v>0</v>
      </c>
      <c r="I579" t="n">
        <v>0</v>
      </c>
      <c r="J579" t="n">
        <v>0</v>
      </c>
      <c r="K579" t="n">
        <v>0</v>
      </c>
      <c r="L579" t="n">
        <v>0</v>
      </c>
      <c r="M579" t="n">
        <v>0</v>
      </c>
      <c r="N579" t="n">
        <v>0</v>
      </c>
      <c r="O579" t="n">
        <v>0</v>
      </c>
      <c r="P579" t="n">
        <v>0</v>
      </c>
      <c r="Q579" t="n">
        <v>0</v>
      </c>
      <c r="R579" s="2" t="inlineStr"/>
    </row>
    <row r="580" ht="15" customHeight="1">
      <c r="A580" t="inlineStr">
        <is>
          <t>A 35488-2024</t>
        </is>
      </c>
      <c r="B580" s="1" t="n">
        <v>45531</v>
      </c>
      <c r="C580" s="1" t="n">
        <v>46184</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3347-2024</t>
        </is>
      </c>
      <c r="B581" s="1" t="n">
        <v>45317</v>
      </c>
      <c r="C581" s="1" t="n">
        <v>46184</v>
      </c>
      <c r="D581" t="inlineStr">
        <is>
          <t>VÄSTERNORRLANDS LÄN</t>
        </is>
      </c>
      <c r="E581" t="inlineStr">
        <is>
          <t>ÅNGE</t>
        </is>
      </c>
      <c r="G581" t="n">
        <v>0.5</v>
      </c>
      <c r="H581" t="n">
        <v>0</v>
      </c>
      <c r="I581" t="n">
        <v>0</v>
      </c>
      <c r="J581" t="n">
        <v>0</v>
      </c>
      <c r="K581" t="n">
        <v>0</v>
      </c>
      <c r="L581" t="n">
        <v>0</v>
      </c>
      <c r="M581" t="n">
        <v>0</v>
      </c>
      <c r="N581" t="n">
        <v>0</v>
      </c>
      <c r="O581" t="n">
        <v>0</v>
      </c>
      <c r="P581" t="n">
        <v>0</v>
      </c>
      <c r="Q581" t="n">
        <v>0</v>
      </c>
      <c r="R581" s="2" t="inlineStr"/>
    </row>
    <row r="582" ht="15" customHeight="1">
      <c r="A582" t="inlineStr">
        <is>
          <t>A 30892-2025</t>
        </is>
      </c>
      <c r="B582" s="1" t="n">
        <v>45832.34663194444</v>
      </c>
      <c r="C582" s="1" t="n">
        <v>46184</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31544-2025</t>
        </is>
      </c>
      <c r="B583" s="1" t="n">
        <v>45833.63597222222</v>
      </c>
      <c r="C583" s="1" t="n">
        <v>46184</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31042-2025</t>
        </is>
      </c>
      <c r="B584" s="1" t="n">
        <v>45832.55267361111</v>
      </c>
      <c r="C584" s="1" t="n">
        <v>46184</v>
      </c>
      <c r="D584" t="inlineStr">
        <is>
          <t>VÄSTERNORRLANDS LÄN</t>
        </is>
      </c>
      <c r="E584" t="inlineStr">
        <is>
          <t>ÅNGE</t>
        </is>
      </c>
      <c r="F584" t="inlineStr">
        <is>
          <t>SCA</t>
        </is>
      </c>
      <c r="G584" t="n">
        <v>11.8</v>
      </c>
      <c r="H584" t="n">
        <v>0</v>
      </c>
      <c r="I584" t="n">
        <v>0</v>
      </c>
      <c r="J584" t="n">
        <v>0</v>
      </c>
      <c r="K584" t="n">
        <v>0</v>
      </c>
      <c r="L584" t="n">
        <v>0</v>
      </c>
      <c r="M584" t="n">
        <v>0</v>
      </c>
      <c r="N584" t="n">
        <v>0</v>
      </c>
      <c r="O584" t="n">
        <v>0</v>
      </c>
      <c r="P584" t="n">
        <v>0</v>
      </c>
      <c r="Q584" t="n">
        <v>0</v>
      </c>
      <c r="R584" s="2" t="inlineStr"/>
    </row>
    <row r="585" ht="15" customHeight="1">
      <c r="A585" t="inlineStr">
        <is>
          <t>A 53012-2025</t>
        </is>
      </c>
      <c r="B585" s="1" t="n">
        <v>45957.80320601852</v>
      </c>
      <c r="C585" s="1" t="n">
        <v>46184</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53033-2025</t>
        </is>
      </c>
      <c r="B586" s="1" t="n">
        <v>45958.34479166667</v>
      </c>
      <c r="C586" s="1" t="n">
        <v>46184</v>
      </c>
      <c r="D586" t="inlineStr">
        <is>
          <t>VÄSTERNORRLANDS LÄN</t>
        </is>
      </c>
      <c r="E586" t="inlineStr">
        <is>
          <t>ÅNGE</t>
        </is>
      </c>
      <c r="G586" t="n">
        <v>2.7</v>
      </c>
      <c r="H586" t="n">
        <v>0</v>
      </c>
      <c r="I586" t="n">
        <v>0</v>
      </c>
      <c r="J586" t="n">
        <v>0</v>
      </c>
      <c r="K586" t="n">
        <v>0</v>
      </c>
      <c r="L586" t="n">
        <v>0</v>
      </c>
      <c r="M586" t="n">
        <v>0</v>
      </c>
      <c r="N586" t="n">
        <v>0</v>
      </c>
      <c r="O586" t="n">
        <v>0</v>
      </c>
      <c r="P586" t="n">
        <v>0</v>
      </c>
      <c r="Q586" t="n">
        <v>0</v>
      </c>
      <c r="R586" s="2" t="inlineStr"/>
    </row>
    <row r="587" ht="15" customHeight="1">
      <c r="A587" t="inlineStr">
        <is>
          <t>A 30888-2025</t>
        </is>
      </c>
      <c r="B587" s="1" t="n">
        <v>45832.34606481482</v>
      </c>
      <c r="C587" s="1" t="n">
        <v>46184</v>
      </c>
      <c r="D587" t="inlineStr">
        <is>
          <t>VÄSTERNORRLANDS LÄN</t>
        </is>
      </c>
      <c r="E587" t="inlineStr">
        <is>
          <t>ÅNGE</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30875-2025</t>
        </is>
      </c>
      <c r="B588" s="1" t="n">
        <v>45832.34447916667</v>
      </c>
      <c r="C588" s="1" t="n">
        <v>46184</v>
      </c>
      <c r="D588" t="inlineStr">
        <is>
          <t>VÄSTERNORRLANDS LÄN</t>
        </is>
      </c>
      <c r="E588" t="inlineStr">
        <is>
          <t>ÅNGE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53013-2025</t>
        </is>
      </c>
      <c r="B589" s="1" t="n">
        <v>45957.81732638889</v>
      </c>
      <c r="C589" s="1" t="n">
        <v>46184</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53221-2025</t>
        </is>
      </c>
      <c r="B590" s="1" t="n">
        <v>45958.60331018519</v>
      </c>
      <c r="C590" s="1" t="n">
        <v>46184</v>
      </c>
      <c r="D590" t="inlineStr">
        <is>
          <t>VÄSTERNORRLANDS LÄN</t>
        </is>
      </c>
      <c r="E590" t="inlineStr">
        <is>
          <t>ÅNGE</t>
        </is>
      </c>
      <c r="G590" t="n">
        <v>2.1</v>
      </c>
      <c r="H590" t="n">
        <v>0</v>
      </c>
      <c r="I590" t="n">
        <v>0</v>
      </c>
      <c r="J590" t="n">
        <v>0</v>
      </c>
      <c r="K590" t="n">
        <v>0</v>
      </c>
      <c r="L590" t="n">
        <v>0</v>
      </c>
      <c r="M590" t="n">
        <v>0</v>
      </c>
      <c r="N590" t="n">
        <v>0</v>
      </c>
      <c r="O590" t="n">
        <v>0</v>
      </c>
      <c r="P590" t="n">
        <v>0</v>
      </c>
      <c r="Q590" t="n">
        <v>0</v>
      </c>
      <c r="R590" s="2" t="inlineStr"/>
    </row>
    <row r="591" ht="15" customHeight="1">
      <c r="A591" t="inlineStr">
        <is>
          <t>A 31139-2025</t>
        </is>
      </c>
      <c r="B591" s="1" t="n">
        <v>45832.63633101852</v>
      </c>
      <c r="C591" s="1" t="n">
        <v>46184</v>
      </c>
      <c r="D591" t="inlineStr">
        <is>
          <t>VÄSTERNORRLANDS LÄN</t>
        </is>
      </c>
      <c r="E591" t="inlineStr">
        <is>
          <t>ÅNGE</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741-2024</t>
        </is>
      </c>
      <c r="B592" s="1" t="n">
        <v>45300.46591435185</v>
      </c>
      <c r="C592" s="1" t="n">
        <v>46184</v>
      </c>
      <c r="D592" t="inlineStr">
        <is>
          <t>VÄSTERNORRLANDS LÄN</t>
        </is>
      </c>
      <c r="E592" t="inlineStr">
        <is>
          <t>ÅNGE</t>
        </is>
      </c>
      <c r="G592" t="n">
        <v>8</v>
      </c>
      <c r="H592" t="n">
        <v>0</v>
      </c>
      <c r="I592" t="n">
        <v>0</v>
      </c>
      <c r="J592" t="n">
        <v>0</v>
      </c>
      <c r="K592" t="n">
        <v>0</v>
      </c>
      <c r="L592" t="n">
        <v>0</v>
      </c>
      <c r="M592" t="n">
        <v>0</v>
      </c>
      <c r="N592" t="n">
        <v>0</v>
      </c>
      <c r="O592" t="n">
        <v>0</v>
      </c>
      <c r="P592" t="n">
        <v>0</v>
      </c>
      <c r="Q592" t="n">
        <v>0</v>
      </c>
      <c r="R592" s="2" t="inlineStr"/>
    </row>
    <row r="593" ht="15" customHeight="1">
      <c r="A593" t="inlineStr">
        <is>
          <t>A 48369-2024</t>
        </is>
      </c>
      <c r="B593" s="1" t="n">
        <v>45590.57960648148</v>
      </c>
      <c r="C593" s="1" t="n">
        <v>46184</v>
      </c>
      <c r="D593" t="inlineStr">
        <is>
          <t>VÄSTERNORRLANDS LÄN</t>
        </is>
      </c>
      <c r="E593" t="inlineStr">
        <is>
          <t>ÅNGE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31642-2025</t>
        </is>
      </c>
      <c r="B594" s="1" t="n">
        <v>45834.34474537037</v>
      </c>
      <c r="C594" s="1" t="n">
        <v>46184</v>
      </c>
      <c r="D594" t="inlineStr">
        <is>
          <t>VÄSTERNORRLANDS LÄN</t>
        </is>
      </c>
      <c r="E594" t="inlineStr">
        <is>
          <t>ÅNGE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32025-2025</t>
        </is>
      </c>
      <c r="B595" s="1" t="n">
        <v>45835.40721064815</v>
      </c>
      <c r="C595" s="1" t="n">
        <v>46184</v>
      </c>
      <c r="D595" t="inlineStr">
        <is>
          <t>VÄSTERNORRLANDS LÄN</t>
        </is>
      </c>
      <c r="E595" t="inlineStr">
        <is>
          <t>ÅNGE</t>
        </is>
      </c>
      <c r="G595" t="n">
        <v>1.6</v>
      </c>
      <c r="H595" t="n">
        <v>0</v>
      </c>
      <c r="I595" t="n">
        <v>0</v>
      </c>
      <c r="J595" t="n">
        <v>0</v>
      </c>
      <c r="K595" t="n">
        <v>0</v>
      </c>
      <c r="L595" t="n">
        <v>0</v>
      </c>
      <c r="M595" t="n">
        <v>0</v>
      </c>
      <c r="N595" t="n">
        <v>0</v>
      </c>
      <c r="O595" t="n">
        <v>0</v>
      </c>
      <c r="P595" t="n">
        <v>0</v>
      </c>
      <c r="Q595" t="n">
        <v>0</v>
      </c>
      <c r="R595" s="2" t="inlineStr"/>
    </row>
    <row r="596" ht="15" customHeight="1">
      <c r="A596" t="inlineStr">
        <is>
          <t>A 32024-2025</t>
        </is>
      </c>
      <c r="B596" s="1" t="n">
        <v>45835.40706018519</v>
      </c>
      <c r="C596" s="1" t="n">
        <v>46184</v>
      </c>
      <c r="D596" t="inlineStr">
        <is>
          <t>VÄSTERNORRLANDS LÄN</t>
        </is>
      </c>
      <c r="E596" t="inlineStr">
        <is>
          <t>ÅNGE</t>
        </is>
      </c>
      <c r="F596" t="inlineStr">
        <is>
          <t>SCA</t>
        </is>
      </c>
      <c r="G596" t="n">
        <v>12.3</v>
      </c>
      <c r="H596" t="n">
        <v>0</v>
      </c>
      <c r="I596" t="n">
        <v>0</v>
      </c>
      <c r="J596" t="n">
        <v>0</v>
      </c>
      <c r="K596" t="n">
        <v>0</v>
      </c>
      <c r="L596" t="n">
        <v>0</v>
      </c>
      <c r="M596" t="n">
        <v>0</v>
      </c>
      <c r="N596" t="n">
        <v>0</v>
      </c>
      <c r="O596" t="n">
        <v>0</v>
      </c>
      <c r="P596" t="n">
        <v>0</v>
      </c>
      <c r="Q596" t="n">
        <v>0</v>
      </c>
      <c r="R596" s="2" t="inlineStr"/>
    </row>
    <row r="597" ht="15" customHeight="1">
      <c r="A597" t="inlineStr">
        <is>
          <t>A 16524-2025</t>
        </is>
      </c>
      <c r="B597" s="1" t="n">
        <v>45751.64310185185</v>
      </c>
      <c r="C597" s="1" t="n">
        <v>46184</v>
      </c>
      <c r="D597" t="inlineStr">
        <is>
          <t>VÄSTERNORRLANDS LÄN</t>
        </is>
      </c>
      <c r="E597" t="inlineStr">
        <is>
          <t>ÅNGE</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52683-2024</t>
        </is>
      </c>
      <c r="B598" s="1" t="n">
        <v>45610</v>
      </c>
      <c r="C598" s="1" t="n">
        <v>46184</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40790-2023</t>
        </is>
      </c>
      <c r="B599" s="1" t="n">
        <v>45170.95814814815</v>
      </c>
      <c r="C599" s="1" t="n">
        <v>46184</v>
      </c>
      <c r="D599" t="inlineStr">
        <is>
          <t>VÄSTERNORRLANDS LÄN</t>
        </is>
      </c>
      <c r="E599" t="inlineStr">
        <is>
          <t>ÅNGE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53509-2025</t>
        </is>
      </c>
      <c r="B600" s="1" t="n">
        <v>45960.34506944445</v>
      </c>
      <c r="C600" s="1" t="n">
        <v>46184</v>
      </c>
      <c r="D600" t="inlineStr">
        <is>
          <t>VÄSTERNORRLANDS LÄN</t>
        </is>
      </c>
      <c r="E600" t="inlineStr">
        <is>
          <t>ÅNGE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38002-2024</t>
        </is>
      </c>
      <c r="B601" s="1" t="n">
        <v>45544.61484953704</v>
      </c>
      <c r="C601" s="1" t="n">
        <v>46184</v>
      </c>
      <c r="D601" t="inlineStr">
        <is>
          <t>VÄSTERNORRLANDS LÄN</t>
        </is>
      </c>
      <c r="E601" t="inlineStr">
        <is>
          <t>ÅNGE</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60514-2024</t>
        </is>
      </c>
      <c r="B602" s="1" t="n">
        <v>45643.67474537037</v>
      </c>
      <c r="C602" s="1" t="n">
        <v>46184</v>
      </c>
      <c r="D602" t="inlineStr">
        <is>
          <t>VÄSTERNORRLANDS LÄN</t>
        </is>
      </c>
      <c r="E602" t="inlineStr">
        <is>
          <t>ÅNGE</t>
        </is>
      </c>
      <c r="G602" t="n">
        <v>2.4</v>
      </c>
      <c r="H602" t="n">
        <v>0</v>
      </c>
      <c r="I602" t="n">
        <v>0</v>
      </c>
      <c r="J602" t="n">
        <v>0</v>
      </c>
      <c r="K602" t="n">
        <v>0</v>
      </c>
      <c r="L602" t="n">
        <v>0</v>
      </c>
      <c r="M602" t="n">
        <v>0</v>
      </c>
      <c r="N602" t="n">
        <v>0</v>
      </c>
      <c r="O602" t="n">
        <v>0</v>
      </c>
      <c r="P602" t="n">
        <v>0</v>
      </c>
      <c r="Q602" t="n">
        <v>0</v>
      </c>
      <c r="R602" s="2" t="inlineStr"/>
    </row>
    <row r="603" ht="15" customHeight="1">
      <c r="A603" t="inlineStr">
        <is>
          <t>A 6684-2024</t>
        </is>
      </c>
      <c r="B603" s="1" t="n">
        <v>45341.92555555556</v>
      </c>
      <c r="C603" s="1" t="n">
        <v>46184</v>
      </c>
      <c r="D603" t="inlineStr">
        <is>
          <t>VÄSTERNORRLANDS LÄN</t>
        </is>
      </c>
      <c r="E603" t="inlineStr">
        <is>
          <t>ÅNGE</t>
        </is>
      </c>
      <c r="G603" t="n">
        <v>1</v>
      </c>
      <c r="H603" t="n">
        <v>0</v>
      </c>
      <c r="I603" t="n">
        <v>0</v>
      </c>
      <c r="J603" t="n">
        <v>0</v>
      </c>
      <c r="K603" t="n">
        <v>0</v>
      </c>
      <c r="L603" t="n">
        <v>0</v>
      </c>
      <c r="M603" t="n">
        <v>0</v>
      </c>
      <c r="N603" t="n">
        <v>0</v>
      </c>
      <c r="O603" t="n">
        <v>0</v>
      </c>
      <c r="P603" t="n">
        <v>0</v>
      </c>
      <c r="Q603" t="n">
        <v>0</v>
      </c>
      <c r="R603" s="2" t="inlineStr"/>
    </row>
    <row r="604" ht="15" customHeight="1">
      <c r="A604" t="inlineStr">
        <is>
          <t>A 6691-2024</t>
        </is>
      </c>
      <c r="B604" s="1" t="n">
        <v>45341</v>
      </c>
      <c r="C604" s="1" t="n">
        <v>46184</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53713-2025</t>
        </is>
      </c>
      <c r="B605" s="1" t="n">
        <v>45960.61568287037</v>
      </c>
      <c r="C605" s="1" t="n">
        <v>46184</v>
      </c>
      <c r="D605" t="inlineStr">
        <is>
          <t>VÄSTERNORRLANDS LÄN</t>
        </is>
      </c>
      <c r="E605" t="inlineStr">
        <is>
          <t>ÅNGE</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54357-2025</t>
        </is>
      </c>
      <c r="B606" s="1" t="n">
        <v>45965.3858912037</v>
      </c>
      <c r="C606" s="1" t="n">
        <v>46184</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32847-2025</t>
        </is>
      </c>
      <c r="B607" s="1" t="n">
        <v>45839.57354166666</v>
      </c>
      <c r="C607" s="1" t="n">
        <v>46184</v>
      </c>
      <c r="D607" t="inlineStr">
        <is>
          <t>VÄSTERNORRLANDS LÄN</t>
        </is>
      </c>
      <c r="E607" t="inlineStr">
        <is>
          <t>ÅNGE</t>
        </is>
      </c>
      <c r="F607" t="inlineStr">
        <is>
          <t>SCA</t>
        </is>
      </c>
      <c r="G607" t="n">
        <v>9.4</v>
      </c>
      <c r="H607" t="n">
        <v>0</v>
      </c>
      <c r="I607" t="n">
        <v>0</v>
      </c>
      <c r="J607" t="n">
        <v>0</v>
      </c>
      <c r="K607" t="n">
        <v>0</v>
      </c>
      <c r="L607" t="n">
        <v>0</v>
      </c>
      <c r="M607" t="n">
        <v>0</v>
      </c>
      <c r="N607" t="n">
        <v>0</v>
      </c>
      <c r="O607" t="n">
        <v>0</v>
      </c>
      <c r="P607" t="n">
        <v>0</v>
      </c>
      <c r="Q607" t="n">
        <v>0</v>
      </c>
      <c r="R607" s="2" t="inlineStr"/>
    </row>
    <row r="608" ht="15" customHeight="1">
      <c r="A608" t="inlineStr">
        <is>
          <t>A 54197-2025</t>
        </is>
      </c>
      <c r="B608" s="1" t="n">
        <v>45964</v>
      </c>
      <c r="C608" s="1" t="n">
        <v>46184</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56874-2024</t>
        </is>
      </c>
      <c r="B609" s="1" t="n">
        <v>45628</v>
      </c>
      <c r="C609" s="1" t="n">
        <v>46184</v>
      </c>
      <c r="D609" t="inlineStr">
        <is>
          <t>VÄSTERNORRLANDS LÄN</t>
        </is>
      </c>
      <c r="E609" t="inlineStr">
        <is>
          <t>ÅNGE</t>
        </is>
      </c>
      <c r="G609" t="n">
        <v>1.1</v>
      </c>
      <c r="H609" t="n">
        <v>0</v>
      </c>
      <c r="I609" t="n">
        <v>0</v>
      </c>
      <c r="J609" t="n">
        <v>0</v>
      </c>
      <c r="K609" t="n">
        <v>0</v>
      </c>
      <c r="L609" t="n">
        <v>0</v>
      </c>
      <c r="M609" t="n">
        <v>0</v>
      </c>
      <c r="N609" t="n">
        <v>0</v>
      </c>
      <c r="O609" t="n">
        <v>0</v>
      </c>
      <c r="P609" t="n">
        <v>0</v>
      </c>
      <c r="Q609" t="n">
        <v>0</v>
      </c>
      <c r="R609" s="2" t="inlineStr"/>
    </row>
    <row r="610" ht="15" customHeight="1">
      <c r="A610" t="inlineStr">
        <is>
          <t>A 58087-2024</t>
        </is>
      </c>
      <c r="B610" s="1" t="n">
        <v>45632.34502314815</v>
      </c>
      <c r="C610" s="1" t="n">
        <v>46184</v>
      </c>
      <c r="D610" t="inlineStr">
        <is>
          <t>VÄSTERNORRLANDS LÄN</t>
        </is>
      </c>
      <c r="E610" t="inlineStr">
        <is>
          <t>ÅNGE</t>
        </is>
      </c>
      <c r="G610" t="n">
        <v>2.6</v>
      </c>
      <c r="H610" t="n">
        <v>0</v>
      </c>
      <c r="I610" t="n">
        <v>0</v>
      </c>
      <c r="J610" t="n">
        <v>0</v>
      </c>
      <c r="K610" t="n">
        <v>0</v>
      </c>
      <c r="L610" t="n">
        <v>0</v>
      </c>
      <c r="M610" t="n">
        <v>0</v>
      </c>
      <c r="N610" t="n">
        <v>0</v>
      </c>
      <c r="O610" t="n">
        <v>0</v>
      </c>
      <c r="P610" t="n">
        <v>0</v>
      </c>
      <c r="Q610" t="n">
        <v>0</v>
      </c>
      <c r="R610" s="2" t="inlineStr"/>
    </row>
    <row r="611" ht="15" customHeight="1">
      <c r="A611" t="inlineStr">
        <is>
          <t>A 21200-2024</t>
        </is>
      </c>
      <c r="B611" s="1" t="n">
        <v>45440</v>
      </c>
      <c r="C611" s="1" t="n">
        <v>46184</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10017-2025</t>
        </is>
      </c>
      <c r="B612" s="1" t="n">
        <v>45719.46957175926</v>
      </c>
      <c r="C612" s="1" t="n">
        <v>46184</v>
      </c>
      <c r="D612" t="inlineStr">
        <is>
          <t>VÄSTERNORRLANDS LÄN</t>
        </is>
      </c>
      <c r="E612" t="inlineStr">
        <is>
          <t>ÅNGE</t>
        </is>
      </c>
      <c r="F612" t="inlineStr">
        <is>
          <t>SCA</t>
        </is>
      </c>
      <c r="G612" t="n">
        <v>9.9</v>
      </c>
      <c r="H612" t="n">
        <v>0</v>
      </c>
      <c r="I612" t="n">
        <v>0</v>
      </c>
      <c r="J612" t="n">
        <v>0</v>
      </c>
      <c r="K612" t="n">
        <v>0</v>
      </c>
      <c r="L612" t="n">
        <v>0</v>
      </c>
      <c r="M612" t="n">
        <v>0</v>
      </c>
      <c r="N612" t="n">
        <v>0</v>
      </c>
      <c r="O612" t="n">
        <v>0</v>
      </c>
      <c r="P612" t="n">
        <v>0</v>
      </c>
      <c r="Q612" t="n">
        <v>0</v>
      </c>
      <c r="R612" s="2" t="inlineStr"/>
    </row>
    <row r="613" ht="15" customHeight="1">
      <c r="A613" t="inlineStr">
        <is>
          <t>A 34031-2025</t>
        </is>
      </c>
      <c r="B613" s="1" t="n">
        <v>45845.36508101852</v>
      </c>
      <c r="C613" s="1" t="n">
        <v>46184</v>
      </c>
      <c r="D613" t="inlineStr">
        <is>
          <t>VÄSTERNORRLANDS LÄN</t>
        </is>
      </c>
      <c r="E613" t="inlineStr">
        <is>
          <t>ÅNGE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1127-2023</t>
        </is>
      </c>
      <c r="B614" s="1" t="n">
        <v>44929</v>
      </c>
      <c r="C614" s="1" t="n">
        <v>46184</v>
      </c>
      <c r="D614" t="inlineStr">
        <is>
          <t>VÄSTERNORRLANDS LÄN</t>
        </is>
      </c>
      <c r="E614" t="inlineStr">
        <is>
          <t>ÅNGE</t>
        </is>
      </c>
      <c r="G614" t="n">
        <v>10.5</v>
      </c>
      <c r="H614" t="n">
        <v>0</v>
      </c>
      <c r="I614" t="n">
        <v>0</v>
      </c>
      <c r="J614" t="n">
        <v>0</v>
      </c>
      <c r="K614" t="n">
        <v>0</v>
      </c>
      <c r="L614" t="n">
        <v>0</v>
      </c>
      <c r="M614" t="n">
        <v>0</v>
      </c>
      <c r="N614" t="n">
        <v>0</v>
      </c>
      <c r="O614" t="n">
        <v>0</v>
      </c>
      <c r="P614" t="n">
        <v>0</v>
      </c>
      <c r="Q614" t="n">
        <v>0</v>
      </c>
      <c r="R614" s="2" t="inlineStr"/>
    </row>
    <row r="615" ht="15" customHeight="1">
      <c r="A615" t="inlineStr">
        <is>
          <t>A 22755-2023</t>
        </is>
      </c>
      <c r="B615" s="1" t="n">
        <v>45071.94127314815</v>
      </c>
      <c r="C615" s="1" t="n">
        <v>46184</v>
      </c>
      <c r="D615" t="inlineStr">
        <is>
          <t>VÄSTERNORRLANDS LÄN</t>
        </is>
      </c>
      <c r="E615" t="inlineStr">
        <is>
          <t>ÅNGE</t>
        </is>
      </c>
      <c r="F615" t="inlineStr">
        <is>
          <t>SCA</t>
        </is>
      </c>
      <c r="G615" t="n">
        <v>12.6</v>
      </c>
      <c r="H615" t="n">
        <v>0</v>
      </c>
      <c r="I615" t="n">
        <v>0</v>
      </c>
      <c r="J615" t="n">
        <v>0</v>
      </c>
      <c r="K615" t="n">
        <v>0</v>
      </c>
      <c r="L615" t="n">
        <v>0</v>
      </c>
      <c r="M615" t="n">
        <v>0</v>
      </c>
      <c r="N615" t="n">
        <v>0</v>
      </c>
      <c r="O615" t="n">
        <v>0</v>
      </c>
      <c r="P615" t="n">
        <v>0</v>
      </c>
      <c r="Q615" t="n">
        <v>0</v>
      </c>
      <c r="R615" s="2" t="inlineStr"/>
    </row>
    <row r="616" ht="15" customHeight="1">
      <c r="A616" t="inlineStr">
        <is>
          <t>A 33738-2025</t>
        </is>
      </c>
      <c r="B616" s="1" t="n">
        <v>45842.33795138889</v>
      </c>
      <c r="C616" s="1" t="n">
        <v>46184</v>
      </c>
      <c r="D616" t="inlineStr">
        <is>
          <t>VÄSTERNORRLANDS LÄN</t>
        </is>
      </c>
      <c r="E616" t="inlineStr">
        <is>
          <t>ÅNGE</t>
        </is>
      </c>
      <c r="G616" t="n">
        <v>0.6</v>
      </c>
      <c r="H616" t="n">
        <v>0</v>
      </c>
      <c r="I616" t="n">
        <v>0</v>
      </c>
      <c r="J616" t="n">
        <v>0</v>
      </c>
      <c r="K616" t="n">
        <v>0</v>
      </c>
      <c r="L616" t="n">
        <v>0</v>
      </c>
      <c r="M616" t="n">
        <v>0</v>
      </c>
      <c r="N616" t="n">
        <v>0</v>
      </c>
      <c r="O616" t="n">
        <v>0</v>
      </c>
      <c r="P616" t="n">
        <v>0</v>
      </c>
      <c r="Q616" t="n">
        <v>0</v>
      </c>
      <c r="R616" s="2" t="inlineStr"/>
    </row>
    <row r="617" ht="15" customHeight="1">
      <c r="A617" t="inlineStr">
        <is>
          <t>A 54819-2025</t>
        </is>
      </c>
      <c r="B617" s="1" t="n">
        <v>45966.65709490741</v>
      </c>
      <c r="C617" s="1" t="n">
        <v>46184</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4727-2023</t>
        </is>
      </c>
      <c r="B618" s="1" t="n">
        <v>44953</v>
      </c>
      <c r="C618" s="1" t="n">
        <v>46184</v>
      </c>
      <c r="D618" t="inlineStr">
        <is>
          <t>VÄSTERNORRLANDS LÄN</t>
        </is>
      </c>
      <c r="E618" t="inlineStr">
        <is>
          <t>ÅNGE</t>
        </is>
      </c>
      <c r="G618" t="n">
        <v>0.4</v>
      </c>
      <c r="H618" t="n">
        <v>0</v>
      </c>
      <c r="I618" t="n">
        <v>0</v>
      </c>
      <c r="J618" t="n">
        <v>0</v>
      </c>
      <c r="K618" t="n">
        <v>0</v>
      </c>
      <c r="L618" t="n">
        <v>0</v>
      </c>
      <c r="M618" t="n">
        <v>0</v>
      </c>
      <c r="N618" t="n">
        <v>0</v>
      </c>
      <c r="O618" t="n">
        <v>0</v>
      </c>
      <c r="P618" t="n">
        <v>0</v>
      </c>
      <c r="Q618" t="n">
        <v>0</v>
      </c>
      <c r="R618" s="2" t="inlineStr"/>
    </row>
    <row r="619" ht="15" customHeight="1">
      <c r="A619" t="inlineStr">
        <is>
          <t>A 55038-2025</t>
        </is>
      </c>
      <c r="B619" s="1" t="n">
        <v>45967.65527777778</v>
      </c>
      <c r="C619" s="1" t="n">
        <v>46184</v>
      </c>
      <c r="D619" t="inlineStr">
        <is>
          <t>VÄSTERNORRLANDS LÄN</t>
        </is>
      </c>
      <c r="E619" t="inlineStr">
        <is>
          <t>ÅNGE</t>
        </is>
      </c>
      <c r="G619" t="n">
        <v>4.5</v>
      </c>
      <c r="H619" t="n">
        <v>0</v>
      </c>
      <c r="I619" t="n">
        <v>0</v>
      </c>
      <c r="J619" t="n">
        <v>0</v>
      </c>
      <c r="K619" t="n">
        <v>0</v>
      </c>
      <c r="L619" t="n">
        <v>0</v>
      </c>
      <c r="M619" t="n">
        <v>0</v>
      </c>
      <c r="N619" t="n">
        <v>0</v>
      </c>
      <c r="O619" t="n">
        <v>0</v>
      </c>
      <c r="P619" t="n">
        <v>0</v>
      </c>
      <c r="Q619" t="n">
        <v>0</v>
      </c>
      <c r="R619" s="2" t="inlineStr"/>
    </row>
    <row r="620" ht="15" customHeight="1">
      <c r="A620" t="inlineStr">
        <is>
          <t>A 54925-2025</t>
        </is>
      </c>
      <c r="B620" s="1" t="n">
        <v>45967.40699074074</v>
      </c>
      <c r="C620" s="1" t="n">
        <v>46184</v>
      </c>
      <c r="D620" t="inlineStr">
        <is>
          <t>VÄSTERNORRLANDS LÄN</t>
        </is>
      </c>
      <c r="E620" t="inlineStr">
        <is>
          <t>ÅNGE</t>
        </is>
      </c>
      <c r="G620" t="n">
        <v>2.6</v>
      </c>
      <c r="H620" t="n">
        <v>0</v>
      </c>
      <c r="I620" t="n">
        <v>0</v>
      </c>
      <c r="J620" t="n">
        <v>0</v>
      </c>
      <c r="K620" t="n">
        <v>0</v>
      </c>
      <c r="L620" t="n">
        <v>0</v>
      </c>
      <c r="M620" t="n">
        <v>0</v>
      </c>
      <c r="N620" t="n">
        <v>0</v>
      </c>
      <c r="O620" t="n">
        <v>0</v>
      </c>
      <c r="P620" t="n">
        <v>0</v>
      </c>
      <c r="Q620" t="n">
        <v>0</v>
      </c>
      <c r="R620" s="2" t="inlineStr"/>
    </row>
    <row r="621" ht="15" customHeight="1">
      <c r="A621" t="inlineStr">
        <is>
          <t>A 54926-2025</t>
        </is>
      </c>
      <c r="B621" s="1" t="n">
        <v>45967.40707175926</v>
      </c>
      <c r="C621" s="1" t="n">
        <v>46184</v>
      </c>
      <c r="D621" t="inlineStr">
        <is>
          <t>VÄSTERNORRLANDS LÄN</t>
        </is>
      </c>
      <c r="E621" t="inlineStr">
        <is>
          <t>ÅNGE</t>
        </is>
      </c>
      <c r="G621" t="n">
        <v>3.1</v>
      </c>
      <c r="H621" t="n">
        <v>0</v>
      </c>
      <c r="I621" t="n">
        <v>0</v>
      </c>
      <c r="J621" t="n">
        <v>0</v>
      </c>
      <c r="K621" t="n">
        <v>0</v>
      </c>
      <c r="L621" t="n">
        <v>0</v>
      </c>
      <c r="M621" t="n">
        <v>0</v>
      </c>
      <c r="N621" t="n">
        <v>0</v>
      </c>
      <c r="O621" t="n">
        <v>0</v>
      </c>
      <c r="P621" t="n">
        <v>0</v>
      </c>
      <c r="Q621" t="n">
        <v>0</v>
      </c>
      <c r="R621" s="2" t="inlineStr"/>
    </row>
    <row r="622" ht="15" customHeight="1">
      <c r="A622" t="inlineStr">
        <is>
          <t>A 54715-2025</t>
        </is>
      </c>
      <c r="B622" s="1" t="n">
        <v>45966.50961805556</v>
      </c>
      <c r="C622" s="1" t="n">
        <v>46184</v>
      </c>
      <c r="D622" t="inlineStr">
        <is>
          <t>VÄSTERNORRLANDS LÄN</t>
        </is>
      </c>
      <c r="E622" t="inlineStr">
        <is>
          <t>ÅNGE</t>
        </is>
      </c>
      <c r="G622" t="n">
        <v>0.6</v>
      </c>
      <c r="H622" t="n">
        <v>0</v>
      </c>
      <c r="I622" t="n">
        <v>0</v>
      </c>
      <c r="J622" t="n">
        <v>0</v>
      </c>
      <c r="K622" t="n">
        <v>0</v>
      </c>
      <c r="L622" t="n">
        <v>0</v>
      </c>
      <c r="M622" t="n">
        <v>0</v>
      </c>
      <c r="N622" t="n">
        <v>0</v>
      </c>
      <c r="O622" t="n">
        <v>0</v>
      </c>
      <c r="P622" t="n">
        <v>0</v>
      </c>
      <c r="Q622" t="n">
        <v>0</v>
      </c>
      <c r="R622" s="2" t="inlineStr"/>
    </row>
    <row r="623" ht="15" customHeight="1">
      <c r="A623" t="inlineStr">
        <is>
          <t>A 54680-2025</t>
        </is>
      </c>
      <c r="B623" s="1" t="n">
        <v>45966.42751157407</v>
      </c>
      <c r="C623" s="1" t="n">
        <v>46184</v>
      </c>
      <c r="D623" t="inlineStr">
        <is>
          <t>VÄSTERNORRLANDS LÄN</t>
        </is>
      </c>
      <c r="E623" t="inlineStr">
        <is>
          <t>ÅNGE</t>
        </is>
      </c>
      <c r="F623" t="inlineStr">
        <is>
          <t>SCA</t>
        </is>
      </c>
      <c r="G623" t="n">
        <v>5.2</v>
      </c>
      <c r="H623" t="n">
        <v>0</v>
      </c>
      <c r="I623" t="n">
        <v>0</v>
      </c>
      <c r="J623" t="n">
        <v>0</v>
      </c>
      <c r="K623" t="n">
        <v>0</v>
      </c>
      <c r="L623" t="n">
        <v>0</v>
      </c>
      <c r="M623" t="n">
        <v>0</v>
      </c>
      <c r="N623" t="n">
        <v>0</v>
      </c>
      <c r="O623" t="n">
        <v>0</v>
      </c>
      <c r="P623" t="n">
        <v>0</v>
      </c>
      <c r="Q623" t="n">
        <v>0</v>
      </c>
      <c r="R623" s="2" t="inlineStr"/>
    </row>
    <row r="624" ht="15" customHeight="1">
      <c r="A624" t="inlineStr">
        <is>
          <t>A 42881-2023</t>
        </is>
      </c>
      <c r="B624" s="1" t="n">
        <v>45182.45256944445</v>
      </c>
      <c r="C624" s="1" t="n">
        <v>46184</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54705-2025</t>
        </is>
      </c>
      <c r="B625" s="1" t="n">
        <v>45966.4853125</v>
      </c>
      <c r="C625" s="1" t="n">
        <v>46184</v>
      </c>
      <c r="D625" t="inlineStr">
        <is>
          <t>VÄSTERNORRLANDS LÄN</t>
        </is>
      </c>
      <c r="E625" t="inlineStr">
        <is>
          <t>ÅNGE</t>
        </is>
      </c>
      <c r="G625" t="n">
        <v>4.5</v>
      </c>
      <c r="H625" t="n">
        <v>0</v>
      </c>
      <c r="I625" t="n">
        <v>0</v>
      </c>
      <c r="J625" t="n">
        <v>0</v>
      </c>
      <c r="K625" t="n">
        <v>0</v>
      </c>
      <c r="L625" t="n">
        <v>0</v>
      </c>
      <c r="M625" t="n">
        <v>0</v>
      </c>
      <c r="N625" t="n">
        <v>0</v>
      </c>
      <c r="O625" t="n">
        <v>0</v>
      </c>
      <c r="P625" t="n">
        <v>0</v>
      </c>
      <c r="Q625" t="n">
        <v>0</v>
      </c>
      <c r="R625" s="2" t="inlineStr"/>
    </row>
    <row r="626" ht="15" customHeight="1">
      <c r="A626" t="inlineStr">
        <is>
          <t>A 30474-2024</t>
        </is>
      </c>
      <c r="B626" s="1" t="n">
        <v>45491</v>
      </c>
      <c r="C626" s="1" t="n">
        <v>46184</v>
      </c>
      <c r="D626" t="inlineStr">
        <is>
          <t>VÄSTERNORRLANDS LÄN</t>
        </is>
      </c>
      <c r="E626" t="inlineStr">
        <is>
          <t>ÅNGE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47243-2024</t>
        </is>
      </c>
      <c r="B627" s="1" t="n">
        <v>45586.6987962963</v>
      </c>
      <c r="C627" s="1" t="n">
        <v>46184</v>
      </c>
      <c r="D627" t="inlineStr">
        <is>
          <t>VÄSTERNORRLANDS LÄN</t>
        </is>
      </c>
      <c r="E627" t="inlineStr">
        <is>
          <t>ÅNGE</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34591-2025</t>
        </is>
      </c>
      <c r="B628" s="1" t="n">
        <v>45847.62920138889</v>
      </c>
      <c r="C628" s="1" t="n">
        <v>46184</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42043-2024</t>
        </is>
      </c>
      <c r="B629" s="1" t="n">
        <v>45561</v>
      </c>
      <c r="C629" s="1" t="n">
        <v>46184</v>
      </c>
      <c r="D629" t="inlineStr">
        <is>
          <t>VÄSTERNORRLANDS LÄN</t>
        </is>
      </c>
      <c r="E629" t="inlineStr">
        <is>
          <t>ÅNGE</t>
        </is>
      </c>
      <c r="G629" t="n">
        <v>3.1</v>
      </c>
      <c r="H629" t="n">
        <v>0</v>
      </c>
      <c r="I629" t="n">
        <v>0</v>
      </c>
      <c r="J629" t="n">
        <v>0</v>
      </c>
      <c r="K629" t="n">
        <v>0</v>
      </c>
      <c r="L629" t="n">
        <v>0</v>
      </c>
      <c r="M629" t="n">
        <v>0</v>
      </c>
      <c r="N629" t="n">
        <v>0</v>
      </c>
      <c r="O629" t="n">
        <v>0</v>
      </c>
      <c r="P629" t="n">
        <v>0</v>
      </c>
      <c r="Q629" t="n">
        <v>0</v>
      </c>
      <c r="R629" s="2" t="inlineStr"/>
    </row>
    <row r="630" ht="15" customHeight="1">
      <c r="A630" t="inlineStr">
        <is>
          <t>A 42046-2024</t>
        </is>
      </c>
      <c r="B630" s="1" t="n">
        <v>45561.83422453704</v>
      </c>
      <c r="C630" s="1" t="n">
        <v>46184</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35061-2025</t>
        </is>
      </c>
      <c r="B631" s="1" t="n">
        <v>45852</v>
      </c>
      <c r="C631" s="1" t="n">
        <v>46184</v>
      </c>
      <c r="D631" t="inlineStr">
        <is>
          <t>VÄSTERNORRLANDS LÄN</t>
        </is>
      </c>
      <c r="E631" t="inlineStr">
        <is>
          <t>ÅNGE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55664-2023</t>
        </is>
      </c>
      <c r="B632" s="1" t="n">
        <v>45238.96748842593</v>
      </c>
      <c r="C632" s="1" t="n">
        <v>46184</v>
      </c>
      <c r="D632" t="inlineStr">
        <is>
          <t>VÄSTERNORRLANDS LÄN</t>
        </is>
      </c>
      <c r="E632" t="inlineStr">
        <is>
          <t>ÅNGE</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57595-2022</t>
        </is>
      </c>
      <c r="B633" s="1" t="n">
        <v>44896.97862268519</v>
      </c>
      <c r="C633" s="1" t="n">
        <v>46184</v>
      </c>
      <c r="D633" t="inlineStr">
        <is>
          <t>VÄSTERNORRLANDS LÄN</t>
        </is>
      </c>
      <c r="E633" t="inlineStr">
        <is>
          <t>ÅNGE</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30747-2024</t>
        </is>
      </c>
      <c r="B634" s="1" t="n">
        <v>45496</v>
      </c>
      <c r="C634" s="1" t="n">
        <v>46184</v>
      </c>
      <c r="D634" t="inlineStr">
        <is>
          <t>VÄSTERNORRLANDS LÄN</t>
        </is>
      </c>
      <c r="E634" t="inlineStr">
        <is>
          <t>ÅNGE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35432-2025</t>
        </is>
      </c>
      <c r="B635" s="1" t="n">
        <v>45855.44831018519</v>
      </c>
      <c r="C635" s="1" t="n">
        <v>46184</v>
      </c>
      <c r="D635" t="inlineStr">
        <is>
          <t>VÄSTERNORRLANDS LÄN</t>
        </is>
      </c>
      <c r="E635" t="inlineStr">
        <is>
          <t>ÅNGE</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55556-2025</t>
        </is>
      </c>
      <c r="B636" s="1" t="n">
        <v>45971.64694444444</v>
      </c>
      <c r="C636" s="1" t="n">
        <v>46184</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58939-2021</t>
        </is>
      </c>
      <c r="B637" s="1" t="n">
        <v>44489</v>
      </c>
      <c r="C637" s="1" t="n">
        <v>46184</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35497-2025</t>
        </is>
      </c>
      <c r="B638" s="1" t="n">
        <v>45856.29752314815</v>
      </c>
      <c r="C638" s="1" t="n">
        <v>46184</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35577-2025</t>
        </is>
      </c>
      <c r="B639" s="1" t="n">
        <v>45856.67762731481</v>
      </c>
      <c r="C639" s="1" t="n">
        <v>46184</v>
      </c>
      <c r="D639" t="inlineStr">
        <is>
          <t>VÄSTERNORRLANDS LÄN</t>
        </is>
      </c>
      <c r="E639" t="inlineStr">
        <is>
          <t>ÅNGE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35548-2025</t>
        </is>
      </c>
      <c r="B640" s="1" t="n">
        <v>45856.48995370371</v>
      </c>
      <c r="C640" s="1" t="n">
        <v>46184</v>
      </c>
      <c r="D640" t="inlineStr">
        <is>
          <t>VÄSTERNORRLANDS LÄN</t>
        </is>
      </c>
      <c r="E640" t="inlineStr">
        <is>
          <t>ÅNGE</t>
        </is>
      </c>
      <c r="F640" t="inlineStr">
        <is>
          <t>SCA</t>
        </is>
      </c>
      <c r="G640" t="n">
        <v>14.6</v>
      </c>
      <c r="H640" t="n">
        <v>0</v>
      </c>
      <c r="I640" t="n">
        <v>0</v>
      </c>
      <c r="J640" t="n">
        <v>0</v>
      </c>
      <c r="K640" t="n">
        <v>0</v>
      </c>
      <c r="L640" t="n">
        <v>0</v>
      </c>
      <c r="M640" t="n">
        <v>0</v>
      </c>
      <c r="N640" t="n">
        <v>0</v>
      </c>
      <c r="O640" t="n">
        <v>0</v>
      </c>
      <c r="P640" t="n">
        <v>0</v>
      </c>
      <c r="Q640" t="n">
        <v>0</v>
      </c>
      <c r="R640" s="2" t="inlineStr"/>
    </row>
    <row r="641" ht="15" customHeight="1">
      <c r="A641" t="inlineStr">
        <is>
          <t>A 58639-2023</t>
        </is>
      </c>
      <c r="B641" s="1" t="n">
        <v>45251</v>
      </c>
      <c r="C641" s="1" t="n">
        <v>46184</v>
      </c>
      <c r="D641" t="inlineStr">
        <is>
          <t>VÄSTERNORRLANDS LÄN</t>
        </is>
      </c>
      <c r="E641" t="inlineStr">
        <is>
          <t>ÅNGE</t>
        </is>
      </c>
      <c r="G641" t="n">
        <v>0.6</v>
      </c>
      <c r="H641" t="n">
        <v>0</v>
      </c>
      <c r="I641" t="n">
        <v>0</v>
      </c>
      <c r="J641" t="n">
        <v>0</v>
      </c>
      <c r="K641" t="n">
        <v>0</v>
      </c>
      <c r="L641" t="n">
        <v>0</v>
      </c>
      <c r="M641" t="n">
        <v>0</v>
      </c>
      <c r="N641" t="n">
        <v>0</v>
      </c>
      <c r="O641" t="n">
        <v>0</v>
      </c>
      <c r="P641" t="n">
        <v>0</v>
      </c>
      <c r="Q641" t="n">
        <v>0</v>
      </c>
      <c r="R641" s="2" t="inlineStr"/>
    </row>
    <row r="642" ht="15" customHeight="1">
      <c r="A642" t="inlineStr">
        <is>
          <t>A 35575-2025</t>
        </is>
      </c>
      <c r="B642" s="1" t="n">
        <v>45856.63591435185</v>
      </c>
      <c r="C642" s="1" t="n">
        <v>46184</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35503-2025</t>
        </is>
      </c>
      <c r="B643" s="1" t="n">
        <v>45856</v>
      </c>
      <c r="C643" s="1" t="n">
        <v>46184</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55816-2025</t>
        </is>
      </c>
      <c r="B644" s="1" t="n">
        <v>45972.69851851852</v>
      </c>
      <c r="C644" s="1" t="n">
        <v>46184</v>
      </c>
      <c r="D644" t="inlineStr">
        <is>
          <t>VÄSTERNORRLANDS LÄN</t>
        </is>
      </c>
      <c r="E644" t="inlineStr">
        <is>
          <t>ÅNGE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30683-2024</t>
        </is>
      </c>
      <c r="B645" s="1" t="n">
        <v>45495</v>
      </c>
      <c r="C645" s="1" t="n">
        <v>46184</v>
      </c>
      <c r="D645" t="inlineStr">
        <is>
          <t>VÄSTERNORRLANDS LÄN</t>
        </is>
      </c>
      <c r="E645" t="inlineStr">
        <is>
          <t>ÅNGE</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44635-2024</t>
        </is>
      </c>
      <c r="B646" s="1" t="n">
        <v>45574.51488425926</v>
      </c>
      <c r="C646" s="1" t="n">
        <v>46184</v>
      </c>
      <c r="D646" t="inlineStr">
        <is>
          <t>VÄSTERNORRLANDS LÄN</t>
        </is>
      </c>
      <c r="E646" t="inlineStr">
        <is>
          <t>ÅNGE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35826-2025</t>
        </is>
      </c>
      <c r="B647" s="1" t="n">
        <v>45861.48997685185</v>
      </c>
      <c r="C647" s="1" t="n">
        <v>46184</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c r="U647">
        <f>HYPERLINK("https://klasma.github.io/Logging_2260/knärot/A 35826-2025 karta knärot.png", "A 35826-2025")</f>
        <v/>
      </c>
      <c r="V647">
        <f>HYPERLINK("https://klasma.github.io/Logging_2260/klagomål/A 35826-2025 FSC-klagomål.docx", "A 35826-2025")</f>
        <v/>
      </c>
      <c r="W647">
        <f>HYPERLINK("https://klasma.github.io/Logging_2260/klagomålsmail/A 35826-2025 FSC-klagomål mail.docx", "A 35826-2025")</f>
        <v/>
      </c>
      <c r="X647">
        <f>HYPERLINK("https://klasma.github.io/Logging_2260/tillsyn/A 35826-2025 tillsynsbegäran.docx", "A 35826-2025")</f>
        <v/>
      </c>
      <c r="Y647">
        <f>HYPERLINK("https://klasma.github.io/Logging_2260/tillsynsmail/A 35826-2025 tillsynsbegäran mail.docx", "A 35826-2025")</f>
        <v/>
      </c>
    </row>
    <row r="648" ht="15" customHeight="1">
      <c r="A648" t="inlineStr">
        <is>
          <t>A 35827-2025</t>
        </is>
      </c>
      <c r="B648" s="1" t="n">
        <v>45861.49017361111</v>
      </c>
      <c r="C648" s="1" t="n">
        <v>46184</v>
      </c>
      <c r="D648" t="inlineStr">
        <is>
          <t>VÄSTERNORRLANDS LÄN</t>
        </is>
      </c>
      <c r="E648" t="inlineStr">
        <is>
          <t>ÅNGE</t>
        </is>
      </c>
      <c r="G648" t="n">
        <v>0.6</v>
      </c>
      <c r="H648" t="n">
        <v>0</v>
      </c>
      <c r="I648" t="n">
        <v>0</v>
      </c>
      <c r="J648" t="n">
        <v>0</v>
      </c>
      <c r="K648" t="n">
        <v>0</v>
      </c>
      <c r="L648" t="n">
        <v>0</v>
      </c>
      <c r="M648" t="n">
        <v>0</v>
      </c>
      <c r="N648" t="n">
        <v>0</v>
      </c>
      <c r="O648" t="n">
        <v>0</v>
      </c>
      <c r="P648" t="n">
        <v>0</v>
      </c>
      <c r="Q648" t="n">
        <v>0</v>
      </c>
      <c r="R648" s="2" t="inlineStr"/>
    </row>
    <row r="649" ht="15" customHeight="1">
      <c r="A649" t="inlineStr">
        <is>
          <t>A 35690-2025</t>
        </is>
      </c>
      <c r="B649" s="1" t="n">
        <v>45860.34421296296</v>
      </c>
      <c r="C649" s="1" t="n">
        <v>46184</v>
      </c>
      <c r="D649" t="inlineStr">
        <is>
          <t>VÄSTERNORRLANDS LÄN</t>
        </is>
      </c>
      <c r="E649" t="inlineStr">
        <is>
          <t>ÅNGE</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43066-2022</t>
        </is>
      </c>
      <c r="B650" s="1" t="n">
        <v>44833</v>
      </c>
      <c r="C650" s="1" t="n">
        <v>46184</v>
      </c>
      <c r="D650" t="inlineStr">
        <is>
          <t>VÄSTERNORRLANDS LÄN</t>
        </is>
      </c>
      <c r="E650" t="inlineStr">
        <is>
          <t>ÅNGE</t>
        </is>
      </c>
      <c r="G650" t="n">
        <v>1.2</v>
      </c>
      <c r="H650" t="n">
        <v>0</v>
      </c>
      <c r="I650" t="n">
        <v>0</v>
      </c>
      <c r="J650" t="n">
        <v>0</v>
      </c>
      <c r="K650" t="n">
        <v>0</v>
      </c>
      <c r="L650" t="n">
        <v>0</v>
      </c>
      <c r="M650" t="n">
        <v>0</v>
      </c>
      <c r="N650" t="n">
        <v>0</v>
      </c>
      <c r="O650" t="n">
        <v>0</v>
      </c>
      <c r="P650" t="n">
        <v>0</v>
      </c>
      <c r="Q650" t="n">
        <v>0</v>
      </c>
      <c r="R650" s="2" t="inlineStr"/>
    </row>
    <row r="651" ht="15" customHeight="1">
      <c r="A651" t="inlineStr">
        <is>
          <t>A 36240-2025</t>
        </is>
      </c>
      <c r="B651" s="1" t="n">
        <v>45867.55298611111</v>
      </c>
      <c r="C651" s="1" t="n">
        <v>46184</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36236-2025</t>
        </is>
      </c>
      <c r="B652" s="1" t="n">
        <v>45867.55245370371</v>
      </c>
      <c r="C652" s="1" t="n">
        <v>46184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56077-2025</t>
        </is>
      </c>
      <c r="B653" s="1" t="n">
        <v>45973.65759259259</v>
      </c>
      <c r="C653" s="1" t="n">
        <v>46184</v>
      </c>
      <c r="D653" t="inlineStr">
        <is>
          <t>VÄSTERNORRLANDS LÄN</t>
        </is>
      </c>
      <c r="E653" t="inlineStr">
        <is>
          <t>ÅNGE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36248-2025</t>
        </is>
      </c>
      <c r="B654" s="1" t="n">
        <v>45867.57326388889</v>
      </c>
      <c r="C654" s="1" t="n">
        <v>46184</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63530-2023</t>
        </is>
      </c>
      <c r="B655" s="1" t="n">
        <v>45274</v>
      </c>
      <c r="C655" s="1" t="n">
        <v>46184</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36491-2025</t>
        </is>
      </c>
      <c r="B656" s="1" t="n">
        <v>45869.53173611111</v>
      </c>
      <c r="C656" s="1" t="n">
        <v>46184</v>
      </c>
      <c r="D656" t="inlineStr">
        <is>
          <t>VÄSTERNORRLANDS LÄN</t>
        </is>
      </c>
      <c r="E656" t="inlineStr">
        <is>
          <t>ÅNGE</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3249-2024</t>
        </is>
      </c>
      <c r="B657" s="1" t="n">
        <v>45316</v>
      </c>
      <c r="C657" s="1" t="n">
        <v>46184</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36457-2025</t>
        </is>
      </c>
      <c r="B658" s="1" t="n">
        <v>45869.44842592593</v>
      </c>
      <c r="C658" s="1" t="n">
        <v>46184</v>
      </c>
      <c r="D658" t="inlineStr">
        <is>
          <t>VÄSTERNORRLANDS LÄN</t>
        </is>
      </c>
      <c r="E658" t="inlineStr">
        <is>
          <t>ÅNGE</t>
        </is>
      </c>
      <c r="F658" t="inlineStr">
        <is>
          <t>SCA</t>
        </is>
      </c>
      <c r="G658" t="n">
        <v>6.3</v>
      </c>
      <c r="H658" t="n">
        <v>0</v>
      </c>
      <c r="I658" t="n">
        <v>0</v>
      </c>
      <c r="J658" t="n">
        <v>0</v>
      </c>
      <c r="K658" t="n">
        <v>0</v>
      </c>
      <c r="L658" t="n">
        <v>0</v>
      </c>
      <c r="M658" t="n">
        <v>0</v>
      </c>
      <c r="N658" t="n">
        <v>0</v>
      </c>
      <c r="O658" t="n">
        <v>0</v>
      </c>
      <c r="P658" t="n">
        <v>0</v>
      </c>
      <c r="Q658" t="n">
        <v>0</v>
      </c>
      <c r="R658" s="2" t="inlineStr"/>
    </row>
    <row r="659" ht="15" customHeight="1">
      <c r="A659" t="inlineStr">
        <is>
          <t>A 58275-2022</t>
        </is>
      </c>
      <c r="B659" s="1" t="n">
        <v>44901.47865740741</v>
      </c>
      <c r="C659" s="1" t="n">
        <v>46184</v>
      </c>
      <c r="D659" t="inlineStr">
        <is>
          <t>VÄSTERNORRLANDS LÄN</t>
        </is>
      </c>
      <c r="E659" t="inlineStr">
        <is>
          <t>ÅNGE</t>
        </is>
      </c>
      <c r="G659" t="n">
        <v>1</v>
      </c>
      <c r="H659" t="n">
        <v>0</v>
      </c>
      <c r="I659" t="n">
        <v>0</v>
      </c>
      <c r="J659" t="n">
        <v>0</v>
      </c>
      <c r="K659" t="n">
        <v>0</v>
      </c>
      <c r="L659" t="n">
        <v>0</v>
      </c>
      <c r="M659" t="n">
        <v>0</v>
      </c>
      <c r="N659" t="n">
        <v>0</v>
      </c>
      <c r="O659" t="n">
        <v>0</v>
      </c>
      <c r="P659" t="n">
        <v>0</v>
      </c>
      <c r="Q659" t="n">
        <v>0</v>
      </c>
      <c r="R659" s="2" t="inlineStr"/>
    </row>
    <row r="660" ht="15" customHeight="1">
      <c r="A660" t="inlineStr">
        <is>
          <t>A 42948-2024</t>
        </is>
      </c>
      <c r="B660" s="1" t="n">
        <v>45567.36628472222</v>
      </c>
      <c r="C660" s="1" t="n">
        <v>46184</v>
      </c>
      <c r="D660" t="inlineStr">
        <is>
          <t>VÄSTERNORRLANDS LÄN</t>
        </is>
      </c>
      <c r="E660" t="inlineStr">
        <is>
          <t>ÅNGE</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42953-2024</t>
        </is>
      </c>
      <c r="B661" s="1" t="n">
        <v>45567</v>
      </c>
      <c r="C661" s="1" t="n">
        <v>46184</v>
      </c>
      <c r="D661" t="inlineStr">
        <is>
          <t>VÄSTERNORRLANDS LÄN</t>
        </is>
      </c>
      <c r="E661" t="inlineStr">
        <is>
          <t>ÅNGE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42968-2024</t>
        </is>
      </c>
      <c r="B662" s="1" t="n">
        <v>45567</v>
      </c>
      <c r="C662" s="1" t="n">
        <v>46184</v>
      </c>
      <c r="D662" t="inlineStr">
        <is>
          <t>VÄSTERNORRLANDS LÄN</t>
        </is>
      </c>
      <c r="E662" t="inlineStr">
        <is>
          <t>ÅNGE</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56423-2025</t>
        </is>
      </c>
      <c r="B663" s="1" t="n">
        <v>45975.34528935186</v>
      </c>
      <c r="C663" s="1" t="n">
        <v>46184</v>
      </c>
      <c r="D663" t="inlineStr">
        <is>
          <t>VÄSTERNORRLANDS LÄN</t>
        </is>
      </c>
      <c r="E663" t="inlineStr">
        <is>
          <t>ÅNGE</t>
        </is>
      </c>
      <c r="F663" t="inlineStr">
        <is>
          <t>SCA</t>
        </is>
      </c>
      <c r="G663" t="n">
        <v>1.5</v>
      </c>
      <c r="H663" t="n">
        <v>0</v>
      </c>
      <c r="I663" t="n">
        <v>0</v>
      </c>
      <c r="J663" t="n">
        <v>0</v>
      </c>
      <c r="K663" t="n">
        <v>0</v>
      </c>
      <c r="L663" t="n">
        <v>0</v>
      </c>
      <c r="M663" t="n">
        <v>0</v>
      </c>
      <c r="N663" t="n">
        <v>0</v>
      </c>
      <c r="O663" t="n">
        <v>0</v>
      </c>
      <c r="P663" t="n">
        <v>0</v>
      </c>
      <c r="Q663" t="n">
        <v>0</v>
      </c>
      <c r="R663" s="2" t="inlineStr"/>
      <c r="U663">
        <f>HYPERLINK("https://klasma.github.io/Logging_2260/knärot/A 56423-2025 karta knärot.png", "A 56423-2025")</f>
        <v/>
      </c>
      <c r="V663">
        <f>HYPERLINK("https://klasma.github.io/Logging_2260/klagomål/A 56423-2025 FSC-klagomål.docx", "A 56423-2025")</f>
        <v/>
      </c>
      <c r="W663">
        <f>HYPERLINK("https://klasma.github.io/Logging_2260/klagomålsmail/A 56423-2025 FSC-klagomål mail.docx", "A 56423-2025")</f>
        <v/>
      </c>
      <c r="X663">
        <f>HYPERLINK("https://klasma.github.io/Logging_2260/tillsyn/A 56423-2025 tillsynsbegäran.docx", "A 56423-2025")</f>
        <v/>
      </c>
      <c r="Y663">
        <f>HYPERLINK("https://klasma.github.io/Logging_2260/tillsynsmail/A 56423-2025 tillsynsbegäran mail.docx", "A 56423-2025")</f>
        <v/>
      </c>
    </row>
    <row r="664" ht="15" customHeight="1">
      <c r="A664" t="inlineStr">
        <is>
          <t>A 14673-2025</t>
        </is>
      </c>
      <c r="B664" s="1" t="n">
        <v>45742.55309027778</v>
      </c>
      <c r="C664" s="1" t="n">
        <v>46184</v>
      </c>
      <c r="D664" t="inlineStr">
        <is>
          <t>VÄSTERNORRLANDS LÄN</t>
        </is>
      </c>
      <c r="E664" t="inlineStr">
        <is>
          <t>ÅNGE</t>
        </is>
      </c>
      <c r="G664" t="n">
        <v>2.5</v>
      </c>
      <c r="H664" t="n">
        <v>0</v>
      </c>
      <c r="I664" t="n">
        <v>0</v>
      </c>
      <c r="J664" t="n">
        <v>0</v>
      </c>
      <c r="K664" t="n">
        <v>0</v>
      </c>
      <c r="L664" t="n">
        <v>0</v>
      </c>
      <c r="M664" t="n">
        <v>0</v>
      </c>
      <c r="N664" t="n">
        <v>0</v>
      </c>
      <c r="O664" t="n">
        <v>0</v>
      </c>
      <c r="P664" t="n">
        <v>0</v>
      </c>
      <c r="Q664" t="n">
        <v>0</v>
      </c>
      <c r="R664" s="2" t="inlineStr"/>
    </row>
    <row r="665" ht="15" customHeight="1">
      <c r="A665" t="inlineStr">
        <is>
          <t>A 36723-2025</t>
        </is>
      </c>
      <c r="B665" s="1" t="n">
        <v>45873.47770833333</v>
      </c>
      <c r="C665" s="1" t="n">
        <v>46184</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35498-2022</t>
        </is>
      </c>
      <c r="B666" s="1" t="n">
        <v>44798.94810185185</v>
      </c>
      <c r="C666" s="1" t="n">
        <v>46184</v>
      </c>
      <c r="D666" t="inlineStr">
        <is>
          <t>VÄSTERNORRLANDS LÄN</t>
        </is>
      </c>
      <c r="E666" t="inlineStr">
        <is>
          <t>ÅNGE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36674-2025</t>
        </is>
      </c>
      <c r="B667" s="1" t="n">
        <v>45873.3930787037</v>
      </c>
      <c r="C667" s="1" t="n">
        <v>46184</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58613-2023</t>
        </is>
      </c>
      <c r="B668" s="1" t="n">
        <v>45251.50709490741</v>
      </c>
      <c r="C668" s="1" t="n">
        <v>46184</v>
      </c>
      <c r="D668" t="inlineStr">
        <is>
          <t>VÄSTERNORRLANDS LÄN</t>
        </is>
      </c>
      <c r="E668" t="inlineStr">
        <is>
          <t>ÅNGE</t>
        </is>
      </c>
      <c r="F668" t="inlineStr">
        <is>
          <t>Övriga Aktiebolag</t>
        </is>
      </c>
      <c r="G668" t="n">
        <v>1.9</v>
      </c>
      <c r="H668" t="n">
        <v>0</v>
      </c>
      <c r="I668" t="n">
        <v>0</v>
      </c>
      <c r="J668" t="n">
        <v>0</v>
      </c>
      <c r="K668" t="n">
        <v>0</v>
      </c>
      <c r="L668" t="n">
        <v>0</v>
      </c>
      <c r="M668" t="n">
        <v>0</v>
      </c>
      <c r="N668" t="n">
        <v>0</v>
      </c>
      <c r="O668" t="n">
        <v>0</v>
      </c>
      <c r="P668" t="n">
        <v>0</v>
      </c>
      <c r="Q668" t="n">
        <v>0</v>
      </c>
      <c r="R668" s="2" t="inlineStr"/>
    </row>
    <row r="669" ht="15" customHeight="1">
      <c r="A669" t="inlineStr">
        <is>
          <t>A 36740-2025</t>
        </is>
      </c>
      <c r="B669" s="1" t="n">
        <v>45873.53237268519</v>
      </c>
      <c r="C669" s="1" t="n">
        <v>46184</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2299-2025</t>
        </is>
      </c>
      <c r="B670" s="1" t="n">
        <v>45673.59516203704</v>
      </c>
      <c r="C670" s="1" t="n">
        <v>46184</v>
      </c>
      <c r="D670" t="inlineStr">
        <is>
          <t>VÄSTERNORRLANDS LÄN</t>
        </is>
      </c>
      <c r="E670" t="inlineStr">
        <is>
          <t>ÅNGE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31457-2024</t>
        </is>
      </c>
      <c r="B671" s="1" t="n">
        <v>45505</v>
      </c>
      <c r="C671" s="1" t="n">
        <v>46184</v>
      </c>
      <c r="D671" t="inlineStr">
        <is>
          <t>VÄSTERNORRLANDS LÄN</t>
        </is>
      </c>
      <c r="E671" t="inlineStr">
        <is>
          <t>ÅNGE</t>
        </is>
      </c>
      <c r="F671" t="inlineStr">
        <is>
          <t>SCA</t>
        </is>
      </c>
      <c r="G671" t="n">
        <v>5.2</v>
      </c>
      <c r="H671" t="n">
        <v>0</v>
      </c>
      <c r="I671" t="n">
        <v>0</v>
      </c>
      <c r="J671" t="n">
        <v>0</v>
      </c>
      <c r="K671" t="n">
        <v>0</v>
      </c>
      <c r="L671" t="n">
        <v>0</v>
      </c>
      <c r="M671" t="n">
        <v>0</v>
      </c>
      <c r="N671" t="n">
        <v>0</v>
      </c>
      <c r="O671" t="n">
        <v>0</v>
      </c>
      <c r="P671" t="n">
        <v>0</v>
      </c>
      <c r="Q671" t="n">
        <v>0</v>
      </c>
      <c r="R671" s="2" t="inlineStr"/>
    </row>
    <row r="672" ht="15" customHeight="1">
      <c r="A672" t="inlineStr">
        <is>
          <t>A 36456-2025</t>
        </is>
      </c>
      <c r="B672" s="1" t="n">
        <v>45869.44827546296</v>
      </c>
      <c r="C672" s="1" t="n">
        <v>46184</v>
      </c>
      <c r="D672" t="inlineStr">
        <is>
          <t>VÄSTERNORRLANDS LÄN</t>
        </is>
      </c>
      <c r="E672" t="inlineStr">
        <is>
          <t>ÅNGE</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36873-2025</t>
        </is>
      </c>
      <c r="B673" s="1" t="n">
        <v>45874.42935185185</v>
      </c>
      <c r="C673" s="1" t="n">
        <v>46184</v>
      </c>
      <c r="D673" t="inlineStr">
        <is>
          <t>VÄSTERNORRLANDS LÄN</t>
        </is>
      </c>
      <c r="E673" t="inlineStr">
        <is>
          <t>ÅNGE</t>
        </is>
      </c>
      <c r="F673" t="inlineStr">
        <is>
          <t>SCA</t>
        </is>
      </c>
      <c r="G673" t="n">
        <v>16.9</v>
      </c>
      <c r="H673" t="n">
        <v>0</v>
      </c>
      <c r="I673" t="n">
        <v>0</v>
      </c>
      <c r="J673" t="n">
        <v>0</v>
      </c>
      <c r="K673" t="n">
        <v>0</v>
      </c>
      <c r="L673" t="n">
        <v>0</v>
      </c>
      <c r="M673" t="n">
        <v>0</v>
      </c>
      <c r="N673" t="n">
        <v>0</v>
      </c>
      <c r="O673" t="n">
        <v>0</v>
      </c>
      <c r="P673" t="n">
        <v>0</v>
      </c>
      <c r="Q673" t="n">
        <v>0</v>
      </c>
      <c r="R673" s="2" t="inlineStr"/>
    </row>
    <row r="674" ht="15" customHeight="1">
      <c r="A674" t="inlineStr">
        <is>
          <t>A 37045-2025</t>
        </is>
      </c>
      <c r="B674" s="1" t="n">
        <v>45875.34451388889</v>
      </c>
      <c r="C674" s="1" t="n">
        <v>46184</v>
      </c>
      <c r="D674" t="inlineStr">
        <is>
          <t>VÄSTERNORRLANDS LÄN</t>
        </is>
      </c>
      <c r="E674" t="inlineStr">
        <is>
          <t>ÅNGE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37047-2025</t>
        </is>
      </c>
      <c r="B675" s="1" t="n">
        <v>45875.34489583333</v>
      </c>
      <c r="C675" s="1" t="n">
        <v>46184</v>
      </c>
      <c r="D675" t="inlineStr">
        <is>
          <t>VÄSTERNORRLANDS LÄN</t>
        </is>
      </c>
      <c r="E675" t="inlineStr">
        <is>
          <t>ÅNGE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26011-2024</t>
        </is>
      </c>
      <c r="B676" s="1" t="n">
        <v>45467.95828703704</v>
      </c>
      <c r="C676" s="1" t="n">
        <v>46184</v>
      </c>
      <c r="D676" t="inlineStr">
        <is>
          <t>VÄSTERNORRLANDS LÄN</t>
        </is>
      </c>
      <c r="E676" t="inlineStr">
        <is>
          <t>ÅNGE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26014-2024</t>
        </is>
      </c>
      <c r="B677" s="1" t="n">
        <v>45467.95862268518</v>
      </c>
      <c r="C677" s="1" t="n">
        <v>46184</v>
      </c>
      <c r="D677" t="inlineStr">
        <is>
          <t>VÄSTERNORRLANDS LÄN</t>
        </is>
      </c>
      <c r="E677" t="inlineStr">
        <is>
          <t>ÅNGE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3631-2023</t>
        </is>
      </c>
      <c r="B678" s="1" t="n">
        <v>44950</v>
      </c>
      <c r="C678" s="1" t="n">
        <v>46184</v>
      </c>
      <c r="D678" t="inlineStr">
        <is>
          <t>VÄSTERNORRLANDS LÄN</t>
        </is>
      </c>
      <c r="E678" t="inlineStr">
        <is>
          <t>ÅNGE</t>
        </is>
      </c>
      <c r="G678" t="n">
        <v>0.8</v>
      </c>
      <c r="H678" t="n">
        <v>0</v>
      </c>
      <c r="I678" t="n">
        <v>0</v>
      </c>
      <c r="J678" t="n">
        <v>0</v>
      </c>
      <c r="K678" t="n">
        <v>0</v>
      </c>
      <c r="L678" t="n">
        <v>0</v>
      </c>
      <c r="M678" t="n">
        <v>0</v>
      </c>
      <c r="N678" t="n">
        <v>0</v>
      </c>
      <c r="O678" t="n">
        <v>0</v>
      </c>
      <c r="P678" t="n">
        <v>0</v>
      </c>
      <c r="Q678" t="n">
        <v>0</v>
      </c>
      <c r="R678" s="2" t="inlineStr"/>
    </row>
    <row r="679" ht="15" customHeight="1">
      <c r="A679" t="inlineStr">
        <is>
          <t>A 37275-2025</t>
        </is>
      </c>
      <c r="B679" s="1" t="n">
        <v>45876.49003472222</v>
      </c>
      <c r="C679" s="1" t="n">
        <v>46184</v>
      </c>
      <c r="D679" t="inlineStr">
        <is>
          <t>VÄSTERNORRLANDS LÄN</t>
        </is>
      </c>
      <c r="E679" t="inlineStr">
        <is>
          <t>ÅNGE</t>
        </is>
      </c>
      <c r="G679" t="n">
        <v>3.5</v>
      </c>
      <c r="H679" t="n">
        <v>0</v>
      </c>
      <c r="I679" t="n">
        <v>0</v>
      </c>
      <c r="J679" t="n">
        <v>0</v>
      </c>
      <c r="K679" t="n">
        <v>0</v>
      </c>
      <c r="L679" t="n">
        <v>0</v>
      </c>
      <c r="M679" t="n">
        <v>0</v>
      </c>
      <c r="N679" t="n">
        <v>0</v>
      </c>
      <c r="O679" t="n">
        <v>0</v>
      </c>
      <c r="P679" t="n">
        <v>0</v>
      </c>
      <c r="Q679" t="n">
        <v>0</v>
      </c>
      <c r="R679" s="2" t="inlineStr"/>
    </row>
    <row r="680" ht="15" customHeight="1">
      <c r="A680" t="inlineStr">
        <is>
          <t>A 37303-2025</t>
        </is>
      </c>
      <c r="B680" s="1" t="n">
        <v>45876.59445601852</v>
      </c>
      <c r="C680" s="1" t="n">
        <v>46184</v>
      </c>
      <c r="D680" t="inlineStr">
        <is>
          <t>VÄSTERNORRLANDS LÄN</t>
        </is>
      </c>
      <c r="E680" t="inlineStr">
        <is>
          <t>ÅNGE</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37233-2025</t>
        </is>
      </c>
      <c r="B681" s="1" t="n">
        <v>45876.34474537037</v>
      </c>
      <c r="C681" s="1" t="n">
        <v>46184</v>
      </c>
      <c r="D681" t="inlineStr">
        <is>
          <t>VÄSTERNORRLANDS LÄN</t>
        </is>
      </c>
      <c r="E681" t="inlineStr">
        <is>
          <t>ÅNGE</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37384-2025</t>
        </is>
      </c>
      <c r="B682" s="1" t="n">
        <v>45877.3859837963</v>
      </c>
      <c r="C682" s="1" t="n">
        <v>46184</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28779-2023</t>
        </is>
      </c>
      <c r="B683" s="1" t="n">
        <v>45104.34314814815</v>
      </c>
      <c r="C683" s="1" t="n">
        <v>46184</v>
      </c>
      <c r="D683" t="inlineStr">
        <is>
          <t>VÄSTERNORRLANDS LÄN</t>
        </is>
      </c>
      <c r="E683" t="inlineStr">
        <is>
          <t>ÅNGE</t>
        </is>
      </c>
      <c r="G683" t="n">
        <v>1.3</v>
      </c>
      <c r="H683" t="n">
        <v>0</v>
      </c>
      <c r="I683" t="n">
        <v>0</v>
      </c>
      <c r="J683" t="n">
        <v>0</v>
      </c>
      <c r="K683" t="n">
        <v>0</v>
      </c>
      <c r="L683" t="n">
        <v>0</v>
      </c>
      <c r="M683" t="n">
        <v>0</v>
      </c>
      <c r="N683" t="n">
        <v>0</v>
      </c>
      <c r="O683" t="n">
        <v>0</v>
      </c>
      <c r="P683" t="n">
        <v>0</v>
      </c>
      <c r="Q683" t="n">
        <v>0</v>
      </c>
      <c r="R683" s="2" t="inlineStr"/>
    </row>
    <row r="684" ht="15" customHeight="1">
      <c r="A684" t="inlineStr">
        <is>
          <t>A 25311-2023</t>
        </is>
      </c>
      <c r="B684" s="1" t="n">
        <v>45086.93869212963</v>
      </c>
      <c r="C684" s="1" t="n">
        <v>46184</v>
      </c>
      <c r="D684" t="inlineStr">
        <is>
          <t>VÄSTERNORRLANDS LÄN</t>
        </is>
      </c>
      <c r="E684" t="inlineStr">
        <is>
          <t>ÅNGE</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37371-2025</t>
        </is>
      </c>
      <c r="B685" s="1" t="n">
        <v>45877.34472222222</v>
      </c>
      <c r="C685" s="1" t="n">
        <v>46184</v>
      </c>
      <c r="D685" t="inlineStr">
        <is>
          <t>VÄSTERNORRLANDS LÄN</t>
        </is>
      </c>
      <c r="E685" t="inlineStr">
        <is>
          <t>ÅNGE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37383-2025</t>
        </is>
      </c>
      <c r="B686" s="1" t="n">
        <v>45877.38581018519</v>
      </c>
      <c r="C686" s="1" t="n">
        <v>46184</v>
      </c>
      <c r="D686" t="inlineStr">
        <is>
          <t>VÄSTERNORRLANDS LÄN</t>
        </is>
      </c>
      <c r="E686" t="inlineStr">
        <is>
          <t>ÅNGE</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57283-2025</t>
        </is>
      </c>
      <c r="B687" s="1" t="n">
        <v>45979.71918981482</v>
      </c>
      <c r="C687" s="1" t="n">
        <v>46184</v>
      </c>
      <c r="D687" t="inlineStr">
        <is>
          <t>VÄSTERNORRLANDS LÄN</t>
        </is>
      </c>
      <c r="E687" t="inlineStr">
        <is>
          <t>ÅNGE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37663-2025</t>
        </is>
      </c>
      <c r="B688" s="1" t="n">
        <v>45880.51079861111</v>
      </c>
      <c r="C688" s="1" t="n">
        <v>46184</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37723-2025</t>
        </is>
      </c>
      <c r="B689" s="1" t="n">
        <v>45880.61528935185</v>
      </c>
      <c r="C689" s="1" t="n">
        <v>46184</v>
      </c>
      <c r="D689" t="inlineStr">
        <is>
          <t>VÄSTERNORRLANDS LÄN</t>
        </is>
      </c>
      <c r="E689" t="inlineStr">
        <is>
          <t>ÅNGE</t>
        </is>
      </c>
      <c r="G689" t="n">
        <v>3</v>
      </c>
      <c r="H689" t="n">
        <v>0</v>
      </c>
      <c r="I689" t="n">
        <v>0</v>
      </c>
      <c r="J689" t="n">
        <v>0</v>
      </c>
      <c r="K689" t="n">
        <v>0</v>
      </c>
      <c r="L689" t="n">
        <v>0</v>
      </c>
      <c r="M689" t="n">
        <v>0</v>
      </c>
      <c r="N689" t="n">
        <v>0</v>
      </c>
      <c r="O689" t="n">
        <v>0</v>
      </c>
      <c r="P689" t="n">
        <v>0</v>
      </c>
      <c r="Q689" t="n">
        <v>0</v>
      </c>
      <c r="R689" s="2" t="inlineStr"/>
    </row>
    <row r="690" ht="15" customHeight="1">
      <c r="A690" t="inlineStr">
        <is>
          <t>A 34726-2024</t>
        </is>
      </c>
      <c r="B690" s="1" t="n">
        <v>45526.5733912037</v>
      </c>
      <c r="C690" s="1" t="n">
        <v>46184</v>
      </c>
      <c r="D690" t="inlineStr">
        <is>
          <t>VÄSTERNORRLANDS LÄN</t>
        </is>
      </c>
      <c r="E690" t="inlineStr">
        <is>
          <t>ÅNGE</t>
        </is>
      </c>
      <c r="G690" t="n">
        <v>1.9</v>
      </c>
      <c r="H690" t="n">
        <v>0</v>
      </c>
      <c r="I690" t="n">
        <v>0</v>
      </c>
      <c r="J690" t="n">
        <v>0</v>
      </c>
      <c r="K690" t="n">
        <v>0</v>
      </c>
      <c r="L690" t="n">
        <v>0</v>
      </c>
      <c r="M690" t="n">
        <v>0</v>
      </c>
      <c r="N690" t="n">
        <v>0</v>
      </c>
      <c r="O690" t="n">
        <v>0</v>
      </c>
      <c r="P690" t="n">
        <v>0</v>
      </c>
      <c r="Q690" t="n">
        <v>0</v>
      </c>
      <c r="R690" s="2" t="inlineStr"/>
    </row>
    <row r="691" ht="15" customHeight="1">
      <c r="A691" t="inlineStr">
        <is>
          <t>A 28873-2024</t>
        </is>
      </c>
      <c r="B691" s="1" t="n">
        <v>45478.94766203704</v>
      </c>
      <c r="C691" s="1" t="n">
        <v>46184</v>
      </c>
      <c r="D691" t="inlineStr">
        <is>
          <t>VÄSTERNORRLANDS LÄN</t>
        </is>
      </c>
      <c r="E691" t="inlineStr">
        <is>
          <t>ÅNGE</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27682-2023</t>
        </is>
      </c>
      <c r="B692" s="1" t="n">
        <v>45097.93758101852</v>
      </c>
      <c r="C692" s="1" t="n">
        <v>46184</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50612-2024</t>
        </is>
      </c>
      <c r="B693" s="1" t="n">
        <v>45601</v>
      </c>
      <c r="C693" s="1" t="n">
        <v>46184</v>
      </c>
      <c r="D693" t="inlineStr">
        <is>
          <t>VÄSTERNORRLANDS LÄN</t>
        </is>
      </c>
      <c r="E693" t="inlineStr">
        <is>
          <t>ÅNGE</t>
        </is>
      </c>
      <c r="G693" t="n">
        <v>1.9</v>
      </c>
      <c r="H693" t="n">
        <v>0</v>
      </c>
      <c r="I693" t="n">
        <v>0</v>
      </c>
      <c r="J693" t="n">
        <v>0</v>
      </c>
      <c r="K693" t="n">
        <v>0</v>
      </c>
      <c r="L693" t="n">
        <v>0</v>
      </c>
      <c r="M693" t="n">
        <v>0</v>
      </c>
      <c r="N693" t="n">
        <v>0</v>
      </c>
      <c r="O693" t="n">
        <v>0</v>
      </c>
      <c r="P693" t="n">
        <v>0</v>
      </c>
      <c r="Q693" t="n">
        <v>0</v>
      </c>
      <c r="R693" s="2" t="inlineStr"/>
    </row>
    <row r="694" ht="15" customHeight="1">
      <c r="A694" t="inlineStr">
        <is>
          <t>A 57615-2025</t>
        </is>
      </c>
      <c r="B694" s="1" t="n">
        <v>45981.34431712963</v>
      </c>
      <c r="C694" s="1" t="n">
        <v>46184</v>
      </c>
      <c r="D694" t="inlineStr">
        <is>
          <t>VÄSTERNORRLANDS LÄN</t>
        </is>
      </c>
      <c r="E694" t="inlineStr">
        <is>
          <t>ÅNGE</t>
        </is>
      </c>
      <c r="G694" t="n">
        <v>3.4</v>
      </c>
      <c r="H694" t="n">
        <v>0</v>
      </c>
      <c r="I694" t="n">
        <v>0</v>
      </c>
      <c r="J694" t="n">
        <v>0</v>
      </c>
      <c r="K694" t="n">
        <v>0</v>
      </c>
      <c r="L694" t="n">
        <v>0</v>
      </c>
      <c r="M694" t="n">
        <v>0</v>
      </c>
      <c r="N694" t="n">
        <v>0</v>
      </c>
      <c r="O694" t="n">
        <v>0</v>
      </c>
      <c r="P694" t="n">
        <v>0</v>
      </c>
      <c r="Q694" t="n">
        <v>0</v>
      </c>
      <c r="R694" s="2" t="inlineStr"/>
    </row>
    <row r="695" ht="15" customHeight="1">
      <c r="A695" t="inlineStr">
        <is>
          <t>A 38078-2025</t>
        </is>
      </c>
      <c r="B695" s="1" t="n">
        <v>45882.46918981482</v>
      </c>
      <c r="C695" s="1" t="n">
        <v>46184</v>
      </c>
      <c r="D695" t="inlineStr">
        <is>
          <t>VÄSTERNORRLANDS LÄN</t>
        </is>
      </c>
      <c r="E695" t="inlineStr">
        <is>
          <t>ÅNGE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38332-2025</t>
        </is>
      </c>
      <c r="B696" s="1" t="n">
        <v>45883.49151620371</v>
      </c>
      <c r="C696" s="1" t="n">
        <v>46184</v>
      </c>
      <c r="D696" t="inlineStr">
        <is>
          <t>VÄSTERNORRLANDS LÄN</t>
        </is>
      </c>
      <c r="E696" t="inlineStr">
        <is>
          <t>ÅNGE</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56699-2023</t>
        </is>
      </c>
      <c r="B697" s="1" t="n">
        <v>45243</v>
      </c>
      <c r="C697" s="1" t="n">
        <v>46184</v>
      </c>
      <c r="D697" t="inlineStr">
        <is>
          <t>VÄSTERNORRLANDS LÄN</t>
        </is>
      </c>
      <c r="E697" t="inlineStr">
        <is>
          <t>ÅNGE</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38386-2025</t>
        </is>
      </c>
      <c r="B698" s="1" t="n">
        <v>45883.57430555556</v>
      </c>
      <c r="C698" s="1" t="n">
        <v>46184</v>
      </c>
      <c r="D698" t="inlineStr">
        <is>
          <t>VÄSTERNORRLANDS LÄN</t>
        </is>
      </c>
      <c r="E698" t="inlineStr">
        <is>
          <t>ÅNGE</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30751-2024</t>
        </is>
      </c>
      <c r="B699" s="1" t="n">
        <v>45496.69339120371</v>
      </c>
      <c r="C699" s="1" t="n">
        <v>46184</v>
      </c>
      <c r="D699" t="inlineStr">
        <is>
          <t>VÄSTERNORRLANDS LÄN</t>
        </is>
      </c>
      <c r="E699" t="inlineStr">
        <is>
          <t>ÅNGE</t>
        </is>
      </c>
      <c r="G699" t="n">
        <v>0.3</v>
      </c>
      <c r="H699" t="n">
        <v>0</v>
      </c>
      <c r="I699" t="n">
        <v>0</v>
      </c>
      <c r="J699" t="n">
        <v>0</v>
      </c>
      <c r="K699" t="n">
        <v>0</v>
      </c>
      <c r="L699" t="n">
        <v>0</v>
      </c>
      <c r="M699" t="n">
        <v>0</v>
      </c>
      <c r="N699" t="n">
        <v>0</v>
      </c>
      <c r="O699" t="n">
        <v>0</v>
      </c>
      <c r="P699" t="n">
        <v>0</v>
      </c>
      <c r="Q699" t="n">
        <v>0</v>
      </c>
      <c r="R699" s="2" t="inlineStr"/>
    </row>
    <row r="700" ht="15" customHeight="1">
      <c r="A700" t="inlineStr">
        <is>
          <t>A 37802-2025</t>
        </is>
      </c>
      <c r="B700" s="1" t="n">
        <v>45881.34447916667</v>
      </c>
      <c r="C700" s="1" t="n">
        <v>46184</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57371-2025</t>
        </is>
      </c>
      <c r="B701" s="1" t="n">
        <v>45980.38586805556</v>
      </c>
      <c r="C701" s="1" t="n">
        <v>46184</v>
      </c>
      <c r="D701" t="inlineStr">
        <is>
          <t>VÄSTERNORRLANDS LÄN</t>
        </is>
      </c>
      <c r="E701" t="inlineStr">
        <is>
          <t>ÅNGE</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58445-2022</t>
        </is>
      </c>
      <c r="B702" s="1" t="n">
        <v>44901.95453703704</v>
      </c>
      <c r="C702" s="1" t="n">
        <v>46184</v>
      </c>
      <c r="D702" t="inlineStr">
        <is>
          <t>VÄSTERNORRLANDS LÄN</t>
        </is>
      </c>
      <c r="E702" t="inlineStr">
        <is>
          <t>ÅNGE</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57457-2025</t>
        </is>
      </c>
      <c r="B703" s="1" t="n">
        <v>45980.53001157408</v>
      </c>
      <c r="C703" s="1" t="n">
        <v>46184</v>
      </c>
      <c r="D703" t="inlineStr">
        <is>
          <t>VÄSTERNORRLANDS LÄN</t>
        </is>
      </c>
      <c r="E703" t="inlineStr">
        <is>
          <t>ÅNGE</t>
        </is>
      </c>
      <c r="G703" t="n">
        <v>2.4</v>
      </c>
      <c r="H703" t="n">
        <v>0</v>
      </c>
      <c r="I703" t="n">
        <v>0</v>
      </c>
      <c r="J703" t="n">
        <v>0</v>
      </c>
      <c r="K703" t="n">
        <v>0</v>
      </c>
      <c r="L703" t="n">
        <v>0</v>
      </c>
      <c r="M703" t="n">
        <v>0</v>
      </c>
      <c r="N703" t="n">
        <v>0</v>
      </c>
      <c r="O703" t="n">
        <v>0</v>
      </c>
      <c r="P703" t="n">
        <v>0</v>
      </c>
      <c r="Q703" t="n">
        <v>0</v>
      </c>
      <c r="R703" s="2" t="inlineStr"/>
    </row>
    <row r="704" ht="15" customHeight="1">
      <c r="A704" t="inlineStr">
        <is>
          <t>A 25680-2023</t>
        </is>
      </c>
      <c r="B704" s="1" t="n">
        <v>45089</v>
      </c>
      <c r="C704" s="1" t="n">
        <v>46184</v>
      </c>
      <c r="D704" t="inlineStr">
        <is>
          <t>VÄSTERNORRLANDS LÄN</t>
        </is>
      </c>
      <c r="E704" t="inlineStr">
        <is>
          <t>ÅNGE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58524-2025</t>
        </is>
      </c>
      <c r="B705" s="1" t="n">
        <v>45985.7190162037</v>
      </c>
      <c r="C705" s="1" t="n">
        <v>46184</v>
      </c>
      <c r="D705" t="inlineStr">
        <is>
          <t>VÄSTERNORRLANDS LÄN</t>
        </is>
      </c>
      <c r="E705" t="inlineStr">
        <is>
          <t>ÅNGE</t>
        </is>
      </c>
      <c r="G705" t="n">
        <v>2.2</v>
      </c>
      <c r="H705" t="n">
        <v>0</v>
      </c>
      <c r="I705" t="n">
        <v>0</v>
      </c>
      <c r="J705" t="n">
        <v>0</v>
      </c>
      <c r="K705" t="n">
        <v>0</v>
      </c>
      <c r="L705" t="n">
        <v>0</v>
      </c>
      <c r="M705" t="n">
        <v>0</v>
      </c>
      <c r="N705" t="n">
        <v>0</v>
      </c>
      <c r="O705" t="n">
        <v>0</v>
      </c>
      <c r="P705" t="n">
        <v>0</v>
      </c>
      <c r="Q705" t="n">
        <v>0</v>
      </c>
      <c r="R705" s="2" t="inlineStr"/>
    </row>
    <row r="706" ht="15" customHeight="1">
      <c r="A706" t="inlineStr">
        <is>
          <t>A 58366-2025</t>
        </is>
      </c>
      <c r="B706" s="1" t="n">
        <v>45985.52600694444</v>
      </c>
      <c r="C706" s="1" t="n">
        <v>46184</v>
      </c>
      <c r="D706" t="inlineStr">
        <is>
          <t>VÄSTERNORRLANDS LÄN</t>
        </is>
      </c>
      <c r="E706" t="inlineStr">
        <is>
          <t>ÅNGE</t>
        </is>
      </c>
      <c r="G706" t="n">
        <v>2</v>
      </c>
      <c r="H706" t="n">
        <v>0</v>
      </c>
      <c r="I706" t="n">
        <v>0</v>
      </c>
      <c r="J706" t="n">
        <v>0</v>
      </c>
      <c r="K706" t="n">
        <v>0</v>
      </c>
      <c r="L706" t="n">
        <v>0</v>
      </c>
      <c r="M706" t="n">
        <v>0</v>
      </c>
      <c r="N706" t="n">
        <v>0</v>
      </c>
      <c r="O706" t="n">
        <v>0</v>
      </c>
      <c r="P706" t="n">
        <v>0</v>
      </c>
      <c r="Q706" t="n">
        <v>0</v>
      </c>
      <c r="R706" s="2" t="inlineStr"/>
    </row>
    <row r="707" ht="15" customHeight="1">
      <c r="A707" t="inlineStr">
        <is>
          <t>A 18542-2022</t>
        </is>
      </c>
      <c r="B707" s="1" t="n">
        <v>44686</v>
      </c>
      <c r="C707" s="1" t="n">
        <v>46184</v>
      </c>
      <c r="D707" t="inlineStr">
        <is>
          <t>VÄSTERNORRLANDS LÄN</t>
        </is>
      </c>
      <c r="E707" t="inlineStr">
        <is>
          <t>ÅNGE</t>
        </is>
      </c>
      <c r="G707" t="n">
        <v>0.2</v>
      </c>
      <c r="H707" t="n">
        <v>0</v>
      </c>
      <c r="I707" t="n">
        <v>0</v>
      </c>
      <c r="J707" t="n">
        <v>0</v>
      </c>
      <c r="K707" t="n">
        <v>0</v>
      </c>
      <c r="L707" t="n">
        <v>0</v>
      </c>
      <c r="M707" t="n">
        <v>0</v>
      </c>
      <c r="N707" t="n">
        <v>0</v>
      </c>
      <c r="O707" t="n">
        <v>0</v>
      </c>
      <c r="P707" t="n">
        <v>0</v>
      </c>
      <c r="Q707" t="n">
        <v>0</v>
      </c>
      <c r="R707" s="2" t="inlineStr"/>
    </row>
    <row r="708" ht="15" customHeight="1">
      <c r="A708" t="inlineStr">
        <is>
          <t>A 58406-2025</t>
        </is>
      </c>
      <c r="B708" s="1" t="n">
        <v>45985.56913194444</v>
      </c>
      <c r="C708" s="1" t="n">
        <v>46184</v>
      </c>
      <c r="D708" t="inlineStr">
        <is>
          <t>VÄSTERNORRLANDS LÄN</t>
        </is>
      </c>
      <c r="E708" t="inlineStr">
        <is>
          <t>ÅNGE</t>
        </is>
      </c>
      <c r="G708" t="n">
        <v>0.7</v>
      </c>
      <c r="H708" t="n">
        <v>0</v>
      </c>
      <c r="I708" t="n">
        <v>0</v>
      </c>
      <c r="J708" t="n">
        <v>0</v>
      </c>
      <c r="K708" t="n">
        <v>0</v>
      </c>
      <c r="L708" t="n">
        <v>0</v>
      </c>
      <c r="M708" t="n">
        <v>0</v>
      </c>
      <c r="N708" t="n">
        <v>0</v>
      </c>
      <c r="O708" t="n">
        <v>0</v>
      </c>
      <c r="P708" t="n">
        <v>0</v>
      </c>
      <c r="Q708" t="n">
        <v>0</v>
      </c>
      <c r="R708" s="2" t="inlineStr"/>
    </row>
    <row r="709" ht="15" customHeight="1">
      <c r="A709" t="inlineStr">
        <is>
          <t>A 57960-2025</t>
        </is>
      </c>
      <c r="B709" s="1" t="n">
        <v>45982.36494212963</v>
      </c>
      <c r="C709" s="1" t="n">
        <v>46184</v>
      </c>
      <c r="D709" t="inlineStr">
        <is>
          <t>VÄSTERNORRLANDS LÄN</t>
        </is>
      </c>
      <c r="E709" t="inlineStr">
        <is>
          <t>ÅNGE</t>
        </is>
      </c>
      <c r="F709" t="inlineStr">
        <is>
          <t>SCA</t>
        </is>
      </c>
      <c r="G709" t="n">
        <v>0.2</v>
      </c>
      <c r="H709" t="n">
        <v>0</v>
      </c>
      <c r="I709" t="n">
        <v>0</v>
      </c>
      <c r="J709" t="n">
        <v>0</v>
      </c>
      <c r="K709" t="n">
        <v>0</v>
      </c>
      <c r="L709" t="n">
        <v>0</v>
      </c>
      <c r="M709" t="n">
        <v>0</v>
      </c>
      <c r="N709" t="n">
        <v>0</v>
      </c>
      <c r="O709" t="n">
        <v>0</v>
      </c>
      <c r="P709" t="n">
        <v>0</v>
      </c>
      <c r="Q709" t="n">
        <v>0</v>
      </c>
      <c r="R709" s="2" t="inlineStr"/>
    </row>
    <row r="710" ht="15" customHeight="1">
      <c r="A710" t="inlineStr">
        <is>
          <t>A 55007-2022</t>
        </is>
      </c>
      <c r="B710" s="1" t="n">
        <v>44881</v>
      </c>
      <c r="C710" s="1" t="n">
        <v>46184</v>
      </c>
      <c r="D710" t="inlineStr">
        <is>
          <t>VÄSTERNORRLANDS LÄN</t>
        </is>
      </c>
      <c r="E710" t="inlineStr">
        <is>
          <t>ÅNGE</t>
        </is>
      </c>
      <c r="G710" t="n">
        <v>2</v>
      </c>
      <c r="H710" t="n">
        <v>0</v>
      </c>
      <c r="I710" t="n">
        <v>0</v>
      </c>
      <c r="J710" t="n">
        <v>0</v>
      </c>
      <c r="K710" t="n">
        <v>0</v>
      </c>
      <c r="L710" t="n">
        <v>0</v>
      </c>
      <c r="M710" t="n">
        <v>0</v>
      </c>
      <c r="N710" t="n">
        <v>0</v>
      </c>
      <c r="O710" t="n">
        <v>0</v>
      </c>
      <c r="P710" t="n">
        <v>0</v>
      </c>
      <c r="Q710" t="n">
        <v>0</v>
      </c>
      <c r="R710" s="2" t="inlineStr"/>
    </row>
    <row r="711" ht="15" customHeight="1">
      <c r="A711" t="inlineStr">
        <is>
          <t>A 63607-2021</t>
        </is>
      </c>
      <c r="B711" s="1" t="n">
        <v>44508.94650462963</v>
      </c>
      <c r="C711" s="1" t="n">
        <v>46184</v>
      </c>
      <c r="D711" t="inlineStr">
        <is>
          <t>VÄSTERNORRLANDS LÄN</t>
        </is>
      </c>
      <c r="E711" t="inlineStr">
        <is>
          <t>ÅNGE</t>
        </is>
      </c>
      <c r="F711" t="inlineStr">
        <is>
          <t>SCA</t>
        </is>
      </c>
      <c r="G711" t="n">
        <v>6.7</v>
      </c>
      <c r="H711" t="n">
        <v>0</v>
      </c>
      <c r="I711" t="n">
        <v>0</v>
      </c>
      <c r="J711" t="n">
        <v>0</v>
      </c>
      <c r="K711" t="n">
        <v>0</v>
      </c>
      <c r="L711" t="n">
        <v>0</v>
      </c>
      <c r="M711" t="n">
        <v>0</v>
      </c>
      <c r="N711" t="n">
        <v>0</v>
      </c>
      <c r="O711" t="n">
        <v>0</v>
      </c>
      <c r="P711" t="n">
        <v>0</v>
      </c>
      <c r="Q711" t="n">
        <v>0</v>
      </c>
      <c r="R711" s="2" t="inlineStr"/>
    </row>
    <row r="712" ht="15" customHeight="1">
      <c r="A712" t="inlineStr">
        <is>
          <t>A 58388-2025</t>
        </is>
      </c>
      <c r="B712" s="1" t="n">
        <v>45985.54685185185</v>
      </c>
      <c r="C712" s="1" t="n">
        <v>46184</v>
      </c>
      <c r="D712" t="inlineStr">
        <is>
          <t>VÄSTERNORRLANDS LÄN</t>
        </is>
      </c>
      <c r="E712" t="inlineStr">
        <is>
          <t>ÅNGE</t>
        </is>
      </c>
      <c r="G712" t="n">
        <v>1.3</v>
      </c>
      <c r="H712" t="n">
        <v>0</v>
      </c>
      <c r="I712" t="n">
        <v>0</v>
      </c>
      <c r="J712" t="n">
        <v>0</v>
      </c>
      <c r="K712" t="n">
        <v>0</v>
      </c>
      <c r="L712" t="n">
        <v>0</v>
      </c>
      <c r="M712" t="n">
        <v>0</v>
      </c>
      <c r="N712" t="n">
        <v>0</v>
      </c>
      <c r="O712" t="n">
        <v>0</v>
      </c>
      <c r="P712" t="n">
        <v>0</v>
      </c>
      <c r="Q712" t="n">
        <v>0</v>
      </c>
      <c r="R712" s="2" t="inlineStr"/>
    </row>
    <row r="713" ht="15" customHeight="1">
      <c r="A713" t="inlineStr">
        <is>
          <t>A 58486-2025</t>
        </is>
      </c>
      <c r="B713" s="1" t="n">
        <v>45985.65660879629</v>
      </c>
      <c r="C713" s="1" t="n">
        <v>46184</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41222-2024</t>
        </is>
      </c>
      <c r="B714" s="1" t="n">
        <v>45559.55306712963</v>
      </c>
      <c r="C714" s="1" t="n">
        <v>46184</v>
      </c>
      <c r="D714" t="inlineStr">
        <is>
          <t>VÄSTERNORRLANDS LÄN</t>
        </is>
      </c>
      <c r="E714" t="inlineStr">
        <is>
          <t>ÅNGE</t>
        </is>
      </c>
      <c r="G714" t="n">
        <v>0.4</v>
      </c>
      <c r="H714" t="n">
        <v>0</v>
      </c>
      <c r="I714" t="n">
        <v>0</v>
      </c>
      <c r="J714" t="n">
        <v>0</v>
      </c>
      <c r="K714" t="n">
        <v>0</v>
      </c>
      <c r="L714" t="n">
        <v>0</v>
      </c>
      <c r="M714" t="n">
        <v>0</v>
      </c>
      <c r="N714" t="n">
        <v>0</v>
      </c>
      <c r="O714" t="n">
        <v>0</v>
      </c>
      <c r="P714" t="n">
        <v>0</v>
      </c>
      <c r="Q714" t="n">
        <v>0</v>
      </c>
      <c r="R714" s="2" t="inlineStr"/>
    </row>
    <row r="715" ht="15" customHeight="1">
      <c r="A715" t="inlineStr">
        <is>
          <t>A 13706-2023</t>
        </is>
      </c>
      <c r="B715" s="1" t="n">
        <v>45006</v>
      </c>
      <c r="C715" s="1" t="n">
        <v>46184</v>
      </c>
      <c r="D715" t="inlineStr">
        <is>
          <t>VÄSTERNORRLANDS LÄN</t>
        </is>
      </c>
      <c r="E715" t="inlineStr">
        <is>
          <t>ÅNGE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57961-2025</t>
        </is>
      </c>
      <c r="B716" s="1" t="n">
        <v>45982.36502314815</v>
      </c>
      <c r="C716" s="1" t="n">
        <v>46184</v>
      </c>
      <c r="D716" t="inlineStr">
        <is>
          <t>VÄSTERNORRLANDS LÄN</t>
        </is>
      </c>
      <c r="E716" t="inlineStr">
        <is>
          <t>ÅNGE</t>
        </is>
      </c>
      <c r="G716" t="n">
        <v>1.9</v>
      </c>
      <c r="H716" t="n">
        <v>0</v>
      </c>
      <c r="I716" t="n">
        <v>0</v>
      </c>
      <c r="J716" t="n">
        <v>0</v>
      </c>
      <c r="K716" t="n">
        <v>0</v>
      </c>
      <c r="L716" t="n">
        <v>0</v>
      </c>
      <c r="M716" t="n">
        <v>0</v>
      </c>
      <c r="N716" t="n">
        <v>0</v>
      </c>
      <c r="O716" t="n">
        <v>0</v>
      </c>
      <c r="P716" t="n">
        <v>0</v>
      </c>
      <c r="Q716" t="n">
        <v>0</v>
      </c>
      <c r="R716" s="2" t="inlineStr"/>
    </row>
    <row r="717" ht="15" customHeight="1">
      <c r="A717" t="inlineStr">
        <is>
          <t>A 58240-2025</t>
        </is>
      </c>
      <c r="B717" s="1" t="n">
        <v>45985.38796296297</v>
      </c>
      <c r="C717" s="1" t="n">
        <v>46184</v>
      </c>
      <c r="D717" t="inlineStr">
        <is>
          <t>VÄSTERNORRLANDS LÄN</t>
        </is>
      </c>
      <c r="E717" t="inlineStr">
        <is>
          <t>ÅNGE</t>
        </is>
      </c>
      <c r="G717" t="n">
        <v>1.8</v>
      </c>
      <c r="H717" t="n">
        <v>0</v>
      </c>
      <c r="I717" t="n">
        <v>0</v>
      </c>
      <c r="J717" t="n">
        <v>0</v>
      </c>
      <c r="K717" t="n">
        <v>0</v>
      </c>
      <c r="L717" t="n">
        <v>0</v>
      </c>
      <c r="M717" t="n">
        <v>0</v>
      </c>
      <c r="N717" t="n">
        <v>0</v>
      </c>
      <c r="O717" t="n">
        <v>0</v>
      </c>
      <c r="P717" t="n">
        <v>0</v>
      </c>
      <c r="Q717" t="n">
        <v>0</v>
      </c>
      <c r="R717" s="2" t="inlineStr"/>
    </row>
    <row r="718" ht="15" customHeight="1">
      <c r="A718" t="inlineStr">
        <is>
          <t>A 58268-2025</t>
        </is>
      </c>
      <c r="B718" s="1" t="n">
        <v>45985.42450231482</v>
      </c>
      <c r="C718" s="1" t="n">
        <v>46184</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57991-2025</t>
        </is>
      </c>
      <c r="B719" s="1" t="n">
        <v>45982.42438657407</v>
      </c>
      <c r="C719" s="1" t="n">
        <v>46184</v>
      </c>
      <c r="D719" t="inlineStr">
        <is>
          <t>VÄSTERNORRLANDS LÄN</t>
        </is>
      </c>
      <c r="E719" t="inlineStr">
        <is>
          <t>ÅNGE</t>
        </is>
      </c>
      <c r="G719" t="n">
        <v>3.2</v>
      </c>
      <c r="H719" t="n">
        <v>0</v>
      </c>
      <c r="I719" t="n">
        <v>0</v>
      </c>
      <c r="J719" t="n">
        <v>0</v>
      </c>
      <c r="K719" t="n">
        <v>0</v>
      </c>
      <c r="L719" t="n">
        <v>0</v>
      </c>
      <c r="M719" t="n">
        <v>0</v>
      </c>
      <c r="N719" t="n">
        <v>0</v>
      </c>
      <c r="O719" t="n">
        <v>0</v>
      </c>
      <c r="P719" t="n">
        <v>0</v>
      </c>
      <c r="Q719" t="n">
        <v>0</v>
      </c>
      <c r="R719" s="2" t="inlineStr"/>
    </row>
    <row r="720" ht="15" customHeight="1">
      <c r="A720" t="inlineStr">
        <is>
          <t>A 58048-2025</t>
        </is>
      </c>
      <c r="B720" s="1" t="n">
        <v>45982.5109837963</v>
      </c>
      <c r="C720" s="1" t="n">
        <v>46184</v>
      </c>
      <c r="D720" t="inlineStr">
        <is>
          <t>VÄSTERNORRLANDS LÄN</t>
        </is>
      </c>
      <c r="E720" t="inlineStr">
        <is>
          <t>ÅNGE</t>
        </is>
      </c>
      <c r="F720" t="inlineStr">
        <is>
          <t>SCA</t>
        </is>
      </c>
      <c r="G720" t="n">
        <v>6.5</v>
      </c>
      <c r="H720" t="n">
        <v>0</v>
      </c>
      <c r="I720" t="n">
        <v>0</v>
      </c>
      <c r="J720" t="n">
        <v>0</v>
      </c>
      <c r="K720" t="n">
        <v>0</v>
      </c>
      <c r="L720" t="n">
        <v>0</v>
      </c>
      <c r="M720" t="n">
        <v>0</v>
      </c>
      <c r="N720" t="n">
        <v>0</v>
      </c>
      <c r="O720" t="n">
        <v>0</v>
      </c>
      <c r="P720" t="n">
        <v>0</v>
      </c>
      <c r="Q720" t="n">
        <v>0</v>
      </c>
      <c r="R720" s="2" t="inlineStr"/>
    </row>
    <row r="721" ht="15" customHeight="1">
      <c r="A721" t="inlineStr">
        <is>
          <t>A 58242-2025</t>
        </is>
      </c>
      <c r="B721" s="1" t="n">
        <v>45985.38802083334</v>
      </c>
      <c r="C721" s="1" t="n">
        <v>46184</v>
      </c>
      <c r="D721" t="inlineStr">
        <is>
          <t>VÄSTERNORRLANDS LÄN</t>
        </is>
      </c>
      <c r="E721" t="inlineStr">
        <is>
          <t>ÅNGE</t>
        </is>
      </c>
      <c r="G721" t="n">
        <v>2.1</v>
      </c>
      <c r="H721" t="n">
        <v>0</v>
      </c>
      <c r="I721" t="n">
        <v>0</v>
      </c>
      <c r="J721" t="n">
        <v>0</v>
      </c>
      <c r="K721" t="n">
        <v>0</v>
      </c>
      <c r="L721" t="n">
        <v>0</v>
      </c>
      <c r="M721" t="n">
        <v>0</v>
      </c>
      <c r="N721" t="n">
        <v>0</v>
      </c>
      <c r="O721" t="n">
        <v>0</v>
      </c>
      <c r="P721" t="n">
        <v>0</v>
      </c>
      <c r="Q721" t="n">
        <v>0</v>
      </c>
      <c r="R721" s="2" t="inlineStr"/>
    </row>
    <row r="722" ht="15" customHeight="1">
      <c r="A722" t="inlineStr">
        <is>
          <t>A 58639-2025</t>
        </is>
      </c>
      <c r="B722" s="1" t="n">
        <v>45986.49042824074</v>
      </c>
      <c r="C722" s="1" t="n">
        <v>46184</v>
      </c>
      <c r="D722" t="inlineStr">
        <is>
          <t>VÄSTERNORRLANDS LÄN</t>
        </is>
      </c>
      <c r="E722" t="inlineStr">
        <is>
          <t>ÅNGE</t>
        </is>
      </c>
      <c r="G722" t="n">
        <v>2</v>
      </c>
      <c r="H722" t="n">
        <v>0</v>
      </c>
      <c r="I722" t="n">
        <v>0</v>
      </c>
      <c r="J722" t="n">
        <v>0</v>
      </c>
      <c r="K722" t="n">
        <v>0</v>
      </c>
      <c r="L722" t="n">
        <v>0</v>
      </c>
      <c r="M722" t="n">
        <v>0</v>
      </c>
      <c r="N722" t="n">
        <v>0</v>
      </c>
      <c r="O722" t="n">
        <v>0</v>
      </c>
      <c r="P722" t="n">
        <v>0</v>
      </c>
      <c r="Q722" t="n">
        <v>0</v>
      </c>
      <c r="R722" s="2" t="inlineStr"/>
    </row>
    <row r="723" ht="15" customHeight="1">
      <c r="A723" t="inlineStr">
        <is>
          <t>A 58906-2025</t>
        </is>
      </c>
      <c r="B723" s="1" t="n">
        <v>45987.51087962963</v>
      </c>
      <c r="C723" s="1" t="n">
        <v>46184</v>
      </c>
      <c r="D723" t="inlineStr">
        <is>
          <t>VÄSTERNORRLANDS LÄN</t>
        </is>
      </c>
      <c r="E723" t="inlineStr">
        <is>
          <t>ÅNGE</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58585-2025</t>
        </is>
      </c>
      <c r="B724" s="1" t="n">
        <v>45986.39733796296</v>
      </c>
      <c r="C724" s="1" t="n">
        <v>46184</v>
      </c>
      <c r="D724" t="inlineStr">
        <is>
          <t>VÄSTERNORRLANDS LÄN</t>
        </is>
      </c>
      <c r="E724" t="inlineStr">
        <is>
          <t>ÅNGE</t>
        </is>
      </c>
      <c r="G724" t="n">
        <v>3.1</v>
      </c>
      <c r="H724" t="n">
        <v>0</v>
      </c>
      <c r="I724" t="n">
        <v>0</v>
      </c>
      <c r="J724" t="n">
        <v>0</v>
      </c>
      <c r="K724" t="n">
        <v>0</v>
      </c>
      <c r="L724" t="n">
        <v>0</v>
      </c>
      <c r="M724" t="n">
        <v>0</v>
      </c>
      <c r="N724" t="n">
        <v>0</v>
      </c>
      <c r="O724" t="n">
        <v>0</v>
      </c>
      <c r="P724" t="n">
        <v>0</v>
      </c>
      <c r="Q724" t="n">
        <v>0</v>
      </c>
      <c r="R724" s="2" t="inlineStr"/>
    </row>
    <row r="725" ht="15" customHeight="1">
      <c r="A725" t="inlineStr">
        <is>
          <t>A 58599-2025</t>
        </is>
      </c>
      <c r="B725" s="1" t="n">
        <v>45986.42644675926</v>
      </c>
      <c r="C725" s="1" t="n">
        <v>46184</v>
      </c>
      <c r="D725" t="inlineStr">
        <is>
          <t>VÄSTERNORRLANDS LÄN</t>
        </is>
      </c>
      <c r="E725" t="inlineStr">
        <is>
          <t>ÅNGE</t>
        </is>
      </c>
      <c r="G725" t="n">
        <v>2</v>
      </c>
      <c r="H725" t="n">
        <v>0</v>
      </c>
      <c r="I725" t="n">
        <v>0</v>
      </c>
      <c r="J725" t="n">
        <v>0</v>
      </c>
      <c r="K725" t="n">
        <v>0</v>
      </c>
      <c r="L725" t="n">
        <v>0</v>
      </c>
      <c r="M725" t="n">
        <v>0</v>
      </c>
      <c r="N725" t="n">
        <v>0</v>
      </c>
      <c r="O725" t="n">
        <v>0</v>
      </c>
      <c r="P725" t="n">
        <v>0</v>
      </c>
      <c r="Q725" t="n">
        <v>0</v>
      </c>
      <c r="R725" s="2" t="inlineStr"/>
    </row>
    <row r="726" ht="15" customHeight="1">
      <c r="A726" t="inlineStr">
        <is>
          <t>A 58890-2025</t>
        </is>
      </c>
      <c r="B726" s="1" t="n">
        <v>45987.49006944444</v>
      </c>
      <c r="C726" s="1" t="n">
        <v>46184</v>
      </c>
      <c r="D726" t="inlineStr">
        <is>
          <t>VÄSTERNORRLANDS LÄN</t>
        </is>
      </c>
      <c r="E726" t="inlineStr">
        <is>
          <t>ÅNGE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36342-2024</t>
        </is>
      </c>
      <c r="B727" s="1" t="n">
        <v>45534.64315972223</v>
      </c>
      <c r="C727" s="1" t="n">
        <v>46184</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58823-2025</t>
        </is>
      </c>
      <c r="B728" s="1" t="n">
        <v>45987.3453125</v>
      </c>
      <c r="C728" s="1" t="n">
        <v>46184</v>
      </c>
      <c r="D728" t="inlineStr">
        <is>
          <t>VÄSTERNORRLANDS LÄN</t>
        </is>
      </c>
      <c r="E728" t="inlineStr">
        <is>
          <t>ÅNGE</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58536-2025</t>
        </is>
      </c>
      <c r="B729" s="1" t="n">
        <v>45985.83274305556</v>
      </c>
      <c r="C729" s="1" t="n">
        <v>46184</v>
      </c>
      <c r="D729" t="inlineStr">
        <is>
          <t>VÄSTERNORRLANDS LÄN</t>
        </is>
      </c>
      <c r="E729" t="inlineStr">
        <is>
          <t>ÅNGE</t>
        </is>
      </c>
      <c r="G729" t="n">
        <v>2</v>
      </c>
      <c r="H729" t="n">
        <v>0</v>
      </c>
      <c r="I729" t="n">
        <v>0</v>
      </c>
      <c r="J729" t="n">
        <v>0</v>
      </c>
      <c r="K729" t="n">
        <v>0</v>
      </c>
      <c r="L729" t="n">
        <v>0</v>
      </c>
      <c r="M729" t="n">
        <v>0</v>
      </c>
      <c r="N729" t="n">
        <v>0</v>
      </c>
      <c r="O729" t="n">
        <v>0</v>
      </c>
      <c r="P729" t="n">
        <v>0</v>
      </c>
      <c r="Q729" t="n">
        <v>0</v>
      </c>
      <c r="R729" s="2" t="inlineStr"/>
    </row>
    <row r="730" ht="15" customHeight="1">
      <c r="A730" t="inlineStr">
        <is>
          <t>A 59062-2025</t>
        </is>
      </c>
      <c r="B730" s="1" t="n">
        <v>45988.40723379629</v>
      </c>
      <c r="C730" s="1" t="n">
        <v>46184</v>
      </c>
      <c r="D730" t="inlineStr">
        <is>
          <t>VÄSTERNORRLANDS LÄN</t>
        </is>
      </c>
      <c r="E730" t="inlineStr">
        <is>
          <t>ÅNGE</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59064-2025</t>
        </is>
      </c>
      <c r="B731" s="1" t="n">
        <v>45988.40768518519</v>
      </c>
      <c r="C731" s="1" t="n">
        <v>46184</v>
      </c>
      <c r="D731" t="inlineStr">
        <is>
          <t>VÄSTERNORRLANDS LÄN</t>
        </is>
      </c>
      <c r="E731" t="inlineStr">
        <is>
          <t>ÅNGE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59065-2025</t>
        </is>
      </c>
      <c r="B732" s="1" t="n">
        <v>45988.40780092592</v>
      </c>
      <c r="C732" s="1" t="n">
        <v>46184</v>
      </c>
      <c r="D732" t="inlineStr">
        <is>
          <t>VÄSTERNORRLANDS LÄN</t>
        </is>
      </c>
      <c r="E732" t="inlineStr">
        <is>
          <t>ÅNGE</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59063-2025</t>
        </is>
      </c>
      <c r="B733" s="1" t="n">
        <v>45988.40734953704</v>
      </c>
      <c r="C733" s="1" t="n">
        <v>46184</v>
      </c>
      <c r="D733" t="inlineStr">
        <is>
          <t>VÄSTERNORRLANDS LÄN</t>
        </is>
      </c>
      <c r="E733" t="inlineStr">
        <is>
          <t>ÅNGE</t>
        </is>
      </c>
      <c r="F733" t="inlineStr">
        <is>
          <t>SCA</t>
        </is>
      </c>
      <c r="G733" t="n">
        <v>5.7</v>
      </c>
      <c r="H733" t="n">
        <v>0</v>
      </c>
      <c r="I733" t="n">
        <v>0</v>
      </c>
      <c r="J733" t="n">
        <v>0</v>
      </c>
      <c r="K733" t="n">
        <v>0</v>
      </c>
      <c r="L733" t="n">
        <v>0</v>
      </c>
      <c r="M733" t="n">
        <v>0</v>
      </c>
      <c r="N733" t="n">
        <v>0</v>
      </c>
      <c r="O733" t="n">
        <v>0</v>
      </c>
      <c r="P733" t="n">
        <v>0</v>
      </c>
      <c r="Q733" t="n">
        <v>0</v>
      </c>
      <c r="R733" s="2" t="inlineStr"/>
    </row>
    <row r="734" ht="15" customHeight="1">
      <c r="A734" t="inlineStr">
        <is>
          <t>A 59023-2025</t>
        </is>
      </c>
      <c r="B734" s="1" t="n">
        <v>45988</v>
      </c>
      <c r="C734" s="1" t="n">
        <v>46184</v>
      </c>
      <c r="D734" t="inlineStr">
        <is>
          <t>VÄSTERNORRLANDS LÄN</t>
        </is>
      </c>
      <c r="E734" t="inlineStr">
        <is>
          <t>ÅNGE</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59259-2025</t>
        </is>
      </c>
      <c r="B735" s="1" t="n">
        <v>45988.65748842592</v>
      </c>
      <c r="C735" s="1" t="n">
        <v>46184</v>
      </c>
      <c r="D735" t="inlineStr">
        <is>
          <t>VÄSTERNORRLANDS LÄN</t>
        </is>
      </c>
      <c r="E735" t="inlineStr">
        <is>
          <t>ÅNGE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59319-2025</t>
        </is>
      </c>
      <c r="B736" s="1" t="n">
        <v>45989.33283564815</v>
      </c>
      <c r="C736" s="1" t="n">
        <v>46184</v>
      </c>
      <c r="D736" t="inlineStr">
        <is>
          <t>VÄSTERNORRLANDS LÄN</t>
        </is>
      </c>
      <c r="E736" t="inlineStr">
        <is>
          <t>ÅNGE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59331-2025</t>
        </is>
      </c>
      <c r="B737" s="1" t="n">
        <v>45989.35978009259</v>
      </c>
      <c r="C737" s="1" t="n">
        <v>46184</v>
      </c>
      <c r="D737" t="inlineStr">
        <is>
          <t>VÄSTERNORRLANDS LÄN</t>
        </is>
      </c>
      <c r="E737" t="inlineStr">
        <is>
          <t>ÅNGE</t>
        </is>
      </c>
      <c r="G737" t="n">
        <v>0.7</v>
      </c>
      <c r="H737" t="n">
        <v>0</v>
      </c>
      <c r="I737" t="n">
        <v>0</v>
      </c>
      <c r="J737" t="n">
        <v>0</v>
      </c>
      <c r="K737" t="n">
        <v>0</v>
      </c>
      <c r="L737" t="n">
        <v>0</v>
      </c>
      <c r="M737" t="n">
        <v>0</v>
      </c>
      <c r="N737" t="n">
        <v>0</v>
      </c>
      <c r="O737" t="n">
        <v>0</v>
      </c>
      <c r="P737" t="n">
        <v>0</v>
      </c>
      <c r="Q737" t="n">
        <v>0</v>
      </c>
      <c r="R737" s="2" t="inlineStr"/>
    </row>
    <row r="738" ht="15" customHeight="1">
      <c r="A738" t="inlineStr">
        <is>
          <t>A 59022-2025</t>
        </is>
      </c>
      <c r="B738" s="1" t="n">
        <v>45988</v>
      </c>
      <c r="C738" s="1" t="n">
        <v>46184</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41781-2024</t>
        </is>
      </c>
      <c r="B739" s="1" t="n">
        <v>45561.34938657407</v>
      </c>
      <c r="C739" s="1" t="n">
        <v>46184</v>
      </c>
      <c r="D739" t="inlineStr">
        <is>
          <t>VÄSTERNORRLANDS LÄN</t>
        </is>
      </c>
      <c r="E739" t="inlineStr">
        <is>
          <t>ÅNGE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59815-2025</t>
        </is>
      </c>
      <c r="B740" s="1" t="n">
        <v>45992.6359837963</v>
      </c>
      <c r="C740" s="1" t="n">
        <v>46184</v>
      </c>
      <c r="D740" t="inlineStr">
        <is>
          <t>VÄSTERNORRLANDS LÄN</t>
        </is>
      </c>
      <c r="E740" t="inlineStr">
        <is>
          <t>ÅNGE</t>
        </is>
      </c>
      <c r="G740" t="n">
        <v>2.2</v>
      </c>
      <c r="H740" t="n">
        <v>0</v>
      </c>
      <c r="I740" t="n">
        <v>0</v>
      </c>
      <c r="J740" t="n">
        <v>0</v>
      </c>
      <c r="K740" t="n">
        <v>0</v>
      </c>
      <c r="L740" t="n">
        <v>0</v>
      </c>
      <c r="M740" t="n">
        <v>0</v>
      </c>
      <c r="N740" t="n">
        <v>0</v>
      </c>
      <c r="O740" t="n">
        <v>0</v>
      </c>
      <c r="P740" t="n">
        <v>0</v>
      </c>
      <c r="Q740" t="n">
        <v>0</v>
      </c>
      <c r="R740" s="2" t="inlineStr"/>
    </row>
    <row r="741" ht="15" customHeight="1">
      <c r="A741" t="inlineStr">
        <is>
          <t>A 3330-2025</t>
        </is>
      </c>
      <c r="B741" s="1" t="n">
        <v>45679.70041666667</v>
      </c>
      <c r="C741" s="1" t="n">
        <v>46184</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60079-2025</t>
        </is>
      </c>
      <c r="B742" s="1" t="n">
        <v>45993.6834375</v>
      </c>
      <c r="C742" s="1" t="n">
        <v>46184</v>
      </c>
      <c r="D742" t="inlineStr">
        <is>
          <t>VÄSTERNORRLANDS LÄN</t>
        </is>
      </c>
      <c r="E742" t="inlineStr">
        <is>
          <t>ÅNGE</t>
        </is>
      </c>
      <c r="G742" t="n">
        <v>3.6</v>
      </c>
      <c r="H742" t="n">
        <v>0</v>
      </c>
      <c r="I742" t="n">
        <v>0</v>
      </c>
      <c r="J742" t="n">
        <v>0</v>
      </c>
      <c r="K742" t="n">
        <v>0</v>
      </c>
      <c r="L742" t="n">
        <v>0</v>
      </c>
      <c r="M742" t="n">
        <v>0</v>
      </c>
      <c r="N742" t="n">
        <v>0</v>
      </c>
      <c r="O742" t="n">
        <v>0</v>
      </c>
      <c r="P742" t="n">
        <v>0</v>
      </c>
      <c r="Q742" t="n">
        <v>0</v>
      </c>
      <c r="R742" s="2" t="inlineStr"/>
    </row>
    <row r="743" ht="15" customHeight="1">
      <c r="A743" t="inlineStr">
        <is>
          <t>A 59641-2025</t>
        </is>
      </c>
      <c r="B743" s="1" t="n">
        <v>45992.4175925926</v>
      </c>
      <c r="C743" s="1" t="n">
        <v>46184</v>
      </c>
      <c r="D743" t="inlineStr">
        <is>
          <t>VÄSTERNORRLANDS LÄN</t>
        </is>
      </c>
      <c r="E743" t="inlineStr">
        <is>
          <t>ÅNGE</t>
        </is>
      </c>
      <c r="G743" t="n">
        <v>6.2</v>
      </c>
      <c r="H743" t="n">
        <v>0</v>
      </c>
      <c r="I743" t="n">
        <v>0</v>
      </c>
      <c r="J743" t="n">
        <v>0</v>
      </c>
      <c r="K743" t="n">
        <v>0</v>
      </c>
      <c r="L743" t="n">
        <v>0</v>
      </c>
      <c r="M743" t="n">
        <v>0</v>
      </c>
      <c r="N743" t="n">
        <v>0</v>
      </c>
      <c r="O743" t="n">
        <v>0</v>
      </c>
      <c r="P743" t="n">
        <v>0</v>
      </c>
      <c r="Q743" t="n">
        <v>0</v>
      </c>
      <c r="R743" s="2" t="inlineStr"/>
    </row>
    <row r="744" ht="15" customHeight="1">
      <c r="A744" t="inlineStr">
        <is>
          <t>A 60061-2025</t>
        </is>
      </c>
      <c r="B744" s="1" t="n">
        <v>45993.65673611111</v>
      </c>
      <c r="C744" s="1" t="n">
        <v>46184</v>
      </c>
      <c r="D744" t="inlineStr">
        <is>
          <t>VÄSTERNORRLANDS LÄN</t>
        </is>
      </c>
      <c r="E744" t="inlineStr">
        <is>
          <t>ÅNGE</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41831-2021</t>
        </is>
      </c>
      <c r="B745" s="1" t="n">
        <v>44425.92212962963</v>
      </c>
      <c r="C745" s="1" t="n">
        <v>46184</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32922-2024</t>
        </is>
      </c>
      <c r="B746" s="1" t="n">
        <v>45516.95263888889</v>
      </c>
      <c r="C746" s="1" t="n">
        <v>46184</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60119-2025</t>
        </is>
      </c>
      <c r="B747" s="1" t="n">
        <v>45994.33081018519</v>
      </c>
      <c r="C747" s="1" t="n">
        <v>46184</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60134-2025</t>
        </is>
      </c>
      <c r="B748" s="1" t="n">
        <v>45994.34793981481</v>
      </c>
      <c r="C748" s="1" t="n">
        <v>46184</v>
      </c>
      <c r="D748" t="inlineStr">
        <is>
          <t>VÄSTERNORRLANDS LÄN</t>
        </is>
      </c>
      <c r="E748" t="inlineStr">
        <is>
          <t>ÅNGE</t>
        </is>
      </c>
      <c r="G748" t="n">
        <v>5.1</v>
      </c>
      <c r="H748" t="n">
        <v>0</v>
      </c>
      <c r="I748" t="n">
        <v>0</v>
      </c>
      <c r="J748" t="n">
        <v>0</v>
      </c>
      <c r="K748" t="n">
        <v>0</v>
      </c>
      <c r="L748" t="n">
        <v>0</v>
      </c>
      <c r="M748" t="n">
        <v>0</v>
      </c>
      <c r="N748" t="n">
        <v>0</v>
      </c>
      <c r="O748" t="n">
        <v>0</v>
      </c>
      <c r="P748" t="n">
        <v>0</v>
      </c>
      <c r="Q748" t="n">
        <v>0</v>
      </c>
      <c r="R748" s="2" t="inlineStr"/>
    </row>
    <row r="749" ht="15" customHeight="1">
      <c r="A749" t="inlineStr">
        <is>
          <t>A 60342-2025</t>
        </is>
      </c>
      <c r="B749" s="1" t="n">
        <v>45994.86804398148</v>
      </c>
      <c r="C749" s="1" t="n">
        <v>46184</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60124-2025</t>
        </is>
      </c>
      <c r="B750" s="1" t="n">
        <v>45994.33722222222</v>
      </c>
      <c r="C750" s="1" t="n">
        <v>46184</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60286-2025</t>
        </is>
      </c>
      <c r="B751" s="1" t="n">
        <v>45994.64612268518</v>
      </c>
      <c r="C751" s="1" t="n">
        <v>46184</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60520-2025</t>
        </is>
      </c>
      <c r="B752" s="1" t="n">
        <v>45995.63694444444</v>
      </c>
      <c r="C752" s="1" t="n">
        <v>46184</v>
      </c>
      <c r="D752" t="inlineStr">
        <is>
          <t>VÄSTERNORRLANDS LÄN</t>
        </is>
      </c>
      <c r="E752" t="inlineStr">
        <is>
          <t>ÅNGE</t>
        </is>
      </c>
      <c r="G752" t="n">
        <v>0.4</v>
      </c>
      <c r="H752" t="n">
        <v>0</v>
      </c>
      <c r="I752" t="n">
        <v>0</v>
      </c>
      <c r="J752" t="n">
        <v>0</v>
      </c>
      <c r="K752" t="n">
        <v>0</v>
      </c>
      <c r="L752" t="n">
        <v>0</v>
      </c>
      <c r="M752" t="n">
        <v>0</v>
      </c>
      <c r="N752" t="n">
        <v>0</v>
      </c>
      <c r="O752" t="n">
        <v>0</v>
      </c>
      <c r="P752" t="n">
        <v>0</v>
      </c>
      <c r="Q752" t="n">
        <v>0</v>
      </c>
      <c r="R752" s="2" t="inlineStr"/>
    </row>
    <row r="753" ht="15" customHeight="1">
      <c r="A753" t="inlineStr">
        <is>
          <t>A 60403-2025</t>
        </is>
      </c>
      <c r="B753" s="1" t="n">
        <v>45995.42762731481</v>
      </c>
      <c r="C753" s="1" t="n">
        <v>46184</v>
      </c>
      <c r="D753" t="inlineStr">
        <is>
          <t>VÄSTERNORRLANDS LÄN</t>
        </is>
      </c>
      <c r="E753" t="inlineStr">
        <is>
          <t>ÅNGE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60590-2025</t>
        </is>
      </c>
      <c r="B754" s="1" t="n">
        <v>45994</v>
      </c>
      <c r="C754" s="1" t="n">
        <v>46184</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60604-2025</t>
        </is>
      </c>
      <c r="B755" s="1" t="n">
        <v>45995</v>
      </c>
      <c r="C755" s="1" t="n">
        <v>46184</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60422-2025</t>
        </is>
      </c>
      <c r="B756" s="1" t="n">
        <v>45995.46922453704</v>
      </c>
      <c r="C756" s="1" t="n">
        <v>46184</v>
      </c>
      <c r="D756" t="inlineStr">
        <is>
          <t>VÄSTERNORRLANDS LÄN</t>
        </is>
      </c>
      <c r="E756" t="inlineStr">
        <is>
          <t>ÅNGE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60402-2025</t>
        </is>
      </c>
      <c r="B757" s="1" t="n">
        <v>45995.4262962963</v>
      </c>
      <c r="C757" s="1" t="n">
        <v>46184</v>
      </c>
      <c r="D757" t="inlineStr">
        <is>
          <t>VÄSTERNORRLANDS LÄN</t>
        </is>
      </c>
      <c r="E757" t="inlineStr">
        <is>
          <t>ÅNGE</t>
        </is>
      </c>
      <c r="G757" t="n">
        <v>2.1</v>
      </c>
      <c r="H757" t="n">
        <v>0</v>
      </c>
      <c r="I757" t="n">
        <v>0</v>
      </c>
      <c r="J757" t="n">
        <v>0</v>
      </c>
      <c r="K757" t="n">
        <v>0</v>
      </c>
      <c r="L757" t="n">
        <v>0</v>
      </c>
      <c r="M757" t="n">
        <v>0</v>
      </c>
      <c r="N757" t="n">
        <v>0</v>
      </c>
      <c r="O757" t="n">
        <v>0</v>
      </c>
      <c r="P757" t="n">
        <v>0</v>
      </c>
      <c r="Q757" t="n">
        <v>0</v>
      </c>
      <c r="R757" s="2" t="inlineStr"/>
    </row>
    <row r="758" ht="15" customHeight="1">
      <c r="A758" t="inlineStr">
        <is>
          <t>A 60278-2025</t>
        </is>
      </c>
      <c r="B758" s="1" t="n">
        <v>45994.63739583334</v>
      </c>
      <c r="C758" s="1" t="n">
        <v>46184</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60582-2025</t>
        </is>
      </c>
      <c r="B759" s="1" t="n">
        <v>45994</v>
      </c>
      <c r="C759" s="1" t="n">
        <v>46184</v>
      </c>
      <c r="D759" t="inlineStr">
        <is>
          <t>VÄSTERNORRLANDS LÄN</t>
        </is>
      </c>
      <c r="E759" t="inlineStr">
        <is>
          <t>ÅNGE</t>
        </is>
      </c>
      <c r="G759" t="n">
        <v>2.6</v>
      </c>
      <c r="H759" t="n">
        <v>0</v>
      </c>
      <c r="I759" t="n">
        <v>0</v>
      </c>
      <c r="J759" t="n">
        <v>0</v>
      </c>
      <c r="K759" t="n">
        <v>0</v>
      </c>
      <c r="L759" t="n">
        <v>0</v>
      </c>
      <c r="M759" t="n">
        <v>0</v>
      </c>
      <c r="N759" t="n">
        <v>0</v>
      </c>
      <c r="O759" t="n">
        <v>0</v>
      </c>
      <c r="P759" t="n">
        <v>0</v>
      </c>
      <c r="Q759" t="n">
        <v>0</v>
      </c>
      <c r="R759" s="2" t="inlineStr"/>
    </row>
    <row r="760" ht="15" customHeight="1">
      <c r="A760" t="inlineStr">
        <is>
          <t>A 60599-2025</t>
        </is>
      </c>
      <c r="B760" s="1" t="n">
        <v>45994</v>
      </c>
      <c r="C760" s="1" t="n">
        <v>46184</v>
      </c>
      <c r="D760" t="inlineStr">
        <is>
          <t>VÄSTERNORRLANDS LÄN</t>
        </is>
      </c>
      <c r="E760" t="inlineStr">
        <is>
          <t>ÅNGE</t>
        </is>
      </c>
      <c r="G760" t="n">
        <v>5</v>
      </c>
      <c r="H760" t="n">
        <v>0</v>
      </c>
      <c r="I760" t="n">
        <v>0</v>
      </c>
      <c r="J760" t="n">
        <v>0</v>
      </c>
      <c r="K760" t="n">
        <v>0</v>
      </c>
      <c r="L760" t="n">
        <v>0</v>
      </c>
      <c r="M760" t="n">
        <v>0</v>
      </c>
      <c r="N760" t="n">
        <v>0</v>
      </c>
      <c r="O760" t="n">
        <v>0</v>
      </c>
      <c r="P760" t="n">
        <v>0</v>
      </c>
      <c r="Q760" t="n">
        <v>0</v>
      </c>
      <c r="R760" s="2" t="inlineStr"/>
    </row>
    <row r="761" ht="15" customHeight="1">
      <c r="A761" t="inlineStr">
        <is>
          <t>A 60296-2025</t>
        </is>
      </c>
      <c r="B761" s="1" t="n">
        <v>45994.6568287037</v>
      </c>
      <c r="C761" s="1" t="n">
        <v>46184</v>
      </c>
      <c r="D761" t="inlineStr">
        <is>
          <t>VÄSTERNORRLANDS LÄN</t>
        </is>
      </c>
      <c r="E761" t="inlineStr">
        <is>
          <t>ÅNGE</t>
        </is>
      </c>
      <c r="G761" t="n">
        <v>0.4</v>
      </c>
      <c r="H761" t="n">
        <v>0</v>
      </c>
      <c r="I761" t="n">
        <v>0</v>
      </c>
      <c r="J761" t="n">
        <v>0</v>
      </c>
      <c r="K761" t="n">
        <v>0</v>
      </c>
      <c r="L761" t="n">
        <v>0</v>
      </c>
      <c r="M761" t="n">
        <v>0</v>
      </c>
      <c r="N761" t="n">
        <v>0</v>
      </c>
      <c r="O761" t="n">
        <v>0</v>
      </c>
      <c r="P761" t="n">
        <v>0</v>
      </c>
      <c r="Q761" t="n">
        <v>0</v>
      </c>
      <c r="R761" s="2" t="inlineStr"/>
    </row>
    <row r="762" ht="15" customHeight="1">
      <c r="A762" t="inlineStr">
        <is>
          <t>A 10282-2025</t>
        </is>
      </c>
      <c r="B762" s="1" t="n">
        <v>45720.40659722222</v>
      </c>
      <c r="C762" s="1" t="n">
        <v>46184</v>
      </c>
      <c r="D762" t="inlineStr">
        <is>
          <t>VÄSTERNORRLANDS LÄN</t>
        </is>
      </c>
      <c r="E762" t="inlineStr">
        <is>
          <t>ÅNGE</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60864-2025</t>
        </is>
      </c>
      <c r="B763" s="1" t="n">
        <v>45999.53170138889</v>
      </c>
      <c r="C763" s="1" t="n">
        <v>46184</v>
      </c>
      <c r="D763" t="inlineStr">
        <is>
          <t>VÄSTERNORRLANDS LÄN</t>
        </is>
      </c>
      <c r="E763" t="inlineStr">
        <is>
          <t>ÅNGE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61500-2025</t>
        </is>
      </c>
      <c r="B764" s="1" t="n">
        <v>46001.65667824074</v>
      </c>
      <c r="C764" s="1" t="n">
        <v>46184</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51055-2023</t>
        </is>
      </c>
      <c r="B765" s="1" t="n">
        <v>45218</v>
      </c>
      <c r="C765" s="1" t="n">
        <v>46184</v>
      </c>
      <c r="D765" t="inlineStr">
        <is>
          <t>VÄSTERNORRLANDS LÄN</t>
        </is>
      </c>
      <c r="E765" t="inlineStr">
        <is>
          <t>ÅNGE</t>
        </is>
      </c>
      <c r="G765" t="n">
        <v>1.3</v>
      </c>
      <c r="H765" t="n">
        <v>0</v>
      </c>
      <c r="I765" t="n">
        <v>0</v>
      </c>
      <c r="J765" t="n">
        <v>0</v>
      </c>
      <c r="K765" t="n">
        <v>0</v>
      </c>
      <c r="L765" t="n">
        <v>0</v>
      </c>
      <c r="M765" t="n">
        <v>0</v>
      </c>
      <c r="N765" t="n">
        <v>0</v>
      </c>
      <c r="O765" t="n">
        <v>0</v>
      </c>
      <c r="P765" t="n">
        <v>0</v>
      </c>
      <c r="Q765" t="n">
        <v>0</v>
      </c>
      <c r="R765" s="2" t="inlineStr"/>
    </row>
    <row r="766" ht="15" customHeight="1">
      <c r="A766" t="inlineStr">
        <is>
          <t>A 61075-2025</t>
        </is>
      </c>
      <c r="B766" s="1" t="n">
        <v>46000.3959837963</v>
      </c>
      <c r="C766" s="1" t="n">
        <v>46184</v>
      </c>
      <c r="D766" t="inlineStr">
        <is>
          <t>VÄSTERNORRLANDS LÄN</t>
        </is>
      </c>
      <c r="E766" t="inlineStr">
        <is>
          <t>ÅNGE</t>
        </is>
      </c>
      <c r="F766" t="inlineStr">
        <is>
          <t>Holmen skog AB</t>
        </is>
      </c>
      <c r="G766" t="n">
        <v>7.9</v>
      </c>
      <c r="H766" t="n">
        <v>0</v>
      </c>
      <c r="I766" t="n">
        <v>0</v>
      </c>
      <c r="J766" t="n">
        <v>0</v>
      </c>
      <c r="K766" t="n">
        <v>0</v>
      </c>
      <c r="L766" t="n">
        <v>0</v>
      </c>
      <c r="M766" t="n">
        <v>0</v>
      </c>
      <c r="N766" t="n">
        <v>0</v>
      </c>
      <c r="O766" t="n">
        <v>0</v>
      </c>
      <c r="P766" t="n">
        <v>0</v>
      </c>
      <c r="Q766" t="n">
        <v>0</v>
      </c>
      <c r="R766" s="2" t="inlineStr"/>
    </row>
    <row r="767" ht="15" customHeight="1">
      <c r="A767" t="inlineStr">
        <is>
          <t>A 5455-2023</t>
        </is>
      </c>
      <c r="B767" s="1" t="n">
        <v>44959.93983796296</v>
      </c>
      <c r="C767" s="1" t="n">
        <v>46184</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61203-2025</t>
        </is>
      </c>
      <c r="B768" s="1" t="n">
        <v>46000.61237268519</v>
      </c>
      <c r="C768" s="1" t="n">
        <v>46184</v>
      </c>
      <c r="D768" t="inlineStr">
        <is>
          <t>VÄSTERNORRLANDS LÄN</t>
        </is>
      </c>
      <c r="E768" t="inlineStr">
        <is>
          <t>ÅNGE</t>
        </is>
      </c>
      <c r="G768" t="n">
        <v>0.9</v>
      </c>
      <c r="H768" t="n">
        <v>0</v>
      </c>
      <c r="I768" t="n">
        <v>0</v>
      </c>
      <c r="J768" t="n">
        <v>0</v>
      </c>
      <c r="K768" t="n">
        <v>0</v>
      </c>
      <c r="L768" t="n">
        <v>0</v>
      </c>
      <c r="M768" t="n">
        <v>0</v>
      </c>
      <c r="N768" t="n">
        <v>0</v>
      </c>
      <c r="O768" t="n">
        <v>0</v>
      </c>
      <c r="P768" t="n">
        <v>0</v>
      </c>
      <c r="Q768" t="n">
        <v>0</v>
      </c>
      <c r="R768" s="2" t="inlineStr"/>
    </row>
    <row r="769" ht="15" customHeight="1">
      <c r="A769" t="inlineStr">
        <is>
          <t>A 43775-2022</t>
        </is>
      </c>
      <c r="B769" s="1" t="n">
        <v>44837.95053240741</v>
      </c>
      <c r="C769" s="1" t="n">
        <v>46184</v>
      </c>
      <c r="D769" t="inlineStr">
        <is>
          <t>VÄSTERNORRLANDS LÄN</t>
        </is>
      </c>
      <c r="E769" t="inlineStr">
        <is>
          <t>ÅNGE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10687-2022</t>
        </is>
      </c>
      <c r="B770" s="1" t="n">
        <v>44624.92684027777</v>
      </c>
      <c r="C770" s="1" t="n">
        <v>46184</v>
      </c>
      <c r="D770" t="inlineStr">
        <is>
          <t>VÄSTERNORRLANDS LÄN</t>
        </is>
      </c>
      <c r="E770" t="inlineStr">
        <is>
          <t>ÅNGE</t>
        </is>
      </c>
      <c r="G770" t="n">
        <v>0.7</v>
      </c>
      <c r="H770" t="n">
        <v>0</v>
      </c>
      <c r="I770" t="n">
        <v>0</v>
      </c>
      <c r="J770" t="n">
        <v>0</v>
      </c>
      <c r="K770" t="n">
        <v>0</v>
      </c>
      <c r="L770" t="n">
        <v>0</v>
      </c>
      <c r="M770" t="n">
        <v>0</v>
      </c>
      <c r="N770" t="n">
        <v>0</v>
      </c>
      <c r="O770" t="n">
        <v>0</v>
      </c>
      <c r="P770" t="n">
        <v>0</v>
      </c>
      <c r="Q770" t="n">
        <v>0</v>
      </c>
      <c r="R770" s="2" t="inlineStr"/>
    </row>
    <row r="771" ht="15" customHeight="1">
      <c r="A771" t="inlineStr">
        <is>
          <t>A 61308-2025</t>
        </is>
      </c>
      <c r="B771" s="1" t="n">
        <v>46000.81952546296</v>
      </c>
      <c r="C771" s="1" t="n">
        <v>46184</v>
      </c>
      <c r="D771" t="inlineStr">
        <is>
          <t>VÄSTERNORRLANDS LÄN</t>
        </is>
      </c>
      <c r="E771" t="inlineStr">
        <is>
          <t>ÅNGE</t>
        </is>
      </c>
      <c r="G771" t="n">
        <v>1.2</v>
      </c>
      <c r="H771" t="n">
        <v>0</v>
      </c>
      <c r="I771" t="n">
        <v>0</v>
      </c>
      <c r="J771" t="n">
        <v>0</v>
      </c>
      <c r="K771" t="n">
        <v>0</v>
      </c>
      <c r="L771" t="n">
        <v>0</v>
      </c>
      <c r="M771" t="n">
        <v>0</v>
      </c>
      <c r="N771" t="n">
        <v>0</v>
      </c>
      <c r="O771" t="n">
        <v>0</v>
      </c>
      <c r="P771" t="n">
        <v>0</v>
      </c>
      <c r="Q771" t="n">
        <v>0</v>
      </c>
      <c r="R771" s="2" t="inlineStr"/>
    </row>
    <row r="772" ht="15" customHeight="1">
      <c r="A772" t="inlineStr">
        <is>
          <t>A 61349-2025</t>
        </is>
      </c>
      <c r="B772" s="1" t="n">
        <v>46001.3866087963</v>
      </c>
      <c r="C772" s="1" t="n">
        <v>46184</v>
      </c>
      <c r="D772" t="inlineStr">
        <is>
          <t>VÄSTERNORRLANDS LÄN</t>
        </is>
      </c>
      <c r="E772" t="inlineStr">
        <is>
          <t>ÅNGE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16915-2024</t>
        </is>
      </c>
      <c r="B773" s="1" t="n">
        <v>45411.65185185185</v>
      </c>
      <c r="C773" s="1" t="n">
        <v>46184</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61321-2025</t>
        </is>
      </c>
      <c r="B774" s="1" t="n">
        <v>46000.96894675926</v>
      </c>
      <c r="C774" s="1" t="n">
        <v>46184</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61332-2025</t>
        </is>
      </c>
      <c r="B775" s="1" t="n">
        <v>46001.34416666667</v>
      </c>
      <c r="C775" s="1" t="n">
        <v>46184</v>
      </c>
      <c r="D775" t="inlineStr">
        <is>
          <t>VÄSTERNORRLANDS LÄN</t>
        </is>
      </c>
      <c r="E775" t="inlineStr">
        <is>
          <t>ÅNGE</t>
        </is>
      </c>
      <c r="G775" t="n">
        <v>3.2</v>
      </c>
      <c r="H775" t="n">
        <v>0</v>
      </c>
      <c r="I775" t="n">
        <v>0</v>
      </c>
      <c r="J775" t="n">
        <v>0</v>
      </c>
      <c r="K775" t="n">
        <v>0</v>
      </c>
      <c r="L775" t="n">
        <v>0</v>
      </c>
      <c r="M775" t="n">
        <v>0</v>
      </c>
      <c r="N775" t="n">
        <v>0</v>
      </c>
      <c r="O775" t="n">
        <v>0</v>
      </c>
      <c r="P775" t="n">
        <v>0</v>
      </c>
      <c r="Q775" t="n">
        <v>0</v>
      </c>
      <c r="R775" s="2" t="inlineStr"/>
    </row>
    <row r="776" ht="15" customHeight="1">
      <c r="A776" t="inlineStr">
        <is>
          <t>A 57560-2023</t>
        </is>
      </c>
      <c r="B776" s="1" t="n">
        <v>45243</v>
      </c>
      <c r="C776" s="1" t="n">
        <v>46184</v>
      </c>
      <c r="D776" t="inlineStr">
        <is>
          <t>VÄSTERNORRLANDS LÄN</t>
        </is>
      </c>
      <c r="E776" t="inlineStr">
        <is>
          <t>ÅNGE</t>
        </is>
      </c>
      <c r="G776" t="n">
        <v>7.4</v>
      </c>
      <c r="H776" t="n">
        <v>0</v>
      </c>
      <c r="I776" t="n">
        <v>0</v>
      </c>
      <c r="J776" t="n">
        <v>0</v>
      </c>
      <c r="K776" t="n">
        <v>0</v>
      </c>
      <c r="L776" t="n">
        <v>0</v>
      </c>
      <c r="M776" t="n">
        <v>0</v>
      </c>
      <c r="N776" t="n">
        <v>0</v>
      </c>
      <c r="O776" t="n">
        <v>0</v>
      </c>
      <c r="P776" t="n">
        <v>0</v>
      </c>
      <c r="Q776" t="n">
        <v>0</v>
      </c>
      <c r="R776" s="2" t="inlineStr"/>
    </row>
    <row r="777" ht="15" customHeight="1">
      <c r="A777" t="inlineStr">
        <is>
          <t>A 16576-2023</t>
        </is>
      </c>
      <c r="B777" s="1" t="n">
        <v>45029.94251157407</v>
      </c>
      <c r="C777" s="1" t="n">
        <v>46184</v>
      </c>
      <c r="D777" t="inlineStr">
        <is>
          <t>VÄSTERNORRLANDS LÄN</t>
        </is>
      </c>
      <c r="E777" t="inlineStr">
        <is>
          <t>ÅNGE</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61857-2025</t>
        </is>
      </c>
      <c r="B778" s="1" t="n">
        <v>46003.3862962963</v>
      </c>
      <c r="C778" s="1" t="n">
        <v>46184</v>
      </c>
      <c r="D778" t="inlineStr">
        <is>
          <t>VÄSTERNORRLANDS LÄN</t>
        </is>
      </c>
      <c r="E778" t="inlineStr">
        <is>
          <t>ÅNGE</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4359-2025</t>
        </is>
      </c>
      <c r="B779" s="1" t="n">
        <v>45686.33072916666</v>
      </c>
      <c r="C779" s="1" t="n">
        <v>46184</v>
      </c>
      <c r="D779" t="inlineStr">
        <is>
          <t>VÄSTERNORRLANDS LÄN</t>
        </is>
      </c>
      <c r="E779" t="inlineStr">
        <is>
          <t>ÅNGE</t>
        </is>
      </c>
      <c r="F779" t="inlineStr">
        <is>
          <t>Holmen skog AB</t>
        </is>
      </c>
      <c r="G779" t="n">
        <v>22</v>
      </c>
      <c r="H779" t="n">
        <v>0</v>
      </c>
      <c r="I779" t="n">
        <v>0</v>
      </c>
      <c r="J779" t="n">
        <v>0</v>
      </c>
      <c r="K779" t="n">
        <v>0</v>
      </c>
      <c r="L779" t="n">
        <v>0</v>
      </c>
      <c r="M779" t="n">
        <v>0</v>
      </c>
      <c r="N779" t="n">
        <v>0</v>
      </c>
      <c r="O779" t="n">
        <v>0</v>
      </c>
      <c r="P779" t="n">
        <v>0</v>
      </c>
      <c r="Q779" t="n">
        <v>0</v>
      </c>
      <c r="R779" s="2" t="inlineStr"/>
    </row>
    <row r="780" ht="15" customHeight="1">
      <c r="A780" t="inlineStr">
        <is>
          <t>A 24797-2024</t>
        </is>
      </c>
      <c r="B780" s="1" t="n">
        <v>45460.95269675926</v>
      </c>
      <c r="C780" s="1" t="n">
        <v>46184</v>
      </c>
      <c r="D780" t="inlineStr">
        <is>
          <t>VÄSTERNORRLANDS LÄN</t>
        </is>
      </c>
      <c r="E780" t="inlineStr">
        <is>
          <t>ÅNGE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34629-2025</t>
        </is>
      </c>
      <c r="B781" s="1" t="n">
        <v>45847.93006944445</v>
      </c>
      <c r="C781" s="1" t="n">
        <v>46184</v>
      </c>
      <c r="D781" t="inlineStr">
        <is>
          <t>VÄSTERNORRLANDS LÄN</t>
        </is>
      </c>
      <c r="E781" t="inlineStr">
        <is>
          <t>ÅNGE</t>
        </is>
      </c>
      <c r="G781" t="n">
        <v>0.2</v>
      </c>
      <c r="H781" t="n">
        <v>0</v>
      </c>
      <c r="I781" t="n">
        <v>0</v>
      </c>
      <c r="J781" t="n">
        <v>0</v>
      </c>
      <c r="K781" t="n">
        <v>0</v>
      </c>
      <c r="L781" t="n">
        <v>0</v>
      </c>
      <c r="M781" t="n">
        <v>0</v>
      </c>
      <c r="N781" t="n">
        <v>0</v>
      </c>
      <c r="O781" t="n">
        <v>0</v>
      </c>
      <c r="P781" t="n">
        <v>0</v>
      </c>
      <c r="Q781" t="n">
        <v>0</v>
      </c>
      <c r="R781" s="2" t="inlineStr"/>
    </row>
    <row r="782" ht="15" customHeight="1">
      <c r="A782" t="inlineStr">
        <is>
          <t>A 32069-2023</t>
        </is>
      </c>
      <c r="B782" s="1" t="n">
        <v>45107</v>
      </c>
      <c r="C782" s="1" t="n">
        <v>46184</v>
      </c>
      <c r="D782" t="inlineStr">
        <is>
          <t>VÄSTERNORRLANDS LÄN</t>
        </is>
      </c>
      <c r="E782" t="inlineStr">
        <is>
          <t>ÅNGE</t>
        </is>
      </c>
      <c r="G782" t="n">
        <v>4.4</v>
      </c>
      <c r="H782" t="n">
        <v>0</v>
      </c>
      <c r="I782" t="n">
        <v>0</v>
      </c>
      <c r="J782" t="n">
        <v>0</v>
      </c>
      <c r="K782" t="n">
        <v>0</v>
      </c>
      <c r="L782" t="n">
        <v>0</v>
      </c>
      <c r="M782" t="n">
        <v>0</v>
      </c>
      <c r="N782" t="n">
        <v>0</v>
      </c>
      <c r="O782" t="n">
        <v>0</v>
      </c>
      <c r="P782" t="n">
        <v>0</v>
      </c>
      <c r="Q782" t="n">
        <v>0</v>
      </c>
      <c r="R782" s="2" t="inlineStr"/>
    </row>
    <row r="783" ht="15" customHeight="1">
      <c r="A783" t="inlineStr">
        <is>
          <t>A 26013-2024</t>
        </is>
      </c>
      <c r="B783" s="1" t="n">
        <v>45467</v>
      </c>
      <c r="C783" s="1" t="n">
        <v>46184</v>
      </c>
      <c r="D783" t="inlineStr">
        <is>
          <t>VÄSTERNORRLANDS LÄN</t>
        </is>
      </c>
      <c r="E783" t="inlineStr">
        <is>
          <t>ÅNGE</t>
        </is>
      </c>
      <c r="F783" t="inlineStr">
        <is>
          <t>SCA</t>
        </is>
      </c>
      <c r="G783" t="n">
        <v>6.8</v>
      </c>
      <c r="H783" t="n">
        <v>0</v>
      </c>
      <c r="I783" t="n">
        <v>0</v>
      </c>
      <c r="J783" t="n">
        <v>0</v>
      </c>
      <c r="K783" t="n">
        <v>0</v>
      </c>
      <c r="L783" t="n">
        <v>0</v>
      </c>
      <c r="M783" t="n">
        <v>0</v>
      </c>
      <c r="N783" t="n">
        <v>0</v>
      </c>
      <c r="O783" t="n">
        <v>0</v>
      </c>
      <c r="P783" t="n">
        <v>0</v>
      </c>
      <c r="Q783" t="n">
        <v>0</v>
      </c>
      <c r="R783" s="2" t="inlineStr"/>
    </row>
    <row r="784" ht="15" customHeight="1">
      <c r="A784" t="inlineStr">
        <is>
          <t>A 62101-2025</t>
        </is>
      </c>
      <c r="B784" s="1" t="n">
        <v>46006.40664351852</v>
      </c>
      <c r="C784" s="1" t="n">
        <v>46184</v>
      </c>
      <c r="D784" t="inlineStr">
        <is>
          <t>VÄSTERNORRLANDS LÄN</t>
        </is>
      </c>
      <c r="E784" t="inlineStr">
        <is>
          <t>ÅNGE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62257-2025</t>
        </is>
      </c>
      <c r="B785" s="1" t="n">
        <v>46006.61524305555</v>
      </c>
      <c r="C785" s="1" t="n">
        <v>46184</v>
      </c>
      <c r="D785" t="inlineStr">
        <is>
          <t>VÄSTERNORRLANDS LÄN</t>
        </is>
      </c>
      <c r="E785" t="inlineStr">
        <is>
          <t>ÅNGE</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62160-2025</t>
        </is>
      </c>
      <c r="B786" s="1" t="n">
        <v>46006.49094907408</v>
      </c>
      <c r="C786" s="1" t="n">
        <v>46184</v>
      </c>
      <c r="D786" t="inlineStr">
        <is>
          <t>VÄSTERNORRLANDS LÄN</t>
        </is>
      </c>
      <c r="E786" t="inlineStr">
        <is>
          <t>ÅNGE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62084-2025</t>
        </is>
      </c>
      <c r="B787" s="1" t="n">
        <v>46006.37449074074</v>
      </c>
      <c r="C787" s="1" t="n">
        <v>46184</v>
      </c>
      <c r="D787" t="inlineStr">
        <is>
          <t>VÄSTERNORRLANDS LÄN</t>
        </is>
      </c>
      <c r="E787" t="inlineStr">
        <is>
          <t>ÅNGE</t>
        </is>
      </c>
      <c r="G787" t="n">
        <v>1.8</v>
      </c>
      <c r="H787" t="n">
        <v>0</v>
      </c>
      <c r="I787" t="n">
        <v>0</v>
      </c>
      <c r="J787" t="n">
        <v>0</v>
      </c>
      <c r="K787" t="n">
        <v>0</v>
      </c>
      <c r="L787" t="n">
        <v>0</v>
      </c>
      <c r="M787" t="n">
        <v>0</v>
      </c>
      <c r="N787" t="n">
        <v>0</v>
      </c>
      <c r="O787" t="n">
        <v>0</v>
      </c>
      <c r="P787" t="n">
        <v>0</v>
      </c>
      <c r="Q787" t="n">
        <v>0</v>
      </c>
      <c r="R787" s="2" t="inlineStr"/>
    </row>
    <row r="788" ht="15" customHeight="1">
      <c r="A788" t="inlineStr">
        <is>
          <t>A 16903-2024</t>
        </is>
      </c>
      <c r="B788" s="1" t="n">
        <v>45411.63106481481</v>
      </c>
      <c r="C788" s="1" t="n">
        <v>46184</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32439-2024</t>
        </is>
      </c>
      <c r="B789" s="1" t="n">
        <v>45512</v>
      </c>
      <c r="C789" s="1" t="n">
        <v>46184</v>
      </c>
      <c r="D789" t="inlineStr">
        <is>
          <t>VÄSTERNORRLANDS LÄN</t>
        </is>
      </c>
      <c r="E789" t="inlineStr">
        <is>
          <t>ÅNGE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16572-2023</t>
        </is>
      </c>
      <c r="B790" s="1" t="n">
        <v>45029.94224537037</v>
      </c>
      <c r="C790" s="1" t="n">
        <v>46184</v>
      </c>
      <c r="D790" t="inlineStr">
        <is>
          <t>VÄSTERNORRLANDS LÄN</t>
        </is>
      </c>
      <c r="E790" t="inlineStr">
        <is>
          <t>ÅNGE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62661-2025</t>
        </is>
      </c>
      <c r="B791" s="1" t="n">
        <v>46008.42761574074</v>
      </c>
      <c r="C791" s="1" t="n">
        <v>46184</v>
      </c>
      <c r="D791" t="inlineStr">
        <is>
          <t>VÄSTERNORRLANDS LÄN</t>
        </is>
      </c>
      <c r="E791" t="inlineStr">
        <is>
          <t>ÅNGE</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3256-2024</t>
        </is>
      </c>
      <c r="B792" s="1" t="n">
        <v>45316</v>
      </c>
      <c r="C792" s="1" t="n">
        <v>46184</v>
      </c>
      <c r="D792" t="inlineStr">
        <is>
          <t>VÄSTERNORRLANDS LÄN</t>
        </is>
      </c>
      <c r="E792" t="inlineStr">
        <is>
          <t>ÅNGE</t>
        </is>
      </c>
      <c r="G792" t="n">
        <v>3.7</v>
      </c>
      <c r="H792" t="n">
        <v>0</v>
      </c>
      <c r="I792" t="n">
        <v>0</v>
      </c>
      <c r="J792" t="n">
        <v>0</v>
      </c>
      <c r="K792" t="n">
        <v>0</v>
      </c>
      <c r="L792" t="n">
        <v>0</v>
      </c>
      <c r="M792" t="n">
        <v>0</v>
      </c>
      <c r="N792" t="n">
        <v>0</v>
      </c>
      <c r="O792" t="n">
        <v>0</v>
      </c>
      <c r="P792" t="n">
        <v>0</v>
      </c>
      <c r="Q792" t="n">
        <v>0</v>
      </c>
      <c r="R792" s="2" t="inlineStr"/>
    </row>
    <row r="793" ht="15" customHeight="1">
      <c r="A793" t="inlineStr">
        <is>
          <t>A 63092-2025</t>
        </is>
      </c>
      <c r="B793" s="1" t="n">
        <v>46009.67795138889</v>
      </c>
      <c r="C793" s="1" t="n">
        <v>46184</v>
      </c>
      <c r="D793" t="inlineStr">
        <is>
          <t>VÄSTERNORRLANDS LÄN</t>
        </is>
      </c>
      <c r="E793" t="inlineStr">
        <is>
          <t>ÅNGE</t>
        </is>
      </c>
      <c r="G793" t="n">
        <v>2.6</v>
      </c>
      <c r="H793" t="n">
        <v>0</v>
      </c>
      <c r="I793" t="n">
        <v>0</v>
      </c>
      <c r="J793" t="n">
        <v>0</v>
      </c>
      <c r="K793" t="n">
        <v>0</v>
      </c>
      <c r="L793" t="n">
        <v>0</v>
      </c>
      <c r="M793" t="n">
        <v>0</v>
      </c>
      <c r="N793" t="n">
        <v>0</v>
      </c>
      <c r="O793" t="n">
        <v>0</v>
      </c>
      <c r="P793" t="n">
        <v>0</v>
      </c>
      <c r="Q793" t="n">
        <v>0</v>
      </c>
      <c r="R793" s="2" t="inlineStr"/>
    </row>
    <row r="794" ht="15" customHeight="1">
      <c r="A794" t="inlineStr">
        <is>
          <t>A 62763-2025</t>
        </is>
      </c>
      <c r="B794" s="1" t="n">
        <v>46008.59434027778</v>
      </c>
      <c r="C794" s="1" t="n">
        <v>46184</v>
      </c>
      <c r="D794" t="inlineStr">
        <is>
          <t>VÄSTERNORRLANDS LÄN</t>
        </is>
      </c>
      <c r="E794" t="inlineStr">
        <is>
          <t>ÅNGE</t>
        </is>
      </c>
      <c r="F794" t="inlineStr">
        <is>
          <t>SCA</t>
        </is>
      </c>
      <c r="G794" t="n">
        <v>7.6</v>
      </c>
      <c r="H794" t="n">
        <v>0</v>
      </c>
      <c r="I794" t="n">
        <v>0</v>
      </c>
      <c r="J794" t="n">
        <v>0</v>
      </c>
      <c r="K794" t="n">
        <v>0</v>
      </c>
      <c r="L794" t="n">
        <v>0</v>
      </c>
      <c r="M794" t="n">
        <v>0</v>
      </c>
      <c r="N794" t="n">
        <v>0</v>
      </c>
      <c r="O794" t="n">
        <v>0</v>
      </c>
      <c r="P794" t="n">
        <v>0</v>
      </c>
      <c r="Q794" t="n">
        <v>0</v>
      </c>
      <c r="R794" s="2" t="inlineStr"/>
    </row>
    <row r="795" ht="15" customHeight="1">
      <c r="A795" t="inlineStr">
        <is>
          <t>A 62793-2025</t>
        </is>
      </c>
      <c r="B795" s="1" t="n">
        <v>46008.63625</v>
      </c>
      <c r="C795" s="1" t="n">
        <v>46184</v>
      </c>
      <c r="D795" t="inlineStr">
        <is>
          <t>VÄSTERNORRLANDS LÄN</t>
        </is>
      </c>
      <c r="E795" t="inlineStr">
        <is>
          <t>ÅNGE</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57287-2022</t>
        </is>
      </c>
      <c r="B796" s="1" t="n">
        <v>44895.95</v>
      </c>
      <c r="C796" s="1" t="n">
        <v>46184</v>
      </c>
      <c r="D796" t="inlineStr">
        <is>
          <t>VÄSTERNORRLANDS LÄN</t>
        </is>
      </c>
      <c r="E796" t="inlineStr">
        <is>
          <t>ÅNGE</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1090-2023</t>
        </is>
      </c>
      <c r="B797" s="1" t="n">
        <v>44929</v>
      </c>
      <c r="C797" s="1" t="n">
        <v>46184</v>
      </c>
      <c r="D797" t="inlineStr">
        <is>
          <t>VÄSTERNORRLANDS LÄN</t>
        </is>
      </c>
      <c r="E797" t="inlineStr">
        <is>
          <t>ÅNGE</t>
        </is>
      </c>
      <c r="G797" t="n">
        <v>0.7</v>
      </c>
      <c r="H797" t="n">
        <v>0</v>
      </c>
      <c r="I797" t="n">
        <v>0</v>
      </c>
      <c r="J797" t="n">
        <v>0</v>
      </c>
      <c r="K797" t="n">
        <v>0</v>
      </c>
      <c r="L797" t="n">
        <v>0</v>
      </c>
      <c r="M797" t="n">
        <v>0</v>
      </c>
      <c r="N797" t="n">
        <v>0</v>
      </c>
      <c r="O797" t="n">
        <v>0</v>
      </c>
      <c r="P797" t="n">
        <v>0</v>
      </c>
      <c r="Q797" t="n">
        <v>0</v>
      </c>
      <c r="R797" s="2" t="inlineStr"/>
    </row>
    <row r="798" ht="15" customHeight="1">
      <c r="A798" t="inlineStr">
        <is>
          <t>A 1116-2023</t>
        </is>
      </c>
      <c r="B798" s="1" t="n">
        <v>44929</v>
      </c>
      <c r="C798" s="1" t="n">
        <v>46184</v>
      </c>
      <c r="D798" t="inlineStr">
        <is>
          <t>VÄSTERNORRLANDS LÄN</t>
        </is>
      </c>
      <c r="E798" t="inlineStr">
        <is>
          <t>ÅNGE</t>
        </is>
      </c>
      <c r="G798" t="n">
        <v>17.2</v>
      </c>
      <c r="H798" t="n">
        <v>0</v>
      </c>
      <c r="I798" t="n">
        <v>0</v>
      </c>
      <c r="J798" t="n">
        <v>0</v>
      </c>
      <c r="K798" t="n">
        <v>0</v>
      </c>
      <c r="L798" t="n">
        <v>0</v>
      </c>
      <c r="M798" t="n">
        <v>0</v>
      </c>
      <c r="N798" t="n">
        <v>0</v>
      </c>
      <c r="O798" t="n">
        <v>0</v>
      </c>
      <c r="P798" t="n">
        <v>0</v>
      </c>
      <c r="Q798" t="n">
        <v>0</v>
      </c>
      <c r="R798" s="2" t="inlineStr"/>
    </row>
    <row r="799" ht="15" customHeight="1">
      <c r="A799" t="inlineStr">
        <is>
          <t>A 51609-2023</t>
        </is>
      </c>
      <c r="B799" s="1" t="n">
        <v>45215</v>
      </c>
      <c r="C799" s="1" t="n">
        <v>46184</v>
      </c>
      <c r="D799" t="inlineStr">
        <is>
          <t>VÄSTERNORRLANDS LÄN</t>
        </is>
      </c>
      <c r="E799" t="inlineStr">
        <is>
          <t>ÅNGE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27661-2024</t>
        </is>
      </c>
      <c r="B800" s="1" t="n">
        <v>45474.95365740741</v>
      </c>
      <c r="C800" s="1" t="n">
        <v>46184</v>
      </c>
      <c r="D800" t="inlineStr">
        <is>
          <t>VÄSTERNORRLANDS LÄN</t>
        </is>
      </c>
      <c r="E800" t="inlineStr">
        <is>
          <t>ÅNGE</t>
        </is>
      </c>
      <c r="F800" t="inlineStr">
        <is>
          <t>SCA</t>
        </is>
      </c>
      <c r="G800" t="n">
        <v>19.1</v>
      </c>
      <c r="H800" t="n">
        <v>0</v>
      </c>
      <c r="I800" t="n">
        <v>0</v>
      </c>
      <c r="J800" t="n">
        <v>0</v>
      </c>
      <c r="K800" t="n">
        <v>0</v>
      </c>
      <c r="L800" t="n">
        <v>0</v>
      </c>
      <c r="M800" t="n">
        <v>0</v>
      </c>
      <c r="N800" t="n">
        <v>0</v>
      </c>
      <c r="O800" t="n">
        <v>0</v>
      </c>
      <c r="P800" t="n">
        <v>0</v>
      </c>
      <c r="Q800" t="n">
        <v>0</v>
      </c>
      <c r="R800" s="2" t="inlineStr"/>
    </row>
    <row r="801" ht="15" customHeight="1">
      <c r="A801" t="inlineStr">
        <is>
          <t>A 27668-2024</t>
        </is>
      </c>
      <c r="B801" s="1" t="n">
        <v>45474.95435185185</v>
      </c>
      <c r="C801" s="1" t="n">
        <v>46184</v>
      </c>
      <c r="D801" t="inlineStr">
        <is>
          <t>VÄSTERNORRLANDS LÄN</t>
        </is>
      </c>
      <c r="E801" t="inlineStr">
        <is>
          <t>ÅNGE</t>
        </is>
      </c>
      <c r="F801" t="inlineStr">
        <is>
          <t>SCA</t>
        </is>
      </c>
      <c r="G801" t="n">
        <v>5.5</v>
      </c>
      <c r="H801" t="n">
        <v>0</v>
      </c>
      <c r="I801" t="n">
        <v>0</v>
      </c>
      <c r="J801" t="n">
        <v>0</v>
      </c>
      <c r="K801" t="n">
        <v>0</v>
      </c>
      <c r="L801" t="n">
        <v>0</v>
      </c>
      <c r="M801" t="n">
        <v>0</v>
      </c>
      <c r="N801" t="n">
        <v>0</v>
      </c>
      <c r="O801" t="n">
        <v>0</v>
      </c>
      <c r="P801" t="n">
        <v>0</v>
      </c>
      <c r="Q801" t="n">
        <v>0</v>
      </c>
      <c r="R801" s="2" t="inlineStr"/>
    </row>
    <row r="802" ht="15" customHeight="1">
      <c r="A802" t="inlineStr">
        <is>
          <t>A 62336-2025</t>
        </is>
      </c>
      <c r="B802" s="1" t="n">
        <v>46006</v>
      </c>
      <c r="C802" s="1" t="n">
        <v>46184</v>
      </c>
      <c r="D802" t="inlineStr">
        <is>
          <t>VÄSTERNORRLANDS LÄN</t>
        </is>
      </c>
      <c r="E802" t="inlineStr">
        <is>
          <t>ÅNGE</t>
        </is>
      </c>
      <c r="G802" t="n">
        <v>13.4</v>
      </c>
      <c r="H802" t="n">
        <v>0</v>
      </c>
      <c r="I802" t="n">
        <v>0</v>
      </c>
      <c r="J802" t="n">
        <v>0</v>
      </c>
      <c r="K802" t="n">
        <v>0</v>
      </c>
      <c r="L802" t="n">
        <v>0</v>
      </c>
      <c r="M802" t="n">
        <v>0</v>
      </c>
      <c r="N802" t="n">
        <v>0</v>
      </c>
      <c r="O802" t="n">
        <v>0</v>
      </c>
      <c r="P802" t="n">
        <v>0</v>
      </c>
      <c r="Q802" t="n">
        <v>0</v>
      </c>
      <c r="R802" s="2" t="inlineStr"/>
    </row>
    <row r="803" ht="15" customHeight="1">
      <c r="A803" t="inlineStr">
        <is>
          <t>A 12021-2022</t>
        </is>
      </c>
      <c r="B803" s="1" t="n">
        <v>44635</v>
      </c>
      <c r="C803" s="1" t="n">
        <v>46184</v>
      </c>
      <c r="D803" t="inlineStr">
        <is>
          <t>VÄSTERNORRLANDS LÄN</t>
        </is>
      </c>
      <c r="E803" t="inlineStr">
        <is>
          <t>ÅNGE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4095-2023</t>
        </is>
      </c>
      <c r="B804" s="1" t="n">
        <v>44952</v>
      </c>
      <c r="C804" s="1" t="n">
        <v>46184</v>
      </c>
      <c r="D804" t="inlineStr">
        <is>
          <t>VÄSTERNORRLANDS LÄN</t>
        </is>
      </c>
      <c r="E804" t="inlineStr">
        <is>
          <t>ÅNGE</t>
        </is>
      </c>
      <c r="G804" t="n">
        <v>13.4</v>
      </c>
      <c r="H804" t="n">
        <v>0</v>
      </c>
      <c r="I804" t="n">
        <v>0</v>
      </c>
      <c r="J804" t="n">
        <v>0</v>
      </c>
      <c r="K804" t="n">
        <v>0</v>
      </c>
      <c r="L804" t="n">
        <v>0</v>
      </c>
      <c r="M804" t="n">
        <v>0</v>
      </c>
      <c r="N804" t="n">
        <v>0</v>
      </c>
      <c r="O804" t="n">
        <v>0</v>
      </c>
      <c r="P804" t="n">
        <v>0</v>
      </c>
      <c r="Q804" t="n">
        <v>0</v>
      </c>
      <c r="R804" s="2" t="inlineStr"/>
    </row>
    <row r="805" ht="15" customHeight="1">
      <c r="A805" t="inlineStr">
        <is>
          <t>A 63686-2025</t>
        </is>
      </c>
      <c r="B805" s="1" t="n">
        <v>46014.53172453704</v>
      </c>
      <c r="C805" s="1" t="n">
        <v>46184</v>
      </c>
      <c r="D805" t="inlineStr">
        <is>
          <t>VÄSTERNORRLANDS LÄN</t>
        </is>
      </c>
      <c r="E805" t="inlineStr">
        <is>
          <t>ÅNGE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35399-2024</t>
        </is>
      </c>
      <c r="B806" s="1" t="n">
        <v>45531.40438657408</v>
      </c>
      <c r="C806" s="1" t="n">
        <v>46184</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63642-2025</t>
        </is>
      </c>
      <c r="B807" s="1" t="n">
        <v>46014.41258101852</v>
      </c>
      <c r="C807" s="1" t="n">
        <v>46184</v>
      </c>
      <c r="D807" t="inlineStr">
        <is>
          <t>VÄSTERNORRLANDS LÄN</t>
        </is>
      </c>
      <c r="E807" t="inlineStr">
        <is>
          <t>ÅNGE</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63652-2025</t>
        </is>
      </c>
      <c r="B808" s="1" t="n">
        <v>46014.43987268519</v>
      </c>
      <c r="C808" s="1" t="n">
        <v>46184</v>
      </c>
      <c r="D808" t="inlineStr">
        <is>
          <t>VÄSTERNORRLANDS LÄN</t>
        </is>
      </c>
      <c r="E808" t="inlineStr">
        <is>
          <t>ÅNGE</t>
        </is>
      </c>
      <c r="G808" t="n">
        <v>4.3</v>
      </c>
      <c r="H808" t="n">
        <v>0</v>
      </c>
      <c r="I808" t="n">
        <v>0</v>
      </c>
      <c r="J808" t="n">
        <v>0</v>
      </c>
      <c r="K808" t="n">
        <v>0</v>
      </c>
      <c r="L808" t="n">
        <v>0</v>
      </c>
      <c r="M808" t="n">
        <v>0</v>
      </c>
      <c r="N808" t="n">
        <v>0</v>
      </c>
      <c r="O808" t="n">
        <v>0</v>
      </c>
      <c r="P808" t="n">
        <v>0</v>
      </c>
      <c r="Q808" t="n">
        <v>0</v>
      </c>
      <c r="R808" s="2" t="inlineStr"/>
    </row>
    <row r="809" ht="15" customHeight="1">
      <c r="A809" t="inlineStr">
        <is>
          <t>A 63673-2025</t>
        </is>
      </c>
      <c r="B809" s="1" t="n">
        <v>46014.47594907408</v>
      </c>
      <c r="C809" s="1" t="n">
        <v>46184</v>
      </c>
      <c r="D809" t="inlineStr">
        <is>
          <t>VÄSTERNORRLANDS LÄN</t>
        </is>
      </c>
      <c r="E809" t="inlineStr">
        <is>
          <t>ÅNGE</t>
        </is>
      </c>
      <c r="G809" t="n">
        <v>1.2</v>
      </c>
      <c r="H809" t="n">
        <v>0</v>
      </c>
      <c r="I809" t="n">
        <v>0</v>
      </c>
      <c r="J809" t="n">
        <v>0</v>
      </c>
      <c r="K809" t="n">
        <v>0</v>
      </c>
      <c r="L809" t="n">
        <v>0</v>
      </c>
      <c r="M809" t="n">
        <v>0</v>
      </c>
      <c r="N809" t="n">
        <v>0</v>
      </c>
      <c r="O809" t="n">
        <v>0</v>
      </c>
      <c r="P809" t="n">
        <v>0</v>
      </c>
      <c r="Q809" t="n">
        <v>0</v>
      </c>
      <c r="R809" s="2" t="inlineStr"/>
    </row>
    <row r="810" ht="15" customHeight="1">
      <c r="A810" t="inlineStr">
        <is>
          <t>A 60960-2025</t>
        </is>
      </c>
      <c r="B810" s="1" t="n">
        <v>45999</v>
      </c>
      <c r="C810" s="1" t="n">
        <v>46184</v>
      </c>
      <c r="D810" t="inlineStr">
        <is>
          <t>VÄSTERNORRLANDS LÄN</t>
        </is>
      </c>
      <c r="E810" t="inlineStr">
        <is>
          <t>ÅNGE</t>
        </is>
      </c>
      <c r="G810" t="n">
        <v>3.3</v>
      </c>
      <c r="H810" t="n">
        <v>0</v>
      </c>
      <c r="I810" t="n">
        <v>0</v>
      </c>
      <c r="J810" t="n">
        <v>0</v>
      </c>
      <c r="K810" t="n">
        <v>0</v>
      </c>
      <c r="L810" t="n">
        <v>0</v>
      </c>
      <c r="M810" t="n">
        <v>0</v>
      </c>
      <c r="N810" t="n">
        <v>0</v>
      </c>
      <c r="O810" t="n">
        <v>0</v>
      </c>
      <c r="P810" t="n">
        <v>0</v>
      </c>
      <c r="Q810" t="n">
        <v>0</v>
      </c>
      <c r="R810" s="2" t="inlineStr"/>
    </row>
    <row r="811" ht="15" customHeight="1">
      <c r="A811" t="inlineStr">
        <is>
          <t>A 49669-2025</t>
        </is>
      </c>
      <c r="B811" s="1" t="n">
        <v>45939.63710648148</v>
      </c>
      <c r="C811" s="1" t="n">
        <v>46184</v>
      </c>
      <c r="D811" t="inlineStr">
        <is>
          <t>VÄSTERNORRLANDS LÄN</t>
        </is>
      </c>
      <c r="E811" t="inlineStr">
        <is>
          <t>ÅNGE</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64080-2025</t>
        </is>
      </c>
      <c r="B812" s="1" t="n">
        <v>46021.67752314815</v>
      </c>
      <c r="C812" s="1" t="n">
        <v>46184</v>
      </c>
      <c r="D812" t="inlineStr">
        <is>
          <t>VÄSTERNORRLANDS LÄN</t>
        </is>
      </c>
      <c r="E812" t="inlineStr">
        <is>
          <t>ÅNGE</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34815-2024</t>
        </is>
      </c>
      <c r="B813" s="1" t="n">
        <v>45526.70732638889</v>
      </c>
      <c r="C813" s="1" t="n">
        <v>46184</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63965-2025</t>
        </is>
      </c>
      <c r="B814" s="1" t="n">
        <v>46020.93445601852</v>
      </c>
      <c r="C814" s="1" t="n">
        <v>46184</v>
      </c>
      <c r="D814" t="inlineStr">
        <is>
          <t>VÄSTERNORRLANDS LÄN</t>
        </is>
      </c>
      <c r="E814" t="inlineStr">
        <is>
          <t>ÅNGE</t>
        </is>
      </c>
      <c r="G814" t="n">
        <v>11.1</v>
      </c>
      <c r="H814" t="n">
        <v>0</v>
      </c>
      <c r="I814" t="n">
        <v>0</v>
      </c>
      <c r="J814" t="n">
        <v>0</v>
      </c>
      <c r="K814" t="n">
        <v>0</v>
      </c>
      <c r="L814" t="n">
        <v>0</v>
      </c>
      <c r="M814" t="n">
        <v>0</v>
      </c>
      <c r="N814" t="n">
        <v>0</v>
      </c>
      <c r="O814" t="n">
        <v>0</v>
      </c>
      <c r="P814" t="n">
        <v>0</v>
      </c>
      <c r="Q814" t="n">
        <v>0</v>
      </c>
      <c r="R814" s="2" t="inlineStr"/>
    </row>
    <row r="815" ht="15" customHeight="1">
      <c r="A815" t="inlineStr">
        <is>
          <t>A 3977-2025</t>
        </is>
      </c>
      <c r="B815" s="1" t="n">
        <v>45684</v>
      </c>
      <c r="C815" s="1" t="n">
        <v>46184</v>
      </c>
      <c r="D815" t="inlineStr">
        <is>
          <t>VÄSTERNORRLANDS LÄN</t>
        </is>
      </c>
      <c r="E815" t="inlineStr">
        <is>
          <t>ÅNGE</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345-2026</t>
        </is>
      </c>
      <c r="B816" s="1" t="n">
        <v>46027.61515046296</v>
      </c>
      <c r="C816" s="1" t="n">
        <v>46184</v>
      </c>
      <c r="D816" t="inlineStr">
        <is>
          <t>VÄSTERNORRLANDS LÄN</t>
        </is>
      </c>
      <c r="E816" t="inlineStr">
        <is>
          <t>ÅNGE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53512-2023</t>
        </is>
      </c>
      <c r="B817" s="1" t="n">
        <v>45230</v>
      </c>
      <c r="C817" s="1" t="n">
        <v>46184</v>
      </c>
      <c r="D817" t="inlineStr">
        <is>
          <t>VÄSTERNORRLANDS LÄN</t>
        </is>
      </c>
      <c r="E817" t="inlineStr">
        <is>
          <t>ÅNGE</t>
        </is>
      </c>
      <c r="F817" t="inlineStr">
        <is>
          <t>Holmen skog AB</t>
        </is>
      </c>
      <c r="G817" t="n">
        <v>3</v>
      </c>
      <c r="H817" t="n">
        <v>0</v>
      </c>
      <c r="I817" t="n">
        <v>0</v>
      </c>
      <c r="J817" t="n">
        <v>0</v>
      </c>
      <c r="K817" t="n">
        <v>0</v>
      </c>
      <c r="L817" t="n">
        <v>0</v>
      </c>
      <c r="M817" t="n">
        <v>0</v>
      </c>
      <c r="N817" t="n">
        <v>0</v>
      </c>
      <c r="O817" t="n">
        <v>0</v>
      </c>
      <c r="P817" t="n">
        <v>0</v>
      </c>
      <c r="Q817" t="n">
        <v>0</v>
      </c>
      <c r="R817" s="2" t="inlineStr"/>
    </row>
    <row r="818" ht="15" customHeight="1">
      <c r="A818" t="inlineStr">
        <is>
          <t>A 232-2026</t>
        </is>
      </c>
      <c r="B818" s="1" t="n">
        <v>46027.34425925926</v>
      </c>
      <c r="C818" s="1" t="n">
        <v>46184</v>
      </c>
      <c r="D818" t="inlineStr">
        <is>
          <t>VÄSTERNORRLANDS LÄN</t>
        </is>
      </c>
      <c r="E818" t="inlineStr">
        <is>
          <t>ÅNGE</t>
        </is>
      </c>
      <c r="F818" t="inlineStr">
        <is>
          <t>SCA</t>
        </is>
      </c>
      <c r="G818" t="n">
        <v>37.7</v>
      </c>
      <c r="H818" t="n">
        <v>0</v>
      </c>
      <c r="I818" t="n">
        <v>0</v>
      </c>
      <c r="J818" t="n">
        <v>0</v>
      </c>
      <c r="K818" t="n">
        <v>0</v>
      </c>
      <c r="L818" t="n">
        <v>0</v>
      </c>
      <c r="M818" t="n">
        <v>0</v>
      </c>
      <c r="N818" t="n">
        <v>0</v>
      </c>
      <c r="O818" t="n">
        <v>0</v>
      </c>
      <c r="P818" t="n">
        <v>0</v>
      </c>
      <c r="Q818" t="n">
        <v>0</v>
      </c>
      <c r="R818" s="2" t="inlineStr"/>
    </row>
    <row r="819" ht="15" customHeight="1">
      <c r="A819" t="inlineStr">
        <is>
          <t>A 353-2026</t>
        </is>
      </c>
      <c r="B819" s="1" t="n">
        <v>46027.63585648148</v>
      </c>
      <c r="C819" s="1" t="n">
        <v>46184</v>
      </c>
      <c r="D819" t="inlineStr">
        <is>
          <t>VÄSTERNORRLANDS LÄN</t>
        </is>
      </c>
      <c r="E819" t="inlineStr">
        <is>
          <t>ÅNGE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703-2026</t>
        </is>
      </c>
      <c r="B820" s="1" t="n">
        <v>46029.61604166667</v>
      </c>
      <c r="C820" s="1" t="n">
        <v>46184</v>
      </c>
      <c r="D820" t="inlineStr">
        <is>
          <t>VÄSTERNORRLANDS LÄN</t>
        </is>
      </c>
      <c r="E820" t="inlineStr">
        <is>
          <t>ÅNGE</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58774-2023</t>
        </is>
      </c>
      <c r="B821" s="1" t="n">
        <v>45251</v>
      </c>
      <c r="C821" s="1" t="n">
        <v>46184</v>
      </c>
      <c r="D821" t="inlineStr">
        <is>
          <t>VÄSTERNORRLANDS LÄN</t>
        </is>
      </c>
      <c r="E821" t="inlineStr">
        <is>
          <t>ÅNGE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21089-2024</t>
        </is>
      </c>
      <c r="B822" s="1" t="n">
        <v>45439.94987268518</v>
      </c>
      <c r="C822" s="1" t="n">
        <v>46184</v>
      </c>
      <c r="D822" t="inlineStr">
        <is>
          <t>VÄSTERNORRLANDS LÄN</t>
        </is>
      </c>
      <c r="E822" t="inlineStr">
        <is>
          <t>ÅNGE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21151-2024</t>
        </is>
      </c>
      <c r="B823" s="1" t="n">
        <v>45440</v>
      </c>
      <c r="C823" s="1" t="n">
        <v>46184</v>
      </c>
      <c r="D823" t="inlineStr">
        <is>
          <t>VÄSTERNORRLANDS LÄN</t>
        </is>
      </c>
      <c r="E823" t="inlineStr">
        <is>
          <t>ÅNGE</t>
        </is>
      </c>
      <c r="G823" t="n">
        <v>3.7</v>
      </c>
      <c r="H823" t="n">
        <v>0</v>
      </c>
      <c r="I823" t="n">
        <v>0</v>
      </c>
      <c r="J823" t="n">
        <v>0</v>
      </c>
      <c r="K823" t="n">
        <v>0</v>
      </c>
      <c r="L823" t="n">
        <v>0</v>
      </c>
      <c r="M823" t="n">
        <v>0</v>
      </c>
      <c r="N823" t="n">
        <v>0</v>
      </c>
      <c r="O823" t="n">
        <v>0</v>
      </c>
      <c r="P823" t="n">
        <v>0</v>
      </c>
      <c r="Q823" t="n">
        <v>0</v>
      </c>
      <c r="R823" s="2" t="inlineStr"/>
    </row>
    <row r="824" ht="15" customHeight="1">
      <c r="A824" t="inlineStr">
        <is>
          <t>A 61486-2025</t>
        </is>
      </c>
      <c r="B824" s="1" t="n">
        <v>46001.63607638889</v>
      </c>
      <c r="C824" s="1" t="n">
        <v>46184</v>
      </c>
      <c r="D824" t="inlineStr">
        <is>
          <t>VÄSTERNORRLANDS LÄN</t>
        </is>
      </c>
      <c r="E824" t="inlineStr">
        <is>
          <t>ÅNGE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627-2026</t>
        </is>
      </c>
      <c r="B825" s="1" t="n">
        <v>46029.55262731481</v>
      </c>
      <c r="C825" s="1" t="n">
        <v>46184</v>
      </c>
      <c r="D825" t="inlineStr">
        <is>
          <t>VÄSTERNORRLANDS LÄN</t>
        </is>
      </c>
      <c r="E825" t="inlineStr">
        <is>
          <t>ÅNGE</t>
        </is>
      </c>
      <c r="G825" t="n">
        <v>0.9</v>
      </c>
      <c r="H825" t="n">
        <v>0</v>
      </c>
      <c r="I825" t="n">
        <v>0</v>
      </c>
      <c r="J825" t="n">
        <v>0</v>
      </c>
      <c r="K825" t="n">
        <v>0</v>
      </c>
      <c r="L825" t="n">
        <v>0</v>
      </c>
      <c r="M825" t="n">
        <v>0</v>
      </c>
      <c r="N825" t="n">
        <v>0</v>
      </c>
      <c r="O825" t="n">
        <v>0</v>
      </c>
      <c r="P825" t="n">
        <v>0</v>
      </c>
      <c r="Q825" t="n">
        <v>0</v>
      </c>
      <c r="R825" s="2" t="inlineStr"/>
    </row>
    <row r="826" ht="15" customHeight="1">
      <c r="A826" t="inlineStr">
        <is>
          <t>A 35781-2025</t>
        </is>
      </c>
      <c r="B826" s="1" t="n">
        <v>45860</v>
      </c>
      <c r="C826" s="1" t="n">
        <v>46184</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13164-2022</t>
        </is>
      </c>
      <c r="B827" s="1" t="n">
        <v>44644</v>
      </c>
      <c r="C827" s="1" t="n">
        <v>46184</v>
      </c>
      <c r="D827" t="inlineStr">
        <is>
          <t>VÄSTERNORRLANDS LÄN</t>
        </is>
      </c>
      <c r="E827" t="inlineStr">
        <is>
          <t>ÅNGE</t>
        </is>
      </c>
      <c r="G827" t="n">
        <v>1.8</v>
      </c>
      <c r="H827" t="n">
        <v>0</v>
      </c>
      <c r="I827" t="n">
        <v>0</v>
      </c>
      <c r="J827" t="n">
        <v>0</v>
      </c>
      <c r="K827" t="n">
        <v>0</v>
      </c>
      <c r="L827" t="n">
        <v>0</v>
      </c>
      <c r="M827" t="n">
        <v>0</v>
      </c>
      <c r="N827" t="n">
        <v>0</v>
      </c>
      <c r="O827" t="n">
        <v>0</v>
      </c>
      <c r="P827" t="n">
        <v>0</v>
      </c>
      <c r="Q827" t="n">
        <v>0</v>
      </c>
      <c r="R827" s="2" t="inlineStr"/>
    </row>
    <row r="828" ht="15" customHeight="1">
      <c r="A828" t="inlineStr">
        <is>
          <t>A 20231-2022</t>
        </is>
      </c>
      <c r="B828" s="1" t="n">
        <v>44698</v>
      </c>
      <c r="C828" s="1" t="n">
        <v>46184</v>
      </c>
      <c r="D828" t="inlineStr">
        <is>
          <t>VÄSTERNORRLANDS LÄN</t>
        </is>
      </c>
      <c r="E828" t="inlineStr">
        <is>
          <t>ÅNGE</t>
        </is>
      </c>
      <c r="G828" t="n">
        <v>4.2</v>
      </c>
      <c r="H828" t="n">
        <v>0</v>
      </c>
      <c r="I828" t="n">
        <v>0</v>
      </c>
      <c r="J828" t="n">
        <v>0</v>
      </c>
      <c r="K828" t="n">
        <v>0</v>
      </c>
      <c r="L828" t="n">
        <v>0</v>
      </c>
      <c r="M828" t="n">
        <v>0</v>
      </c>
      <c r="N828" t="n">
        <v>0</v>
      </c>
      <c r="O828" t="n">
        <v>0</v>
      </c>
      <c r="P828" t="n">
        <v>0</v>
      </c>
      <c r="Q828" t="n">
        <v>0</v>
      </c>
      <c r="R828" s="2" t="inlineStr"/>
    </row>
    <row r="829" ht="15" customHeight="1">
      <c r="A829" t="inlineStr">
        <is>
          <t>A 1266-2026</t>
        </is>
      </c>
      <c r="B829" s="1" t="n">
        <v>46031.46269675926</v>
      </c>
      <c r="C829" s="1" t="n">
        <v>46184</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60363-2024</t>
        </is>
      </c>
      <c r="B830" s="1" t="n">
        <v>45643</v>
      </c>
      <c r="C830" s="1" t="n">
        <v>46184</v>
      </c>
      <c r="D830" t="inlineStr">
        <is>
          <t>VÄSTERNORRLANDS LÄN</t>
        </is>
      </c>
      <c r="E830" t="inlineStr">
        <is>
          <t>ÅNGE</t>
        </is>
      </c>
      <c r="G830" t="n">
        <v>1.3</v>
      </c>
      <c r="H830" t="n">
        <v>0</v>
      </c>
      <c r="I830" t="n">
        <v>0</v>
      </c>
      <c r="J830" t="n">
        <v>0</v>
      </c>
      <c r="K830" t="n">
        <v>0</v>
      </c>
      <c r="L830" t="n">
        <v>0</v>
      </c>
      <c r="M830" t="n">
        <v>0</v>
      </c>
      <c r="N830" t="n">
        <v>0</v>
      </c>
      <c r="O830" t="n">
        <v>0</v>
      </c>
      <c r="P830" t="n">
        <v>0</v>
      </c>
      <c r="Q830" t="n">
        <v>0</v>
      </c>
      <c r="R830" s="2" t="inlineStr"/>
    </row>
    <row r="831" ht="15" customHeight="1">
      <c r="A831" t="inlineStr">
        <is>
          <t>A 15369-2024</t>
        </is>
      </c>
      <c r="B831" s="1" t="n">
        <v>45400.92290509259</v>
      </c>
      <c r="C831" s="1" t="n">
        <v>46184</v>
      </c>
      <c r="D831" t="inlineStr">
        <is>
          <t>VÄSTERNORRLANDS LÄN</t>
        </is>
      </c>
      <c r="E831" t="inlineStr">
        <is>
          <t>ÅNGE</t>
        </is>
      </c>
      <c r="G831" t="n">
        <v>0.4</v>
      </c>
      <c r="H831" t="n">
        <v>0</v>
      </c>
      <c r="I831" t="n">
        <v>0</v>
      </c>
      <c r="J831" t="n">
        <v>0</v>
      </c>
      <c r="K831" t="n">
        <v>0</v>
      </c>
      <c r="L831" t="n">
        <v>0</v>
      </c>
      <c r="M831" t="n">
        <v>0</v>
      </c>
      <c r="N831" t="n">
        <v>0</v>
      </c>
      <c r="O831" t="n">
        <v>0</v>
      </c>
      <c r="P831" t="n">
        <v>0</v>
      </c>
      <c r="Q831" t="n">
        <v>0</v>
      </c>
      <c r="R831" s="2" t="inlineStr"/>
    </row>
    <row r="832" ht="15" customHeight="1">
      <c r="A832" t="inlineStr">
        <is>
          <t>A 26010-2024</t>
        </is>
      </c>
      <c r="B832" s="1" t="n">
        <v>45467.95819444444</v>
      </c>
      <c r="C832" s="1" t="n">
        <v>46184</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1375-2026</t>
        </is>
      </c>
      <c r="B833" s="1" t="n">
        <v>46031.61520833334</v>
      </c>
      <c r="C833" s="1" t="n">
        <v>46184</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1270-2026</t>
        </is>
      </c>
      <c r="B834" s="1" t="n">
        <v>46031.46538194444</v>
      </c>
      <c r="C834" s="1" t="n">
        <v>46184</v>
      </c>
      <c r="D834" t="inlineStr">
        <is>
          <t>VÄSTERNORRLANDS LÄN</t>
        </is>
      </c>
      <c r="E834" t="inlineStr">
        <is>
          <t>ÅNGE</t>
        </is>
      </c>
      <c r="G834" t="n">
        <v>2.2</v>
      </c>
      <c r="H834" t="n">
        <v>0</v>
      </c>
      <c r="I834" t="n">
        <v>0</v>
      </c>
      <c r="J834" t="n">
        <v>0</v>
      </c>
      <c r="K834" t="n">
        <v>0</v>
      </c>
      <c r="L834" t="n">
        <v>0</v>
      </c>
      <c r="M834" t="n">
        <v>0</v>
      </c>
      <c r="N834" t="n">
        <v>0</v>
      </c>
      <c r="O834" t="n">
        <v>0</v>
      </c>
      <c r="P834" t="n">
        <v>0</v>
      </c>
      <c r="Q834" t="n">
        <v>0</v>
      </c>
      <c r="R834" s="2" t="inlineStr"/>
    </row>
    <row r="835" ht="15" customHeight="1">
      <c r="A835" t="inlineStr">
        <is>
          <t>A 52785-2024</t>
        </is>
      </c>
      <c r="B835" s="1" t="n">
        <v>45610.55273148148</v>
      </c>
      <c r="C835" s="1" t="n">
        <v>46184</v>
      </c>
      <c r="D835" t="inlineStr">
        <is>
          <t>VÄSTERNORRLANDS LÄN</t>
        </is>
      </c>
      <c r="E835" t="inlineStr">
        <is>
          <t>ÅNGE</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52786-2024</t>
        </is>
      </c>
      <c r="B836" s="1" t="n">
        <v>45610.55283564814</v>
      </c>
      <c r="C836" s="1" t="n">
        <v>46184</v>
      </c>
      <c r="D836" t="inlineStr">
        <is>
          <t>VÄSTERNORRLANDS LÄN</t>
        </is>
      </c>
      <c r="E836" t="inlineStr">
        <is>
          <t>ÅNGE</t>
        </is>
      </c>
      <c r="F836" t="inlineStr">
        <is>
          <t>SCA</t>
        </is>
      </c>
      <c r="G836" t="n">
        <v>4</v>
      </c>
      <c r="H836" t="n">
        <v>0</v>
      </c>
      <c r="I836" t="n">
        <v>0</v>
      </c>
      <c r="J836" t="n">
        <v>0</v>
      </c>
      <c r="K836" t="n">
        <v>0</v>
      </c>
      <c r="L836" t="n">
        <v>0</v>
      </c>
      <c r="M836" t="n">
        <v>0</v>
      </c>
      <c r="N836" t="n">
        <v>0</v>
      </c>
      <c r="O836" t="n">
        <v>0</v>
      </c>
      <c r="P836" t="n">
        <v>0</v>
      </c>
      <c r="Q836" t="n">
        <v>0</v>
      </c>
      <c r="R836" s="2" t="inlineStr"/>
    </row>
    <row r="837" ht="15" customHeight="1">
      <c r="A837" t="inlineStr">
        <is>
          <t>A 46254-2023</t>
        </is>
      </c>
      <c r="B837" s="1" t="n">
        <v>45196</v>
      </c>
      <c r="C837" s="1" t="n">
        <v>46184</v>
      </c>
      <c r="D837" t="inlineStr">
        <is>
          <t>VÄSTERNORRLANDS LÄN</t>
        </is>
      </c>
      <c r="E837" t="inlineStr">
        <is>
          <t>ÅNGE</t>
        </is>
      </c>
      <c r="F837" t="inlineStr">
        <is>
          <t>SCA</t>
        </is>
      </c>
      <c r="G837" t="n">
        <v>0.1</v>
      </c>
      <c r="H837" t="n">
        <v>0</v>
      </c>
      <c r="I837" t="n">
        <v>0</v>
      </c>
      <c r="J837" t="n">
        <v>0</v>
      </c>
      <c r="K837" t="n">
        <v>0</v>
      </c>
      <c r="L837" t="n">
        <v>0</v>
      </c>
      <c r="M837" t="n">
        <v>0</v>
      </c>
      <c r="N837" t="n">
        <v>0</v>
      </c>
      <c r="O837" t="n">
        <v>0</v>
      </c>
      <c r="P837" t="n">
        <v>0</v>
      </c>
      <c r="Q837" t="n">
        <v>0</v>
      </c>
      <c r="R837" s="2" t="inlineStr"/>
    </row>
    <row r="838" ht="15" customHeight="1">
      <c r="A838" t="inlineStr">
        <is>
          <t>A 46262-2023</t>
        </is>
      </c>
      <c r="B838" s="1" t="n">
        <v>45196.93855324074</v>
      </c>
      <c r="C838" s="1" t="n">
        <v>46184</v>
      </c>
      <c r="D838" t="inlineStr">
        <is>
          <t>VÄSTERNORRLANDS LÄN</t>
        </is>
      </c>
      <c r="E838" t="inlineStr">
        <is>
          <t>ÅNGE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1971-2026</t>
        </is>
      </c>
      <c r="B839" s="1" t="n">
        <v>46035.64133101852</v>
      </c>
      <c r="C839" s="1" t="n">
        <v>46184</v>
      </c>
      <c r="D839" t="inlineStr">
        <is>
          <t>VÄSTERNORRLANDS LÄN</t>
        </is>
      </c>
      <c r="E839" t="inlineStr">
        <is>
          <t>ÅNGE</t>
        </is>
      </c>
      <c r="G839" t="n">
        <v>3.1</v>
      </c>
      <c r="H839" t="n">
        <v>0</v>
      </c>
      <c r="I839" t="n">
        <v>0</v>
      </c>
      <c r="J839" t="n">
        <v>0</v>
      </c>
      <c r="K839" t="n">
        <v>0</v>
      </c>
      <c r="L839" t="n">
        <v>0</v>
      </c>
      <c r="M839" t="n">
        <v>0</v>
      </c>
      <c r="N839" t="n">
        <v>0</v>
      </c>
      <c r="O839" t="n">
        <v>0</v>
      </c>
      <c r="P839" t="n">
        <v>0</v>
      </c>
      <c r="Q839" t="n">
        <v>0</v>
      </c>
      <c r="R839" s="2" t="inlineStr"/>
    </row>
    <row r="840" ht="15" customHeight="1">
      <c r="A840" t="inlineStr">
        <is>
          <t>A 1544-2026</t>
        </is>
      </c>
      <c r="B840" s="1" t="n">
        <v>46034.38653935185</v>
      </c>
      <c r="C840" s="1" t="n">
        <v>46184</v>
      </c>
      <c r="D840" t="inlineStr">
        <is>
          <t>VÄSTERNORRLANDS LÄN</t>
        </is>
      </c>
      <c r="E840" t="inlineStr">
        <is>
          <t>ÅNGE</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1543-2026</t>
        </is>
      </c>
      <c r="B841" s="1" t="n">
        <v>46034.38636574074</v>
      </c>
      <c r="C841" s="1" t="n">
        <v>46184</v>
      </c>
      <c r="D841" t="inlineStr">
        <is>
          <t>VÄSTERNORRLANDS LÄN</t>
        </is>
      </c>
      <c r="E841" t="inlineStr">
        <is>
          <t>ÅNGE</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39619-2024</t>
        </is>
      </c>
      <c r="B842" s="1" t="n">
        <v>45552</v>
      </c>
      <c r="C842" s="1" t="n">
        <v>46184</v>
      </c>
      <c r="D842" t="inlineStr">
        <is>
          <t>VÄSTERNORRLANDS LÄN</t>
        </is>
      </c>
      <c r="E842" t="inlineStr">
        <is>
          <t>ÅNGE</t>
        </is>
      </c>
      <c r="G842" t="n">
        <v>0.5</v>
      </c>
      <c r="H842" t="n">
        <v>0</v>
      </c>
      <c r="I842" t="n">
        <v>0</v>
      </c>
      <c r="J842" t="n">
        <v>0</v>
      </c>
      <c r="K842" t="n">
        <v>0</v>
      </c>
      <c r="L842" t="n">
        <v>0</v>
      </c>
      <c r="M842" t="n">
        <v>0</v>
      </c>
      <c r="N842" t="n">
        <v>0</v>
      </c>
      <c r="O842" t="n">
        <v>0</v>
      </c>
      <c r="P842" t="n">
        <v>0</v>
      </c>
      <c r="Q842" t="n">
        <v>0</v>
      </c>
      <c r="R842" s="2" t="inlineStr"/>
    </row>
    <row r="843" ht="15" customHeight="1">
      <c r="A843" t="inlineStr">
        <is>
          <t>A 37051-2021</t>
        </is>
      </c>
      <c r="B843" s="1" t="n">
        <v>44393</v>
      </c>
      <c r="C843" s="1" t="n">
        <v>46184</v>
      </c>
      <c r="D843" t="inlineStr">
        <is>
          <t>VÄSTERNORRLANDS LÄN</t>
        </is>
      </c>
      <c r="E843" t="inlineStr">
        <is>
          <t>ÅNGE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1969-2026</t>
        </is>
      </c>
      <c r="B844" s="1" t="n">
        <v>46035.64024305555</v>
      </c>
      <c r="C844" s="1" t="n">
        <v>46184</v>
      </c>
      <c r="D844" t="inlineStr">
        <is>
          <t>VÄSTERNORRLANDS LÄN</t>
        </is>
      </c>
      <c r="E844" t="inlineStr">
        <is>
          <t>ÅNGE</t>
        </is>
      </c>
      <c r="G844" t="n">
        <v>3.6</v>
      </c>
      <c r="H844" t="n">
        <v>0</v>
      </c>
      <c r="I844" t="n">
        <v>0</v>
      </c>
      <c r="J844" t="n">
        <v>0</v>
      </c>
      <c r="K844" t="n">
        <v>0</v>
      </c>
      <c r="L844" t="n">
        <v>0</v>
      </c>
      <c r="M844" t="n">
        <v>0</v>
      </c>
      <c r="N844" t="n">
        <v>0</v>
      </c>
      <c r="O844" t="n">
        <v>0</v>
      </c>
      <c r="P844" t="n">
        <v>0</v>
      </c>
      <c r="Q844" t="n">
        <v>0</v>
      </c>
      <c r="R844" s="2" t="inlineStr"/>
    </row>
    <row r="845" ht="15" customHeight="1">
      <c r="A845" t="inlineStr">
        <is>
          <t>A 5613-2024</t>
        </is>
      </c>
      <c r="B845" s="1" t="n">
        <v>45334</v>
      </c>
      <c r="C845" s="1" t="n">
        <v>46184</v>
      </c>
      <c r="D845" t="inlineStr">
        <is>
          <t>VÄSTERNORRLANDS LÄN</t>
        </is>
      </c>
      <c r="E845" t="inlineStr">
        <is>
          <t>ÅNGE</t>
        </is>
      </c>
      <c r="G845" t="n">
        <v>0.4</v>
      </c>
      <c r="H845" t="n">
        <v>0</v>
      </c>
      <c r="I845" t="n">
        <v>0</v>
      </c>
      <c r="J845" t="n">
        <v>0</v>
      </c>
      <c r="K845" t="n">
        <v>0</v>
      </c>
      <c r="L845" t="n">
        <v>0</v>
      </c>
      <c r="M845" t="n">
        <v>0</v>
      </c>
      <c r="N845" t="n">
        <v>0</v>
      </c>
      <c r="O845" t="n">
        <v>0</v>
      </c>
      <c r="P845" t="n">
        <v>0</v>
      </c>
      <c r="Q845" t="n">
        <v>0</v>
      </c>
      <c r="R845" s="2" t="inlineStr"/>
    </row>
    <row r="846" ht="15" customHeight="1">
      <c r="A846" t="inlineStr">
        <is>
          <t>A 1541-2026</t>
        </is>
      </c>
      <c r="B846" s="1" t="n">
        <v>46034.38606481482</v>
      </c>
      <c r="C846" s="1" t="n">
        <v>46184</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61928-2021</t>
        </is>
      </c>
      <c r="B847" s="1" t="n">
        <v>44502.38475694445</v>
      </c>
      <c r="C847" s="1" t="n">
        <v>46184</v>
      </c>
      <c r="D847" t="inlineStr">
        <is>
          <t>VÄSTERNORRLANDS LÄN</t>
        </is>
      </c>
      <c r="E847" t="inlineStr">
        <is>
          <t>ÅNGE</t>
        </is>
      </c>
      <c r="G847" t="n">
        <v>1</v>
      </c>
      <c r="H847" t="n">
        <v>0</v>
      </c>
      <c r="I847" t="n">
        <v>0</v>
      </c>
      <c r="J847" t="n">
        <v>0</v>
      </c>
      <c r="K847" t="n">
        <v>0</v>
      </c>
      <c r="L847" t="n">
        <v>0</v>
      </c>
      <c r="M847" t="n">
        <v>0</v>
      </c>
      <c r="N847" t="n">
        <v>0</v>
      </c>
      <c r="O847" t="n">
        <v>0</v>
      </c>
      <c r="P847" t="n">
        <v>0</v>
      </c>
      <c r="Q847" t="n">
        <v>0</v>
      </c>
      <c r="R847" s="2" t="inlineStr"/>
    </row>
    <row r="848" ht="15" customHeight="1">
      <c r="A848" t="inlineStr">
        <is>
          <t>A 1547-2026</t>
        </is>
      </c>
      <c r="B848" s="1" t="n">
        <v>46034.38689814815</v>
      </c>
      <c r="C848" s="1" t="n">
        <v>46184</v>
      </c>
      <c r="D848" t="inlineStr">
        <is>
          <t>VÄSTERNORRLANDS LÄN</t>
        </is>
      </c>
      <c r="E848" t="inlineStr">
        <is>
          <t>ÅNGE</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5367-2022</t>
        </is>
      </c>
      <c r="B849" s="1" t="n">
        <v>44594.92111111111</v>
      </c>
      <c r="C849" s="1" t="n">
        <v>46184</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24293-2023</t>
        </is>
      </c>
      <c r="B850" s="1" t="n">
        <v>45079.92756944444</v>
      </c>
      <c r="C850" s="1" t="n">
        <v>46184</v>
      </c>
      <c r="D850" t="inlineStr">
        <is>
          <t>VÄSTERNORRLANDS LÄN</t>
        </is>
      </c>
      <c r="E850" t="inlineStr">
        <is>
          <t>ÅNGE</t>
        </is>
      </c>
      <c r="G850" t="n">
        <v>0.8</v>
      </c>
      <c r="H850" t="n">
        <v>0</v>
      </c>
      <c r="I850" t="n">
        <v>0</v>
      </c>
      <c r="J850" t="n">
        <v>0</v>
      </c>
      <c r="K850" t="n">
        <v>0</v>
      </c>
      <c r="L850" t="n">
        <v>0</v>
      </c>
      <c r="M850" t="n">
        <v>0</v>
      </c>
      <c r="N850" t="n">
        <v>0</v>
      </c>
      <c r="O850" t="n">
        <v>0</v>
      </c>
      <c r="P850" t="n">
        <v>0</v>
      </c>
      <c r="Q850" t="n">
        <v>0</v>
      </c>
      <c r="R850" s="2" t="inlineStr"/>
    </row>
    <row r="851" ht="15" customHeight="1">
      <c r="A851" t="inlineStr">
        <is>
          <t>A 2485-2026</t>
        </is>
      </c>
      <c r="B851" s="1" t="n">
        <v>46037.38591435185</v>
      </c>
      <c r="C851" s="1" t="n">
        <v>46184</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39985-2023</t>
        </is>
      </c>
      <c r="B852" s="1" t="n">
        <v>45168</v>
      </c>
      <c r="C852" s="1" t="n">
        <v>46184</v>
      </c>
      <c r="D852" t="inlineStr">
        <is>
          <t>VÄSTERNORRLANDS LÄN</t>
        </is>
      </c>
      <c r="E852" t="inlineStr">
        <is>
          <t>ÅNGE</t>
        </is>
      </c>
      <c r="G852" t="n">
        <v>0.1</v>
      </c>
      <c r="H852" t="n">
        <v>0</v>
      </c>
      <c r="I852" t="n">
        <v>0</v>
      </c>
      <c r="J852" t="n">
        <v>0</v>
      </c>
      <c r="K852" t="n">
        <v>0</v>
      </c>
      <c r="L852" t="n">
        <v>0</v>
      </c>
      <c r="M852" t="n">
        <v>0</v>
      </c>
      <c r="N852" t="n">
        <v>0</v>
      </c>
      <c r="O852" t="n">
        <v>0</v>
      </c>
      <c r="P852" t="n">
        <v>0</v>
      </c>
      <c r="Q852" t="n">
        <v>0</v>
      </c>
      <c r="R852" s="2" t="inlineStr"/>
    </row>
    <row r="853" ht="15" customHeight="1">
      <c r="A853" t="inlineStr">
        <is>
          <t>A 49945-2023</t>
        </is>
      </c>
      <c r="B853" s="1" t="n">
        <v>45215.3625462963</v>
      </c>
      <c r="C853" s="1" t="n">
        <v>46184</v>
      </c>
      <c r="D853" t="inlineStr">
        <is>
          <t>VÄSTERNORRLANDS LÄN</t>
        </is>
      </c>
      <c r="E853" t="inlineStr">
        <is>
          <t>ÅNGE</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1420-2023</t>
        </is>
      </c>
      <c r="B854" s="1" t="n">
        <v>44936.92762731481</v>
      </c>
      <c r="C854" s="1" t="n">
        <v>46184</v>
      </c>
      <c r="D854" t="inlineStr">
        <is>
          <t>VÄSTERNORRLANDS LÄN</t>
        </is>
      </c>
      <c r="E854" t="inlineStr">
        <is>
          <t>ÅNGE</t>
        </is>
      </c>
      <c r="G854" t="n">
        <v>3.7</v>
      </c>
      <c r="H854" t="n">
        <v>0</v>
      </c>
      <c r="I854" t="n">
        <v>0</v>
      </c>
      <c r="J854" t="n">
        <v>0</v>
      </c>
      <c r="K854" t="n">
        <v>0</v>
      </c>
      <c r="L854" t="n">
        <v>0</v>
      </c>
      <c r="M854" t="n">
        <v>0</v>
      </c>
      <c r="N854" t="n">
        <v>0</v>
      </c>
      <c r="O854" t="n">
        <v>0</v>
      </c>
      <c r="P854" t="n">
        <v>0</v>
      </c>
      <c r="Q854" t="n">
        <v>0</v>
      </c>
      <c r="R854" s="2" t="inlineStr"/>
    </row>
    <row r="855" ht="15" customHeight="1">
      <c r="A855" t="inlineStr">
        <is>
          <t>A 34691-2024</t>
        </is>
      </c>
      <c r="B855" s="1" t="n">
        <v>45526.54516203704</v>
      </c>
      <c r="C855" s="1" t="n">
        <v>46184</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54585-2024</t>
        </is>
      </c>
      <c r="B856" s="1" t="n">
        <v>45617.65762731482</v>
      </c>
      <c r="C856" s="1" t="n">
        <v>46184</v>
      </c>
      <c r="D856" t="inlineStr">
        <is>
          <t>VÄSTERNORRLANDS LÄN</t>
        </is>
      </c>
      <c r="E856" t="inlineStr">
        <is>
          <t>ÅNGE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17452-2025</t>
        </is>
      </c>
      <c r="B857" s="1" t="n">
        <v>45757.44842592593</v>
      </c>
      <c r="C857" s="1" t="n">
        <v>46184</v>
      </c>
      <c r="D857" t="inlineStr">
        <is>
          <t>VÄSTERNORRLANDS LÄN</t>
        </is>
      </c>
      <c r="E857" t="inlineStr">
        <is>
          <t>ÅNGE</t>
        </is>
      </c>
      <c r="F857" t="inlineStr">
        <is>
          <t>SCA</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35540-2025</t>
        </is>
      </c>
      <c r="B858" s="1" t="n">
        <v>45856.46912037037</v>
      </c>
      <c r="C858" s="1" t="n">
        <v>46184</v>
      </c>
      <c r="D858" t="inlineStr">
        <is>
          <t>VÄSTERNORRLANDS LÄN</t>
        </is>
      </c>
      <c r="E858" t="inlineStr">
        <is>
          <t>ÅNGE</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35143-2025</t>
        </is>
      </c>
      <c r="B859" s="1" t="n">
        <v>45852.65660879629</v>
      </c>
      <c r="C859" s="1" t="n">
        <v>46184</v>
      </c>
      <c r="D859" t="inlineStr">
        <is>
          <t>VÄSTERNORRLANDS LÄN</t>
        </is>
      </c>
      <c r="E859" t="inlineStr">
        <is>
          <t>ÅNGE</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3534-2026</t>
        </is>
      </c>
      <c r="B860" s="1" t="n">
        <v>46042.62432870371</v>
      </c>
      <c r="C860" s="1" t="n">
        <v>46184</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57526-2024</t>
        </is>
      </c>
      <c r="B861" s="1" t="n">
        <v>45630</v>
      </c>
      <c r="C861" s="1" t="n">
        <v>46184</v>
      </c>
      <c r="D861" t="inlineStr">
        <is>
          <t>VÄSTERNORRLANDS LÄN</t>
        </is>
      </c>
      <c r="E861" t="inlineStr">
        <is>
          <t>ÅNGE</t>
        </is>
      </c>
      <c r="G861" t="n">
        <v>3.2</v>
      </c>
      <c r="H861" t="n">
        <v>0</v>
      </c>
      <c r="I861" t="n">
        <v>0</v>
      </c>
      <c r="J861" t="n">
        <v>0</v>
      </c>
      <c r="K861" t="n">
        <v>0</v>
      </c>
      <c r="L861" t="n">
        <v>0</v>
      </c>
      <c r="M861" t="n">
        <v>0</v>
      </c>
      <c r="N861" t="n">
        <v>0</v>
      </c>
      <c r="O861" t="n">
        <v>0</v>
      </c>
      <c r="P861" t="n">
        <v>0</v>
      </c>
      <c r="Q861" t="n">
        <v>0</v>
      </c>
      <c r="R861" s="2" t="inlineStr"/>
    </row>
    <row r="862" ht="15" customHeight="1">
      <c r="A862" t="inlineStr">
        <is>
          <t>A 3889-2026</t>
        </is>
      </c>
      <c r="B862" s="1" t="n">
        <v>46043.67015046296</v>
      </c>
      <c r="C862" s="1" t="n">
        <v>46184</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5999-2025</t>
        </is>
      </c>
      <c r="B863" s="1" t="n">
        <v>45695</v>
      </c>
      <c r="C863" s="1" t="n">
        <v>46184</v>
      </c>
      <c r="D863" t="inlineStr">
        <is>
          <t>VÄSTERNORRLANDS LÄN</t>
        </is>
      </c>
      <c r="E863" t="inlineStr">
        <is>
          <t>ÅNGE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35593-2024</t>
        </is>
      </c>
      <c r="B864" s="1" t="n">
        <v>45531</v>
      </c>
      <c r="C864" s="1" t="n">
        <v>46184</v>
      </c>
      <c r="D864" t="inlineStr">
        <is>
          <t>VÄSTERNORRLANDS LÄN</t>
        </is>
      </c>
      <c r="E864" t="inlineStr">
        <is>
          <t>ÅNGE</t>
        </is>
      </c>
      <c r="G864" t="n">
        <v>17.6</v>
      </c>
      <c r="H864" t="n">
        <v>0</v>
      </c>
      <c r="I864" t="n">
        <v>0</v>
      </c>
      <c r="J864" t="n">
        <v>0</v>
      </c>
      <c r="K864" t="n">
        <v>0</v>
      </c>
      <c r="L864" t="n">
        <v>0</v>
      </c>
      <c r="M864" t="n">
        <v>0</v>
      </c>
      <c r="N864" t="n">
        <v>0</v>
      </c>
      <c r="O864" t="n">
        <v>0</v>
      </c>
      <c r="P864" t="n">
        <v>0</v>
      </c>
      <c r="Q864" t="n">
        <v>0</v>
      </c>
      <c r="R864" s="2" t="inlineStr"/>
    </row>
    <row r="865" ht="15" customHeight="1">
      <c r="A865" t="inlineStr">
        <is>
          <t>A 4262-2026</t>
        </is>
      </c>
      <c r="B865" s="1" t="n">
        <v>46045.34431712963</v>
      </c>
      <c r="C865" s="1" t="n">
        <v>46184</v>
      </c>
      <c r="D865" t="inlineStr">
        <is>
          <t>VÄSTERNORRLANDS LÄN</t>
        </is>
      </c>
      <c r="E865" t="inlineStr">
        <is>
          <t>ÅNGE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4263-2026</t>
        </is>
      </c>
      <c r="B866" s="1" t="n">
        <v>46045.34451388889</v>
      </c>
      <c r="C866" s="1" t="n">
        <v>46184</v>
      </c>
      <c r="D866" t="inlineStr">
        <is>
          <t>VÄSTERNORRLANDS LÄN</t>
        </is>
      </c>
      <c r="E866" t="inlineStr">
        <is>
          <t>ÅNGE</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36786-2024</t>
        </is>
      </c>
      <c r="B867" s="1" t="n">
        <v>45538</v>
      </c>
      <c r="C867" s="1" t="n">
        <v>46184</v>
      </c>
      <c r="D867" t="inlineStr">
        <is>
          <t>VÄSTERNORRLANDS LÄN</t>
        </is>
      </c>
      <c r="E867" t="inlineStr">
        <is>
          <t>ÅNGE</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3970-2026</t>
        </is>
      </c>
      <c r="B868" s="1" t="n">
        <v>46044.3521875</v>
      </c>
      <c r="C868" s="1" t="n">
        <v>46184</v>
      </c>
      <c r="D868" t="inlineStr">
        <is>
          <t>VÄSTERNORRLANDS LÄN</t>
        </is>
      </c>
      <c r="E868" t="inlineStr">
        <is>
          <t>ÅNGE</t>
        </is>
      </c>
      <c r="G868" t="n">
        <v>1.2</v>
      </c>
      <c r="H868" t="n">
        <v>0</v>
      </c>
      <c r="I868" t="n">
        <v>0</v>
      </c>
      <c r="J868" t="n">
        <v>0</v>
      </c>
      <c r="K868" t="n">
        <v>0</v>
      </c>
      <c r="L868" t="n">
        <v>0</v>
      </c>
      <c r="M868" t="n">
        <v>0</v>
      </c>
      <c r="N868" t="n">
        <v>0</v>
      </c>
      <c r="O868" t="n">
        <v>0</v>
      </c>
      <c r="P868" t="n">
        <v>0</v>
      </c>
      <c r="Q868" t="n">
        <v>0</v>
      </c>
      <c r="R868" s="2" t="inlineStr"/>
    </row>
    <row r="869" ht="15" customHeight="1">
      <c r="A869" t="inlineStr">
        <is>
          <t>A 4327-2026</t>
        </is>
      </c>
      <c r="B869" s="1" t="n">
        <v>46045.46930555555</v>
      </c>
      <c r="C869" s="1" t="n">
        <v>46184</v>
      </c>
      <c r="D869" t="inlineStr">
        <is>
          <t>VÄSTERNORRLANDS LÄN</t>
        </is>
      </c>
      <c r="E869" t="inlineStr">
        <is>
          <t>ÅNGE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4442-2026</t>
        </is>
      </c>
      <c r="B870" s="1" t="n">
        <v>46045.63625</v>
      </c>
      <c r="C870" s="1" t="n">
        <v>46184</v>
      </c>
      <c r="D870" t="inlineStr">
        <is>
          <t>VÄSTERNORRLANDS LÄN</t>
        </is>
      </c>
      <c r="E870" t="inlineStr">
        <is>
          <t>ÅNGE</t>
        </is>
      </c>
      <c r="F870" t="inlineStr">
        <is>
          <t>SCA</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4328-2026</t>
        </is>
      </c>
      <c r="B871" s="1" t="n">
        <v>46045.46940972222</v>
      </c>
      <c r="C871" s="1" t="n">
        <v>46184</v>
      </c>
      <c r="D871" t="inlineStr">
        <is>
          <t>VÄSTERNORRLANDS LÄN</t>
        </is>
      </c>
      <c r="E871" t="inlineStr">
        <is>
          <t>ÅNGE</t>
        </is>
      </c>
      <c r="G871" t="n">
        <v>1.8</v>
      </c>
      <c r="H871" t="n">
        <v>0</v>
      </c>
      <c r="I871" t="n">
        <v>0</v>
      </c>
      <c r="J871" t="n">
        <v>0</v>
      </c>
      <c r="K871" t="n">
        <v>0</v>
      </c>
      <c r="L871" t="n">
        <v>0</v>
      </c>
      <c r="M871" t="n">
        <v>0</v>
      </c>
      <c r="N871" t="n">
        <v>0</v>
      </c>
      <c r="O871" t="n">
        <v>0</v>
      </c>
      <c r="P871" t="n">
        <v>0</v>
      </c>
      <c r="Q871" t="n">
        <v>0</v>
      </c>
      <c r="R871" s="2" t="inlineStr"/>
    </row>
    <row r="872" ht="15" customHeight="1">
      <c r="A872" t="inlineStr">
        <is>
          <t>A 4441-2026</t>
        </is>
      </c>
      <c r="B872" s="1" t="n">
        <v>46045.63600694444</v>
      </c>
      <c r="C872" s="1" t="n">
        <v>46184</v>
      </c>
      <c r="D872" t="inlineStr">
        <is>
          <t>VÄSTERNORRLANDS LÄN</t>
        </is>
      </c>
      <c r="E872" t="inlineStr">
        <is>
          <t>ÅNGE</t>
        </is>
      </c>
      <c r="F872" t="inlineStr">
        <is>
          <t>SCA</t>
        </is>
      </c>
      <c r="G872" t="n">
        <v>4.4</v>
      </c>
      <c r="H872" t="n">
        <v>0</v>
      </c>
      <c r="I872" t="n">
        <v>0</v>
      </c>
      <c r="J872" t="n">
        <v>0</v>
      </c>
      <c r="K872" t="n">
        <v>0</v>
      </c>
      <c r="L872" t="n">
        <v>0</v>
      </c>
      <c r="M872" t="n">
        <v>0</v>
      </c>
      <c r="N872" t="n">
        <v>0</v>
      </c>
      <c r="O872" t="n">
        <v>0</v>
      </c>
      <c r="P872" t="n">
        <v>0</v>
      </c>
      <c r="Q872" t="n">
        <v>0</v>
      </c>
      <c r="R872" s="2" t="inlineStr"/>
    </row>
    <row r="873" ht="15" customHeight="1">
      <c r="A873" t="inlineStr">
        <is>
          <t>A 54908-2021</t>
        </is>
      </c>
      <c r="B873" s="1" t="n">
        <v>44474.39769675926</v>
      </c>
      <c r="C873" s="1" t="n">
        <v>46184</v>
      </c>
      <c r="D873" t="inlineStr">
        <is>
          <t>VÄSTERNORRLANDS LÄN</t>
        </is>
      </c>
      <c r="E873" t="inlineStr">
        <is>
          <t>ÅNGE</t>
        </is>
      </c>
      <c r="G873" t="n">
        <v>7.8</v>
      </c>
      <c r="H873" t="n">
        <v>0</v>
      </c>
      <c r="I873" t="n">
        <v>0</v>
      </c>
      <c r="J873" t="n">
        <v>0</v>
      </c>
      <c r="K873" t="n">
        <v>0</v>
      </c>
      <c r="L873" t="n">
        <v>0</v>
      </c>
      <c r="M873" t="n">
        <v>0</v>
      </c>
      <c r="N873" t="n">
        <v>0</v>
      </c>
      <c r="O873" t="n">
        <v>0</v>
      </c>
      <c r="P873" t="n">
        <v>0</v>
      </c>
      <c r="Q873" t="n">
        <v>0</v>
      </c>
      <c r="R873" s="2" t="inlineStr"/>
    </row>
    <row r="874" ht="15" customHeight="1">
      <c r="A874" t="inlineStr">
        <is>
          <t>A 45933-2023</t>
        </is>
      </c>
      <c r="B874" s="1" t="n">
        <v>45195</v>
      </c>
      <c r="C874" s="1" t="n">
        <v>46184</v>
      </c>
      <c r="D874" t="inlineStr">
        <is>
          <t>VÄSTERNORRLANDS LÄN</t>
        </is>
      </c>
      <c r="E874" t="inlineStr">
        <is>
          <t>ÅNGE</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4586-2026</t>
        </is>
      </c>
      <c r="B875" s="1" t="n">
        <v>46048.33769675926</v>
      </c>
      <c r="C875" s="1" t="n">
        <v>46184</v>
      </c>
      <c r="D875" t="inlineStr">
        <is>
          <t>VÄSTERNORRLANDS LÄN</t>
        </is>
      </c>
      <c r="E875" t="inlineStr">
        <is>
          <t>ÅNGE</t>
        </is>
      </c>
      <c r="G875" t="n">
        <v>5</v>
      </c>
      <c r="H875" t="n">
        <v>0</v>
      </c>
      <c r="I875" t="n">
        <v>0</v>
      </c>
      <c r="J875" t="n">
        <v>0</v>
      </c>
      <c r="K875" t="n">
        <v>0</v>
      </c>
      <c r="L875" t="n">
        <v>0</v>
      </c>
      <c r="M875" t="n">
        <v>0</v>
      </c>
      <c r="N875" t="n">
        <v>0</v>
      </c>
      <c r="O875" t="n">
        <v>0</v>
      </c>
      <c r="P875" t="n">
        <v>0</v>
      </c>
      <c r="Q875" t="n">
        <v>0</v>
      </c>
      <c r="R875" s="2" t="inlineStr"/>
    </row>
    <row r="876" ht="15" customHeight="1">
      <c r="A876" t="inlineStr">
        <is>
          <t>A 4592-2026</t>
        </is>
      </c>
      <c r="B876" s="1" t="n">
        <v>46048.34451388889</v>
      </c>
      <c r="C876" s="1" t="n">
        <v>46184</v>
      </c>
      <c r="D876" t="inlineStr">
        <is>
          <t>VÄSTERNORRLANDS LÄN</t>
        </is>
      </c>
      <c r="E876" t="inlineStr">
        <is>
          <t>ÅNGE</t>
        </is>
      </c>
      <c r="F876" t="inlineStr">
        <is>
          <t>SCA</t>
        </is>
      </c>
      <c r="G876" t="n">
        <v>0.2</v>
      </c>
      <c r="H876" t="n">
        <v>0</v>
      </c>
      <c r="I876" t="n">
        <v>0</v>
      </c>
      <c r="J876" t="n">
        <v>0</v>
      </c>
      <c r="K876" t="n">
        <v>0</v>
      </c>
      <c r="L876" t="n">
        <v>0</v>
      </c>
      <c r="M876" t="n">
        <v>0</v>
      </c>
      <c r="N876" t="n">
        <v>0</v>
      </c>
      <c r="O876" t="n">
        <v>0</v>
      </c>
      <c r="P876" t="n">
        <v>0</v>
      </c>
      <c r="Q876" t="n">
        <v>0</v>
      </c>
      <c r="R876" s="2" t="inlineStr"/>
    </row>
    <row r="877" ht="15" customHeight="1">
      <c r="A877" t="inlineStr">
        <is>
          <t>A 5135-2026</t>
        </is>
      </c>
      <c r="B877" s="1" t="n">
        <v>46049.59417824074</v>
      </c>
      <c r="C877" s="1" t="n">
        <v>46184</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4591-2026</t>
        </is>
      </c>
      <c r="B878" s="1" t="n">
        <v>46048.34443287037</v>
      </c>
      <c r="C878" s="1" t="n">
        <v>46184</v>
      </c>
      <c r="D878" t="inlineStr">
        <is>
          <t>VÄSTERNORRLANDS LÄN</t>
        </is>
      </c>
      <c r="E878" t="inlineStr">
        <is>
          <t>ÅNGE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4593-2026</t>
        </is>
      </c>
      <c r="B879" s="1" t="n">
        <v>46048.3446412037</v>
      </c>
      <c r="C879" s="1" t="n">
        <v>46184</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46015-2024</t>
        </is>
      </c>
      <c r="B880" s="1" t="n">
        <v>45580.67760416667</v>
      </c>
      <c r="C880" s="1" t="n">
        <v>46184</v>
      </c>
      <c r="D880" t="inlineStr">
        <is>
          <t>VÄSTERNORRLANDS LÄN</t>
        </is>
      </c>
      <c r="E880" t="inlineStr">
        <is>
          <t>ÅNGE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1826-2026</t>
        </is>
      </c>
      <c r="B881" s="1" t="n">
        <v>46035</v>
      </c>
      <c r="C881" s="1" t="n">
        <v>46184</v>
      </c>
      <c r="D881" t="inlineStr">
        <is>
          <t>VÄSTERNORRLANDS LÄN</t>
        </is>
      </c>
      <c r="E881" t="inlineStr">
        <is>
          <t>ÅNGE</t>
        </is>
      </c>
      <c r="G881" t="n">
        <v>3.1</v>
      </c>
      <c r="H881" t="n">
        <v>0</v>
      </c>
      <c r="I881" t="n">
        <v>0</v>
      </c>
      <c r="J881" t="n">
        <v>0</v>
      </c>
      <c r="K881" t="n">
        <v>0</v>
      </c>
      <c r="L881" t="n">
        <v>0</v>
      </c>
      <c r="M881" t="n">
        <v>0</v>
      </c>
      <c r="N881" t="n">
        <v>0</v>
      </c>
      <c r="O881" t="n">
        <v>0</v>
      </c>
      <c r="P881" t="n">
        <v>0</v>
      </c>
      <c r="Q881" t="n">
        <v>0</v>
      </c>
      <c r="R881" s="2" t="inlineStr"/>
    </row>
    <row r="882" ht="15" customHeight="1">
      <c r="A882" t="inlineStr">
        <is>
          <t>A 44636-2024</t>
        </is>
      </c>
      <c r="B882" s="1" t="n">
        <v>45574.51491898148</v>
      </c>
      <c r="C882" s="1" t="n">
        <v>46184</v>
      </c>
      <c r="D882" t="inlineStr">
        <is>
          <t>VÄSTERNORRLANDS LÄN</t>
        </is>
      </c>
      <c r="E882" t="inlineStr">
        <is>
          <t>ÅNGE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44979-2023</t>
        </is>
      </c>
      <c r="B883" s="1" t="n">
        <v>45190.95752314815</v>
      </c>
      <c r="C883" s="1" t="n">
        <v>46184</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1582-2025</t>
        </is>
      </c>
      <c r="B884" s="1" t="n">
        <v>45670</v>
      </c>
      <c r="C884" s="1" t="n">
        <v>46184</v>
      </c>
      <c r="D884" t="inlineStr">
        <is>
          <t>VÄSTERNORRLANDS LÄN</t>
        </is>
      </c>
      <c r="E884" t="inlineStr">
        <is>
          <t>ÅNGE</t>
        </is>
      </c>
      <c r="G884" t="n">
        <v>7.3</v>
      </c>
      <c r="H884" t="n">
        <v>0</v>
      </c>
      <c r="I884" t="n">
        <v>0</v>
      </c>
      <c r="J884" t="n">
        <v>0</v>
      </c>
      <c r="K884" t="n">
        <v>0</v>
      </c>
      <c r="L884" t="n">
        <v>0</v>
      </c>
      <c r="M884" t="n">
        <v>0</v>
      </c>
      <c r="N884" t="n">
        <v>0</v>
      </c>
      <c r="O884" t="n">
        <v>0</v>
      </c>
      <c r="P884" t="n">
        <v>0</v>
      </c>
      <c r="Q884" t="n">
        <v>0</v>
      </c>
      <c r="R884" s="2" t="inlineStr"/>
      <c r="U884">
        <f>HYPERLINK("https://klasma.github.io/Logging_2260/knärot/A 1582-2025 karta knärot.png", "A 1582-2025")</f>
        <v/>
      </c>
      <c r="V884">
        <f>HYPERLINK("https://klasma.github.io/Logging_2260/klagomål/A 1582-2025 FSC-klagomål.docx", "A 1582-2025")</f>
        <v/>
      </c>
      <c r="W884">
        <f>HYPERLINK("https://klasma.github.io/Logging_2260/klagomålsmail/A 1582-2025 FSC-klagomål mail.docx", "A 1582-2025")</f>
        <v/>
      </c>
      <c r="X884">
        <f>HYPERLINK("https://klasma.github.io/Logging_2260/tillsyn/A 1582-2025 tillsynsbegäran.docx", "A 1582-2025")</f>
        <v/>
      </c>
      <c r="Y884">
        <f>HYPERLINK("https://klasma.github.io/Logging_2260/tillsynsmail/A 1582-2025 tillsynsbegäran mail.docx", "A 1582-2025")</f>
        <v/>
      </c>
    </row>
    <row r="885" ht="15" customHeight="1">
      <c r="A885" t="inlineStr">
        <is>
          <t>A 25377-2024</t>
        </is>
      </c>
      <c r="B885" s="1" t="n">
        <v>45462.96211805556</v>
      </c>
      <c r="C885" s="1" t="n">
        <v>46184</v>
      </c>
      <c r="D885" t="inlineStr">
        <is>
          <t>VÄSTERNORRLANDS LÄN</t>
        </is>
      </c>
      <c r="E885" t="inlineStr">
        <is>
          <t>ÅNGE</t>
        </is>
      </c>
      <c r="F885" t="inlineStr">
        <is>
          <t>SCA</t>
        </is>
      </c>
      <c r="G885" t="n">
        <v>20.7</v>
      </c>
      <c r="H885" t="n">
        <v>0</v>
      </c>
      <c r="I885" t="n">
        <v>0</v>
      </c>
      <c r="J885" t="n">
        <v>0</v>
      </c>
      <c r="K885" t="n">
        <v>0</v>
      </c>
      <c r="L885" t="n">
        <v>0</v>
      </c>
      <c r="M885" t="n">
        <v>0</v>
      </c>
      <c r="N885" t="n">
        <v>0</v>
      </c>
      <c r="O885" t="n">
        <v>0</v>
      </c>
      <c r="P885" t="n">
        <v>0</v>
      </c>
      <c r="Q885" t="n">
        <v>0</v>
      </c>
      <c r="R885" s="2" t="inlineStr"/>
    </row>
    <row r="886" ht="15" customHeight="1">
      <c r="A886" t="inlineStr">
        <is>
          <t>A 5669-2026</t>
        </is>
      </c>
      <c r="B886" s="1" t="n">
        <v>46051.46931712963</v>
      </c>
      <c r="C886" s="1" t="n">
        <v>46184</v>
      </c>
      <c r="D886" t="inlineStr">
        <is>
          <t>VÄSTERNORRLANDS LÄN</t>
        </is>
      </c>
      <c r="E886" t="inlineStr">
        <is>
          <t>ÅNGE</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5670-2026</t>
        </is>
      </c>
      <c r="B887" s="1" t="n">
        <v>46051.46958333333</v>
      </c>
      <c r="C887" s="1" t="n">
        <v>46184</v>
      </c>
      <c r="D887" t="inlineStr">
        <is>
          <t>VÄSTERNORRLANDS LÄN</t>
        </is>
      </c>
      <c r="E887" t="inlineStr">
        <is>
          <t>ÅNGE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5391-2026</t>
        </is>
      </c>
      <c r="B888" s="1" t="n">
        <v>46050.47145833333</v>
      </c>
      <c r="C888" s="1" t="n">
        <v>46184</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5671-2026</t>
        </is>
      </c>
      <c r="B889" s="1" t="n">
        <v>46051.46965277778</v>
      </c>
      <c r="C889" s="1" t="n">
        <v>46184</v>
      </c>
      <c r="D889" t="inlineStr">
        <is>
          <t>VÄSTERNORRLANDS LÄN</t>
        </is>
      </c>
      <c r="E889" t="inlineStr">
        <is>
          <t>ÅNGE</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39975-2023</t>
        </is>
      </c>
      <c r="B890" s="1" t="n">
        <v>45168.58844907407</v>
      </c>
      <c r="C890" s="1" t="n">
        <v>46184</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5478-2026</t>
        </is>
      </c>
      <c r="B891" s="1" t="n">
        <v>46050.60172453704</v>
      </c>
      <c r="C891" s="1" t="n">
        <v>46184</v>
      </c>
      <c r="D891" t="inlineStr">
        <is>
          <t>VÄSTERNORRLANDS LÄN</t>
        </is>
      </c>
      <c r="E891" t="inlineStr">
        <is>
          <t>ÅNGE</t>
        </is>
      </c>
      <c r="G891" t="n">
        <v>7.6</v>
      </c>
      <c r="H891" t="n">
        <v>0</v>
      </c>
      <c r="I891" t="n">
        <v>0</v>
      </c>
      <c r="J891" t="n">
        <v>0</v>
      </c>
      <c r="K891" t="n">
        <v>0</v>
      </c>
      <c r="L891" t="n">
        <v>0</v>
      </c>
      <c r="M891" t="n">
        <v>0</v>
      </c>
      <c r="N891" t="n">
        <v>0</v>
      </c>
      <c r="O891" t="n">
        <v>0</v>
      </c>
      <c r="P891" t="n">
        <v>0</v>
      </c>
      <c r="Q891" t="n">
        <v>0</v>
      </c>
      <c r="R891" s="2" t="inlineStr"/>
    </row>
    <row r="892" ht="15" customHeight="1">
      <c r="A892" t="inlineStr">
        <is>
          <t>A 5470-2026</t>
        </is>
      </c>
      <c r="B892" s="1" t="n">
        <v>46050.59548611111</v>
      </c>
      <c r="C892" s="1" t="n">
        <v>46184</v>
      </c>
      <c r="D892" t="inlineStr">
        <is>
          <t>VÄSTERNORRLANDS LÄN</t>
        </is>
      </c>
      <c r="E892" t="inlineStr">
        <is>
          <t>ÅNGE</t>
        </is>
      </c>
      <c r="G892" t="n">
        <v>4.1</v>
      </c>
      <c r="H892" t="n">
        <v>0</v>
      </c>
      <c r="I892" t="n">
        <v>0</v>
      </c>
      <c r="J892" t="n">
        <v>0</v>
      </c>
      <c r="K892" t="n">
        <v>0</v>
      </c>
      <c r="L892" t="n">
        <v>0</v>
      </c>
      <c r="M892" t="n">
        <v>0</v>
      </c>
      <c r="N892" t="n">
        <v>0</v>
      </c>
      <c r="O892" t="n">
        <v>0</v>
      </c>
      <c r="P892" t="n">
        <v>0</v>
      </c>
      <c r="Q892" t="n">
        <v>0</v>
      </c>
      <c r="R892" s="2" t="inlineStr"/>
    </row>
    <row r="893" ht="15" customHeight="1">
      <c r="A893" t="inlineStr">
        <is>
          <t>A 53970-2021</t>
        </is>
      </c>
      <c r="B893" s="1" t="n">
        <v>44469</v>
      </c>
      <c r="C893" s="1" t="n">
        <v>46184</v>
      </c>
      <c r="D893" t="inlineStr">
        <is>
          <t>VÄSTERNORRLANDS LÄN</t>
        </is>
      </c>
      <c r="E893" t="inlineStr">
        <is>
          <t>ÅNGE</t>
        </is>
      </c>
      <c r="G893" t="n">
        <v>3.4</v>
      </c>
      <c r="H893" t="n">
        <v>0</v>
      </c>
      <c r="I893" t="n">
        <v>0</v>
      </c>
      <c r="J893" t="n">
        <v>0</v>
      </c>
      <c r="K893" t="n">
        <v>0</v>
      </c>
      <c r="L893" t="n">
        <v>0</v>
      </c>
      <c r="M893" t="n">
        <v>0</v>
      </c>
      <c r="N893" t="n">
        <v>0</v>
      </c>
      <c r="O893" t="n">
        <v>0</v>
      </c>
      <c r="P893" t="n">
        <v>0</v>
      </c>
      <c r="Q893" t="n">
        <v>0</v>
      </c>
      <c r="R893" s="2" t="inlineStr"/>
    </row>
    <row r="894" ht="15" customHeight="1">
      <c r="A894" t="inlineStr">
        <is>
          <t>A 13491-2023</t>
        </is>
      </c>
      <c r="B894" s="1" t="n">
        <v>45005.93929398148</v>
      </c>
      <c r="C894" s="1" t="n">
        <v>46184</v>
      </c>
      <c r="D894" t="inlineStr">
        <is>
          <t>VÄSTERNORRLANDS LÄN</t>
        </is>
      </c>
      <c r="E894" t="inlineStr">
        <is>
          <t>ÅNGE</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46184</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30347-2024</t>
        </is>
      </c>
      <c r="B896" s="1" t="n">
        <v>45490.95515046296</v>
      </c>
      <c r="C896" s="1" t="n">
        <v>46184</v>
      </c>
      <c r="D896" t="inlineStr">
        <is>
          <t>VÄSTERNORRLANDS LÄN</t>
        </is>
      </c>
      <c r="E896" t="inlineStr">
        <is>
          <t>ÅNGE</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45128-2022</t>
        </is>
      </c>
      <c r="B897" s="1" t="n">
        <v>44844.3146412037</v>
      </c>
      <c r="C897" s="1" t="n">
        <v>46184</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42040-2024</t>
        </is>
      </c>
      <c r="B898" s="1" t="n">
        <v>45561.80983796297</v>
      </c>
      <c r="C898" s="1" t="n">
        <v>46184</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6901-2026</t>
        </is>
      </c>
      <c r="B899" s="1" t="n">
        <v>46057.4903587963</v>
      </c>
      <c r="C899" s="1" t="n">
        <v>46184</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7005-2026</t>
        </is>
      </c>
      <c r="B900" s="1" t="n">
        <v>46057.63594907407</v>
      </c>
      <c r="C900" s="1" t="n">
        <v>46184</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6542-2026</t>
        </is>
      </c>
      <c r="B901" s="1" t="n">
        <v>46056.42770833334</v>
      </c>
      <c r="C901" s="1" t="n">
        <v>46184</v>
      </c>
      <c r="D901" t="inlineStr">
        <is>
          <t>VÄSTERNORRLANDS LÄN</t>
        </is>
      </c>
      <c r="E901" t="inlineStr">
        <is>
          <t>ÅNGE</t>
        </is>
      </c>
      <c r="F901" t="inlineStr">
        <is>
          <t>SCA</t>
        </is>
      </c>
      <c r="G901" t="n">
        <v>28.5</v>
      </c>
      <c r="H901" t="n">
        <v>0</v>
      </c>
      <c r="I901" t="n">
        <v>0</v>
      </c>
      <c r="J901" t="n">
        <v>0</v>
      </c>
      <c r="K901" t="n">
        <v>0</v>
      </c>
      <c r="L901" t="n">
        <v>0</v>
      </c>
      <c r="M901" t="n">
        <v>0</v>
      </c>
      <c r="N901" t="n">
        <v>0</v>
      </c>
      <c r="O901" t="n">
        <v>0</v>
      </c>
      <c r="P901" t="n">
        <v>0</v>
      </c>
      <c r="Q901" t="n">
        <v>0</v>
      </c>
      <c r="R901" s="2" t="inlineStr"/>
    </row>
    <row r="902" ht="15" customHeight="1">
      <c r="A902" t="inlineStr">
        <is>
          <t>A 6547-2026</t>
        </is>
      </c>
      <c r="B902" s="1" t="n">
        <v>46056.42825231481</v>
      </c>
      <c r="C902" s="1" t="n">
        <v>46184</v>
      </c>
      <c r="D902" t="inlineStr">
        <is>
          <t>VÄSTERNORRLANDS LÄN</t>
        </is>
      </c>
      <c r="E902" t="inlineStr">
        <is>
          <t>ÅNGE</t>
        </is>
      </c>
      <c r="F902" t="inlineStr">
        <is>
          <t>SCA</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6795-2026</t>
        </is>
      </c>
      <c r="B903" s="1" t="n">
        <v>46057.34429398148</v>
      </c>
      <c r="C903" s="1" t="n">
        <v>46184</v>
      </c>
      <c r="D903" t="inlineStr">
        <is>
          <t>VÄSTERNORRLANDS LÄN</t>
        </is>
      </c>
      <c r="E903" t="inlineStr">
        <is>
          <t>ÅNGE</t>
        </is>
      </c>
      <c r="F903" t="inlineStr">
        <is>
          <t>SCA</t>
        </is>
      </c>
      <c r="G903" t="n">
        <v>7.5</v>
      </c>
      <c r="H903" t="n">
        <v>0</v>
      </c>
      <c r="I903" t="n">
        <v>0</v>
      </c>
      <c r="J903" t="n">
        <v>0</v>
      </c>
      <c r="K903" t="n">
        <v>0</v>
      </c>
      <c r="L903" t="n">
        <v>0</v>
      </c>
      <c r="M903" t="n">
        <v>0</v>
      </c>
      <c r="N903" t="n">
        <v>0</v>
      </c>
      <c r="O903" t="n">
        <v>0</v>
      </c>
      <c r="P903" t="n">
        <v>0</v>
      </c>
      <c r="Q903" t="n">
        <v>0</v>
      </c>
      <c r="R903" s="2" t="inlineStr"/>
    </row>
    <row r="904" ht="15" customHeight="1">
      <c r="A904" t="inlineStr">
        <is>
          <t>A 6797-2026</t>
        </is>
      </c>
      <c r="B904" s="1" t="n">
        <v>46057.34459490741</v>
      </c>
      <c r="C904" s="1" t="n">
        <v>46184</v>
      </c>
      <c r="D904" t="inlineStr">
        <is>
          <t>VÄSTERNORRLANDS LÄN</t>
        </is>
      </c>
      <c r="E904" t="inlineStr">
        <is>
          <t>ÅNGE</t>
        </is>
      </c>
      <c r="F904" t="inlineStr">
        <is>
          <t>SCA</t>
        </is>
      </c>
      <c r="G904" t="n">
        <v>10.7</v>
      </c>
      <c r="H904" t="n">
        <v>0</v>
      </c>
      <c r="I904" t="n">
        <v>0</v>
      </c>
      <c r="J904" t="n">
        <v>0</v>
      </c>
      <c r="K904" t="n">
        <v>0</v>
      </c>
      <c r="L904" t="n">
        <v>0</v>
      </c>
      <c r="M904" t="n">
        <v>0</v>
      </c>
      <c r="N904" t="n">
        <v>0</v>
      </c>
      <c r="O904" t="n">
        <v>0</v>
      </c>
      <c r="P904" t="n">
        <v>0</v>
      </c>
      <c r="Q904" t="n">
        <v>0</v>
      </c>
      <c r="R904" s="2" t="inlineStr"/>
    </row>
    <row r="905" ht="15" customHeight="1">
      <c r="A905" t="inlineStr">
        <is>
          <t>A 6918-2026</t>
        </is>
      </c>
      <c r="B905" s="1" t="n">
        <v>46057.53289351852</v>
      </c>
      <c r="C905" s="1" t="n">
        <v>46184</v>
      </c>
      <c r="D905" t="inlineStr">
        <is>
          <t>VÄSTERNORRLANDS LÄN</t>
        </is>
      </c>
      <c r="E905" t="inlineStr">
        <is>
          <t>ÅNGE</t>
        </is>
      </c>
      <c r="G905" t="n">
        <v>0.8</v>
      </c>
      <c r="H905" t="n">
        <v>0</v>
      </c>
      <c r="I905" t="n">
        <v>0</v>
      </c>
      <c r="J905" t="n">
        <v>0</v>
      </c>
      <c r="K905" t="n">
        <v>0</v>
      </c>
      <c r="L905" t="n">
        <v>0</v>
      </c>
      <c r="M905" t="n">
        <v>0</v>
      </c>
      <c r="N905" t="n">
        <v>0</v>
      </c>
      <c r="O905" t="n">
        <v>0</v>
      </c>
      <c r="P905" t="n">
        <v>0</v>
      </c>
      <c r="Q905" t="n">
        <v>0</v>
      </c>
      <c r="R905" s="2" t="inlineStr"/>
    </row>
    <row r="906" ht="15" customHeight="1">
      <c r="A906" t="inlineStr">
        <is>
          <t>A 6932-2026</t>
        </is>
      </c>
      <c r="B906" s="1" t="n">
        <v>46057.55331018518</v>
      </c>
      <c r="C906" s="1" t="n">
        <v>46184</v>
      </c>
      <c r="D906" t="inlineStr">
        <is>
          <t>VÄSTERNORRLANDS LÄN</t>
        </is>
      </c>
      <c r="E906" t="inlineStr">
        <is>
          <t>ÅNGE</t>
        </is>
      </c>
      <c r="G906" t="n">
        <v>11.2</v>
      </c>
      <c r="H906" t="n">
        <v>0</v>
      </c>
      <c r="I906" t="n">
        <v>0</v>
      </c>
      <c r="J906" t="n">
        <v>0</v>
      </c>
      <c r="K906" t="n">
        <v>0</v>
      </c>
      <c r="L906" t="n">
        <v>0</v>
      </c>
      <c r="M906" t="n">
        <v>0</v>
      </c>
      <c r="N906" t="n">
        <v>0</v>
      </c>
      <c r="O906" t="n">
        <v>0</v>
      </c>
      <c r="P906" t="n">
        <v>0</v>
      </c>
      <c r="Q906" t="n">
        <v>0</v>
      </c>
      <c r="R906" s="2" t="inlineStr"/>
    </row>
    <row r="907" ht="15" customHeight="1">
      <c r="A907" t="inlineStr">
        <is>
          <t>A 5433-2024</t>
        </is>
      </c>
      <c r="B907" s="1" t="n">
        <v>45331</v>
      </c>
      <c r="C907" s="1" t="n">
        <v>46184</v>
      </c>
      <c r="D907" t="inlineStr">
        <is>
          <t>VÄSTERNORRLANDS LÄN</t>
        </is>
      </c>
      <c r="E907" t="inlineStr">
        <is>
          <t>ÅNGE</t>
        </is>
      </c>
      <c r="G907" t="n">
        <v>2.1</v>
      </c>
      <c r="H907" t="n">
        <v>0</v>
      </c>
      <c r="I907" t="n">
        <v>0</v>
      </c>
      <c r="J907" t="n">
        <v>0</v>
      </c>
      <c r="K907" t="n">
        <v>0</v>
      </c>
      <c r="L907" t="n">
        <v>0</v>
      </c>
      <c r="M907" t="n">
        <v>0</v>
      </c>
      <c r="N907" t="n">
        <v>0</v>
      </c>
      <c r="O907" t="n">
        <v>0</v>
      </c>
      <c r="P907" t="n">
        <v>0</v>
      </c>
      <c r="Q907" t="n">
        <v>0</v>
      </c>
      <c r="R907" s="2" t="inlineStr"/>
    </row>
    <row r="908" ht="15" customHeight="1">
      <c r="A908" t="inlineStr">
        <is>
          <t>A 5456-2024</t>
        </is>
      </c>
      <c r="B908" s="1" t="n">
        <v>45331</v>
      </c>
      <c r="C908" s="1" t="n">
        <v>46184</v>
      </c>
      <c r="D908" t="inlineStr">
        <is>
          <t>VÄSTERNORRLANDS LÄN</t>
        </is>
      </c>
      <c r="E908" t="inlineStr">
        <is>
          <t>ÅNGE</t>
        </is>
      </c>
      <c r="G908" t="n">
        <v>13</v>
      </c>
      <c r="H908" t="n">
        <v>0</v>
      </c>
      <c r="I908" t="n">
        <v>0</v>
      </c>
      <c r="J908" t="n">
        <v>0</v>
      </c>
      <c r="K908" t="n">
        <v>0</v>
      </c>
      <c r="L908" t="n">
        <v>0</v>
      </c>
      <c r="M908" t="n">
        <v>0</v>
      </c>
      <c r="N908" t="n">
        <v>0</v>
      </c>
      <c r="O908" t="n">
        <v>0</v>
      </c>
      <c r="P908" t="n">
        <v>0</v>
      </c>
      <c r="Q908" t="n">
        <v>0</v>
      </c>
      <c r="R908" s="2" t="inlineStr"/>
    </row>
    <row r="909" ht="15" customHeight="1">
      <c r="A909" t="inlineStr">
        <is>
          <t>A 3357-2024</t>
        </is>
      </c>
      <c r="B909" s="1" t="n">
        <v>45317</v>
      </c>
      <c r="C909" s="1" t="n">
        <v>46184</v>
      </c>
      <c r="D909" t="inlineStr">
        <is>
          <t>VÄSTERNORRLANDS LÄN</t>
        </is>
      </c>
      <c r="E909" t="inlineStr">
        <is>
          <t>ÅNGE</t>
        </is>
      </c>
      <c r="G909" t="n">
        <v>8</v>
      </c>
      <c r="H909" t="n">
        <v>0</v>
      </c>
      <c r="I909" t="n">
        <v>0</v>
      </c>
      <c r="J909" t="n">
        <v>0</v>
      </c>
      <c r="K909" t="n">
        <v>0</v>
      </c>
      <c r="L909" t="n">
        <v>0</v>
      </c>
      <c r="M909" t="n">
        <v>0</v>
      </c>
      <c r="N909" t="n">
        <v>0</v>
      </c>
      <c r="O909" t="n">
        <v>0</v>
      </c>
      <c r="P909" t="n">
        <v>0</v>
      </c>
      <c r="Q909" t="n">
        <v>0</v>
      </c>
      <c r="R909" s="2" t="inlineStr"/>
    </row>
    <row r="910" ht="15" customHeight="1">
      <c r="A910" t="inlineStr">
        <is>
          <t>A 6975-2026</t>
        </is>
      </c>
      <c r="B910" s="1" t="n">
        <v>46057.59436342592</v>
      </c>
      <c r="C910" s="1" t="n">
        <v>46184</v>
      </c>
      <c r="D910" t="inlineStr">
        <is>
          <t>VÄSTERNORRLANDS LÄN</t>
        </is>
      </c>
      <c r="E910" t="inlineStr">
        <is>
          <t>ÅNGE</t>
        </is>
      </c>
      <c r="F910" t="inlineStr">
        <is>
          <t>SCA</t>
        </is>
      </c>
      <c r="G910" t="n">
        <v>20.7</v>
      </c>
      <c r="H910" t="n">
        <v>0</v>
      </c>
      <c r="I910" t="n">
        <v>0</v>
      </c>
      <c r="J910" t="n">
        <v>0</v>
      </c>
      <c r="K910" t="n">
        <v>0</v>
      </c>
      <c r="L910" t="n">
        <v>0</v>
      </c>
      <c r="M910" t="n">
        <v>0</v>
      </c>
      <c r="N910" t="n">
        <v>0</v>
      </c>
      <c r="O910" t="n">
        <v>0</v>
      </c>
      <c r="P910" t="n">
        <v>0</v>
      </c>
      <c r="Q910" t="n">
        <v>0</v>
      </c>
      <c r="R910" s="2" t="inlineStr"/>
    </row>
    <row r="911" ht="15" customHeight="1">
      <c r="A911" t="inlineStr">
        <is>
          <t>A 7026-2026</t>
        </is>
      </c>
      <c r="B911" s="1" t="n">
        <v>46057.67420138889</v>
      </c>
      <c r="C911" s="1" t="n">
        <v>46184</v>
      </c>
      <c r="D911" t="inlineStr">
        <is>
          <t>VÄSTERNORRLANDS LÄN</t>
        </is>
      </c>
      <c r="E911" t="inlineStr">
        <is>
          <t>ÅNGE</t>
        </is>
      </c>
      <c r="G911" t="n">
        <v>18.4</v>
      </c>
      <c r="H911" t="n">
        <v>0</v>
      </c>
      <c r="I911" t="n">
        <v>0</v>
      </c>
      <c r="J911" t="n">
        <v>0</v>
      </c>
      <c r="K911" t="n">
        <v>0</v>
      </c>
      <c r="L911" t="n">
        <v>0</v>
      </c>
      <c r="M911" t="n">
        <v>0</v>
      </c>
      <c r="N911" t="n">
        <v>0</v>
      </c>
      <c r="O911" t="n">
        <v>0</v>
      </c>
      <c r="P911" t="n">
        <v>0</v>
      </c>
      <c r="Q911" t="n">
        <v>0</v>
      </c>
      <c r="R911" s="2" t="inlineStr"/>
    </row>
    <row r="912" ht="15" customHeight="1">
      <c r="A912" t="inlineStr">
        <is>
          <t>A 22752-2023</t>
        </is>
      </c>
      <c r="B912" s="1" t="n">
        <v>45071.94104166667</v>
      </c>
      <c r="C912" s="1" t="n">
        <v>46184</v>
      </c>
      <c r="D912" t="inlineStr">
        <is>
          <t>VÄSTERNORRLANDS LÄN</t>
        </is>
      </c>
      <c r="E912" t="inlineStr">
        <is>
          <t>ÅNGE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11032-2025</t>
        </is>
      </c>
      <c r="B913" s="1" t="n">
        <v>45723.47601851852</v>
      </c>
      <c r="C913" s="1" t="n">
        <v>46184</v>
      </c>
      <c r="D913" t="inlineStr">
        <is>
          <t>VÄSTERNORRLANDS LÄN</t>
        </is>
      </c>
      <c r="E913" t="inlineStr">
        <is>
          <t>ÅNGE</t>
        </is>
      </c>
      <c r="G913" t="n">
        <v>4.4</v>
      </c>
      <c r="H913" t="n">
        <v>0</v>
      </c>
      <c r="I913" t="n">
        <v>0</v>
      </c>
      <c r="J913" t="n">
        <v>0</v>
      </c>
      <c r="K913" t="n">
        <v>0</v>
      </c>
      <c r="L913" t="n">
        <v>0</v>
      </c>
      <c r="M913" t="n">
        <v>0</v>
      </c>
      <c r="N913" t="n">
        <v>0</v>
      </c>
      <c r="O913" t="n">
        <v>0</v>
      </c>
      <c r="P913" t="n">
        <v>0</v>
      </c>
      <c r="Q913" t="n">
        <v>0</v>
      </c>
      <c r="R913" s="2" t="inlineStr"/>
    </row>
    <row r="914" ht="15" customHeight="1">
      <c r="A914" t="inlineStr">
        <is>
          <t>A 7284-2026</t>
        </is>
      </c>
      <c r="B914" s="1" t="n">
        <v>46058.63614583333</v>
      </c>
      <c r="C914" s="1" t="n">
        <v>46184</v>
      </c>
      <c r="D914" t="inlineStr">
        <is>
          <t>VÄSTERNORRLANDS LÄN</t>
        </is>
      </c>
      <c r="E914" t="inlineStr">
        <is>
          <t>ÅNGE</t>
        </is>
      </c>
      <c r="G914" t="n">
        <v>2.2</v>
      </c>
      <c r="H914" t="n">
        <v>0</v>
      </c>
      <c r="I914" t="n">
        <v>0</v>
      </c>
      <c r="J914" t="n">
        <v>0</v>
      </c>
      <c r="K914" t="n">
        <v>0</v>
      </c>
      <c r="L914" t="n">
        <v>0</v>
      </c>
      <c r="M914" t="n">
        <v>0</v>
      </c>
      <c r="N914" t="n">
        <v>0</v>
      </c>
      <c r="O914" t="n">
        <v>0</v>
      </c>
      <c r="P914" t="n">
        <v>0</v>
      </c>
      <c r="Q914" t="n">
        <v>0</v>
      </c>
      <c r="R914" s="2" t="inlineStr"/>
    </row>
    <row r="915" ht="15" customHeight="1">
      <c r="A915" t="inlineStr">
        <is>
          <t>A 7184-2026</t>
        </is>
      </c>
      <c r="B915" s="1" t="n">
        <v>46058.49020833334</v>
      </c>
      <c r="C915" s="1" t="n">
        <v>46184</v>
      </c>
      <c r="D915" t="inlineStr">
        <is>
          <t>VÄSTERNORRLANDS LÄN</t>
        </is>
      </c>
      <c r="E915" t="inlineStr">
        <is>
          <t>ÅNGE</t>
        </is>
      </c>
      <c r="F915" t="inlineStr">
        <is>
          <t>SCA</t>
        </is>
      </c>
      <c r="G915" t="n">
        <v>19.3</v>
      </c>
      <c r="H915" t="n">
        <v>0</v>
      </c>
      <c r="I915" t="n">
        <v>0</v>
      </c>
      <c r="J915" t="n">
        <v>0</v>
      </c>
      <c r="K915" t="n">
        <v>0</v>
      </c>
      <c r="L915" t="n">
        <v>0</v>
      </c>
      <c r="M915" t="n">
        <v>0</v>
      </c>
      <c r="N915" t="n">
        <v>0</v>
      </c>
      <c r="O915" t="n">
        <v>0</v>
      </c>
      <c r="P915" t="n">
        <v>0</v>
      </c>
      <c r="Q915" t="n">
        <v>0</v>
      </c>
      <c r="R915" s="2" t="inlineStr"/>
    </row>
    <row r="916" ht="15" customHeight="1">
      <c r="A916" t="inlineStr">
        <is>
          <t>A 7547-2026</t>
        </is>
      </c>
      <c r="B916" s="1" t="n">
        <v>46059.67755787037</v>
      </c>
      <c r="C916" s="1" t="n">
        <v>46184</v>
      </c>
      <c r="D916" t="inlineStr">
        <is>
          <t>VÄSTERNORRLANDS LÄN</t>
        </is>
      </c>
      <c r="E916" t="inlineStr">
        <is>
          <t>ÅNGE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60779-2024</t>
        </is>
      </c>
      <c r="B917" s="1" t="n">
        <v>45644</v>
      </c>
      <c r="C917" s="1" t="n">
        <v>46184</v>
      </c>
      <c r="D917" t="inlineStr">
        <is>
          <t>VÄSTERNORRLANDS LÄN</t>
        </is>
      </c>
      <c r="E917" t="inlineStr">
        <is>
          <t>ÅNGE</t>
        </is>
      </c>
      <c r="G917" t="n">
        <v>3.1</v>
      </c>
      <c r="H917" t="n">
        <v>0</v>
      </c>
      <c r="I917" t="n">
        <v>0</v>
      </c>
      <c r="J917" t="n">
        <v>0</v>
      </c>
      <c r="K917" t="n">
        <v>0</v>
      </c>
      <c r="L917" t="n">
        <v>0</v>
      </c>
      <c r="M917" t="n">
        <v>0</v>
      </c>
      <c r="N917" t="n">
        <v>0</v>
      </c>
      <c r="O917" t="n">
        <v>0</v>
      </c>
      <c r="P917" t="n">
        <v>0</v>
      </c>
      <c r="Q917" t="n">
        <v>0</v>
      </c>
      <c r="R917" s="2" t="inlineStr"/>
    </row>
    <row r="918" ht="15" customHeight="1">
      <c r="A918" t="inlineStr">
        <is>
          <t>A 7283-2026</t>
        </is>
      </c>
      <c r="B918" s="1" t="n">
        <v>46058.63606481482</v>
      </c>
      <c r="C918" s="1" t="n">
        <v>46184</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7548-2026</t>
        </is>
      </c>
      <c r="B919" s="1" t="n">
        <v>46059.67776620371</v>
      </c>
      <c r="C919" s="1" t="n">
        <v>46184</v>
      </c>
      <c r="D919" t="inlineStr">
        <is>
          <t>VÄSTERNORRLANDS LÄN</t>
        </is>
      </c>
      <c r="E919" t="inlineStr">
        <is>
          <t>ÅNGE</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7634-2026</t>
        </is>
      </c>
      <c r="B920" s="1" t="n">
        <v>46062.36506944444</v>
      </c>
      <c r="C920" s="1" t="n">
        <v>46184</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60003-2023</t>
        </is>
      </c>
      <c r="B921" s="1" t="n">
        <v>45257</v>
      </c>
      <c r="C921" s="1" t="n">
        <v>46184</v>
      </c>
      <c r="D921" t="inlineStr">
        <is>
          <t>VÄSTERNORRLANDS LÄN</t>
        </is>
      </c>
      <c r="E921" t="inlineStr">
        <is>
          <t>ÅNGE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4876-2023</t>
        </is>
      </c>
      <c r="B922" s="1" t="n">
        <v>44957.94023148148</v>
      </c>
      <c r="C922" s="1" t="n">
        <v>46184</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7946-2026</t>
        </is>
      </c>
      <c r="B923" s="1" t="n">
        <v>46062</v>
      </c>
      <c r="C923" s="1" t="n">
        <v>46184</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55751-2024</t>
        </is>
      </c>
      <c r="B924" s="1" t="n">
        <v>45623.34409722222</v>
      </c>
      <c r="C924" s="1" t="n">
        <v>46184</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57591-2022</t>
        </is>
      </c>
      <c r="B925" s="1" t="n">
        <v>44896.97834490741</v>
      </c>
      <c r="C925" s="1" t="n">
        <v>46184</v>
      </c>
      <c r="D925" t="inlineStr">
        <is>
          <t>VÄSTERNORRLANDS LÄN</t>
        </is>
      </c>
      <c r="E925" t="inlineStr">
        <is>
          <t>ÅNGE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7826-2026</t>
        </is>
      </c>
      <c r="B926" s="1" t="n">
        <v>46062</v>
      </c>
      <c r="C926" s="1" t="n">
        <v>46184</v>
      </c>
      <c r="D926" t="inlineStr">
        <is>
          <t>VÄSTERNORRLANDS LÄN</t>
        </is>
      </c>
      <c r="E926" t="inlineStr">
        <is>
          <t>ÅNGE</t>
        </is>
      </c>
      <c r="G926" t="n">
        <v>2.8</v>
      </c>
      <c r="H926" t="n">
        <v>0</v>
      </c>
      <c r="I926" t="n">
        <v>0</v>
      </c>
      <c r="J926" t="n">
        <v>0</v>
      </c>
      <c r="K926" t="n">
        <v>0</v>
      </c>
      <c r="L926" t="n">
        <v>0</v>
      </c>
      <c r="M926" t="n">
        <v>0</v>
      </c>
      <c r="N926" t="n">
        <v>0</v>
      </c>
      <c r="O926" t="n">
        <v>0</v>
      </c>
      <c r="P926" t="n">
        <v>0</v>
      </c>
      <c r="Q926" t="n">
        <v>0</v>
      </c>
      <c r="R926" s="2" t="inlineStr"/>
    </row>
    <row r="927" ht="15" customHeight="1">
      <c r="A927" t="inlineStr">
        <is>
          <t>A 25034-2023</t>
        </is>
      </c>
      <c r="B927" s="1" t="n">
        <v>45085</v>
      </c>
      <c r="C927" s="1" t="n">
        <v>46184</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13875-2022</t>
        </is>
      </c>
      <c r="B928" s="1" t="n">
        <v>44649</v>
      </c>
      <c r="C928" s="1" t="n">
        <v>46184</v>
      </c>
      <c r="D928" t="inlineStr">
        <is>
          <t>VÄSTERNORRLANDS LÄN</t>
        </is>
      </c>
      <c r="E928" t="inlineStr">
        <is>
          <t>ÅNGE</t>
        </is>
      </c>
      <c r="G928" t="n">
        <v>1.3</v>
      </c>
      <c r="H928" t="n">
        <v>0</v>
      </c>
      <c r="I928" t="n">
        <v>0</v>
      </c>
      <c r="J928" t="n">
        <v>0</v>
      </c>
      <c r="K928" t="n">
        <v>0</v>
      </c>
      <c r="L928" t="n">
        <v>0</v>
      </c>
      <c r="M928" t="n">
        <v>0</v>
      </c>
      <c r="N928" t="n">
        <v>0</v>
      </c>
      <c r="O928" t="n">
        <v>0</v>
      </c>
      <c r="P928" t="n">
        <v>0</v>
      </c>
      <c r="Q928" t="n">
        <v>0</v>
      </c>
      <c r="R928" s="2" t="inlineStr"/>
    </row>
    <row r="929" ht="15" customHeight="1">
      <c r="A929" t="inlineStr">
        <is>
          <t>A 1846-2026</t>
        </is>
      </c>
      <c r="B929" s="1" t="n">
        <v>46035</v>
      </c>
      <c r="C929" s="1" t="n">
        <v>46184</v>
      </c>
      <c r="D929" t="inlineStr">
        <is>
          <t>VÄSTERNORRLANDS LÄN</t>
        </is>
      </c>
      <c r="E929" t="inlineStr">
        <is>
          <t>ÅNGE</t>
        </is>
      </c>
      <c r="G929" t="n">
        <v>2.5</v>
      </c>
      <c r="H929" t="n">
        <v>0</v>
      </c>
      <c r="I929" t="n">
        <v>0</v>
      </c>
      <c r="J929" t="n">
        <v>0</v>
      </c>
      <c r="K929" t="n">
        <v>0</v>
      </c>
      <c r="L929" t="n">
        <v>0</v>
      </c>
      <c r="M929" t="n">
        <v>0</v>
      </c>
      <c r="N929" t="n">
        <v>0</v>
      </c>
      <c r="O929" t="n">
        <v>0</v>
      </c>
      <c r="P929" t="n">
        <v>0</v>
      </c>
      <c r="Q929" t="n">
        <v>0</v>
      </c>
      <c r="R929" s="2" t="inlineStr"/>
    </row>
    <row r="930" ht="15" customHeight="1">
      <c r="A930" t="inlineStr">
        <is>
          <t>A 8499-2026</t>
        </is>
      </c>
      <c r="B930" s="1" t="n">
        <v>46065.49912037037</v>
      </c>
      <c r="C930" s="1" t="n">
        <v>46184</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8284-2026</t>
        </is>
      </c>
      <c r="B931" s="1" t="n">
        <v>46064.56364583333</v>
      </c>
      <c r="C931" s="1" t="n">
        <v>46184</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8432-2026</t>
        </is>
      </c>
      <c r="B932" s="1" t="n">
        <v>46065.3862962963</v>
      </c>
      <c r="C932" s="1" t="n">
        <v>46184</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54316-2024</t>
        </is>
      </c>
      <c r="B933" s="1" t="n">
        <v>45617.34443287037</v>
      </c>
      <c r="C933" s="1" t="n">
        <v>46184</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8143-2026</t>
        </is>
      </c>
      <c r="B934" s="1" t="n">
        <v>46064.34438657408</v>
      </c>
      <c r="C934" s="1" t="n">
        <v>46184</v>
      </c>
      <c r="D934" t="inlineStr">
        <is>
          <t>VÄSTERNORRLANDS LÄN</t>
        </is>
      </c>
      <c r="E934" t="inlineStr">
        <is>
          <t>ÅNGE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8650-2024</t>
        </is>
      </c>
      <c r="B935" s="1" t="n">
        <v>45356</v>
      </c>
      <c r="C935" s="1" t="n">
        <v>46184</v>
      </c>
      <c r="D935" t="inlineStr">
        <is>
          <t>VÄSTERNORRLANDS LÄN</t>
        </is>
      </c>
      <c r="E935" t="inlineStr">
        <is>
          <t>ÅNGE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8569-2026</t>
        </is>
      </c>
      <c r="B936" s="1" t="n">
        <v>46065.67476851852</v>
      </c>
      <c r="C936" s="1" t="n">
        <v>46184</v>
      </c>
      <c r="D936" t="inlineStr">
        <is>
          <t>VÄSTERNORRLANDS LÄN</t>
        </is>
      </c>
      <c r="E936" t="inlineStr">
        <is>
          <t>ÅNGE</t>
        </is>
      </c>
      <c r="F936" t="inlineStr">
        <is>
          <t>SCA</t>
        </is>
      </c>
      <c r="G936" t="n">
        <v>30.5</v>
      </c>
      <c r="H936" t="n">
        <v>0</v>
      </c>
      <c r="I936" t="n">
        <v>0</v>
      </c>
      <c r="J936" t="n">
        <v>0</v>
      </c>
      <c r="K936" t="n">
        <v>0</v>
      </c>
      <c r="L936" t="n">
        <v>0</v>
      </c>
      <c r="M936" t="n">
        <v>0</v>
      </c>
      <c r="N936" t="n">
        <v>0</v>
      </c>
      <c r="O936" t="n">
        <v>0</v>
      </c>
      <c r="P936" t="n">
        <v>0</v>
      </c>
      <c r="Q936" t="n">
        <v>0</v>
      </c>
      <c r="R936" s="2" t="inlineStr"/>
    </row>
    <row r="937" ht="15" customHeight="1">
      <c r="A937" t="inlineStr">
        <is>
          <t>A 8145-2026</t>
        </is>
      </c>
      <c r="B937" s="1" t="n">
        <v>46064.34459490741</v>
      </c>
      <c r="C937" s="1" t="n">
        <v>46184</v>
      </c>
      <c r="D937" t="inlineStr">
        <is>
          <t>VÄSTERNORRLANDS LÄN</t>
        </is>
      </c>
      <c r="E937" t="inlineStr">
        <is>
          <t>ÅNGE</t>
        </is>
      </c>
      <c r="F937" t="inlineStr">
        <is>
          <t>SCA</t>
        </is>
      </c>
      <c r="G937" t="n">
        <v>11.6</v>
      </c>
      <c r="H937" t="n">
        <v>0</v>
      </c>
      <c r="I937" t="n">
        <v>0</v>
      </c>
      <c r="J937" t="n">
        <v>0</v>
      </c>
      <c r="K937" t="n">
        <v>0</v>
      </c>
      <c r="L937" t="n">
        <v>0</v>
      </c>
      <c r="M937" t="n">
        <v>0</v>
      </c>
      <c r="N937" t="n">
        <v>0</v>
      </c>
      <c r="O937" t="n">
        <v>0</v>
      </c>
      <c r="P937" t="n">
        <v>0</v>
      </c>
      <c r="Q937" t="n">
        <v>0</v>
      </c>
      <c r="R937" s="2" t="inlineStr"/>
    </row>
    <row r="938" ht="15" customHeight="1">
      <c r="A938" t="inlineStr">
        <is>
          <t>A 45631-2021</t>
        </is>
      </c>
      <c r="B938" s="1" t="n">
        <v>44440.98045138889</v>
      </c>
      <c r="C938" s="1" t="n">
        <v>46184</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8995-2026</t>
        </is>
      </c>
      <c r="B939" s="1" t="n">
        <v>46069.46938657408</v>
      </c>
      <c r="C939" s="1" t="n">
        <v>46184</v>
      </c>
      <c r="D939" t="inlineStr">
        <is>
          <t>VÄSTERNORRLANDS LÄN</t>
        </is>
      </c>
      <c r="E939" t="inlineStr">
        <is>
          <t>ÅNGE</t>
        </is>
      </c>
      <c r="F939" t="inlineStr">
        <is>
          <t>SCA</t>
        </is>
      </c>
      <c r="G939" t="n">
        <v>8.6</v>
      </c>
      <c r="H939" t="n">
        <v>0</v>
      </c>
      <c r="I939" t="n">
        <v>0</v>
      </c>
      <c r="J939" t="n">
        <v>0</v>
      </c>
      <c r="K939" t="n">
        <v>0</v>
      </c>
      <c r="L939" t="n">
        <v>0</v>
      </c>
      <c r="M939" t="n">
        <v>0</v>
      </c>
      <c r="N939" t="n">
        <v>0</v>
      </c>
      <c r="O939" t="n">
        <v>0</v>
      </c>
      <c r="P939" t="n">
        <v>0</v>
      </c>
      <c r="Q939" t="n">
        <v>0</v>
      </c>
      <c r="R939" s="2" t="inlineStr"/>
    </row>
    <row r="940" ht="15" customHeight="1">
      <c r="A940" t="inlineStr">
        <is>
          <t>A 8926-2026</t>
        </is>
      </c>
      <c r="B940" s="1" t="n">
        <v>46069.34429398148</v>
      </c>
      <c r="C940" s="1" t="n">
        <v>46184</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10878-2024</t>
        </is>
      </c>
      <c r="B941" s="1" t="n">
        <v>45370</v>
      </c>
      <c r="C941" s="1" t="n">
        <v>46184</v>
      </c>
      <c r="D941" t="inlineStr">
        <is>
          <t>VÄSTERNORRLANDS LÄN</t>
        </is>
      </c>
      <c r="E941" t="inlineStr">
        <is>
          <t>ÅNGE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8874-2026</t>
        </is>
      </c>
      <c r="B942" s="1" t="n">
        <v>46067.34431712963</v>
      </c>
      <c r="C942" s="1" t="n">
        <v>46184</v>
      </c>
      <c r="D942" t="inlineStr">
        <is>
          <t>VÄSTERNORRLANDS LÄN</t>
        </is>
      </c>
      <c r="E942" t="inlineStr">
        <is>
          <t>ÅNGE</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8836-2026</t>
        </is>
      </c>
      <c r="B943" s="1" t="n">
        <v>46066.63701388889</v>
      </c>
      <c r="C943" s="1" t="n">
        <v>46184</v>
      </c>
      <c r="D943" t="inlineStr">
        <is>
          <t>VÄSTERNORRLANDS LÄN</t>
        </is>
      </c>
      <c r="E943" t="inlineStr">
        <is>
          <t>ÅNGE</t>
        </is>
      </c>
      <c r="G943" t="n">
        <v>3.2</v>
      </c>
      <c r="H943" t="n">
        <v>0</v>
      </c>
      <c r="I943" t="n">
        <v>0</v>
      </c>
      <c r="J943" t="n">
        <v>0</v>
      </c>
      <c r="K943" t="n">
        <v>0</v>
      </c>
      <c r="L943" t="n">
        <v>0</v>
      </c>
      <c r="M943" t="n">
        <v>0</v>
      </c>
      <c r="N943" t="n">
        <v>0</v>
      </c>
      <c r="O943" t="n">
        <v>0</v>
      </c>
      <c r="P943" t="n">
        <v>0</v>
      </c>
      <c r="Q943" t="n">
        <v>0</v>
      </c>
      <c r="R943" s="2" t="inlineStr"/>
    </row>
    <row r="944" ht="15" customHeight="1">
      <c r="A944" t="inlineStr">
        <is>
          <t>A 4006-2022</t>
        </is>
      </c>
      <c r="B944" s="1" t="n">
        <v>44587.92019675926</v>
      </c>
      <c r="C944" s="1" t="n">
        <v>46184</v>
      </c>
      <c r="D944" t="inlineStr">
        <is>
          <t>VÄSTERNORRLANDS LÄN</t>
        </is>
      </c>
      <c r="E944" t="inlineStr">
        <is>
          <t>ÅNGE</t>
        </is>
      </c>
      <c r="G944" t="n">
        <v>5</v>
      </c>
      <c r="H944" t="n">
        <v>0</v>
      </c>
      <c r="I944" t="n">
        <v>0</v>
      </c>
      <c r="J944" t="n">
        <v>0</v>
      </c>
      <c r="K944" t="n">
        <v>0</v>
      </c>
      <c r="L944" t="n">
        <v>0</v>
      </c>
      <c r="M944" t="n">
        <v>0</v>
      </c>
      <c r="N944" t="n">
        <v>0</v>
      </c>
      <c r="O944" t="n">
        <v>0</v>
      </c>
      <c r="P944" t="n">
        <v>0</v>
      </c>
      <c r="Q944" t="n">
        <v>0</v>
      </c>
      <c r="R944" s="2" t="inlineStr"/>
    </row>
    <row r="945" ht="15" customHeight="1">
      <c r="A945" t="inlineStr">
        <is>
          <t>A 8635-2026</t>
        </is>
      </c>
      <c r="B945" s="1" t="n">
        <v>46066.3543287037</v>
      </c>
      <c r="C945" s="1" t="n">
        <v>46184</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61781-2023</t>
        </is>
      </c>
      <c r="B946" s="1" t="n">
        <v>45265.95708333333</v>
      </c>
      <c r="C946" s="1" t="n">
        <v>46184</v>
      </c>
      <c r="D946" t="inlineStr">
        <is>
          <t>VÄSTERNORRLANDS LÄN</t>
        </is>
      </c>
      <c r="E946" t="inlineStr">
        <is>
          <t>ÅNGE</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8928-2026</t>
        </is>
      </c>
      <c r="B947" s="1" t="n">
        <v>46069.34454861111</v>
      </c>
      <c r="C947" s="1" t="n">
        <v>46184</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9126-2026</t>
        </is>
      </c>
      <c r="B948" s="1" t="n">
        <v>46069.68767361111</v>
      </c>
      <c r="C948" s="1" t="n">
        <v>46184</v>
      </c>
      <c r="D948" t="inlineStr">
        <is>
          <t>VÄSTERNORRLANDS LÄN</t>
        </is>
      </c>
      <c r="E948" t="inlineStr">
        <is>
          <t>ÅNGE</t>
        </is>
      </c>
      <c r="G948" t="n">
        <v>1.3</v>
      </c>
      <c r="H948" t="n">
        <v>0</v>
      </c>
      <c r="I948" t="n">
        <v>0</v>
      </c>
      <c r="J948" t="n">
        <v>0</v>
      </c>
      <c r="K948" t="n">
        <v>0</v>
      </c>
      <c r="L948" t="n">
        <v>0</v>
      </c>
      <c r="M948" t="n">
        <v>0</v>
      </c>
      <c r="N948" t="n">
        <v>0</v>
      </c>
      <c r="O948" t="n">
        <v>0</v>
      </c>
      <c r="P948" t="n">
        <v>0</v>
      </c>
      <c r="Q948" t="n">
        <v>0</v>
      </c>
      <c r="R948" s="2" t="inlineStr"/>
    </row>
    <row r="949" ht="15" customHeight="1">
      <c r="A949" t="inlineStr">
        <is>
          <t>A 8638-2026</t>
        </is>
      </c>
      <c r="B949" s="1" t="n">
        <v>46066.3546875</v>
      </c>
      <c r="C949" s="1" t="n">
        <v>46184</v>
      </c>
      <c r="D949" t="inlineStr">
        <is>
          <t>VÄSTERNORRLANDS LÄN</t>
        </is>
      </c>
      <c r="E949" t="inlineStr">
        <is>
          <t>ÅNGE</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33783-2024</t>
        </is>
      </c>
      <c r="B950" s="1" t="n">
        <v>45520</v>
      </c>
      <c r="C950" s="1" t="n">
        <v>46184</v>
      </c>
      <c r="D950" t="inlineStr">
        <is>
          <t>VÄSTERNORRLANDS LÄN</t>
        </is>
      </c>
      <c r="E950" t="inlineStr">
        <is>
          <t>ÅNGE</t>
        </is>
      </c>
      <c r="G950" t="n">
        <v>0.7</v>
      </c>
      <c r="H950" t="n">
        <v>0</v>
      </c>
      <c r="I950" t="n">
        <v>0</v>
      </c>
      <c r="J950" t="n">
        <v>0</v>
      </c>
      <c r="K950" t="n">
        <v>0</v>
      </c>
      <c r="L950" t="n">
        <v>0</v>
      </c>
      <c r="M950" t="n">
        <v>0</v>
      </c>
      <c r="N950" t="n">
        <v>0</v>
      </c>
      <c r="O950" t="n">
        <v>0</v>
      </c>
      <c r="P950" t="n">
        <v>0</v>
      </c>
      <c r="Q950" t="n">
        <v>0</v>
      </c>
      <c r="R950" s="2" t="inlineStr"/>
    </row>
    <row r="951" ht="15" customHeight="1">
      <c r="A951" t="inlineStr">
        <is>
          <t>A 63170-2023</t>
        </is>
      </c>
      <c r="B951" s="1" t="n">
        <v>45273.57087962963</v>
      </c>
      <c r="C951" s="1" t="n">
        <v>46184</v>
      </c>
      <c r="D951" t="inlineStr">
        <is>
          <t>VÄSTERNORRLANDS LÄN</t>
        </is>
      </c>
      <c r="E951" t="inlineStr">
        <is>
          <t>ÅNGE</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9334-2026</t>
        </is>
      </c>
      <c r="B952" s="1" t="n">
        <v>46070</v>
      </c>
      <c r="C952" s="1" t="n">
        <v>46184</v>
      </c>
      <c r="D952" t="inlineStr">
        <is>
          <t>VÄSTERNORRLANDS LÄN</t>
        </is>
      </c>
      <c r="E952" t="inlineStr">
        <is>
          <t>ÅNGE</t>
        </is>
      </c>
      <c r="F952" t="inlineStr">
        <is>
          <t>SCA</t>
        </is>
      </c>
      <c r="G952" t="n">
        <v>0.3</v>
      </c>
      <c r="H952" t="n">
        <v>0</v>
      </c>
      <c r="I952" t="n">
        <v>0</v>
      </c>
      <c r="J952" t="n">
        <v>0</v>
      </c>
      <c r="K952" t="n">
        <v>0</v>
      </c>
      <c r="L952" t="n">
        <v>0</v>
      </c>
      <c r="M952" t="n">
        <v>0</v>
      </c>
      <c r="N952" t="n">
        <v>0</v>
      </c>
      <c r="O952" t="n">
        <v>0</v>
      </c>
      <c r="P952" t="n">
        <v>0</v>
      </c>
      <c r="Q952" t="n">
        <v>0</v>
      </c>
      <c r="R952" s="2" t="inlineStr"/>
    </row>
    <row r="953" ht="15" customHeight="1">
      <c r="A953" t="inlineStr">
        <is>
          <t>A 47792-2022</t>
        </is>
      </c>
      <c r="B953" s="1" t="n">
        <v>44854.95238425926</v>
      </c>
      <c r="C953" s="1" t="n">
        <v>46184</v>
      </c>
      <c r="D953" t="inlineStr">
        <is>
          <t>VÄSTERNORRLANDS LÄN</t>
        </is>
      </c>
      <c r="E953" t="inlineStr">
        <is>
          <t>ÅNGE</t>
        </is>
      </c>
      <c r="F953" t="inlineStr">
        <is>
          <t>SCA</t>
        </is>
      </c>
      <c r="G953" t="n">
        <v>10.9</v>
      </c>
      <c r="H953" t="n">
        <v>0</v>
      </c>
      <c r="I953" t="n">
        <v>0</v>
      </c>
      <c r="J953" t="n">
        <v>0</v>
      </c>
      <c r="K953" t="n">
        <v>0</v>
      </c>
      <c r="L953" t="n">
        <v>0</v>
      </c>
      <c r="M953" t="n">
        <v>0</v>
      </c>
      <c r="N953" t="n">
        <v>0</v>
      </c>
      <c r="O953" t="n">
        <v>0</v>
      </c>
      <c r="P953" t="n">
        <v>0</v>
      </c>
      <c r="Q953" t="n">
        <v>0</v>
      </c>
      <c r="R953" s="2" t="inlineStr"/>
    </row>
    <row r="954" ht="15" customHeight="1">
      <c r="A954" t="inlineStr">
        <is>
          <t>A 1975-2025</t>
        </is>
      </c>
      <c r="B954" s="1" t="n">
        <v>45672.39332175926</v>
      </c>
      <c r="C954" s="1" t="n">
        <v>46184</v>
      </c>
      <c r="D954" t="inlineStr">
        <is>
          <t>VÄSTERNORRLANDS LÄN</t>
        </is>
      </c>
      <c r="E954" t="inlineStr">
        <is>
          <t>ÅNGE</t>
        </is>
      </c>
      <c r="G954" t="n">
        <v>6.2</v>
      </c>
      <c r="H954" t="n">
        <v>0</v>
      </c>
      <c r="I954" t="n">
        <v>0</v>
      </c>
      <c r="J954" t="n">
        <v>0</v>
      </c>
      <c r="K954" t="n">
        <v>0</v>
      </c>
      <c r="L954" t="n">
        <v>0</v>
      </c>
      <c r="M954" t="n">
        <v>0</v>
      </c>
      <c r="N954" t="n">
        <v>0</v>
      </c>
      <c r="O954" t="n">
        <v>0</v>
      </c>
      <c r="P954" t="n">
        <v>0</v>
      </c>
      <c r="Q954" t="n">
        <v>0</v>
      </c>
      <c r="R954" s="2" t="inlineStr"/>
    </row>
    <row r="955" ht="15" customHeight="1">
      <c r="A955" t="inlineStr">
        <is>
          <t>A 9845-2026</t>
        </is>
      </c>
      <c r="B955" s="1" t="n">
        <v>46072.73510416667</v>
      </c>
      <c r="C955" s="1" t="n">
        <v>46184</v>
      </c>
      <c r="D955" t="inlineStr">
        <is>
          <t>VÄSTERNORRLANDS LÄN</t>
        </is>
      </c>
      <c r="E955" t="inlineStr">
        <is>
          <t>ÅNGE</t>
        </is>
      </c>
      <c r="G955" t="n">
        <v>2.8</v>
      </c>
      <c r="H955" t="n">
        <v>0</v>
      </c>
      <c r="I955" t="n">
        <v>0</v>
      </c>
      <c r="J955" t="n">
        <v>0</v>
      </c>
      <c r="K955" t="n">
        <v>0</v>
      </c>
      <c r="L955" t="n">
        <v>0</v>
      </c>
      <c r="M955" t="n">
        <v>0</v>
      </c>
      <c r="N955" t="n">
        <v>0</v>
      </c>
      <c r="O955" t="n">
        <v>0</v>
      </c>
      <c r="P955" t="n">
        <v>0</v>
      </c>
      <c r="Q955" t="n">
        <v>0</v>
      </c>
      <c r="R955" s="2" t="inlineStr"/>
    </row>
    <row r="956" ht="15" customHeight="1">
      <c r="A956" t="inlineStr">
        <is>
          <t>A 38099-2024</t>
        </is>
      </c>
      <c r="B956" s="1" t="n">
        <v>45545.35920138889</v>
      </c>
      <c r="C956" s="1" t="n">
        <v>46184</v>
      </c>
      <c r="D956" t="inlineStr">
        <is>
          <t>VÄSTERNORRLANDS LÄN</t>
        </is>
      </c>
      <c r="E956" t="inlineStr">
        <is>
          <t>ÅNGE</t>
        </is>
      </c>
      <c r="F956" t="inlineStr">
        <is>
          <t>Holmen skog AB</t>
        </is>
      </c>
      <c r="G956" t="n">
        <v>3.7</v>
      </c>
      <c r="H956" t="n">
        <v>0</v>
      </c>
      <c r="I956" t="n">
        <v>0</v>
      </c>
      <c r="J956" t="n">
        <v>0</v>
      </c>
      <c r="K956" t="n">
        <v>0</v>
      </c>
      <c r="L956" t="n">
        <v>0</v>
      </c>
      <c r="M956" t="n">
        <v>0</v>
      </c>
      <c r="N956" t="n">
        <v>0</v>
      </c>
      <c r="O956" t="n">
        <v>0</v>
      </c>
      <c r="P956" t="n">
        <v>0</v>
      </c>
      <c r="Q956" t="n">
        <v>0</v>
      </c>
      <c r="R956" s="2" t="inlineStr"/>
    </row>
    <row r="957" ht="15" customHeight="1">
      <c r="A957" t="inlineStr">
        <is>
          <t>A 9882-2026</t>
        </is>
      </c>
      <c r="B957" s="1" t="n">
        <v>46073.34444444445</v>
      </c>
      <c r="C957" s="1" t="n">
        <v>46184</v>
      </c>
      <c r="D957" t="inlineStr">
        <is>
          <t>VÄSTERNORRLANDS LÄN</t>
        </is>
      </c>
      <c r="E957" t="inlineStr">
        <is>
          <t>ÅNGE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10648-2026</t>
        </is>
      </c>
      <c r="B958" s="1" t="n">
        <v>46078.3446412037</v>
      </c>
      <c r="C958" s="1" t="n">
        <v>46184</v>
      </c>
      <c r="D958" t="inlineStr">
        <is>
          <t>VÄSTERNORRLANDS LÄN</t>
        </is>
      </c>
      <c r="E958" t="inlineStr">
        <is>
          <t>ÅNGE</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10706-2026</t>
        </is>
      </c>
      <c r="B959" s="1" t="n">
        <v>46078.44876157407</v>
      </c>
      <c r="C959" s="1" t="n">
        <v>46184</v>
      </c>
      <c r="D959" t="inlineStr">
        <is>
          <t>VÄSTERNORRLANDS LÄN</t>
        </is>
      </c>
      <c r="E959" t="inlineStr">
        <is>
          <t>ÅNGE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10722-2026</t>
        </is>
      </c>
      <c r="B960" s="1" t="n">
        <v>46078.46929398148</v>
      </c>
      <c r="C960" s="1" t="n">
        <v>46184</v>
      </c>
      <c r="D960" t="inlineStr">
        <is>
          <t>VÄSTERNORRLANDS LÄN</t>
        </is>
      </c>
      <c r="E960" t="inlineStr">
        <is>
          <t>ÅNGE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10854-2026</t>
        </is>
      </c>
      <c r="B961" s="1" t="n">
        <v>46078.65730324074</v>
      </c>
      <c r="C961" s="1" t="n">
        <v>46184</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10647-2026</t>
        </is>
      </c>
      <c r="B962" s="1" t="n">
        <v>46078.344375</v>
      </c>
      <c r="C962" s="1" t="n">
        <v>46184</v>
      </c>
      <c r="D962" t="inlineStr">
        <is>
          <t>VÄSTERNORRLANDS LÄN</t>
        </is>
      </c>
      <c r="E962" t="inlineStr">
        <is>
          <t>ÅNGE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10678-2026</t>
        </is>
      </c>
      <c r="B963" s="1" t="n">
        <v>46078.40769675926</v>
      </c>
      <c r="C963" s="1" t="n">
        <v>46184</v>
      </c>
      <c r="D963" t="inlineStr">
        <is>
          <t>VÄSTERNORRLANDS LÄN</t>
        </is>
      </c>
      <c r="E963" t="inlineStr">
        <is>
          <t>ÅNGE</t>
        </is>
      </c>
      <c r="F963" t="inlineStr">
        <is>
          <t>SCA</t>
        </is>
      </c>
      <c r="G963" t="n">
        <v>19.9</v>
      </c>
      <c r="H963" t="n">
        <v>0</v>
      </c>
      <c r="I963" t="n">
        <v>0</v>
      </c>
      <c r="J963" t="n">
        <v>0</v>
      </c>
      <c r="K963" t="n">
        <v>0</v>
      </c>
      <c r="L963" t="n">
        <v>0</v>
      </c>
      <c r="M963" t="n">
        <v>0</v>
      </c>
      <c r="N963" t="n">
        <v>0</v>
      </c>
      <c r="O963" t="n">
        <v>0</v>
      </c>
      <c r="P963" t="n">
        <v>0</v>
      </c>
      <c r="Q963" t="n">
        <v>0</v>
      </c>
      <c r="R963" s="2" t="inlineStr"/>
    </row>
    <row r="964" ht="15" customHeight="1">
      <c r="A964" t="inlineStr">
        <is>
          <t>A 10411-2026</t>
        </is>
      </c>
      <c r="B964" s="1" t="n">
        <v>46077.34547453704</v>
      </c>
      <c r="C964" s="1" t="n">
        <v>46184</v>
      </c>
      <c r="D964" t="inlineStr">
        <is>
          <t>VÄSTERNORRLANDS LÄN</t>
        </is>
      </c>
      <c r="E964" t="inlineStr">
        <is>
          <t>ÅNGE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10412-2026</t>
        </is>
      </c>
      <c r="B965" s="1" t="n">
        <v>46077.34564814815</v>
      </c>
      <c r="C965" s="1" t="n">
        <v>46184</v>
      </c>
      <c r="D965" t="inlineStr">
        <is>
          <t>VÄSTERNORRLANDS LÄN</t>
        </is>
      </c>
      <c r="E965" t="inlineStr">
        <is>
          <t>ÅNGE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10407-2026</t>
        </is>
      </c>
      <c r="B966" s="1" t="n">
        <v>46077.34465277778</v>
      </c>
      <c r="C966" s="1" t="n">
        <v>46184</v>
      </c>
      <c r="D966" t="inlineStr">
        <is>
          <t>VÄSTERNORRLANDS LÄN</t>
        </is>
      </c>
      <c r="E966" t="inlineStr">
        <is>
          <t>ÅNGE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1403-2025</t>
        </is>
      </c>
      <c r="B967" s="1" t="n">
        <v>45667.70548611111</v>
      </c>
      <c r="C967" s="1" t="n">
        <v>46184</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10749-2026</t>
        </is>
      </c>
      <c r="B968" s="1" t="n">
        <v>46078.53174768519</v>
      </c>
      <c r="C968" s="1" t="n">
        <v>46184</v>
      </c>
      <c r="D968" t="inlineStr">
        <is>
          <t>VÄSTERNORRLANDS LÄN</t>
        </is>
      </c>
      <c r="E968" t="inlineStr">
        <is>
          <t>ÅNGE</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60365-2024</t>
        </is>
      </c>
      <c r="B969" s="1" t="n">
        <v>45643</v>
      </c>
      <c r="C969" s="1" t="n">
        <v>46184</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20393-2022</t>
        </is>
      </c>
      <c r="B970" s="1" t="n">
        <v>44699</v>
      </c>
      <c r="C970" s="1" t="n">
        <v>46184</v>
      </c>
      <c r="D970" t="inlineStr">
        <is>
          <t>VÄSTERNORRLANDS LÄN</t>
        </is>
      </c>
      <c r="E970" t="inlineStr">
        <is>
          <t>ÅNGE</t>
        </is>
      </c>
      <c r="G970" t="n">
        <v>6.9</v>
      </c>
      <c r="H970" t="n">
        <v>0</v>
      </c>
      <c r="I970" t="n">
        <v>0</v>
      </c>
      <c r="J970" t="n">
        <v>0</v>
      </c>
      <c r="K970" t="n">
        <v>0</v>
      </c>
      <c r="L970" t="n">
        <v>0</v>
      </c>
      <c r="M970" t="n">
        <v>0</v>
      </c>
      <c r="N970" t="n">
        <v>0</v>
      </c>
      <c r="O970" t="n">
        <v>0</v>
      </c>
      <c r="P970" t="n">
        <v>0</v>
      </c>
      <c r="Q970" t="n">
        <v>0</v>
      </c>
      <c r="R970" s="2" t="inlineStr"/>
    </row>
    <row r="971" ht="15" customHeight="1">
      <c r="A971" t="inlineStr">
        <is>
          <t>A 10878-2026</t>
        </is>
      </c>
      <c r="B971" s="1" t="n">
        <v>46078.71934027778</v>
      </c>
      <c r="C971" s="1" t="n">
        <v>46184</v>
      </c>
      <c r="D971" t="inlineStr">
        <is>
          <t>VÄSTERNORRLANDS LÄN</t>
        </is>
      </c>
      <c r="E971" t="inlineStr">
        <is>
          <t>ÅNGE</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25320-2023</t>
        </is>
      </c>
      <c r="B972" s="1" t="n">
        <v>45086.93929398148</v>
      </c>
      <c r="C972" s="1" t="n">
        <v>46184</v>
      </c>
      <c r="D972" t="inlineStr">
        <is>
          <t>VÄSTERNORRLANDS LÄN</t>
        </is>
      </c>
      <c r="E972" t="inlineStr">
        <is>
          <t>ÅNGE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10657-2026</t>
        </is>
      </c>
      <c r="B973" s="1" t="n">
        <v>46078.36505787037</v>
      </c>
      <c r="C973" s="1" t="n">
        <v>46184</v>
      </c>
      <c r="D973" t="inlineStr">
        <is>
          <t>VÄSTERNORRLANDS LÄN</t>
        </is>
      </c>
      <c r="E973" t="inlineStr">
        <is>
          <t>ÅNGE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59626-2022</t>
        </is>
      </c>
      <c r="B974" s="1" t="n">
        <v>44907.92354166666</v>
      </c>
      <c r="C974" s="1" t="n">
        <v>46184</v>
      </c>
      <c r="D974" t="inlineStr">
        <is>
          <t>VÄSTERNORRLANDS LÄN</t>
        </is>
      </c>
      <c r="E974" t="inlineStr">
        <is>
          <t>ÅNGE</t>
        </is>
      </c>
      <c r="G974" t="n">
        <v>1.4</v>
      </c>
      <c r="H974" t="n">
        <v>0</v>
      </c>
      <c r="I974" t="n">
        <v>0</v>
      </c>
      <c r="J974" t="n">
        <v>0</v>
      </c>
      <c r="K974" t="n">
        <v>0</v>
      </c>
      <c r="L974" t="n">
        <v>0</v>
      </c>
      <c r="M974" t="n">
        <v>0</v>
      </c>
      <c r="N974" t="n">
        <v>0</v>
      </c>
      <c r="O974" t="n">
        <v>0</v>
      </c>
      <c r="P974" t="n">
        <v>0</v>
      </c>
      <c r="Q974" t="n">
        <v>0</v>
      </c>
      <c r="R974" s="2" t="inlineStr"/>
    </row>
    <row r="975" ht="15" customHeight="1">
      <c r="A975" t="inlineStr">
        <is>
          <t>A 11075-2026</t>
        </is>
      </c>
      <c r="B975" s="1" t="n">
        <v>46079.61521990741</v>
      </c>
      <c r="C975" s="1" t="n">
        <v>46184</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34852-2023</t>
        </is>
      </c>
      <c r="B976" s="1" t="n">
        <v>45141</v>
      </c>
      <c r="C976" s="1" t="n">
        <v>46184</v>
      </c>
      <c r="D976" t="inlineStr">
        <is>
          <t>VÄSTERNORRLANDS LÄN</t>
        </is>
      </c>
      <c r="E976" t="inlineStr">
        <is>
          <t>ÅNGE</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44415-2021</t>
        </is>
      </c>
      <c r="B977" s="1" t="n">
        <v>44435</v>
      </c>
      <c r="C977" s="1" t="n">
        <v>46184</v>
      </c>
      <c r="D977" t="inlineStr">
        <is>
          <t>VÄSTERNORRLANDS LÄN</t>
        </is>
      </c>
      <c r="E977" t="inlineStr">
        <is>
          <t>ÅNGE</t>
        </is>
      </c>
      <c r="G977" t="n">
        <v>5.2</v>
      </c>
      <c r="H977" t="n">
        <v>0</v>
      </c>
      <c r="I977" t="n">
        <v>0</v>
      </c>
      <c r="J977" t="n">
        <v>0</v>
      </c>
      <c r="K977" t="n">
        <v>0</v>
      </c>
      <c r="L977" t="n">
        <v>0</v>
      </c>
      <c r="M977" t="n">
        <v>0</v>
      </c>
      <c r="N977" t="n">
        <v>0</v>
      </c>
      <c r="O977" t="n">
        <v>0</v>
      </c>
      <c r="P977" t="n">
        <v>0</v>
      </c>
      <c r="Q977" t="n">
        <v>0</v>
      </c>
      <c r="R977" s="2" t="inlineStr"/>
    </row>
    <row r="978" ht="15" customHeight="1">
      <c r="A978" t="inlineStr">
        <is>
          <t>A 11157-2026</t>
        </is>
      </c>
      <c r="B978" s="1" t="n">
        <v>46080.34425925926</v>
      </c>
      <c r="C978" s="1" t="n">
        <v>46184</v>
      </c>
      <c r="D978" t="inlineStr">
        <is>
          <t>VÄSTERNORRLANDS LÄN</t>
        </is>
      </c>
      <c r="E978" t="inlineStr">
        <is>
          <t>ÅNGE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11054-2026</t>
        </is>
      </c>
      <c r="B979" s="1" t="n">
        <v>46079.59443287037</v>
      </c>
      <c r="C979" s="1" t="n">
        <v>46184</v>
      </c>
      <c r="D979" t="inlineStr">
        <is>
          <t>VÄSTERNORRLANDS LÄN</t>
        </is>
      </c>
      <c r="E979" t="inlineStr">
        <is>
          <t>ÅNGE</t>
        </is>
      </c>
      <c r="F979" t="inlineStr">
        <is>
          <t>SCA</t>
        </is>
      </c>
      <c r="G979" t="n">
        <v>26.2</v>
      </c>
      <c r="H979" t="n">
        <v>0</v>
      </c>
      <c r="I979" t="n">
        <v>0</v>
      </c>
      <c r="J979" t="n">
        <v>0</v>
      </c>
      <c r="K979" t="n">
        <v>0</v>
      </c>
      <c r="L979" t="n">
        <v>0</v>
      </c>
      <c r="M979" t="n">
        <v>0</v>
      </c>
      <c r="N979" t="n">
        <v>0</v>
      </c>
      <c r="O979" t="n">
        <v>0</v>
      </c>
      <c r="P979" t="n">
        <v>0</v>
      </c>
      <c r="Q979" t="n">
        <v>0</v>
      </c>
      <c r="R979" s="2" t="inlineStr"/>
    </row>
    <row r="980" ht="15" customHeight="1">
      <c r="A980" t="inlineStr">
        <is>
          <t>A 11256-2026</t>
        </is>
      </c>
      <c r="B980" s="1" t="n">
        <v>46080</v>
      </c>
      <c r="C980" s="1" t="n">
        <v>46184</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11271-2026</t>
        </is>
      </c>
      <c r="B981" s="1" t="n">
        <v>46080.57349537037</v>
      </c>
      <c r="C981" s="1" t="n">
        <v>46184</v>
      </c>
      <c r="D981" t="inlineStr">
        <is>
          <t>VÄSTERNORRLANDS LÄN</t>
        </is>
      </c>
      <c r="E981" t="inlineStr">
        <is>
          <t>ÅNGE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27306-2024</t>
        </is>
      </c>
      <c r="B982" s="1" t="n">
        <v>45471.94454861111</v>
      </c>
      <c r="C982" s="1" t="n">
        <v>46184</v>
      </c>
      <c r="D982" t="inlineStr">
        <is>
          <t>VÄSTERNORRLANDS LÄN</t>
        </is>
      </c>
      <c r="E982" t="inlineStr">
        <is>
          <t>ÅNGE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11743-2026</t>
        </is>
      </c>
      <c r="B983" s="1" t="n">
        <v>46084.65674768519</v>
      </c>
      <c r="C983" s="1" t="n">
        <v>46184</v>
      </c>
      <c r="D983" t="inlineStr">
        <is>
          <t>VÄSTERNORRLANDS LÄN</t>
        </is>
      </c>
      <c r="E983" t="inlineStr">
        <is>
          <t>ÅNGE</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11645-2026</t>
        </is>
      </c>
      <c r="B984" s="1" t="n">
        <v>46084.51116898148</v>
      </c>
      <c r="C984" s="1" t="n">
        <v>46184</v>
      </c>
      <c r="D984" t="inlineStr">
        <is>
          <t>VÄSTERNORRLANDS LÄN</t>
        </is>
      </c>
      <c r="E984" t="inlineStr">
        <is>
          <t>ÅNGE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11744-2026</t>
        </is>
      </c>
      <c r="B985" s="1" t="n">
        <v>46084.65695601852</v>
      </c>
      <c r="C985" s="1" t="n">
        <v>46184</v>
      </c>
      <c r="D985" t="inlineStr">
        <is>
          <t>VÄSTERNORRLANDS LÄN</t>
        </is>
      </c>
      <c r="E985" t="inlineStr">
        <is>
          <t>ÅNGE</t>
        </is>
      </c>
      <c r="F985" t="inlineStr">
        <is>
          <t>SCA</t>
        </is>
      </c>
      <c r="G985" t="n">
        <v>8.9</v>
      </c>
      <c r="H985" t="n">
        <v>0</v>
      </c>
      <c r="I985" t="n">
        <v>0</v>
      </c>
      <c r="J985" t="n">
        <v>0</v>
      </c>
      <c r="K985" t="n">
        <v>0</v>
      </c>
      <c r="L985" t="n">
        <v>0</v>
      </c>
      <c r="M985" t="n">
        <v>0</v>
      </c>
      <c r="N985" t="n">
        <v>0</v>
      </c>
      <c r="O985" t="n">
        <v>0</v>
      </c>
      <c r="P985" t="n">
        <v>0</v>
      </c>
      <c r="Q985" t="n">
        <v>0</v>
      </c>
      <c r="R985" s="2" t="inlineStr"/>
    </row>
    <row r="986" ht="15" customHeight="1">
      <c r="A986" t="inlineStr">
        <is>
          <t>A 57286-2022</t>
        </is>
      </c>
      <c r="B986" s="1" t="n">
        <v>44895.94991898148</v>
      </c>
      <c r="C986" s="1" t="n">
        <v>46184</v>
      </c>
      <c r="D986" t="inlineStr">
        <is>
          <t>VÄSTERNORRLANDS LÄN</t>
        </is>
      </c>
      <c r="E986" t="inlineStr">
        <is>
          <t>ÅNGE</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11461-2026</t>
        </is>
      </c>
      <c r="B987" s="1" t="n">
        <v>46083.57335648148</v>
      </c>
      <c r="C987" s="1" t="n">
        <v>46184</v>
      </c>
      <c r="D987" t="inlineStr">
        <is>
          <t>VÄSTERNORRLANDS LÄN</t>
        </is>
      </c>
      <c r="E987" t="inlineStr">
        <is>
          <t>ÅNGE</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11564-2026</t>
        </is>
      </c>
      <c r="B988" s="1" t="n">
        <v>46084.36503472222</v>
      </c>
      <c r="C988" s="1" t="n">
        <v>46184</v>
      </c>
      <c r="D988" t="inlineStr">
        <is>
          <t>VÄSTERNORRLANDS LÄN</t>
        </is>
      </c>
      <c r="E988" t="inlineStr">
        <is>
          <t>ÅNGE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11472-2026</t>
        </is>
      </c>
      <c r="B989" s="1" t="n">
        <v>46083.59460648148</v>
      </c>
      <c r="C989" s="1" t="n">
        <v>46184</v>
      </c>
      <c r="D989" t="inlineStr">
        <is>
          <t>VÄSTERNORRLANDS LÄN</t>
        </is>
      </c>
      <c r="E989" t="inlineStr">
        <is>
          <t>ÅNGE</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12176-2026</t>
        </is>
      </c>
      <c r="B990" s="1" t="n">
        <v>46086.67760416667</v>
      </c>
      <c r="C990" s="1" t="n">
        <v>46184</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11924-2026</t>
        </is>
      </c>
      <c r="B991" s="1" t="n">
        <v>46085.5734837963</v>
      </c>
      <c r="C991" s="1" t="n">
        <v>46184</v>
      </c>
      <c r="D991" t="inlineStr">
        <is>
          <t>VÄSTERNORRLANDS LÄN</t>
        </is>
      </c>
      <c r="E991" t="inlineStr">
        <is>
          <t>ÅNGE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11816-2026</t>
        </is>
      </c>
      <c r="B992" s="1" t="n">
        <v>46085.38608796296</v>
      </c>
      <c r="C992" s="1" t="n">
        <v>46184</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11804-2026</t>
        </is>
      </c>
      <c r="B993" s="1" t="n">
        <v>46085.35903935185</v>
      </c>
      <c r="C993" s="1" t="n">
        <v>46184</v>
      </c>
      <c r="D993" t="inlineStr">
        <is>
          <t>VÄSTERNORRLANDS LÄN</t>
        </is>
      </c>
      <c r="E993" t="inlineStr">
        <is>
          <t>ÅNGE</t>
        </is>
      </c>
      <c r="G993" t="n">
        <v>2.6</v>
      </c>
      <c r="H993" t="n">
        <v>0</v>
      </c>
      <c r="I993" t="n">
        <v>0</v>
      </c>
      <c r="J993" t="n">
        <v>0</v>
      </c>
      <c r="K993" t="n">
        <v>0</v>
      </c>
      <c r="L993" t="n">
        <v>0</v>
      </c>
      <c r="M993" t="n">
        <v>0</v>
      </c>
      <c r="N993" t="n">
        <v>0</v>
      </c>
      <c r="O993" t="n">
        <v>0</v>
      </c>
      <c r="P993" t="n">
        <v>0</v>
      </c>
      <c r="Q993" t="n">
        <v>0</v>
      </c>
      <c r="R993" s="2" t="inlineStr"/>
    </row>
    <row r="994" ht="15" customHeight="1">
      <c r="A994" t="inlineStr">
        <is>
          <t>A 11803-2026</t>
        </is>
      </c>
      <c r="B994" s="1" t="n">
        <v>46085</v>
      </c>
      <c r="C994" s="1" t="n">
        <v>46184</v>
      </c>
      <c r="D994" t="inlineStr">
        <is>
          <t>VÄSTERNORRLANDS LÄN</t>
        </is>
      </c>
      <c r="E994" t="inlineStr">
        <is>
          <t>ÅNGE</t>
        </is>
      </c>
      <c r="G994" t="n">
        <v>5.8</v>
      </c>
      <c r="H994" t="n">
        <v>0</v>
      </c>
      <c r="I994" t="n">
        <v>0</v>
      </c>
      <c r="J994" t="n">
        <v>0</v>
      </c>
      <c r="K994" t="n">
        <v>0</v>
      </c>
      <c r="L994" t="n">
        <v>0</v>
      </c>
      <c r="M994" t="n">
        <v>0</v>
      </c>
      <c r="N994" t="n">
        <v>0</v>
      </c>
      <c r="O994" t="n">
        <v>0</v>
      </c>
      <c r="P994" t="n">
        <v>0</v>
      </c>
      <c r="Q994" t="n">
        <v>0</v>
      </c>
      <c r="R994" s="2" t="inlineStr"/>
    </row>
    <row r="995" ht="15" customHeight="1">
      <c r="A995" t="inlineStr">
        <is>
          <t>A 11992-2026</t>
        </is>
      </c>
      <c r="B995" s="1" t="n">
        <v>46085.65706018519</v>
      </c>
      <c r="C995" s="1" t="n">
        <v>46184</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12439-2026</t>
        </is>
      </c>
      <c r="B996" s="1" t="n">
        <v>46090.47541666667</v>
      </c>
      <c r="C996" s="1" t="n">
        <v>46184</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12287-2026</t>
        </is>
      </c>
      <c r="B997" s="1" t="n">
        <v>46087.55252314815</v>
      </c>
      <c r="C997" s="1" t="n">
        <v>46184</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12412-2026</t>
        </is>
      </c>
      <c r="B998" s="1" t="n">
        <v>46090.42895833333</v>
      </c>
      <c r="C998" s="1" t="n">
        <v>46184</v>
      </c>
      <c r="D998" t="inlineStr">
        <is>
          <t>VÄSTERNORRLANDS LÄN</t>
        </is>
      </c>
      <c r="E998" t="inlineStr">
        <is>
          <t>ÅNGE</t>
        </is>
      </c>
      <c r="G998" t="n">
        <v>7.1</v>
      </c>
      <c r="H998" t="n">
        <v>0</v>
      </c>
      <c r="I998" t="n">
        <v>0</v>
      </c>
      <c r="J998" t="n">
        <v>0</v>
      </c>
      <c r="K998" t="n">
        <v>0</v>
      </c>
      <c r="L998" t="n">
        <v>0</v>
      </c>
      <c r="M998" t="n">
        <v>0</v>
      </c>
      <c r="N998" t="n">
        <v>0</v>
      </c>
      <c r="O998" t="n">
        <v>0</v>
      </c>
      <c r="P998" t="n">
        <v>0</v>
      </c>
      <c r="Q998" t="n">
        <v>0</v>
      </c>
      <c r="R998" s="2" t="inlineStr"/>
    </row>
    <row r="999" ht="15" customHeight="1">
      <c r="A999" t="inlineStr">
        <is>
          <t>A 35276-2022</t>
        </is>
      </c>
      <c r="B999" s="1" t="n">
        <v>44798</v>
      </c>
      <c r="C999" s="1" t="n">
        <v>46184</v>
      </c>
      <c r="D999" t="inlineStr">
        <is>
          <t>VÄSTERNORRLANDS LÄN</t>
        </is>
      </c>
      <c r="E999" t="inlineStr">
        <is>
          <t>ÅNGE</t>
        </is>
      </c>
      <c r="G999" t="n">
        <v>15.2</v>
      </c>
      <c r="H999" t="n">
        <v>0</v>
      </c>
      <c r="I999" t="n">
        <v>0</v>
      </c>
      <c r="J999" t="n">
        <v>0</v>
      </c>
      <c r="K999" t="n">
        <v>0</v>
      </c>
      <c r="L999" t="n">
        <v>0</v>
      </c>
      <c r="M999" t="n">
        <v>0</v>
      </c>
      <c r="N999" t="n">
        <v>0</v>
      </c>
      <c r="O999" t="n">
        <v>0</v>
      </c>
      <c r="P999" t="n">
        <v>0</v>
      </c>
      <c r="Q999" t="n">
        <v>0</v>
      </c>
      <c r="R999" s="2" t="inlineStr"/>
    </row>
    <row r="1000" ht="15" customHeight="1">
      <c r="A1000" t="inlineStr">
        <is>
          <t>A 12398-2026</t>
        </is>
      </c>
      <c r="B1000" s="1" t="n">
        <v>46090.39175925926</v>
      </c>
      <c r="C1000" s="1" t="n">
        <v>46184</v>
      </c>
      <c r="D1000" t="inlineStr">
        <is>
          <t>VÄSTERNORRLANDS LÄN</t>
        </is>
      </c>
      <c r="E1000" t="inlineStr">
        <is>
          <t>ÅNGE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12437-2026</t>
        </is>
      </c>
      <c r="B1001" s="1" t="n">
        <v>46090.47096064815</v>
      </c>
      <c r="C1001" s="1" t="n">
        <v>46184</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12468-2026</t>
        </is>
      </c>
      <c r="B1002" s="1" t="n">
        <v>46090.53908564815</v>
      </c>
      <c r="C1002" s="1" t="n">
        <v>46184</v>
      </c>
      <c r="D1002" t="inlineStr">
        <is>
          <t>VÄSTERNORRLANDS LÄN</t>
        </is>
      </c>
      <c r="E1002" t="inlineStr">
        <is>
          <t>ÅNGE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12476-2026</t>
        </is>
      </c>
      <c r="B1003" s="1" t="n">
        <v>46090.55582175926</v>
      </c>
      <c r="C1003" s="1" t="n">
        <v>46184</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12479-2026</t>
        </is>
      </c>
      <c r="B1004" s="1" t="n">
        <v>46090.55809027778</v>
      </c>
      <c r="C1004" s="1" t="n">
        <v>46184</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12874-2026</t>
        </is>
      </c>
      <c r="B1005" s="1" t="n">
        <v>46092.51175925926</v>
      </c>
      <c r="C1005" s="1" t="n">
        <v>46184</v>
      </c>
      <c r="D1005" t="inlineStr">
        <is>
          <t>VÄSTERNORRLANDS LÄN</t>
        </is>
      </c>
      <c r="E1005" t="inlineStr">
        <is>
          <t>ÅNGE</t>
        </is>
      </c>
      <c r="F1005" t="inlineStr">
        <is>
          <t>SCA</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12750-2026</t>
        </is>
      </c>
      <c r="B1006" s="1" t="n">
        <v>46091</v>
      </c>
      <c r="C1006" s="1" t="n">
        <v>46184</v>
      </c>
      <c r="D1006" t="inlineStr">
        <is>
          <t>VÄSTERNORRLANDS LÄN</t>
        </is>
      </c>
      <c r="E1006" t="inlineStr">
        <is>
          <t>ÅNGE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12755-2026</t>
        </is>
      </c>
      <c r="B1007" s="1" t="n">
        <v>46091</v>
      </c>
      <c r="C1007" s="1" t="n">
        <v>46184</v>
      </c>
      <c r="D1007" t="inlineStr">
        <is>
          <t>VÄSTERNORRLANDS LÄN</t>
        </is>
      </c>
      <c r="E1007" t="inlineStr">
        <is>
          <t>ÅNGE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12746-2026</t>
        </is>
      </c>
      <c r="B1008" s="1" t="n">
        <v>46091</v>
      </c>
      <c r="C1008" s="1" t="n">
        <v>46184</v>
      </c>
      <c r="D1008" t="inlineStr">
        <is>
          <t>VÄSTERNORRLANDS LÄN</t>
        </is>
      </c>
      <c r="E1008" t="inlineStr">
        <is>
          <t>ÅNGE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12670-2026</t>
        </is>
      </c>
      <c r="B1009" s="1" t="n">
        <v>46091</v>
      </c>
      <c r="C1009" s="1" t="n">
        <v>46184</v>
      </c>
      <c r="D1009" t="inlineStr">
        <is>
          <t>VÄSTERNORRLANDS LÄN</t>
        </is>
      </c>
      <c r="E1009" t="inlineStr">
        <is>
          <t>ÅNGE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12759-2026</t>
        </is>
      </c>
      <c r="B1010" s="1" t="n">
        <v>46091.66002314815</v>
      </c>
      <c r="C1010" s="1" t="n">
        <v>46184</v>
      </c>
      <c r="D1010" t="inlineStr">
        <is>
          <t>VÄSTERNORRLANDS LÄN</t>
        </is>
      </c>
      <c r="E1010" t="inlineStr">
        <is>
          <t>ÅNGE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41766-2024</t>
        </is>
      </c>
      <c r="B1011" s="1" t="n">
        <v>45561.34594907407</v>
      </c>
      <c r="C1011" s="1" t="n">
        <v>46184</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13438-2026</t>
        </is>
      </c>
      <c r="B1012" s="1" t="n">
        <v>46094.49040509259</v>
      </c>
      <c r="C1012" s="1" t="n">
        <v>46184</v>
      </c>
      <c r="D1012" t="inlineStr">
        <is>
          <t>VÄSTERNORRLANDS LÄN</t>
        </is>
      </c>
      <c r="E1012" t="inlineStr">
        <is>
          <t>ÅNGE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13144-2026</t>
        </is>
      </c>
      <c r="B1013" s="1" t="n">
        <v>46093.5115625</v>
      </c>
      <c r="C1013" s="1" t="n">
        <v>46184</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13352-2026</t>
        </is>
      </c>
      <c r="B1014" s="1" t="n">
        <v>46094.38611111111</v>
      </c>
      <c r="C1014" s="1" t="n">
        <v>46184</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39178-2024</t>
        </is>
      </c>
      <c r="B1015" s="1" t="n">
        <v>45548.65692129629</v>
      </c>
      <c r="C1015" s="1" t="n">
        <v>46184</v>
      </c>
      <c r="D1015" t="inlineStr">
        <is>
          <t>VÄSTERNORRLANDS LÄN</t>
        </is>
      </c>
      <c r="E1015" t="inlineStr">
        <is>
          <t>ÅNGE</t>
        </is>
      </c>
      <c r="F1015" t="inlineStr">
        <is>
          <t>SCA</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13080-2026</t>
        </is>
      </c>
      <c r="B1016" s="1" t="n">
        <v>46093.38607638889</v>
      </c>
      <c r="C1016" s="1" t="n">
        <v>46184</v>
      </c>
      <c r="D1016" t="inlineStr">
        <is>
          <t>VÄSTERNORRLANDS LÄN</t>
        </is>
      </c>
      <c r="E1016" t="inlineStr">
        <is>
          <t>ÅNGE</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13163-2026</t>
        </is>
      </c>
      <c r="B1017" s="1" t="n">
        <v>46093.55259259259</v>
      </c>
      <c r="C1017" s="1" t="n">
        <v>46184</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51383-2022</t>
        </is>
      </c>
      <c r="B1018" s="1" t="n">
        <v>44866</v>
      </c>
      <c r="C1018" s="1" t="n">
        <v>46184</v>
      </c>
      <c r="D1018" t="inlineStr">
        <is>
          <t>VÄSTERNORRLANDS LÄN</t>
        </is>
      </c>
      <c r="E1018" t="inlineStr">
        <is>
          <t>ÅNGE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51393-2022</t>
        </is>
      </c>
      <c r="B1019" s="1" t="n">
        <v>44869.43277777778</v>
      </c>
      <c r="C1019" s="1" t="n">
        <v>46184</v>
      </c>
      <c r="D1019" t="inlineStr">
        <is>
          <t>VÄSTERNORRLANDS LÄN</t>
        </is>
      </c>
      <c r="E1019" t="inlineStr">
        <is>
          <t>ÅNGE</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4236-2025</t>
        </is>
      </c>
      <c r="B1020" s="1" t="n">
        <v>45685.56534722223</v>
      </c>
      <c r="C1020" s="1" t="n">
        <v>46184</v>
      </c>
      <c r="D1020" t="inlineStr">
        <is>
          <t>VÄSTERNORRLANDS LÄN</t>
        </is>
      </c>
      <c r="E1020" t="inlineStr">
        <is>
          <t>ÅNGE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2415-2024</t>
        </is>
      </c>
      <c r="B1021" s="1" t="n">
        <v>45310</v>
      </c>
      <c r="C1021" s="1" t="n">
        <v>46184</v>
      </c>
      <c r="D1021" t="inlineStr">
        <is>
          <t>VÄSTERNORRLANDS LÄN</t>
        </is>
      </c>
      <c r="E1021" t="inlineStr">
        <is>
          <t>ÅNGE</t>
        </is>
      </c>
      <c r="F1021" t="inlineStr">
        <is>
          <t>Kyrkan</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26490-2024</t>
        </is>
      </c>
      <c r="B1022" s="1" t="n">
        <v>45469</v>
      </c>
      <c r="C1022" s="1" t="n">
        <v>46184</v>
      </c>
      <c r="D1022" t="inlineStr">
        <is>
          <t>VÄSTERNORRLANDS LÄN</t>
        </is>
      </c>
      <c r="E1022" t="inlineStr">
        <is>
          <t>ÅNGE</t>
        </is>
      </c>
      <c r="F1022" t="inlineStr">
        <is>
          <t>Sveaskog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13449-2026</t>
        </is>
      </c>
      <c r="B1023" s="1" t="n">
        <v>46094.51108796296</v>
      </c>
      <c r="C1023" s="1" t="n">
        <v>46184</v>
      </c>
      <c r="D1023" t="inlineStr">
        <is>
          <t>VÄSTERNORRLANDS LÄN</t>
        </is>
      </c>
      <c r="E1023" t="inlineStr">
        <is>
          <t>ÅNGE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47779-2023</t>
        </is>
      </c>
      <c r="B1024" s="1" t="n">
        <v>45203.92232638889</v>
      </c>
      <c r="C1024" s="1" t="n">
        <v>46184</v>
      </c>
      <c r="D1024" t="inlineStr">
        <is>
          <t>VÄSTERNORRLANDS LÄN</t>
        </is>
      </c>
      <c r="E1024" t="inlineStr">
        <is>
          <t>ÅNGE</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13110-2026</t>
        </is>
      </c>
      <c r="B1025" s="1" t="n">
        <v>46093.4278125</v>
      </c>
      <c r="C1025" s="1" t="n">
        <v>46184</v>
      </c>
      <c r="D1025" t="inlineStr">
        <is>
          <t>VÄSTERNORRLANDS LÄN</t>
        </is>
      </c>
      <c r="E1025" t="inlineStr">
        <is>
          <t>ÅNGE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61585-2022</t>
        </is>
      </c>
      <c r="B1026" s="1" t="n">
        <v>44916.63380787037</v>
      </c>
      <c r="C1026" s="1" t="n">
        <v>46184</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14024-2026</t>
        </is>
      </c>
      <c r="B1027" s="1" t="n">
        <v>46098.71935185185</v>
      </c>
      <c r="C1027" s="1" t="n">
        <v>46184</v>
      </c>
      <c r="D1027" t="inlineStr">
        <is>
          <t>VÄSTERNORRLANDS LÄN</t>
        </is>
      </c>
      <c r="E1027" t="inlineStr">
        <is>
          <t>ÅNGE</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13904-2026</t>
        </is>
      </c>
      <c r="B1028" s="1" t="n">
        <v>46098.46965277778</v>
      </c>
      <c r="C1028" s="1" t="n">
        <v>46184</v>
      </c>
      <c r="D1028" t="inlineStr">
        <is>
          <t>VÄSTERNORRLANDS LÄN</t>
        </is>
      </c>
      <c r="E1028" t="inlineStr">
        <is>
          <t>ÅNGE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69790-2021</t>
        </is>
      </c>
      <c r="B1029" s="1" t="n">
        <v>44532.605625</v>
      </c>
      <c r="C1029" s="1" t="n">
        <v>46184</v>
      </c>
      <c r="D1029" t="inlineStr">
        <is>
          <t>VÄSTERNORRLANDS LÄN</t>
        </is>
      </c>
      <c r="E1029" t="inlineStr">
        <is>
          <t>ÅNGE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13850-2026</t>
        </is>
      </c>
      <c r="B1030" s="1" t="n">
        <v>46098.3872337963</v>
      </c>
      <c r="C1030" s="1" t="n">
        <v>46184</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53209-2024</t>
        </is>
      </c>
      <c r="B1031" s="1" t="n">
        <v>45612.51079861111</v>
      </c>
      <c r="C1031" s="1" t="n">
        <v>46184</v>
      </c>
      <c r="D1031" t="inlineStr">
        <is>
          <t>VÄSTERNORRLANDS LÄN</t>
        </is>
      </c>
      <c r="E1031" t="inlineStr">
        <is>
          <t>ÅNGE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13687-2026</t>
        </is>
      </c>
      <c r="B1032" s="1" t="n">
        <v>46097.53208333333</v>
      </c>
      <c r="C1032" s="1" t="n">
        <v>46184</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30803-2022</t>
        </is>
      </c>
      <c r="B1033" s="1" t="n">
        <v>44764</v>
      </c>
      <c r="C1033" s="1" t="n">
        <v>46184</v>
      </c>
      <c r="D1033" t="inlineStr">
        <is>
          <t>VÄSTERNORRLANDS LÄN</t>
        </is>
      </c>
      <c r="E1033" t="inlineStr">
        <is>
          <t>ÅNGE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14236-2026</t>
        </is>
      </c>
      <c r="B1034" s="1" t="n">
        <v>46099.59628472223</v>
      </c>
      <c r="C1034" s="1" t="n">
        <v>46184</v>
      </c>
      <c r="D1034" t="inlineStr">
        <is>
          <t>VÄSTERNORRLANDS LÄN</t>
        </is>
      </c>
      <c r="E1034" t="inlineStr">
        <is>
          <t>ÅNGE</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14408-2026</t>
        </is>
      </c>
      <c r="B1035" s="1" t="n">
        <v>46100.43482638889</v>
      </c>
      <c r="C1035" s="1" t="n">
        <v>46184</v>
      </c>
      <c r="D1035" t="inlineStr">
        <is>
          <t>VÄSTERNORRLANDS LÄN</t>
        </is>
      </c>
      <c r="E1035" t="inlineStr">
        <is>
          <t>ÅNGE</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14137-2026</t>
        </is>
      </c>
      <c r="B1036" s="1" t="n">
        <v>46099.45681712963</v>
      </c>
      <c r="C1036" s="1" t="n">
        <v>46184</v>
      </c>
      <c r="D1036" t="inlineStr">
        <is>
          <t>VÄSTERNORRLANDS LÄN</t>
        </is>
      </c>
      <c r="E1036" t="inlineStr">
        <is>
          <t>ÅNGE</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14291-2026</t>
        </is>
      </c>
      <c r="B1037" s="1" t="n">
        <v>46099.69642361111</v>
      </c>
      <c r="C1037" s="1" t="n">
        <v>46184</v>
      </c>
      <c r="D1037" t="inlineStr">
        <is>
          <t>VÄSTERNORRLANDS LÄN</t>
        </is>
      </c>
      <c r="E1037" t="inlineStr">
        <is>
          <t>ÅNGE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34750-2023</t>
        </is>
      </c>
      <c r="B1038" s="1" t="n">
        <v>45139</v>
      </c>
      <c r="C1038" s="1" t="n">
        <v>46184</v>
      </c>
      <c r="D1038" t="inlineStr">
        <is>
          <t>VÄSTERNORRLANDS LÄN</t>
        </is>
      </c>
      <c r="E1038" t="inlineStr">
        <is>
          <t>ÅNGE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14425-2026</t>
        </is>
      </c>
      <c r="B1039" s="1" t="n">
        <v>46100.46949074074</v>
      </c>
      <c r="C1039" s="1" t="n">
        <v>46184</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20842-2026</t>
        </is>
      </c>
      <c r="B1040" s="1" t="n">
        <v>46142.34467592592</v>
      </c>
      <c r="C1040" s="1" t="n">
        <v>46184</v>
      </c>
      <c r="D1040" t="inlineStr">
        <is>
          <t>VÄSTERNORRLANDS LÄN</t>
        </is>
      </c>
      <c r="E1040" t="inlineStr">
        <is>
          <t>ÅNGE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14101-2026</t>
        </is>
      </c>
      <c r="B1041" s="1" t="n">
        <v>46099.40693287037</v>
      </c>
      <c r="C1041" s="1" t="n">
        <v>46184</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44180-2023</t>
        </is>
      </c>
      <c r="B1042" s="1" t="n">
        <v>45183</v>
      </c>
      <c r="C1042" s="1" t="n">
        <v>46184</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14372-2026</t>
        </is>
      </c>
      <c r="B1043" s="1" t="n">
        <v>46100.36810185185</v>
      </c>
      <c r="C1043" s="1" t="n">
        <v>46184</v>
      </c>
      <c r="D1043" t="inlineStr">
        <is>
          <t>VÄSTERNORRLANDS LÄN</t>
        </is>
      </c>
      <c r="E1043" t="inlineStr">
        <is>
          <t>ÅNGE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14220-2026</t>
        </is>
      </c>
      <c r="B1044" s="1" t="n">
        <v>46099.57112268519</v>
      </c>
      <c r="C1044" s="1" t="n">
        <v>46184</v>
      </c>
      <c r="D1044" t="inlineStr">
        <is>
          <t>VÄSTERNORRLANDS LÄN</t>
        </is>
      </c>
      <c r="E1044" t="inlineStr">
        <is>
          <t>ÅNGE</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14392-2026</t>
        </is>
      </c>
      <c r="B1045" s="1" t="n">
        <v>46100.38825231481</v>
      </c>
      <c r="C1045" s="1" t="n">
        <v>46184</v>
      </c>
      <c r="D1045" t="inlineStr">
        <is>
          <t>VÄSTERNORRLANDS LÄN</t>
        </is>
      </c>
      <c r="E1045" t="inlineStr">
        <is>
          <t>ÅNGE</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14888-2022</t>
        </is>
      </c>
      <c r="B1046" s="1" t="n">
        <v>44656</v>
      </c>
      <c r="C1046" s="1" t="n">
        <v>46184</v>
      </c>
      <c r="D1046" t="inlineStr">
        <is>
          <t>VÄSTERNORRLANDS LÄN</t>
        </is>
      </c>
      <c r="E1046" t="inlineStr">
        <is>
          <t>ÅNGE</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22990-2024</t>
        </is>
      </c>
      <c r="B1047" s="1" t="n">
        <v>45449.94548611111</v>
      </c>
      <c r="C1047" s="1" t="n">
        <v>46184</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14506-2026</t>
        </is>
      </c>
      <c r="B1048" s="1" t="n">
        <v>46100.61523148148</v>
      </c>
      <c r="C1048" s="1" t="n">
        <v>46184</v>
      </c>
      <c r="D1048" t="inlineStr">
        <is>
          <t>VÄSTERNORRLANDS LÄN</t>
        </is>
      </c>
      <c r="E1048" t="inlineStr">
        <is>
          <t>ÅNGE</t>
        </is>
      </c>
      <c r="F1048" t="inlineStr">
        <is>
          <t>SCA</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27260-2023</t>
        </is>
      </c>
      <c r="B1049" s="1" t="n">
        <v>45092</v>
      </c>
      <c r="C1049" s="1" t="n">
        <v>46184</v>
      </c>
      <c r="D1049" t="inlineStr">
        <is>
          <t>VÄSTERNORRLANDS LÄN</t>
        </is>
      </c>
      <c r="E1049" t="inlineStr">
        <is>
          <t>ÅNGE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58637-2023</t>
        </is>
      </c>
      <c r="B1050" s="1" t="n">
        <v>45251</v>
      </c>
      <c r="C1050" s="1" t="n">
        <v>46184</v>
      </c>
      <c r="D1050" t="inlineStr">
        <is>
          <t>VÄSTERNORRLANDS LÄN</t>
        </is>
      </c>
      <c r="E1050" t="inlineStr">
        <is>
          <t>ÅNGE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30753-2024</t>
        </is>
      </c>
      <c r="B1051" s="1" t="n">
        <v>45496</v>
      </c>
      <c r="C1051" s="1" t="n">
        <v>46184</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30754-2024</t>
        </is>
      </c>
      <c r="B1052" s="1" t="n">
        <v>45496</v>
      </c>
      <c r="C1052" s="1" t="n">
        <v>46184</v>
      </c>
      <c r="D1052" t="inlineStr">
        <is>
          <t>VÄSTERNORRLANDS LÄN</t>
        </is>
      </c>
      <c r="E1052" t="inlineStr">
        <is>
          <t>ÅNGE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21201-2026</t>
        </is>
      </c>
      <c r="B1053" s="1" t="n">
        <v>46146.65752314815</v>
      </c>
      <c r="C1053" s="1" t="n">
        <v>46184</v>
      </c>
      <c r="D1053" t="inlineStr">
        <is>
          <t>VÄSTERNORRLANDS LÄN</t>
        </is>
      </c>
      <c r="E1053" t="inlineStr">
        <is>
          <t>ÅNGE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57271-2024</t>
        </is>
      </c>
      <c r="B1054" s="1" t="n">
        <v>45629.57364583333</v>
      </c>
      <c r="C1054" s="1" t="n">
        <v>46184</v>
      </c>
      <c r="D1054" t="inlineStr">
        <is>
          <t>VÄSTERNORRLANDS LÄN</t>
        </is>
      </c>
      <c r="E1054" t="inlineStr">
        <is>
          <t>ÅNGE</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9480-2022</t>
        </is>
      </c>
      <c r="B1055" s="1" t="n">
        <v>44616</v>
      </c>
      <c r="C1055" s="1" t="n">
        <v>46184</v>
      </c>
      <c r="D1055" t="inlineStr">
        <is>
          <t>VÄSTERNORRLANDS LÄN</t>
        </is>
      </c>
      <c r="E1055" t="inlineStr">
        <is>
          <t>ÅNGE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37503-2023</t>
        </is>
      </c>
      <c r="B1056" s="1" t="n">
        <v>45157.5796875</v>
      </c>
      <c r="C1056" s="1" t="n">
        <v>46184</v>
      </c>
      <c r="D1056" t="inlineStr">
        <is>
          <t>VÄSTERNORRLANDS LÄN</t>
        </is>
      </c>
      <c r="E1056" t="inlineStr">
        <is>
          <t>ÅNGE</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51124-2024</t>
        </is>
      </c>
      <c r="B1057" s="1" t="n">
        <v>45603.50716435185</v>
      </c>
      <c r="C1057" s="1" t="n">
        <v>46184</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51377-2024</t>
        </is>
      </c>
      <c r="B1058" s="1" t="n">
        <v>45604.38142361111</v>
      </c>
      <c r="C1058" s="1" t="n">
        <v>46184</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44876-2024</t>
        </is>
      </c>
      <c r="B1059" s="1" t="n">
        <v>45575.34474537037</v>
      </c>
      <c r="C1059" s="1" t="n">
        <v>46184</v>
      </c>
      <c r="D1059" t="inlineStr">
        <is>
          <t>VÄSTERNORRLANDS LÄN</t>
        </is>
      </c>
      <c r="E1059" t="inlineStr">
        <is>
          <t>ÅNGE</t>
        </is>
      </c>
      <c r="F1059" t="inlineStr">
        <is>
          <t>SCA</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20229-2022</t>
        </is>
      </c>
      <c r="B1060" s="1" t="n">
        <v>44698.61150462963</v>
      </c>
      <c r="C1060" s="1" t="n">
        <v>46184</v>
      </c>
      <c r="D1060" t="inlineStr">
        <is>
          <t>VÄSTERNORRLANDS LÄN</t>
        </is>
      </c>
      <c r="E1060" t="inlineStr">
        <is>
          <t>ÅNGE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14097-2022</t>
        </is>
      </c>
      <c r="B1061" s="1" t="n">
        <v>44651</v>
      </c>
      <c r="C1061" s="1" t="n">
        <v>46184</v>
      </c>
      <c r="D1061" t="inlineStr">
        <is>
          <t>VÄSTERNORRLANDS LÄN</t>
        </is>
      </c>
      <c r="E1061" t="inlineStr">
        <is>
          <t>ÅNGE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21534-2026</t>
        </is>
      </c>
      <c r="B1062" s="1" t="n">
        <v>46148.63607638889</v>
      </c>
      <c r="C1062" s="1" t="n">
        <v>46184</v>
      </c>
      <c r="D1062" t="inlineStr">
        <is>
          <t>VÄSTERNORRLANDS LÄN</t>
        </is>
      </c>
      <c r="E1062" t="inlineStr">
        <is>
          <t>ÅNGE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32901-2023</t>
        </is>
      </c>
      <c r="B1063" s="1" t="n">
        <v>45124.95063657407</v>
      </c>
      <c r="C1063" s="1" t="n">
        <v>46184</v>
      </c>
      <c r="D1063" t="inlineStr">
        <is>
          <t>VÄSTERNORRLANDS LÄN</t>
        </is>
      </c>
      <c r="E1063" t="inlineStr">
        <is>
          <t>ÅNGE</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15466-2026</t>
        </is>
      </c>
      <c r="B1064" s="1" t="n">
        <v>46106.42815972222</v>
      </c>
      <c r="C1064" s="1" t="n">
        <v>46184</v>
      </c>
      <c r="D1064" t="inlineStr">
        <is>
          <t>VÄSTERNORRLANDS LÄN</t>
        </is>
      </c>
      <c r="E1064" t="inlineStr">
        <is>
          <t>ÅNGE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15518-2026</t>
        </is>
      </c>
      <c r="B1065" s="1" t="n">
        <v>46106.471875</v>
      </c>
      <c r="C1065" s="1" t="n">
        <v>46184</v>
      </c>
      <c r="D1065" t="inlineStr">
        <is>
          <t>VÄSTERNORRLANDS LÄN</t>
        </is>
      </c>
      <c r="E1065" t="inlineStr">
        <is>
          <t>ÅNGE</t>
        </is>
      </c>
      <c r="F1065" t="inlineStr">
        <is>
          <t>Holmen skog AB</t>
        </is>
      </c>
      <c r="G1065" t="n">
        <v>80.5</v>
      </c>
      <c r="H1065" t="n">
        <v>0</v>
      </c>
      <c r="I1065" t="n">
        <v>0</v>
      </c>
      <c r="J1065" t="n">
        <v>0</v>
      </c>
      <c r="K1065" t="n">
        <v>0</v>
      </c>
      <c r="L1065" t="n">
        <v>0</v>
      </c>
      <c r="M1065" t="n">
        <v>0</v>
      </c>
      <c r="N1065" t="n">
        <v>0</v>
      </c>
      <c r="O1065" t="n">
        <v>0</v>
      </c>
      <c r="P1065" t="n">
        <v>0</v>
      </c>
      <c r="Q1065" t="n">
        <v>0</v>
      </c>
      <c r="R1065" s="2" t="inlineStr"/>
    </row>
    <row r="1066" ht="15" customHeight="1">
      <c r="A1066" t="inlineStr">
        <is>
          <t>A 15603-2024</t>
        </is>
      </c>
      <c r="B1066" s="1" t="n">
        <v>45401.92501157407</v>
      </c>
      <c r="C1066" s="1" t="n">
        <v>46184</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21351-2026</t>
        </is>
      </c>
      <c r="B1067" s="1" t="n">
        <v>46147.63005787037</v>
      </c>
      <c r="C1067" s="1" t="n">
        <v>46184</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21569-2026</t>
        </is>
      </c>
      <c r="B1068" s="1" t="n">
        <v>46148.67761574074</v>
      </c>
      <c r="C1068" s="1" t="n">
        <v>46184</v>
      </c>
      <c r="D1068" t="inlineStr">
        <is>
          <t>VÄSTERNORRLANDS LÄN</t>
        </is>
      </c>
      <c r="E1068" t="inlineStr">
        <is>
          <t>ÅNGE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21536-2026</t>
        </is>
      </c>
      <c r="B1069" s="1" t="n">
        <v>46148.6364699074</v>
      </c>
      <c r="C1069" s="1" t="n">
        <v>46184</v>
      </c>
      <c r="D1069" t="inlineStr">
        <is>
          <t>VÄSTERNORRLANDS LÄN</t>
        </is>
      </c>
      <c r="E1069" t="inlineStr">
        <is>
          <t>ÅNGE</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21437-2026</t>
        </is>
      </c>
      <c r="B1070" s="1" t="n">
        <v>46148.40700231482</v>
      </c>
      <c r="C1070" s="1" t="n">
        <v>46184</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21466-2026</t>
        </is>
      </c>
      <c r="B1071" s="1" t="n">
        <v>46148.46966435185</v>
      </c>
      <c r="C1071" s="1" t="n">
        <v>46184</v>
      </c>
      <c r="D1071" t="inlineStr">
        <is>
          <t>VÄSTERNORRLANDS LÄN</t>
        </is>
      </c>
      <c r="E1071" t="inlineStr">
        <is>
          <t>ÅNGE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11310-2023</t>
        </is>
      </c>
      <c r="B1072" s="1" t="n">
        <v>44993.01190972222</v>
      </c>
      <c r="C1072" s="1" t="n">
        <v>46184</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21254-2026</t>
        </is>
      </c>
      <c r="B1073" s="1" t="n">
        <v>46147.38592592593</v>
      </c>
      <c r="C1073" s="1" t="n">
        <v>46184</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21409-2022</t>
        </is>
      </c>
      <c r="B1074" s="1" t="n">
        <v>44705.9406712963</v>
      </c>
      <c r="C1074" s="1" t="n">
        <v>46184</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48632-2023</t>
        </is>
      </c>
      <c r="B1075" s="1" t="n">
        <v>45208.57944444445</v>
      </c>
      <c r="C1075" s="1" t="n">
        <v>46184</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20761-2024</t>
        </is>
      </c>
      <c r="B1076" s="1" t="n">
        <v>45436</v>
      </c>
      <c r="C1076" s="1" t="n">
        <v>46184</v>
      </c>
      <c r="D1076" t="inlineStr">
        <is>
          <t>VÄSTERNORRLANDS LÄN</t>
        </is>
      </c>
      <c r="E1076" t="inlineStr">
        <is>
          <t>ÅNGE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21692-2026</t>
        </is>
      </c>
      <c r="B1077" s="1" t="n">
        <v>46149.53125</v>
      </c>
      <c r="C1077" s="1" t="n">
        <v>46184</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10339-2025</t>
        </is>
      </c>
      <c r="B1078" s="1" t="n">
        <v>45720</v>
      </c>
      <c r="C1078" s="1" t="n">
        <v>46184</v>
      </c>
      <c r="D1078" t="inlineStr">
        <is>
          <t>VÄSTERNORRLANDS LÄN</t>
        </is>
      </c>
      <c r="E1078" t="inlineStr">
        <is>
          <t>ÅNGE</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21779-2026</t>
        </is>
      </c>
      <c r="B1079" s="1" t="n">
        <v>46150.37328703704</v>
      </c>
      <c r="C1079" s="1" t="n">
        <v>46184</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12581-2024</t>
        </is>
      </c>
      <c r="B1080" s="1" t="n">
        <v>45379</v>
      </c>
      <c r="C1080" s="1" t="n">
        <v>46184</v>
      </c>
      <c r="D1080" t="inlineStr">
        <is>
          <t>VÄSTERNORRLANDS LÄN</t>
        </is>
      </c>
      <c r="E1080" t="inlineStr">
        <is>
          <t>ÅNGE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15938-2026</t>
        </is>
      </c>
      <c r="B1081" s="1" t="n">
        <v>46107</v>
      </c>
      <c r="C1081" s="1" t="n">
        <v>46184</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52665-2024</t>
        </is>
      </c>
      <c r="B1082" s="1" t="n">
        <v>45610.36549768518</v>
      </c>
      <c r="C1082" s="1" t="n">
        <v>46184</v>
      </c>
      <c r="D1082" t="inlineStr">
        <is>
          <t>VÄSTERNORRLANDS LÄN</t>
        </is>
      </c>
      <c r="E1082" t="inlineStr">
        <is>
          <t>ÅNGE</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20338-2025</t>
        </is>
      </c>
      <c r="B1083" s="1" t="n">
        <v>45775</v>
      </c>
      <c r="C1083" s="1" t="n">
        <v>46184</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14751-2025</t>
        </is>
      </c>
      <c r="B1084" s="1" t="n">
        <v>45742.65863425926</v>
      </c>
      <c r="C1084" s="1" t="n">
        <v>46184</v>
      </c>
      <c r="D1084" t="inlineStr">
        <is>
          <t>VÄSTERNORRLANDS LÄN</t>
        </is>
      </c>
      <c r="E1084" t="inlineStr">
        <is>
          <t>ÅNGE</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54342-2023</t>
        </is>
      </c>
      <c r="B1085" s="1" t="n">
        <v>45232</v>
      </c>
      <c r="C1085" s="1" t="n">
        <v>46184</v>
      </c>
      <c r="D1085" t="inlineStr">
        <is>
          <t>VÄSTERNORRLANDS LÄN</t>
        </is>
      </c>
      <c r="E1085" t="inlineStr">
        <is>
          <t>ÅNGE</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21579-2026</t>
        </is>
      </c>
      <c r="B1086" s="1" t="n">
        <v>46148.71936342592</v>
      </c>
      <c r="C1086" s="1" t="n">
        <v>46184</v>
      </c>
      <c r="D1086" t="inlineStr">
        <is>
          <t>VÄSTERNORRLANDS LÄN</t>
        </is>
      </c>
      <c r="E1086" t="inlineStr">
        <is>
          <t>ÅNGE</t>
        </is>
      </c>
      <c r="F1086" t="inlineStr">
        <is>
          <t>SCA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34091-2022</t>
        </is>
      </c>
      <c r="B1087" s="1" t="n">
        <v>44791</v>
      </c>
      <c r="C1087" s="1" t="n">
        <v>46184</v>
      </c>
      <c r="D1087" t="inlineStr">
        <is>
          <t>VÄSTERNORRLANDS LÄN</t>
        </is>
      </c>
      <c r="E1087" t="inlineStr">
        <is>
          <t>ÅNGE</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19066-2024</t>
        </is>
      </c>
      <c r="B1088" s="1" t="n">
        <v>45427</v>
      </c>
      <c r="C1088" s="1" t="n">
        <v>46184</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15967-2026</t>
        </is>
      </c>
      <c r="B1089" s="1" t="n">
        <v>46108.34435185185</v>
      </c>
      <c r="C1089" s="1" t="n">
        <v>46184</v>
      </c>
      <c r="D1089" t="inlineStr">
        <is>
          <t>VÄSTERNORRLANDS LÄN</t>
        </is>
      </c>
      <c r="E1089" t="inlineStr">
        <is>
          <t>ÅNGE</t>
        </is>
      </c>
      <c r="F1089" t="inlineStr">
        <is>
          <t>SCA</t>
        </is>
      </c>
      <c r="G1089" t="n">
        <v>21.4</v>
      </c>
      <c r="H1089" t="n">
        <v>0</v>
      </c>
      <c r="I1089" t="n">
        <v>0</v>
      </c>
      <c r="J1089" t="n">
        <v>0</v>
      </c>
      <c r="K1089" t="n">
        <v>0</v>
      </c>
      <c r="L1089" t="n">
        <v>0</v>
      </c>
      <c r="M1089" t="n">
        <v>0</v>
      </c>
      <c r="N1089" t="n">
        <v>0</v>
      </c>
      <c r="O1089" t="n">
        <v>0</v>
      </c>
      <c r="P1089" t="n">
        <v>0</v>
      </c>
      <c r="Q1089" t="n">
        <v>0</v>
      </c>
      <c r="R1089" s="2" t="inlineStr"/>
    </row>
    <row r="1090" ht="15" customHeight="1">
      <c r="A1090" t="inlineStr">
        <is>
          <t>A 8070-2022</t>
        </is>
      </c>
      <c r="B1090" s="1" t="n">
        <v>44609.48665509259</v>
      </c>
      <c r="C1090" s="1" t="n">
        <v>46184</v>
      </c>
      <c r="D1090" t="inlineStr">
        <is>
          <t>VÄSTERNORRLANDS LÄN</t>
        </is>
      </c>
      <c r="E1090" t="inlineStr">
        <is>
          <t>ÅNGE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21884-2026</t>
        </is>
      </c>
      <c r="B1091" s="1" t="n">
        <v>46150.59431712963</v>
      </c>
      <c r="C1091" s="1" t="n">
        <v>46184</v>
      </c>
      <c r="D1091" t="inlineStr">
        <is>
          <t>VÄSTERNORRLANDS LÄN</t>
        </is>
      </c>
      <c r="E1091" t="inlineStr">
        <is>
          <t>ÅNGE</t>
        </is>
      </c>
      <c r="F1091" t="inlineStr">
        <is>
          <t>SCA</t>
        </is>
      </c>
      <c r="G1091" t="n">
        <v>26.9</v>
      </c>
      <c r="H1091" t="n">
        <v>0</v>
      </c>
      <c r="I1091" t="n">
        <v>0</v>
      </c>
      <c r="J1091" t="n">
        <v>0</v>
      </c>
      <c r="K1091" t="n">
        <v>0</v>
      </c>
      <c r="L1091" t="n">
        <v>0</v>
      </c>
      <c r="M1091" t="n">
        <v>0</v>
      </c>
      <c r="N1091" t="n">
        <v>0</v>
      </c>
      <c r="O1091" t="n">
        <v>0</v>
      </c>
      <c r="P1091" t="n">
        <v>0</v>
      </c>
      <c r="Q1091" t="n">
        <v>0</v>
      </c>
      <c r="R1091" s="2" t="inlineStr"/>
    </row>
    <row r="1092" ht="15" customHeight="1">
      <c r="A1092" t="inlineStr">
        <is>
          <t>A 4651-2022</t>
        </is>
      </c>
      <c r="B1092" s="1" t="n">
        <v>44592</v>
      </c>
      <c r="C1092" s="1" t="n">
        <v>46184</v>
      </c>
      <c r="D1092" t="inlineStr">
        <is>
          <t>VÄSTERNORRLANDS LÄN</t>
        </is>
      </c>
      <c r="E1092" t="inlineStr">
        <is>
          <t>ÅNGE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21200-2026</t>
        </is>
      </c>
      <c r="B1093" s="1" t="n">
        <v>46146</v>
      </c>
      <c r="C1093" s="1" t="n">
        <v>46184</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5246-2025</t>
        </is>
      </c>
      <c r="B1094" s="1" t="n">
        <v>45692.34427083333</v>
      </c>
      <c r="C1094" s="1" t="n">
        <v>46184</v>
      </c>
      <c r="D1094" t="inlineStr">
        <is>
          <t>VÄSTERNORRLANDS LÄN</t>
        </is>
      </c>
      <c r="E1094" t="inlineStr">
        <is>
          <t>ÅNGE</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16973-2025</t>
        </is>
      </c>
      <c r="B1095" s="1" t="n">
        <v>45755.46967592592</v>
      </c>
      <c r="C1095" s="1" t="n">
        <v>46184</v>
      </c>
      <c r="D1095" t="inlineStr">
        <is>
          <t>VÄSTERNORRLANDS LÄN</t>
        </is>
      </c>
      <c r="E1095" t="inlineStr">
        <is>
          <t>ÅNGE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34679-2024</t>
        </is>
      </c>
      <c r="B1096" s="1" t="n">
        <v>45526</v>
      </c>
      <c r="C1096" s="1" t="n">
        <v>46184</v>
      </c>
      <c r="D1096" t="inlineStr">
        <is>
          <t>VÄSTERNORRLANDS LÄN</t>
        </is>
      </c>
      <c r="E1096" t="inlineStr">
        <is>
          <t>ÅNGE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43096-2023</t>
        </is>
      </c>
      <c r="B1097" s="1" t="n">
        <v>45182</v>
      </c>
      <c r="C1097" s="1" t="n">
        <v>46184</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60296-2021</t>
        </is>
      </c>
      <c r="B1098" s="1" t="n">
        <v>44495</v>
      </c>
      <c r="C1098" s="1" t="n">
        <v>46184</v>
      </c>
      <c r="D1098" t="inlineStr">
        <is>
          <t>VÄSTERNORRLANDS LÄN</t>
        </is>
      </c>
      <c r="E1098" t="inlineStr">
        <is>
          <t>ÅNGE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16455-2026</t>
        </is>
      </c>
      <c r="B1099" s="1" t="n">
        <v>46112.34449074074</v>
      </c>
      <c r="C1099" s="1" t="n">
        <v>46184</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25023-2022</t>
        </is>
      </c>
      <c r="B1100" s="1" t="n">
        <v>44728</v>
      </c>
      <c r="C1100" s="1" t="n">
        <v>46184</v>
      </c>
      <c r="D1100" t="inlineStr">
        <is>
          <t>VÄSTERNORRLANDS LÄN</t>
        </is>
      </c>
      <c r="E1100" t="inlineStr">
        <is>
          <t>ÅNGE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31545-2024</t>
        </is>
      </c>
      <c r="B1101" s="1" t="n">
        <v>45505</v>
      </c>
      <c r="C1101" s="1" t="n">
        <v>46184</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5197-2025</t>
        </is>
      </c>
      <c r="B1102" s="1" t="n">
        <v>45691.65701388889</v>
      </c>
      <c r="C1102" s="1" t="n">
        <v>46184</v>
      </c>
      <c r="D1102" t="inlineStr">
        <is>
          <t>VÄSTERNORRLANDS LÄN</t>
        </is>
      </c>
      <c r="E1102" t="inlineStr">
        <is>
          <t>ÅNGE</t>
        </is>
      </c>
      <c r="F1102" t="inlineStr">
        <is>
          <t>SCA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50179-2024</t>
        </is>
      </c>
      <c r="B1103" s="1" t="n">
        <v>45600</v>
      </c>
      <c r="C1103" s="1" t="n">
        <v>46184</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22191-2026</t>
        </is>
      </c>
      <c r="B1104" s="1" t="n">
        <v>46153.65594907408</v>
      </c>
      <c r="C1104" s="1" t="n">
        <v>46184</v>
      </c>
      <c r="D1104" t="inlineStr">
        <is>
          <t>VÄSTERNORRLANDS LÄN</t>
        </is>
      </c>
      <c r="E1104" t="inlineStr">
        <is>
          <t>ÅNGE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22040-2026</t>
        </is>
      </c>
      <c r="B1105" s="1" t="n">
        <v>46153.45491898148</v>
      </c>
      <c r="C1105" s="1" t="n">
        <v>46184</v>
      </c>
      <c r="D1105" t="inlineStr">
        <is>
          <t>VÄSTERNORRLANDS LÄN</t>
        </is>
      </c>
      <c r="E1105" t="inlineStr">
        <is>
          <t>ÅNGE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44565-2024</t>
        </is>
      </c>
      <c r="B1106" s="1" t="n">
        <v>45574.47518518518</v>
      </c>
      <c r="C1106" s="1" t="n">
        <v>46184</v>
      </c>
      <c r="D1106" t="inlineStr">
        <is>
          <t>VÄSTERNORRLANDS LÄN</t>
        </is>
      </c>
      <c r="E1106" t="inlineStr">
        <is>
          <t>ÅNGE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22417-2026</t>
        </is>
      </c>
      <c r="B1107" s="1" t="n">
        <v>46154.67775462963</v>
      </c>
      <c r="C1107" s="1" t="n">
        <v>46184</v>
      </c>
      <c r="D1107" t="inlineStr">
        <is>
          <t>VÄSTERNORRLANDS LÄN</t>
        </is>
      </c>
      <c r="E1107" t="inlineStr">
        <is>
          <t>ÅNGE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40755-2023</t>
        </is>
      </c>
      <c r="B1108" s="1" t="n">
        <v>45170</v>
      </c>
      <c r="C1108" s="1" t="n">
        <v>46184</v>
      </c>
      <c r="D1108" t="inlineStr">
        <is>
          <t>VÄSTERNORRLANDS LÄN</t>
        </is>
      </c>
      <c r="E1108" t="inlineStr">
        <is>
          <t>ÅNGE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31696-2022</t>
        </is>
      </c>
      <c r="B1109" s="1" t="n">
        <v>44776</v>
      </c>
      <c r="C1109" s="1" t="n">
        <v>46184</v>
      </c>
      <c r="D1109" t="inlineStr">
        <is>
          <t>VÄSTERNORRLANDS LÄN</t>
        </is>
      </c>
      <c r="E1109" t="inlineStr">
        <is>
          <t>ÅNGE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44985.94465277778</v>
      </c>
      <c r="C1110" s="1" t="n">
        <v>46184</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16704-2026</t>
        </is>
      </c>
      <c r="B1111" s="1" t="n">
        <v>46113.3449537037</v>
      </c>
      <c r="C1111" s="1" t="n">
        <v>46184</v>
      </c>
      <c r="D1111" t="inlineStr">
        <is>
          <t>VÄSTERNORRLANDS LÄN</t>
        </is>
      </c>
      <c r="E1111" t="inlineStr">
        <is>
          <t>ÅNGE</t>
        </is>
      </c>
      <c r="F1111" t="inlineStr">
        <is>
          <t>SCA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37038-2024</t>
        </is>
      </c>
      <c r="B1112" s="1" t="n">
        <v>45539.40881944444</v>
      </c>
      <c r="C1112" s="1" t="n">
        <v>46184</v>
      </c>
      <c r="D1112" t="inlineStr">
        <is>
          <t>VÄSTERNORRLANDS LÄN</t>
        </is>
      </c>
      <c r="E1112" t="inlineStr">
        <is>
          <t>ÅNGE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16768-2026</t>
        </is>
      </c>
      <c r="B1113" s="1" t="n">
        <v>46113.42771990741</v>
      </c>
      <c r="C1113" s="1" t="n">
        <v>46184</v>
      </c>
      <c r="D1113" t="inlineStr">
        <is>
          <t>VÄSTERNORRLANDS LÄN</t>
        </is>
      </c>
      <c r="E1113" t="inlineStr">
        <is>
          <t>ÅNGE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16959-2026</t>
        </is>
      </c>
      <c r="B1114" s="1" t="n">
        <v>46114.34446759259</v>
      </c>
      <c r="C1114" s="1" t="n">
        <v>46184</v>
      </c>
      <c r="D1114" t="inlineStr">
        <is>
          <t>VÄSTERNORRLANDS LÄN</t>
        </is>
      </c>
      <c r="E1114" t="inlineStr">
        <is>
          <t>ÅNGE</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17031-2026</t>
        </is>
      </c>
      <c r="B1115" s="1" t="n">
        <v>46114.46961805555</v>
      </c>
      <c r="C1115" s="1" t="n">
        <v>46184</v>
      </c>
      <c r="D1115" t="inlineStr">
        <is>
          <t>VÄSTERNORRLANDS LÄN</t>
        </is>
      </c>
      <c r="E1115" t="inlineStr">
        <is>
          <t>ÅNGE</t>
        </is>
      </c>
      <c r="F1115" t="inlineStr">
        <is>
          <t>SCA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16980-2026</t>
        </is>
      </c>
      <c r="B1116" s="1" t="n">
        <v>46114.40704861111</v>
      </c>
      <c r="C1116" s="1" t="n">
        <v>46184</v>
      </c>
      <c r="D1116" t="inlineStr">
        <is>
          <t>VÄSTERNORRLANDS LÄN</t>
        </is>
      </c>
      <c r="E1116" t="inlineStr">
        <is>
          <t>ÅNGE</t>
        </is>
      </c>
      <c r="F1116" t="inlineStr">
        <is>
          <t>SCA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16793-2026</t>
        </is>
      </c>
      <c r="B1117" s="1" t="n">
        <v>46113.46930555555</v>
      </c>
      <c r="C1117" s="1" t="n">
        <v>46184</v>
      </c>
      <c r="D1117" t="inlineStr">
        <is>
          <t>VÄSTERNORRLANDS LÄN</t>
        </is>
      </c>
      <c r="E1117" t="inlineStr">
        <is>
          <t>ÅNGE</t>
        </is>
      </c>
      <c r="F1117" t="inlineStr">
        <is>
          <t>SCA</t>
        </is>
      </c>
      <c r="G1117" t="n">
        <v>15.9</v>
      </c>
      <c r="H1117" t="n">
        <v>0</v>
      </c>
      <c r="I1117" t="n">
        <v>0</v>
      </c>
      <c r="J1117" t="n">
        <v>0</v>
      </c>
      <c r="K1117" t="n">
        <v>0</v>
      </c>
      <c r="L1117" t="n">
        <v>0</v>
      </c>
      <c r="M1117" t="n">
        <v>0</v>
      </c>
      <c r="N1117" t="n">
        <v>0</v>
      </c>
      <c r="O1117" t="n">
        <v>0</v>
      </c>
      <c r="P1117" t="n">
        <v>0</v>
      </c>
      <c r="Q1117" t="n">
        <v>0</v>
      </c>
      <c r="R1117" s="2" t="inlineStr"/>
    </row>
    <row r="1118" ht="15" customHeight="1">
      <c r="A1118" t="inlineStr">
        <is>
          <t>A 22695-2026</t>
        </is>
      </c>
      <c r="B1118" s="1" t="n">
        <v>46156.49010416667</v>
      </c>
      <c r="C1118" s="1" t="n">
        <v>46184</v>
      </c>
      <c r="D1118" t="inlineStr">
        <is>
          <t>VÄSTERNORRLANDS LÄN</t>
        </is>
      </c>
      <c r="E1118" t="inlineStr">
        <is>
          <t>ÅNGE</t>
        </is>
      </c>
      <c r="F1118" t="inlineStr">
        <is>
          <t>SCA</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60860-2022</t>
        </is>
      </c>
      <c r="B1119" s="1" t="n">
        <v>44914</v>
      </c>
      <c r="C1119" s="1" t="n">
        <v>46184</v>
      </c>
      <c r="D1119" t="inlineStr">
        <is>
          <t>VÄSTERNORRLANDS LÄN</t>
        </is>
      </c>
      <c r="E1119" t="inlineStr">
        <is>
          <t>ÅNGE</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17668-2023</t>
        </is>
      </c>
      <c r="B1120" s="1" t="n">
        <v>45036</v>
      </c>
      <c r="C1120" s="1" t="n">
        <v>46184</v>
      </c>
      <c r="D1120" t="inlineStr">
        <is>
          <t>VÄSTERNORRLANDS LÄN</t>
        </is>
      </c>
      <c r="E1120" t="inlineStr">
        <is>
          <t>ÅNGE</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22676-2026</t>
        </is>
      </c>
      <c r="B1121" s="1" t="n">
        <v>46156.34450231482</v>
      </c>
      <c r="C1121" s="1" t="n">
        <v>46184</v>
      </c>
      <c r="D1121" t="inlineStr">
        <is>
          <t>VÄSTERNORRLANDS LÄN</t>
        </is>
      </c>
      <c r="E1121" t="inlineStr">
        <is>
          <t>ÅNGE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17035-2026</t>
        </is>
      </c>
      <c r="B1122" s="1" t="n">
        <v>46114.47012731482</v>
      </c>
      <c r="C1122" s="1" t="n">
        <v>46184</v>
      </c>
      <c r="D1122" t="inlineStr">
        <is>
          <t>VÄSTERNORRLANDS LÄN</t>
        </is>
      </c>
      <c r="E1122" t="inlineStr">
        <is>
          <t>ÅNGE</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16891-2026</t>
        </is>
      </c>
      <c r="B1123" s="1" t="n">
        <v>46113.61569444444</v>
      </c>
      <c r="C1123" s="1" t="n">
        <v>46184</v>
      </c>
      <c r="D1123" t="inlineStr">
        <is>
          <t>VÄSTERNORRLANDS LÄN</t>
        </is>
      </c>
      <c r="E1123" t="inlineStr">
        <is>
          <t>ÅNGE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17151-2026</t>
        </is>
      </c>
      <c r="B1124" s="1" t="n">
        <v>46115.34445601852</v>
      </c>
      <c r="C1124" s="1" t="n">
        <v>46184</v>
      </c>
      <c r="D1124" t="inlineStr">
        <is>
          <t>VÄSTERNORRLANDS LÄN</t>
        </is>
      </c>
      <c r="E1124" t="inlineStr">
        <is>
          <t>ÅNGE</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41284-2024</t>
        </is>
      </c>
      <c r="B1125" s="1" t="n">
        <v>45559.59520833333</v>
      </c>
      <c r="C1125" s="1" t="n">
        <v>46184</v>
      </c>
      <c r="D1125" t="inlineStr">
        <is>
          <t>VÄSTERNORRLANDS LÄN</t>
        </is>
      </c>
      <c r="E1125" t="inlineStr">
        <is>
          <t>ÅNGE</t>
        </is>
      </c>
      <c r="F1125" t="inlineStr">
        <is>
          <t>SCA</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39682-2024</t>
        </is>
      </c>
      <c r="B1126" s="1" t="n">
        <v>45552</v>
      </c>
      <c r="C1126" s="1" t="n">
        <v>46184</v>
      </c>
      <c r="D1126" t="inlineStr">
        <is>
          <t>VÄSTERNORRLANDS LÄN</t>
        </is>
      </c>
      <c r="E1126" t="inlineStr">
        <is>
          <t>ÅNGE</t>
        </is>
      </c>
      <c r="G1126" t="n">
        <v>35.4</v>
      </c>
      <c r="H1126" t="n">
        <v>0</v>
      </c>
      <c r="I1126" t="n">
        <v>0</v>
      </c>
      <c r="J1126" t="n">
        <v>0</v>
      </c>
      <c r="K1126" t="n">
        <v>0</v>
      </c>
      <c r="L1126" t="n">
        <v>0</v>
      </c>
      <c r="M1126" t="n">
        <v>0</v>
      </c>
      <c r="N1126" t="n">
        <v>0</v>
      </c>
      <c r="O1126" t="n">
        <v>0</v>
      </c>
      <c r="P1126" t="n">
        <v>0</v>
      </c>
      <c r="Q1126" t="n">
        <v>0</v>
      </c>
      <c r="R1126" s="2" t="inlineStr"/>
    </row>
    <row r="1127" ht="15" customHeight="1">
      <c r="A1127" t="inlineStr">
        <is>
          <t>A 2984-2025</t>
        </is>
      </c>
      <c r="B1127" s="1" t="n">
        <v>45678.51094907407</v>
      </c>
      <c r="C1127" s="1" t="n">
        <v>46184</v>
      </c>
      <c r="D1127" t="inlineStr">
        <is>
          <t>VÄSTERNORRLANDS LÄN</t>
        </is>
      </c>
      <c r="E1127" t="inlineStr">
        <is>
          <t>ÅNGE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3133-2024</t>
        </is>
      </c>
      <c r="B1128" s="1" t="n">
        <v>45316.55885416667</v>
      </c>
      <c r="C1128" s="1" t="n">
        <v>46184</v>
      </c>
      <c r="D1128" t="inlineStr">
        <is>
          <t>VÄSTERNORRLANDS LÄN</t>
        </is>
      </c>
      <c r="E1128" t="inlineStr">
        <is>
          <t>ÅNGE</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17504-2026</t>
        </is>
      </c>
      <c r="B1129" s="1" t="n">
        <v>46120.61848379629</v>
      </c>
      <c r="C1129" s="1" t="n">
        <v>46184</v>
      </c>
      <c r="D1129" t="inlineStr">
        <is>
          <t>VÄSTERNORRLANDS LÄN</t>
        </is>
      </c>
      <c r="E1129" t="inlineStr">
        <is>
          <t>ÅNGE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17468-2026</t>
        </is>
      </c>
      <c r="B1130" s="1" t="n">
        <v>46120.51113425926</v>
      </c>
      <c r="C1130" s="1" t="n">
        <v>46184</v>
      </c>
      <c r="D1130" t="inlineStr">
        <is>
          <t>VÄSTERNORRLANDS LÄN</t>
        </is>
      </c>
      <c r="E1130" t="inlineStr">
        <is>
          <t>ÅNGE</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17480-2026</t>
        </is>
      </c>
      <c r="B1131" s="1" t="n">
        <v>46120.54929398148</v>
      </c>
      <c r="C1131" s="1" t="n">
        <v>46184</v>
      </c>
      <c r="D1131" t="inlineStr">
        <is>
          <t>VÄSTERNORRLANDS LÄN</t>
        </is>
      </c>
      <c r="E1131" t="inlineStr">
        <is>
          <t>ÅNGE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17519-2026</t>
        </is>
      </c>
      <c r="B1132" s="1" t="n">
        <v>46120</v>
      </c>
      <c r="C1132" s="1" t="n">
        <v>46184</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56569-2024</t>
        </is>
      </c>
      <c r="B1133" s="1" t="n">
        <v>45625</v>
      </c>
      <c r="C1133" s="1" t="n">
        <v>46184</v>
      </c>
      <c r="D1133" t="inlineStr">
        <is>
          <t>VÄSTERNORRLANDS LÄN</t>
        </is>
      </c>
      <c r="E1133" t="inlineStr">
        <is>
          <t>ÅNGE</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17521-2026</t>
        </is>
      </c>
      <c r="B1134" s="1" t="n">
        <v>46120.64990740741</v>
      </c>
      <c r="C1134" s="1" t="n">
        <v>46184</v>
      </c>
      <c r="D1134" t="inlineStr">
        <is>
          <t>VÄSTERNORRLANDS LÄN</t>
        </is>
      </c>
      <c r="E1134" t="inlineStr">
        <is>
          <t>ÅNGE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23240-2026</t>
        </is>
      </c>
      <c r="B1135" s="1" t="n">
        <v>46162.40679398148</v>
      </c>
      <c r="C1135" s="1" t="n">
        <v>46184</v>
      </c>
      <c r="D1135" t="inlineStr">
        <is>
          <t>VÄSTERNORRLANDS LÄN</t>
        </is>
      </c>
      <c r="E1135" t="inlineStr">
        <is>
          <t>ÅNGE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17530-2026</t>
        </is>
      </c>
      <c r="B1136" s="1" t="n">
        <v>46120.66314814815</v>
      </c>
      <c r="C1136" s="1" t="n">
        <v>46184</v>
      </c>
      <c r="D1136" t="inlineStr">
        <is>
          <t>VÄSTERNORRLANDS LÄN</t>
        </is>
      </c>
      <c r="E1136" t="inlineStr">
        <is>
          <t>ÅNGE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17437-2026</t>
        </is>
      </c>
      <c r="B1137" s="1" t="n">
        <v>46120.42361111111</v>
      </c>
      <c r="C1137" s="1" t="n">
        <v>46184</v>
      </c>
      <c r="D1137" t="inlineStr">
        <is>
          <t>VÄSTERNORRLANDS LÄN</t>
        </is>
      </c>
      <c r="E1137" t="inlineStr">
        <is>
          <t>ÅNGE</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17505-2026</t>
        </is>
      </c>
      <c r="B1138" s="1" t="n">
        <v>46120.62159722222</v>
      </c>
      <c r="C1138" s="1" t="n">
        <v>46184</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17370-2026</t>
        </is>
      </c>
      <c r="B1139" s="1" t="n">
        <v>46119.69841435185</v>
      </c>
      <c r="C1139" s="1" t="n">
        <v>46184</v>
      </c>
      <c r="D1139" t="inlineStr">
        <is>
          <t>VÄSTERNORRLANDS LÄN</t>
        </is>
      </c>
      <c r="E1139" t="inlineStr">
        <is>
          <t>ÅNGE</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17242-2026</t>
        </is>
      </c>
      <c r="B1140" s="1" t="n">
        <v>46119.42765046296</v>
      </c>
      <c r="C1140" s="1" t="n">
        <v>46184</v>
      </c>
      <c r="D1140" t="inlineStr">
        <is>
          <t>VÄSTERNORRLANDS LÄN</t>
        </is>
      </c>
      <c r="E1140" t="inlineStr">
        <is>
          <t>ÅNGE</t>
        </is>
      </c>
      <c r="F1140" t="inlineStr">
        <is>
          <t>SCA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23318-2026</t>
        </is>
      </c>
      <c r="B1141" s="1" t="n">
        <v>46162.51113425926</v>
      </c>
      <c r="C1141" s="1" t="n">
        <v>46184</v>
      </c>
      <c r="D1141" t="inlineStr">
        <is>
          <t>VÄSTERNORRLANDS LÄN</t>
        </is>
      </c>
      <c r="E1141" t="inlineStr">
        <is>
          <t>ÅNGE</t>
        </is>
      </c>
      <c r="F1141" t="inlineStr">
        <is>
          <t>SCA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23321-2026</t>
        </is>
      </c>
      <c r="B1142" s="1" t="n">
        <v>46162.51731481482</v>
      </c>
      <c r="C1142" s="1" t="n">
        <v>46184</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23123-2026</t>
        </is>
      </c>
      <c r="B1143" s="1" t="n">
        <v>46161.59832175926</v>
      </c>
      <c r="C1143" s="1" t="n">
        <v>46184</v>
      </c>
      <c r="D1143" t="inlineStr">
        <is>
          <t>VÄSTERNORRLANDS LÄN</t>
        </is>
      </c>
      <c r="E1143" t="inlineStr">
        <is>
          <t>ÅNGE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23386-2026</t>
        </is>
      </c>
      <c r="B1144" s="1" t="n">
        <v>46162.65590277778</v>
      </c>
      <c r="C1144" s="1" t="n">
        <v>46184</v>
      </c>
      <c r="D1144" t="inlineStr">
        <is>
          <t>VÄSTERNORRLANDS LÄN</t>
        </is>
      </c>
      <c r="E1144" t="inlineStr">
        <is>
          <t>ÅNGE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22520-2026</t>
        </is>
      </c>
      <c r="B1145" s="1" t="n">
        <v>46155</v>
      </c>
      <c r="C1145" s="1" t="n">
        <v>46184</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17509-2026</t>
        </is>
      </c>
      <c r="B1146" s="1" t="n">
        <v>46120.62381944444</v>
      </c>
      <c r="C1146" s="1" t="n">
        <v>46184</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23302-2026</t>
        </is>
      </c>
      <c r="B1147" s="1" t="n">
        <v>46162.49021990741</v>
      </c>
      <c r="C1147" s="1" t="n">
        <v>46184</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53663-2022</t>
        </is>
      </c>
      <c r="B1148" s="1" t="n">
        <v>44879</v>
      </c>
      <c r="C1148" s="1" t="n">
        <v>46184</v>
      </c>
      <c r="D1148" t="inlineStr">
        <is>
          <t>VÄSTERNORRLANDS LÄN</t>
        </is>
      </c>
      <c r="E1148" t="inlineStr">
        <is>
          <t>ÅNGE</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10089-2023</t>
        </is>
      </c>
      <c r="B1149" s="1" t="n">
        <v>44985</v>
      </c>
      <c r="C1149" s="1" t="n">
        <v>46184</v>
      </c>
      <c r="D1149" t="inlineStr">
        <is>
          <t>VÄSTERNORRLANDS LÄN</t>
        </is>
      </c>
      <c r="E1149" t="inlineStr">
        <is>
          <t>ÅNGE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10090-2023</t>
        </is>
      </c>
      <c r="B1150" s="1" t="n">
        <v>44985.94511574074</v>
      </c>
      <c r="C1150" s="1" t="n">
        <v>46184</v>
      </c>
      <c r="D1150" t="inlineStr">
        <is>
          <t>VÄSTERNORRLANDS LÄN</t>
        </is>
      </c>
      <c r="E1150" t="inlineStr">
        <is>
          <t>ÅNGE</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17570-2026</t>
        </is>
      </c>
      <c r="B1151" s="1" t="n">
        <v>46121.34435185185</v>
      </c>
      <c r="C1151" s="1" t="n">
        <v>46184</v>
      </c>
      <c r="D1151" t="inlineStr">
        <is>
          <t>VÄSTERNORRLANDS LÄN</t>
        </is>
      </c>
      <c r="E1151" t="inlineStr">
        <is>
          <t>ÅNGE</t>
        </is>
      </c>
      <c r="F1151" t="inlineStr">
        <is>
          <t>SCA</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19997-2023</t>
        </is>
      </c>
      <c r="B1152" s="1" t="n">
        <v>45054</v>
      </c>
      <c r="C1152" s="1" t="n">
        <v>46184</v>
      </c>
      <c r="D1152" t="inlineStr">
        <is>
          <t>VÄSTERNORRLANDS LÄN</t>
        </is>
      </c>
      <c r="E1152" t="inlineStr">
        <is>
          <t>ÅNGE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38284-2022</t>
        </is>
      </c>
      <c r="B1153" s="1" t="n">
        <v>44812.55149305556</v>
      </c>
      <c r="C1153" s="1" t="n">
        <v>46184</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5393-2025</t>
        </is>
      </c>
      <c r="B1154" s="1" t="n">
        <v>45692.63574074074</v>
      </c>
      <c r="C1154" s="1" t="n">
        <v>46184</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23562-2026</t>
        </is>
      </c>
      <c r="B1155" s="1" t="n">
        <v>46163.58449074074</v>
      </c>
      <c r="C1155" s="1" t="n">
        <v>46184</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23590-2026</t>
        </is>
      </c>
      <c r="B1156" s="1" t="n">
        <v>46163.63648148148</v>
      </c>
      <c r="C1156" s="1" t="n">
        <v>46184</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57529-2024</t>
        </is>
      </c>
      <c r="B1157" s="1" t="n">
        <v>45630</v>
      </c>
      <c r="C1157" s="1" t="n">
        <v>46184</v>
      </c>
      <c r="D1157" t="inlineStr">
        <is>
          <t>VÄSTERNORRLANDS LÄN</t>
        </is>
      </c>
      <c r="E1157" t="inlineStr">
        <is>
          <t>ÅNGE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1769-2023</t>
        </is>
      </c>
      <c r="B1158" s="1" t="n">
        <v>44938.58025462963</v>
      </c>
      <c r="C1158" s="1" t="n">
        <v>46184</v>
      </c>
      <c r="D1158" t="inlineStr">
        <is>
          <t>VÄSTERNORRLANDS LÄN</t>
        </is>
      </c>
      <c r="E1158" t="inlineStr">
        <is>
          <t>ÅNGE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17922-2026</t>
        </is>
      </c>
      <c r="B1159" s="1" t="n">
        <v>46122.61457175926</v>
      </c>
      <c r="C1159" s="1" t="n">
        <v>46184</v>
      </c>
      <c r="D1159" t="inlineStr">
        <is>
          <t>VÄSTERNORRLANDS LÄN</t>
        </is>
      </c>
      <c r="E1159" t="inlineStr">
        <is>
          <t>ÅNGE</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23658-2026</t>
        </is>
      </c>
      <c r="B1160" s="1" t="n">
        <v>46164.36583333334</v>
      </c>
      <c r="C1160" s="1" t="n">
        <v>46184</v>
      </c>
      <c r="D1160" t="inlineStr">
        <is>
          <t>VÄSTERNORRLANDS LÄN</t>
        </is>
      </c>
      <c r="E1160" t="inlineStr">
        <is>
          <t>ÅNGE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23438-2026</t>
        </is>
      </c>
      <c r="B1161" s="1" t="n">
        <v>46163.34447916667</v>
      </c>
      <c r="C1161" s="1" t="n">
        <v>46184</v>
      </c>
      <c r="D1161" t="inlineStr">
        <is>
          <t>VÄSTERNORRLANDS LÄN</t>
        </is>
      </c>
      <c r="E1161" t="inlineStr">
        <is>
          <t>ÅNGE</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23449-2026</t>
        </is>
      </c>
      <c r="B1162" s="1" t="n">
        <v>46163.38611111111</v>
      </c>
      <c r="C1162" s="1" t="n">
        <v>46184</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23450-2026</t>
        </is>
      </c>
      <c r="B1163" s="1" t="n">
        <v>46163.38621527778</v>
      </c>
      <c r="C1163" s="1" t="n">
        <v>46184</v>
      </c>
      <c r="D1163" t="inlineStr">
        <is>
          <t>VÄSTERNORRLANDS LÄN</t>
        </is>
      </c>
      <c r="E1163" t="inlineStr">
        <is>
          <t>ÅNGE</t>
        </is>
      </c>
      <c r="F1163" t="inlineStr">
        <is>
          <t>SCA</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32776-2022</t>
        </is>
      </c>
      <c r="B1164" s="1" t="n">
        <v>44783.94607638889</v>
      </c>
      <c r="C1164" s="1" t="n">
        <v>46184</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17637-2026</t>
        </is>
      </c>
      <c r="B1165" s="1" t="n">
        <v>46121.49008101852</v>
      </c>
      <c r="C1165" s="1" t="n">
        <v>46184</v>
      </c>
      <c r="D1165" t="inlineStr">
        <is>
          <t>VÄSTERNORRLANDS LÄN</t>
        </is>
      </c>
      <c r="E1165" t="inlineStr">
        <is>
          <t>ÅNGE</t>
        </is>
      </c>
      <c r="F1165" t="inlineStr">
        <is>
          <t>SCA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17638-2026</t>
        </is>
      </c>
      <c r="B1166" s="1" t="n">
        <v>46121.49026620371</v>
      </c>
      <c r="C1166" s="1" t="n">
        <v>46184</v>
      </c>
      <c r="D1166" t="inlineStr">
        <is>
          <t>VÄSTERNORRLANDS LÄN</t>
        </is>
      </c>
      <c r="E1166" t="inlineStr">
        <is>
          <t>ÅNGE</t>
        </is>
      </c>
      <c r="F1166" t="inlineStr">
        <is>
          <t>SCA</t>
        </is>
      </c>
      <c r="G1166" t="n">
        <v>24.2</v>
      </c>
      <c r="H1166" t="n">
        <v>0</v>
      </c>
      <c r="I1166" t="n">
        <v>0</v>
      </c>
      <c r="J1166" t="n">
        <v>0</v>
      </c>
      <c r="K1166" t="n">
        <v>0</v>
      </c>
      <c r="L1166" t="n">
        <v>0</v>
      </c>
      <c r="M1166" t="n">
        <v>0</v>
      </c>
      <c r="N1166" t="n">
        <v>0</v>
      </c>
      <c r="O1166" t="n">
        <v>0</v>
      </c>
      <c r="P1166" t="n">
        <v>0</v>
      </c>
      <c r="Q1166" t="n">
        <v>0</v>
      </c>
      <c r="R1166" s="2" t="inlineStr"/>
    </row>
    <row r="1167" ht="15" customHeight="1">
      <c r="A1167" t="inlineStr">
        <is>
          <t>A 25779-2023</t>
        </is>
      </c>
      <c r="B1167" s="1" t="n">
        <v>45090.47439814815</v>
      </c>
      <c r="C1167" s="1" t="n">
        <v>46184</v>
      </c>
      <c r="D1167" t="inlineStr">
        <is>
          <t>VÄSTERNORRLANDS LÄN</t>
        </is>
      </c>
      <c r="E1167" t="inlineStr">
        <is>
          <t>ÅNGE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23225-2024</t>
        </is>
      </c>
      <c r="B1168" s="1" t="n">
        <v>45452.9490162037</v>
      </c>
      <c r="C1168" s="1" t="n">
        <v>46184</v>
      </c>
      <c r="D1168" t="inlineStr">
        <is>
          <t>VÄSTERNORRLANDS LÄN</t>
        </is>
      </c>
      <c r="E1168" t="inlineStr">
        <is>
          <t>ÅNGE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29696-2024</t>
        </is>
      </c>
      <c r="B1169" s="1" t="n">
        <v>45484.94524305555</v>
      </c>
      <c r="C1169" s="1" t="n">
        <v>46184</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17917-2026</t>
        </is>
      </c>
      <c r="B1170" s="1" t="n">
        <v>46122.60832175926</v>
      </c>
      <c r="C1170" s="1" t="n">
        <v>46184</v>
      </c>
      <c r="D1170" t="inlineStr">
        <is>
          <t>VÄSTERNORRLANDS LÄN</t>
        </is>
      </c>
      <c r="E1170" t="inlineStr">
        <is>
          <t>ÅNGE</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6462-2024</t>
        </is>
      </c>
      <c r="B1171" s="1" t="n">
        <v>45338</v>
      </c>
      <c r="C1171" s="1" t="n">
        <v>46184</v>
      </c>
      <c r="D1171" t="inlineStr">
        <is>
          <t>VÄSTERNORRLANDS LÄN</t>
        </is>
      </c>
      <c r="E1171" t="inlineStr">
        <is>
          <t>ÅNGE</t>
        </is>
      </c>
      <c r="F1171" t="inlineStr">
        <is>
          <t>Kyrkan</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18112-2026</t>
        </is>
      </c>
      <c r="B1172" s="1" t="n">
        <v>46125.57349537037</v>
      </c>
      <c r="C1172" s="1" t="n">
        <v>46184</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24164-2026</t>
        </is>
      </c>
      <c r="B1173" s="1" t="n">
        <v>46168.55268518518</v>
      </c>
      <c r="C1173" s="1" t="n">
        <v>46184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26018-2024</t>
        </is>
      </c>
      <c r="B1174" s="1" t="n">
        <v>45467.95998842592</v>
      </c>
      <c r="C1174" s="1" t="n">
        <v>46184</v>
      </c>
      <c r="D1174" t="inlineStr">
        <is>
          <t>VÄSTERNORRLANDS LÄN</t>
        </is>
      </c>
      <c r="E1174" t="inlineStr">
        <is>
          <t>ÅNGE</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26021-2024</t>
        </is>
      </c>
      <c r="B1175" s="1" t="n">
        <v>45467</v>
      </c>
      <c r="C1175" s="1" t="n">
        <v>46184</v>
      </c>
      <c r="D1175" t="inlineStr">
        <is>
          <t>VÄSTERNORRLANDS LÄN</t>
        </is>
      </c>
      <c r="E1175" t="inlineStr">
        <is>
          <t>ÅNGE</t>
        </is>
      </c>
      <c r="F1175" t="inlineStr">
        <is>
          <t>SCA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29673-2024</t>
        </is>
      </c>
      <c r="B1176" s="1" t="n">
        <v>45484.94210648148</v>
      </c>
      <c r="C1176" s="1" t="n">
        <v>46184</v>
      </c>
      <c r="D1176" t="inlineStr">
        <is>
          <t>VÄSTERNORRLANDS LÄN</t>
        </is>
      </c>
      <c r="E1176" t="inlineStr">
        <is>
          <t>ÅNGE</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11399-2025</t>
        </is>
      </c>
      <c r="B1177" s="1" t="n">
        <v>45726.57364583333</v>
      </c>
      <c r="C1177" s="1" t="n">
        <v>46184</v>
      </c>
      <c r="D1177" t="inlineStr">
        <is>
          <t>VÄSTERNORRLANDS LÄN</t>
        </is>
      </c>
      <c r="E1177" t="inlineStr">
        <is>
          <t>ÅNGE</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39021-2024</t>
        </is>
      </c>
      <c r="B1178" s="1" t="n">
        <v>45548</v>
      </c>
      <c r="C1178" s="1" t="n">
        <v>46184</v>
      </c>
      <c r="D1178" t="inlineStr">
        <is>
          <t>VÄSTERNORRLANDS LÄN</t>
        </is>
      </c>
      <c r="E1178" t="inlineStr">
        <is>
          <t>ÅNGE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27915-2024</t>
        </is>
      </c>
      <c r="B1179" s="1" t="n">
        <v>45475</v>
      </c>
      <c r="C1179" s="1" t="n">
        <v>46184</v>
      </c>
      <c r="D1179" t="inlineStr">
        <is>
          <t>VÄSTERNORRLANDS LÄN</t>
        </is>
      </c>
      <c r="E1179" t="inlineStr">
        <is>
          <t>ÅNGE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24196-2026</t>
        </is>
      </c>
      <c r="B1180" s="1" t="n">
        <v>46168.61530092593</v>
      </c>
      <c r="C1180" s="1" t="n">
        <v>46184</v>
      </c>
      <c r="D1180" t="inlineStr">
        <is>
          <t>VÄSTERNORRLANDS LÄN</t>
        </is>
      </c>
      <c r="E1180" t="inlineStr">
        <is>
          <t>ÅNGE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2433-2024</t>
        </is>
      </c>
      <c r="B1181" s="1" t="n">
        <v>45310</v>
      </c>
      <c r="C1181" s="1" t="n">
        <v>46184</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18390-2026</t>
        </is>
      </c>
      <c r="B1182" s="1" t="n">
        <v>46126.65739583333</v>
      </c>
      <c r="C1182" s="1" t="n">
        <v>46184</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57846-2022</t>
        </is>
      </c>
      <c r="B1183" s="1" t="n">
        <v>44897.95008101852</v>
      </c>
      <c r="C1183" s="1" t="n">
        <v>46184</v>
      </c>
      <c r="D1183" t="inlineStr">
        <is>
          <t>VÄSTERNORRLANDS LÄN</t>
        </is>
      </c>
      <c r="E1183" t="inlineStr">
        <is>
          <t>ÅNGE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24154-2026</t>
        </is>
      </c>
      <c r="B1184" s="1" t="n">
        <v>46168.51104166666</v>
      </c>
      <c r="C1184" s="1" t="n">
        <v>46184</v>
      </c>
      <c r="D1184" t="inlineStr">
        <is>
          <t>VÄSTERNORRLANDS LÄN</t>
        </is>
      </c>
      <c r="E1184" t="inlineStr">
        <is>
          <t>ÅNGE</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24180-2026</t>
        </is>
      </c>
      <c r="B1185" s="1" t="n">
        <v>46168.59449074074</v>
      </c>
      <c r="C1185" s="1" t="n">
        <v>46184</v>
      </c>
      <c r="D1185" t="inlineStr">
        <is>
          <t>VÄSTERNORRLANDS LÄN</t>
        </is>
      </c>
      <c r="E1185" t="inlineStr">
        <is>
          <t>ÅNGE</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24108-2026</t>
        </is>
      </c>
      <c r="B1186" s="1" t="n">
        <v>46168.42776620371</v>
      </c>
      <c r="C1186" s="1" t="n">
        <v>46184</v>
      </c>
      <c r="D1186" t="inlineStr">
        <is>
          <t>VÄSTERNORRLANDS LÄN</t>
        </is>
      </c>
      <c r="E1186" t="inlineStr">
        <is>
          <t>ÅNGE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8868-2023</t>
        </is>
      </c>
      <c r="B1187" s="1" t="n">
        <v>44978</v>
      </c>
      <c r="C1187" s="1" t="n">
        <v>46184</v>
      </c>
      <c r="D1187" t="inlineStr">
        <is>
          <t>VÄSTERNORRLANDS LÄN</t>
        </is>
      </c>
      <c r="E1187" t="inlineStr">
        <is>
          <t>ÅNGE</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65229-2021</t>
        </is>
      </c>
      <c r="B1188" s="1" t="n">
        <v>44515</v>
      </c>
      <c r="C1188" s="1" t="n">
        <v>46184</v>
      </c>
      <c r="D1188" t="inlineStr">
        <is>
          <t>VÄSTERNORRLANDS LÄN</t>
        </is>
      </c>
      <c r="E1188" t="inlineStr">
        <is>
          <t>ÅNGE</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18144-2026</t>
        </is>
      </c>
      <c r="B1189" s="1" t="n">
        <v>46125.61525462963</v>
      </c>
      <c r="C1189" s="1" t="n">
        <v>46184</v>
      </c>
      <c r="D1189" t="inlineStr">
        <is>
          <t>VÄSTERNORRLANDS LÄN</t>
        </is>
      </c>
      <c r="E1189" t="inlineStr">
        <is>
          <t>ÅNGE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57291-2022</t>
        </is>
      </c>
      <c r="B1190" s="1" t="n">
        <v>44895</v>
      </c>
      <c r="C1190" s="1" t="n">
        <v>46184</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4883-2023</t>
        </is>
      </c>
      <c r="B1191" s="1" t="n">
        <v>44957</v>
      </c>
      <c r="C1191" s="1" t="n">
        <v>46184</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26951-2024</t>
        </is>
      </c>
      <c r="B1192" s="1" t="n">
        <v>45470.96991898148</v>
      </c>
      <c r="C1192" s="1" t="n">
        <v>46184</v>
      </c>
      <c r="D1192" t="inlineStr">
        <is>
          <t>VÄSTERNORRLANDS LÄN</t>
        </is>
      </c>
      <c r="E1192" t="inlineStr">
        <is>
          <t>ÅNGE</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26952-2024</t>
        </is>
      </c>
      <c r="B1193" s="1" t="n">
        <v>45470</v>
      </c>
      <c r="C1193" s="1" t="n">
        <v>46184</v>
      </c>
      <c r="D1193" t="inlineStr">
        <is>
          <t>VÄSTERNORRLANDS LÄN</t>
        </is>
      </c>
      <c r="E1193" t="inlineStr">
        <is>
          <t>ÅNGE</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24189-2026</t>
        </is>
      </c>
      <c r="B1194" s="1" t="n">
        <v>46168.60273148148</v>
      </c>
      <c r="C1194" s="1" t="n">
        <v>46184</v>
      </c>
      <c r="D1194" t="inlineStr">
        <is>
          <t>VÄSTERNORRLANDS LÄN</t>
        </is>
      </c>
      <c r="E1194" t="inlineStr">
        <is>
          <t>ÅNGE</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18212-2026</t>
        </is>
      </c>
      <c r="B1195" s="1" t="n">
        <v>46126</v>
      </c>
      <c r="C1195" s="1" t="n">
        <v>46184</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24729-2026</t>
        </is>
      </c>
      <c r="B1196" s="1" t="n">
        <v>46171.56641203703</v>
      </c>
      <c r="C1196" s="1" t="n">
        <v>46184</v>
      </c>
      <c r="D1196" t="inlineStr">
        <is>
          <t>VÄSTERNORRLANDS LÄN</t>
        </is>
      </c>
      <c r="E1196" t="inlineStr">
        <is>
          <t>ÅNGE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24772-2026</t>
        </is>
      </c>
      <c r="B1197" s="1" t="n">
        <v>46171.63611111111</v>
      </c>
      <c r="C1197" s="1" t="n">
        <v>46184</v>
      </c>
      <c r="D1197" t="inlineStr">
        <is>
          <t>VÄSTERNORRLANDS LÄN</t>
        </is>
      </c>
      <c r="E1197" t="inlineStr">
        <is>
          <t>ÅNGE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18647-2026</t>
        </is>
      </c>
      <c r="B1198" s="1" t="n">
        <v>46128.34453703704</v>
      </c>
      <c r="C1198" s="1" t="n">
        <v>46184</v>
      </c>
      <c r="D1198" t="inlineStr">
        <is>
          <t>VÄSTERNORRLANDS LÄN</t>
        </is>
      </c>
      <c r="E1198" t="inlineStr">
        <is>
          <t>ÅNGE</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18648-2026</t>
        </is>
      </c>
      <c r="B1199" s="1" t="n">
        <v>46128.34461805555</v>
      </c>
      <c r="C1199" s="1" t="n">
        <v>46184</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24470-2026</t>
        </is>
      </c>
      <c r="B1200" s="1" t="n">
        <v>46170.4143287037</v>
      </c>
      <c r="C1200" s="1" t="n">
        <v>46184</v>
      </c>
      <c r="D1200" t="inlineStr">
        <is>
          <t>VÄSTERNORRLANDS LÄN</t>
        </is>
      </c>
      <c r="E1200" t="inlineStr">
        <is>
          <t>ÅNGE</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35979-2023</t>
        </is>
      </c>
      <c r="B1201" s="1" t="n">
        <v>45148</v>
      </c>
      <c r="C1201" s="1" t="n">
        <v>46184</v>
      </c>
      <c r="D1201" t="inlineStr">
        <is>
          <t>VÄSTERNORRLANDS LÄN</t>
        </is>
      </c>
      <c r="E1201" t="inlineStr">
        <is>
          <t>ÅNGE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18975-2026</t>
        </is>
      </c>
      <c r="B1202" s="1" t="n">
        <v>46129.61513888889</v>
      </c>
      <c r="C1202" s="1" t="n">
        <v>46184</v>
      </c>
      <c r="D1202" t="inlineStr">
        <is>
          <t>VÄSTERNORRLANDS LÄN</t>
        </is>
      </c>
      <c r="E1202" t="inlineStr">
        <is>
          <t>ÅNGE</t>
        </is>
      </c>
      <c r="F1202" t="inlineStr">
        <is>
          <t>SCA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18573-2026</t>
        </is>
      </c>
      <c r="B1203" s="1" t="n">
        <v>46127.59502314815</v>
      </c>
      <c r="C1203" s="1" t="n">
        <v>46184</v>
      </c>
      <c r="D1203" t="inlineStr">
        <is>
          <t>VÄSTERNORRLANDS LÄN</t>
        </is>
      </c>
      <c r="E1203" t="inlineStr">
        <is>
          <t>ÅNGE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3322-2025</t>
        </is>
      </c>
      <c r="B1204" s="1" t="n">
        <v>45679.6989699074</v>
      </c>
      <c r="C1204" s="1" t="n">
        <v>46184</v>
      </c>
      <c r="D1204" t="inlineStr">
        <is>
          <t>VÄSTERNORRLANDS LÄN</t>
        </is>
      </c>
      <c r="E1204" t="inlineStr">
        <is>
          <t>ÅNGE</t>
        </is>
      </c>
      <c r="F1204" t="inlineStr">
        <is>
          <t>SCA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3327-2025</t>
        </is>
      </c>
      <c r="B1205" s="1" t="n">
        <v>45679.69967592593</v>
      </c>
      <c r="C1205" s="1" t="n">
        <v>46184</v>
      </c>
      <c r="D1205" t="inlineStr">
        <is>
          <t>VÄSTERNORRLANDS LÄN</t>
        </is>
      </c>
      <c r="E1205" t="inlineStr">
        <is>
          <t>ÅNGE</t>
        </is>
      </c>
      <c r="F1205" t="inlineStr">
        <is>
          <t>SCA</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18603-2026</t>
        </is>
      </c>
      <c r="B1206" s="1" t="n">
        <v>46127.65785879629</v>
      </c>
      <c r="C1206" s="1" t="n">
        <v>46184</v>
      </c>
      <c r="D1206" t="inlineStr">
        <is>
          <t>VÄSTERNORRLANDS LÄN</t>
        </is>
      </c>
      <c r="E1206" t="inlineStr">
        <is>
          <t>ÅNGE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24434-2026</t>
        </is>
      </c>
      <c r="B1207" s="1" t="n">
        <v>46169</v>
      </c>
      <c r="C1207" s="1" t="n">
        <v>46184</v>
      </c>
      <c r="D1207" t="inlineStr">
        <is>
          <t>VÄSTERNORRLANDS LÄN</t>
        </is>
      </c>
      <c r="E1207" t="inlineStr">
        <is>
          <t>ÅNGE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44606-2024</t>
        </is>
      </c>
      <c r="B1208" s="1" t="n">
        <v>45574.51195601852</v>
      </c>
      <c r="C1208" s="1" t="n">
        <v>46184</v>
      </c>
      <c r="D1208" t="inlineStr">
        <is>
          <t>VÄSTERNORRLANDS LÄN</t>
        </is>
      </c>
      <c r="E1208" t="inlineStr">
        <is>
          <t>ÅNGE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44626-2024</t>
        </is>
      </c>
      <c r="B1209" s="1" t="n">
        <v>45574.51378472222</v>
      </c>
      <c r="C1209" s="1" t="n">
        <v>46184</v>
      </c>
      <c r="D1209" t="inlineStr">
        <is>
          <t>VÄSTERNORRLANDS LÄN</t>
        </is>
      </c>
      <c r="E1209" t="inlineStr">
        <is>
          <t>ÅNGE</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18668-2023</t>
        </is>
      </c>
      <c r="B1210" s="1" t="n">
        <v>45043.57108796296</v>
      </c>
      <c r="C1210" s="1" t="n">
        <v>46184</v>
      </c>
      <c r="D1210" t="inlineStr">
        <is>
          <t>VÄSTERNORRLANDS LÄN</t>
        </is>
      </c>
      <c r="E1210" t="inlineStr">
        <is>
          <t>ÅNGE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24566-2026</t>
        </is>
      </c>
      <c r="B1211" s="1" t="n">
        <v>46170.61553240741</v>
      </c>
      <c r="C1211" s="1" t="n">
        <v>46184</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18775-2026</t>
        </is>
      </c>
      <c r="B1212" s="1" t="n">
        <v>46128.57349537037</v>
      </c>
      <c r="C1212" s="1" t="n">
        <v>46184</v>
      </c>
      <c r="D1212" t="inlineStr">
        <is>
          <t>VÄSTERNORRLANDS LÄN</t>
        </is>
      </c>
      <c r="E1212" t="inlineStr">
        <is>
          <t>ÅNGE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1964-2022</t>
        </is>
      </c>
      <c r="B1213" s="1" t="n">
        <v>44575.5050462963</v>
      </c>
      <c r="C1213" s="1" t="n">
        <v>46184</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18880-2024</t>
        </is>
      </c>
      <c r="B1214" s="1" t="n">
        <v>45426</v>
      </c>
      <c r="C1214" s="1" t="n">
        <v>46184</v>
      </c>
      <c r="D1214" t="inlineStr">
        <is>
          <t>VÄSTERNORRLANDS LÄN</t>
        </is>
      </c>
      <c r="E1214" t="inlineStr">
        <is>
          <t>ÅNGE</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18602-2026</t>
        </is>
      </c>
      <c r="B1215" s="1" t="n">
        <v>46127.65782407407</v>
      </c>
      <c r="C1215" s="1" t="n">
        <v>46184</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18604-2026</t>
        </is>
      </c>
      <c r="B1216" s="1" t="n">
        <v>46127.65800925926</v>
      </c>
      <c r="C1216" s="1" t="n">
        <v>46184</v>
      </c>
      <c r="D1216" t="inlineStr">
        <is>
          <t>VÄSTERNORRLANDS LÄN</t>
        </is>
      </c>
      <c r="E1216" t="inlineStr">
        <is>
          <t>ÅNGE</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48787-2024</t>
        </is>
      </c>
      <c r="B1217" s="1" t="n">
        <v>45593.63888888889</v>
      </c>
      <c r="C1217" s="1" t="n">
        <v>46184</v>
      </c>
      <c r="D1217" t="inlineStr">
        <is>
          <t>VÄSTERNORRLANDS LÄN</t>
        </is>
      </c>
      <c r="E1217" t="inlineStr">
        <is>
          <t>ÅNGE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24728-2026</t>
        </is>
      </c>
      <c r="B1218" s="1" t="n">
        <v>46171.56435185186</v>
      </c>
      <c r="C1218" s="1" t="n">
        <v>46184</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24773-2026</t>
        </is>
      </c>
      <c r="B1219" s="1" t="n">
        <v>46171.63614583333</v>
      </c>
      <c r="C1219" s="1" t="n">
        <v>46184</v>
      </c>
      <c r="D1219" t="inlineStr">
        <is>
          <t>VÄSTERNORRLANDS LÄN</t>
        </is>
      </c>
      <c r="E1219" t="inlineStr">
        <is>
          <t>ÅNGE</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1886-2024</t>
        </is>
      </c>
      <c r="B1220" s="1" t="n">
        <v>45307.96335648148</v>
      </c>
      <c r="C1220" s="1" t="n">
        <v>46184</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24644-2026</t>
        </is>
      </c>
      <c r="B1221" s="1" t="n">
        <v>46171.40755787037</v>
      </c>
      <c r="C1221" s="1" t="n">
        <v>46184</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41370-2023</t>
        </is>
      </c>
      <c r="B1222" s="1" t="n">
        <v>45174.85951388889</v>
      </c>
      <c r="C1222" s="1" t="n">
        <v>46184</v>
      </c>
      <c r="D1222" t="inlineStr">
        <is>
          <t>VÄSTERNORRLANDS LÄN</t>
        </is>
      </c>
      <c r="E1222" t="inlineStr">
        <is>
          <t>ÅNGE</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24553-2026</t>
        </is>
      </c>
      <c r="B1223" s="1" t="n">
        <v>46170.59429398148</v>
      </c>
      <c r="C1223" s="1" t="n">
        <v>46184</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18551-2026</t>
        </is>
      </c>
      <c r="B1224" s="1" t="n">
        <v>46127.57387731481</v>
      </c>
      <c r="C1224" s="1" t="n">
        <v>46184</v>
      </c>
      <c r="D1224" t="inlineStr">
        <is>
          <t>VÄSTERNORRLANDS LÄN</t>
        </is>
      </c>
      <c r="E1224" t="inlineStr">
        <is>
          <t>ÅNGE</t>
        </is>
      </c>
      <c r="F1224" t="inlineStr">
        <is>
          <t>SCA</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30235-2024</t>
        </is>
      </c>
      <c r="B1225" s="1" t="n">
        <v>45490.49040509259</v>
      </c>
      <c r="C1225" s="1" t="n">
        <v>46184</v>
      </c>
      <c r="D1225" t="inlineStr">
        <is>
          <t>VÄSTERNORRLANDS LÄN</t>
        </is>
      </c>
      <c r="E1225" t="inlineStr">
        <is>
          <t>ÅNGE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18852-2026</t>
        </is>
      </c>
      <c r="B1226" s="1" t="n">
        <v>46129</v>
      </c>
      <c r="C1226" s="1" t="n">
        <v>46184</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24758-2026</t>
        </is>
      </c>
      <c r="B1227" s="1" t="n">
        <v>46171.61543981481</v>
      </c>
      <c r="C1227" s="1" t="n">
        <v>46184</v>
      </c>
      <c r="D1227" t="inlineStr">
        <is>
          <t>VÄSTERNORRLANDS LÄN</t>
        </is>
      </c>
      <c r="E1227" t="inlineStr">
        <is>
          <t>ÅNGE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23747-2026</t>
        </is>
      </c>
      <c r="B1228" s="1" t="n">
        <v>46164</v>
      </c>
      <c r="C1228" s="1" t="n">
        <v>46184</v>
      </c>
      <c r="D1228" t="inlineStr">
        <is>
          <t>VÄSTERNORRLANDS LÄN</t>
        </is>
      </c>
      <c r="E1228" t="inlineStr">
        <is>
          <t>ÅNGE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60817-2024</t>
        </is>
      </c>
      <c r="B1229" s="1" t="n">
        <v>45644</v>
      </c>
      <c r="C1229" s="1" t="n">
        <v>46184</v>
      </c>
      <c r="D1229" t="inlineStr">
        <is>
          <t>VÄSTERNORRLANDS LÄN</t>
        </is>
      </c>
      <c r="E1229" t="inlineStr">
        <is>
          <t>ÅNGE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18456-2024</t>
        </is>
      </c>
      <c r="B1230" s="1" t="n">
        <v>45425.46831018518</v>
      </c>
      <c r="C1230" s="1" t="n">
        <v>46184</v>
      </c>
      <c r="D1230" t="inlineStr">
        <is>
          <t>VÄSTERNORRLANDS LÄN</t>
        </is>
      </c>
      <c r="E1230" t="inlineStr">
        <is>
          <t>ÅNGE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24827-2026</t>
        </is>
      </c>
      <c r="B1231" s="1" t="n">
        <v>46174.34451388889</v>
      </c>
      <c r="C1231" s="1" t="n">
        <v>46184</v>
      </c>
      <c r="D1231" t="inlineStr">
        <is>
          <t>VÄSTERNORRLANDS LÄN</t>
        </is>
      </c>
      <c r="E1231" t="inlineStr">
        <is>
          <t>ÅNGE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25126-2026</t>
        </is>
      </c>
      <c r="B1232" s="1" t="n">
        <v>46175.39295138889</v>
      </c>
      <c r="C1232" s="1" t="n">
        <v>46184</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25150-2026</t>
        </is>
      </c>
      <c r="B1233" s="1" t="n">
        <v>46175.43461805556</v>
      </c>
      <c r="C1233" s="1" t="n">
        <v>46184</v>
      </c>
      <c r="D1233" t="inlineStr">
        <is>
          <t>VÄSTERNORRLANDS LÄN</t>
        </is>
      </c>
      <c r="E1233" t="inlineStr">
        <is>
          <t>ÅNGE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19021-2026</t>
        </is>
      </c>
      <c r="B1234" s="1" t="n">
        <v>46131.34442129629</v>
      </c>
      <c r="C1234" s="1" t="n">
        <v>46184</v>
      </c>
      <c r="D1234" t="inlineStr">
        <is>
          <t>VÄSTERNORRLANDS LÄN</t>
        </is>
      </c>
      <c r="E1234" t="inlineStr">
        <is>
          <t>ÅNGE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19360-2026</t>
        </is>
      </c>
      <c r="B1235" s="1" t="n">
        <v>46133.51094907407</v>
      </c>
      <c r="C1235" s="1" t="n">
        <v>46184</v>
      </c>
      <c r="D1235" t="inlineStr">
        <is>
          <t>VÄSTERNORRLANDS LÄN</t>
        </is>
      </c>
      <c r="E1235" t="inlineStr">
        <is>
          <t>ÅNGE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25100-2026</t>
        </is>
      </c>
      <c r="B1236" s="1" t="n">
        <v>46175.34491898148</v>
      </c>
      <c r="C1236" s="1" t="n">
        <v>46184</v>
      </c>
      <c r="D1236" t="inlineStr">
        <is>
          <t>VÄSTERNORRLANDS LÄN</t>
        </is>
      </c>
      <c r="E1236" t="inlineStr">
        <is>
          <t>ÅNGE</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25047-2023</t>
        </is>
      </c>
      <c r="B1237" s="1" t="n">
        <v>45085.94569444445</v>
      </c>
      <c r="C1237" s="1" t="n">
        <v>46184</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19214-2026</t>
        </is>
      </c>
      <c r="B1238" s="1" t="n">
        <v>46132.62857638889</v>
      </c>
      <c r="C1238" s="1" t="n">
        <v>46184</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19212-2026</t>
        </is>
      </c>
      <c r="B1239" s="1" t="n">
        <v>46132.62708333333</v>
      </c>
      <c r="C1239" s="1" t="n">
        <v>46184</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19437-2026</t>
        </is>
      </c>
      <c r="B1240" s="1" t="n">
        <v>46133.6365162037</v>
      </c>
      <c r="C1240" s="1" t="n">
        <v>46184</v>
      </c>
      <c r="D1240" t="inlineStr">
        <is>
          <t>VÄSTERNORRLANDS LÄN</t>
        </is>
      </c>
      <c r="E1240" t="inlineStr">
        <is>
          <t>ÅNGE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42044-2024</t>
        </is>
      </c>
      <c r="B1241" s="1" t="n">
        <v>45561</v>
      </c>
      <c r="C1241" s="1" t="n">
        <v>46184</v>
      </c>
      <c r="D1241" t="inlineStr">
        <is>
          <t>VÄSTERNORRLANDS LÄN</t>
        </is>
      </c>
      <c r="E1241" t="inlineStr">
        <is>
          <t>ÅNGE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19120-2026</t>
        </is>
      </c>
      <c r="B1242" s="1" t="n">
        <v>46132.47065972222</v>
      </c>
      <c r="C1242" s="1" t="n">
        <v>46184</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19204-2026</t>
        </is>
      </c>
      <c r="B1243" s="1" t="n">
        <v>46132.61618055555</v>
      </c>
      <c r="C1243" s="1" t="n">
        <v>46184</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19209-2026</t>
        </is>
      </c>
      <c r="B1244" s="1" t="n">
        <v>46132.62471064815</v>
      </c>
      <c r="C1244" s="1" t="n">
        <v>46184</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11764-2024</t>
        </is>
      </c>
      <c r="B1245" s="1" t="n">
        <v>45373.94837962963</v>
      </c>
      <c r="C1245" s="1" t="n">
        <v>46184</v>
      </c>
      <c r="D1245" t="inlineStr">
        <is>
          <t>VÄSTERNORRLANDS LÄN</t>
        </is>
      </c>
      <c r="E1245" t="inlineStr">
        <is>
          <t>ÅNGE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25035-2023</t>
        </is>
      </c>
      <c r="B1246" s="1" t="n">
        <v>45085</v>
      </c>
      <c r="C1246" s="1" t="n">
        <v>46184</v>
      </c>
      <c r="D1246" t="inlineStr">
        <is>
          <t>VÄSTERNORRLANDS LÄN</t>
        </is>
      </c>
      <c r="E1246" t="inlineStr">
        <is>
          <t>ÅNGE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25184-2026</t>
        </is>
      </c>
      <c r="B1247" s="1" t="n">
        <v>46175.5724537037</v>
      </c>
      <c r="C1247" s="1" t="n">
        <v>46184</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25185-2026</t>
        </is>
      </c>
      <c r="B1248" s="1" t="n">
        <v>46175.57344907407</v>
      </c>
      <c r="C1248" s="1" t="n">
        <v>46184</v>
      </c>
      <c r="D1248" t="inlineStr">
        <is>
          <t>VÄSTERNORRLANDS LÄN</t>
        </is>
      </c>
      <c r="E1248" t="inlineStr">
        <is>
          <t>ÅNGE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10195-2024</t>
        </is>
      </c>
      <c r="B1249" s="1" t="n">
        <v>45364</v>
      </c>
      <c r="C1249" s="1" t="n">
        <v>46184</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42488-2024</t>
        </is>
      </c>
      <c r="B1250" s="1" t="n">
        <v>45565.49420138889</v>
      </c>
      <c r="C1250" s="1" t="n">
        <v>46184</v>
      </c>
      <c r="D1250" t="inlineStr">
        <is>
          <t>VÄSTERNORRLANDS LÄN</t>
        </is>
      </c>
      <c r="E1250" t="inlineStr">
        <is>
          <t>ÅNGE</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42529-2024</t>
        </is>
      </c>
      <c r="B1251" s="1" t="n">
        <v>45565.57324074074</v>
      </c>
      <c r="C1251" s="1" t="n">
        <v>46184</v>
      </c>
      <c r="D1251" t="inlineStr">
        <is>
          <t>VÄSTERNORRLANDS LÄN</t>
        </is>
      </c>
      <c r="E1251" t="inlineStr">
        <is>
          <t>ÅNGE</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9211-2023</t>
        </is>
      </c>
      <c r="B1252" s="1" t="n">
        <v>44980</v>
      </c>
      <c r="C1252" s="1" t="n">
        <v>46184</v>
      </c>
      <c r="D1252" t="inlineStr">
        <is>
          <t>VÄSTERNORRLANDS LÄN</t>
        </is>
      </c>
      <c r="E1252" t="inlineStr">
        <is>
          <t>ÅNGE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25198-2026</t>
        </is>
      </c>
      <c r="B1253" s="1" t="n">
        <v>46175.59298611111</v>
      </c>
      <c r="C1253" s="1" t="n">
        <v>46184</v>
      </c>
      <c r="D1253" t="inlineStr">
        <is>
          <t>VÄSTERNORRLANDS LÄN</t>
        </is>
      </c>
      <c r="E1253" t="inlineStr">
        <is>
          <t>ÅNGE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29193-2024</t>
        </is>
      </c>
      <c r="B1254" s="1" t="n">
        <v>45482.56510416666</v>
      </c>
      <c r="C1254" s="1" t="n">
        <v>46184</v>
      </c>
      <c r="D1254" t="inlineStr">
        <is>
          <t>VÄSTERNORRLANDS LÄN</t>
        </is>
      </c>
      <c r="E1254" t="inlineStr">
        <is>
          <t>ÅNGE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24629-2026</t>
        </is>
      </c>
      <c r="B1255" s="1" t="n">
        <v>46171</v>
      </c>
      <c r="C1255" s="1" t="n">
        <v>46184</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20083-2026</t>
        </is>
      </c>
      <c r="B1256" s="1" t="n">
        <v>46135</v>
      </c>
      <c r="C1256" s="1" t="n">
        <v>46184</v>
      </c>
      <c r="D1256" t="inlineStr">
        <is>
          <t>VÄSTERNORRLANDS LÄN</t>
        </is>
      </c>
      <c r="E1256" t="inlineStr">
        <is>
          <t>ÅNGE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25530-2026</t>
        </is>
      </c>
      <c r="B1257" s="1" t="n">
        <v>46177.53196759259</v>
      </c>
      <c r="C1257" s="1" t="n">
        <v>46184</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25316-2026</t>
        </is>
      </c>
      <c r="B1258" s="1" t="n">
        <v>46176.49024305555</v>
      </c>
      <c r="C1258" s="1" t="n">
        <v>46184</v>
      </c>
      <c r="D1258" t="inlineStr">
        <is>
          <t>VÄSTERNORRLANDS LÄN</t>
        </is>
      </c>
      <c r="E1258" t="inlineStr">
        <is>
          <t>ÅNGE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19689-2026</t>
        </is>
      </c>
      <c r="B1259" s="1" t="n">
        <v>46134.67760416667</v>
      </c>
      <c r="C1259" s="1" t="n">
        <v>46184</v>
      </c>
      <c r="D1259" t="inlineStr">
        <is>
          <t>VÄSTERNORRLANDS LÄN</t>
        </is>
      </c>
      <c r="E1259" t="inlineStr">
        <is>
          <t>ÅNGE</t>
        </is>
      </c>
      <c r="F1259" t="inlineStr">
        <is>
          <t>SCA</t>
        </is>
      </c>
      <c r="G1259" t="n">
        <v>28.5</v>
      </c>
      <c r="H1259" t="n">
        <v>0</v>
      </c>
      <c r="I1259" t="n">
        <v>0</v>
      </c>
      <c r="J1259" t="n">
        <v>0</v>
      </c>
      <c r="K1259" t="n">
        <v>0</v>
      </c>
      <c r="L1259" t="n">
        <v>0</v>
      </c>
      <c r="M1259" t="n">
        <v>0</v>
      </c>
      <c r="N1259" t="n">
        <v>0</v>
      </c>
      <c r="O1259" t="n">
        <v>0</v>
      </c>
      <c r="P1259" t="n">
        <v>0</v>
      </c>
      <c r="Q1259" t="n">
        <v>0</v>
      </c>
      <c r="R1259" s="2" t="inlineStr"/>
    </row>
    <row r="1260" ht="15" customHeight="1">
      <c r="A1260" t="inlineStr">
        <is>
          <t>A 19815-2026</t>
        </is>
      </c>
      <c r="B1260" s="1" t="n">
        <v>46135.5735300926</v>
      </c>
      <c r="C1260" s="1" t="n">
        <v>46184</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19875-2026</t>
        </is>
      </c>
      <c r="B1261" s="1" t="n">
        <v>46135.65696759259</v>
      </c>
      <c r="C1261" s="1" t="n">
        <v>46184</v>
      </c>
      <c r="D1261" t="inlineStr">
        <is>
          <t>VÄSTERNORRLANDS LÄN</t>
        </is>
      </c>
      <c r="E1261" t="inlineStr">
        <is>
          <t>ÅNGE</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25390-2026</t>
        </is>
      </c>
      <c r="B1262" s="1" t="n">
        <v>46176.71925925926</v>
      </c>
      <c r="C1262" s="1" t="n">
        <v>46184</v>
      </c>
      <c r="D1262" t="inlineStr">
        <is>
          <t>VÄSTERNORRLANDS LÄN</t>
        </is>
      </c>
      <c r="E1262" t="inlineStr">
        <is>
          <t>ÅNGE</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19817-2026</t>
        </is>
      </c>
      <c r="B1263" s="1" t="n">
        <v>46135</v>
      </c>
      <c r="C1263" s="1" t="n">
        <v>46184</v>
      </c>
      <c r="D1263" t="inlineStr">
        <is>
          <t>VÄSTERNORRLANDS LÄN</t>
        </is>
      </c>
      <c r="E1263" t="inlineStr">
        <is>
          <t>ÅNGE</t>
        </is>
      </c>
      <c r="F1263" t="inlineStr">
        <is>
          <t>SCA</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3023-2023</t>
        </is>
      </c>
      <c r="B1264" s="1" t="n">
        <v>44945</v>
      </c>
      <c r="C1264" s="1" t="n">
        <v>46184</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3025-2023</t>
        </is>
      </c>
      <c r="B1265" s="1" t="n">
        <v>44945</v>
      </c>
      <c r="C1265" s="1" t="n">
        <v>46184</v>
      </c>
      <c r="D1265" t="inlineStr">
        <is>
          <t>VÄSTERNORRLANDS LÄN</t>
        </is>
      </c>
      <c r="E1265" t="inlineStr">
        <is>
          <t>ÅNGE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56232-2024</t>
        </is>
      </c>
      <c r="B1266" s="1" t="n">
        <v>45624</v>
      </c>
      <c r="C1266" s="1" t="n">
        <v>46184</v>
      </c>
      <c r="D1266" t="inlineStr">
        <is>
          <t>VÄSTERNORRLANDS LÄN</t>
        </is>
      </c>
      <c r="E1266" t="inlineStr">
        <is>
          <t>ÅNGE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19668-2026</t>
        </is>
      </c>
      <c r="B1267" s="1" t="n">
        <v>46134.61542824074</v>
      </c>
      <c r="C1267" s="1" t="n">
        <v>46184</v>
      </c>
      <c r="D1267" t="inlineStr">
        <is>
          <t>VÄSTERNORRLANDS LÄN</t>
        </is>
      </c>
      <c r="E1267" t="inlineStr">
        <is>
          <t>ÅNGE</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19691-2026</t>
        </is>
      </c>
      <c r="B1268" s="1" t="n">
        <v>46134.67791666667</v>
      </c>
      <c r="C1268" s="1" t="n">
        <v>46184</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16853-2023</t>
        </is>
      </c>
      <c r="B1269" s="1" t="n">
        <v>45033</v>
      </c>
      <c r="C1269" s="1" t="n">
        <v>46184</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7528-2023</t>
        </is>
      </c>
      <c r="B1270" s="1" t="n">
        <v>44971.97662037037</v>
      </c>
      <c r="C1270" s="1" t="n">
        <v>46184</v>
      </c>
      <c r="D1270" t="inlineStr">
        <is>
          <t>VÄSTERNORRLANDS LÄN</t>
        </is>
      </c>
      <c r="E1270" t="inlineStr">
        <is>
          <t>ÅNGE</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54059-2024</t>
        </is>
      </c>
      <c r="B1271" s="1" t="n">
        <v>45616.46943287037</v>
      </c>
      <c r="C1271" s="1" t="n">
        <v>46184</v>
      </c>
      <c r="D1271" t="inlineStr">
        <is>
          <t>VÄSTERNORRLANDS LÄN</t>
        </is>
      </c>
      <c r="E1271" t="inlineStr">
        <is>
          <t>ÅNGE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50235-2021</t>
        </is>
      </c>
      <c r="B1272" s="1" t="n">
        <v>44457</v>
      </c>
      <c r="C1272" s="1" t="n">
        <v>46184</v>
      </c>
      <c r="D1272" t="inlineStr">
        <is>
          <t>VÄSTERNORRLANDS LÄN</t>
        </is>
      </c>
      <c r="E1272" t="inlineStr">
        <is>
          <t>ÅNGE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44600-2024</t>
        </is>
      </c>
      <c r="B1273" s="1" t="n">
        <v>45574.51113425926</v>
      </c>
      <c r="C1273" s="1" t="n">
        <v>46184</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20055-2026</t>
        </is>
      </c>
      <c r="B1274" s="1" t="n">
        <v>46135</v>
      </c>
      <c r="C1274" s="1" t="n">
        <v>46184</v>
      </c>
      <c r="D1274" t="inlineStr">
        <is>
          <t>VÄSTERNORRLANDS LÄN</t>
        </is>
      </c>
      <c r="E1274" t="inlineStr">
        <is>
          <t>ÅNGE</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12806-2025</t>
        </is>
      </c>
      <c r="B1275" s="1" t="n">
        <v>45733.61518518518</v>
      </c>
      <c r="C1275" s="1" t="n">
        <v>46184</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25519-2026</t>
        </is>
      </c>
      <c r="B1276" s="1" t="n">
        <v>46177.51076388889</v>
      </c>
      <c r="C1276" s="1" t="n">
        <v>46184</v>
      </c>
      <c r="D1276" t="inlineStr">
        <is>
          <t>VÄSTERNORRLANDS LÄN</t>
        </is>
      </c>
      <c r="E1276" t="inlineStr">
        <is>
          <t>ÅNGE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25528-2026</t>
        </is>
      </c>
      <c r="B1277" s="1" t="n">
        <v>46177.53179398148</v>
      </c>
      <c r="C1277" s="1" t="n">
        <v>46184</v>
      </c>
      <c r="D1277" t="inlineStr">
        <is>
          <t>VÄSTERNORRLANDS LÄN</t>
        </is>
      </c>
      <c r="E1277" t="inlineStr">
        <is>
          <t>ÅNGE</t>
        </is>
      </c>
      <c r="F1277" t="inlineStr">
        <is>
          <t>SCA</t>
        </is>
      </c>
      <c r="G1277" t="n">
        <v>12.8</v>
      </c>
      <c r="H1277" t="n">
        <v>0</v>
      </c>
      <c r="I1277" t="n">
        <v>0</v>
      </c>
      <c r="J1277" t="n">
        <v>0</v>
      </c>
      <c r="K1277" t="n">
        <v>0</v>
      </c>
      <c r="L1277" t="n">
        <v>0</v>
      </c>
      <c r="M1277" t="n">
        <v>0</v>
      </c>
      <c r="N1277" t="n">
        <v>0</v>
      </c>
      <c r="O1277" t="n">
        <v>0</v>
      </c>
      <c r="P1277" t="n">
        <v>0</v>
      </c>
      <c r="Q1277" t="n">
        <v>0</v>
      </c>
      <c r="R1277" s="2" t="inlineStr"/>
    </row>
    <row r="1278" ht="15" customHeight="1">
      <c r="A1278" t="inlineStr">
        <is>
          <t>A 45890-2021</t>
        </is>
      </c>
      <c r="B1278" s="1" t="n">
        <v>44441</v>
      </c>
      <c r="C1278" s="1" t="n">
        <v>46184</v>
      </c>
      <c r="D1278" t="inlineStr">
        <is>
          <t>VÄSTERNORRLANDS LÄN</t>
        </is>
      </c>
      <c r="E1278" t="inlineStr">
        <is>
          <t>ÅNGE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1869-2022</t>
        </is>
      </c>
      <c r="B1279" s="1" t="n">
        <v>44574</v>
      </c>
      <c r="C1279" s="1" t="n">
        <v>46184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36205-2025</t>
        </is>
      </c>
      <c r="B1280" s="1" t="n">
        <v>45867.44855324074</v>
      </c>
      <c r="C1280" s="1" t="n">
        <v>46184</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62091-2025</t>
        </is>
      </c>
      <c r="B1281" s="1" t="n">
        <v>46006.3859375</v>
      </c>
      <c r="C1281" s="1" t="n">
        <v>46184</v>
      </c>
      <c r="D1281" t="inlineStr">
        <is>
          <t>VÄSTERNORRLANDS LÄN</t>
        </is>
      </c>
      <c r="E1281" t="inlineStr">
        <is>
          <t>ÅNGE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48988-2021</t>
        </is>
      </c>
      <c r="B1282" s="1" t="n">
        <v>44453.43</v>
      </c>
      <c r="C1282" s="1" t="n">
        <v>46184</v>
      </c>
      <c r="D1282" t="inlineStr">
        <is>
          <t>VÄSTERNORRLANDS LÄN</t>
        </is>
      </c>
      <c r="E1282" t="inlineStr">
        <is>
          <t>ÅNGE</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58-2026</t>
        </is>
      </c>
      <c r="B1283" s="1" t="n">
        <v>46024</v>
      </c>
      <c r="C1283" s="1" t="n">
        <v>46184</v>
      </c>
      <c r="D1283" t="inlineStr">
        <is>
          <t>VÄSTERNORRLANDS LÄN</t>
        </is>
      </c>
      <c r="E1283" t="inlineStr">
        <is>
          <t>ÅNGE</t>
        </is>
      </c>
      <c r="F1283" t="inlineStr">
        <is>
          <t>Kyrkan</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60812-2024</t>
        </is>
      </c>
      <c r="B1284" s="1" t="n">
        <v>45644</v>
      </c>
      <c r="C1284" s="1" t="n">
        <v>46184</v>
      </c>
      <c r="D1284" t="inlineStr">
        <is>
          <t>VÄSTERNORRLANDS LÄN</t>
        </is>
      </c>
      <c r="E1284" t="inlineStr">
        <is>
          <t>ÅNGE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54611-2023</t>
        </is>
      </c>
      <c r="B1285" s="1" t="n">
        <v>45233</v>
      </c>
      <c r="C1285" s="1" t="n">
        <v>46184</v>
      </c>
      <c r="D1285" t="inlineStr">
        <is>
          <t>VÄSTERNORRLANDS LÄN</t>
        </is>
      </c>
      <c r="E1285" t="inlineStr">
        <is>
          <t>ÅNGE</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49187-2024</t>
        </is>
      </c>
      <c r="B1286" s="1" t="n">
        <v>45595.34490740741</v>
      </c>
      <c r="C1286" s="1" t="n">
        <v>46184</v>
      </c>
      <c r="D1286" t="inlineStr">
        <is>
          <t>VÄSTERNORRLANDS LÄN</t>
        </is>
      </c>
      <c r="E1286" t="inlineStr">
        <is>
          <t>ÅNGE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20020-2026</t>
        </is>
      </c>
      <c r="B1287" s="1" t="n">
        <v>46136.51101851852</v>
      </c>
      <c r="C1287" s="1" t="n">
        <v>46184</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c r="U1287">
        <f>HYPERLINK("https://klasma.github.io/Logging_2260/knärot/A 20020-2026 karta knärot.png", "A 20020-2026")</f>
        <v/>
      </c>
      <c r="V1287">
        <f>HYPERLINK("https://klasma.github.io/Logging_2260/klagomål/A 20020-2026 FSC-klagomål.docx", "A 20020-2026")</f>
        <v/>
      </c>
      <c r="W1287">
        <f>HYPERLINK("https://klasma.github.io/Logging_2260/klagomålsmail/A 20020-2026 FSC-klagomål mail.docx", "A 20020-2026")</f>
        <v/>
      </c>
      <c r="X1287">
        <f>HYPERLINK("https://klasma.github.io/Logging_2260/tillsyn/A 20020-2026 tillsynsbegäran.docx", "A 20020-2026")</f>
        <v/>
      </c>
      <c r="Y1287">
        <f>HYPERLINK("https://klasma.github.io/Logging_2260/tillsynsmail/A 20020-2026 tillsynsbegäran mail.docx", "A 20020-2026")</f>
        <v/>
      </c>
    </row>
    <row r="1288" ht="15" customHeight="1">
      <c r="A1288" t="inlineStr">
        <is>
          <t>A 51810-2023</t>
        </is>
      </c>
      <c r="B1288" s="1" t="n">
        <v>45222.96583333334</v>
      </c>
      <c r="C1288" s="1" t="n">
        <v>46184</v>
      </c>
      <c r="D1288" t="inlineStr">
        <is>
          <t>VÄSTERNORRLANDS LÄN</t>
        </is>
      </c>
      <c r="E1288" t="inlineStr">
        <is>
          <t>ÅNGE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5520-2022</t>
        </is>
      </c>
      <c r="B1289" s="1" t="n">
        <v>44595</v>
      </c>
      <c r="C1289" s="1" t="n">
        <v>46184</v>
      </c>
      <c r="D1289" t="inlineStr">
        <is>
          <t>VÄSTERNORRLANDS LÄN</t>
        </is>
      </c>
      <c r="E1289" t="inlineStr">
        <is>
          <t>ÅNGE</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44518-2024</t>
        </is>
      </c>
      <c r="B1290" s="1" t="n">
        <v>45574.43376157407</v>
      </c>
      <c r="C1290" s="1" t="n">
        <v>46184</v>
      </c>
      <c r="D1290" t="inlineStr">
        <is>
          <t>VÄSTERNORRLANDS LÄN</t>
        </is>
      </c>
      <c r="E1290" t="inlineStr">
        <is>
          <t>ÅNGE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58469-2023</t>
        </is>
      </c>
      <c r="B1291" s="1" t="n">
        <v>45250</v>
      </c>
      <c r="C1291" s="1" t="n">
        <v>46184</v>
      </c>
      <c r="D1291" t="inlineStr">
        <is>
          <t>VÄSTERNORRLANDS LÄN</t>
        </is>
      </c>
      <c r="E1291" t="inlineStr">
        <is>
          <t>ÅNGE</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35581-2024</t>
        </is>
      </c>
      <c r="B1292" s="1" t="n">
        <v>45531</v>
      </c>
      <c r="C1292" s="1" t="n">
        <v>46184</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31177-2024</t>
        </is>
      </c>
      <c r="B1293" s="1" t="n">
        <v>45503</v>
      </c>
      <c r="C1293" s="1" t="n">
        <v>46184</v>
      </c>
      <c r="D1293" t="inlineStr">
        <is>
          <t>VÄSTERNORRLANDS LÄN</t>
        </is>
      </c>
      <c r="E1293" t="inlineStr">
        <is>
          <t>ÅNGE</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25851-2026</t>
        </is>
      </c>
      <c r="B1294" s="1" t="n">
        <v>46178.55309027778</v>
      </c>
      <c r="C1294" s="1" t="n">
        <v>46184</v>
      </c>
      <c r="D1294" t="inlineStr">
        <is>
          <t>VÄSTERNORRLANDS LÄN</t>
        </is>
      </c>
      <c r="E1294" t="inlineStr">
        <is>
          <t>ÅNGE</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20080-2026</t>
        </is>
      </c>
      <c r="B1295" s="1" t="n">
        <v>46136</v>
      </c>
      <c r="C1295" s="1" t="n">
        <v>46184</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29063-2023</t>
        </is>
      </c>
      <c r="B1296" s="1" t="n">
        <v>45104.94068287037</v>
      </c>
      <c r="C1296" s="1" t="n">
        <v>46184</v>
      </c>
      <c r="D1296" t="inlineStr">
        <is>
          <t>VÄSTERNORRLANDS LÄN</t>
        </is>
      </c>
      <c r="E1296" t="inlineStr">
        <is>
          <t>ÅNGE</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52060-2025</t>
        </is>
      </c>
      <c r="B1297" s="1" t="n">
        <v>45952.63641203703</v>
      </c>
      <c r="C1297" s="1" t="n">
        <v>46184</v>
      </c>
      <c r="D1297" t="inlineStr">
        <is>
          <t>VÄSTERNORRLANDS LÄN</t>
        </is>
      </c>
      <c r="E1297" t="inlineStr">
        <is>
          <t>ÅNGE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59412-2024</t>
        </is>
      </c>
      <c r="B1298" s="1" t="n">
        <v>45638</v>
      </c>
      <c r="C1298" s="1" t="n">
        <v>46184</v>
      </c>
      <c r="D1298" t="inlineStr">
        <is>
          <t>VÄSTERNORRLANDS LÄN</t>
        </is>
      </c>
      <c r="E1298" t="inlineStr">
        <is>
          <t>ÅNGE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55045-2025</t>
        </is>
      </c>
      <c r="B1299" s="1" t="n">
        <v>45967.66068287037</v>
      </c>
      <c r="C1299" s="1" t="n">
        <v>46184</v>
      </c>
      <c r="D1299" t="inlineStr">
        <is>
          <t>VÄSTERNORRLANDS LÄN</t>
        </is>
      </c>
      <c r="E1299" t="inlineStr">
        <is>
          <t>ÅNGE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25853-2026</t>
        </is>
      </c>
      <c r="B1300" s="1" t="n">
        <v>46178.55336805555</v>
      </c>
      <c r="C1300" s="1" t="n">
        <v>46184</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9567-2024</t>
        </is>
      </c>
      <c r="B1301" s="1" t="n">
        <v>45360.03635416667</v>
      </c>
      <c r="C1301" s="1" t="n">
        <v>46184</v>
      </c>
      <c r="D1301" t="inlineStr">
        <is>
          <t>VÄSTERNORRLANDS LÄN</t>
        </is>
      </c>
      <c r="E1301" t="inlineStr">
        <is>
          <t>ÅNGE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56908-2021</t>
        </is>
      </c>
      <c r="B1302" s="1" t="n">
        <v>44481.93844907408</v>
      </c>
      <c r="C1302" s="1" t="n">
        <v>46184</v>
      </c>
      <c r="D1302" t="inlineStr">
        <is>
          <t>VÄSTERNORRLANDS LÄN</t>
        </is>
      </c>
      <c r="E1302" t="inlineStr">
        <is>
          <t>ÅNGE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44935-2025</t>
        </is>
      </c>
      <c r="B1303" s="1" t="n">
        <v>45918.57392361111</v>
      </c>
      <c r="C1303" s="1" t="n">
        <v>46184</v>
      </c>
      <c r="D1303" t="inlineStr">
        <is>
          <t>VÄSTERNORRLANDS LÄN</t>
        </is>
      </c>
      <c r="E1303" t="inlineStr">
        <is>
          <t>ÅNGE</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33782-2025</t>
        </is>
      </c>
      <c r="B1304" s="1" t="n">
        <v>45842.40678240741</v>
      </c>
      <c r="C1304" s="1" t="n">
        <v>46184</v>
      </c>
      <c r="D1304" t="inlineStr">
        <is>
          <t>VÄSTERNORRLANDS LÄN</t>
        </is>
      </c>
      <c r="E1304" t="inlineStr">
        <is>
          <t>ÅNGE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33717-2025</t>
        </is>
      </c>
      <c r="B1305" s="1" t="n">
        <v>45841.89357638889</v>
      </c>
      <c r="C1305" s="1" t="n">
        <v>46184</v>
      </c>
      <c r="D1305" t="inlineStr">
        <is>
          <t>VÄSTERNORRLANDS LÄN</t>
        </is>
      </c>
      <c r="E1305" t="inlineStr">
        <is>
          <t>ÅNGE</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4361-2024</t>
        </is>
      </c>
      <c r="B1306" s="1" t="n">
        <v>45325.65047453704</v>
      </c>
      <c r="C1306" s="1" t="n">
        <v>46184</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17210-2022</t>
        </is>
      </c>
      <c r="B1307" s="1" t="n">
        <v>44677.92701388889</v>
      </c>
      <c r="C1307" s="1" t="n">
        <v>46184</v>
      </c>
      <c r="D1307" t="inlineStr">
        <is>
          <t>VÄSTERNORRLANDS LÄN</t>
        </is>
      </c>
      <c r="E1307" t="inlineStr">
        <is>
          <t>ÅNGE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56574-2024</t>
        </is>
      </c>
      <c r="B1308" s="1" t="n">
        <v>45625.59616898148</v>
      </c>
      <c r="C1308" s="1" t="n">
        <v>46184</v>
      </c>
      <c r="D1308" t="inlineStr">
        <is>
          <t>VÄSTERNORRLANDS LÄN</t>
        </is>
      </c>
      <c r="E1308" t="inlineStr">
        <is>
          <t>ÅNGE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58605-2025</t>
        </is>
      </c>
      <c r="B1309" s="1" t="n">
        <v>45986</v>
      </c>
      <c r="C1309" s="1" t="n">
        <v>46184</v>
      </c>
      <c r="D1309" t="inlineStr">
        <is>
          <t>VÄSTERNORRLANDS LÄN</t>
        </is>
      </c>
      <c r="E1309" t="inlineStr">
        <is>
          <t>ÅNGE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31568-2024</t>
        </is>
      </c>
      <c r="B1310" s="1" t="n">
        <v>45505.96721064814</v>
      </c>
      <c r="C1310" s="1" t="n">
        <v>46184</v>
      </c>
      <c r="D1310" t="inlineStr">
        <is>
          <t>VÄSTERNORRLANDS LÄN</t>
        </is>
      </c>
      <c r="E1310" t="inlineStr">
        <is>
          <t>ÅNGE</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27468-2024</t>
        </is>
      </c>
      <c r="B1311" s="1" t="n">
        <v>45474</v>
      </c>
      <c r="C1311" s="1" t="n">
        <v>46184</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53858-2024</t>
        </is>
      </c>
      <c r="B1312" s="1" t="n">
        <v>45615</v>
      </c>
      <c r="C1312" s="1" t="n">
        <v>46184</v>
      </c>
      <c r="D1312" t="inlineStr">
        <is>
          <t>VÄSTERNORRLANDS LÄN</t>
        </is>
      </c>
      <c r="E1312" t="inlineStr">
        <is>
          <t>ÅNGE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12123-2024</t>
        </is>
      </c>
      <c r="B1313" s="1" t="n">
        <v>45377</v>
      </c>
      <c r="C1313" s="1" t="n">
        <v>46184</v>
      </c>
      <c r="D1313" t="inlineStr">
        <is>
          <t>VÄSTERNORRLANDS LÄN</t>
        </is>
      </c>
      <c r="E1313" t="inlineStr">
        <is>
          <t>ÅNGE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11299-2023</t>
        </is>
      </c>
      <c r="B1314" s="1" t="n">
        <v>44993.01074074074</v>
      </c>
      <c r="C1314" s="1" t="n">
        <v>46184</v>
      </c>
      <c r="D1314" t="inlineStr">
        <is>
          <t>VÄSTERNORRLANDS LÄN</t>
        </is>
      </c>
      <c r="E1314" t="inlineStr">
        <is>
          <t>ÅNGE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45932-2023</t>
        </is>
      </c>
      <c r="B1315" s="1" t="n">
        <v>45195</v>
      </c>
      <c r="C1315" s="1" t="n">
        <v>46184</v>
      </c>
      <c r="D1315" t="inlineStr">
        <is>
          <t>VÄSTERNORRLANDS LÄN</t>
        </is>
      </c>
      <c r="E1315" t="inlineStr">
        <is>
          <t>ÅNGE</t>
        </is>
      </c>
      <c r="F1315" t="inlineStr">
        <is>
          <t>SCA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40788-2024</t>
        </is>
      </c>
      <c r="B1316" s="1" t="n">
        <v>45558.50974537037</v>
      </c>
      <c r="C1316" s="1" t="n">
        <v>46184</v>
      </c>
      <c r="D1316" t="inlineStr">
        <is>
          <t>VÄSTERNORRLANDS LÄN</t>
        </is>
      </c>
      <c r="E1316" t="inlineStr">
        <is>
          <t>ÅNGE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8648-2025</t>
        </is>
      </c>
      <c r="B1317" s="1" t="n">
        <v>45712.34501157407</v>
      </c>
      <c r="C1317" s="1" t="n">
        <v>46184</v>
      </c>
      <c r="D1317" t="inlineStr">
        <is>
          <t>VÄSTERNORRLANDS LÄN</t>
        </is>
      </c>
      <c r="E1317" t="inlineStr">
        <is>
          <t>ÅNGE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24541-2023</t>
        </is>
      </c>
      <c r="B1318" s="1" t="n">
        <v>45082.94135416667</v>
      </c>
      <c r="C1318" s="1" t="n">
        <v>46184</v>
      </c>
      <c r="D1318" t="inlineStr">
        <is>
          <t>VÄSTERNORRLANDS LÄN</t>
        </is>
      </c>
      <c r="E1318" t="inlineStr">
        <is>
          <t>ÅNGE</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31864-2024</t>
        </is>
      </c>
      <c r="B1319" s="1" t="n">
        <v>45509.74791666667</v>
      </c>
      <c r="C1319" s="1" t="n">
        <v>46184</v>
      </c>
      <c r="D1319" t="inlineStr">
        <is>
          <t>VÄSTERNORRLANDS LÄN</t>
        </is>
      </c>
      <c r="E1319" t="inlineStr">
        <is>
          <t>ÅNGE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51131-2022</t>
        </is>
      </c>
      <c r="B1320" s="1" t="n">
        <v>44868</v>
      </c>
      <c r="C1320" s="1" t="n">
        <v>46184</v>
      </c>
      <c r="D1320" t="inlineStr">
        <is>
          <t>VÄSTERNORRLANDS LÄN</t>
        </is>
      </c>
      <c r="E1320" t="inlineStr">
        <is>
          <t>ÅNGE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33631-2024</t>
        </is>
      </c>
      <c r="B1321" s="1" t="n">
        <v>45520</v>
      </c>
      <c r="C1321" s="1" t="n">
        <v>46184</v>
      </c>
      <c r="D1321" t="inlineStr">
        <is>
          <t>VÄSTERNORRLANDS LÄN</t>
        </is>
      </c>
      <c r="E1321" t="inlineStr">
        <is>
          <t>ÅNGE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63522-2021</t>
        </is>
      </c>
      <c r="B1322" s="1" t="n">
        <v>44508</v>
      </c>
      <c r="C1322" s="1" t="n">
        <v>46184</v>
      </c>
      <c r="D1322" t="inlineStr">
        <is>
          <t>VÄSTERNORRLANDS LÄN</t>
        </is>
      </c>
      <c r="E1322" t="inlineStr">
        <is>
          <t>ÅNGE</t>
        </is>
      </c>
      <c r="F1322" t="inlineStr">
        <is>
          <t>Övriga Aktiebolag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9328-2026</t>
        </is>
      </c>
      <c r="B1323" s="1" t="n">
        <v>46070</v>
      </c>
      <c r="C1323" s="1" t="n">
        <v>46184</v>
      </c>
      <c r="D1323" t="inlineStr">
        <is>
          <t>VÄSTERNORRLANDS LÄN</t>
        </is>
      </c>
      <c r="E1323" t="inlineStr">
        <is>
          <t>ÅNGE</t>
        </is>
      </c>
      <c r="F1323" t="inlineStr">
        <is>
          <t>SCA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51411-2023</t>
        </is>
      </c>
      <c r="B1324" s="1" t="n">
        <v>45219</v>
      </c>
      <c r="C1324" s="1" t="n">
        <v>46184</v>
      </c>
      <c r="D1324" t="inlineStr">
        <is>
          <t>VÄSTERNORRLANDS LÄN</t>
        </is>
      </c>
      <c r="E1324" t="inlineStr">
        <is>
          <t>ÅNGE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31229-2023</t>
        </is>
      </c>
      <c r="B1325" s="1" t="n">
        <v>45114</v>
      </c>
      <c r="C1325" s="1" t="n">
        <v>46184</v>
      </c>
      <c r="D1325" t="inlineStr">
        <is>
          <t>VÄSTERNORRLANDS LÄN</t>
        </is>
      </c>
      <c r="E1325" t="inlineStr">
        <is>
          <t>ÅNGE</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20143-2026</t>
        </is>
      </c>
      <c r="B1326" s="1" t="n">
        <v>46137.34509259259</v>
      </c>
      <c r="C1326" s="1" t="n">
        <v>46184</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16365-2023</t>
        </is>
      </c>
      <c r="B1327" s="1" t="n">
        <v>45028</v>
      </c>
      <c r="C1327" s="1" t="n">
        <v>46184</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53336-2024</t>
        </is>
      </c>
      <c r="B1328" s="1" t="n">
        <v>45614.42753472222</v>
      </c>
      <c r="C1328" s="1" t="n">
        <v>46184</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7692-2024</t>
        </is>
      </c>
      <c r="B1329" s="1" t="n">
        <v>45349</v>
      </c>
      <c r="C1329" s="1" t="n">
        <v>46184</v>
      </c>
      <c r="D1329" t="inlineStr">
        <is>
          <t>VÄSTERNORRLANDS LÄN</t>
        </is>
      </c>
      <c r="E1329" t="inlineStr">
        <is>
          <t>ÅNGE</t>
        </is>
      </c>
      <c r="F1329" t="inlineStr">
        <is>
          <t>SCA</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47950-2024</t>
        </is>
      </c>
      <c r="B1330" s="1" t="n">
        <v>45589.36511574074</v>
      </c>
      <c r="C1330" s="1" t="n">
        <v>46184</v>
      </c>
      <c r="D1330" t="inlineStr">
        <is>
          <t>VÄSTERNORRLANDS LÄN</t>
        </is>
      </c>
      <c r="E1330" t="inlineStr">
        <is>
          <t>ÅNGE</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39589-2022</t>
        </is>
      </c>
      <c r="B1331" s="1" t="n">
        <v>44818</v>
      </c>
      <c r="C1331" s="1" t="n">
        <v>46184</v>
      </c>
      <c r="D1331" t="inlineStr">
        <is>
          <t>VÄSTERNORRLANDS LÄN</t>
        </is>
      </c>
      <c r="E1331" t="inlineStr">
        <is>
          <t>ÅNGE</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42098-2024</t>
        </is>
      </c>
      <c r="B1332" s="1" t="n">
        <v>45562.34532407407</v>
      </c>
      <c r="C1332" s="1" t="n">
        <v>46184</v>
      </c>
      <c r="D1332" t="inlineStr">
        <is>
          <t>VÄSTERNORRLANDS LÄN</t>
        </is>
      </c>
      <c r="E1332" t="inlineStr">
        <is>
          <t>ÅNGE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25879-2026</t>
        </is>
      </c>
      <c r="B1333" s="1" t="n">
        <v>46178.59434027778</v>
      </c>
      <c r="C1333" s="1" t="n">
        <v>46184</v>
      </c>
      <c r="D1333" t="inlineStr">
        <is>
          <t>VÄSTERNORRLANDS LÄN</t>
        </is>
      </c>
      <c r="E1333" t="inlineStr">
        <is>
          <t>ÅNGE</t>
        </is>
      </c>
      <c r="F1333" t="inlineStr">
        <is>
          <t>SCA</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10071-2023</t>
        </is>
      </c>
      <c r="B1334" s="1" t="n">
        <v>44985.92418981482</v>
      </c>
      <c r="C1334" s="1" t="n">
        <v>46184</v>
      </c>
      <c r="D1334" t="inlineStr">
        <is>
          <t>VÄSTERNORRLANDS LÄN</t>
        </is>
      </c>
      <c r="E1334" t="inlineStr">
        <is>
          <t>ÅNGE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15822-2025</t>
        </is>
      </c>
      <c r="B1335" s="1" t="n">
        <v>45748.70172453704</v>
      </c>
      <c r="C1335" s="1" t="n">
        <v>46184</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41083-2024</t>
        </is>
      </c>
      <c r="B1336" s="1" t="n">
        <v>45559.40684027778</v>
      </c>
      <c r="C1336" s="1" t="n">
        <v>46184</v>
      </c>
      <c r="D1336" t="inlineStr">
        <is>
          <t>VÄSTERNORRLANDS LÄN</t>
        </is>
      </c>
      <c r="E1336" t="inlineStr">
        <is>
          <t>ÅNGE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25849-2026</t>
        </is>
      </c>
      <c r="B1337" s="1" t="n">
        <v>46178.55283564814</v>
      </c>
      <c r="C1337" s="1" t="n">
        <v>46184</v>
      </c>
      <c r="D1337" t="inlineStr">
        <is>
          <t>VÄSTERNORRLANDS LÄN</t>
        </is>
      </c>
      <c r="E1337" t="inlineStr">
        <is>
          <t>ÅNGE</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43252-2025</t>
        </is>
      </c>
      <c r="B1338" s="1" t="n">
        <v>45910.55292824074</v>
      </c>
      <c r="C1338" s="1" t="n">
        <v>46184</v>
      </c>
      <c r="D1338" t="inlineStr">
        <is>
          <t>VÄSTERNORRLANDS LÄN</t>
        </is>
      </c>
      <c r="E1338" t="inlineStr">
        <is>
          <t>ÅNGE</t>
        </is>
      </c>
      <c r="F1338" t="inlineStr">
        <is>
          <t>SCA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49487-2024</t>
        </is>
      </c>
      <c r="B1339" s="1" t="n">
        <v>45596.35813657408</v>
      </c>
      <c r="C1339" s="1" t="n">
        <v>46184</v>
      </c>
      <c r="D1339" t="inlineStr">
        <is>
          <t>VÄSTERNORRLANDS LÄN</t>
        </is>
      </c>
      <c r="E1339" t="inlineStr">
        <is>
          <t>ÅNGE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28814-2025</t>
        </is>
      </c>
      <c r="B1340" s="1" t="n">
        <v>45820.52846064815</v>
      </c>
      <c r="C1340" s="1" t="n">
        <v>46184</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41507-2024</t>
        </is>
      </c>
      <c r="B1341" s="1" t="n">
        <v>45560</v>
      </c>
      <c r="C1341" s="1" t="n">
        <v>46184</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26019-2024</t>
        </is>
      </c>
      <c r="B1342" s="1" t="n">
        <v>45467.96015046296</v>
      </c>
      <c r="C1342" s="1" t="n">
        <v>46184</v>
      </c>
      <c r="D1342" t="inlineStr">
        <is>
          <t>VÄSTERNORRLANDS LÄN</t>
        </is>
      </c>
      <c r="E1342" t="inlineStr">
        <is>
          <t>ÅNGE</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8747-2022</t>
        </is>
      </c>
      <c r="B1343" s="1" t="n">
        <v>44614.33912037037</v>
      </c>
      <c r="C1343" s="1" t="n">
        <v>46184</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8755-2022</t>
        </is>
      </c>
      <c r="B1344" s="1" t="n">
        <v>44614</v>
      </c>
      <c r="C1344" s="1" t="n">
        <v>46184</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15799-2025</t>
        </is>
      </c>
      <c r="B1345" s="1" t="n">
        <v>45748.64768518518</v>
      </c>
      <c r="C1345" s="1" t="n">
        <v>46184</v>
      </c>
      <c r="D1345" t="inlineStr">
        <is>
          <t>VÄSTERNORRLANDS LÄN</t>
        </is>
      </c>
      <c r="E1345" t="inlineStr">
        <is>
          <t>ÅNGE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20126-2026</t>
        </is>
      </c>
      <c r="B1346" s="1" t="n">
        <v>46136</v>
      </c>
      <c r="C1346" s="1" t="n">
        <v>46184</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20158-2026</t>
        </is>
      </c>
      <c r="B1347" s="1" t="n">
        <v>46138.5943287037</v>
      </c>
      <c r="C1347" s="1" t="n">
        <v>46184</v>
      </c>
      <c r="D1347" t="inlineStr">
        <is>
          <t>VÄSTERNORRLANDS LÄN</t>
        </is>
      </c>
      <c r="E1347" t="inlineStr">
        <is>
          <t>ÅNGE</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20172-2026</t>
        </is>
      </c>
      <c r="B1348" s="1" t="n">
        <v>46139.34449074074</v>
      </c>
      <c r="C1348" s="1" t="n">
        <v>46184</v>
      </c>
      <c r="D1348" t="inlineStr">
        <is>
          <t>VÄSTERNORRLANDS LÄN</t>
        </is>
      </c>
      <c r="E1348" t="inlineStr">
        <is>
          <t>ÅNGE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25685-2026</t>
        </is>
      </c>
      <c r="B1349" s="1" t="n">
        <v>46178.34528935186</v>
      </c>
      <c r="C1349" s="1" t="n">
        <v>46184</v>
      </c>
      <c r="D1349" t="inlineStr">
        <is>
          <t>VÄSTERNORRLANDS LÄN</t>
        </is>
      </c>
      <c r="E1349" t="inlineStr">
        <is>
          <t>ÅNGE</t>
        </is>
      </c>
      <c r="F1349" t="inlineStr">
        <is>
          <t>SCA</t>
        </is>
      </c>
      <c r="G1349" t="n">
        <v>14.1</v>
      </c>
      <c r="H1349" t="n">
        <v>0</v>
      </c>
      <c r="I1349" t="n">
        <v>0</v>
      </c>
      <c r="J1349" t="n">
        <v>0</v>
      </c>
      <c r="K1349" t="n">
        <v>0</v>
      </c>
      <c r="L1349" t="n">
        <v>0</v>
      </c>
      <c r="M1349" t="n">
        <v>0</v>
      </c>
      <c r="N1349" t="n">
        <v>0</v>
      </c>
      <c r="O1349" t="n">
        <v>0</v>
      </c>
      <c r="P1349" t="n">
        <v>0</v>
      </c>
      <c r="Q1349" t="n">
        <v>0</v>
      </c>
      <c r="R1349" s="2" t="inlineStr"/>
    </row>
    <row r="1350" ht="15" customHeight="1">
      <c r="A1350" t="inlineStr">
        <is>
          <t>A 51370-2025</t>
        </is>
      </c>
      <c r="B1350" s="1" t="n">
        <v>45950.44818287037</v>
      </c>
      <c r="C1350" s="1" t="n">
        <v>46184</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51389-2025</t>
        </is>
      </c>
      <c r="B1351" s="1" t="n">
        <v>45950.46767361111</v>
      </c>
      <c r="C1351" s="1" t="n">
        <v>46184</v>
      </c>
      <c r="D1351" t="inlineStr">
        <is>
          <t>VÄSTERNORRLANDS LÄN</t>
        </is>
      </c>
      <c r="E1351" t="inlineStr">
        <is>
          <t>ÅNGE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6690-2024</t>
        </is>
      </c>
      <c r="B1352" s="1" t="n">
        <v>45341</v>
      </c>
      <c r="C1352" s="1" t="n">
        <v>46184</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64375-2023</t>
        </is>
      </c>
      <c r="B1353" s="1" t="n">
        <v>45280</v>
      </c>
      <c r="C1353" s="1" t="n">
        <v>46184</v>
      </c>
      <c r="D1353" t="inlineStr">
        <is>
          <t>VÄSTERNORRLANDS LÄN</t>
        </is>
      </c>
      <c r="E1353" t="inlineStr">
        <is>
          <t>ÅNGE</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26734-2025</t>
        </is>
      </c>
      <c r="B1354" s="1" t="n">
        <v>45810.51087962963</v>
      </c>
      <c r="C1354" s="1" t="n">
        <v>46184</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20135-2026</t>
        </is>
      </c>
      <c r="B1355" s="1" t="n">
        <v>46136.71918981482</v>
      </c>
      <c r="C1355" s="1" t="n">
        <v>46184</v>
      </c>
      <c r="D1355" t="inlineStr">
        <is>
          <t>VÄSTERNORRLANDS LÄN</t>
        </is>
      </c>
      <c r="E1355" t="inlineStr">
        <is>
          <t>ÅNGE</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1235-2023</t>
        </is>
      </c>
      <c r="B1356" s="1" t="n">
        <v>44935</v>
      </c>
      <c r="C1356" s="1" t="n">
        <v>46184</v>
      </c>
      <c r="D1356" t="inlineStr">
        <is>
          <t>VÄSTERNORRLANDS LÄN</t>
        </is>
      </c>
      <c r="E1356" t="inlineStr">
        <is>
          <t>ÅNGE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25684-2026</t>
        </is>
      </c>
      <c r="B1357" s="1" t="n">
        <v>46178.34517361111</v>
      </c>
      <c r="C1357" s="1" t="n">
        <v>46184</v>
      </c>
      <c r="D1357" t="inlineStr">
        <is>
          <t>VÄSTERNORRLANDS LÄN</t>
        </is>
      </c>
      <c r="E1357" t="inlineStr">
        <is>
          <t>ÅNGE</t>
        </is>
      </c>
      <c r="F1357" t="inlineStr">
        <is>
          <t>SCA</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41302-2024</t>
        </is>
      </c>
      <c r="B1358" s="1" t="n">
        <v>45559.62077546296</v>
      </c>
      <c r="C1358" s="1" t="n">
        <v>46184</v>
      </c>
      <c r="D1358" t="inlineStr">
        <is>
          <t>VÄSTERNORRLANDS LÄN</t>
        </is>
      </c>
      <c r="E1358" t="inlineStr">
        <is>
          <t>ÅNGE</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20125-2026</t>
        </is>
      </c>
      <c r="B1359" s="1" t="n">
        <v>46136</v>
      </c>
      <c r="C1359" s="1" t="n">
        <v>46184</v>
      </c>
      <c r="D1359" t="inlineStr">
        <is>
          <t>VÄSTERNORRLANDS LÄN</t>
        </is>
      </c>
      <c r="E1359" t="inlineStr">
        <is>
          <t>ÅNGE</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8035-2026</t>
        </is>
      </c>
      <c r="B1360" s="1" t="n">
        <v>46063.59454861111</v>
      </c>
      <c r="C1360" s="1" t="n">
        <v>46184</v>
      </c>
      <c r="D1360" t="inlineStr">
        <is>
          <t>VÄSTERNORRLANDS LÄN</t>
        </is>
      </c>
      <c r="E1360" t="inlineStr">
        <is>
          <t>ÅNGE</t>
        </is>
      </c>
      <c r="F1360" t="inlineStr">
        <is>
          <t>SCA</t>
        </is>
      </c>
      <c r="G1360" t="n">
        <v>51.4</v>
      </c>
      <c r="H1360" t="n">
        <v>0</v>
      </c>
      <c r="I1360" t="n">
        <v>0</v>
      </c>
      <c r="J1360" t="n">
        <v>0</v>
      </c>
      <c r="K1360" t="n">
        <v>0</v>
      </c>
      <c r="L1360" t="n">
        <v>0</v>
      </c>
      <c r="M1360" t="n">
        <v>0</v>
      </c>
      <c r="N1360" t="n">
        <v>0</v>
      </c>
      <c r="O1360" t="n">
        <v>0</v>
      </c>
      <c r="P1360" t="n">
        <v>0</v>
      </c>
      <c r="Q1360" t="n">
        <v>0</v>
      </c>
      <c r="R1360" s="2" t="inlineStr"/>
    </row>
    <row r="1361" ht="15" customHeight="1">
      <c r="A1361" t="inlineStr">
        <is>
          <t>A 43366-2024</t>
        </is>
      </c>
      <c r="B1361" s="1" t="n">
        <v>45568</v>
      </c>
      <c r="C1361" s="1" t="n">
        <v>46184</v>
      </c>
      <c r="D1361" t="inlineStr">
        <is>
          <t>VÄSTERNORRLANDS LÄN</t>
        </is>
      </c>
      <c r="E1361" t="inlineStr">
        <is>
          <t>ÅNGE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5223-2026</t>
        </is>
      </c>
      <c r="B1362" s="1" t="n">
        <v>46049.79012731482</v>
      </c>
      <c r="C1362" s="1" t="n">
        <v>46184</v>
      </c>
      <c r="D1362" t="inlineStr">
        <is>
          <t>VÄSTERNORRLANDS LÄN</t>
        </is>
      </c>
      <c r="E1362" t="inlineStr">
        <is>
          <t>ÅNGE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35577-2024</t>
        </is>
      </c>
      <c r="B1363" s="1" t="n">
        <v>45531</v>
      </c>
      <c r="C1363" s="1" t="n">
        <v>46184</v>
      </c>
      <c r="D1363" t="inlineStr">
        <is>
          <t>VÄSTERNORRLANDS LÄN</t>
        </is>
      </c>
      <c r="E1363" t="inlineStr">
        <is>
          <t>ÅNGE</t>
        </is>
      </c>
      <c r="F1363" t="inlineStr">
        <is>
          <t>SCA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28428-2023</t>
        </is>
      </c>
      <c r="B1364" s="1" t="n">
        <v>45102</v>
      </c>
      <c r="C1364" s="1" t="n">
        <v>46184</v>
      </c>
      <c r="D1364" t="inlineStr">
        <is>
          <t>VÄSTERNORRLANDS LÄN</t>
        </is>
      </c>
      <c r="E1364" t="inlineStr">
        <is>
          <t>ÅNGE</t>
        </is>
      </c>
      <c r="F1364" t="inlineStr">
        <is>
          <t>Kyrkan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25910-2026</t>
        </is>
      </c>
      <c r="B1365" s="1" t="n">
        <v>46178.69834490741</v>
      </c>
      <c r="C1365" s="1" t="n">
        <v>46184</v>
      </c>
      <c r="D1365" t="inlineStr">
        <is>
          <t>VÄSTERNORRLANDS LÄN</t>
        </is>
      </c>
      <c r="E1365" t="inlineStr">
        <is>
          <t>ÅNGE</t>
        </is>
      </c>
      <c r="F1365" t="inlineStr">
        <is>
          <t>SCA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39444-2025</t>
        </is>
      </c>
      <c r="B1366" s="1" t="n">
        <v>45889.69826388889</v>
      </c>
      <c r="C1366" s="1" t="n">
        <v>46184</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8860-2026</t>
        </is>
      </c>
      <c r="B1367" s="1" t="n">
        <v>46066.6987037037</v>
      </c>
      <c r="C1367" s="1" t="n">
        <v>46184</v>
      </c>
      <c r="D1367" t="inlineStr">
        <is>
          <t>VÄSTERNORRLANDS LÄN</t>
        </is>
      </c>
      <c r="E1367" t="inlineStr">
        <is>
          <t>ÅNGE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25850-2026</t>
        </is>
      </c>
      <c r="B1368" s="1" t="n">
        <v>46178.55295138889</v>
      </c>
      <c r="C1368" s="1" t="n">
        <v>46184</v>
      </c>
      <c r="D1368" t="inlineStr">
        <is>
          <t>VÄSTERNORRLANDS LÄN</t>
        </is>
      </c>
      <c r="E1368" t="inlineStr">
        <is>
          <t>ÅNGE</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19912-2026</t>
        </is>
      </c>
      <c r="B1369" s="1" t="n">
        <v>46136.34215277778</v>
      </c>
      <c r="C1369" s="1" t="n">
        <v>46184</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25848-2026</t>
        </is>
      </c>
      <c r="B1370" s="1" t="n">
        <v>46178.55263888889</v>
      </c>
      <c r="C1370" s="1" t="n">
        <v>46184</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34593-2025</t>
        </is>
      </c>
      <c r="B1371" s="1" t="n">
        <v>45847.6316087963</v>
      </c>
      <c r="C1371" s="1" t="n">
        <v>46184</v>
      </c>
      <c r="D1371" t="inlineStr">
        <is>
          <t>VÄSTERNORRLANDS LÄN</t>
        </is>
      </c>
      <c r="E1371" t="inlineStr">
        <is>
          <t>ÅNGE</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59986-2021</t>
        </is>
      </c>
      <c r="B1372" s="1" t="n">
        <v>44494</v>
      </c>
      <c r="C1372" s="1" t="n">
        <v>46184</v>
      </c>
      <c r="D1372" t="inlineStr">
        <is>
          <t>VÄSTERNORRLANDS LÄN</t>
        </is>
      </c>
      <c r="E1372" t="inlineStr">
        <is>
          <t>ÅNGE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30556-2023</t>
        </is>
      </c>
      <c r="B1373" s="1" t="n">
        <v>45111.87935185185</v>
      </c>
      <c r="C1373" s="1" t="n">
        <v>46184</v>
      </c>
      <c r="D1373" t="inlineStr">
        <is>
          <t>VÄSTERNORRLANDS LÄN</t>
        </is>
      </c>
      <c r="E1373" t="inlineStr">
        <is>
          <t>ÅNGE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53549-2023</t>
        </is>
      </c>
      <c r="B1374" s="1" t="n">
        <v>45230</v>
      </c>
      <c r="C1374" s="1" t="n">
        <v>46184</v>
      </c>
      <c r="D1374" t="inlineStr">
        <is>
          <t>VÄSTERNORRLANDS LÄN</t>
        </is>
      </c>
      <c r="E1374" t="inlineStr">
        <is>
          <t>ÅNGE</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12751-2026</t>
        </is>
      </c>
      <c r="B1375" s="1" t="n">
        <v>46091</v>
      </c>
      <c r="C1375" s="1" t="n">
        <v>46184</v>
      </c>
      <c r="D1375" t="inlineStr">
        <is>
          <t>VÄSTERNORRLANDS LÄN</t>
        </is>
      </c>
      <c r="E1375" t="inlineStr">
        <is>
          <t>ÅNGE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12757-2026</t>
        </is>
      </c>
      <c r="B1376" s="1" t="n">
        <v>46091</v>
      </c>
      <c r="C1376" s="1" t="n">
        <v>46184</v>
      </c>
      <c r="D1376" t="inlineStr">
        <is>
          <t>VÄSTERNORRLANDS LÄN</t>
        </is>
      </c>
      <c r="E1376" t="inlineStr">
        <is>
          <t>ÅNGE</t>
        </is>
      </c>
      <c r="F1376" t="inlineStr">
        <is>
          <t>SCA</t>
        </is>
      </c>
      <c r="G1376" t="n">
        <v>15.5</v>
      </c>
      <c r="H1376" t="n">
        <v>0</v>
      </c>
      <c r="I1376" t="n">
        <v>0</v>
      </c>
      <c r="J1376" t="n">
        <v>0</v>
      </c>
      <c r="K1376" t="n">
        <v>0</v>
      </c>
      <c r="L1376" t="n">
        <v>0</v>
      </c>
      <c r="M1376" t="n">
        <v>0</v>
      </c>
      <c r="N1376" t="n">
        <v>0</v>
      </c>
      <c r="O1376" t="n">
        <v>0</v>
      </c>
      <c r="P1376" t="n">
        <v>0</v>
      </c>
      <c r="Q1376" t="n">
        <v>0</v>
      </c>
      <c r="R1376" s="2" t="inlineStr"/>
    </row>
    <row r="1377" ht="15" customHeight="1">
      <c r="A1377" t="inlineStr">
        <is>
          <t>A 12761-2026</t>
        </is>
      </c>
      <c r="B1377" s="1" t="n">
        <v>46091.66013888889</v>
      </c>
      <c r="C1377" s="1" t="n">
        <v>46184</v>
      </c>
      <c r="D1377" t="inlineStr">
        <is>
          <t>VÄSTERNORRLANDS LÄN</t>
        </is>
      </c>
      <c r="E1377" t="inlineStr">
        <is>
          <t>ÅNGE</t>
        </is>
      </c>
      <c r="F1377" t="inlineStr">
        <is>
          <t>SCA</t>
        </is>
      </c>
      <c r="G1377" t="n">
        <v>15.5</v>
      </c>
      <c r="H1377" t="n">
        <v>0</v>
      </c>
      <c r="I1377" t="n">
        <v>0</v>
      </c>
      <c r="J1377" t="n">
        <v>0</v>
      </c>
      <c r="K1377" t="n">
        <v>0</v>
      </c>
      <c r="L1377" t="n">
        <v>0</v>
      </c>
      <c r="M1377" t="n">
        <v>0</v>
      </c>
      <c r="N1377" t="n">
        <v>0</v>
      </c>
      <c r="O1377" t="n">
        <v>0</v>
      </c>
      <c r="P1377" t="n">
        <v>0</v>
      </c>
      <c r="Q1377" t="n">
        <v>0</v>
      </c>
      <c r="R1377" s="2" t="inlineStr"/>
    </row>
    <row r="1378" ht="15" customHeight="1">
      <c r="A1378" t="inlineStr">
        <is>
          <t>A 50186-2021</t>
        </is>
      </c>
      <c r="B1378" s="1" t="n">
        <v>44456</v>
      </c>
      <c r="C1378" s="1" t="n">
        <v>46184</v>
      </c>
      <c r="D1378" t="inlineStr">
        <is>
          <t>VÄSTERNORRLANDS LÄN</t>
        </is>
      </c>
      <c r="E1378" t="inlineStr">
        <is>
          <t>ÅNGE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31729-2024</t>
        </is>
      </c>
      <c r="B1379" s="1" t="n">
        <v>45509.35844907408</v>
      </c>
      <c r="C1379" s="1" t="n">
        <v>46184</v>
      </c>
      <c r="D1379" t="inlineStr">
        <is>
          <t>VÄSTERNORRLANDS LÄN</t>
        </is>
      </c>
      <c r="E1379" t="inlineStr">
        <is>
          <t>ÅNGE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20474-2026</t>
        </is>
      </c>
      <c r="B1380" s="1" t="n">
        <v>46140</v>
      </c>
      <c r="C1380" s="1" t="n">
        <v>46184</v>
      </c>
      <c r="D1380" t="inlineStr">
        <is>
          <t>VÄSTERNORRLANDS LÄN</t>
        </is>
      </c>
      <c r="E1380" t="inlineStr">
        <is>
          <t>ÅNGE</t>
        </is>
      </c>
      <c r="F1380" t="inlineStr">
        <is>
          <t>SCA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10409-2026</t>
        </is>
      </c>
      <c r="B1381" s="1" t="n">
        <v>46077.34508101852</v>
      </c>
      <c r="C1381" s="1" t="n">
        <v>46184</v>
      </c>
      <c r="D1381" t="inlineStr">
        <is>
          <t>VÄSTERNORRLANDS LÄN</t>
        </is>
      </c>
      <c r="E1381" t="inlineStr">
        <is>
          <t>ÅNGE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35392-2024</t>
        </is>
      </c>
      <c r="B1382" s="1" t="n">
        <v>45531.4025462963</v>
      </c>
      <c r="C1382" s="1" t="n">
        <v>46184</v>
      </c>
      <c r="D1382" t="inlineStr">
        <is>
          <t>VÄSTERNORRLANDS LÄN</t>
        </is>
      </c>
      <c r="E1382" t="inlineStr">
        <is>
          <t>ÅNGE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1897-2026</t>
        </is>
      </c>
      <c r="B1383" s="1" t="n">
        <v>46035</v>
      </c>
      <c r="C1383" s="1" t="n">
        <v>46184</v>
      </c>
      <c r="D1383" t="inlineStr">
        <is>
          <t>VÄSTERNORRLANDS LÄN</t>
        </is>
      </c>
      <c r="E1383" t="inlineStr">
        <is>
          <t>ÅNGE</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12752-2026</t>
        </is>
      </c>
      <c r="B1384" s="1" t="n">
        <v>46091</v>
      </c>
      <c r="C1384" s="1" t="n">
        <v>46184</v>
      </c>
      <c r="D1384" t="inlineStr">
        <is>
          <t>VÄSTERNORRLANDS LÄN</t>
        </is>
      </c>
      <c r="E1384" t="inlineStr">
        <is>
          <t>ÅNGE</t>
        </is>
      </c>
      <c r="F1384" t="inlineStr">
        <is>
          <t>SCA</t>
        </is>
      </c>
      <c r="G1384" t="n">
        <v>15.5</v>
      </c>
      <c r="H1384" t="n">
        <v>0</v>
      </c>
      <c r="I1384" t="n">
        <v>0</v>
      </c>
      <c r="J1384" t="n">
        <v>0</v>
      </c>
      <c r="K1384" t="n">
        <v>0</v>
      </c>
      <c r="L1384" t="n">
        <v>0</v>
      </c>
      <c r="M1384" t="n">
        <v>0</v>
      </c>
      <c r="N1384" t="n">
        <v>0</v>
      </c>
      <c r="O1384" t="n">
        <v>0</v>
      </c>
      <c r="P1384" t="n">
        <v>0</v>
      </c>
      <c r="Q1384" t="n">
        <v>0</v>
      </c>
      <c r="R1384" s="2" t="inlineStr"/>
    </row>
    <row r="1385" ht="15" customHeight="1">
      <c r="A1385" t="inlineStr">
        <is>
          <t>A 58634-2023</t>
        </is>
      </c>
      <c r="B1385" s="1" t="n">
        <v>45251</v>
      </c>
      <c r="C1385" s="1" t="n">
        <v>46184</v>
      </c>
      <c r="D1385" t="inlineStr">
        <is>
          <t>VÄSTERNORRLANDS LÄN</t>
        </is>
      </c>
      <c r="E1385" t="inlineStr">
        <is>
          <t>ÅNGE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10705-2026</t>
        </is>
      </c>
      <c r="B1386" s="1" t="n">
        <v>46078.44865740741</v>
      </c>
      <c r="C1386" s="1" t="n">
        <v>46184</v>
      </c>
      <c r="D1386" t="inlineStr">
        <is>
          <t>VÄSTERNORRLANDS LÄN</t>
        </is>
      </c>
      <c r="E1386" t="inlineStr">
        <is>
          <t>ÅNGE</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10708-2026</t>
        </is>
      </c>
      <c r="B1387" s="1" t="n">
        <v>46078.44883101852</v>
      </c>
      <c r="C1387" s="1" t="n">
        <v>46184</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41825-2022</t>
        </is>
      </c>
      <c r="B1388" s="1" t="n">
        <v>44827</v>
      </c>
      <c r="C1388" s="1" t="n">
        <v>46184</v>
      </c>
      <c r="D1388" t="inlineStr">
        <is>
          <t>VÄSTERNORRLANDS LÄN</t>
        </is>
      </c>
      <c r="E1388" t="inlineStr">
        <is>
          <t>ÅNGE</t>
        </is>
      </c>
      <c r="F1388" t="inlineStr">
        <is>
          <t>SCA</t>
        </is>
      </c>
      <c r="G1388" t="n">
        <v>3.3</v>
      </c>
      <c r="H1388" t="n">
        <v>0</v>
      </c>
      <c r="I1388" t="n">
        <v>0</v>
      </c>
      <c r="J1388" t="n">
        <v>0</v>
      </c>
      <c r="K1388" t="n">
        <v>0</v>
      </c>
      <c r="L1388" t="n">
        <v>0</v>
      </c>
      <c r="M1388" t="n">
        <v>0</v>
      </c>
      <c r="N1388" t="n">
        <v>0</v>
      </c>
      <c r="O1388" t="n">
        <v>0</v>
      </c>
      <c r="P1388" t="n">
        <v>0</v>
      </c>
      <c r="Q1388" t="n">
        <v>0</v>
      </c>
      <c r="R1388" s="2" t="inlineStr"/>
      <c r="U1388">
        <f>HYPERLINK("https://klasma.github.io/Logging_2260/knärot/A 41825-2022 karta knärot.png", "A 41825-2022")</f>
        <v/>
      </c>
      <c r="V1388">
        <f>HYPERLINK("https://klasma.github.io/Logging_2260/klagomål/A 41825-2022 FSC-klagomål.docx", "A 41825-2022")</f>
        <v/>
      </c>
      <c r="W1388">
        <f>HYPERLINK("https://klasma.github.io/Logging_2260/klagomålsmail/A 41825-2022 FSC-klagomål mail.docx", "A 41825-2022")</f>
        <v/>
      </c>
      <c r="X1388">
        <f>HYPERLINK("https://klasma.github.io/Logging_2260/tillsyn/A 41825-2022 tillsynsbegäran.docx", "A 41825-2022")</f>
        <v/>
      </c>
      <c r="Y1388">
        <f>HYPERLINK("https://klasma.github.io/Logging_2260/tillsynsmail/A 41825-2022 tillsynsbegäran mail.docx", "A 41825-2022")</f>
        <v/>
      </c>
    </row>
    <row r="1389" ht="15" customHeight="1">
      <c r="A1389" t="inlineStr">
        <is>
          <t>A 26218-2026</t>
        </is>
      </c>
      <c r="B1389" s="1" t="n">
        <v>46182.44846064815</v>
      </c>
      <c r="C1389" s="1" t="n">
        <v>46184</v>
      </c>
      <c r="D1389" t="inlineStr">
        <is>
          <t>VÄSTERNORRLANDS LÄN</t>
        </is>
      </c>
      <c r="E1389" t="inlineStr">
        <is>
          <t>ÅNGE</t>
        </is>
      </c>
      <c r="F1389" t="inlineStr">
        <is>
          <t>SCA</t>
        </is>
      </c>
      <c r="G1389" t="n">
        <v>22.2</v>
      </c>
      <c r="H1389" t="n">
        <v>0</v>
      </c>
      <c r="I1389" t="n">
        <v>0</v>
      </c>
      <c r="J1389" t="n">
        <v>0</v>
      </c>
      <c r="K1389" t="n">
        <v>0</v>
      </c>
      <c r="L1389" t="n">
        <v>0</v>
      </c>
      <c r="M1389" t="n">
        <v>0</v>
      </c>
      <c r="N1389" t="n">
        <v>0</v>
      </c>
      <c r="O1389" t="n">
        <v>0</v>
      </c>
      <c r="P1389" t="n">
        <v>0</v>
      </c>
      <c r="Q1389" t="n">
        <v>0</v>
      </c>
      <c r="R1389" s="2" t="inlineStr"/>
    </row>
    <row r="1390" ht="15" customHeight="1">
      <c r="A1390" t="inlineStr">
        <is>
          <t>A 20093-2026</t>
        </is>
      </c>
      <c r="B1390" s="1" t="n">
        <v>46135</v>
      </c>
      <c r="C1390" s="1" t="n">
        <v>46184</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20681-2026</t>
        </is>
      </c>
      <c r="B1391" s="1" t="n">
        <v>46141</v>
      </c>
      <c r="C1391" s="1" t="n">
        <v>46184</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57592-2022</t>
        </is>
      </c>
      <c r="B1392" s="1" t="n">
        <v>44896.97841435186</v>
      </c>
      <c r="C1392" s="1" t="n">
        <v>46184</v>
      </c>
      <c r="D1392" t="inlineStr">
        <is>
          <t>VÄSTERNORRLANDS LÄN</t>
        </is>
      </c>
      <c r="E1392" t="inlineStr">
        <is>
          <t>ÅNGE</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26267-2026</t>
        </is>
      </c>
      <c r="B1393" s="1" t="n">
        <v>46182.53173611111</v>
      </c>
      <c r="C1393" s="1" t="n">
        <v>46184</v>
      </c>
      <c r="D1393" t="inlineStr">
        <is>
          <t>VÄSTERNORRLANDS LÄN</t>
        </is>
      </c>
      <c r="E1393" t="inlineStr">
        <is>
          <t>ÅNGE</t>
        </is>
      </c>
      <c r="F1393" t="inlineStr">
        <is>
          <t>SCA</t>
        </is>
      </c>
      <c r="G1393" t="n">
        <v>17.4</v>
      </c>
      <c r="H1393" t="n">
        <v>0</v>
      </c>
      <c r="I1393" t="n">
        <v>0</v>
      </c>
      <c r="J1393" t="n">
        <v>0</v>
      </c>
      <c r="K1393" t="n">
        <v>0</v>
      </c>
      <c r="L1393" t="n">
        <v>0</v>
      </c>
      <c r="M1393" t="n">
        <v>0</v>
      </c>
      <c r="N1393" t="n">
        <v>0</v>
      </c>
      <c r="O1393" t="n">
        <v>0</v>
      </c>
      <c r="P1393" t="n">
        <v>0</v>
      </c>
      <c r="Q1393" t="n">
        <v>0</v>
      </c>
      <c r="R1393" s="2" t="inlineStr"/>
    </row>
    <row r="1394" ht="15" customHeight="1">
      <c r="A1394" t="inlineStr">
        <is>
          <t>A 26268-2026</t>
        </is>
      </c>
      <c r="B1394" s="1" t="n">
        <v>46182.531875</v>
      </c>
      <c r="C1394" s="1" t="n">
        <v>46184</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c r="U1394">
        <f>HYPERLINK("https://klasma.github.io/Logging_2260/knärot/A 26268-2026 karta knärot.png", "A 26268-2026")</f>
        <v/>
      </c>
      <c r="V1394">
        <f>HYPERLINK("https://klasma.github.io/Logging_2260/klagomål/A 26268-2026 FSC-klagomål.docx", "A 26268-2026")</f>
        <v/>
      </c>
      <c r="W1394">
        <f>HYPERLINK("https://klasma.github.io/Logging_2260/klagomålsmail/A 26268-2026 FSC-klagomål mail.docx", "A 26268-2026")</f>
        <v/>
      </c>
      <c r="X1394">
        <f>HYPERLINK("https://klasma.github.io/Logging_2260/tillsyn/A 26268-2026 tillsynsbegäran.docx", "A 26268-2026")</f>
        <v/>
      </c>
      <c r="Y1394">
        <f>HYPERLINK("https://klasma.github.io/Logging_2260/tillsynsmail/A 26268-2026 tillsynsbegäran mail.docx", "A 26268-2026")</f>
        <v/>
      </c>
    </row>
    <row r="1395" ht="15" customHeight="1">
      <c r="A1395" t="inlineStr">
        <is>
          <t>A 20682-2026</t>
        </is>
      </c>
      <c r="B1395" s="1" t="n">
        <v>46141</v>
      </c>
      <c r="C1395" s="1" t="n">
        <v>46184</v>
      </c>
      <c r="D1395" t="inlineStr">
        <is>
          <t>VÄSTERNORRLANDS LÄN</t>
        </is>
      </c>
      <c r="E1395" t="inlineStr">
        <is>
          <t>ÅNGE</t>
        </is>
      </c>
      <c r="F1395" t="inlineStr">
        <is>
          <t>SCA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22680-2024</t>
        </is>
      </c>
      <c r="B1396" s="1" t="n">
        <v>45447.94548611111</v>
      </c>
      <c r="C1396" s="1" t="n">
        <v>46184</v>
      </c>
      <c r="D1396" t="inlineStr">
        <is>
          <t>VÄSTERNORRLANDS LÄN</t>
        </is>
      </c>
      <c r="E1396" t="inlineStr">
        <is>
          <t>ÅNGE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21176-2025</t>
        </is>
      </c>
      <c r="B1397" s="1" t="n">
        <v>45779.42798611111</v>
      </c>
      <c r="C1397" s="1" t="n">
        <v>46184</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18430-2025</t>
        </is>
      </c>
      <c r="B1398" s="1" t="n">
        <v>45762.63576388889</v>
      </c>
      <c r="C1398" s="1" t="n">
        <v>46184</v>
      </c>
      <c r="D1398" t="inlineStr">
        <is>
          <t>VÄSTERNORRLANDS LÄN</t>
        </is>
      </c>
      <c r="E1398" t="inlineStr">
        <is>
          <t>ÅNGE</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20473-2026</t>
        </is>
      </c>
      <c r="B1399" s="1" t="n">
        <v>46140.46928240741</v>
      </c>
      <c r="C1399" s="1" t="n">
        <v>46184</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3624-2024</t>
        </is>
      </c>
      <c r="B1400" s="1" t="n">
        <v>45320.95305555555</v>
      </c>
      <c r="C1400" s="1" t="n">
        <v>46184</v>
      </c>
      <c r="D1400" t="inlineStr">
        <is>
          <t>VÄSTERNORRLANDS LÄN</t>
        </is>
      </c>
      <c r="E1400" t="inlineStr">
        <is>
          <t>ÅNGE</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10922-2024</t>
        </is>
      </c>
      <c r="B1401" s="1" t="n">
        <v>45370</v>
      </c>
      <c r="C1401" s="1" t="n">
        <v>46184</v>
      </c>
      <c r="D1401" t="inlineStr">
        <is>
          <t>VÄSTERNORRLANDS LÄN</t>
        </is>
      </c>
      <c r="E1401" t="inlineStr">
        <is>
          <t>ÅNGE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26507-2026</t>
        </is>
      </c>
      <c r="B1402" s="1" t="n">
        <v>46183.5735300926</v>
      </c>
      <c r="C1402" s="1" t="n">
        <v>46184</v>
      </c>
      <c r="D1402" t="inlineStr">
        <is>
          <t>VÄSTERNORRLANDS LÄN</t>
        </is>
      </c>
      <c r="E1402" t="inlineStr">
        <is>
          <t>ÅNGE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1654-2026</t>
        </is>
      </c>
      <c r="B1403" s="1" t="n">
        <v>46034</v>
      </c>
      <c r="C1403" s="1" t="n">
        <v>46184</v>
      </c>
      <c r="D1403" t="inlineStr">
        <is>
          <t>VÄSTERNORRLANDS LÄN</t>
        </is>
      </c>
      <c r="E1403" t="inlineStr">
        <is>
          <t>ÅNGE</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46255-2023</t>
        </is>
      </c>
      <c r="B1404" s="1" t="n">
        <v>45196</v>
      </c>
      <c r="C1404" s="1" t="n">
        <v>46184</v>
      </c>
      <c r="D1404" t="inlineStr">
        <is>
          <t>VÄSTERNORRLANDS LÄN</t>
        </is>
      </c>
      <c r="E1404" t="inlineStr">
        <is>
          <t>ÅNGE</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31041-2025</t>
        </is>
      </c>
      <c r="B1405" s="1" t="n">
        <v>45832.55247685185</v>
      </c>
      <c r="C1405" s="1" t="n">
        <v>46184</v>
      </c>
      <c r="D1405" t="inlineStr">
        <is>
          <t>VÄSTERNORRLANDS LÄN</t>
        </is>
      </c>
      <c r="E1405" t="inlineStr">
        <is>
          <t>ÅNGE</t>
        </is>
      </c>
      <c r="F1405" t="inlineStr">
        <is>
          <t>SCA</t>
        </is>
      </c>
      <c r="G1405" t="n">
        <v>15.1</v>
      </c>
      <c r="H1405" t="n">
        <v>0</v>
      </c>
      <c r="I1405" t="n">
        <v>0</v>
      </c>
      <c r="J1405" t="n">
        <v>0</v>
      </c>
      <c r="K1405" t="n">
        <v>0</v>
      </c>
      <c r="L1405" t="n">
        <v>0</v>
      </c>
      <c r="M1405" t="n">
        <v>0</v>
      </c>
      <c r="N1405" t="n">
        <v>0</v>
      </c>
      <c r="O1405" t="n">
        <v>0</v>
      </c>
      <c r="P1405" t="n">
        <v>0</v>
      </c>
      <c r="Q1405" t="n">
        <v>0</v>
      </c>
      <c r="R1405" s="2" t="inlineStr"/>
    </row>
    <row r="1406" ht="15" customHeight="1">
      <c r="A1406" t="inlineStr">
        <is>
          <t>A 55197-2022</t>
        </is>
      </c>
      <c r="B1406" s="1" t="n">
        <v>44886.93714120371</v>
      </c>
      <c r="C1406" s="1" t="n">
        <v>46184</v>
      </c>
      <c r="D1406" t="inlineStr">
        <is>
          <t>VÄSTERNORRLANDS LÄN</t>
        </is>
      </c>
      <c r="E1406" t="inlineStr">
        <is>
          <t>ÅNGE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18617-2024</t>
        </is>
      </c>
      <c r="B1407" s="1" t="n">
        <v>45425</v>
      </c>
      <c r="C1407" s="1" t="n">
        <v>46184</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18869-2024</t>
        </is>
      </c>
      <c r="B1408" s="1" t="n">
        <v>45426</v>
      </c>
      <c r="C1408" s="1" t="n">
        <v>46184</v>
      </c>
      <c r="D1408" t="inlineStr">
        <is>
          <t>VÄSTERNORRLANDS LÄN</t>
        </is>
      </c>
      <c r="E1408" t="inlineStr">
        <is>
          <t>ÅNGE</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37540-2024</t>
        </is>
      </c>
      <c r="B1409" s="1" t="n">
        <v>45541.42111111111</v>
      </c>
      <c r="C1409" s="1" t="n">
        <v>46184</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42958-2024</t>
        </is>
      </c>
      <c r="B1410" s="1" t="n">
        <v>45567.37131944444</v>
      </c>
      <c r="C1410" s="1" t="n">
        <v>46184</v>
      </c>
      <c r="D1410" t="inlineStr">
        <is>
          <t>VÄSTERNORRLANDS LÄN</t>
        </is>
      </c>
      <c r="E1410" t="inlineStr">
        <is>
          <t>ÅNGE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42969-2024</t>
        </is>
      </c>
      <c r="B1411" s="1" t="n">
        <v>45567.37300925926</v>
      </c>
      <c r="C1411" s="1" t="n">
        <v>46184</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5492-2026</t>
        </is>
      </c>
      <c r="B1412" s="1" t="n">
        <v>46050</v>
      </c>
      <c r="C1412" s="1" t="n">
        <v>46184</v>
      </c>
      <c r="D1412" t="inlineStr">
        <is>
          <t>VÄSTERNORRLANDS LÄN</t>
        </is>
      </c>
      <c r="E1412" t="inlineStr">
        <is>
          <t>ÅNGE</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49502-2022</t>
        </is>
      </c>
      <c r="B1413" s="1" t="n">
        <v>44861.92613425926</v>
      </c>
      <c r="C1413" s="1" t="n">
        <v>46184</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12756-2026</t>
        </is>
      </c>
      <c r="B1414" s="1" t="n">
        <v>46091</v>
      </c>
      <c r="C1414" s="1" t="n">
        <v>46184</v>
      </c>
      <c r="D1414" t="inlineStr">
        <is>
          <t>VÄSTERNORRLANDS LÄN</t>
        </is>
      </c>
      <c r="E1414" t="inlineStr">
        <is>
          <t>ÅNGE</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4374-2026</t>
        </is>
      </c>
      <c r="B1415" s="1" t="n">
        <v>46045</v>
      </c>
      <c r="C1415" s="1" t="n">
        <v>46184</v>
      </c>
      <c r="D1415" t="inlineStr">
        <is>
          <t>VÄSTERNORRLANDS LÄN</t>
        </is>
      </c>
      <c r="E1415" t="inlineStr">
        <is>
          <t>ÅNGE</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42863-2025</t>
        </is>
      </c>
      <c r="B1416" s="1" t="n">
        <v>45908.61527777778</v>
      </c>
      <c r="C1416" s="1" t="n">
        <v>46184</v>
      </c>
      <c r="D1416" t="inlineStr">
        <is>
          <t>VÄSTERNORRLANDS LÄN</t>
        </is>
      </c>
      <c r="E1416" t="inlineStr">
        <is>
          <t>ÅNGE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46184</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34649-2024</t>
        </is>
      </c>
      <c r="B1418" s="1" t="n">
        <v>45526.48325231481</v>
      </c>
      <c r="C1418" s="1" t="n">
        <v>46184</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13091-2024</t>
        </is>
      </c>
      <c r="B1419" s="1" t="n">
        <v>45385</v>
      </c>
      <c r="C1419" s="1" t="n">
        <v>46184</v>
      </c>
      <c r="D1419" t="inlineStr">
        <is>
          <t>VÄSTERNORRLANDS LÄN</t>
        </is>
      </c>
      <c r="E1419" t="inlineStr">
        <is>
          <t>ÅNGE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50419-2022</t>
        </is>
      </c>
      <c r="B1420" s="1" t="n">
        <v>44861</v>
      </c>
      <c r="C1420" s="1" t="n">
        <v>46184</v>
      </c>
      <c r="D1420" t="inlineStr">
        <is>
          <t>VÄSTERNORRLANDS LÄN</t>
        </is>
      </c>
      <c r="E1420" t="inlineStr">
        <is>
          <t>ÅNGE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20443-2026</t>
        </is>
      </c>
      <c r="B1421" s="1" t="n">
        <v>46140.40697916667</v>
      </c>
      <c r="C1421" s="1" t="n">
        <v>46184</v>
      </c>
      <c r="D1421" t="inlineStr">
        <is>
          <t>VÄSTERNORRLANDS LÄN</t>
        </is>
      </c>
      <c r="E1421" t="inlineStr">
        <is>
          <t>ÅNGE</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14413-2026</t>
        </is>
      </c>
      <c r="B1422" s="1" t="n">
        <v>46100</v>
      </c>
      <c r="C1422" s="1" t="n">
        <v>46184</v>
      </c>
      <c r="D1422" t="inlineStr">
        <is>
          <t>VÄSTERNORRLANDS LÄN</t>
        </is>
      </c>
      <c r="E1422" t="inlineStr">
        <is>
          <t>ÅNGE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20463-2026</t>
        </is>
      </c>
      <c r="B1423" s="1" t="n">
        <v>46140.44861111111</v>
      </c>
      <c r="C1423" s="1" t="n">
        <v>46184</v>
      </c>
      <c r="D1423" t="inlineStr">
        <is>
          <t>VÄSTERNORRLANDS LÄN</t>
        </is>
      </c>
      <c r="E1423" t="inlineStr">
        <is>
          <t>ÅNGE</t>
        </is>
      </c>
      <c r="F1423" t="inlineStr">
        <is>
          <t>SCA</t>
        </is>
      </c>
      <c r="G1423" t="n">
        <v>10.8</v>
      </c>
      <c r="H1423" t="n">
        <v>0</v>
      </c>
      <c r="I1423" t="n">
        <v>0</v>
      </c>
      <c r="J1423" t="n">
        <v>0</v>
      </c>
      <c r="K1423" t="n">
        <v>0</v>
      </c>
      <c r="L1423" t="n">
        <v>0</v>
      </c>
      <c r="M1423" t="n">
        <v>0</v>
      </c>
      <c r="N1423" t="n">
        <v>0</v>
      </c>
      <c r="O1423" t="n">
        <v>0</v>
      </c>
      <c r="P1423" t="n">
        <v>0</v>
      </c>
      <c r="Q1423" t="n">
        <v>0</v>
      </c>
      <c r="R1423" s="2" t="inlineStr"/>
    </row>
    <row r="1424" ht="15" customHeight="1">
      <c r="A1424" t="inlineStr">
        <is>
          <t>A 12748-2026</t>
        </is>
      </c>
      <c r="B1424" s="1" t="n">
        <v>46091</v>
      </c>
      <c r="C1424" s="1" t="n">
        <v>46184</v>
      </c>
      <c r="D1424" t="inlineStr">
        <is>
          <t>VÄSTERNORRLANDS LÄN</t>
        </is>
      </c>
      <c r="E1424" t="inlineStr">
        <is>
          <t>ÅNGE</t>
        </is>
      </c>
      <c r="F1424" t="inlineStr">
        <is>
          <t>SCA</t>
        </is>
      </c>
      <c r="G1424" t="n">
        <v>15.5</v>
      </c>
      <c r="H1424" t="n">
        <v>0</v>
      </c>
      <c r="I1424" t="n">
        <v>0</v>
      </c>
      <c r="J1424" t="n">
        <v>0</v>
      </c>
      <c r="K1424" t="n">
        <v>0</v>
      </c>
      <c r="L1424" t="n">
        <v>0</v>
      </c>
      <c r="M1424" t="n">
        <v>0</v>
      </c>
      <c r="N1424" t="n">
        <v>0</v>
      </c>
      <c r="O1424" t="n">
        <v>0</v>
      </c>
      <c r="P1424" t="n">
        <v>0</v>
      </c>
      <c r="Q1424" t="n">
        <v>0</v>
      </c>
      <c r="R1424" s="2" t="inlineStr"/>
    </row>
    <row r="1425" ht="15" customHeight="1">
      <c r="A1425" t="inlineStr">
        <is>
          <t>A 12760-2026</t>
        </is>
      </c>
      <c r="B1425" s="1" t="n">
        <v>46091.66008101852</v>
      </c>
      <c r="C1425" s="1" t="n">
        <v>46184</v>
      </c>
      <c r="D1425" t="inlineStr">
        <is>
          <t>VÄSTERNORRLANDS LÄN</t>
        </is>
      </c>
      <c r="E1425" t="inlineStr">
        <is>
          <t>ÅNGE</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26590-2026</t>
        </is>
      </c>
      <c r="B1426" s="1" t="n">
        <v>46183.69905092593</v>
      </c>
      <c r="C1426" s="1" t="n">
        <v>46184</v>
      </c>
      <c r="D1426" t="inlineStr">
        <is>
          <t>VÄSTERNORRLANDS LÄN</t>
        </is>
      </c>
      <c r="E1426" t="inlineStr">
        <is>
          <t>ÅNGE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11088-2024</t>
        </is>
      </c>
      <c r="B1427" s="1" t="n">
        <v>45370</v>
      </c>
      <c r="C1427" s="1" t="n">
        <v>46184</v>
      </c>
      <c r="D1427" t="inlineStr">
        <is>
          <t>VÄSTERNORRLANDS LÄN</t>
        </is>
      </c>
      <c r="E1427" t="inlineStr">
        <is>
          <t>ÅNGE</t>
        </is>
      </c>
      <c r="F1427" t="inlineStr">
        <is>
          <t>SCA</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13773-2024</t>
        </is>
      </c>
      <c r="B1428" s="1" t="n">
        <v>45390.95297453704</v>
      </c>
      <c r="C1428" s="1" t="n">
        <v>46184</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30348-2024</t>
        </is>
      </c>
      <c r="B1429" s="1" t="n">
        <v>45490.95524305556</v>
      </c>
      <c r="C1429" s="1" t="n">
        <v>46184</v>
      </c>
      <c r="D1429" t="inlineStr">
        <is>
          <t>VÄSTERNORRLANDS LÄN</t>
        </is>
      </c>
      <c r="E1429" t="inlineStr">
        <is>
          <t>ÅNGE</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54210-2024</t>
        </is>
      </c>
      <c r="B1430" s="1" t="n">
        <v>45616.65662037037</v>
      </c>
      <c r="C1430" s="1" t="n">
        <v>46184</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12807-2025</t>
        </is>
      </c>
      <c r="B1431" s="1" t="n">
        <v>45733.61537037037</v>
      </c>
      <c r="C1431" s="1" t="n">
        <v>46184</v>
      </c>
      <c r="D1431" t="inlineStr">
        <is>
          <t>VÄSTERNORRLANDS LÄN</t>
        </is>
      </c>
      <c r="E1431" t="inlineStr">
        <is>
          <t>ÅNGE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5602-2025</t>
        </is>
      </c>
      <c r="B1432" s="1" t="n">
        <v>45693</v>
      </c>
      <c r="C1432" s="1" t="n">
        <v>46184</v>
      </c>
      <c r="D1432" t="inlineStr">
        <is>
          <t>VÄSTERNORRLANDS LÄN</t>
        </is>
      </c>
      <c r="E1432" t="inlineStr">
        <is>
          <t>ÅNGE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60578-2024</t>
        </is>
      </c>
      <c r="B1433" s="1" t="n">
        <v>45644.34434027778</v>
      </c>
      <c r="C1433" s="1" t="n">
        <v>46184</v>
      </c>
      <c r="D1433" t="inlineStr">
        <is>
          <t>VÄSTERNORRLANDS LÄN</t>
        </is>
      </c>
      <c r="E1433" t="inlineStr">
        <is>
          <t>ÅNGE</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33302-2024</t>
        </is>
      </c>
      <c r="B1434" s="1" t="n">
        <v>45518.96967592592</v>
      </c>
      <c r="C1434" s="1" t="n">
        <v>46184</v>
      </c>
      <c r="D1434" t="inlineStr">
        <is>
          <t>VÄSTERNORRLANDS LÄN</t>
        </is>
      </c>
      <c r="E1434" t="inlineStr">
        <is>
          <t>ÅNGE</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16593-2023</t>
        </is>
      </c>
      <c r="B1435" s="1" t="n">
        <v>45030</v>
      </c>
      <c r="C1435" s="1" t="n">
        <v>46184</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16600-2023</t>
        </is>
      </c>
      <c r="B1436" s="1" t="n">
        <v>45030</v>
      </c>
      <c r="C1436" s="1" t="n">
        <v>46184</v>
      </c>
      <c r="D1436" t="inlineStr">
        <is>
          <t>VÄSTERNORRLANDS LÄN</t>
        </is>
      </c>
      <c r="E1436" t="inlineStr">
        <is>
          <t>ÅNGE</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10917-2024</t>
        </is>
      </c>
      <c r="B1437" s="1" t="n">
        <v>45370</v>
      </c>
      <c r="C1437" s="1" t="n">
        <v>46184</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3022-2023</t>
        </is>
      </c>
      <c r="B1438" s="1" t="n">
        <v>44945</v>
      </c>
      <c r="C1438" s="1" t="n">
        <v>46184</v>
      </c>
      <c r="D1438" t="inlineStr">
        <is>
          <t>VÄSTERNORRLANDS LÄN</t>
        </is>
      </c>
      <c r="E1438" t="inlineStr">
        <is>
          <t>ÅNGE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34491-2023</t>
        </is>
      </c>
      <c r="B1439" s="1" t="n">
        <v>45139.94775462963</v>
      </c>
      <c r="C1439" s="1" t="n">
        <v>46184</v>
      </c>
      <c r="D1439" t="inlineStr">
        <is>
          <t>VÄSTERNORRLANDS LÄN</t>
        </is>
      </c>
      <c r="E1439" t="inlineStr">
        <is>
          <t>ÅNGE</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3947-2025</t>
        </is>
      </c>
      <c r="B1440" s="1" t="n">
        <v>45684.49001157407</v>
      </c>
      <c r="C1440" s="1" t="n">
        <v>46184</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65633-2021</t>
        </is>
      </c>
      <c r="B1441" s="1" t="n">
        <v>44516.56181712963</v>
      </c>
      <c r="C1441" s="1" t="n">
        <v>46184</v>
      </c>
      <c r="D1441" t="inlineStr">
        <is>
          <t>VÄSTERNORRLANDS LÄN</t>
        </is>
      </c>
      <c r="E1441" t="inlineStr">
        <is>
          <t>ÅNGE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36457-2021</t>
        </is>
      </c>
      <c r="B1442" s="1" t="n">
        <v>44390.93858796296</v>
      </c>
      <c r="C1442" s="1" t="n">
        <v>46184</v>
      </c>
      <c r="D1442" t="inlineStr">
        <is>
          <t>VÄSTERNORRLANDS LÄN</t>
        </is>
      </c>
      <c r="E1442" t="inlineStr">
        <is>
          <t>ÅNGE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24063-2023</t>
        </is>
      </c>
      <c r="B1443" s="1" t="n">
        <v>45078.94140046297</v>
      </c>
      <c r="C1443" s="1" t="n">
        <v>46184</v>
      </c>
      <c r="D1443" t="inlineStr">
        <is>
          <t>VÄSTERNORRLANDS LÄN</t>
        </is>
      </c>
      <c r="E1443" t="inlineStr">
        <is>
          <t>ÅNGE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49711-2024</t>
        </is>
      </c>
      <c r="B1444" s="1" t="n">
        <v>45596.69891203703</v>
      </c>
      <c r="C1444" s="1" t="n">
        <v>46184</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3323-2023</t>
        </is>
      </c>
      <c r="B1445" s="1" t="n">
        <v>44945</v>
      </c>
      <c r="C1445" s="1" t="n">
        <v>46184</v>
      </c>
      <c r="D1445" t="inlineStr">
        <is>
          <t>VÄSTERNORRLANDS LÄN</t>
        </is>
      </c>
      <c r="E1445" t="inlineStr">
        <is>
          <t>ÅNGE</t>
        </is>
      </c>
      <c r="G1445" t="n">
        <v>9.699999999999999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1711-2025</t>
        </is>
      </c>
      <c r="B1446" s="1" t="n">
        <v>45671.31184027778</v>
      </c>
      <c r="C1446" s="1" t="n">
        <v>46184</v>
      </c>
      <c r="D1446" t="inlineStr">
        <is>
          <t>VÄSTERNORRLANDS LÄN</t>
        </is>
      </c>
      <c r="E1446" t="inlineStr">
        <is>
          <t>ÅNGE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1714-2025</t>
        </is>
      </c>
      <c r="B1447" s="1" t="n">
        <v>45671.32474537037</v>
      </c>
      <c r="C1447" s="1" t="n">
        <v>46184</v>
      </c>
      <c r="D1447" t="inlineStr">
        <is>
          <t>VÄSTERNORRLANDS LÄN</t>
        </is>
      </c>
      <c r="E1447" t="inlineStr">
        <is>
          <t>ÅNGE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31866-2024</t>
        </is>
      </c>
      <c r="B1448" s="1" t="n">
        <v>45509</v>
      </c>
      <c r="C1448" s="1" t="n">
        <v>46184</v>
      </c>
      <c r="D1448" t="inlineStr">
        <is>
          <t>VÄSTERNORRLANDS LÄN</t>
        </is>
      </c>
      <c r="E1448" t="inlineStr">
        <is>
          <t>ÅNGE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31867-2024</t>
        </is>
      </c>
      <c r="B1449" s="1" t="n">
        <v>45509</v>
      </c>
      <c r="C1449" s="1" t="n">
        <v>46184</v>
      </c>
      <c r="D1449" t="inlineStr">
        <is>
          <t>VÄSTERNORRLANDS LÄN</t>
        </is>
      </c>
      <c r="E1449" t="inlineStr">
        <is>
          <t>ÅNGE</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33428-2023</t>
        </is>
      </c>
      <c r="B1450" s="1" t="n">
        <v>45128.94976851852</v>
      </c>
      <c r="C1450" s="1" t="n">
        <v>46184</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6610-2025</t>
        </is>
      </c>
      <c r="B1451" s="1" t="n">
        <v>45700</v>
      </c>
      <c r="C1451" s="1" t="n">
        <v>46184</v>
      </c>
      <c r="D1451" t="inlineStr">
        <is>
          <t>VÄSTERNORRLANDS LÄN</t>
        </is>
      </c>
      <c r="E1451" t="inlineStr">
        <is>
          <t>ÅNGE</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58997-2023</t>
        </is>
      </c>
      <c r="B1452" s="1" t="n">
        <v>45252.6352662037</v>
      </c>
      <c r="C1452" s="1" t="n">
        <v>46184</v>
      </c>
      <c r="D1452" t="inlineStr">
        <is>
          <t>VÄSTERNORRLANDS LÄN</t>
        </is>
      </c>
      <c r="E1452" t="inlineStr">
        <is>
          <t>ÅNGE</t>
        </is>
      </c>
      <c r="F1452" t="inlineStr">
        <is>
          <t>Övriga Aktiebolag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44639-2023</t>
        </is>
      </c>
      <c r="B1453" s="1" t="n">
        <v>45184</v>
      </c>
      <c r="C1453" s="1" t="n">
        <v>46184</v>
      </c>
      <c r="D1453" t="inlineStr">
        <is>
          <t>VÄSTERNORRLANDS LÄN</t>
        </is>
      </c>
      <c r="E1453" t="inlineStr">
        <is>
          <t>ÅNGE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43552-2023</t>
        </is>
      </c>
      <c r="B1454" s="1" t="n">
        <v>45181</v>
      </c>
      <c r="C1454" s="1" t="n">
        <v>46184</v>
      </c>
      <c r="D1454" t="inlineStr">
        <is>
          <t>VÄSTERNORRLANDS LÄN</t>
        </is>
      </c>
      <c r="E1454" t="inlineStr">
        <is>
          <t>ÅNGE</t>
        </is>
      </c>
      <c r="F1454" t="inlineStr">
        <is>
          <t>SCA</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1735-2025</t>
        </is>
      </c>
      <c r="B1455" s="1" t="n">
        <v>45671.38594907407</v>
      </c>
      <c r="C1455" s="1" t="n">
        <v>46184</v>
      </c>
      <c r="D1455" t="inlineStr">
        <is>
          <t>VÄSTERNORRLANDS LÄN</t>
        </is>
      </c>
      <c r="E1455" t="inlineStr">
        <is>
          <t>ÅNGE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50231-2024</t>
        </is>
      </c>
      <c r="B1456" s="1" t="n">
        <v>45600.55251157407</v>
      </c>
      <c r="C1456" s="1" t="n">
        <v>46184</v>
      </c>
      <c r="D1456" t="inlineStr">
        <is>
          <t>VÄSTERNORRLANDS LÄN</t>
        </is>
      </c>
      <c r="E1456" t="inlineStr">
        <is>
          <t>ÅNGE</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60205-2023</t>
        </is>
      </c>
      <c r="B1457" s="1" t="n">
        <v>45257</v>
      </c>
      <c r="C1457" s="1" t="n">
        <v>46184</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15287-2025</t>
        </is>
      </c>
      <c r="B1458" s="1" t="n">
        <v>45745</v>
      </c>
      <c r="C1458" s="1" t="n">
        <v>46184</v>
      </c>
      <c r="D1458" t="inlineStr">
        <is>
          <t>VÄSTERNORRLANDS LÄN</t>
        </is>
      </c>
      <c r="E1458" t="inlineStr">
        <is>
          <t>ÅNGE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4186-2025</t>
        </is>
      </c>
      <c r="B1459" s="1" t="n">
        <v>45685.44827546296</v>
      </c>
      <c r="C1459" s="1" t="n">
        <v>46184</v>
      </c>
      <c r="D1459" t="inlineStr">
        <is>
          <t>VÄSTERNORRLANDS LÄN</t>
        </is>
      </c>
      <c r="E1459" t="inlineStr">
        <is>
          <t>ÅNGE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39991-2023</t>
        </is>
      </c>
      <c r="B1460" s="1" t="n">
        <v>45168.6043287037</v>
      </c>
      <c r="C1460" s="1" t="n">
        <v>46184</v>
      </c>
      <c r="D1460" t="inlineStr">
        <is>
          <t>VÄSTERNORRLANDS LÄN</t>
        </is>
      </c>
      <c r="E1460" t="inlineStr">
        <is>
          <t>ÅNGE</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1775-2023</t>
        </is>
      </c>
      <c r="B1461" s="1" t="n">
        <v>44938</v>
      </c>
      <c r="C1461" s="1" t="n">
        <v>46184</v>
      </c>
      <c r="D1461" t="inlineStr">
        <is>
          <t>VÄSTERNORRLANDS LÄN</t>
        </is>
      </c>
      <c r="E1461" t="inlineStr">
        <is>
          <t>ÅNGE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31182-2024</t>
        </is>
      </c>
      <c r="B1462" s="1" t="n">
        <v>45503</v>
      </c>
      <c r="C1462" s="1" t="n">
        <v>46184</v>
      </c>
      <c r="D1462" t="inlineStr">
        <is>
          <t>VÄSTERNORRLANDS LÄN</t>
        </is>
      </c>
      <c r="E1462" t="inlineStr">
        <is>
          <t>ÅNGE</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56956-2022</t>
        </is>
      </c>
      <c r="B1463" s="1" t="n">
        <v>44894</v>
      </c>
      <c r="C1463" s="1" t="n">
        <v>46184</v>
      </c>
      <c r="D1463" t="inlineStr">
        <is>
          <t>VÄSTERNORRLANDS LÄN</t>
        </is>
      </c>
      <c r="E1463" t="inlineStr">
        <is>
          <t>ÅNGE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27321-2024</t>
        </is>
      </c>
      <c r="B1464" s="1" t="n">
        <v>45471</v>
      </c>
      <c r="C1464" s="1" t="n">
        <v>46184</v>
      </c>
      <c r="D1464" t="inlineStr">
        <is>
          <t>VÄSTERNORRLANDS LÄN</t>
        </is>
      </c>
      <c r="E1464" t="inlineStr">
        <is>
          <t>ÅNGE</t>
        </is>
      </c>
      <c r="F1464" t="inlineStr">
        <is>
          <t>SCA</t>
        </is>
      </c>
      <c r="G1464" t="n">
        <v>14.1</v>
      </c>
      <c r="H1464" t="n">
        <v>0</v>
      </c>
      <c r="I1464" t="n">
        <v>0</v>
      </c>
      <c r="J1464" t="n">
        <v>0</v>
      </c>
      <c r="K1464" t="n">
        <v>0</v>
      </c>
      <c r="L1464" t="n">
        <v>0</v>
      </c>
      <c r="M1464" t="n">
        <v>0</v>
      </c>
      <c r="N1464" t="n">
        <v>0</v>
      </c>
      <c r="O1464" t="n">
        <v>0</v>
      </c>
      <c r="P1464" t="n">
        <v>0</v>
      </c>
      <c r="Q1464" t="n">
        <v>0</v>
      </c>
      <c r="R1464" s="2" t="inlineStr"/>
    </row>
    <row r="1465" ht="15" customHeight="1">
      <c r="A1465" t="inlineStr">
        <is>
          <t>A 29667-2024</t>
        </is>
      </c>
      <c r="B1465" s="1" t="n">
        <v>45484.94041666666</v>
      </c>
      <c r="C1465" s="1" t="n">
        <v>46184</v>
      </c>
      <c r="D1465" t="inlineStr">
        <is>
          <t>VÄSTERNORRLANDS LÄN</t>
        </is>
      </c>
      <c r="E1465" t="inlineStr">
        <is>
          <t>ÅNGE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8418-2023</t>
        </is>
      </c>
      <c r="B1466" s="1" t="n">
        <v>44971</v>
      </c>
      <c r="C1466" s="1" t="n">
        <v>46184</v>
      </c>
      <c r="D1466" t="inlineStr">
        <is>
          <t>VÄSTERNORRLANDS LÄN</t>
        </is>
      </c>
      <c r="E1466" t="inlineStr">
        <is>
          <t>ÅNGE</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20024-2023</t>
        </is>
      </c>
      <c r="B1467" s="1" t="n">
        <v>45051</v>
      </c>
      <c r="C1467" s="1" t="n">
        <v>46184</v>
      </c>
      <c r="D1467" t="inlineStr">
        <is>
          <t>VÄSTERNORRLANDS LÄN</t>
        </is>
      </c>
      <c r="E1467" t="inlineStr">
        <is>
          <t>ÅNGE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54982-2023</t>
        </is>
      </c>
      <c r="B1468" s="1" t="n">
        <v>45236</v>
      </c>
      <c r="C1468" s="1" t="n">
        <v>46184</v>
      </c>
      <c r="D1468" t="inlineStr">
        <is>
          <t>VÄSTERNORRLANDS LÄN</t>
        </is>
      </c>
      <c r="E1468" t="inlineStr">
        <is>
          <t>ÅNGE</t>
        </is>
      </c>
      <c r="F1468" t="inlineStr">
        <is>
          <t>SCA</t>
        </is>
      </c>
      <c r="G1468" t="n">
        <v>26.2</v>
      </c>
      <c r="H1468" t="n">
        <v>0</v>
      </c>
      <c r="I1468" t="n">
        <v>0</v>
      </c>
      <c r="J1468" t="n">
        <v>0</v>
      </c>
      <c r="K1468" t="n">
        <v>0</v>
      </c>
      <c r="L1468" t="n">
        <v>0</v>
      </c>
      <c r="M1468" t="n">
        <v>0</v>
      </c>
      <c r="N1468" t="n">
        <v>0</v>
      </c>
      <c r="O1468" t="n">
        <v>0</v>
      </c>
      <c r="P1468" t="n">
        <v>0</v>
      </c>
      <c r="Q1468" t="n">
        <v>0</v>
      </c>
      <c r="R1468" s="2" t="inlineStr"/>
    </row>
    <row r="1469" ht="15" customHeight="1">
      <c r="A1469" t="inlineStr">
        <is>
          <t>A 45939-2023</t>
        </is>
      </c>
      <c r="B1469" s="1" t="n">
        <v>45195.94578703704</v>
      </c>
      <c r="C1469" s="1" t="n">
        <v>46184</v>
      </c>
      <c r="D1469" t="inlineStr">
        <is>
          <t>VÄSTERNORRLANDS LÄN</t>
        </is>
      </c>
      <c r="E1469" t="inlineStr">
        <is>
          <t>ÅNGE</t>
        </is>
      </c>
      <c r="F1469" t="inlineStr">
        <is>
          <t>SCA</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51311-2022</t>
        </is>
      </c>
      <c r="B1470" s="1" t="n">
        <v>44868</v>
      </c>
      <c r="C1470" s="1" t="n">
        <v>46184</v>
      </c>
      <c r="D1470" t="inlineStr">
        <is>
          <t>VÄSTERNORRLANDS LÄN</t>
        </is>
      </c>
      <c r="E1470" t="inlineStr">
        <is>
          <t>ÅNGE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63216-2023</t>
        </is>
      </c>
      <c r="B1471" s="1" t="n">
        <v>45273.62721064815</v>
      </c>
      <c r="C1471" s="1" t="n">
        <v>46184</v>
      </c>
      <c r="D1471" t="inlineStr">
        <is>
          <t>VÄSTERNORRLANDS LÄN</t>
        </is>
      </c>
      <c r="E1471" t="inlineStr">
        <is>
          <t>ÅNGE</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45187.72152777778</v>
      </c>
      <c r="C1472" s="1" t="n">
        <v>46184</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36492-2023</t>
        </is>
      </c>
      <c r="B1473" s="1" t="n">
        <v>45152.92479166666</v>
      </c>
      <c r="C1473" s="1" t="n">
        <v>46184</v>
      </c>
      <c r="D1473" t="inlineStr">
        <is>
          <t>VÄSTERNORRLANDS LÄN</t>
        </is>
      </c>
      <c r="E1473" t="inlineStr">
        <is>
          <t>ÅNGE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46184</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26943-2024</t>
        </is>
      </c>
      <c r="B1475" s="1" t="n">
        <v>45470</v>
      </c>
      <c r="C1475" s="1" t="n">
        <v>46184</v>
      </c>
      <c r="D1475" t="inlineStr">
        <is>
          <t>VÄSTERNORRLANDS LÄN</t>
        </is>
      </c>
      <c r="E1475" t="inlineStr">
        <is>
          <t>ÅNGE</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55882-2022</t>
        </is>
      </c>
      <c r="B1476" s="1" t="n">
        <v>44888</v>
      </c>
      <c r="C1476" s="1" t="n">
        <v>46184</v>
      </c>
      <c r="D1476" t="inlineStr">
        <is>
          <t>VÄSTERNORRLANDS LÄN</t>
        </is>
      </c>
      <c r="E1476" t="inlineStr">
        <is>
          <t>ÅNGE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6686-2024</t>
        </is>
      </c>
      <c r="B1477" s="1" t="n">
        <v>45341</v>
      </c>
      <c r="C1477" s="1" t="n">
        <v>46184</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63556-2021</t>
        </is>
      </c>
      <c r="B1478" s="1" t="n">
        <v>44508.70231481481</v>
      </c>
      <c r="C1478" s="1" t="n">
        <v>46184</v>
      </c>
      <c r="D1478" t="inlineStr">
        <is>
          <t>VÄSTERNORRLANDS LÄN</t>
        </is>
      </c>
      <c r="E1478" t="inlineStr">
        <is>
          <t>ÅNGE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3253-2024</t>
        </is>
      </c>
      <c r="B1479" s="1" t="n">
        <v>45316</v>
      </c>
      <c r="C1479" s="1" t="n">
        <v>46184</v>
      </c>
      <c r="D1479" t="inlineStr">
        <is>
          <t>VÄSTERNORRLANDS LÄN</t>
        </is>
      </c>
      <c r="E1479" t="inlineStr">
        <is>
          <t>ÅNGE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34783-2021</t>
        </is>
      </c>
      <c r="B1480" s="1" t="n">
        <v>44382</v>
      </c>
      <c r="C1480" s="1" t="n">
        <v>46184</v>
      </c>
      <c r="D1480" t="inlineStr">
        <is>
          <t>VÄSTERNORRLANDS LÄN</t>
        </is>
      </c>
      <c r="E1480" t="inlineStr">
        <is>
          <t>ÅNGE</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58748-2023</t>
        </is>
      </c>
      <c r="B1481" s="1" t="n">
        <v>45251.92936342592</v>
      </c>
      <c r="C1481" s="1" t="n">
        <v>46184</v>
      </c>
      <c r="D1481" t="inlineStr">
        <is>
          <t>VÄSTERNORRLANDS LÄN</t>
        </is>
      </c>
      <c r="E1481" t="inlineStr">
        <is>
          <t>ÅNGE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51070-2024</t>
        </is>
      </c>
      <c r="B1482" s="1" t="n">
        <v>45603</v>
      </c>
      <c r="C1482" s="1" t="n">
        <v>46184</v>
      </c>
      <c r="D1482" t="inlineStr">
        <is>
          <t>VÄSTERNORRLANDS LÄN</t>
        </is>
      </c>
      <c r="E1482" t="inlineStr">
        <is>
          <t>ÅNGE</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51871-2024</t>
        </is>
      </c>
      <c r="B1483" s="1" t="n">
        <v>45607</v>
      </c>
      <c r="C1483" s="1" t="n">
        <v>46184</v>
      </c>
      <c r="D1483" t="inlineStr">
        <is>
          <t>VÄSTERNORRLANDS LÄN</t>
        </is>
      </c>
      <c r="E1483" t="inlineStr">
        <is>
          <t>ÅNGE</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57636-2022</t>
        </is>
      </c>
      <c r="B1484" s="1" t="n">
        <v>44897</v>
      </c>
      <c r="C1484" s="1" t="n">
        <v>46184</v>
      </c>
      <c r="D1484" t="inlineStr">
        <is>
          <t>VÄSTERNORRLANDS LÄN</t>
        </is>
      </c>
      <c r="E1484" t="inlineStr">
        <is>
          <t>ÅNGE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34971-2023</t>
        </is>
      </c>
      <c r="B1485" s="1" t="n">
        <v>45142.61635416667</v>
      </c>
      <c r="C1485" s="1" t="n">
        <v>46184</v>
      </c>
      <c r="D1485" t="inlineStr">
        <is>
          <t>VÄSTERNORRLANDS LÄN</t>
        </is>
      </c>
      <c r="E1485" t="inlineStr">
        <is>
          <t>ÅNGE</t>
        </is>
      </c>
      <c r="F1485" t="inlineStr">
        <is>
          <t>Sveaskog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55329-2023</t>
        </is>
      </c>
      <c r="B1486" s="1" t="n">
        <v>45237</v>
      </c>
      <c r="C1486" s="1" t="n">
        <v>46184</v>
      </c>
      <c r="D1486" t="inlineStr">
        <is>
          <t>VÄSTERNORRLANDS LÄN</t>
        </is>
      </c>
      <c r="E1486" t="inlineStr">
        <is>
          <t>ÅNGE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30055-2024</t>
        </is>
      </c>
      <c r="B1487" s="1" t="n">
        <v>45488.94767361111</v>
      </c>
      <c r="C1487" s="1" t="n">
        <v>46184</v>
      </c>
      <c r="D1487" t="inlineStr">
        <is>
          <t>VÄSTERNORRLANDS LÄN</t>
        </is>
      </c>
      <c r="E1487" t="inlineStr">
        <is>
          <t>ÅNGE</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42346-2023</t>
        </is>
      </c>
      <c r="B1488" s="1" t="n">
        <v>45180</v>
      </c>
      <c r="C1488" s="1" t="n">
        <v>46184</v>
      </c>
      <c r="D1488" t="inlineStr">
        <is>
          <t>VÄSTERNORRLANDS LÄN</t>
        </is>
      </c>
      <c r="E1488" t="inlineStr">
        <is>
          <t>ÅNGE</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137-2025</t>
        </is>
      </c>
      <c r="B1489" s="1" t="n">
        <v>45659.57684027778</v>
      </c>
      <c r="C1489" s="1" t="n">
        <v>46184</v>
      </c>
      <c r="D1489" t="inlineStr">
        <is>
          <t>VÄSTERNORRLANDS LÄN</t>
        </is>
      </c>
      <c r="E1489" t="inlineStr">
        <is>
          <t>ÅNGE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57601-2022</t>
        </is>
      </c>
      <c r="B1490" s="1" t="n">
        <v>44896</v>
      </c>
      <c r="C1490" s="1" t="n">
        <v>46184</v>
      </c>
      <c r="D1490" t="inlineStr">
        <is>
          <t>VÄSTERNORRLANDS LÄN</t>
        </is>
      </c>
      <c r="E1490" t="inlineStr">
        <is>
          <t>ÅNGE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22678-2024</t>
        </is>
      </c>
      <c r="B1491" s="1" t="n">
        <v>45447.94533564815</v>
      </c>
      <c r="C1491" s="1" t="n">
        <v>46184</v>
      </c>
      <c r="D1491" t="inlineStr">
        <is>
          <t>VÄSTERNORRLANDS LÄN</t>
        </is>
      </c>
      <c r="E1491" t="inlineStr">
        <is>
          <t>ÅNGE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64121-2021</t>
        </is>
      </c>
      <c r="B1492" s="1" t="n">
        <v>44510.4730787037</v>
      </c>
      <c r="C1492" s="1" t="n">
        <v>46184</v>
      </c>
      <c r="D1492" t="inlineStr">
        <is>
          <t>VÄSTERNORRLANDS LÄN</t>
        </is>
      </c>
      <c r="E1492" t="inlineStr">
        <is>
          <t>ÅNGE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71965-2021</t>
        </is>
      </c>
      <c r="B1493" s="1" t="n">
        <v>44544.32483796297</v>
      </c>
      <c r="C1493" s="1" t="n">
        <v>46184</v>
      </c>
      <c r="D1493" t="inlineStr">
        <is>
          <t>VÄSTERNORRLANDS LÄN</t>
        </is>
      </c>
      <c r="E1493" t="inlineStr">
        <is>
          <t>ÅNGE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62834-2021</t>
        </is>
      </c>
      <c r="B1494" s="1" t="n">
        <v>44503</v>
      </c>
      <c r="C1494" s="1" t="n">
        <v>46184</v>
      </c>
      <c r="D1494" t="inlineStr">
        <is>
          <t>VÄSTERNORRLANDS LÄN</t>
        </is>
      </c>
      <c r="E1494" t="inlineStr">
        <is>
          <t>ÅNGE</t>
        </is>
      </c>
      <c r="F1494" t="inlineStr">
        <is>
          <t>Övriga statliga verk och myndigheter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7535-2023</t>
        </is>
      </c>
      <c r="B1495" s="1" t="n">
        <v>44971</v>
      </c>
      <c r="C1495" s="1" t="n">
        <v>46184</v>
      </c>
      <c r="D1495" t="inlineStr">
        <is>
          <t>VÄSTERNORRLANDS LÄN</t>
        </is>
      </c>
      <c r="E1495" t="inlineStr">
        <is>
          <t>ÅNGE</t>
        </is>
      </c>
      <c r="F1495" t="inlineStr">
        <is>
          <t>SCA</t>
        </is>
      </c>
      <c r="G1495" t="n">
        <v>14.6</v>
      </c>
      <c r="H1495" t="n">
        <v>0</v>
      </c>
      <c r="I1495" t="n">
        <v>0</v>
      </c>
      <c r="J1495" t="n">
        <v>0</v>
      </c>
      <c r="K1495" t="n">
        <v>0</v>
      </c>
      <c r="L1495" t="n">
        <v>0</v>
      </c>
      <c r="M1495" t="n">
        <v>0</v>
      </c>
      <c r="N1495" t="n">
        <v>0</v>
      </c>
      <c r="O1495" t="n">
        <v>0</v>
      </c>
      <c r="P1495" t="n">
        <v>0</v>
      </c>
      <c r="Q1495" t="n">
        <v>0</v>
      </c>
      <c r="R1495" s="2" t="inlineStr"/>
    </row>
    <row r="1496" ht="15" customHeight="1">
      <c r="A1496" t="inlineStr">
        <is>
          <t>A 41586-2024</t>
        </is>
      </c>
      <c r="B1496" s="1" t="n">
        <v>45560.56089120371</v>
      </c>
      <c r="C1496" s="1" t="n">
        <v>46184</v>
      </c>
      <c r="D1496" t="inlineStr">
        <is>
          <t>VÄSTERNORRLANDS LÄN</t>
        </is>
      </c>
      <c r="E1496" t="inlineStr">
        <is>
          <t>ÅNGE</t>
        </is>
      </c>
      <c r="F1496" t="inlineStr">
        <is>
          <t>Holmen skog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48946-2024</t>
        </is>
      </c>
      <c r="B1497" s="1" t="n">
        <v>45594.42736111111</v>
      </c>
      <c r="C1497" s="1" t="n">
        <v>46184</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33429-2023</t>
        </is>
      </c>
      <c r="B1498" s="1" t="n">
        <v>45128.94983796297</v>
      </c>
      <c r="C1498" s="1" t="n">
        <v>46184</v>
      </c>
      <c r="D1498" t="inlineStr">
        <is>
          <t>VÄSTERNORRLANDS LÄN</t>
        </is>
      </c>
      <c r="E1498" t="inlineStr">
        <is>
          <t>ÅNGE</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20255-2023</t>
        </is>
      </c>
      <c r="B1499" s="1" t="n">
        <v>45055</v>
      </c>
      <c r="C1499" s="1" t="n">
        <v>46184</v>
      </c>
      <c r="D1499" t="inlineStr">
        <is>
          <t>VÄSTERNORRLANDS LÄN</t>
        </is>
      </c>
      <c r="E1499" t="inlineStr">
        <is>
          <t>ÅNGE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16281-2023</t>
        </is>
      </c>
      <c r="B1500" s="1" t="n">
        <v>45028</v>
      </c>
      <c r="C1500" s="1" t="n">
        <v>46184</v>
      </c>
      <c r="D1500" t="inlineStr">
        <is>
          <t>VÄSTERNORRLANDS LÄN</t>
        </is>
      </c>
      <c r="E1500" t="inlineStr">
        <is>
          <t>ÅNGE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26015-2024</t>
        </is>
      </c>
      <c r="B1501" s="1" t="n">
        <v>45467.95872685185</v>
      </c>
      <c r="C1501" s="1" t="n">
        <v>46184</v>
      </c>
      <c r="D1501" t="inlineStr">
        <is>
          <t>VÄSTERNORRLANDS LÄN</t>
        </is>
      </c>
      <c r="E1501" t="inlineStr">
        <is>
          <t>ÅNGE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48697-2024</t>
        </is>
      </c>
      <c r="B1502" s="1" t="n">
        <v>45593.51136574074</v>
      </c>
      <c r="C1502" s="1" t="n">
        <v>46184</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1095-2023</t>
        </is>
      </c>
      <c r="B1503" s="1" t="n">
        <v>44929</v>
      </c>
      <c r="C1503" s="1" t="n">
        <v>46184</v>
      </c>
      <c r="D1503" t="inlineStr">
        <is>
          <t>VÄSTERNORRLANDS LÄN</t>
        </is>
      </c>
      <c r="E1503" t="inlineStr">
        <is>
          <t>ÅNGE</t>
        </is>
      </c>
      <c r="G1503" t="n">
        <v>3.2</v>
      </c>
      <c r="H1503" t="n">
        <v>0</v>
      </c>
      <c r="I1503" t="n">
        <v>0</v>
      </c>
      <c r="J1503" t="n">
        <v>0</v>
      </c>
      <c r="K1503" t="n">
        <v>0</v>
      </c>
      <c r="L1503" t="n">
        <v>0</v>
      </c>
      <c r="M1503" t="n">
        <v>0</v>
      </c>
      <c r="N1503" t="n">
        <v>0</v>
      </c>
      <c r="O1503" t="n">
        <v>0</v>
      </c>
      <c r="P1503" t="n">
        <v>0</v>
      </c>
      <c r="Q1503" t="n">
        <v>0</v>
      </c>
      <c r="R1503" s="2" t="inlineStr"/>
    </row>
    <row r="1504">
      <c r="A1504" t="inlineStr">
        <is>
          <t>A 46795-2023</t>
        </is>
      </c>
      <c r="B1504" s="1" t="n">
        <v>45198</v>
      </c>
      <c r="C1504" s="1" t="n">
        <v>46184</v>
      </c>
      <c r="D1504" t="inlineStr">
        <is>
          <t>VÄSTERNORRLANDS LÄN</t>
        </is>
      </c>
      <c r="E1504" t="inlineStr">
        <is>
          <t>ÅNGE</t>
        </is>
      </c>
      <c r="F1504" t="inlineStr">
        <is>
          <t>Holmen skog AB</t>
        </is>
      </c>
      <c r="G1504" t="n">
        <v>2.5</v>
      </c>
      <c r="H1504" t="n">
        <v>0</v>
      </c>
      <c r="I1504" t="n">
        <v>0</v>
      </c>
      <c r="J1504" t="n">
        <v>0</v>
      </c>
      <c r="K1504" t="n">
        <v>0</v>
      </c>
      <c r="L1504" t="n">
        <v>0</v>
      </c>
      <c r="M1504" t="n">
        <v>0</v>
      </c>
      <c r="N1504" t="n">
        <v>0</v>
      </c>
      <c r="O1504" t="n">
        <v>0</v>
      </c>
      <c r="P1504" t="n">
        <v>0</v>
      </c>
      <c r="Q1504" t="n">
        <v>0</v>
      </c>
      <c r="R1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2026-06-11T09:20:41Z</dcterms:created>
  <dcterms:modified xmlns:dcterms="http://purl.org/dc/terms/" xmlns:xsi="http://www.w3.org/2001/XMLSchema-instance" xsi:type="dcterms:W3CDTF">2026-06-11T09:20:42Z</dcterms:modified>
</cp:coreProperties>
</file>