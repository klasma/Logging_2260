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45745</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45745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45745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45745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45745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45745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45745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45745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45745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45745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45745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45745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45745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45745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45745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45745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45745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45745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45745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45745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45745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45745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45745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45745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45745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45745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45745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45745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45745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45745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45745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45745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45745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45745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45745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45745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45745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45745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45745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45745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45745</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45745</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45745</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45745</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45745</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45745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45745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45745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45745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45745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45745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45745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45745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45745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45745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45745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45745</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45745</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45745</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45745</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45745</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45745</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45745</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45745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45745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45745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45745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45745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45745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45745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45745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45745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45745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45745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45745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45745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45745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45745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45745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45745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45745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45745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45745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45745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45745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45745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45745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45745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45745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45745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45745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45745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45745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45745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45745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45745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45745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45745</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45745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45745</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45745</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45745</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45745</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45745</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45745</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45745</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45745</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45745</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45745</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45745</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45745</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45745</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45745</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45745</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45745</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45745</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45745</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45745</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45745</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45745</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45745</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45745</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45745</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45745</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45745</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45745</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45745</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45745</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45745</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45745</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45745</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45745</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45745</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45745</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45745</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45745</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45745</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45745</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45745</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45745</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45745</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45745</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HYPERLINK("https://klasma.github.io/Logging_222260/artfynd/A 11029-2025 artfynd.xlsx", "A 11029-2025")</f>
        <v/>
      </c>
      <c r="T146">
        <f>HYPERLINK("https://klasma.github.io/Logging_222260/kartor/A 11029-2025 karta.png", "A 11029-2025")</f>
        <v/>
      </c>
      <c r="U146">
        <f>HYPERLINK("https://klasma.github.io/Logging_222260/knärot/A 11029-2025 karta knärot.png", "A 11029-2025")</f>
        <v/>
      </c>
      <c r="V146">
        <f>HYPERLINK("https://klasma.github.io/Logging_222260/klagomål/A 11029-2025 FSC-klagomål.docx", "A 11029-2025")</f>
        <v/>
      </c>
      <c r="W146">
        <f>HYPERLINK("https://klasma.github.io/Logging_222260/klagomålsmail/A 11029-2025 FSC-klagomål mail.docx", "A 11029-2025")</f>
        <v/>
      </c>
      <c r="X146">
        <f>HYPERLINK("https://klasma.github.io/Logging_222260/tillsyn/A 11029-2025 tillsynsbegäran.docx", "A 11029-2025")</f>
        <v/>
      </c>
      <c r="Y146">
        <f>HYPERLINK("https://klasma.github.io/Logging_222260/tillsynsmail/A 11029-2025 tillsynsbegäran mail.docx", "A 11029-2025")</f>
        <v/>
      </c>
    </row>
    <row r="147" ht="15" customHeight="1">
      <c r="A147" t="inlineStr">
        <is>
          <t>A 15666-2021</t>
        </is>
      </c>
      <c r="B147" s="1" t="n">
        <v>44285</v>
      </c>
      <c r="C147" s="1" t="n">
        <v>45745</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45745</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45745</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45745</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45745</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45745</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45745</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45745</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45745</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45745</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45745</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45745</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45745</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45745</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45745</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45745</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45745</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45745</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45745</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45745</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45745</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45745</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45745</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45745</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45745</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45745</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45745</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45745</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45745</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45745</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45745</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45745</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45745</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45745</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45745</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45745</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45745</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45745</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45745</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45745</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45745</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45745</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45745</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45745</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45745</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45745</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45745</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45745</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45745</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45745</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45745</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45745</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45745</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45745</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45745</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45745</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45745</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45745</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45745</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45745</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45745</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45745</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45745</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45745</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45745</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45745</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45745</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45745</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45745</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45745</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45745</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45745</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45745</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45745</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45745</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45745</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45745</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45745</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45745</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45745</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45745</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45745</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45745</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45745</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45745</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45745</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45745</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45745</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45745</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45745</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45745</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45745</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45745</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45745</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45745</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45745</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45745</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45745</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45745</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45745</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45745</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45745</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45745</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45745</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45745</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45745</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45745</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45745</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45745</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45745</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45745</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45745</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45745</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45745</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45745</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45745</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45745</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45745</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45745</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45745</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45745</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45745</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45745</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45745</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45745</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45745</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45745</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45745</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45745</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45745</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45745</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45745</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45745</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45745</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45745</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45745</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45745</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45745</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45745</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45745</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45745</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45745</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45745</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45745</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45745</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45745</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45745</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45745</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45745</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45745</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45745</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45745</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45745</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45745</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45745</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45745</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45745</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45745</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45745</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45745</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45745</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45745</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45745</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45745</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45745</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HYPERLINK("https://klasma.github.io/Logging_222260/artfynd/A 10309-2025 artfynd.xlsx", "A 10309-2025")</f>
        <v/>
      </c>
      <c r="T311">
        <f>HYPERLINK("https://klasma.github.io/Logging_222260/kartor/A 10309-2025 karta.png", "A 10309-2025")</f>
        <v/>
      </c>
      <c r="V311">
        <f>HYPERLINK("https://klasma.github.io/Logging_222260/klagomål/A 10309-2025 FSC-klagomål.docx", "A 10309-2025")</f>
        <v/>
      </c>
      <c r="W311">
        <f>HYPERLINK("https://klasma.github.io/Logging_222260/klagomålsmail/A 10309-2025 FSC-klagomål mail.docx", "A 10309-2025")</f>
        <v/>
      </c>
      <c r="X311">
        <f>HYPERLINK("https://klasma.github.io/Logging_222260/tillsyn/A 10309-2025 tillsynsbegäran.docx", "A 10309-2025")</f>
        <v/>
      </c>
      <c r="Y311">
        <f>HYPERLINK("https://klasma.github.io/Logging_222260/tillsynsmail/A 10309-2025 tillsynsbegäran mail.docx", "A 10309-2025")</f>
        <v/>
      </c>
      <c r="Z311">
        <f>HYPERLINK("https://klasma.github.io/Logging_222260/fåglar/A 10309-2025 prioriterade fågelarter.docx", "A 10309-2025")</f>
        <v/>
      </c>
    </row>
    <row r="312" ht="15" customHeight="1">
      <c r="A312" t="inlineStr">
        <is>
          <t>A 17854-2019</t>
        </is>
      </c>
      <c r="B312" s="1" t="n">
        <v>43556</v>
      </c>
      <c r="C312" s="1" t="n">
        <v>45745</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45745</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45745</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45745</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45745</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45745</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45745</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45745</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45745</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45745</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45745</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45745</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45745</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45745</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45745</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45745</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45745</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45745</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45745</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45745</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45745</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45745</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45745</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45745</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45745</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45745</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45745</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45745</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45745</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45745</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45745</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45745</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45745</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45745</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45745</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45745</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45745</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45745</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45745</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45745</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45745</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45745</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45745</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45745</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45745</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45745</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45745</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45745</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45745</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45745</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45745</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45745</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45745</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45745</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45745</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45745</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45745</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45745</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45745</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45745</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45745</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45745</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45745</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45745</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45745</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45745</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45745</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45745</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45745</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45745</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45745</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45745</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45745</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45745</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45745</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45745</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45745</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45745</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45745</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45745</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45745</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45745</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45745</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45745</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45745</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45745</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45745</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45745</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45745</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45745</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45745</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45745</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45745</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45745</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45745</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45745</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45745</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45745</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45745</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45745</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45745</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45745</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45745</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45745</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45745</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45745</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45745</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45745</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45745</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45745</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45745</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45745</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45745</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45745</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45745</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45745</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45745</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45745</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45745</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45745</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45745</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45745</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45745</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45745</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45745</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45745</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45745</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45745</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45745</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45745</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45745</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45745</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45745</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45745</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45745</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45745</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45745</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45745</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45745</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45745</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45745</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45745</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45745</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45745</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45745</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45745</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45745</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45745</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45745</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45745</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45745</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45745</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45745</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45745</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45745</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45745</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45745</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45745</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45745</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45745</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45745</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45745</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45745</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45745</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45745</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45745</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45745</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45745</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45745</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45745</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45745</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45745</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45745</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45745</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45745</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45745</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45745</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45745</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45745</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45745</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45745</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45745</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45745</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45745</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45745</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45745</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45745</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45745</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45745</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45745</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45745</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45745</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45745</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45745</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45745</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45745</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45745</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45745</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45745</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45745</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45745</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45745</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45745</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45745</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45745</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45745</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45745</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45745</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45745</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45745</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45745</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45745</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45745</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45745</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45745</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45745</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45745</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45745</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45745</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45745</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45745</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45745</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45745</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45745</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45745</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45745</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45745</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45745</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45745</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45745</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45745</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45745</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45745</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45745</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45745</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45745</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45745</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45745</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45745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45745</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45745</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45745</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45745</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45745</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45745</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45745</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45745</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45745</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45745</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45745</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45745</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45745</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45745</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45745</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45745</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45745</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45745</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45745</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45745</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45745</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45745</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45745</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45745</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45745</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45745</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45745</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45745</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45745</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45745</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45745</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45745</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45745</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45745</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45745</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45745</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45745</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45745</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45745</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45745</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45745</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45745</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45745</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45745</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45745</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45745</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45745</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45745</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45745</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45745</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45745</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45745</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45745</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45745</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45745</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45745</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45745</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45745</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45745</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45745</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45745</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45745</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45745</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45745</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45745</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45745</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45745</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45745</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45745</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45745</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45745</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45745</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45745</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45745</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45745</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45745</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45745</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45745</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45745</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45745</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45745</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45745</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45745</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45745</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45745</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45745</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45745</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45745</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45745</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45745</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45745</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45745</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45745</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45745</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45745</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45745</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45745</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45745</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45745</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45745</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45745</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45745</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45745</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45745</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45745</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45745</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45745</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45745</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45745</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45745</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45745</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45745</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45745</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45745</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45745</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45745</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45745</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45745</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45745</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45745</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45745</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45745</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45745</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45745</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45745</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45745</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45745</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45745</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45745</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45745</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45745</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45745</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45745</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45745</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45745</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45745</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45745</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45745</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45745</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45745</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45745</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45745</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45745</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45745</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45745</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45745</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45745</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45745</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45745</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45745</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45745</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45745</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45745</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45745</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45745</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45745</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45745</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45745</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45745</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45745</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45745</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45745</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45745</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45745</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45745</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45745</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45745</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45745</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45745</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45745</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45745</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45745</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45745</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45745</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45745</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45745</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45745</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45745</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45745</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45745</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45745</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45745</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45745</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45745</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45745</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45745</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45745</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45745</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45745</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45745</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45745</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45745</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45745</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45745</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45745</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45745</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45745</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45745</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45745</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45745</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45745</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45745</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45745</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45745</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45745</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45745</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45745</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45745</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45745</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45745</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45745</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45745</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45745</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45745</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45745</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45745</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45745</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45745</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45745</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45745</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45745</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45745</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45745</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45745</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45745</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45745</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45745</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45745</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45745</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45745</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45745</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45745</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45745</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45745</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45745</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45745</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45745</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45745</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45745</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45745</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45745</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45745</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45745</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45745</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45745</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45745</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45745</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45745</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45745</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45745</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45745</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45745</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45745</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45745</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45745</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45745</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45745</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45745</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45745</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45745</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45745</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45745</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45745</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45745</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45745</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45745</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45745</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45745</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45745</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45745</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45745</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45745</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45745</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45745</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45745</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45745</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45745</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45745</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45745</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45745</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45745</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45745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45745</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45745</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45745</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45745</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45745</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45745</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45745</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45745</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45745</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45745</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45745</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45745</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45745</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45745</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45745</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45745</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45745</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45745</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45745</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45745</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45745</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45745</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45745</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45745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45745</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45745</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45745</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45745</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45745</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45745</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45745</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45745</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45745</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45745</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45745</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45745</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45745</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45745</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45745</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45745</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45745</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45745</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45745</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45745</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45745</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45745</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45745</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45745</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45745</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45745</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45745</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45745</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45745</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45745</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45745</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45745</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45745</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45745</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45745</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45745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45745</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45745</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45745</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45745</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45745</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45745</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45745</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45745</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45745</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45745</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45745</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45745</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45745</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45745</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45745</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45745</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45745</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45745</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45745</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45745</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45745</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45745</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45745</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45745</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45745</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45745</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45745</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45745</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45745</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45745</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45745</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45745</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45745</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45745</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45745</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45745</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45745</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45745</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45745</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45745</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45745</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45745</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45745</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45745</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45745</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45745</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45745</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45745</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45745</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45745</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45745</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45745</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45745</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45745</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45745</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45745</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45745</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45745</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45745</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45745</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45745</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45745</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45745</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45745</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45745</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45745</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45745</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45745</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45745</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45745</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45745</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45745</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45745</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45745</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45745</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45745</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45745</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45745</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45745</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45745</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45745</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45745</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45745</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45745</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45745</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45745</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45745</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45745</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45745</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45745</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45745</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45745</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45745</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45745</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45745</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45745</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45745</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45745</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45745</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45745</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45745</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45745</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45745</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45745</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45745</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45745</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45745</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45745</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45745</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45745</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45745</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45745</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45745</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45745</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45745</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45745</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45745</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45745</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45745</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45745</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45745</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45745</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45745</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45745</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45745</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45745</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45745</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45745</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45745</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45745</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45745</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45745</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45745</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45745</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45745</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45745</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45745</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45745</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45745</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45745</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45745</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45745</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45745</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45745</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45745</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45745</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45745</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45745</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45745</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45745</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45745</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45745</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45745</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45745</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45745</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45745</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45745</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45745</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45745</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45745</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45745</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45745</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45745</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45745</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45745</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45745</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45745</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45745</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45745</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45745</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45745</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45745</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45745</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45745</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45745</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45745</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45745</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45745</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45745</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45745</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45745</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45745</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45745</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45745</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45745</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45745</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45745</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45745</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45745</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45745</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45745</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45745</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45745</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45745</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45745</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45745</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45745</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45745</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45745</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45745</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45745</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45745</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45745</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45745</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45745</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45745</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45745</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45745</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45745</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45745</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45745</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45745</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45745</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45745</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45745</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45745</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45745</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45745</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45745</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45745</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45745</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45745</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45745</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45745</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45745</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45745</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45745</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45745</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45745</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45745</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45745</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45745</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45745</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45745</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45745</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45745</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45745</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45745</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45745</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45745</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45745</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45745</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45745</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45745</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45745</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45745</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45745</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45745</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45745</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45745</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45745</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45745</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45745</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45745</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45745</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45745</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45745</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45745</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45745</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45745</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45745</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45745</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45745</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45745</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45745</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45745</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45745</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45745</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45745</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45745</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45745</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45745</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45745</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45745</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45745</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45745</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45745</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45745</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45745</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45745</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45745</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45745</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45745</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45745</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45745</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45745</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45745</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45745</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45745</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45745</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45745</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45745</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45745</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45745</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45745</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45745</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45745</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45745</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45745</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45745</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45745</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45745</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45745</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45745</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45745</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45745</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45745</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45745</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45745</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45745</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45745</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45745</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45745</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45745</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45745</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45745</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45745</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45745</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45745</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45745</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45745</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45745</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45745</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45745</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45745</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45745</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45745</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45745</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45745</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45745</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45745</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45745</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45745</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45745</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45745</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45745</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45745</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45745</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45745</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45745</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45745</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45745</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45745</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45745</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45745</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45745</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45745</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45745</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45745</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45745</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45745</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45745</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45745</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45745</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45745</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45745</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45745</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45745</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45745</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45745</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45745</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45745</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45745</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45745</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45745</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45745</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45745</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45745</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45745</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45745</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45745</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45745</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45745</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45745</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45745</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45745</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45745</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45745</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45745</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45745</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45745</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45745</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45745</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45745</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45745</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45745</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45745</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45745</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45745</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45745</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45745</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45745</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45745</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45745</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45745</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45745</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45745</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45745</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45745</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45745</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45745</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45745</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45745</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45745</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45745</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45745</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45745</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45745</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45745</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45745</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45745</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45745</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45745</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45745</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45745</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45745</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45745</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45745</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45745</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45745</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45745</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45745</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45745</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45745</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45745</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45745</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45745</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45745</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45745</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45745</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45745</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45745</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45745</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45745</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45745</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45745</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45745</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45745</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45745</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45745</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45745</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45745</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45745</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45745</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45745</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45745</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45745</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45745</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45745</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45745</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45745</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45745</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45745</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45745</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45745</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45745</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45745</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45745</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45745</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45745</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45745</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45745</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45745</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45745</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45745</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45745</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45745</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45745</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45745</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45745</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45745</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45745</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45745</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45745</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45745</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45745</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45745</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45745</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45745</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45745</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45745</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45745</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45745</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45745</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45745</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45745</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45745</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45745</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45745</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45745</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45745</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45745</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45745</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45745</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45745</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45745</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45745</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45745</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45745</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45745</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45745</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45745</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45745</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45745</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45745</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45745</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45745</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45745</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45745</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45745</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45745</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45745</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45745</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45745</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45745</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45745</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45745</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45745</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45745</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45745</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45745</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45745</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45745</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45745</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45745</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45745</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45745</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45745</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45745</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45745</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45745</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45745</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45745</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45745</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45745</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45745</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45745</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45745</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45745</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45745</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45745</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45745</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45745</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45745</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45745</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45745</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45745</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45745</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45745</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45745</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45745</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45745</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45745</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45745</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45745</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45745</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45745</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45745</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45745</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45745</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45745</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45745</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45745</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45745</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45745</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45745</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45745</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45745</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45745</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45745</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45745</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45745</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45745</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45745</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45745</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45745</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45745</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45745</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45745</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45745</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45745</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45745</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45745</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45745</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45745</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45745</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45745</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45745</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45745</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45745</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45745</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45745</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45745</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45745</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45745</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45745</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45745</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45745</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45745</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45745</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45745</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45745</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45745</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45745</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45745</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45745</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45745</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45745</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45745</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45745</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45745</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45745</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45745</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45745</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45745</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45745</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45745</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45745</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45745</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45745</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45745</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45745</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45745</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45745</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45745</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45745</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45745</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45745</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45745</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45745</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45745</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45745</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45745</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45745</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45745</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45745</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45745</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45745</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45745</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45745</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45745</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45745</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45745</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45745</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45745</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45745</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45745</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45745</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45745</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45745</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45745</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45745</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45745</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45745</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45745</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45745</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45745</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45745</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45745</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45745</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45745</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45745</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45745</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45745</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45745</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45745</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45745</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45745</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45745</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45745</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45745</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45745</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45745</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45745</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45745</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45745</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45745</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45745</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45745</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45745</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45745</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45745</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45745</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45745</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45745</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45745</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45745</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45745</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45745</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45745</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45745</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45745</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45745</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45745</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45745</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45745</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45745</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45745</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45745</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45745</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45745</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45745</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45745</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45745</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45745</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45745</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45745</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45745</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45745</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45745</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45745</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45745</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45745</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45745</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45745</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45745</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45745</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45745</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45745</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45745</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45745</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45745</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45745</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45745</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45745</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45745</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45745</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45745</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45745</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45745</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45745</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45745</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45745</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45745</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45745</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45745</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45745</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45745</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45745</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45745</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45745</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45745</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45745</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45745</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45745</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45745</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45745</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45745</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45745</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45745</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45745</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45745</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45745</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45745</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45745</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45745</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45745</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45745</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45745</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45745</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45745</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45745</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45745</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45745</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45745</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45745</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45745</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45745</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45745</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45745</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45745</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45745</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45745</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45745</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45745</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45745</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45745</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45745</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45745</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45745</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45745</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45745</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45745</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45745</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45745</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45745</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45745</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45745</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45745</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45745</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45745</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45745</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45745</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45745</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45745</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45745</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45745</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45745</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45745</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45745</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45745</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45745</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45745</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45745</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45745</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45745</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45745</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45745</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45745</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45745</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45745</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45745</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45745</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45745</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45745</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45745</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45745</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45745</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45745</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45745</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45745</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45745</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45745</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45745</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45745</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45745</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45745</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45745</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45745</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45745</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45745</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45745</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45745</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45745</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45745</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45745</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45745</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45745</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45745</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45745</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45745</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45745</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45745</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45745</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45745</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45745</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45745</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45745</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45745</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45745</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45745</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45745</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45745</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45745</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45745</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45745</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45745</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45745</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45745</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45745</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45745</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45745</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45745</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45745</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45745</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45745</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45745</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45745</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45745</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45745</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45745</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45745</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45745</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45745</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45745</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45745</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45745</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45745</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45745</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45745</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45745</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45745</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45745</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45745</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45745</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45745</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45745</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45745</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45745</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45745</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45745</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45745</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45745</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45745</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45745</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45745</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45745</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45745</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45745</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45745</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45745</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45745</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45745</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45745</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45745</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45745</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45745</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45745</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45745</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45745</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45745</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45745</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45745</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45745</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45745</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45745</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45745</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45745</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45745</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45745</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45745</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45745</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45745</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45745</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45745</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45745</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45745</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45745</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45745</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45745</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45745</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45745</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45745</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45745</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45745</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45745</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45745</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45745</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45745</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45745</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45745</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45745</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45745</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45745</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45745</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45745</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45745</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45745</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45745</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45745</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45745</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45745</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45745</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45745</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45745</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45745</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45745</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45745</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45745</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45745</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45745</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45745</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45745</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45745</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45745</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45745</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45745</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45745</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45745</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45745</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45745</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45745</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45745</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45745</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45745</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45745</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45745</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45745</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45745</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45745</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45745</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45745</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45745</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45745</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45745</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45745</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45745</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45745</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45745</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45745</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45745</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45745</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45745</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45745</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45745</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45745</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45745</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45745</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45745</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45745</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45745</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45745</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45745</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45745</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45745</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45745</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45745</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45745</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45745</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45745</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45745</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45745</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45745</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45745</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45745</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45745</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45745</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45745</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45745</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45745</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45745</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45745</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45745</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45745</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45745</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45745</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45745</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45745</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45745</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45745</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45745</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45745</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45745</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45745</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45745</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45745</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45745</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45745</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45745</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45745</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45745</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45745</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45745</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45745</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45745</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45745</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45745</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45745</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45745</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45745</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45745</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45745</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45745</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45745</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45745</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45745</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45745</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45745</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45745</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45745</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45745</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45745</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45745</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45745</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45745</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45745</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45745</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45745</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45745</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45745</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45745</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45745</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45745</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45745</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45745</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45745</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45745</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45745</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45745</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45745</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45745</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45745</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45745</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45745</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45745</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45745</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45745</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45745</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45745</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45745</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45745</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45745</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45745</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45745</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45745</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45745</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45745</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45745</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45745</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45745</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45745</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45745</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45745</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45745</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45745</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45745</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45745</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45745</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45745</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45745</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45745</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45745</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45745</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45745</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45745</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45745</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45745</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45745</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45745</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45745</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45745</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45745</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45745</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45745</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45745</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45745</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45745</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45745</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45745</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45745</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45745</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45745</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45745</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45745</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45745</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45745</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45745</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45745</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45745</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45745</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45745</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45745</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45745</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45745</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45745</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45745</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45745</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45745</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45745</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45745</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45745</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45745</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45745</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45745</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45745</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45745</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45745</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45745</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45745</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45745</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45745</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45745</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45745</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45745</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45745</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45745</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45745</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45745</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45745</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45745</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45745</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45745</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45745</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45745</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45745</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45745</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45745</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45745</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45745</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45745</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45745</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45745</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45745</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45745</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45745</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45745</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45745</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45745</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45745</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45745</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45745</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45745</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45745</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45745</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45745</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45745</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45745</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45745</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45745</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45745</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45745</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45745</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45745</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45745</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45745</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45745</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45745</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45745</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45745</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45745</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45745</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45745</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45745</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45745</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45745</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45745</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45745</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45745</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45745</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45745</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45745</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45745</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45745</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45745</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45745</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45745</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45745</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45745</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45745</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45745</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45745</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45745</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45745</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45745</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45745</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45745</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45745</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45745</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45745</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45745</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45745</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45745</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45745</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45745</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45745</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45745</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45745</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45745</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45745</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45745</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45745</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45745</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45745</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45745</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45745</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45745</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45745</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45745</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45745</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45745</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45745</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45745</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45745</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45745</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45745</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45745</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45745</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45745</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45745</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45745</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45745</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45745</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45745</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45745</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45745</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45745</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45745</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45745</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45745</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45745</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45745</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45745</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45745</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45745</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45745</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45745</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45745</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45745</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45745</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45745</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45745</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45745</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45745</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45745</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45745</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45745</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45745</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45745</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45745</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45745</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45745</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45745</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45745</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45745</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45745</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45745</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45745</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45745</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45745</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45745</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45745</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45745</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45745</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45745</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45745</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45745</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45745</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45745</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45745</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45745</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45745</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45745</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45745</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45745</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45745</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45745</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45745</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45745</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45745</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45745</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45745</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45745</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45745</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45745</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45745</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45745</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45745</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45745</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45745</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45745</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45745</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45745</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45745</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45745</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45745</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45745</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45745</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45745</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45745</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45745</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45745</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45745</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45745</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45745</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45745</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45745</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45745</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45745</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45745</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45745</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45745</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45745</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45745</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45745</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45745</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45745</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45745</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45745</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45745</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45745</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45745</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45745</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45745</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45745</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45745</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45745</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45745</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45745</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45745</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45745</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45745</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45745</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45745</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45745</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45745</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45745</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45745</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45745</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45745</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45745</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45745</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45745</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45745</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45745</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45745</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45745</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45745</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45745</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45745</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45745</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45745</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45745</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45745</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45745</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45745</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45745</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45745</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45745</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45745</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45745</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45745</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45745</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45745</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45745</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45745</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45745</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45745</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45745</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45745</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45745</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45745</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45745</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45745</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45745</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45745</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45745</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45745</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45745</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45745</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45745</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45745</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45745</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45745</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45745</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45745</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45745</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45745</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45745</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45745</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45745</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45745</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45745</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45745</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45745</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45745</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45745</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45745</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45745</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45745</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45745</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45745</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45745</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45745</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45745</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45745</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45745</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45745</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45745</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45745</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45745</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45745</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45745</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45745</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45745</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45745</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45745</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45745</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45745</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45745</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45745</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45745</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45745</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45745</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45745</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45745</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45745</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45745</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45745</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45745</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45745</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45745</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45745</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9382-2025</t>
        </is>
      </c>
      <c r="B2375" s="1" t="n">
        <v>45715</v>
      </c>
      <c r="C2375" s="1" t="n">
        <v>45745</v>
      </c>
      <c r="D2375" t="inlineStr">
        <is>
          <t>VÄSTERNORRLANDS LÄN</t>
        </is>
      </c>
      <c r="E2375" t="inlineStr">
        <is>
          <t>ÅNGE</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10025-2025</t>
        </is>
      </c>
      <c r="B2376" s="1" t="n">
        <v>45719</v>
      </c>
      <c r="C2376" s="1" t="n">
        <v>45745</v>
      </c>
      <c r="D2376" t="inlineStr">
        <is>
          <t>VÄSTERNORRLANDS LÄN</t>
        </is>
      </c>
      <c r="E2376" t="inlineStr">
        <is>
          <t>ÅNGE</t>
        </is>
      </c>
      <c r="F2376" t="inlineStr">
        <is>
          <t>SCA</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10017-2025</t>
        </is>
      </c>
      <c r="B2377" s="1" t="n">
        <v>45719</v>
      </c>
      <c r="C2377" s="1" t="n">
        <v>45745</v>
      </c>
      <c r="D2377" t="inlineStr">
        <is>
          <t>VÄSTERNORRLANDS LÄN</t>
        </is>
      </c>
      <c r="E2377" t="inlineStr">
        <is>
          <t>ÅNGE</t>
        </is>
      </c>
      <c r="F2377" t="inlineStr">
        <is>
          <t>SCA</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45745</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45745</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45745</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45745</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45745</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45745</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45745</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11399-2025</t>
        </is>
      </c>
      <c r="B2385" s="1" t="n">
        <v>45726</v>
      </c>
      <c r="C2385" s="1" t="n">
        <v>45745</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11871-2025</t>
        </is>
      </c>
      <c r="B2386" s="1" t="n">
        <v>45728</v>
      </c>
      <c r="C2386" s="1" t="n">
        <v>45745</v>
      </c>
      <c r="D2386" t="inlineStr">
        <is>
          <t>VÄSTERNORRLANDS LÄN</t>
        </is>
      </c>
      <c r="E2386" t="inlineStr">
        <is>
          <t>ÅNGE</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11978-2025</t>
        </is>
      </c>
      <c r="B2387" s="1" t="n">
        <v>45728</v>
      </c>
      <c r="C2387" s="1" t="n">
        <v>45745</v>
      </c>
      <c r="D2387" t="inlineStr">
        <is>
          <t>VÄSTERNORRLANDS LÄN</t>
        </is>
      </c>
      <c r="E2387" t="inlineStr">
        <is>
          <t>ÅNGE</t>
        </is>
      </c>
      <c r="F2387" t="inlineStr">
        <is>
          <t>SCA</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11882-2025</t>
        </is>
      </c>
      <c r="B2388" s="1" t="n">
        <v>45728</v>
      </c>
      <c r="C2388" s="1" t="n">
        <v>45745</v>
      </c>
      <c r="D2388" t="inlineStr">
        <is>
          <t>VÄSTERNORRLANDS LÄN</t>
        </is>
      </c>
      <c r="E2388" t="inlineStr">
        <is>
          <t>ÅNGE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45745</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45745</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45745</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45745</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12806-2025</t>
        </is>
      </c>
      <c r="B2393" s="1" t="n">
        <v>45733</v>
      </c>
      <c r="C2393" s="1" t="n">
        <v>45745</v>
      </c>
      <c r="D2393" t="inlineStr">
        <is>
          <t>VÄSTERNORRLANDS LÄN</t>
        </is>
      </c>
      <c r="E2393" t="inlineStr">
        <is>
          <t>ÅNGE</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12807-2025</t>
        </is>
      </c>
      <c r="B2394" s="1" t="n">
        <v>45733</v>
      </c>
      <c r="C2394" s="1" t="n">
        <v>45745</v>
      </c>
      <c r="D2394" t="inlineStr">
        <is>
          <t>VÄSTERNORRLANDS LÄN</t>
        </is>
      </c>
      <c r="E2394" t="inlineStr">
        <is>
          <t>ÅNGE</t>
        </is>
      </c>
      <c r="F2394" t="inlineStr">
        <is>
          <t>SCA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45745</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45745</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13708-2025</t>
        </is>
      </c>
      <c r="B2397" s="1" t="n">
        <v>45737</v>
      </c>
      <c r="C2397" s="1" t="n">
        <v>45745</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14313-2025</t>
        </is>
      </c>
      <c r="B2398" s="1" t="n">
        <v>45740</v>
      </c>
      <c r="C2398" s="1" t="n">
        <v>45745</v>
      </c>
      <c r="D2398" t="inlineStr">
        <is>
          <t>VÄSTERNORRLANDS LÄN</t>
        </is>
      </c>
      <c r="E2398" t="inlineStr">
        <is>
          <t>ÅNGE</t>
        </is>
      </c>
      <c r="F2398" t="inlineStr">
        <is>
          <t>SCA</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14530-2025</t>
        </is>
      </c>
      <c r="B2399" s="1" t="n">
        <v>45741</v>
      </c>
      <c r="C2399" s="1" t="n">
        <v>45745</v>
      </c>
      <c r="D2399" t="inlineStr">
        <is>
          <t>VÄSTERNORRLANDS LÄN</t>
        </is>
      </c>
      <c r="E2399" t="inlineStr">
        <is>
          <t>ÅNGE</t>
        </is>
      </c>
      <c r="F2399" t="inlineStr">
        <is>
          <t>SCA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14751-2025</t>
        </is>
      </c>
      <c r="B2400" s="1" t="n">
        <v>45742</v>
      </c>
      <c r="C2400" s="1" t="n">
        <v>45745</v>
      </c>
      <c r="D2400" t="inlineStr">
        <is>
          <t>VÄSTERNORRLANDS LÄN</t>
        </is>
      </c>
      <c r="E2400" t="inlineStr">
        <is>
          <t>ÅNGE</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14663-2025</t>
        </is>
      </c>
      <c r="B2401" s="1" t="n">
        <v>45742</v>
      </c>
      <c r="C2401" s="1" t="n">
        <v>45745</v>
      </c>
      <c r="D2401" t="inlineStr">
        <is>
          <t>VÄSTERNORRLANDS LÄN</t>
        </is>
      </c>
      <c r="E2401" t="inlineStr">
        <is>
          <t>ÅNGE</t>
        </is>
      </c>
      <c r="F2401" t="inlineStr">
        <is>
          <t>Naturvårdsverket</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14673-2025</t>
        </is>
      </c>
      <c r="B2402" s="1" t="n">
        <v>45742</v>
      </c>
      <c r="C2402" s="1" t="n">
        <v>45745</v>
      </c>
      <c r="D2402" t="inlineStr">
        <is>
          <t>VÄSTERNORRLANDS LÄN</t>
        </is>
      </c>
      <c r="E2402" t="inlineStr">
        <is>
          <t>ÅNGE</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15032-2025</t>
        </is>
      </c>
      <c r="B2403" s="1" t="n">
        <v>45743</v>
      </c>
      <c r="C2403" s="1" t="n">
        <v>45745</v>
      </c>
      <c r="D2403" t="inlineStr">
        <is>
          <t>VÄSTERNORRLANDS LÄN</t>
        </is>
      </c>
      <c r="E2403" t="inlineStr">
        <is>
          <t>ÅNGE</t>
        </is>
      </c>
      <c r="F2403" t="inlineStr">
        <is>
          <t>SCA</t>
        </is>
      </c>
      <c r="G2403" t="n">
        <v>9.699999999999999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14997-2025</t>
        </is>
      </c>
      <c r="B2404" s="1" t="n">
        <v>45743</v>
      </c>
      <c r="C2404" s="1" t="n">
        <v>45745</v>
      </c>
      <c r="D2404" t="inlineStr">
        <is>
          <t>VÄSTERNORRLANDS LÄN</t>
        </is>
      </c>
      <c r="E2404" t="inlineStr">
        <is>
          <t>ÅNGE</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14976-2025</t>
        </is>
      </c>
      <c r="B2405" s="1" t="n">
        <v>45743</v>
      </c>
      <c r="C2405" s="1" t="n">
        <v>45745</v>
      </c>
      <c r="D2405" t="inlineStr">
        <is>
          <t>VÄSTERNORRLANDS LÄN</t>
        </is>
      </c>
      <c r="E2405" t="inlineStr">
        <is>
          <t>ÅNGE</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14979-2025</t>
        </is>
      </c>
      <c r="B2406" s="1" t="n">
        <v>45743</v>
      </c>
      <c r="C2406" s="1" t="n">
        <v>45745</v>
      </c>
      <c r="D2406" t="inlineStr">
        <is>
          <t>VÄSTERNORRLANDS LÄN</t>
        </is>
      </c>
      <c r="E2406" t="inlineStr">
        <is>
          <t>ÅNGE</t>
        </is>
      </c>
      <c r="F2406" t="inlineStr">
        <is>
          <t>SCA</t>
        </is>
      </c>
      <c r="G2406" t="n">
        <v>22.9</v>
      </c>
      <c r="H2406" t="n">
        <v>0</v>
      </c>
      <c r="I2406" t="n">
        <v>0</v>
      </c>
      <c r="J2406" t="n">
        <v>0</v>
      </c>
      <c r="K2406" t="n">
        <v>0</v>
      </c>
      <c r="L2406" t="n">
        <v>0</v>
      </c>
      <c r="M2406" t="n">
        <v>0</v>
      </c>
      <c r="N2406" t="n">
        <v>0</v>
      </c>
      <c r="O2406" t="n">
        <v>0</v>
      </c>
      <c r="P2406" t="n">
        <v>0</v>
      </c>
      <c r="Q2406" t="n">
        <v>0</v>
      </c>
      <c r="R2406" s="2" t="inlineStr"/>
    </row>
    <row r="2407" ht="15" customHeight="1">
      <c r="A2407" t="inlineStr">
        <is>
          <t>A 14927-2025</t>
        </is>
      </c>
      <c r="B2407" s="1" t="n">
        <v>45743</v>
      </c>
      <c r="C2407" s="1" t="n">
        <v>45745</v>
      </c>
      <c r="D2407" t="inlineStr">
        <is>
          <t>VÄSTERNORRLANDS LÄN</t>
        </is>
      </c>
      <c r="E2407" t="inlineStr">
        <is>
          <t>ÅNGE</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14933-2025</t>
        </is>
      </c>
      <c r="B2408" s="1" t="n">
        <v>45743</v>
      </c>
      <c r="C2408" s="1" t="n">
        <v>45745</v>
      </c>
      <c r="D2408" t="inlineStr">
        <is>
          <t>VÄSTERNORRLANDS LÄN</t>
        </is>
      </c>
      <c r="E2408" t="inlineStr">
        <is>
          <t>ÅNGE</t>
        </is>
      </c>
      <c r="F2408" t="inlineStr">
        <is>
          <t>SCA</t>
        </is>
      </c>
      <c r="G2408" t="n">
        <v>2.9</v>
      </c>
      <c r="H2408" t="n">
        <v>0</v>
      </c>
      <c r="I2408" t="n">
        <v>0</v>
      </c>
      <c r="J2408" t="n">
        <v>0</v>
      </c>
      <c r="K2408" t="n">
        <v>0</v>
      </c>
      <c r="L2408" t="n">
        <v>0</v>
      </c>
      <c r="M2408" t="n">
        <v>0</v>
      </c>
      <c r="N2408" t="n">
        <v>0</v>
      </c>
      <c r="O2408" t="n">
        <v>0</v>
      </c>
      <c r="P2408" t="n">
        <v>0</v>
      </c>
      <c r="Q2408" t="n">
        <v>0</v>
      </c>
      <c r="R2408" s="2" t="inlineStr"/>
    </row>
    <row r="2409">
      <c r="A2409" t="inlineStr">
        <is>
          <t>A 15167-2025</t>
        </is>
      </c>
      <c r="B2409" s="1" t="n">
        <v>45744</v>
      </c>
      <c r="C2409" s="1" t="n">
        <v>45745</v>
      </c>
      <c r="D2409" t="inlineStr">
        <is>
          <t>VÄSTERNORRLANDS LÄN</t>
        </is>
      </c>
      <c r="E2409" t="inlineStr">
        <is>
          <t>ÅNGE</t>
        </is>
      </c>
      <c r="F2409" t="inlineStr">
        <is>
          <t>SCA</t>
        </is>
      </c>
      <c r="G2409" t="n">
        <v>6.4</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2025-03-29T18:01:18Z</dcterms:created>
  <dcterms:modified xmlns:dcterms="http://purl.org/dc/terms/" xmlns:xsi="http://www.w3.org/2001/XMLSchema-instance" xsi:type="dcterms:W3CDTF">2025-03-29T18:01:20Z</dcterms:modified>
</cp:coreProperties>
</file>