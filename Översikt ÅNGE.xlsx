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45884</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45884</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45884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45884</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45884</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45884</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45884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45884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45884</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23965-2025</t>
        </is>
      </c>
      <c r="B28" s="1" t="n">
        <v>45796</v>
      </c>
      <c r="C28" s="1" t="n">
        <v>45884</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62868-2020</t>
        </is>
      </c>
      <c r="B29" s="1" t="n">
        <v>44161</v>
      </c>
      <c r="C29" s="1" t="n">
        <v>45884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64520-2023</t>
        </is>
      </c>
      <c r="B30" s="1" t="n">
        <v>45281</v>
      </c>
      <c r="C30" s="1" t="n">
        <v>45884</v>
      </c>
      <c r="D30" t="inlineStr">
        <is>
          <t>VÄSTERNORRLANDS LÄN</t>
        </is>
      </c>
      <c r="E30" t="inlineStr">
        <is>
          <t>ÅNGE</t>
        </is>
      </c>
      <c r="G30" t="n">
        <v>68.5</v>
      </c>
      <c r="H30" t="n">
        <v>1</v>
      </c>
      <c r="I30" t="n">
        <v>1</v>
      </c>
      <c r="J30" t="n">
        <v>8</v>
      </c>
      <c r="K30" t="n">
        <v>4</v>
      </c>
      <c r="L30" t="n">
        <v>1</v>
      </c>
      <c r="M30" t="n">
        <v>0</v>
      </c>
      <c r="N30" t="n">
        <v>0</v>
      </c>
      <c r="O30" t="n">
        <v>13</v>
      </c>
      <c r="P30" t="n">
        <v>5</v>
      </c>
      <c r="Q30" t="n">
        <v>14</v>
      </c>
      <c r="R30" s="2" t="inlineStr">
        <is>
          <t>Kromporing
Fläckporing
Gräddporing
Knärot
Rynkskinn
Dvärgbägarlav
Lunglav
Mörk kolflarnlav
Nordtagging
Rosenticka
Skrovlig taggsvamp
Vedflamlav
Vedtrappmossa
Blodticka</t>
        </is>
      </c>
      <c r="S30">
        <f>HYPERLINK("https://klasma.github.io/Logging_2260/artfynd/A 64520-2023 artfynd.xlsx", "A 64520-2023")</f>
        <v/>
      </c>
      <c r="T30">
        <f>HYPERLINK("https://klasma.github.io/Logging_2260/kartor/A 64520-2023 karta.png", "A 64520-2023")</f>
        <v/>
      </c>
      <c r="U30">
        <f>HYPERLINK("https://klasma.github.io/Logging_2260/knärot/A 64520-2023 karta knärot.png", "A 64520-2023")</f>
        <v/>
      </c>
      <c r="V30">
        <f>HYPERLINK("https://klasma.github.io/Logging_2260/klagomål/A 64520-2023 FSC-klagomål.docx", "A 64520-2023")</f>
        <v/>
      </c>
      <c r="W30">
        <f>HYPERLINK("https://klasma.github.io/Logging_2260/klagomålsmail/A 64520-2023 FSC-klagomål mail.docx", "A 64520-2023")</f>
        <v/>
      </c>
      <c r="X30">
        <f>HYPERLINK("https://klasma.github.io/Logging_2260/tillsyn/A 64520-2023 tillsynsbegäran.docx", "A 64520-2023")</f>
        <v/>
      </c>
      <c r="Y30">
        <f>HYPERLINK("https://klasma.github.io/Logging_2260/tillsynsmail/A 64520-2023 tillsynsbegäran mail.docx", "A 64520-2023")</f>
        <v/>
      </c>
    </row>
    <row r="31" ht="15" customHeight="1">
      <c r="A31" t="inlineStr">
        <is>
          <t>A 64944-2023</t>
        </is>
      </c>
      <c r="B31" s="1" t="n">
        <v>45282</v>
      </c>
      <c r="C31" s="1" t="n">
        <v>45884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45884</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45884</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45884</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45884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45884</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45884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45884</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25323-2023</t>
        </is>
      </c>
      <c r="B39" s="1" t="n">
        <v>45086</v>
      </c>
      <c r="C39" s="1" t="n">
        <v>45884</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30840-2023</t>
        </is>
      </c>
      <c r="B40" s="1" t="n">
        <v>45112</v>
      </c>
      <c r="C40" s="1" t="n">
        <v>45884</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26361-2023</t>
        </is>
      </c>
      <c r="B41" s="1" t="n">
        <v>45091</v>
      </c>
      <c r="C41" s="1" t="n">
        <v>45884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39496-2024</t>
        </is>
      </c>
      <c r="B42" s="1" t="n">
        <v>45551</v>
      </c>
      <c r="C42" s="1" t="n">
        <v>45884</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30474-2025</t>
        </is>
      </c>
      <c r="B43" s="1" t="n">
        <v>45828.34430555555</v>
      </c>
      <c r="C43" s="1" t="n">
        <v>45884</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24054-2025</t>
        </is>
      </c>
      <c r="B44" s="1" t="n">
        <v>45796.50240740741</v>
      </c>
      <c r="C44" s="1" t="n">
        <v>45884</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42962-2024</t>
        </is>
      </c>
      <c r="B45" s="1" t="n">
        <v>45567.37194444444</v>
      </c>
      <c r="C45" s="1" t="n">
        <v>45884</v>
      </c>
      <c r="D45" t="inlineStr">
        <is>
          <t>VÄSTERNORRLANDS LÄN</t>
        </is>
      </c>
      <c r="E45" t="inlineStr">
        <is>
          <t>ÅNGE</t>
        </is>
      </c>
      <c r="F45" t="inlineStr">
        <is>
          <t>SCA</t>
        </is>
      </c>
      <c r="G45" t="n">
        <v>11.2</v>
      </c>
      <c r="H45" t="n">
        <v>0</v>
      </c>
      <c r="I45" t="n">
        <v>0</v>
      </c>
      <c r="J45" t="n">
        <v>8</v>
      </c>
      <c r="K45" t="n">
        <v>1</v>
      </c>
      <c r="L45" t="n">
        <v>0</v>
      </c>
      <c r="M45" t="n">
        <v>0</v>
      </c>
      <c r="N45" t="n">
        <v>0</v>
      </c>
      <c r="O45" t="n">
        <v>9</v>
      </c>
      <c r="P45" t="n">
        <v>1</v>
      </c>
      <c r="Q45" t="n">
        <v>9</v>
      </c>
      <c r="R45" s="2" t="inlineStr">
        <is>
          <t>Gräddporing
Dvärgbägarlav
Lunglav
Mörk kolflarnlav
Vedflamlav
Vedskivlav
Vedtrappmossa
Violettgrå tagellav
Vitplätt</t>
        </is>
      </c>
      <c r="S45">
        <f>HYPERLINK("https://klasma.github.io/Logging_2260/artfynd/A 42962-2024 artfynd.xlsx", "A 42962-2024")</f>
        <v/>
      </c>
      <c r="T45">
        <f>HYPERLINK("https://klasma.github.io/Logging_2260/kartor/A 42962-2024 karta.png", "A 42962-2024")</f>
        <v/>
      </c>
      <c r="V45">
        <f>HYPERLINK("https://klasma.github.io/Logging_2260/klagomål/A 42962-2024 FSC-klagomål.docx", "A 42962-2024")</f>
        <v/>
      </c>
      <c r="W45">
        <f>HYPERLINK("https://klasma.github.io/Logging_2260/klagomålsmail/A 42962-2024 FSC-klagomål mail.docx", "A 42962-2024")</f>
        <v/>
      </c>
      <c r="X45">
        <f>HYPERLINK("https://klasma.github.io/Logging_2260/tillsyn/A 42962-2024 tillsynsbegäran.docx", "A 42962-2024")</f>
        <v/>
      </c>
      <c r="Y45">
        <f>HYPERLINK("https://klasma.github.io/Logging_2260/tillsynsmail/A 42962-2024 tillsynsbegäran mail.docx", "A 42962-2024")</f>
        <v/>
      </c>
    </row>
    <row r="46" ht="15" customHeight="1">
      <c r="A46" t="inlineStr">
        <is>
          <t>A 20694-2022</t>
        </is>
      </c>
      <c r="B46" s="1" t="n">
        <v>44700</v>
      </c>
      <c r="C46" s="1" t="n">
        <v>45884</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34519-2022</t>
        </is>
      </c>
      <c r="B47" s="1" t="n">
        <v>44792</v>
      </c>
      <c r="C47" s="1" t="n">
        <v>45884</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44607-2021</t>
        </is>
      </c>
      <c r="B48" s="1" t="n">
        <v>44435</v>
      </c>
      <c r="C48" s="1" t="n">
        <v>45884</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45884</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34786-2021</t>
        </is>
      </c>
      <c r="B50" s="1" t="n">
        <v>44382</v>
      </c>
      <c r="C50" s="1" t="n">
        <v>45884</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33783-2025</t>
        </is>
      </c>
      <c r="B51" s="1" t="n">
        <v>45842.40699074074</v>
      </c>
      <c r="C51" s="1" t="n">
        <v>45884</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26473-2025</t>
        </is>
      </c>
      <c r="B52" s="1" t="n">
        <v>45807</v>
      </c>
      <c r="C52" s="1" t="n">
        <v>45884</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57843-2024</t>
        </is>
      </c>
      <c r="B53" s="1" t="n">
        <v>45631</v>
      </c>
      <c r="C53" s="1" t="n">
        <v>45884</v>
      </c>
      <c r="D53" t="inlineStr">
        <is>
          <t>VÄSTERNORRLANDS LÄN</t>
        </is>
      </c>
      <c r="E53" t="inlineStr">
        <is>
          <t>ÅNGE</t>
        </is>
      </c>
      <c r="G53" t="n">
        <v>6</v>
      </c>
      <c r="H53" t="n">
        <v>2</v>
      </c>
      <c r="I53" t="n">
        <v>3</v>
      </c>
      <c r="J53" t="n">
        <v>3</v>
      </c>
      <c r="K53" t="n">
        <v>0</v>
      </c>
      <c r="L53" t="n">
        <v>0</v>
      </c>
      <c r="M53" t="n">
        <v>0</v>
      </c>
      <c r="N53" t="n">
        <v>0</v>
      </c>
      <c r="O53" t="n">
        <v>3</v>
      </c>
      <c r="P53" t="n">
        <v>0</v>
      </c>
      <c r="Q53" t="n">
        <v>8</v>
      </c>
      <c r="R53" s="2" t="inlineStr">
        <is>
          <t>Garnlav
Lunglav
Skrovellav
Bårdlav
Luddlav
Stuplav
Fläcknycklar
Revlummer</t>
        </is>
      </c>
      <c r="S53">
        <f>HYPERLINK("https://klasma.github.io/Logging_2260/artfynd/A 57843-2024 artfynd.xlsx", "A 57843-2024")</f>
        <v/>
      </c>
      <c r="T53">
        <f>HYPERLINK("https://klasma.github.io/Logging_2260/kartor/A 57843-2024 karta.png", "A 57843-2024")</f>
        <v/>
      </c>
      <c r="V53">
        <f>HYPERLINK("https://klasma.github.io/Logging_2260/klagomål/A 57843-2024 FSC-klagomål.docx", "A 57843-2024")</f>
        <v/>
      </c>
      <c r="W53">
        <f>HYPERLINK("https://klasma.github.io/Logging_2260/klagomålsmail/A 57843-2024 FSC-klagomål mail.docx", "A 57843-2024")</f>
        <v/>
      </c>
      <c r="X53">
        <f>HYPERLINK("https://klasma.github.io/Logging_2260/tillsyn/A 57843-2024 tillsynsbegäran.docx", "A 57843-2024")</f>
        <v/>
      </c>
      <c r="Y53">
        <f>HYPERLINK("https://klasma.github.io/Logging_2260/tillsynsmail/A 57843-2024 tillsynsbegäran mail.docx", "A 57843-2024")</f>
        <v/>
      </c>
    </row>
    <row r="54" ht="15" customHeight="1">
      <c r="A54" t="inlineStr">
        <is>
          <t>A 22737-2023</t>
        </is>
      </c>
      <c r="B54" s="1" t="n">
        <v>45071</v>
      </c>
      <c r="C54" s="1" t="n">
        <v>45884</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10086-2023</t>
        </is>
      </c>
      <c r="B55" s="1" t="n">
        <v>44985</v>
      </c>
      <c r="C55" s="1" t="n">
        <v>45884</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39065-2023</t>
        </is>
      </c>
      <c r="B56" s="1" t="n">
        <v>45163</v>
      </c>
      <c r="C56" s="1" t="n">
        <v>45884</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40545-2024</t>
        </is>
      </c>
      <c r="B57" s="1" t="n">
        <v>45555</v>
      </c>
      <c r="C57" s="1" t="n">
        <v>45884</v>
      </c>
      <c r="D57" t="inlineStr">
        <is>
          <t>VÄSTERNORRLANDS LÄN</t>
        </is>
      </c>
      <c r="E57" t="inlineStr">
        <is>
          <t>ÅNGE</t>
        </is>
      </c>
      <c r="F57" t="inlineStr">
        <is>
          <t>SCA</t>
        </is>
      </c>
      <c r="G57" t="n">
        <v>9.1</v>
      </c>
      <c r="H57" t="n">
        <v>3</v>
      </c>
      <c r="I57" t="n">
        <v>1</v>
      </c>
      <c r="J57" t="n">
        <v>6</v>
      </c>
      <c r="K57" t="n">
        <v>1</v>
      </c>
      <c r="L57" t="n">
        <v>0</v>
      </c>
      <c r="M57" t="n">
        <v>0</v>
      </c>
      <c r="N57" t="n">
        <v>0</v>
      </c>
      <c r="O57" t="n">
        <v>7</v>
      </c>
      <c r="P57" t="n">
        <v>1</v>
      </c>
      <c r="Q57" t="n">
        <v>8</v>
      </c>
      <c r="R57" s="2" t="inlineStr">
        <is>
          <t>Knärot
Garnlav
Granticka
Lunglav
Talltita
Tretåig hackspett
Ullticka
Stuplav</t>
        </is>
      </c>
      <c r="S57">
        <f>HYPERLINK("https://klasma.github.io/Logging_2260/artfynd/A 40545-2024 artfynd.xlsx", "A 40545-2024")</f>
        <v/>
      </c>
      <c r="T57">
        <f>HYPERLINK("https://klasma.github.io/Logging_2260/kartor/A 40545-2024 karta.png", "A 40545-2024")</f>
        <v/>
      </c>
      <c r="U57">
        <f>HYPERLINK("https://klasma.github.io/Logging_2260/knärot/A 40545-2024 karta knärot.png", "A 40545-2024")</f>
        <v/>
      </c>
      <c r="V57">
        <f>HYPERLINK("https://klasma.github.io/Logging_2260/klagomål/A 40545-2024 FSC-klagomål.docx", "A 40545-2024")</f>
        <v/>
      </c>
      <c r="W57">
        <f>HYPERLINK("https://klasma.github.io/Logging_2260/klagomålsmail/A 40545-2024 FSC-klagomål mail.docx", "A 40545-2024")</f>
        <v/>
      </c>
      <c r="X57">
        <f>HYPERLINK("https://klasma.github.io/Logging_2260/tillsyn/A 40545-2024 tillsynsbegäran.docx", "A 40545-2024")</f>
        <v/>
      </c>
      <c r="Y57">
        <f>HYPERLINK("https://klasma.github.io/Logging_2260/tillsynsmail/A 40545-2024 tillsynsbegäran mail.docx", "A 40545-2024")</f>
        <v/>
      </c>
      <c r="Z57">
        <f>HYPERLINK("https://klasma.github.io/Logging_2260/fåglar/A 40545-2024 prioriterade fågelarter.docx", "A 40545-2024")</f>
        <v/>
      </c>
    </row>
    <row r="58" ht="15" customHeight="1">
      <c r="A58" t="inlineStr">
        <is>
          <t>A 31113-2025</t>
        </is>
      </c>
      <c r="B58" s="1" t="n">
        <v>45832.61501157407</v>
      </c>
      <c r="C58" s="1" t="n">
        <v>45884</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25898-2022</t>
        </is>
      </c>
      <c r="B59" s="1" t="n">
        <v>44733</v>
      </c>
      <c r="C59" s="1" t="n">
        <v>45884</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45884</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45884</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45884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45884</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45884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45884</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45884</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55176-2024</t>
        </is>
      </c>
      <c r="B67" s="1" t="n">
        <v>45621</v>
      </c>
      <c r="C67" s="1" t="n">
        <v>45884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45884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31509-2024</t>
        </is>
      </c>
      <c r="B69" s="1" t="n">
        <v>45505</v>
      </c>
      <c r="C69" s="1" t="n">
        <v>45884</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27955-2021</t>
        </is>
      </c>
      <c r="B70" s="1" t="n">
        <v>44354</v>
      </c>
      <c r="C70" s="1" t="n">
        <v>45884</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3348-2021</t>
        </is>
      </c>
      <c r="B71" s="1" t="n">
        <v>44217</v>
      </c>
      <c r="C71" s="1" t="n">
        <v>45884</v>
      </c>
      <c r="D71" t="inlineStr">
        <is>
          <t>VÄSTERNORRLANDS LÄN</t>
        </is>
      </c>
      <c r="E71" t="inlineStr">
        <is>
          <t>ÅNGE</t>
        </is>
      </c>
      <c r="F71" t="inlineStr">
        <is>
          <t>SCA</t>
        </is>
      </c>
      <c r="G71" t="n">
        <v>6.3</v>
      </c>
      <c r="H71" t="n">
        <v>1</v>
      </c>
      <c r="I71" t="n">
        <v>1</v>
      </c>
      <c r="J71" t="n">
        <v>5</v>
      </c>
      <c r="K71" t="n">
        <v>0</v>
      </c>
      <c r="L71" t="n">
        <v>0</v>
      </c>
      <c r="M71" t="n">
        <v>0</v>
      </c>
      <c r="N71" t="n">
        <v>0</v>
      </c>
      <c r="O71" t="n">
        <v>5</v>
      </c>
      <c r="P71" t="n">
        <v>0</v>
      </c>
      <c r="Q71" t="n">
        <v>6</v>
      </c>
      <c r="R71" s="2" t="inlineStr">
        <is>
          <t>Gammelgransskål
Garnlav
Rosenticka
Tretåig hackspett
Vitgrynig nållav
Barkkornlav</t>
        </is>
      </c>
      <c r="S71">
        <f>HYPERLINK("https://klasma.github.io/Logging_2260/artfynd/A 3348-2021 artfynd.xlsx", "A 3348-2021")</f>
        <v/>
      </c>
      <c r="T71">
        <f>HYPERLINK("https://klasma.github.io/Logging_2260/kartor/A 3348-2021 karta.png", "A 3348-2021")</f>
        <v/>
      </c>
      <c r="V71">
        <f>HYPERLINK("https://klasma.github.io/Logging_2260/klagomål/A 3348-2021 FSC-klagomål.docx", "A 3348-2021")</f>
        <v/>
      </c>
      <c r="W71">
        <f>HYPERLINK("https://klasma.github.io/Logging_2260/klagomålsmail/A 3348-2021 FSC-klagomål mail.docx", "A 3348-2021")</f>
        <v/>
      </c>
      <c r="X71">
        <f>HYPERLINK("https://klasma.github.io/Logging_2260/tillsyn/A 3348-2021 tillsynsbegäran.docx", "A 3348-2021")</f>
        <v/>
      </c>
      <c r="Y71">
        <f>HYPERLINK("https://klasma.github.io/Logging_2260/tillsynsmail/A 3348-2021 tillsynsbegäran mail.docx", "A 3348-2021")</f>
        <v/>
      </c>
      <c r="Z71">
        <f>HYPERLINK("https://klasma.github.io/Logging_2260/fåglar/A 3348-2021 prioriterade fågelarter.docx", "A 3348-2021")</f>
        <v/>
      </c>
    </row>
    <row r="72" ht="15" customHeight="1">
      <c r="A72" t="inlineStr">
        <is>
          <t>A 34694-2023</t>
        </is>
      </c>
      <c r="B72" s="1" t="n">
        <v>45140.96324074074</v>
      </c>
      <c r="C72" s="1" t="n">
        <v>45884</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26363-2023</t>
        </is>
      </c>
      <c r="B73" s="1" t="n">
        <v>45091</v>
      </c>
      <c r="C73" s="1" t="n">
        <v>45884</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4130-2023</t>
        </is>
      </c>
      <c r="B74" s="1" t="n">
        <v>44952</v>
      </c>
      <c r="C74" s="1" t="n">
        <v>45884</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55147-2024</t>
        </is>
      </c>
      <c r="B75" s="1" t="n">
        <v>45621.49002314815</v>
      </c>
      <c r="C75" s="1" t="n">
        <v>45884</v>
      </c>
      <c r="D75" t="inlineStr">
        <is>
          <t>VÄSTERNORRLANDS LÄN</t>
        </is>
      </c>
      <c r="E75" t="inlineStr">
        <is>
          <t>ÅNGE</t>
        </is>
      </c>
      <c r="F75" t="inlineStr">
        <is>
          <t>SCA</t>
        </is>
      </c>
      <c r="G75" t="n">
        <v>1.3</v>
      </c>
      <c r="H75" t="n">
        <v>0</v>
      </c>
      <c r="I75" t="n">
        <v>1</v>
      </c>
      <c r="J75" t="n">
        <v>4</v>
      </c>
      <c r="K75" t="n">
        <v>1</v>
      </c>
      <c r="L75" t="n">
        <v>0</v>
      </c>
      <c r="M75" t="n">
        <v>0</v>
      </c>
      <c r="N75" t="n">
        <v>0</v>
      </c>
      <c r="O75" t="n">
        <v>5</v>
      </c>
      <c r="P75" t="n">
        <v>1</v>
      </c>
      <c r="Q75" t="n">
        <v>6</v>
      </c>
      <c r="R75" s="2" t="inlineStr">
        <is>
          <t>Fläckporing
Blågrå svartspik
Garnlav
Mörk kolflarnlav
Violettgrå tagellav
Dropptaggsvamp</t>
        </is>
      </c>
      <c r="S75">
        <f>HYPERLINK("https://klasma.github.io/Logging_2260/artfynd/A 55147-2024 artfynd.xlsx", "A 55147-2024")</f>
        <v/>
      </c>
      <c r="T75">
        <f>HYPERLINK("https://klasma.github.io/Logging_2260/kartor/A 55147-2024 karta.png", "A 55147-2024")</f>
        <v/>
      </c>
      <c r="U75">
        <f>HYPERLINK("https://klasma.github.io/Logging_2260/knärot/A 55147-2024 karta knärot.png", "A 55147-2024")</f>
        <v/>
      </c>
      <c r="V75">
        <f>HYPERLINK("https://klasma.github.io/Logging_2260/klagomål/A 55147-2024 FSC-klagomål.docx", "A 55147-2024")</f>
        <v/>
      </c>
      <c r="W75">
        <f>HYPERLINK("https://klasma.github.io/Logging_2260/klagomålsmail/A 55147-2024 FSC-klagomål mail.docx", "A 55147-2024")</f>
        <v/>
      </c>
      <c r="X75">
        <f>HYPERLINK("https://klasma.github.io/Logging_2260/tillsyn/A 55147-2024 tillsynsbegäran.docx", "A 55147-2024")</f>
        <v/>
      </c>
      <c r="Y75">
        <f>HYPERLINK("https://klasma.github.io/Logging_2260/tillsynsmail/A 55147-2024 tillsynsbegäran mail.docx", "A 55147-2024")</f>
        <v/>
      </c>
    </row>
    <row r="76" ht="15" customHeight="1">
      <c r="A76" t="inlineStr">
        <is>
          <t>A 19010-2025</t>
        </is>
      </c>
      <c r="B76" s="1" t="n">
        <v>45764</v>
      </c>
      <c r="C76" s="1" t="n">
        <v>45884</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24073-2025</t>
        </is>
      </c>
      <c r="B77" s="1" t="n">
        <v>45796.54840277778</v>
      </c>
      <c r="C77" s="1" t="n">
        <v>45884</v>
      </c>
      <c r="D77" t="inlineStr">
        <is>
          <t>VÄSTERNORRLANDS LÄN</t>
        </is>
      </c>
      <c r="E77" t="inlineStr">
        <is>
          <t>ÅNGE</t>
        </is>
      </c>
      <c r="G77" t="n">
        <v>3.6</v>
      </c>
      <c r="H77" t="n">
        <v>2</v>
      </c>
      <c r="I77" t="n">
        <v>1</v>
      </c>
      <c r="J77" t="n">
        <v>4</v>
      </c>
      <c r="K77" t="n">
        <v>1</v>
      </c>
      <c r="L77" t="n">
        <v>0</v>
      </c>
      <c r="M77" t="n">
        <v>0</v>
      </c>
      <c r="N77" t="n">
        <v>0</v>
      </c>
      <c r="O77" t="n">
        <v>5</v>
      </c>
      <c r="P77" t="n">
        <v>1</v>
      </c>
      <c r="Q77" t="n">
        <v>6</v>
      </c>
      <c r="R77" s="2" t="inlineStr">
        <is>
          <t>Knärot
Garnlav
Lunglav
Mörk kolflarnlav
Tretåig hackspett
Norrlandslav</t>
        </is>
      </c>
      <c r="S77">
        <f>HYPERLINK("https://klasma.github.io/Logging_2260/artfynd/A 24073-2025 artfynd.xlsx", "A 24073-2025")</f>
        <v/>
      </c>
      <c r="T77">
        <f>HYPERLINK("https://klasma.github.io/Logging_2260/kartor/A 24073-2025 karta.png", "A 24073-2025")</f>
        <v/>
      </c>
      <c r="U77">
        <f>HYPERLINK("https://klasma.github.io/Logging_2260/knärot/A 24073-2025 karta knärot.png", "A 24073-2025")</f>
        <v/>
      </c>
      <c r="V77">
        <f>HYPERLINK("https://klasma.github.io/Logging_2260/klagomål/A 24073-2025 FSC-klagomål.docx", "A 24073-2025")</f>
        <v/>
      </c>
      <c r="W77">
        <f>HYPERLINK("https://klasma.github.io/Logging_2260/klagomålsmail/A 24073-2025 FSC-klagomål mail.docx", "A 24073-2025")</f>
        <v/>
      </c>
      <c r="X77">
        <f>HYPERLINK("https://klasma.github.io/Logging_2260/tillsyn/A 24073-2025 tillsynsbegäran.docx", "A 24073-2025")</f>
        <v/>
      </c>
      <c r="Y77">
        <f>HYPERLINK("https://klasma.github.io/Logging_2260/tillsynsmail/A 24073-2025 tillsynsbegäran mail.docx", "A 24073-2025")</f>
        <v/>
      </c>
      <c r="Z77">
        <f>HYPERLINK("https://klasma.github.io/Logging_2260/fåglar/A 24073-2025 prioriterade fågelarter.docx", "A 24073-2025")</f>
        <v/>
      </c>
    </row>
    <row r="78" ht="15" customHeight="1">
      <c r="A78" t="inlineStr">
        <is>
          <t>A 31364-2022</t>
        </is>
      </c>
      <c r="B78" s="1" t="n">
        <v>44774</v>
      </c>
      <c r="C78" s="1" t="n">
        <v>45884</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62640-2020</t>
        </is>
      </c>
      <c r="B79" s="1" t="n">
        <v>44161</v>
      </c>
      <c r="C79" s="1" t="n">
        <v>45884</v>
      </c>
      <c r="D79" t="inlineStr">
        <is>
          <t>VÄSTERNORRLANDS LÄN</t>
        </is>
      </c>
      <c r="E79" t="inlineStr">
        <is>
          <t>ÅNGE</t>
        </is>
      </c>
      <c r="F79" t="inlineStr">
        <is>
          <t>Sveaskog</t>
        </is>
      </c>
      <c r="G79" t="n">
        <v>2</v>
      </c>
      <c r="H79" t="n">
        <v>1</v>
      </c>
      <c r="I79" t="n">
        <v>2</v>
      </c>
      <c r="J79" t="n">
        <v>0</v>
      </c>
      <c r="K79" t="n">
        <v>2</v>
      </c>
      <c r="L79" t="n">
        <v>0</v>
      </c>
      <c r="M79" t="n">
        <v>0</v>
      </c>
      <c r="N79" t="n">
        <v>0</v>
      </c>
      <c r="O79" t="n">
        <v>2</v>
      </c>
      <c r="P79" t="n">
        <v>2</v>
      </c>
      <c r="Q79" t="n">
        <v>5</v>
      </c>
      <c r="R79" s="2" t="inlineStr">
        <is>
          <t>Bitter taggsvamp
Rynkskinn
Kransrams
Svart trolldruva
Blåsippa</t>
        </is>
      </c>
      <c r="S79">
        <f>HYPERLINK("https://klasma.github.io/Logging_2260/artfynd/A 62640-2020 artfynd.xlsx", "A 62640-2020")</f>
        <v/>
      </c>
      <c r="T79">
        <f>HYPERLINK("https://klasma.github.io/Logging_2260/kartor/A 62640-2020 karta.png", "A 62640-2020")</f>
        <v/>
      </c>
      <c r="V79">
        <f>HYPERLINK("https://klasma.github.io/Logging_2260/klagomål/A 62640-2020 FSC-klagomål.docx", "A 62640-2020")</f>
        <v/>
      </c>
      <c r="W79">
        <f>HYPERLINK("https://klasma.github.io/Logging_2260/klagomålsmail/A 62640-2020 FSC-klagomål mail.docx", "A 62640-2020")</f>
        <v/>
      </c>
      <c r="X79">
        <f>HYPERLINK("https://klasma.github.io/Logging_2260/tillsyn/A 62640-2020 tillsynsbegäran.docx", "A 62640-2020")</f>
        <v/>
      </c>
      <c r="Y79">
        <f>HYPERLINK("https://klasma.github.io/Logging_2260/tillsynsmail/A 62640-2020 tillsynsbegäran mail.docx", "A 62640-2020")</f>
        <v/>
      </c>
    </row>
    <row r="80" ht="15" customHeight="1">
      <c r="A80" t="inlineStr">
        <is>
          <t>A 52269-2024</t>
        </is>
      </c>
      <c r="B80" s="1" t="n">
        <v>45608.65660879629</v>
      </c>
      <c r="C80" s="1" t="n">
        <v>45884</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45884</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26958-2024</t>
        </is>
      </c>
      <c r="B82" s="1" t="n">
        <v>45470</v>
      </c>
      <c r="C82" s="1" t="n">
        <v>45884</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55004-2023</t>
        </is>
      </c>
      <c r="B83" s="1" t="n">
        <v>45236</v>
      </c>
      <c r="C83" s="1" t="n">
        <v>45884</v>
      </c>
      <c r="D83" t="inlineStr">
        <is>
          <t>VÄSTERNORRLANDS LÄN</t>
        </is>
      </c>
      <c r="E83" t="inlineStr">
        <is>
          <t>ÅNGE</t>
        </is>
      </c>
      <c r="F83" t="inlineStr">
        <is>
          <t>SCA</t>
        </is>
      </c>
      <c r="G83" t="n">
        <v>3.7</v>
      </c>
      <c r="H83" t="n">
        <v>2</v>
      </c>
      <c r="I83" t="n">
        <v>3</v>
      </c>
      <c r="J83" t="n">
        <v>1</v>
      </c>
      <c r="K83" t="n">
        <v>0</v>
      </c>
      <c r="L83" t="n">
        <v>0</v>
      </c>
      <c r="M83" t="n">
        <v>0</v>
      </c>
      <c r="N83" t="n">
        <v>0</v>
      </c>
      <c r="O83" t="n">
        <v>1</v>
      </c>
      <c r="P83" t="n">
        <v>0</v>
      </c>
      <c r="Q83" t="n">
        <v>5</v>
      </c>
      <c r="R83" s="2" t="inlineStr">
        <is>
          <t>Storgröe
Kransrams
Spädstarr
Tvåblad
Fläcknycklar</t>
        </is>
      </c>
      <c r="S83">
        <f>HYPERLINK("https://klasma.github.io/Logging_2260/artfynd/A 55004-2023 artfynd.xlsx", "A 55004-2023")</f>
        <v/>
      </c>
      <c r="T83">
        <f>HYPERLINK("https://klasma.github.io/Logging_2260/kartor/A 55004-2023 karta.png", "A 55004-2023")</f>
        <v/>
      </c>
      <c r="V83">
        <f>HYPERLINK("https://klasma.github.io/Logging_2260/klagomål/A 55004-2023 FSC-klagomål.docx", "A 55004-2023")</f>
        <v/>
      </c>
      <c r="W83">
        <f>HYPERLINK("https://klasma.github.io/Logging_2260/klagomålsmail/A 55004-2023 FSC-klagomål mail.docx", "A 55004-2023")</f>
        <v/>
      </c>
      <c r="X83">
        <f>HYPERLINK("https://klasma.github.io/Logging_2260/tillsyn/A 55004-2023 tillsynsbegäran.docx", "A 55004-2023")</f>
        <v/>
      </c>
      <c r="Y83">
        <f>HYPERLINK("https://klasma.github.io/Logging_2260/tillsynsmail/A 55004-2023 tillsynsbegäran mail.docx", "A 55004-2023")</f>
        <v/>
      </c>
    </row>
    <row r="84" ht="15" customHeight="1">
      <c r="A84" t="inlineStr">
        <is>
          <t>A 51065-2024</t>
        </is>
      </c>
      <c r="B84" s="1" t="n">
        <v>45603</v>
      </c>
      <c r="C84" s="1" t="n">
        <v>45884</v>
      </c>
      <c r="D84" t="inlineStr">
        <is>
          <t>VÄSTERNORRLANDS LÄN</t>
        </is>
      </c>
      <c r="E84" t="inlineStr">
        <is>
          <t>ÅNGE</t>
        </is>
      </c>
      <c r="F84" t="inlineStr">
        <is>
          <t>SCA</t>
        </is>
      </c>
      <c r="G84" t="n">
        <v>4.1</v>
      </c>
      <c r="H84" t="n">
        <v>2</v>
      </c>
      <c r="I84" t="n">
        <v>0</v>
      </c>
      <c r="J84" t="n">
        <v>4</v>
      </c>
      <c r="K84" t="n">
        <v>1</v>
      </c>
      <c r="L84" t="n">
        <v>0</v>
      </c>
      <c r="M84" t="n">
        <v>0</v>
      </c>
      <c r="N84" t="n">
        <v>0</v>
      </c>
      <c r="O84" t="n">
        <v>5</v>
      </c>
      <c r="P84" t="n">
        <v>1</v>
      </c>
      <c r="Q84" t="n">
        <v>5</v>
      </c>
      <c r="R84" s="2" t="inlineStr">
        <is>
          <t>Knärot
Garnlav
Granticka
Järpe
Lunglav</t>
        </is>
      </c>
      <c r="S84">
        <f>HYPERLINK("https://klasma.github.io/Logging_2260/artfynd/A 51065-2024 artfynd.xlsx", "A 51065-2024")</f>
        <v/>
      </c>
      <c r="T84">
        <f>HYPERLINK("https://klasma.github.io/Logging_2260/kartor/A 51065-2024 karta.png", "A 51065-2024")</f>
        <v/>
      </c>
      <c r="U84">
        <f>HYPERLINK("https://klasma.github.io/Logging_2260/knärot/A 51065-2024 karta knärot.png", "A 51065-2024")</f>
        <v/>
      </c>
      <c r="V84">
        <f>HYPERLINK("https://klasma.github.io/Logging_2260/klagomål/A 51065-2024 FSC-klagomål.docx", "A 51065-2024")</f>
        <v/>
      </c>
      <c r="W84">
        <f>HYPERLINK("https://klasma.github.io/Logging_2260/klagomålsmail/A 51065-2024 FSC-klagomål mail.docx", "A 51065-2024")</f>
        <v/>
      </c>
      <c r="X84">
        <f>HYPERLINK("https://klasma.github.io/Logging_2260/tillsyn/A 51065-2024 tillsynsbegäran.docx", "A 51065-2024")</f>
        <v/>
      </c>
      <c r="Y84">
        <f>HYPERLINK("https://klasma.github.io/Logging_2260/tillsynsmail/A 51065-2024 tillsynsbegäran mail.docx", "A 51065-2024")</f>
        <v/>
      </c>
      <c r="Z84">
        <f>HYPERLINK("https://klasma.github.io/Logging_2260/fåglar/A 51065-2024 prioriterade fågelarter.docx", "A 51065-2024")</f>
        <v/>
      </c>
    </row>
    <row r="85" ht="15" customHeight="1">
      <c r="A85" t="inlineStr">
        <is>
          <t>A 32911-2024</t>
        </is>
      </c>
      <c r="B85" s="1" t="n">
        <v>45516</v>
      </c>
      <c r="C85" s="1" t="n">
        <v>45884</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23601-2025</t>
        </is>
      </c>
      <c r="B86" s="1" t="n">
        <v>45792</v>
      </c>
      <c r="C86" s="1" t="n">
        <v>45884</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27914-2024</t>
        </is>
      </c>
      <c r="B87" s="1" t="n">
        <v>45475</v>
      </c>
      <c r="C87" s="1" t="n">
        <v>45884</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38327-2025</t>
        </is>
      </c>
      <c r="B88" s="1" t="n">
        <v>45883.49084490741</v>
      </c>
      <c r="C88" s="1" t="n">
        <v>45884</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45884</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53169-2020</t>
        </is>
      </c>
      <c r="B90" s="1" t="n">
        <v>44120</v>
      </c>
      <c r="C90" s="1" t="n">
        <v>45884</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45884</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38326-2024</t>
        </is>
      </c>
      <c r="B92" s="1" t="n">
        <v>45545.67741898148</v>
      </c>
      <c r="C92" s="1" t="n">
        <v>45884</v>
      </c>
      <c r="D92" t="inlineStr">
        <is>
          <t>VÄSTERNORRLANDS LÄN</t>
        </is>
      </c>
      <c r="E92" t="inlineStr">
        <is>
          <t>ÅNGE</t>
        </is>
      </c>
      <c r="F92" t="inlineStr">
        <is>
          <t>SCA</t>
        </is>
      </c>
      <c r="G92" t="n">
        <v>15</v>
      </c>
      <c r="H92" t="n">
        <v>0</v>
      </c>
      <c r="I92" t="n">
        <v>1</v>
      </c>
      <c r="J92" t="n">
        <v>3</v>
      </c>
      <c r="K92" t="n">
        <v>0</v>
      </c>
      <c r="L92" t="n">
        <v>0</v>
      </c>
      <c r="M92" t="n">
        <v>0</v>
      </c>
      <c r="N92" t="n">
        <v>0</v>
      </c>
      <c r="O92" t="n">
        <v>3</v>
      </c>
      <c r="P92" t="n">
        <v>0</v>
      </c>
      <c r="Q92" t="n">
        <v>4</v>
      </c>
      <c r="R92" s="2" t="inlineStr">
        <is>
          <t>Gammelgransskål
Garnlav
Lunglav
Stuplav</t>
        </is>
      </c>
      <c r="S92">
        <f>HYPERLINK("https://klasma.github.io/Logging_2260/artfynd/A 38326-2024 artfynd.xlsx", "A 38326-2024")</f>
        <v/>
      </c>
      <c r="T92">
        <f>HYPERLINK("https://klasma.github.io/Logging_2260/kartor/A 38326-2024 karta.png", "A 38326-2024")</f>
        <v/>
      </c>
      <c r="V92">
        <f>HYPERLINK("https://klasma.github.io/Logging_2260/klagomål/A 38326-2024 FSC-klagomål.docx", "A 38326-2024")</f>
        <v/>
      </c>
      <c r="W92">
        <f>HYPERLINK("https://klasma.github.io/Logging_2260/klagomålsmail/A 38326-2024 FSC-klagomål mail.docx", "A 38326-2024")</f>
        <v/>
      </c>
      <c r="X92">
        <f>HYPERLINK("https://klasma.github.io/Logging_2260/tillsyn/A 38326-2024 tillsynsbegäran.docx", "A 38326-2024")</f>
        <v/>
      </c>
      <c r="Y92">
        <f>HYPERLINK("https://klasma.github.io/Logging_2260/tillsynsmail/A 38326-2024 tillsynsbegäran mail.docx", "A 38326-2024")</f>
        <v/>
      </c>
    </row>
    <row r="93" ht="15" customHeight="1">
      <c r="A93" t="inlineStr">
        <is>
          <t>A 39176-2024</t>
        </is>
      </c>
      <c r="B93" s="1" t="n">
        <v>45548</v>
      </c>
      <c r="C93" s="1" t="n">
        <v>45884</v>
      </c>
      <c r="D93" t="inlineStr">
        <is>
          <t>VÄSTERNORRLANDS LÄN</t>
        </is>
      </c>
      <c r="E93" t="inlineStr">
        <is>
          <t>ÅNGE</t>
        </is>
      </c>
      <c r="F93" t="inlineStr">
        <is>
          <t>SCA</t>
        </is>
      </c>
      <c r="G93" t="n">
        <v>6.9</v>
      </c>
      <c r="H93" t="n">
        <v>1</v>
      </c>
      <c r="I93" t="n">
        <v>0</v>
      </c>
      <c r="J93" t="n">
        <v>3</v>
      </c>
      <c r="K93" t="n">
        <v>1</v>
      </c>
      <c r="L93" t="n">
        <v>0</v>
      </c>
      <c r="M93" t="n">
        <v>0</v>
      </c>
      <c r="N93" t="n">
        <v>0</v>
      </c>
      <c r="O93" t="n">
        <v>4</v>
      </c>
      <c r="P93" t="n">
        <v>1</v>
      </c>
      <c r="Q93" t="n">
        <v>4</v>
      </c>
      <c r="R93" s="2" t="inlineStr">
        <is>
          <t>Knärot
Doftskinn
Skrovellav
Violettgrå tagellav</t>
        </is>
      </c>
      <c r="S93">
        <f>HYPERLINK("https://klasma.github.io/Logging_2260/artfynd/A 39176-2024 artfynd.xlsx", "A 39176-2024")</f>
        <v/>
      </c>
      <c r="T93">
        <f>HYPERLINK("https://klasma.github.io/Logging_2260/kartor/A 39176-2024 karta.png", "A 39176-2024")</f>
        <v/>
      </c>
      <c r="U93">
        <f>HYPERLINK("https://klasma.github.io/Logging_2260/knärot/A 39176-2024 karta knärot.png", "A 39176-2024")</f>
        <v/>
      </c>
      <c r="V93">
        <f>HYPERLINK("https://klasma.github.io/Logging_2260/klagomål/A 39176-2024 FSC-klagomål.docx", "A 39176-2024")</f>
        <v/>
      </c>
      <c r="W93">
        <f>HYPERLINK("https://klasma.github.io/Logging_2260/klagomålsmail/A 39176-2024 FSC-klagomål mail.docx", "A 39176-2024")</f>
        <v/>
      </c>
      <c r="X93">
        <f>HYPERLINK("https://klasma.github.io/Logging_2260/tillsyn/A 39176-2024 tillsynsbegäran.docx", "A 39176-2024")</f>
        <v/>
      </c>
      <c r="Y93">
        <f>HYPERLINK("https://klasma.github.io/Logging_2260/tillsynsmail/A 39176-2024 tillsynsbegäran mail.docx", "A 39176-2024")</f>
        <v/>
      </c>
    </row>
    <row r="94" ht="15" customHeight="1">
      <c r="A94" t="inlineStr">
        <is>
          <t>A 11029-2025</t>
        </is>
      </c>
      <c r="B94" s="1" t="n">
        <v>45723</v>
      </c>
      <c r="C94" s="1" t="n">
        <v>45884</v>
      </c>
      <c r="D94" t="inlineStr">
        <is>
          <t>VÄSTERNORRLANDS LÄN</t>
        </is>
      </c>
      <c r="E94" t="inlineStr">
        <is>
          <t>ÅNGE</t>
        </is>
      </c>
      <c r="G94" t="n">
        <v>1.3</v>
      </c>
      <c r="H94" t="n">
        <v>3</v>
      </c>
      <c r="I94" t="n">
        <v>0</v>
      </c>
      <c r="J94" t="n">
        <v>1</v>
      </c>
      <c r="K94" t="n">
        <v>1</v>
      </c>
      <c r="L94" t="n">
        <v>0</v>
      </c>
      <c r="M94" t="n">
        <v>0</v>
      </c>
      <c r="N94" t="n">
        <v>0</v>
      </c>
      <c r="O94" t="n">
        <v>2</v>
      </c>
      <c r="P94" t="n">
        <v>1</v>
      </c>
      <c r="Q94" t="n">
        <v>4</v>
      </c>
      <c r="R94" s="2" t="inlineStr">
        <is>
          <t>Knärot
Garnlav
Vanlig groda
Revlummer</t>
        </is>
      </c>
      <c r="S94">
        <f>HYPERLINK("https://klasma.github.io/Logging_2260/artfynd/A 11029-2025 artfynd.xlsx", "A 11029-2025")</f>
        <v/>
      </c>
      <c r="T94">
        <f>HYPERLINK("https://klasma.github.io/Logging_2260/kartor/A 11029-2025 karta.png", "A 11029-2025")</f>
        <v/>
      </c>
      <c r="U94">
        <f>HYPERLINK("https://klasma.github.io/Logging_2260/knärot/A 11029-2025 karta knärot.png", "A 11029-2025")</f>
        <v/>
      </c>
      <c r="V94">
        <f>HYPERLINK("https://klasma.github.io/Logging_2260/klagomål/A 11029-2025 FSC-klagomål.docx", "A 11029-2025")</f>
        <v/>
      </c>
      <c r="W94">
        <f>HYPERLINK("https://klasma.github.io/Logging_2260/klagomålsmail/A 11029-2025 FSC-klagomål mail.docx", "A 11029-2025")</f>
        <v/>
      </c>
      <c r="X94">
        <f>HYPERLINK("https://klasma.github.io/Logging_2260/tillsyn/A 11029-2025 tillsynsbegäran.docx", "A 11029-2025")</f>
        <v/>
      </c>
      <c r="Y94">
        <f>HYPERLINK("https://klasma.github.io/Logging_2260/tillsynsmail/A 11029-2025 tillsynsbegäran mail.docx", "A 11029-2025")</f>
        <v/>
      </c>
    </row>
    <row r="95" ht="15" customHeight="1">
      <c r="A95" t="inlineStr">
        <is>
          <t>A 723-2025</t>
        </is>
      </c>
      <c r="B95" s="1" t="n">
        <v>45665.38576388889</v>
      </c>
      <c r="C95" s="1" t="n">
        <v>45884</v>
      </c>
      <c r="D95" t="inlineStr">
        <is>
          <t>VÄSTERNORRLANDS LÄN</t>
        </is>
      </c>
      <c r="E95" t="inlineStr">
        <is>
          <t>ÅNGE</t>
        </is>
      </c>
      <c r="G95" t="n">
        <v>4.1</v>
      </c>
      <c r="H95" t="n">
        <v>2</v>
      </c>
      <c r="I95" t="n">
        <v>1</v>
      </c>
      <c r="J95" t="n">
        <v>1</v>
      </c>
      <c r="K95" t="n">
        <v>0</v>
      </c>
      <c r="L95" t="n">
        <v>0</v>
      </c>
      <c r="M95" t="n">
        <v>0</v>
      </c>
      <c r="N95" t="n">
        <v>0</v>
      </c>
      <c r="O95" t="n">
        <v>1</v>
      </c>
      <c r="P95" t="n">
        <v>0</v>
      </c>
      <c r="Q95" t="n">
        <v>4</v>
      </c>
      <c r="R95" s="2" t="inlineStr">
        <is>
          <t>Lunglav
Stuplav
Fläcknycklar
Revlummer</t>
        </is>
      </c>
      <c r="S95">
        <f>HYPERLINK("https://klasma.github.io/Logging_2260/artfynd/A 723-2025 artfynd.xlsx", "A 723-2025")</f>
        <v/>
      </c>
      <c r="T95">
        <f>HYPERLINK("https://klasma.github.io/Logging_2260/kartor/A 723-2025 karta.png", "A 723-2025")</f>
        <v/>
      </c>
      <c r="V95">
        <f>HYPERLINK("https://klasma.github.io/Logging_2260/klagomål/A 723-2025 FSC-klagomål.docx", "A 723-2025")</f>
        <v/>
      </c>
      <c r="W95">
        <f>HYPERLINK("https://klasma.github.io/Logging_2260/klagomålsmail/A 723-2025 FSC-klagomål mail.docx", "A 723-2025")</f>
        <v/>
      </c>
      <c r="X95">
        <f>HYPERLINK("https://klasma.github.io/Logging_2260/tillsyn/A 723-2025 tillsynsbegäran.docx", "A 723-2025")</f>
        <v/>
      </c>
      <c r="Y95">
        <f>HYPERLINK("https://klasma.github.io/Logging_2260/tillsynsmail/A 723-2025 tillsynsbegäran mail.docx", "A 723-2025")</f>
        <v/>
      </c>
    </row>
    <row r="96" ht="15" customHeight="1">
      <c r="A96" t="inlineStr">
        <is>
          <t>A 26953-2024</t>
        </is>
      </c>
      <c r="B96" s="1" t="n">
        <v>45470</v>
      </c>
      <c r="C96" s="1" t="n">
        <v>45884</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44558-2024</t>
        </is>
      </c>
      <c r="B97" s="1" t="n">
        <v>45574.47001157407</v>
      </c>
      <c r="C97" s="1" t="n">
        <v>45884</v>
      </c>
      <c r="D97" t="inlineStr">
        <is>
          <t>VÄSTERNORRLANDS LÄN</t>
        </is>
      </c>
      <c r="E97" t="inlineStr">
        <is>
          <t>ÅNGE</t>
        </is>
      </c>
      <c r="F97" t="inlineStr">
        <is>
          <t>SCA</t>
        </is>
      </c>
      <c r="G97" t="n">
        <v>6.1</v>
      </c>
      <c r="H97" t="n">
        <v>0</v>
      </c>
      <c r="I97" t="n">
        <v>0</v>
      </c>
      <c r="J97" t="n">
        <v>3</v>
      </c>
      <c r="K97" t="n">
        <v>1</v>
      </c>
      <c r="L97" t="n">
        <v>0</v>
      </c>
      <c r="M97" t="n">
        <v>0</v>
      </c>
      <c r="N97" t="n">
        <v>0</v>
      </c>
      <c r="O97" t="n">
        <v>4</v>
      </c>
      <c r="P97" t="n">
        <v>1</v>
      </c>
      <c r="Q97" t="n">
        <v>4</v>
      </c>
      <c r="R97" s="2" t="inlineStr">
        <is>
          <t>Gräddporing
Kortskaftad ärgspik
Reliktbock
Ullticka</t>
        </is>
      </c>
      <c r="S97">
        <f>HYPERLINK("https://klasma.github.io/Logging_2260/artfynd/A 44558-2024 artfynd.xlsx", "A 44558-2024")</f>
        <v/>
      </c>
      <c r="T97">
        <f>HYPERLINK("https://klasma.github.io/Logging_2260/kartor/A 44558-2024 karta.png", "A 44558-2024")</f>
        <v/>
      </c>
      <c r="V97">
        <f>HYPERLINK("https://klasma.github.io/Logging_2260/klagomål/A 44558-2024 FSC-klagomål.docx", "A 44558-2024")</f>
        <v/>
      </c>
      <c r="W97">
        <f>HYPERLINK("https://klasma.github.io/Logging_2260/klagomålsmail/A 44558-2024 FSC-klagomål mail.docx", "A 44558-2024")</f>
        <v/>
      </c>
      <c r="X97">
        <f>HYPERLINK("https://klasma.github.io/Logging_2260/tillsyn/A 44558-2024 tillsynsbegäran.docx", "A 44558-2024")</f>
        <v/>
      </c>
      <c r="Y97">
        <f>HYPERLINK("https://klasma.github.io/Logging_2260/tillsynsmail/A 44558-2024 tillsynsbegäran mail.docx", "A 44558-2024")</f>
        <v/>
      </c>
    </row>
    <row r="98" ht="15" customHeight="1">
      <c r="A98" t="inlineStr">
        <is>
          <t>A 57299-2022</t>
        </is>
      </c>
      <c r="B98" s="1" t="n">
        <v>44895.95090277777</v>
      </c>
      <c r="C98" s="1" t="n">
        <v>45884</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55179-2024</t>
        </is>
      </c>
      <c r="B99" s="1" t="n">
        <v>45621.53204861111</v>
      </c>
      <c r="C99" s="1" t="n">
        <v>45884</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27956-2021</t>
        </is>
      </c>
      <c r="B100" s="1" t="n">
        <v>44354</v>
      </c>
      <c r="C100" s="1" t="n">
        <v>45884</v>
      </c>
      <c r="D100" t="inlineStr">
        <is>
          <t>VÄSTERNORRLANDS LÄN</t>
        </is>
      </c>
      <c r="E100" t="inlineStr">
        <is>
          <t>ÅNGE</t>
        </is>
      </c>
      <c r="G100" t="n">
        <v>1.4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27956-2021 artfynd.xlsx", "A 27956-2021")</f>
        <v/>
      </c>
      <c r="T100">
        <f>HYPERLINK("https://klasma.github.io/Logging_2260/kartor/A 27956-2021 karta.png", "A 27956-2021")</f>
        <v/>
      </c>
      <c r="V100">
        <f>HYPERLINK("https://klasma.github.io/Logging_2260/klagomål/A 27956-2021 FSC-klagomål.docx", "A 27956-2021")</f>
        <v/>
      </c>
      <c r="W100">
        <f>HYPERLINK("https://klasma.github.io/Logging_2260/klagomålsmail/A 27956-2021 FSC-klagomål mail.docx", "A 27956-2021")</f>
        <v/>
      </c>
      <c r="X100">
        <f>HYPERLINK("https://klasma.github.io/Logging_2260/tillsyn/A 27956-2021 tillsynsbegäran.docx", "A 27956-2021")</f>
        <v/>
      </c>
      <c r="Y100">
        <f>HYPERLINK("https://klasma.github.io/Logging_2260/tillsynsmail/A 27956-2021 tillsynsbegäran mail.docx", "A 27956-2021")</f>
        <v/>
      </c>
    </row>
    <row r="101" ht="15" customHeight="1">
      <c r="A101" t="inlineStr">
        <is>
          <t>A 10317-2022</t>
        </is>
      </c>
      <c r="B101" s="1" t="n">
        <v>44622</v>
      </c>
      <c r="C101" s="1" t="n">
        <v>45884</v>
      </c>
      <c r="D101" t="inlineStr">
        <is>
          <t>VÄSTERNORRLANDS LÄN</t>
        </is>
      </c>
      <c r="E101" t="inlineStr">
        <is>
          <t>ÅNGE</t>
        </is>
      </c>
      <c r="F101" t="inlineStr">
        <is>
          <t>SCA</t>
        </is>
      </c>
      <c r="G101" t="n">
        <v>3</v>
      </c>
      <c r="H101" t="n">
        <v>2</v>
      </c>
      <c r="I101" t="n">
        <v>1</v>
      </c>
      <c r="J101" t="n">
        <v>1</v>
      </c>
      <c r="K101" t="n">
        <v>1</v>
      </c>
      <c r="L101" t="n">
        <v>0</v>
      </c>
      <c r="M101" t="n">
        <v>0</v>
      </c>
      <c r="N101" t="n">
        <v>0</v>
      </c>
      <c r="O101" t="n">
        <v>2</v>
      </c>
      <c r="P101" t="n">
        <v>1</v>
      </c>
      <c r="Q101" t="n">
        <v>3</v>
      </c>
      <c r="R101" s="2" t="inlineStr">
        <is>
          <t>Knärot
Granticka
Tvåblad</t>
        </is>
      </c>
      <c r="S101">
        <f>HYPERLINK("https://klasma.github.io/Logging_2260/artfynd/A 10317-2022 artfynd.xlsx", "A 10317-2022")</f>
        <v/>
      </c>
      <c r="T101">
        <f>HYPERLINK("https://klasma.github.io/Logging_2260/kartor/A 10317-2022 karta.png", "A 10317-2022")</f>
        <v/>
      </c>
      <c r="U101">
        <f>HYPERLINK("https://klasma.github.io/Logging_2260/knärot/A 10317-2022 karta knärot.png", "A 10317-2022")</f>
        <v/>
      </c>
      <c r="V101">
        <f>HYPERLINK("https://klasma.github.io/Logging_2260/klagomål/A 10317-2022 FSC-klagomål.docx", "A 10317-2022")</f>
        <v/>
      </c>
      <c r="W101">
        <f>HYPERLINK("https://klasma.github.io/Logging_2260/klagomålsmail/A 10317-2022 FSC-klagomål mail.docx", "A 10317-2022")</f>
        <v/>
      </c>
      <c r="X101">
        <f>HYPERLINK("https://klasma.github.io/Logging_2260/tillsyn/A 10317-2022 tillsynsbegäran.docx", "A 10317-2022")</f>
        <v/>
      </c>
      <c r="Y101">
        <f>HYPERLINK("https://klasma.github.io/Logging_2260/tillsynsmail/A 10317-2022 tillsynsbegäran mail.docx", "A 10317-2022")</f>
        <v/>
      </c>
    </row>
    <row r="102" ht="15" customHeight="1">
      <c r="A102" t="inlineStr">
        <is>
          <t>A 29665-2024</t>
        </is>
      </c>
      <c r="B102" s="1" t="n">
        <v>45484</v>
      </c>
      <c r="C102" s="1" t="n">
        <v>45884</v>
      </c>
      <c r="D102" t="inlineStr">
        <is>
          <t>VÄSTERNORRLANDS LÄN</t>
        </is>
      </c>
      <c r="E102" t="inlineStr">
        <is>
          <t>ÅNGE</t>
        </is>
      </c>
      <c r="F102" t="inlineStr">
        <is>
          <t>SCA</t>
        </is>
      </c>
      <c r="G102" t="n">
        <v>3.3</v>
      </c>
      <c r="H102" t="n">
        <v>1</v>
      </c>
      <c r="I102" t="n">
        <v>0</v>
      </c>
      <c r="J102" t="n">
        <v>3</v>
      </c>
      <c r="K102" t="n">
        <v>0</v>
      </c>
      <c r="L102" t="n">
        <v>0</v>
      </c>
      <c r="M102" t="n">
        <v>0</v>
      </c>
      <c r="N102" t="n">
        <v>0</v>
      </c>
      <c r="O102" t="n">
        <v>3</v>
      </c>
      <c r="P102" t="n">
        <v>0</v>
      </c>
      <c r="Q102" t="n">
        <v>3</v>
      </c>
      <c r="R102" s="2" t="inlineStr">
        <is>
          <t>Garnlav
Granticka
Utter</t>
        </is>
      </c>
      <c r="S102">
        <f>HYPERLINK("https://klasma.github.io/Logging_2260/artfynd/A 29665-2024 artfynd.xlsx", "A 29665-2024")</f>
        <v/>
      </c>
      <c r="T102">
        <f>HYPERLINK("https://klasma.github.io/Logging_2260/kartor/A 29665-2024 karta.png", "A 29665-2024")</f>
        <v/>
      </c>
      <c r="V102">
        <f>HYPERLINK("https://klasma.github.io/Logging_2260/klagomål/A 29665-2024 FSC-klagomål.docx", "A 29665-2024")</f>
        <v/>
      </c>
      <c r="W102">
        <f>HYPERLINK("https://klasma.github.io/Logging_2260/klagomålsmail/A 29665-2024 FSC-klagomål mail.docx", "A 29665-2024")</f>
        <v/>
      </c>
      <c r="X102">
        <f>HYPERLINK("https://klasma.github.io/Logging_2260/tillsyn/A 29665-2024 tillsynsbegäran.docx", "A 29665-2024")</f>
        <v/>
      </c>
      <c r="Y102">
        <f>HYPERLINK("https://klasma.github.io/Logging_2260/tillsynsmail/A 29665-2024 tillsynsbegäran mail.docx", "A 29665-2024")</f>
        <v/>
      </c>
    </row>
    <row r="103" ht="15" customHeight="1">
      <c r="A103" t="inlineStr">
        <is>
          <t>A 39179-2024</t>
        </is>
      </c>
      <c r="B103" s="1" t="n">
        <v>45548.65703703704</v>
      </c>
      <c r="C103" s="1" t="n">
        <v>45884</v>
      </c>
      <c r="D103" t="inlineStr">
        <is>
          <t>VÄSTERNORRLANDS LÄN</t>
        </is>
      </c>
      <c r="E103" t="inlineStr">
        <is>
          <t>ÅNGE</t>
        </is>
      </c>
      <c r="F103" t="inlineStr">
        <is>
          <t>SCA</t>
        </is>
      </c>
      <c r="G103" t="n">
        <v>4.2</v>
      </c>
      <c r="H103" t="n">
        <v>1</v>
      </c>
      <c r="I103" t="n">
        <v>2</v>
      </c>
      <c r="J103" t="n">
        <v>1</v>
      </c>
      <c r="K103" t="n">
        <v>0</v>
      </c>
      <c r="L103" t="n">
        <v>0</v>
      </c>
      <c r="M103" t="n">
        <v>0</v>
      </c>
      <c r="N103" t="n">
        <v>0</v>
      </c>
      <c r="O103" t="n">
        <v>1</v>
      </c>
      <c r="P103" t="n">
        <v>0</v>
      </c>
      <c r="Q103" t="n">
        <v>3</v>
      </c>
      <c r="R103" s="2" t="inlineStr">
        <is>
          <t>Rosenticka
Fjällig taggsvamp s.str.
Spindelblomster</t>
        </is>
      </c>
      <c r="S103">
        <f>HYPERLINK("https://klasma.github.io/Logging_2260/artfynd/A 39179-2024 artfynd.xlsx", "A 39179-2024")</f>
        <v/>
      </c>
      <c r="T103">
        <f>HYPERLINK("https://klasma.github.io/Logging_2260/kartor/A 39179-2024 karta.png", "A 39179-2024")</f>
        <v/>
      </c>
      <c r="V103">
        <f>HYPERLINK("https://klasma.github.io/Logging_2260/klagomål/A 39179-2024 FSC-klagomål.docx", "A 39179-2024")</f>
        <v/>
      </c>
      <c r="W103">
        <f>HYPERLINK("https://klasma.github.io/Logging_2260/klagomålsmail/A 39179-2024 FSC-klagomål mail.docx", "A 39179-2024")</f>
        <v/>
      </c>
      <c r="X103">
        <f>HYPERLINK("https://klasma.github.io/Logging_2260/tillsyn/A 39179-2024 tillsynsbegäran.docx", "A 39179-2024")</f>
        <v/>
      </c>
      <c r="Y103">
        <f>HYPERLINK("https://klasma.github.io/Logging_2260/tillsynsmail/A 39179-2024 tillsynsbegäran mail.docx", "A 39179-2024")</f>
        <v/>
      </c>
    </row>
    <row r="104" ht="15" customHeight="1">
      <c r="A104" t="inlineStr">
        <is>
          <t>A 24796-2024</t>
        </is>
      </c>
      <c r="B104" s="1" t="n">
        <v>45460</v>
      </c>
      <c r="C104" s="1" t="n">
        <v>45884</v>
      </c>
      <c r="D104" t="inlineStr">
        <is>
          <t>VÄSTERNORRLANDS LÄN</t>
        </is>
      </c>
      <c r="E104" t="inlineStr">
        <is>
          <t>ÅNGE</t>
        </is>
      </c>
      <c r="F104" t="inlineStr">
        <is>
          <t>SCA</t>
        </is>
      </c>
      <c r="G104" t="n">
        <v>6.7</v>
      </c>
      <c r="H104" t="n">
        <v>1</v>
      </c>
      <c r="I104" t="n">
        <v>2</v>
      </c>
      <c r="J104" t="n">
        <v>1</v>
      </c>
      <c r="K104" t="n">
        <v>0</v>
      </c>
      <c r="L104" t="n">
        <v>0</v>
      </c>
      <c r="M104" t="n">
        <v>0</v>
      </c>
      <c r="N104" t="n">
        <v>0</v>
      </c>
      <c r="O104" t="n">
        <v>1</v>
      </c>
      <c r="P104" t="n">
        <v>0</v>
      </c>
      <c r="Q104" t="n">
        <v>3</v>
      </c>
      <c r="R104" s="2" t="inlineStr">
        <is>
          <t>Doftskinn
Korallrot
Skinnlav</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row>
    <row r="105" ht="15" customHeight="1">
      <c r="A105" t="inlineStr">
        <is>
          <t>A 47617-2024</t>
        </is>
      </c>
      <c r="B105" s="1" t="n">
        <v>45588.32125</v>
      </c>
      <c r="C105" s="1" t="n">
        <v>45884</v>
      </c>
      <c r="D105" t="inlineStr">
        <is>
          <t>VÄSTERNORRLANDS LÄN</t>
        </is>
      </c>
      <c r="E105" t="inlineStr">
        <is>
          <t>ÅNGE</t>
        </is>
      </c>
      <c r="F105" t="inlineStr">
        <is>
          <t>Holmen skog AB</t>
        </is>
      </c>
      <c r="G105" t="n">
        <v>8.300000000000001</v>
      </c>
      <c r="H105" t="n">
        <v>0</v>
      </c>
      <c r="I105" t="n">
        <v>0</v>
      </c>
      <c r="J105" t="n">
        <v>3</v>
      </c>
      <c r="K105" t="n">
        <v>0</v>
      </c>
      <c r="L105" t="n">
        <v>0</v>
      </c>
      <c r="M105" t="n">
        <v>0</v>
      </c>
      <c r="N105" t="n">
        <v>0</v>
      </c>
      <c r="O105" t="n">
        <v>3</v>
      </c>
      <c r="P105" t="n">
        <v>0</v>
      </c>
      <c r="Q105" t="n">
        <v>3</v>
      </c>
      <c r="R105" s="2" t="inlineStr">
        <is>
          <t>Granticka
Gränsticka
Lunglav</t>
        </is>
      </c>
      <c r="S105">
        <f>HYPERLINK("https://klasma.github.io/Logging_2260/artfynd/A 47617-2024 artfynd.xlsx", "A 47617-2024")</f>
        <v/>
      </c>
      <c r="T105">
        <f>HYPERLINK("https://klasma.github.io/Logging_2260/kartor/A 47617-2024 karta.png", "A 47617-2024")</f>
        <v/>
      </c>
      <c r="V105">
        <f>HYPERLINK("https://klasma.github.io/Logging_2260/klagomål/A 47617-2024 FSC-klagomål.docx", "A 47617-2024")</f>
        <v/>
      </c>
      <c r="W105">
        <f>HYPERLINK("https://klasma.github.io/Logging_2260/klagomålsmail/A 47617-2024 FSC-klagomål mail.docx", "A 47617-2024")</f>
        <v/>
      </c>
      <c r="X105">
        <f>HYPERLINK("https://klasma.github.io/Logging_2260/tillsyn/A 47617-2024 tillsynsbegäran.docx", "A 47617-2024")</f>
        <v/>
      </c>
      <c r="Y105">
        <f>HYPERLINK("https://klasma.github.io/Logging_2260/tillsynsmail/A 47617-2024 tillsynsbegäran mail.docx", "A 47617-2024")</f>
        <v/>
      </c>
    </row>
    <row r="106" ht="15" customHeight="1">
      <c r="A106" t="inlineStr">
        <is>
          <t>A 29691-2024</t>
        </is>
      </c>
      <c r="B106" s="1" t="n">
        <v>45484.9446875</v>
      </c>
      <c r="C106" s="1" t="n">
        <v>45884</v>
      </c>
      <c r="D106" t="inlineStr">
        <is>
          <t>VÄSTERNORRLANDS LÄN</t>
        </is>
      </c>
      <c r="E106" t="inlineStr">
        <is>
          <t>ÅNGE</t>
        </is>
      </c>
      <c r="F106" t="inlineStr">
        <is>
          <t>SCA</t>
        </is>
      </c>
      <c r="G106" t="n">
        <v>6.8</v>
      </c>
      <c r="H106" t="n">
        <v>0</v>
      </c>
      <c r="I106" t="n">
        <v>1</v>
      </c>
      <c r="J106" t="n">
        <v>2</v>
      </c>
      <c r="K106" t="n">
        <v>0</v>
      </c>
      <c r="L106" t="n">
        <v>0</v>
      </c>
      <c r="M106" t="n">
        <v>0</v>
      </c>
      <c r="N106" t="n">
        <v>0</v>
      </c>
      <c r="O106" t="n">
        <v>2</v>
      </c>
      <c r="P106" t="n">
        <v>0</v>
      </c>
      <c r="Q106" t="n">
        <v>3</v>
      </c>
      <c r="R106" s="2" t="inlineStr">
        <is>
          <t>Lunglav
Rosenticka
Vedticka</t>
        </is>
      </c>
      <c r="S106">
        <f>HYPERLINK("https://klasma.github.io/Logging_2260/artfynd/A 29691-2024 artfynd.xlsx", "A 29691-2024")</f>
        <v/>
      </c>
      <c r="T106">
        <f>HYPERLINK("https://klasma.github.io/Logging_2260/kartor/A 29691-2024 karta.png", "A 29691-2024")</f>
        <v/>
      </c>
      <c r="V106">
        <f>HYPERLINK("https://klasma.github.io/Logging_2260/klagomål/A 29691-2024 FSC-klagomål.docx", "A 29691-2024")</f>
        <v/>
      </c>
      <c r="W106">
        <f>HYPERLINK("https://klasma.github.io/Logging_2260/klagomålsmail/A 29691-2024 FSC-klagomål mail.docx", "A 29691-2024")</f>
        <v/>
      </c>
      <c r="X106">
        <f>HYPERLINK("https://klasma.github.io/Logging_2260/tillsyn/A 29691-2024 tillsynsbegäran.docx", "A 29691-2024")</f>
        <v/>
      </c>
      <c r="Y106">
        <f>HYPERLINK("https://klasma.github.io/Logging_2260/tillsynsmail/A 29691-2024 tillsynsbegäran mail.docx", "A 29691-2024")</f>
        <v/>
      </c>
    </row>
    <row r="107" ht="15" customHeight="1">
      <c r="A107" t="inlineStr">
        <is>
          <t>A 39181-2024</t>
        </is>
      </c>
      <c r="B107" s="1" t="n">
        <v>45548</v>
      </c>
      <c r="C107" s="1" t="n">
        <v>45884</v>
      </c>
      <c r="D107" t="inlineStr">
        <is>
          <t>VÄSTERNORRLANDS LÄN</t>
        </is>
      </c>
      <c r="E107" t="inlineStr">
        <is>
          <t>ÅNGE</t>
        </is>
      </c>
      <c r="F107" t="inlineStr">
        <is>
          <t>SCA</t>
        </is>
      </c>
      <c r="G107" t="n">
        <v>21.1</v>
      </c>
      <c r="H107" t="n">
        <v>1</v>
      </c>
      <c r="I107" t="n">
        <v>1</v>
      </c>
      <c r="J107" t="n">
        <v>1</v>
      </c>
      <c r="K107" t="n">
        <v>1</v>
      </c>
      <c r="L107" t="n">
        <v>0</v>
      </c>
      <c r="M107" t="n">
        <v>0</v>
      </c>
      <c r="N107" t="n">
        <v>0</v>
      </c>
      <c r="O107" t="n">
        <v>2</v>
      </c>
      <c r="P107" t="n">
        <v>1</v>
      </c>
      <c r="Q107" t="n">
        <v>3</v>
      </c>
      <c r="R107" s="2" t="inlineStr">
        <is>
          <t>Knärot
Granticka
Kransrams</t>
        </is>
      </c>
      <c r="S107">
        <f>HYPERLINK("https://klasma.github.io/Logging_2260/artfynd/A 39181-2024 artfynd.xlsx", "A 39181-2024")</f>
        <v/>
      </c>
      <c r="T107">
        <f>HYPERLINK("https://klasma.github.io/Logging_2260/kartor/A 39181-2024 karta.png", "A 39181-2024")</f>
        <v/>
      </c>
      <c r="U107">
        <f>HYPERLINK("https://klasma.github.io/Logging_2260/knärot/A 39181-2024 karta knärot.png", "A 39181-2024")</f>
        <v/>
      </c>
      <c r="V107">
        <f>HYPERLINK("https://klasma.github.io/Logging_2260/klagomål/A 39181-2024 FSC-klagomål.docx", "A 39181-2024")</f>
        <v/>
      </c>
      <c r="W107">
        <f>HYPERLINK("https://klasma.github.io/Logging_2260/klagomålsmail/A 39181-2024 FSC-klagomål mail.docx", "A 39181-2024")</f>
        <v/>
      </c>
      <c r="X107">
        <f>HYPERLINK("https://klasma.github.io/Logging_2260/tillsyn/A 39181-2024 tillsynsbegäran.docx", "A 39181-2024")</f>
        <v/>
      </c>
      <c r="Y107">
        <f>HYPERLINK("https://klasma.github.io/Logging_2260/tillsynsmail/A 39181-2024 tillsynsbegäran mail.docx", "A 39181-2024")</f>
        <v/>
      </c>
    </row>
    <row r="108" ht="15" customHeight="1">
      <c r="A108" t="inlineStr">
        <is>
          <t>A 7533-2023</t>
        </is>
      </c>
      <c r="B108" s="1" t="n">
        <v>44971</v>
      </c>
      <c r="C108" s="1" t="n">
        <v>45884</v>
      </c>
      <c r="D108" t="inlineStr">
        <is>
          <t>VÄSTERNORRLANDS LÄN</t>
        </is>
      </c>
      <c r="E108" t="inlineStr">
        <is>
          <t>ÅNGE</t>
        </is>
      </c>
      <c r="F108" t="inlineStr">
        <is>
          <t>SCA</t>
        </is>
      </c>
      <c r="G108" t="n">
        <v>15.7</v>
      </c>
      <c r="H108" t="n">
        <v>2</v>
      </c>
      <c r="I108" t="n">
        <v>0</v>
      </c>
      <c r="J108" t="n">
        <v>1</v>
      </c>
      <c r="K108" t="n">
        <v>1</v>
      </c>
      <c r="L108" t="n">
        <v>0</v>
      </c>
      <c r="M108" t="n">
        <v>0</v>
      </c>
      <c r="N108" t="n">
        <v>0</v>
      </c>
      <c r="O108" t="n">
        <v>2</v>
      </c>
      <c r="P108" t="n">
        <v>1</v>
      </c>
      <c r="Q108" t="n">
        <v>3</v>
      </c>
      <c r="R108" s="2" t="inlineStr">
        <is>
          <t>Doftticka
Lunglav
Blåsippa</t>
        </is>
      </c>
      <c r="S108">
        <f>HYPERLINK("https://klasma.github.io/Logging_2260/artfynd/A 7533-2023 artfynd.xlsx", "A 7533-2023")</f>
        <v/>
      </c>
      <c r="T108">
        <f>HYPERLINK("https://klasma.github.io/Logging_2260/kartor/A 7533-2023 karta.png", "A 7533-2023")</f>
        <v/>
      </c>
      <c r="V108">
        <f>HYPERLINK("https://klasma.github.io/Logging_2260/klagomål/A 7533-2023 FSC-klagomål.docx", "A 7533-2023")</f>
        <v/>
      </c>
      <c r="W108">
        <f>HYPERLINK("https://klasma.github.io/Logging_2260/klagomålsmail/A 7533-2023 FSC-klagomål mail.docx", "A 7533-2023")</f>
        <v/>
      </c>
      <c r="X108">
        <f>HYPERLINK("https://klasma.github.io/Logging_2260/tillsyn/A 7533-2023 tillsynsbegäran.docx", "A 7533-2023")</f>
        <v/>
      </c>
      <c r="Y108">
        <f>HYPERLINK("https://klasma.github.io/Logging_2260/tillsynsmail/A 7533-2023 tillsynsbegäran mail.docx", "A 7533-2023")</f>
        <v/>
      </c>
    </row>
    <row r="109" ht="15" customHeight="1">
      <c r="A109" t="inlineStr">
        <is>
          <t>A 28274-2023</t>
        </is>
      </c>
      <c r="B109" s="1" t="n">
        <v>45099</v>
      </c>
      <c r="C109" s="1" t="n">
        <v>45884</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21267-2025</t>
        </is>
      </c>
      <c r="B110" s="1" t="n">
        <v>45779</v>
      </c>
      <c r="C110" s="1" t="n">
        <v>45884</v>
      </c>
      <c r="D110" t="inlineStr">
        <is>
          <t>VÄSTERNORRLANDS LÄN</t>
        </is>
      </c>
      <c r="E110" t="inlineStr">
        <is>
          <t>ÅNGE</t>
        </is>
      </c>
      <c r="F110" t="inlineStr">
        <is>
          <t>Sveaskog</t>
        </is>
      </c>
      <c r="G110" t="n">
        <v>3.7</v>
      </c>
      <c r="H110" t="n">
        <v>2</v>
      </c>
      <c r="I110" t="n">
        <v>2</v>
      </c>
      <c r="J110" t="n">
        <v>1</v>
      </c>
      <c r="K110" t="n">
        <v>0</v>
      </c>
      <c r="L110" t="n">
        <v>0</v>
      </c>
      <c r="M110" t="n">
        <v>0</v>
      </c>
      <c r="N110" t="n">
        <v>0</v>
      </c>
      <c r="O110" t="n">
        <v>1</v>
      </c>
      <c r="P110" t="n">
        <v>0</v>
      </c>
      <c r="Q110" t="n">
        <v>3</v>
      </c>
      <c r="R110" s="2" t="inlineStr">
        <is>
          <t>Lunglav
Korallrot
Spindelblomster</t>
        </is>
      </c>
      <c r="S110">
        <f>HYPERLINK("https://klasma.github.io/Logging_2260/artfynd/A 21267-2025 artfynd.xlsx", "A 21267-2025")</f>
        <v/>
      </c>
      <c r="T110">
        <f>HYPERLINK("https://klasma.github.io/Logging_2260/kartor/A 21267-2025 karta.png", "A 21267-2025")</f>
        <v/>
      </c>
      <c r="V110">
        <f>HYPERLINK("https://klasma.github.io/Logging_2260/klagomål/A 21267-2025 FSC-klagomål.docx", "A 21267-2025")</f>
        <v/>
      </c>
      <c r="W110">
        <f>HYPERLINK("https://klasma.github.io/Logging_2260/klagomålsmail/A 21267-2025 FSC-klagomål mail.docx", "A 21267-2025")</f>
        <v/>
      </c>
      <c r="X110">
        <f>HYPERLINK("https://klasma.github.io/Logging_2260/tillsyn/A 21267-2025 tillsynsbegäran.docx", "A 21267-2025")</f>
        <v/>
      </c>
      <c r="Y110">
        <f>HYPERLINK("https://klasma.github.io/Logging_2260/tillsynsmail/A 21267-2025 tillsynsbegäran mail.docx", "A 21267-2025")</f>
        <v/>
      </c>
    </row>
    <row r="111" ht="15" customHeight="1">
      <c r="A111" t="inlineStr">
        <is>
          <t>A 23754-2025</t>
        </is>
      </c>
      <c r="B111" s="1" t="n">
        <v>45793.45782407407</v>
      </c>
      <c r="C111" s="1" t="n">
        <v>45884</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45884</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39708-2024</t>
        </is>
      </c>
      <c r="B113" s="1" t="n">
        <v>45552.59408564815</v>
      </c>
      <c r="C113" s="1" t="n">
        <v>45884</v>
      </c>
      <c r="D113" t="inlineStr">
        <is>
          <t>VÄSTERNORRLANDS LÄN</t>
        </is>
      </c>
      <c r="E113" t="inlineStr">
        <is>
          <t>ÅNGE</t>
        </is>
      </c>
      <c r="F113" t="inlineStr">
        <is>
          <t>SCA</t>
        </is>
      </c>
      <c r="G113" t="n">
        <v>6.2</v>
      </c>
      <c r="H113" t="n">
        <v>0</v>
      </c>
      <c r="I113" t="n">
        <v>0</v>
      </c>
      <c r="J113" t="n">
        <v>3</v>
      </c>
      <c r="K113" t="n">
        <v>0</v>
      </c>
      <c r="L113" t="n">
        <v>0</v>
      </c>
      <c r="M113" t="n">
        <v>0</v>
      </c>
      <c r="N113" t="n">
        <v>0</v>
      </c>
      <c r="O113" t="n">
        <v>3</v>
      </c>
      <c r="P113" t="n">
        <v>0</v>
      </c>
      <c r="Q113" t="n">
        <v>3</v>
      </c>
      <c r="R113" s="2" t="inlineStr">
        <is>
          <t>Granticka
Ullticka
Vitgrynig nållav</t>
        </is>
      </c>
      <c r="S113">
        <f>HYPERLINK("https://klasma.github.io/Logging_2260/artfynd/A 39708-2024 artfynd.xlsx", "A 39708-2024")</f>
        <v/>
      </c>
      <c r="T113">
        <f>HYPERLINK("https://klasma.github.io/Logging_2260/kartor/A 39708-2024 karta.png", "A 39708-2024")</f>
        <v/>
      </c>
      <c r="V113">
        <f>HYPERLINK("https://klasma.github.io/Logging_2260/klagomål/A 39708-2024 FSC-klagomål.docx", "A 39708-2024")</f>
        <v/>
      </c>
      <c r="W113">
        <f>HYPERLINK("https://klasma.github.io/Logging_2260/klagomålsmail/A 39708-2024 FSC-klagomål mail.docx", "A 39708-2024")</f>
        <v/>
      </c>
      <c r="X113">
        <f>HYPERLINK("https://klasma.github.io/Logging_2260/tillsyn/A 39708-2024 tillsynsbegäran.docx", "A 39708-2024")</f>
        <v/>
      </c>
      <c r="Y113">
        <f>HYPERLINK("https://klasma.github.io/Logging_2260/tillsynsmail/A 39708-2024 tillsynsbegäran mail.docx", "A 39708-2024")</f>
        <v/>
      </c>
    </row>
    <row r="114" ht="15" customHeight="1">
      <c r="A114" t="inlineStr">
        <is>
          <t>A 22996-2023</t>
        </is>
      </c>
      <c r="B114" s="1" t="n">
        <v>45072</v>
      </c>
      <c r="C114" s="1" t="n">
        <v>45884</v>
      </c>
      <c r="D114" t="inlineStr">
        <is>
          <t>VÄSTERNORRLANDS LÄN</t>
        </is>
      </c>
      <c r="E114" t="inlineStr">
        <is>
          <t>ÅNGE</t>
        </is>
      </c>
      <c r="F114" t="inlineStr">
        <is>
          <t>SCA</t>
        </is>
      </c>
      <c r="G114" t="n">
        <v>2.2</v>
      </c>
      <c r="H114" t="n">
        <v>1</v>
      </c>
      <c r="I114" t="n">
        <v>0</v>
      </c>
      <c r="J114" t="n">
        <v>2</v>
      </c>
      <c r="K114" t="n">
        <v>1</v>
      </c>
      <c r="L114" t="n">
        <v>0</v>
      </c>
      <c r="M114" t="n">
        <v>0</v>
      </c>
      <c r="N114" t="n">
        <v>0</v>
      </c>
      <c r="O114" t="n">
        <v>3</v>
      </c>
      <c r="P114" t="n">
        <v>1</v>
      </c>
      <c r="Q114" t="n">
        <v>3</v>
      </c>
      <c r="R114" s="2" t="inlineStr">
        <is>
          <t>Knärot
Garnlav
Vedtrappmossa</t>
        </is>
      </c>
      <c r="S114">
        <f>HYPERLINK("https://klasma.github.io/Logging_2260/artfynd/A 22996-2023 artfynd.xlsx", "A 22996-2023")</f>
        <v/>
      </c>
      <c r="T114">
        <f>HYPERLINK("https://klasma.github.io/Logging_2260/kartor/A 22996-2023 karta.png", "A 22996-2023")</f>
        <v/>
      </c>
      <c r="U114">
        <f>HYPERLINK("https://klasma.github.io/Logging_2260/knärot/A 22996-2023 karta knärot.png", "A 22996-2023")</f>
        <v/>
      </c>
      <c r="V114">
        <f>HYPERLINK("https://klasma.github.io/Logging_2260/klagomål/A 22996-2023 FSC-klagomål.docx", "A 22996-2023")</f>
        <v/>
      </c>
      <c r="W114">
        <f>HYPERLINK("https://klasma.github.io/Logging_2260/klagomålsmail/A 22996-2023 FSC-klagomål mail.docx", "A 22996-2023")</f>
        <v/>
      </c>
      <c r="X114">
        <f>HYPERLINK("https://klasma.github.io/Logging_2260/tillsyn/A 22996-2023 tillsynsbegäran.docx", "A 22996-2023")</f>
        <v/>
      </c>
      <c r="Y114">
        <f>HYPERLINK("https://klasma.github.io/Logging_2260/tillsynsmail/A 22996-2023 tillsynsbegäran mail.docx", "A 22996-2023")</f>
        <v/>
      </c>
    </row>
    <row r="115" ht="15" customHeight="1">
      <c r="A115" t="inlineStr">
        <is>
          <t>A 26679-2025</t>
        </is>
      </c>
      <c r="B115" s="1" t="n">
        <v>45810</v>
      </c>
      <c r="C115" s="1" t="n">
        <v>45884</v>
      </c>
      <c r="D115" t="inlineStr">
        <is>
          <t>VÄSTERNORRLANDS LÄN</t>
        </is>
      </c>
      <c r="E115" t="inlineStr">
        <is>
          <t>ÅNGE</t>
        </is>
      </c>
      <c r="F115" t="inlineStr">
        <is>
          <t>SCA</t>
        </is>
      </c>
      <c r="G115" t="n">
        <v>5.9</v>
      </c>
      <c r="H115" t="n">
        <v>0</v>
      </c>
      <c r="I115" t="n">
        <v>1</v>
      </c>
      <c r="J115" t="n">
        <v>2</v>
      </c>
      <c r="K115" t="n">
        <v>0</v>
      </c>
      <c r="L115" t="n">
        <v>0</v>
      </c>
      <c r="M115" t="n">
        <v>0</v>
      </c>
      <c r="N115" t="n">
        <v>0</v>
      </c>
      <c r="O115" t="n">
        <v>2</v>
      </c>
      <c r="P115" t="n">
        <v>0</v>
      </c>
      <c r="Q115" t="n">
        <v>3</v>
      </c>
      <c r="R115" s="2" t="inlineStr">
        <is>
          <t>Garnlav
Lunglav
Rödgul trumpetsvamp</t>
        </is>
      </c>
      <c r="S115">
        <f>HYPERLINK("https://klasma.github.io/Logging_2260/artfynd/A 26679-2025 artfynd.xlsx", "A 26679-2025")</f>
        <v/>
      </c>
      <c r="T115">
        <f>HYPERLINK("https://klasma.github.io/Logging_2260/kartor/A 26679-2025 karta.png", "A 26679-2025")</f>
        <v/>
      </c>
      <c r="V115">
        <f>HYPERLINK("https://klasma.github.io/Logging_2260/klagomål/A 26679-2025 FSC-klagomål.docx", "A 26679-2025")</f>
        <v/>
      </c>
      <c r="W115">
        <f>HYPERLINK("https://klasma.github.io/Logging_2260/klagomålsmail/A 26679-2025 FSC-klagomål mail.docx", "A 26679-2025")</f>
        <v/>
      </c>
      <c r="X115">
        <f>HYPERLINK("https://klasma.github.io/Logging_2260/tillsyn/A 26679-2025 tillsynsbegäran.docx", "A 26679-2025")</f>
        <v/>
      </c>
      <c r="Y115">
        <f>HYPERLINK("https://klasma.github.io/Logging_2260/tillsynsmail/A 26679-2025 tillsynsbegäran mail.docx", "A 26679-2025")</f>
        <v/>
      </c>
    </row>
    <row r="116" ht="15" customHeight="1">
      <c r="A116" t="inlineStr">
        <is>
          <t>A 16307-2025</t>
        </is>
      </c>
      <c r="B116" s="1" t="n">
        <v>45751.34686342593</v>
      </c>
      <c r="C116" s="1" t="n">
        <v>45884</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45884</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45884</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38238-2025</t>
        </is>
      </c>
      <c r="B119" s="1" t="n">
        <v>45883.36497685185</v>
      </c>
      <c r="C119" s="1" t="n">
        <v>45884</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46130-2020</t>
        </is>
      </c>
      <c r="B120" s="1" t="n">
        <v>44091</v>
      </c>
      <c r="C120" s="1" t="n">
        <v>45884</v>
      </c>
      <c r="D120" t="inlineStr">
        <is>
          <t>VÄSTERNORRLANDS LÄN</t>
        </is>
      </c>
      <c r="E120" t="inlineStr">
        <is>
          <t>ÅNGE</t>
        </is>
      </c>
      <c r="F120" t="inlineStr">
        <is>
          <t>SCA</t>
        </is>
      </c>
      <c r="G120" t="n">
        <v>8.4</v>
      </c>
      <c r="H120" t="n">
        <v>0</v>
      </c>
      <c r="I120" t="n">
        <v>1</v>
      </c>
      <c r="J120" t="n">
        <v>1</v>
      </c>
      <c r="K120" t="n">
        <v>0</v>
      </c>
      <c r="L120" t="n">
        <v>0</v>
      </c>
      <c r="M120" t="n">
        <v>0</v>
      </c>
      <c r="N120" t="n">
        <v>0</v>
      </c>
      <c r="O120" t="n">
        <v>1</v>
      </c>
      <c r="P120" t="n">
        <v>0</v>
      </c>
      <c r="Q120" t="n">
        <v>2</v>
      </c>
      <c r="R120" s="2" t="inlineStr">
        <is>
          <t>Ullticka
Kambräken</t>
        </is>
      </c>
      <c r="S120">
        <f>HYPERLINK("https://klasma.github.io/Logging_2260/artfynd/A 46130-2020 artfynd.xlsx", "A 46130-2020")</f>
        <v/>
      </c>
      <c r="T120">
        <f>HYPERLINK("https://klasma.github.io/Logging_2260/kartor/A 46130-2020 karta.png", "A 46130-2020")</f>
        <v/>
      </c>
      <c r="V120">
        <f>HYPERLINK("https://klasma.github.io/Logging_2260/klagomål/A 46130-2020 FSC-klagomål.docx", "A 46130-2020")</f>
        <v/>
      </c>
      <c r="W120">
        <f>HYPERLINK("https://klasma.github.io/Logging_2260/klagomålsmail/A 46130-2020 FSC-klagomål mail.docx", "A 46130-2020")</f>
        <v/>
      </c>
      <c r="X120">
        <f>HYPERLINK("https://klasma.github.io/Logging_2260/tillsyn/A 46130-2020 tillsynsbegäran.docx", "A 46130-2020")</f>
        <v/>
      </c>
      <c r="Y120">
        <f>HYPERLINK("https://klasma.github.io/Logging_2260/tillsynsmail/A 46130-2020 tillsynsbegäran mail.docx", "A 46130-2020")</f>
        <v/>
      </c>
    </row>
    <row r="121" ht="15" customHeight="1">
      <c r="A121" t="inlineStr">
        <is>
          <t>A 36635-2021</t>
        </is>
      </c>
      <c r="B121" s="1" t="n">
        <v>44391</v>
      </c>
      <c r="C121" s="1" t="n">
        <v>45884</v>
      </c>
      <c r="D121" t="inlineStr">
        <is>
          <t>VÄSTERNORRLANDS LÄN</t>
        </is>
      </c>
      <c r="E121" t="inlineStr">
        <is>
          <t>ÅNGE</t>
        </is>
      </c>
      <c r="F121" t="inlineStr">
        <is>
          <t>SCA</t>
        </is>
      </c>
      <c r="G121" t="n">
        <v>3.7</v>
      </c>
      <c r="H121" t="n">
        <v>1</v>
      </c>
      <c r="I121" t="n">
        <v>0</v>
      </c>
      <c r="J121" t="n">
        <v>1</v>
      </c>
      <c r="K121" t="n">
        <v>1</v>
      </c>
      <c r="L121" t="n">
        <v>0</v>
      </c>
      <c r="M121" t="n">
        <v>0</v>
      </c>
      <c r="N121" t="n">
        <v>0</v>
      </c>
      <c r="O121" t="n">
        <v>2</v>
      </c>
      <c r="P121" t="n">
        <v>1</v>
      </c>
      <c r="Q121" t="n">
        <v>2</v>
      </c>
      <c r="R121" s="2" t="inlineStr">
        <is>
          <t>Knärot
Tallticka</t>
        </is>
      </c>
      <c r="S121">
        <f>HYPERLINK("https://klasma.github.io/Logging_2260/artfynd/A 36635-2021 artfynd.xlsx", "A 36635-2021")</f>
        <v/>
      </c>
      <c r="T121">
        <f>HYPERLINK("https://klasma.github.io/Logging_2260/kartor/A 36635-2021 karta.png", "A 36635-2021")</f>
        <v/>
      </c>
      <c r="U121">
        <f>HYPERLINK("https://klasma.github.io/Logging_2260/knärot/A 36635-2021 karta knärot.png", "A 36635-2021")</f>
        <v/>
      </c>
      <c r="V121">
        <f>HYPERLINK("https://klasma.github.io/Logging_2260/klagomål/A 36635-2021 FSC-klagomål.docx", "A 36635-2021")</f>
        <v/>
      </c>
      <c r="W121">
        <f>HYPERLINK("https://klasma.github.io/Logging_2260/klagomålsmail/A 36635-2021 FSC-klagomål mail.docx", "A 36635-2021")</f>
        <v/>
      </c>
      <c r="X121">
        <f>HYPERLINK("https://klasma.github.io/Logging_2260/tillsyn/A 36635-2021 tillsynsbegäran.docx", "A 36635-2021")</f>
        <v/>
      </c>
      <c r="Y121">
        <f>HYPERLINK("https://klasma.github.io/Logging_2260/tillsynsmail/A 36635-2021 tillsynsbegäran mail.docx", "A 36635-2021")</f>
        <v/>
      </c>
    </row>
    <row r="122" ht="15" customHeight="1">
      <c r="A122" t="inlineStr">
        <is>
          <t>A 1082-2022</t>
        </is>
      </c>
      <c r="B122" s="1" t="n">
        <v>44571</v>
      </c>
      <c r="C122" s="1" t="n">
        <v>45884</v>
      </c>
      <c r="D122" t="inlineStr">
        <is>
          <t>VÄSTERNORRLANDS LÄN</t>
        </is>
      </c>
      <c r="E122" t="inlineStr">
        <is>
          <t>ÅNGE</t>
        </is>
      </c>
      <c r="G122" t="n">
        <v>0.9</v>
      </c>
      <c r="H122" t="n">
        <v>1</v>
      </c>
      <c r="I122" t="n">
        <v>0</v>
      </c>
      <c r="J122" t="n">
        <v>2</v>
      </c>
      <c r="K122" t="n">
        <v>0</v>
      </c>
      <c r="L122" t="n">
        <v>0</v>
      </c>
      <c r="M122" t="n">
        <v>0</v>
      </c>
      <c r="N122" t="n">
        <v>0</v>
      </c>
      <c r="O122" t="n">
        <v>2</v>
      </c>
      <c r="P122" t="n">
        <v>0</v>
      </c>
      <c r="Q122" t="n">
        <v>2</v>
      </c>
      <c r="R122" s="2" t="inlineStr">
        <is>
          <t>Garnlav
Talltita</t>
        </is>
      </c>
      <c r="S122">
        <f>HYPERLINK("https://klasma.github.io/Logging_2260/artfynd/A 1082-2022 artfynd.xlsx", "A 1082-2022")</f>
        <v/>
      </c>
      <c r="T122">
        <f>HYPERLINK("https://klasma.github.io/Logging_2260/kartor/A 1082-2022 karta.png", "A 1082-2022")</f>
        <v/>
      </c>
      <c r="V122">
        <f>HYPERLINK("https://klasma.github.io/Logging_2260/klagomål/A 1082-2022 FSC-klagomål.docx", "A 1082-2022")</f>
        <v/>
      </c>
      <c r="W122">
        <f>HYPERLINK("https://klasma.github.io/Logging_2260/klagomålsmail/A 1082-2022 FSC-klagomål mail.docx", "A 1082-2022")</f>
        <v/>
      </c>
      <c r="X122">
        <f>HYPERLINK("https://klasma.github.io/Logging_2260/tillsyn/A 1082-2022 tillsynsbegäran.docx", "A 1082-2022")</f>
        <v/>
      </c>
      <c r="Y122">
        <f>HYPERLINK("https://klasma.github.io/Logging_2260/tillsynsmail/A 1082-2022 tillsynsbegäran mail.docx", "A 1082-2022")</f>
        <v/>
      </c>
      <c r="Z122">
        <f>HYPERLINK("https://klasma.github.io/Logging_2260/fåglar/A 1082-2022 prioriterade fågelarter.docx", "A 1082-2022")</f>
        <v/>
      </c>
    </row>
    <row r="123" ht="15" customHeight="1">
      <c r="A123" t="inlineStr">
        <is>
          <t>A 47798-2022</t>
        </is>
      </c>
      <c r="B123" s="1" t="n">
        <v>44854.95365740741</v>
      </c>
      <c r="C123" s="1" t="n">
        <v>45884</v>
      </c>
      <c r="D123" t="inlineStr">
        <is>
          <t>VÄSTERNORRLANDS LÄN</t>
        </is>
      </c>
      <c r="E123" t="inlineStr">
        <is>
          <t>ÅNGE</t>
        </is>
      </c>
      <c r="F123" t="inlineStr">
        <is>
          <t>SCA</t>
        </is>
      </c>
      <c r="G123" t="n">
        <v>8.300000000000001</v>
      </c>
      <c r="H123" t="n">
        <v>0</v>
      </c>
      <c r="I123" t="n">
        <v>1</v>
      </c>
      <c r="J123" t="n">
        <v>1</v>
      </c>
      <c r="K123" t="n">
        <v>0</v>
      </c>
      <c r="L123" t="n">
        <v>0</v>
      </c>
      <c r="M123" t="n">
        <v>0</v>
      </c>
      <c r="N123" t="n">
        <v>0</v>
      </c>
      <c r="O123" t="n">
        <v>1</v>
      </c>
      <c r="P123" t="n">
        <v>0</v>
      </c>
      <c r="Q123" t="n">
        <v>2</v>
      </c>
      <c r="R123" s="2" t="inlineStr">
        <is>
          <t>Lunglav
Kransrams</t>
        </is>
      </c>
      <c r="S123">
        <f>HYPERLINK("https://klasma.github.io/Logging_2260/artfynd/A 47798-2022 artfynd.xlsx", "A 47798-2022")</f>
        <v/>
      </c>
      <c r="T123">
        <f>HYPERLINK("https://klasma.github.io/Logging_2260/kartor/A 47798-2022 karta.png", "A 47798-2022")</f>
        <v/>
      </c>
      <c r="V123">
        <f>HYPERLINK("https://klasma.github.io/Logging_2260/klagomål/A 47798-2022 FSC-klagomål.docx", "A 47798-2022")</f>
        <v/>
      </c>
      <c r="W123">
        <f>HYPERLINK("https://klasma.github.io/Logging_2260/klagomålsmail/A 47798-2022 FSC-klagomål mail.docx", "A 47798-2022")</f>
        <v/>
      </c>
      <c r="X123">
        <f>HYPERLINK("https://klasma.github.io/Logging_2260/tillsyn/A 47798-2022 tillsynsbegäran.docx", "A 47798-2022")</f>
        <v/>
      </c>
      <c r="Y123">
        <f>HYPERLINK("https://klasma.github.io/Logging_2260/tillsynsmail/A 47798-2022 tillsynsbegäran mail.docx", "A 47798-2022")</f>
        <v/>
      </c>
    </row>
    <row r="124" ht="15" customHeight="1">
      <c r="A124" t="inlineStr">
        <is>
          <t>A 48152-2022</t>
        </is>
      </c>
      <c r="B124" s="1" t="n">
        <v>44853</v>
      </c>
      <c r="C124" s="1" t="n">
        <v>45884</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44854.95371527778</v>
      </c>
      <c r="C125" s="1" t="n">
        <v>45884</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40965-2021</t>
        </is>
      </c>
      <c r="B126" s="1" t="n">
        <v>44421.57918981482</v>
      </c>
      <c r="C126" s="1" t="n">
        <v>45884</v>
      </c>
      <c r="D126" t="inlineStr">
        <is>
          <t>VÄSTERNORRLANDS LÄN</t>
        </is>
      </c>
      <c r="E126" t="inlineStr">
        <is>
          <t>ÅNGE</t>
        </is>
      </c>
      <c r="F126" t="inlineStr">
        <is>
          <t>Sveaskog</t>
        </is>
      </c>
      <c r="G126" t="n">
        <v>5.4</v>
      </c>
      <c r="H126" t="n">
        <v>1</v>
      </c>
      <c r="I126" t="n">
        <v>1</v>
      </c>
      <c r="J126" t="n">
        <v>1</v>
      </c>
      <c r="K126" t="n">
        <v>0</v>
      </c>
      <c r="L126" t="n">
        <v>0</v>
      </c>
      <c r="M126" t="n">
        <v>0</v>
      </c>
      <c r="N126" t="n">
        <v>0</v>
      </c>
      <c r="O126" t="n">
        <v>1</v>
      </c>
      <c r="P126" t="n">
        <v>0</v>
      </c>
      <c r="Q126" t="n">
        <v>2</v>
      </c>
      <c r="R126" s="2" t="inlineStr">
        <is>
          <t>Skogsfru
Skogsbräsma</t>
        </is>
      </c>
      <c r="S126">
        <f>HYPERLINK("https://klasma.github.io/Logging_2260/artfynd/A 40965-2021 artfynd.xlsx", "A 40965-2021")</f>
        <v/>
      </c>
      <c r="T126">
        <f>HYPERLINK("https://klasma.github.io/Logging_2260/kartor/A 40965-2021 karta.png", "A 40965-2021")</f>
        <v/>
      </c>
      <c r="V126">
        <f>HYPERLINK("https://klasma.github.io/Logging_2260/klagomål/A 40965-2021 FSC-klagomål.docx", "A 40965-2021")</f>
        <v/>
      </c>
      <c r="W126">
        <f>HYPERLINK("https://klasma.github.io/Logging_2260/klagomålsmail/A 40965-2021 FSC-klagomål mail.docx", "A 40965-2021")</f>
        <v/>
      </c>
      <c r="X126">
        <f>HYPERLINK("https://klasma.github.io/Logging_2260/tillsyn/A 40965-2021 tillsynsbegäran.docx", "A 40965-2021")</f>
        <v/>
      </c>
      <c r="Y126">
        <f>HYPERLINK("https://klasma.github.io/Logging_2260/tillsynsmail/A 40965-2021 tillsynsbegäran mail.docx", "A 40965-2021")</f>
        <v/>
      </c>
    </row>
    <row r="127" ht="15" customHeight="1">
      <c r="A127" t="inlineStr">
        <is>
          <t>A 8234-2022</t>
        </is>
      </c>
      <c r="B127" s="1" t="n">
        <v>44609</v>
      </c>
      <c r="C127" s="1" t="n">
        <v>45884</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57597-2022</t>
        </is>
      </c>
      <c r="B128" s="1" t="n">
        <v>44896.97878472223</v>
      </c>
      <c r="C128" s="1" t="n">
        <v>45884</v>
      </c>
      <c r="D128" t="inlineStr">
        <is>
          <t>VÄSTERNORRLANDS LÄN</t>
        </is>
      </c>
      <c r="E128" t="inlineStr">
        <is>
          <t>ÅNGE</t>
        </is>
      </c>
      <c r="F128" t="inlineStr">
        <is>
          <t>SCA</t>
        </is>
      </c>
      <c r="G128" t="n">
        <v>6.2</v>
      </c>
      <c r="H128" t="n">
        <v>0</v>
      </c>
      <c r="I128" t="n">
        <v>0</v>
      </c>
      <c r="J128" t="n">
        <v>2</v>
      </c>
      <c r="K128" t="n">
        <v>0</v>
      </c>
      <c r="L128" t="n">
        <v>0</v>
      </c>
      <c r="M128" t="n">
        <v>0</v>
      </c>
      <c r="N128" t="n">
        <v>0</v>
      </c>
      <c r="O128" t="n">
        <v>2</v>
      </c>
      <c r="P128" t="n">
        <v>0</v>
      </c>
      <c r="Q128" t="n">
        <v>2</v>
      </c>
      <c r="R128" s="2" t="inlineStr">
        <is>
          <t>Garnlav
Lunglav</t>
        </is>
      </c>
      <c r="S128">
        <f>HYPERLINK("https://klasma.github.io/Logging_2260/artfynd/A 57597-2022 artfynd.xlsx", "A 57597-2022")</f>
        <v/>
      </c>
      <c r="T128">
        <f>HYPERLINK("https://klasma.github.io/Logging_2260/kartor/A 57597-2022 karta.png", "A 57597-2022")</f>
        <v/>
      </c>
      <c r="V128">
        <f>HYPERLINK("https://klasma.github.io/Logging_2260/klagomål/A 57597-2022 FSC-klagomål.docx", "A 57597-2022")</f>
        <v/>
      </c>
      <c r="W128">
        <f>HYPERLINK("https://klasma.github.io/Logging_2260/klagomålsmail/A 57597-2022 FSC-klagomål mail.docx", "A 57597-2022")</f>
        <v/>
      </c>
      <c r="X128">
        <f>HYPERLINK("https://klasma.github.io/Logging_2260/tillsyn/A 57597-2022 tillsynsbegäran.docx", "A 57597-2022")</f>
        <v/>
      </c>
      <c r="Y128">
        <f>HYPERLINK("https://klasma.github.io/Logging_2260/tillsynsmail/A 57597-2022 tillsynsbegäran mail.docx", "A 57597-2022")</f>
        <v/>
      </c>
    </row>
    <row r="129" ht="15" customHeight="1">
      <c r="A129" t="inlineStr">
        <is>
          <t>A 62861-2021</t>
        </is>
      </c>
      <c r="B129" s="1" t="n">
        <v>44503</v>
      </c>
      <c r="C129" s="1" t="n">
        <v>45884</v>
      </c>
      <c r="D129" t="inlineStr">
        <is>
          <t>VÄSTERNORRLANDS LÄN</t>
        </is>
      </c>
      <c r="E129" t="inlineStr">
        <is>
          <t>ÅNGE</t>
        </is>
      </c>
      <c r="F129" t="inlineStr">
        <is>
          <t>Övriga statliga verk och myndigheter</t>
        </is>
      </c>
      <c r="G129" t="n">
        <v>12.1</v>
      </c>
      <c r="H129" t="n">
        <v>1</v>
      </c>
      <c r="I129" t="n">
        <v>0</v>
      </c>
      <c r="J129" t="n">
        <v>1</v>
      </c>
      <c r="K129" t="n">
        <v>1</v>
      </c>
      <c r="L129" t="n">
        <v>0</v>
      </c>
      <c r="M129" t="n">
        <v>0</v>
      </c>
      <c r="N129" t="n">
        <v>0</v>
      </c>
      <c r="O129" t="n">
        <v>2</v>
      </c>
      <c r="P129" t="n">
        <v>1</v>
      </c>
      <c r="Q129" t="n">
        <v>2</v>
      </c>
      <c r="R129" s="2" t="inlineStr">
        <is>
          <t>Knärot
Rosenticka</t>
        </is>
      </c>
      <c r="S129">
        <f>HYPERLINK("https://klasma.github.io/Logging_2260/artfynd/A 62861-2021 artfynd.xlsx", "A 62861-2021")</f>
        <v/>
      </c>
      <c r="T129">
        <f>HYPERLINK("https://klasma.github.io/Logging_2260/kartor/A 62861-2021 karta.png", "A 62861-2021")</f>
        <v/>
      </c>
      <c r="U129">
        <f>HYPERLINK("https://klasma.github.io/Logging_2260/knärot/A 62861-2021 karta knärot.png", "A 62861-2021")</f>
        <v/>
      </c>
      <c r="V129">
        <f>HYPERLINK("https://klasma.github.io/Logging_2260/klagomål/A 62861-2021 FSC-klagomål.docx", "A 62861-2021")</f>
        <v/>
      </c>
      <c r="W129">
        <f>HYPERLINK("https://klasma.github.io/Logging_2260/klagomålsmail/A 62861-2021 FSC-klagomål mail.docx", "A 62861-2021")</f>
        <v/>
      </c>
      <c r="X129">
        <f>HYPERLINK("https://klasma.github.io/Logging_2260/tillsyn/A 62861-2021 tillsynsbegäran.docx", "A 62861-2021")</f>
        <v/>
      </c>
      <c r="Y129">
        <f>HYPERLINK("https://klasma.github.io/Logging_2260/tillsynsmail/A 62861-2021 tillsynsbegäran mail.docx", "A 62861-2021")</f>
        <v/>
      </c>
    </row>
    <row r="130" ht="15" customHeight="1">
      <c r="A130" t="inlineStr">
        <is>
          <t>A 25034-2024</t>
        </is>
      </c>
      <c r="B130" s="1" t="n">
        <v>45461.96458333333</v>
      </c>
      <c r="C130" s="1" t="n">
        <v>45884</v>
      </c>
      <c r="D130" t="inlineStr">
        <is>
          <t>VÄSTERNORRLANDS LÄN</t>
        </is>
      </c>
      <c r="E130" t="inlineStr">
        <is>
          <t>ÅNGE</t>
        </is>
      </c>
      <c r="F130" t="inlineStr">
        <is>
          <t>SCA</t>
        </is>
      </c>
      <c r="G130" t="n">
        <v>3.3</v>
      </c>
      <c r="H130" t="n">
        <v>0</v>
      </c>
      <c r="I130" t="n">
        <v>0</v>
      </c>
      <c r="J130" t="n">
        <v>2</v>
      </c>
      <c r="K130" t="n">
        <v>0</v>
      </c>
      <c r="L130" t="n">
        <v>0</v>
      </c>
      <c r="M130" t="n">
        <v>0</v>
      </c>
      <c r="N130" t="n">
        <v>0</v>
      </c>
      <c r="O130" t="n">
        <v>2</v>
      </c>
      <c r="P130" t="n">
        <v>0</v>
      </c>
      <c r="Q130" t="n">
        <v>2</v>
      </c>
      <c r="R130" s="2" t="inlineStr">
        <is>
          <t>Rosenticka
Ullticka</t>
        </is>
      </c>
      <c r="S130">
        <f>HYPERLINK("https://klasma.github.io/Logging_2260/artfynd/A 25034-2024 artfynd.xlsx", "A 25034-2024")</f>
        <v/>
      </c>
      <c r="T130">
        <f>HYPERLINK("https://klasma.github.io/Logging_2260/kartor/A 25034-2024 karta.png", "A 25034-2024")</f>
        <v/>
      </c>
      <c r="V130">
        <f>HYPERLINK("https://klasma.github.io/Logging_2260/klagomål/A 25034-2024 FSC-klagomål.docx", "A 25034-2024")</f>
        <v/>
      </c>
      <c r="W130">
        <f>HYPERLINK("https://klasma.github.io/Logging_2260/klagomålsmail/A 25034-2024 FSC-klagomål mail.docx", "A 25034-2024")</f>
        <v/>
      </c>
      <c r="X130">
        <f>HYPERLINK("https://klasma.github.io/Logging_2260/tillsyn/A 25034-2024 tillsynsbegäran.docx", "A 25034-2024")</f>
        <v/>
      </c>
      <c r="Y130">
        <f>HYPERLINK("https://klasma.github.io/Logging_2260/tillsynsmail/A 25034-2024 tillsynsbegäran mail.docx", "A 25034-2024")</f>
        <v/>
      </c>
    </row>
    <row r="131" ht="15" customHeight="1">
      <c r="A131" t="inlineStr">
        <is>
          <t>A 48374-2024</t>
        </is>
      </c>
      <c r="B131" s="1" t="n">
        <v>45590.58028935185</v>
      </c>
      <c r="C131" s="1" t="n">
        <v>45884</v>
      </c>
      <c r="D131" t="inlineStr">
        <is>
          <t>VÄSTERNORRLANDS LÄN</t>
        </is>
      </c>
      <c r="E131" t="inlineStr">
        <is>
          <t>ÅNGE</t>
        </is>
      </c>
      <c r="G131" t="n">
        <v>6.6</v>
      </c>
      <c r="H131" t="n">
        <v>0</v>
      </c>
      <c r="I131" t="n">
        <v>1</v>
      </c>
      <c r="J131" t="n">
        <v>1</v>
      </c>
      <c r="K131" t="n">
        <v>0</v>
      </c>
      <c r="L131" t="n">
        <v>0</v>
      </c>
      <c r="M131" t="n">
        <v>0</v>
      </c>
      <c r="N131" t="n">
        <v>0</v>
      </c>
      <c r="O131" t="n">
        <v>1</v>
      </c>
      <c r="P131" t="n">
        <v>0</v>
      </c>
      <c r="Q131" t="n">
        <v>2</v>
      </c>
      <c r="R131" s="2" t="inlineStr">
        <is>
          <t>Kolflarnlav
Bollvitmossa</t>
        </is>
      </c>
      <c r="S131">
        <f>HYPERLINK("https://klasma.github.io/Logging_2260/artfynd/A 48374-2024 artfynd.xlsx", "A 48374-2024")</f>
        <v/>
      </c>
      <c r="T131">
        <f>HYPERLINK("https://klasma.github.io/Logging_2260/kartor/A 48374-2024 karta.png", "A 48374-2024")</f>
        <v/>
      </c>
      <c r="V131">
        <f>HYPERLINK("https://klasma.github.io/Logging_2260/klagomål/A 48374-2024 FSC-klagomål.docx", "A 48374-2024")</f>
        <v/>
      </c>
      <c r="W131">
        <f>HYPERLINK("https://klasma.github.io/Logging_2260/klagomålsmail/A 48374-2024 FSC-klagomål mail.docx", "A 48374-2024")</f>
        <v/>
      </c>
      <c r="X131">
        <f>HYPERLINK("https://klasma.github.io/Logging_2260/tillsyn/A 48374-2024 tillsynsbegäran.docx", "A 48374-2024")</f>
        <v/>
      </c>
      <c r="Y131">
        <f>HYPERLINK("https://klasma.github.io/Logging_2260/tillsynsmail/A 48374-2024 tillsynsbegäran mail.docx", "A 48374-2024")</f>
        <v/>
      </c>
    </row>
    <row r="132" ht="15" customHeight="1">
      <c r="A132" t="inlineStr">
        <is>
          <t>A 55591-2021</t>
        </is>
      </c>
      <c r="B132" s="1" t="n">
        <v>44475</v>
      </c>
      <c r="C132" s="1" t="n">
        <v>45884</v>
      </c>
      <c r="D132" t="inlineStr">
        <is>
          <t>VÄSTERNORRLANDS LÄN</t>
        </is>
      </c>
      <c r="E132" t="inlineStr">
        <is>
          <t>ÅNGE</t>
        </is>
      </c>
      <c r="G132" t="n">
        <v>3.6</v>
      </c>
      <c r="H132" t="n">
        <v>0</v>
      </c>
      <c r="I132" t="n">
        <v>0</v>
      </c>
      <c r="J132" t="n">
        <v>2</v>
      </c>
      <c r="K132" t="n">
        <v>0</v>
      </c>
      <c r="L132" t="n">
        <v>0</v>
      </c>
      <c r="M132" t="n">
        <v>0</v>
      </c>
      <c r="N132" t="n">
        <v>0</v>
      </c>
      <c r="O132" t="n">
        <v>2</v>
      </c>
      <c r="P132" t="n">
        <v>0</v>
      </c>
      <c r="Q132" t="n">
        <v>2</v>
      </c>
      <c r="R132" s="2" t="inlineStr">
        <is>
          <t>Kolflarnlav
Skrovlig taggsvamp</t>
        </is>
      </c>
      <c r="S132">
        <f>HYPERLINK("https://klasma.github.io/Logging_2260/artfynd/A 55591-2021 artfynd.xlsx", "A 55591-2021")</f>
        <v/>
      </c>
      <c r="T132">
        <f>HYPERLINK("https://klasma.github.io/Logging_2260/kartor/A 55591-2021 karta.png", "A 55591-2021")</f>
        <v/>
      </c>
      <c r="V132">
        <f>HYPERLINK("https://klasma.github.io/Logging_2260/klagomål/A 55591-2021 FSC-klagomål.docx", "A 55591-2021")</f>
        <v/>
      </c>
      <c r="W132">
        <f>HYPERLINK("https://klasma.github.io/Logging_2260/klagomålsmail/A 55591-2021 FSC-klagomål mail.docx", "A 55591-2021")</f>
        <v/>
      </c>
      <c r="X132">
        <f>HYPERLINK("https://klasma.github.io/Logging_2260/tillsyn/A 55591-2021 tillsynsbegäran.docx", "A 55591-2021")</f>
        <v/>
      </c>
      <c r="Y132">
        <f>HYPERLINK("https://klasma.github.io/Logging_2260/tillsynsmail/A 55591-2021 tillsynsbegäran mail.docx", "A 55591-2021")</f>
        <v/>
      </c>
    </row>
    <row r="133" ht="15" customHeight="1">
      <c r="A133" t="inlineStr">
        <is>
          <t>A 29325-2023</t>
        </is>
      </c>
      <c r="B133" s="1" t="n">
        <v>45105</v>
      </c>
      <c r="C133" s="1" t="n">
        <v>45884</v>
      </c>
      <c r="D133" t="inlineStr">
        <is>
          <t>VÄSTERNORRLANDS LÄN</t>
        </is>
      </c>
      <c r="E133" t="inlineStr">
        <is>
          <t>ÅNGE</t>
        </is>
      </c>
      <c r="G133" t="n">
        <v>12.4</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HYPERLINK("https://klasma.github.io/Logging_2260/artfynd/A 29325-2023 artfynd.xlsx", "A 29325-2023")</f>
        <v/>
      </c>
      <c r="T133">
        <f>HYPERLINK("https://klasma.github.io/Logging_2260/kartor/A 29325-2023 karta.png", "A 29325-2023")</f>
        <v/>
      </c>
      <c r="V133">
        <f>HYPERLINK("https://klasma.github.io/Logging_2260/klagomål/A 29325-2023 FSC-klagomål.docx", "A 29325-2023")</f>
        <v/>
      </c>
      <c r="W133">
        <f>HYPERLINK("https://klasma.github.io/Logging_2260/klagomålsmail/A 29325-2023 FSC-klagomål mail.docx", "A 29325-2023")</f>
        <v/>
      </c>
      <c r="X133">
        <f>HYPERLINK("https://klasma.github.io/Logging_2260/tillsyn/A 29325-2023 tillsynsbegäran.docx", "A 29325-2023")</f>
        <v/>
      </c>
      <c r="Y133">
        <f>HYPERLINK("https://klasma.github.io/Logging_2260/tillsynsmail/A 29325-2023 tillsynsbegäran mail.docx", "A 29325-2023")</f>
        <v/>
      </c>
    </row>
    <row r="134" ht="15" customHeight="1">
      <c r="A134" t="inlineStr">
        <is>
          <t>A 55178-2024</t>
        </is>
      </c>
      <c r="B134" s="1" t="n">
        <v>45621</v>
      </c>
      <c r="C134" s="1" t="n">
        <v>45884</v>
      </c>
      <c r="D134" t="inlineStr">
        <is>
          <t>VÄSTERNORRLANDS LÄN</t>
        </is>
      </c>
      <c r="E134" t="inlineStr">
        <is>
          <t>ÅNGE</t>
        </is>
      </c>
      <c r="F134" t="inlineStr">
        <is>
          <t>SCA</t>
        </is>
      </c>
      <c r="G134" t="n">
        <v>4.8</v>
      </c>
      <c r="H134" t="n">
        <v>1</v>
      </c>
      <c r="I134" t="n">
        <v>0</v>
      </c>
      <c r="J134" t="n">
        <v>1</v>
      </c>
      <c r="K134" t="n">
        <v>1</v>
      </c>
      <c r="L134" t="n">
        <v>0</v>
      </c>
      <c r="M134" t="n">
        <v>0</v>
      </c>
      <c r="N134" t="n">
        <v>0</v>
      </c>
      <c r="O134" t="n">
        <v>2</v>
      </c>
      <c r="P134" t="n">
        <v>1</v>
      </c>
      <c r="Q134" t="n">
        <v>2</v>
      </c>
      <c r="R134" s="2" t="inlineStr">
        <is>
          <t>Knärot
Stiftgelélav</t>
        </is>
      </c>
      <c r="S134">
        <f>HYPERLINK("https://klasma.github.io/Logging_2260/artfynd/A 55178-2024 artfynd.xlsx", "A 55178-2024")</f>
        <v/>
      </c>
      <c r="T134">
        <f>HYPERLINK("https://klasma.github.io/Logging_2260/kartor/A 55178-2024 karta.png", "A 55178-2024")</f>
        <v/>
      </c>
      <c r="U134">
        <f>HYPERLINK("https://klasma.github.io/Logging_2260/knärot/A 55178-2024 karta knärot.png", "A 55178-2024")</f>
        <v/>
      </c>
      <c r="V134">
        <f>HYPERLINK("https://klasma.github.io/Logging_2260/klagomål/A 55178-2024 FSC-klagomål.docx", "A 55178-2024")</f>
        <v/>
      </c>
      <c r="W134">
        <f>HYPERLINK("https://klasma.github.io/Logging_2260/klagomålsmail/A 55178-2024 FSC-klagomål mail.docx", "A 55178-2024")</f>
        <v/>
      </c>
      <c r="X134">
        <f>HYPERLINK("https://klasma.github.io/Logging_2260/tillsyn/A 55178-2024 tillsynsbegäran.docx", "A 55178-2024")</f>
        <v/>
      </c>
      <c r="Y134">
        <f>HYPERLINK("https://klasma.github.io/Logging_2260/tillsynsmail/A 55178-2024 tillsynsbegäran mail.docx", "A 55178-2024")</f>
        <v/>
      </c>
    </row>
    <row r="135" ht="15" customHeight="1">
      <c r="A135" t="inlineStr">
        <is>
          <t>A 49871-2024</t>
        </is>
      </c>
      <c r="B135" s="1" t="n">
        <v>45597.4903125</v>
      </c>
      <c r="C135" s="1" t="n">
        <v>45884</v>
      </c>
      <c r="D135" t="inlineStr">
        <is>
          <t>VÄSTERNORRLANDS LÄN</t>
        </is>
      </c>
      <c r="E135" t="inlineStr">
        <is>
          <t>ÅNGE</t>
        </is>
      </c>
      <c r="F135" t="inlineStr">
        <is>
          <t>SCA</t>
        </is>
      </c>
      <c r="G135" t="n">
        <v>6.3</v>
      </c>
      <c r="H135" t="n">
        <v>1</v>
      </c>
      <c r="I135" t="n">
        <v>0</v>
      </c>
      <c r="J135" t="n">
        <v>1</v>
      </c>
      <c r="K135" t="n">
        <v>1</v>
      </c>
      <c r="L135" t="n">
        <v>0</v>
      </c>
      <c r="M135" t="n">
        <v>0</v>
      </c>
      <c r="N135" t="n">
        <v>0</v>
      </c>
      <c r="O135" t="n">
        <v>2</v>
      </c>
      <c r="P135" t="n">
        <v>1</v>
      </c>
      <c r="Q135" t="n">
        <v>2</v>
      </c>
      <c r="R135" s="2" t="inlineStr">
        <is>
          <t>Knärot
Garnlav</t>
        </is>
      </c>
      <c r="S135">
        <f>HYPERLINK("https://klasma.github.io/Logging_2260/artfynd/A 49871-2024 artfynd.xlsx", "A 49871-2024")</f>
        <v/>
      </c>
      <c r="T135">
        <f>HYPERLINK("https://klasma.github.io/Logging_2260/kartor/A 49871-2024 karta.png", "A 49871-2024")</f>
        <v/>
      </c>
      <c r="U135">
        <f>HYPERLINK("https://klasma.github.io/Logging_2260/knärot/A 49871-2024 karta knärot.png", "A 49871-2024")</f>
        <v/>
      </c>
      <c r="V135">
        <f>HYPERLINK("https://klasma.github.io/Logging_2260/klagomål/A 49871-2024 FSC-klagomål.docx", "A 49871-2024")</f>
        <v/>
      </c>
      <c r="W135">
        <f>HYPERLINK("https://klasma.github.io/Logging_2260/klagomålsmail/A 49871-2024 FSC-klagomål mail.docx", "A 49871-2024")</f>
        <v/>
      </c>
      <c r="X135">
        <f>HYPERLINK("https://klasma.github.io/Logging_2260/tillsyn/A 49871-2024 tillsynsbegäran.docx", "A 49871-2024")</f>
        <v/>
      </c>
      <c r="Y135">
        <f>HYPERLINK("https://klasma.github.io/Logging_2260/tillsynsmail/A 49871-2024 tillsynsbegäran mail.docx", "A 49871-2024")</f>
        <v/>
      </c>
    </row>
    <row r="136" ht="15" customHeight="1">
      <c r="A136" t="inlineStr">
        <is>
          <t>A 57594-2022</t>
        </is>
      </c>
      <c r="B136" s="1" t="n">
        <v>44896.97854166666</v>
      </c>
      <c r="C136" s="1" t="n">
        <v>45884</v>
      </c>
      <c r="D136" t="inlineStr">
        <is>
          <t>VÄSTERNORRLANDS LÄN</t>
        </is>
      </c>
      <c r="E136" t="inlineStr">
        <is>
          <t>ÅNGE</t>
        </is>
      </c>
      <c r="F136" t="inlineStr">
        <is>
          <t>SCA</t>
        </is>
      </c>
      <c r="G136" t="n">
        <v>5.3</v>
      </c>
      <c r="H136" t="n">
        <v>0</v>
      </c>
      <c r="I136" t="n">
        <v>0</v>
      </c>
      <c r="J136" t="n">
        <v>2</v>
      </c>
      <c r="K136" t="n">
        <v>0</v>
      </c>
      <c r="L136" t="n">
        <v>0</v>
      </c>
      <c r="M136" t="n">
        <v>0</v>
      </c>
      <c r="N136" t="n">
        <v>0</v>
      </c>
      <c r="O136" t="n">
        <v>2</v>
      </c>
      <c r="P136" t="n">
        <v>0</v>
      </c>
      <c r="Q136" t="n">
        <v>2</v>
      </c>
      <c r="R136" s="2" t="inlineStr">
        <is>
          <t>Granticka
Lunglav</t>
        </is>
      </c>
      <c r="S136">
        <f>HYPERLINK("https://klasma.github.io/Logging_2260/artfynd/A 57594-2022 artfynd.xlsx", "A 57594-2022")</f>
        <v/>
      </c>
      <c r="T136">
        <f>HYPERLINK("https://klasma.github.io/Logging_2260/kartor/A 57594-2022 karta.png", "A 57594-2022")</f>
        <v/>
      </c>
      <c r="V136">
        <f>HYPERLINK("https://klasma.github.io/Logging_2260/klagomål/A 57594-2022 FSC-klagomål.docx", "A 57594-2022")</f>
        <v/>
      </c>
      <c r="W136">
        <f>HYPERLINK("https://klasma.github.io/Logging_2260/klagomålsmail/A 57594-2022 FSC-klagomål mail.docx", "A 57594-2022")</f>
        <v/>
      </c>
      <c r="X136">
        <f>HYPERLINK("https://klasma.github.io/Logging_2260/tillsyn/A 57594-2022 tillsynsbegäran.docx", "A 57594-2022")</f>
        <v/>
      </c>
      <c r="Y136">
        <f>HYPERLINK("https://klasma.github.io/Logging_2260/tillsynsmail/A 57594-2022 tillsynsbegäran mail.docx", "A 57594-2022")</f>
        <v/>
      </c>
    </row>
    <row r="137" ht="15" customHeight="1">
      <c r="A137" t="inlineStr">
        <is>
          <t>A 26020-2024</t>
        </is>
      </c>
      <c r="B137" s="1" t="n">
        <v>45467.9603125</v>
      </c>
      <c r="C137" s="1" t="n">
        <v>45884</v>
      </c>
      <c r="D137" t="inlineStr">
        <is>
          <t>VÄSTERNORRLANDS LÄN</t>
        </is>
      </c>
      <c r="E137" t="inlineStr">
        <is>
          <t>ÅNGE</t>
        </is>
      </c>
      <c r="F137" t="inlineStr">
        <is>
          <t>SCA</t>
        </is>
      </c>
      <c r="G137" t="n">
        <v>4.8</v>
      </c>
      <c r="H137" t="n">
        <v>0</v>
      </c>
      <c r="I137" t="n">
        <v>1</v>
      </c>
      <c r="J137" t="n">
        <v>1</v>
      </c>
      <c r="K137" t="n">
        <v>0</v>
      </c>
      <c r="L137" t="n">
        <v>0</v>
      </c>
      <c r="M137" t="n">
        <v>0</v>
      </c>
      <c r="N137" t="n">
        <v>0</v>
      </c>
      <c r="O137" t="n">
        <v>1</v>
      </c>
      <c r="P137" t="n">
        <v>0</v>
      </c>
      <c r="Q137" t="n">
        <v>2</v>
      </c>
      <c r="R137" s="2" t="inlineStr">
        <is>
          <t>Lunglav
Stuplav</t>
        </is>
      </c>
      <c r="S137">
        <f>HYPERLINK("https://klasma.github.io/Logging_2260/artfynd/A 26020-2024 artfynd.xlsx", "A 26020-2024")</f>
        <v/>
      </c>
      <c r="T137">
        <f>HYPERLINK("https://klasma.github.io/Logging_2260/kartor/A 26020-2024 karta.png", "A 26020-2024")</f>
        <v/>
      </c>
      <c r="V137">
        <f>HYPERLINK("https://klasma.github.io/Logging_2260/klagomål/A 26020-2024 FSC-klagomål.docx", "A 26020-2024")</f>
        <v/>
      </c>
      <c r="W137">
        <f>HYPERLINK("https://klasma.github.io/Logging_2260/klagomålsmail/A 26020-2024 FSC-klagomål mail.docx", "A 26020-2024")</f>
        <v/>
      </c>
      <c r="X137">
        <f>HYPERLINK("https://klasma.github.io/Logging_2260/tillsyn/A 26020-2024 tillsynsbegäran.docx", "A 26020-2024")</f>
        <v/>
      </c>
      <c r="Y137">
        <f>HYPERLINK("https://klasma.github.io/Logging_2260/tillsynsmail/A 26020-2024 tillsynsbegäran mail.docx", "A 26020-2024")</f>
        <v/>
      </c>
    </row>
    <row r="138" ht="15" customHeight="1">
      <c r="A138" t="inlineStr">
        <is>
          <t>A 4093-2025</t>
        </is>
      </c>
      <c r="B138" s="1" t="n">
        <v>45684.67762731481</v>
      </c>
      <c r="C138" s="1" t="n">
        <v>45884</v>
      </c>
      <c r="D138" t="inlineStr">
        <is>
          <t>VÄSTERNORRLANDS LÄN</t>
        </is>
      </c>
      <c r="E138" t="inlineStr">
        <is>
          <t>ÅNGE</t>
        </is>
      </c>
      <c r="F138" t="inlineStr">
        <is>
          <t>SCA</t>
        </is>
      </c>
      <c r="G138" t="n">
        <v>2.6</v>
      </c>
      <c r="H138" t="n">
        <v>1</v>
      </c>
      <c r="I138" t="n">
        <v>2</v>
      </c>
      <c r="J138" t="n">
        <v>0</v>
      </c>
      <c r="K138" t="n">
        <v>0</v>
      </c>
      <c r="L138" t="n">
        <v>0</v>
      </c>
      <c r="M138" t="n">
        <v>0</v>
      </c>
      <c r="N138" t="n">
        <v>0</v>
      </c>
      <c r="O138" t="n">
        <v>0</v>
      </c>
      <c r="P138" t="n">
        <v>0</v>
      </c>
      <c r="Q138" t="n">
        <v>2</v>
      </c>
      <c r="R138" s="2" t="inlineStr">
        <is>
          <t>Kransrams
Spindelblomster</t>
        </is>
      </c>
      <c r="S138">
        <f>HYPERLINK("https://klasma.github.io/Logging_2260/artfynd/A 4093-2025 artfynd.xlsx", "A 4093-2025")</f>
        <v/>
      </c>
      <c r="T138">
        <f>HYPERLINK("https://klasma.github.io/Logging_2260/kartor/A 4093-2025 karta.png", "A 4093-2025")</f>
        <v/>
      </c>
      <c r="V138">
        <f>HYPERLINK("https://klasma.github.io/Logging_2260/klagomål/A 4093-2025 FSC-klagomål.docx", "A 4093-2025")</f>
        <v/>
      </c>
      <c r="W138">
        <f>HYPERLINK("https://klasma.github.io/Logging_2260/klagomålsmail/A 4093-2025 FSC-klagomål mail.docx", "A 4093-2025")</f>
        <v/>
      </c>
      <c r="X138">
        <f>HYPERLINK("https://klasma.github.io/Logging_2260/tillsyn/A 4093-2025 tillsynsbegäran.docx", "A 4093-2025")</f>
        <v/>
      </c>
      <c r="Y138">
        <f>HYPERLINK("https://klasma.github.io/Logging_2260/tillsynsmail/A 4093-2025 tillsynsbegäran mail.docx", "A 4093-2025")</f>
        <v/>
      </c>
    </row>
    <row r="139" ht="15" customHeight="1">
      <c r="A139" t="inlineStr">
        <is>
          <t>A 31493-2024</t>
        </is>
      </c>
      <c r="B139" s="1" t="n">
        <v>45505</v>
      </c>
      <c r="C139" s="1" t="n">
        <v>45884</v>
      </c>
      <c r="D139" t="inlineStr">
        <is>
          <t>VÄSTERNORRLANDS LÄN</t>
        </is>
      </c>
      <c r="E139" t="inlineStr">
        <is>
          <t>ÅNGE</t>
        </is>
      </c>
      <c r="F139" t="inlineStr">
        <is>
          <t>SCA</t>
        </is>
      </c>
      <c r="G139" t="n">
        <v>4.4</v>
      </c>
      <c r="H139" t="n">
        <v>1</v>
      </c>
      <c r="I139" t="n">
        <v>1</v>
      </c>
      <c r="J139" t="n">
        <v>0</v>
      </c>
      <c r="K139" t="n">
        <v>1</v>
      </c>
      <c r="L139" t="n">
        <v>0</v>
      </c>
      <c r="M139" t="n">
        <v>0</v>
      </c>
      <c r="N139" t="n">
        <v>0</v>
      </c>
      <c r="O139" t="n">
        <v>1</v>
      </c>
      <c r="P139" t="n">
        <v>1</v>
      </c>
      <c r="Q139" t="n">
        <v>2</v>
      </c>
      <c r="R139" s="2" t="inlineStr">
        <is>
          <t>Knärot
Korallblylav</t>
        </is>
      </c>
      <c r="S139">
        <f>HYPERLINK("https://klasma.github.io/Logging_2260/artfynd/A 31493-2024 artfynd.xlsx", "A 31493-2024")</f>
        <v/>
      </c>
      <c r="T139">
        <f>HYPERLINK("https://klasma.github.io/Logging_2260/kartor/A 31493-2024 karta.png", "A 31493-2024")</f>
        <v/>
      </c>
      <c r="U139">
        <f>HYPERLINK("https://klasma.github.io/Logging_2260/knärot/A 31493-2024 karta knärot.png", "A 31493-2024")</f>
        <v/>
      </c>
      <c r="V139">
        <f>HYPERLINK("https://klasma.github.io/Logging_2260/klagomål/A 31493-2024 FSC-klagomål.docx", "A 31493-2024")</f>
        <v/>
      </c>
      <c r="W139">
        <f>HYPERLINK("https://klasma.github.io/Logging_2260/klagomålsmail/A 31493-2024 FSC-klagomål mail.docx", "A 31493-2024")</f>
        <v/>
      </c>
      <c r="X139">
        <f>HYPERLINK("https://klasma.github.io/Logging_2260/tillsyn/A 31493-2024 tillsynsbegäran.docx", "A 31493-2024")</f>
        <v/>
      </c>
      <c r="Y139">
        <f>HYPERLINK("https://klasma.github.io/Logging_2260/tillsynsmail/A 31493-2024 tillsynsbegäran mail.docx", "A 31493-2024")</f>
        <v/>
      </c>
    </row>
    <row r="140" ht="15" customHeight="1">
      <c r="A140" t="inlineStr">
        <is>
          <t>A 51756-2020</t>
        </is>
      </c>
      <c r="B140" s="1" t="n">
        <v>44114</v>
      </c>
      <c r="C140" s="1" t="n">
        <v>45884</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8324-2025</t>
        </is>
      </c>
      <c r="B141" s="1" t="n">
        <v>45708.63621527778</v>
      </c>
      <c r="C141" s="1" t="n">
        <v>45884</v>
      </c>
      <c r="D141" t="inlineStr">
        <is>
          <t>VÄSTERNORRLANDS LÄN</t>
        </is>
      </c>
      <c r="E141" t="inlineStr">
        <is>
          <t>ÅNGE</t>
        </is>
      </c>
      <c r="F141" t="inlineStr">
        <is>
          <t>SCA</t>
        </is>
      </c>
      <c r="G141" t="n">
        <v>7.8</v>
      </c>
      <c r="H141" t="n">
        <v>0</v>
      </c>
      <c r="I141" t="n">
        <v>1</v>
      </c>
      <c r="J141" t="n">
        <v>1</v>
      </c>
      <c r="K141" t="n">
        <v>0</v>
      </c>
      <c r="L141" t="n">
        <v>0</v>
      </c>
      <c r="M141" t="n">
        <v>0</v>
      </c>
      <c r="N141" t="n">
        <v>0</v>
      </c>
      <c r="O141" t="n">
        <v>1</v>
      </c>
      <c r="P141" t="n">
        <v>0</v>
      </c>
      <c r="Q141" t="n">
        <v>2</v>
      </c>
      <c r="R141" s="2" t="inlineStr">
        <is>
          <t>Vitgrynig nållav
Bollvitmossa</t>
        </is>
      </c>
      <c r="S141">
        <f>HYPERLINK("https://klasma.github.io/Logging_2260/artfynd/A 8324-2025 artfynd.xlsx", "A 8324-2025")</f>
        <v/>
      </c>
      <c r="T141">
        <f>HYPERLINK("https://klasma.github.io/Logging_2260/kartor/A 8324-2025 karta.png", "A 8324-2025")</f>
        <v/>
      </c>
      <c r="V141">
        <f>HYPERLINK("https://klasma.github.io/Logging_2260/klagomål/A 8324-2025 FSC-klagomål.docx", "A 8324-2025")</f>
        <v/>
      </c>
      <c r="W141">
        <f>HYPERLINK("https://klasma.github.io/Logging_2260/klagomålsmail/A 8324-2025 FSC-klagomål mail.docx", "A 8324-2025")</f>
        <v/>
      </c>
      <c r="X141">
        <f>HYPERLINK("https://klasma.github.io/Logging_2260/tillsyn/A 8324-2025 tillsynsbegäran.docx", "A 8324-2025")</f>
        <v/>
      </c>
      <c r="Y141">
        <f>HYPERLINK("https://klasma.github.io/Logging_2260/tillsynsmail/A 8324-2025 tillsynsbegäran mail.docx", "A 8324-2025")</f>
        <v/>
      </c>
    </row>
    <row r="142" ht="15" customHeight="1">
      <c r="A142" t="inlineStr">
        <is>
          <t>A 165-2025</t>
        </is>
      </c>
      <c r="B142" s="1" t="n">
        <v>45659</v>
      </c>
      <c r="C142" s="1" t="n">
        <v>45884</v>
      </c>
      <c r="D142" t="inlineStr">
        <is>
          <t>VÄSTERNORRLANDS LÄN</t>
        </is>
      </c>
      <c r="E142" t="inlineStr">
        <is>
          <t>ÅNGE</t>
        </is>
      </c>
      <c r="G142" t="n">
        <v>13.9</v>
      </c>
      <c r="H142" t="n">
        <v>1</v>
      </c>
      <c r="I142" t="n">
        <v>0</v>
      </c>
      <c r="J142" t="n">
        <v>2</v>
      </c>
      <c r="K142" t="n">
        <v>0</v>
      </c>
      <c r="L142" t="n">
        <v>0</v>
      </c>
      <c r="M142" t="n">
        <v>0</v>
      </c>
      <c r="N142" t="n">
        <v>0</v>
      </c>
      <c r="O142" t="n">
        <v>2</v>
      </c>
      <c r="P142" t="n">
        <v>0</v>
      </c>
      <c r="Q142" t="n">
        <v>2</v>
      </c>
      <c r="R142" s="2" t="inlineStr">
        <is>
          <t>Doftskinn
Tretåig hackspett</t>
        </is>
      </c>
      <c r="S142">
        <f>HYPERLINK("https://klasma.github.io/Logging_2260/artfynd/A 165-2025 artfynd.xlsx", "A 165-2025")</f>
        <v/>
      </c>
      <c r="T142">
        <f>HYPERLINK("https://klasma.github.io/Logging_2260/kartor/A 165-2025 karta.png", "A 165-2025")</f>
        <v/>
      </c>
      <c r="V142">
        <f>HYPERLINK("https://klasma.github.io/Logging_2260/klagomål/A 165-2025 FSC-klagomål.docx", "A 165-2025")</f>
        <v/>
      </c>
      <c r="W142">
        <f>HYPERLINK("https://klasma.github.io/Logging_2260/klagomålsmail/A 165-2025 FSC-klagomål mail.docx", "A 165-2025")</f>
        <v/>
      </c>
      <c r="X142">
        <f>HYPERLINK("https://klasma.github.io/Logging_2260/tillsyn/A 165-2025 tillsynsbegäran.docx", "A 165-2025")</f>
        <v/>
      </c>
      <c r="Y142">
        <f>HYPERLINK("https://klasma.github.io/Logging_2260/tillsynsmail/A 165-2025 tillsynsbegäran mail.docx", "A 165-2025")</f>
        <v/>
      </c>
      <c r="Z142">
        <f>HYPERLINK("https://klasma.github.io/Logging_2260/fåglar/A 165-2025 prioriterade fågelarter.docx", "A 165-2025")</f>
        <v/>
      </c>
    </row>
    <row r="143" ht="15" customHeight="1">
      <c r="A143" t="inlineStr">
        <is>
          <t>A 24795-2024</t>
        </is>
      </c>
      <c r="B143" s="1" t="n">
        <v>45460.95252314815</v>
      </c>
      <c r="C143" s="1" t="n">
        <v>45884</v>
      </c>
      <c r="D143" t="inlineStr">
        <is>
          <t>VÄSTERNORRLANDS LÄN</t>
        </is>
      </c>
      <c r="E143" t="inlineStr">
        <is>
          <t>ÅNGE</t>
        </is>
      </c>
      <c r="F143" t="inlineStr">
        <is>
          <t>SCA</t>
        </is>
      </c>
      <c r="G143" t="n">
        <v>2.2</v>
      </c>
      <c r="H143" t="n">
        <v>0</v>
      </c>
      <c r="I143" t="n">
        <v>1</v>
      </c>
      <c r="J143" t="n">
        <v>1</v>
      </c>
      <c r="K143" t="n">
        <v>0</v>
      </c>
      <c r="L143" t="n">
        <v>0</v>
      </c>
      <c r="M143" t="n">
        <v>0</v>
      </c>
      <c r="N143" t="n">
        <v>0</v>
      </c>
      <c r="O143" t="n">
        <v>1</v>
      </c>
      <c r="P143" t="n">
        <v>0</v>
      </c>
      <c r="Q143" t="n">
        <v>2</v>
      </c>
      <c r="R143" s="2" t="inlineStr">
        <is>
          <t>Lunglav
Skinnlav</t>
        </is>
      </c>
      <c r="S143">
        <f>HYPERLINK("https://klasma.github.io/Logging_2260/artfynd/A 24795-2024 artfynd.xlsx", "A 24795-2024")</f>
        <v/>
      </c>
      <c r="T143">
        <f>HYPERLINK("https://klasma.github.io/Logging_2260/kartor/A 24795-2024 karta.png", "A 24795-2024")</f>
        <v/>
      </c>
      <c r="V143">
        <f>HYPERLINK("https://klasma.github.io/Logging_2260/klagomål/A 24795-2024 FSC-klagomål.docx", "A 24795-2024")</f>
        <v/>
      </c>
      <c r="W143">
        <f>HYPERLINK("https://klasma.github.io/Logging_2260/klagomålsmail/A 24795-2024 FSC-klagomål mail.docx", "A 24795-2024")</f>
        <v/>
      </c>
      <c r="X143">
        <f>HYPERLINK("https://klasma.github.io/Logging_2260/tillsyn/A 24795-2024 tillsynsbegäran.docx", "A 24795-2024")</f>
        <v/>
      </c>
      <c r="Y143">
        <f>HYPERLINK("https://klasma.github.io/Logging_2260/tillsynsmail/A 24795-2024 tillsynsbegäran mail.docx", "A 24795-2024")</f>
        <v/>
      </c>
    </row>
    <row r="144" ht="15" customHeight="1">
      <c r="A144" t="inlineStr">
        <is>
          <t>A 17861-2023</t>
        </is>
      </c>
      <c r="B144" s="1" t="n">
        <v>45037.94171296297</v>
      </c>
      <c r="C144" s="1" t="n">
        <v>45884</v>
      </c>
      <c r="D144" t="inlineStr">
        <is>
          <t>VÄSTERNORRLANDS LÄN</t>
        </is>
      </c>
      <c r="E144" t="inlineStr">
        <is>
          <t>ÅNGE</t>
        </is>
      </c>
      <c r="F144" t="inlineStr">
        <is>
          <t>SCA</t>
        </is>
      </c>
      <c r="G144" t="n">
        <v>1.1</v>
      </c>
      <c r="H144" t="n">
        <v>0</v>
      </c>
      <c r="I144" t="n">
        <v>1</v>
      </c>
      <c r="J144" t="n">
        <v>1</v>
      </c>
      <c r="K144" t="n">
        <v>0</v>
      </c>
      <c r="L144" t="n">
        <v>0</v>
      </c>
      <c r="M144" t="n">
        <v>0</v>
      </c>
      <c r="N144" t="n">
        <v>0</v>
      </c>
      <c r="O144" t="n">
        <v>1</v>
      </c>
      <c r="P144" t="n">
        <v>0</v>
      </c>
      <c r="Q144" t="n">
        <v>2</v>
      </c>
      <c r="R144" s="2" t="inlineStr">
        <is>
          <t>Skrovlig taggsvamp
Dropptaggsvamp</t>
        </is>
      </c>
      <c r="S144">
        <f>HYPERLINK("https://klasma.github.io/Logging_2260/artfynd/A 17861-2023 artfynd.xlsx", "A 17861-2023")</f>
        <v/>
      </c>
      <c r="T144">
        <f>HYPERLINK("https://klasma.github.io/Logging_2260/kartor/A 17861-2023 karta.png", "A 17861-2023")</f>
        <v/>
      </c>
      <c r="V144">
        <f>HYPERLINK("https://klasma.github.io/Logging_2260/klagomål/A 17861-2023 FSC-klagomål.docx", "A 17861-2023")</f>
        <v/>
      </c>
      <c r="W144">
        <f>HYPERLINK("https://klasma.github.io/Logging_2260/klagomålsmail/A 17861-2023 FSC-klagomål mail.docx", "A 17861-2023")</f>
        <v/>
      </c>
      <c r="X144">
        <f>HYPERLINK("https://klasma.github.io/Logging_2260/tillsyn/A 17861-2023 tillsynsbegäran.docx", "A 17861-2023")</f>
        <v/>
      </c>
      <c r="Y144">
        <f>HYPERLINK("https://klasma.github.io/Logging_2260/tillsynsmail/A 17861-2023 tillsynsbegäran mail.docx", "A 17861-2023")</f>
        <v/>
      </c>
    </row>
    <row r="145" ht="15" customHeight="1">
      <c r="A145" t="inlineStr">
        <is>
          <t>A 58902-2020</t>
        </is>
      </c>
      <c r="B145" s="1" t="n">
        <v>44146</v>
      </c>
      <c r="C145" s="1" t="n">
        <v>45884</v>
      </c>
      <c r="D145" t="inlineStr">
        <is>
          <t>VÄSTERNORRLANDS LÄN</t>
        </is>
      </c>
      <c r="E145" t="inlineStr">
        <is>
          <t>ÅNGE</t>
        </is>
      </c>
      <c r="G145" t="n">
        <v>8.199999999999999</v>
      </c>
      <c r="H145" t="n">
        <v>0</v>
      </c>
      <c r="I145" t="n">
        <v>1</v>
      </c>
      <c r="J145" t="n">
        <v>1</v>
      </c>
      <c r="K145" t="n">
        <v>0</v>
      </c>
      <c r="L145" t="n">
        <v>0</v>
      </c>
      <c r="M145" t="n">
        <v>0</v>
      </c>
      <c r="N145" t="n">
        <v>0</v>
      </c>
      <c r="O145" t="n">
        <v>1</v>
      </c>
      <c r="P145" t="n">
        <v>0</v>
      </c>
      <c r="Q145" t="n">
        <v>2</v>
      </c>
      <c r="R145" s="2" t="inlineStr">
        <is>
          <t>Ullticka
Vedticka</t>
        </is>
      </c>
      <c r="S145">
        <f>HYPERLINK("https://klasma.github.io/Logging_2260/artfynd/A 58902-2020 artfynd.xlsx", "A 58902-2020")</f>
        <v/>
      </c>
      <c r="T145">
        <f>HYPERLINK("https://klasma.github.io/Logging_2260/kartor/A 58902-2020 karta.png", "A 58902-2020")</f>
        <v/>
      </c>
      <c r="V145">
        <f>HYPERLINK("https://klasma.github.io/Logging_2260/klagomål/A 58902-2020 FSC-klagomål.docx", "A 58902-2020")</f>
        <v/>
      </c>
      <c r="W145">
        <f>HYPERLINK("https://klasma.github.io/Logging_2260/klagomålsmail/A 58902-2020 FSC-klagomål mail.docx", "A 58902-2020")</f>
        <v/>
      </c>
      <c r="X145">
        <f>HYPERLINK("https://klasma.github.io/Logging_2260/tillsyn/A 58902-2020 tillsynsbegäran.docx", "A 58902-2020")</f>
        <v/>
      </c>
      <c r="Y145">
        <f>HYPERLINK("https://klasma.github.io/Logging_2260/tillsynsmail/A 58902-2020 tillsynsbegäran mail.docx", "A 58902-2020")</f>
        <v/>
      </c>
    </row>
    <row r="146" ht="15" customHeight="1">
      <c r="A146" t="inlineStr">
        <is>
          <t>A 32659-2024</t>
        </is>
      </c>
      <c r="B146" s="1" t="n">
        <v>45513</v>
      </c>
      <c r="C146" s="1" t="n">
        <v>45884</v>
      </c>
      <c r="D146" t="inlineStr">
        <is>
          <t>VÄSTERNORRLANDS LÄN</t>
        </is>
      </c>
      <c r="E146" t="inlineStr">
        <is>
          <t>ÅNGE</t>
        </is>
      </c>
      <c r="F146" t="inlineStr">
        <is>
          <t>SCA</t>
        </is>
      </c>
      <c r="G146" t="n">
        <v>6.9</v>
      </c>
      <c r="H146" t="n">
        <v>0</v>
      </c>
      <c r="I146" t="n">
        <v>0</v>
      </c>
      <c r="J146" t="n">
        <v>2</v>
      </c>
      <c r="K146" t="n">
        <v>0</v>
      </c>
      <c r="L146" t="n">
        <v>0</v>
      </c>
      <c r="M146" t="n">
        <v>0</v>
      </c>
      <c r="N146" t="n">
        <v>0</v>
      </c>
      <c r="O146" t="n">
        <v>2</v>
      </c>
      <c r="P146" t="n">
        <v>0</v>
      </c>
      <c r="Q146" t="n">
        <v>2</v>
      </c>
      <c r="R146" s="2" t="inlineStr">
        <is>
          <t>Lunglav
Stjärntagging</t>
        </is>
      </c>
      <c r="S146">
        <f>HYPERLINK("https://klasma.github.io/Logging_2260/artfynd/A 32659-2024 artfynd.xlsx", "A 32659-2024")</f>
        <v/>
      </c>
      <c r="T146">
        <f>HYPERLINK("https://klasma.github.io/Logging_2260/kartor/A 32659-2024 karta.png", "A 32659-2024")</f>
        <v/>
      </c>
      <c r="V146">
        <f>HYPERLINK("https://klasma.github.io/Logging_2260/klagomål/A 32659-2024 FSC-klagomål.docx", "A 32659-2024")</f>
        <v/>
      </c>
      <c r="W146">
        <f>HYPERLINK("https://klasma.github.io/Logging_2260/klagomålsmail/A 32659-2024 FSC-klagomål mail.docx", "A 32659-2024")</f>
        <v/>
      </c>
      <c r="X146">
        <f>HYPERLINK("https://klasma.github.io/Logging_2260/tillsyn/A 32659-2024 tillsynsbegäran.docx", "A 32659-2024")</f>
        <v/>
      </c>
      <c r="Y146">
        <f>HYPERLINK("https://klasma.github.io/Logging_2260/tillsynsmail/A 32659-2024 tillsynsbegäran mail.docx", "A 32659-2024")</f>
        <v/>
      </c>
    </row>
    <row r="147" ht="15" customHeight="1">
      <c r="A147" t="inlineStr">
        <is>
          <t>A 48695-2024</t>
        </is>
      </c>
      <c r="B147" s="1" t="n">
        <v>45593.5109837963</v>
      </c>
      <c r="C147" s="1" t="n">
        <v>45884</v>
      </c>
      <c r="D147" t="inlineStr">
        <is>
          <t>VÄSTERNORRLANDS LÄN</t>
        </is>
      </c>
      <c r="E147" t="inlineStr">
        <is>
          <t>ÅNGE</t>
        </is>
      </c>
      <c r="F147" t="inlineStr">
        <is>
          <t>SCA</t>
        </is>
      </c>
      <c r="G147" t="n">
        <v>1.2</v>
      </c>
      <c r="H147" t="n">
        <v>0</v>
      </c>
      <c r="I147" t="n">
        <v>0</v>
      </c>
      <c r="J147" t="n">
        <v>2</v>
      </c>
      <c r="K147" t="n">
        <v>0</v>
      </c>
      <c r="L147" t="n">
        <v>0</v>
      </c>
      <c r="M147" t="n">
        <v>0</v>
      </c>
      <c r="N147" t="n">
        <v>0</v>
      </c>
      <c r="O147" t="n">
        <v>2</v>
      </c>
      <c r="P147" t="n">
        <v>0</v>
      </c>
      <c r="Q147" t="n">
        <v>2</v>
      </c>
      <c r="R147" s="2" t="inlineStr">
        <is>
          <t>Lunglav
Ullticka</t>
        </is>
      </c>
      <c r="S147">
        <f>HYPERLINK("https://klasma.github.io/Logging_2260/artfynd/A 48695-2024 artfynd.xlsx", "A 48695-2024")</f>
        <v/>
      </c>
      <c r="T147">
        <f>HYPERLINK("https://klasma.github.io/Logging_2260/kartor/A 48695-2024 karta.png", "A 48695-2024")</f>
        <v/>
      </c>
      <c r="V147">
        <f>HYPERLINK("https://klasma.github.io/Logging_2260/klagomål/A 48695-2024 FSC-klagomål.docx", "A 48695-2024")</f>
        <v/>
      </c>
      <c r="W147">
        <f>HYPERLINK("https://klasma.github.io/Logging_2260/klagomålsmail/A 48695-2024 FSC-klagomål mail.docx", "A 48695-2024")</f>
        <v/>
      </c>
      <c r="X147">
        <f>HYPERLINK("https://klasma.github.io/Logging_2260/tillsyn/A 48695-2024 tillsynsbegäran.docx", "A 48695-2024")</f>
        <v/>
      </c>
      <c r="Y147">
        <f>HYPERLINK("https://klasma.github.io/Logging_2260/tillsynsmail/A 48695-2024 tillsynsbegäran mail.docx", "A 48695-2024")</f>
        <v/>
      </c>
    </row>
    <row r="148" ht="15" customHeight="1">
      <c r="A148" t="inlineStr">
        <is>
          <t>A 21453-2025</t>
        </is>
      </c>
      <c r="B148" s="1" t="n">
        <v>45782.55311342593</v>
      </c>
      <c r="C148" s="1" t="n">
        <v>45884</v>
      </c>
      <c r="D148" t="inlineStr">
        <is>
          <t>VÄSTERNORRLANDS LÄN</t>
        </is>
      </c>
      <c r="E148" t="inlineStr">
        <is>
          <t>ÅNGE</t>
        </is>
      </c>
      <c r="F148" t="inlineStr">
        <is>
          <t>SCA</t>
        </is>
      </c>
      <c r="G148" t="n">
        <v>1</v>
      </c>
      <c r="H148" t="n">
        <v>0</v>
      </c>
      <c r="I148" t="n">
        <v>2</v>
      </c>
      <c r="J148" t="n">
        <v>0</v>
      </c>
      <c r="K148" t="n">
        <v>0</v>
      </c>
      <c r="L148" t="n">
        <v>0</v>
      </c>
      <c r="M148" t="n">
        <v>0</v>
      </c>
      <c r="N148" t="n">
        <v>0</v>
      </c>
      <c r="O148" t="n">
        <v>0</v>
      </c>
      <c r="P148" t="n">
        <v>0</v>
      </c>
      <c r="Q148" t="n">
        <v>2</v>
      </c>
      <c r="R148" s="2" t="inlineStr">
        <is>
          <t>Svart trolldruva
Tibast</t>
        </is>
      </c>
      <c r="S148">
        <f>HYPERLINK("https://klasma.github.io/Logging_2260/artfynd/A 21453-2025 artfynd.xlsx", "A 21453-2025")</f>
        <v/>
      </c>
      <c r="T148">
        <f>HYPERLINK("https://klasma.github.io/Logging_2260/kartor/A 21453-2025 karta.png", "A 21453-2025")</f>
        <v/>
      </c>
      <c r="V148">
        <f>HYPERLINK("https://klasma.github.io/Logging_2260/klagomål/A 21453-2025 FSC-klagomål.docx", "A 21453-2025")</f>
        <v/>
      </c>
      <c r="W148">
        <f>HYPERLINK("https://klasma.github.io/Logging_2260/klagomålsmail/A 21453-2025 FSC-klagomål mail.docx", "A 21453-2025")</f>
        <v/>
      </c>
      <c r="X148">
        <f>HYPERLINK("https://klasma.github.io/Logging_2260/tillsyn/A 21453-2025 tillsynsbegäran.docx", "A 21453-2025")</f>
        <v/>
      </c>
      <c r="Y148">
        <f>HYPERLINK("https://klasma.github.io/Logging_2260/tillsynsmail/A 21453-2025 tillsynsbegäran mail.docx", "A 21453-2025")</f>
        <v/>
      </c>
    </row>
    <row r="149" ht="15" customHeight="1">
      <c r="A149" t="inlineStr">
        <is>
          <t>A 57089-2024</t>
        </is>
      </c>
      <c r="B149" s="1" t="n">
        <v>45629.35665509259</v>
      </c>
      <c r="C149" s="1" t="n">
        <v>45884</v>
      </c>
      <c r="D149" t="inlineStr">
        <is>
          <t>VÄSTERNORRLANDS LÄN</t>
        </is>
      </c>
      <c r="E149" t="inlineStr">
        <is>
          <t>ÅNGE</t>
        </is>
      </c>
      <c r="F149" t="inlineStr">
        <is>
          <t>SCA</t>
        </is>
      </c>
      <c r="G149" t="n">
        <v>1.5</v>
      </c>
      <c r="H149" t="n">
        <v>0</v>
      </c>
      <c r="I149" t="n">
        <v>0</v>
      </c>
      <c r="J149" t="n">
        <v>2</v>
      </c>
      <c r="K149" t="n">
        <v>0</v>
      </c>
      <c r="L149" t="n">
        <v>0</v>
      </c>
      <c r="M149" t="n">
        <v>0</v>
      </c>
      <c r="N149" t="n">
        <v>0</v>
      </c>
      <c r="O149" t="n">
        <v>2</v>
      </c>
      <c r="P149" t="n">
        <v>0</v>
      </c>
      <c r="Q149" t="n">
        <v>2</v>
      </c>
      <c r="R149" s="2" t="inlineStr">
        <is>
          <t>Lunglav
Ullticka</t>
        </is>
      </c>
      <c r="S149">
        <f>HYPERLINK("https://klasma.github.io/Logging_2260/artfynd/A 57089-2024 artfynd.xlsx", "A 57089-2024")</f>
        <v/>
      </c>
      <c r="T149">
        <f>HYPERLINK("https://klasma.github.io/Logging_2260/kartor/A 57089-2024 karta.png", "A 57089-2024")</f>
        <v/>
      </c>
      <c r="V149">
        <f>HYPERLINK("https://klasma.github.io/Logging_2260/klagomål/A 57089-2024 FSC-klagomål.docx", "A 57089-2024")</f>
        <v/>
      </c>
      <c r="W149">
        <f>HYPERLINK("https://klasma.github.io/Logging_2260/klagomålsmail/A 57089-2024 FSC-klagomål mail.docx", "A 57089-2024")</f>
        <v/>
      </c>
      <c r="X149">
        <f>HYPERLINK("https://klasma.github.io/Logging_2260/tillsyn/A 57089-2024 tillsynsbegäran.docx", "A 57089-2024")</f>
        <v/>
      </c>
      <c r="Y149">
        <f>HYPERLINK("https://klasma.github.io/Logging_2260/tillsynsmail/A 57089-2024 tillsynsbegäran mail.docx", "A 57089-2024")</f>
        <v/>
      </c>
    </row>
    <row r="150" ht="15" customHeight="1">
      <c r="A150" t="inlineStr">
        <is>
          <t>A 19341-2024</t>
        </is>
      </c>
      <c r="B150" s="1" t="n">
        <v>45428</v>
      </c>
      <c r="C150" s="1" t="n">
        <v>45884</v>
      </c>
      <c r="D150" t="inlineStr">
        <is>
          <t>VÄSTERNORRLANDS LÄN</t>
        </is>
      </c>
      <c r="E150" t="inlineStr">
        <is>
          <t>ÅNGE</t>
        </is>
      </c>
      <c r="F150" t="inlineStr">
        <is>
          <t>SCA</t>
        </is>
      </c>
      <c r="G150" t="n">
        <v>2.5</v>
      </c>
      <c r="H150" t="n">
        <v>0</v>
      </c>
      <c r="I150" t="n">
        <v>0</v>
      </c>
      <c r="J150" t="n">
        <v>2</v>
      </c>
      <c r="K150" t="n">
        <v>0</v>
      </c>
      <c r="L150" t="n">
        <v>0</v>
      </c>
      <c r="M150" t="n">
        <v>0</v>
      </c>
      <c r="N150" t="n">
        <v>0</v>
      </c>
      <c r="O150" t="n">
        <v>2</v>
      </c>
      <c r="P150" t="n">
        <v>0</v>
      </c>
      <c r="Q150" t="n">
        <v>2</v>
      </c>
      <c r="R150" s="2" t="inlineStr">
        <is>
          <t>Granticka
Skrovellav</t>
        </is>
      </c>
      <c r="S150">
        <f>HYPERLINK("https://klasma.github.io/Logging_2260/artfynd/A 19341-2024 artfynd.xlsx", "A 19341-2024")</f>
        <v/>
      </c>
      <c r="T150">
        <f>HYPERLINK("https://klasma.github.io/Logging_2260/kartor/A 19341-2024 karta.png", "A 19341-2024")</f>
        <v/>
      </c>
      <c r="V150">
        <f>HYPERLINK("https://klasma.github.io/Logging_2260/klagomål/A 19341-2024 FSC-klagomål.docx", "A 19341-2024")</f>
        <v/>
      </c>
      <c r="W150">
        <f>HYPERLINK("https://klasma.github.io/Logging_2260/klagomålsmail/A 19341-2024 FSC-klagomål mail.docx", "A 19341-2024")</f>
        <v/>
      </c>
      <c r="X150">
        <f>HYPERLINK("https://klasma.github.io/Logging_2260/tillsyn/A 19341-2024 tillsynsbegäran.docx", "A 19341-2024")</f>
        <v/>
      </c>
      <c r="Y150">
        <f>HYPERLINK("https://klasma.github.io/Logging_2260/tillsynsmail/A 19341-2024 tillsynsbegäran mail.docx", "A 19341-2024")</f>
        <v/>
      </c>
    </row>
    <row r="151" ht="15" customHeight="1">
      <c r="A151" t="inlineStr">
        <is>
          <t>A 24176-2025</t>
        </is>
      </c>
      <c r="B151" s="1" t="n">
        <v>45796.69832175926</v>
      </c>
      <c r="C151" s="1" t="n">
        <v>45884</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47719-2024</t>
        </is>
      </c>
      <c r="B152" s="1" t="n">
        <v>45588.48996527777</v>
      </c>
      <c r="C152" s="1" t="n">
        <v>45884</v>
      </c>
      <c r="D152" t="inlineStr">
        <is>
          <t>VÄSTERNORRLANDS LÄN</t>
        </is>
      </c>
      <c r="E152" t="inlineStr">
        <is>
          <t>ÅNGE</t>
        </is>
      </c>
      <c r="F152" t="inlineStr">
        <is>
          <t>SCA</t>
        </is>
      </c>
      <c r="G152" t="n">
        <v>1.4</v>
      </c>
      <c r="H152" t="n">
        <v>0</v>
      </c>
      <c r="I152" t="n">
        <v>0</v>
      </c>
      <c r="J152" t="n">
        <v>2</v>
      </c>
      <c r="K152" t="n">
        <v>0</v>
      </c>
      <c r="L152" t="n">
        <v>0</v>
      </c>
      <c r="M152" t="n">
        <v>0</v>
      </c>
      <c r="N152" t="n">
        <v>0</v>
      </c>
      <c r="O152" t="n">
        <v>2</v>
      </c>
      <c r="P152" t="n">
        <v>0</v>
      </c>
      <c r="Q152" t="n">
        <v>2</v>
      </c>
      <c r="R152" s="2" t="inlineStr">
        <is>
          <t>Dvärgbägarlav
Vedskivlav</t>
        </is>
      </c>
      <c r="S152">
        <f>HYPERLINK("https://klasma.github.io/Logging_2260/artfynd/A 47719-2024 artfynd.xlsx", "A 47719-2024")</f>
        <v/>
      </c>
      <c r="T152">
        <f>HYPERLINK("https://klasma.github.io/Logging_2260/kartor/A 47719-2024 karta.png", "A 47719-2024")</f>
        <v/>
      </c>
      <c r="V152">
        <f>HYPERLINK("https://klasma.github.io/Logging_2260/klagomål/A 47719-2024 FSC-klagomål.docx", "A 47719-2024")</f>
        <v/>
      </c>
      <c r="W152">
        <f>HYPERLINK("https://klasma.github.io/Logging_2260/klagomålsmail/A 47719-2024 FSC-klagomål mail.docx", "A 47719-2024")</f>
        <v/>
      </c>
      <c r="X152">
        <f>HYPERLINK("https://klasma.github.io/Logging_2260/tillsyn/A 47719-2024 tillsynsbegäran.docx", "A 47719-2024")</f>
        <v/>
      </c>
      <c r="Y152">
        <f>HYPERLINK("https://klasma.github.io/Logging_2260/tillsynsmail/A 47719-2024 tillsynsbegäran mail.docx", "A 47719-2024")</f>
        <v/>
      </c>
    </row>
    <row r="153" ht="15" customHeight="1">
      <c r="A153" t="inlineStr">
        <is>
          <t>A 26906-2025</t>
        </is>
      </c>
      <c r="B153" s="1" t="n">
        <v>45811.34552083333</v>
      </c>
      <c r="C153" s="1" t="n">
        <v>45884</v>
      </c>
      <c r="D153" t="inlineStr">
        <is>
          <t>VÄSTERNORRLANDS LÄN</t>
        </is>
      </c>
      <c r="E153" t="inlineStr">
        <is>
          <t>ÅNGE</t>
        </is>
      </c>
      <c r="F153" t="inlineStr">
        <is>
          <t>SCA</t>
        </is>
      </c>
      <c r="G153" t="n">
        <v>7</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26906-2025 artfynd.xlsx", "A 26906-2025")</f>
        <v/>
      </c>
      <c r="T153">
        <f>HYPERLINK("https://klasma.github.io/Logging_2260/kartor/A 26906-2025 karta.png", "A 26906-2025")</f>
        <v/>
      </c>
      <c r="V153">
        <f>HYPERLINK("https://klasma.github.io/Logging_2260/klagomål/A 26906-2025 FSC-klagomål.docx", "A 26906-2025")</f>
        <v/>
      </c>
      <c r="W153">
        <f>HYPERLINK("https://klasma.github.io/Logging_2260/klagomålsmail/A 26906-2025 FSC-klagomål mail.docx", "A 26906-2025")</f>
        <v/>
      </c>
      <c r="X153">
        <f>HYPERLINK("https://klasma.github.io/Logging_2260/tillsyn/A 26906-2025 tillsynsbegäran.docx", "A 26906-2025")</f>
        <v/>
      </c>
      <c r="Y153">
        <f>HYPERLINK("https://klasma.github.io/Logging_2260/tillsynsmail/A 26906-2025 tillsynsbegäran mail.docx", "A 26906-2025")</f>
        <v/>
      </c>
    </row>
    <row r="154" ht="15" customHeight="1">
      <c r="A154" t="inlineStr">
        <is>
          <t>A 7121-2025</t>
        </is>
      </c>
      <c r="B154" s="1" t="n">
        <v>45702.34414351852</v>
      </c>
      <c r="C154" s="1" t="n">
        <v>45884</v>
      </c>
      <c r="D154" t="inlineStr">
        <is>
          <t>VÄSTERNORRLANDS LÄN</t>
        </is>
      </c>
      <c r="E154" t="inlineStr">
        <is>
          <t>ÅNGE</t>
        </is>
      </c>
      <c r="F154" t="inlineStr">
        <is>
          <t>SCA</t>
        </is>
      </c>
      <c r="G154" t="n">
        <v>11</v>
      </c>
      <c r="H154" t="n">
        <v>0</v>
      </c>
      <c r="I154" t="n">
        <v>0</v>
      </c>
      <c r="J154" t="n">
        <v>2</v>
      </c>
      <c r="K154" t="n">
        <v>0</v>
      </c>
      <c r="L154" t="n">
        <v>0</v>
      </c>
      <c r="M154" t="n">
        <v>0</v>
      </c>
      <c r="N154" t="n">
        <v>0</v>
      </c>
      <c r="O154" t="n">
        <v>2</v>
      </c>
      <c r="P154" t="n">
        <v>0</v>
      </c>
      <c r="Q154" t="n">
        <v>2</v>
      </c>
      <c r="R154" s="2" t="inlineStr">
        <is>
          <t>Lunglav
Småflikig brosklav</t>
        </is>
      </c>
      <c r="S154">
        <f>HYPERLINK("https://klasma.github.io/Logging_2260/artfynd/A 7121-2025 artfynd.xlsx", "A 7121-2025")</f>
        <v/>
      </c>
      <c r="T154">
        <f>HYPERLINK("https://klasma.github.io/Logging_2260/kartor/A 7121-2025 karta.png", "A 7121-2025")</f>
        <v/>
      </c>
      <c r="V154">
        <f>HYPERLINK("https://klasma.github.io/Logging_2260/klagomål/A 7121-2025 FSC-klagomål.docx", "A 7121-2025")</f>
        <v/>
      </c>
      <c r="W154">
        <f>HYPERLINK("https://klasma.github.io/Logging_2260/klagomålsmail/A 7121-2025 FSC-klagomål mail.docx", "A 7121-2025")</f>
        <v/>
      </c>
      <c r="X154">
        <f>HYPERLINK("https://klasma.github.io/Logging_2260/tillsyn/A 7121-2025 tillsynsbegäran.docx", "A 7121-2025")</f>
        <v/>
      </c>
      <c r="Y154">
        <f>HYPERLINK("https://klasma.github.io/Logging_2260/tillsynsmail/A 7121-2025 tillsynsbegäran mail.docx", "A 7121-2025")</f>
        <v/>
      </c>
    </row>
    <row r="155" ht="15" customHeight="1">
      <c r="A155" t="inlineStr">
        <is>
          <t>A 36414-2025</t>
        </is>
      </c>
      <c r="B155" s="1" t="n">
        <v>45868.69246527777</v>
      </c>
      <c r="C155" s="1" t="n">
        <v>45884</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37800-2025</t>
        </is>
      </c>
      <c r="B156" s="1" t="n">
        <v>45881.34420138889</v>
      </c>
      <c r="C156" s="1" t="n">
        <v>45884</v>
      </c>
      <c r="D156" t="inlineStr">
        <is>
          <t>VÄSTERNORRLANDS LÄN</t>
        </is>
      </c>
      <c r="E156" t="inlineStr">
        <is>
          <t>ÅNGE</t>
        </is>
      </c>
      <c r="F156" t="inlineStr">
        <is>
          <t>SCA</t>
        </is>
      </c>
      <c r="G156" t="n">
        <v>4</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37800-2025 artfynd.xlsx", "A 37800-2025")</f>
        <v/>
      </c>
      <c r="T156">
        <f>HYPERLINK("https://klasma.github.io/Logging_2260/kartor/A 37800-2025 karta.png", "A 37800-2025")</f>
        <v/>
      </c>
      <c r="V156">
        <f>HYPERLINK("https://klasma.github.io/Logging_2260/klagomål/A 37800-2025 FSC-klagomål.docx", "A 37800-2025")</f>
        <v/>
      </c>
      <c r="W156">
        <f>HYPERLINK("https://klasma.github.io/Logging_2260/klagomålsmail/A 37800-2025 FSC-klagomål mail.docx", "A 37800-2025")</f>
        <v/>
      </c>
      <c r="X156">
        <f>HYPERLINK("https://klasma.github.io/Logging_2260/tillsyn/A 37800-2025 tillsynsbegäran.docx", "A 37800-2025")</f>
        <v/>
      </c>
      <c r="Y156">
        <f>HYPERLINK("https://klasma.github.io/Logging_2260/tillsynsmail/A 37800-2025 tillsynsbegäran mail.docx", "A 37800-2025")</f>
        <v/>
      </c>
    </row>
    <row r="157" ht="15" customHeight="1">
      <c r="A157" t="inlineStr">
        <is>
          <t>A 38298-2025</t>
        </is>
      </c>
      <c r="B157" s="1" t="n">
        <v>45883.4568287037</v>
      </c>
      <c r="C157" s="1" t="n">
        <v>45884</v>
      </c>
      <c r="D157" t="inlineStr">
        <is>
          <t>VÄSTERNORRLANDS LÄN</t>
        </is>
      </c>
      <c r="E157" t="inlineStr">
        <is>
          <t>ÅNGE</t>
        </is>
      </c>
      <c r="G157" t="n">
        <v>4.5</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38298-2025 artfynd.xlsx", "A 38298-2025")</f>
        <v/>
      </c>
      <c r="T157">
        <f>HYPERLINK("https://klasma.github.io/Logging_2260/kartor/A 38298-2025 karta.png", "A 38298-2025")</f>
        <v/>
      </c>
      <c r="V157">
        <f>HYPERLINK("https://klasma.github.io/Logging_2260/klagomål/A 38298-2025 FSC-klagomål.docx", "A 38298-2025")</f>
        <v/>
      </c>
      <c r="W157">
        <f>HYPERLINK("https://klasma.github.io/Logging_2260/klagomålsmail/A 38298-2025 FSC-klagomål mail.docx", "A 38298-2025")</f>
        <v/>
      </c>
      <c r="X157">
        <f>HYPERLINK("https://klasma.github.io/Logging_2260/tillsyn/A 38298-2025 tillsynsbegäran.docx", "A 38298-2025")</f>
        <v/>
      </c>
      <c r="Y157">
        <f>HYPERLINK("https://klasma.github.io/Logging_2260/tillsynsmail/A 38298-2025 tillsynsbegäran mail.docx", "A 38298-2025")</f>
        <v/>
      </c>
    </row>
    <row r="158" ht="15" customHeight="1">
      <c r="A158" t="inlineStr">
        <is>
          <t>A 20367-2022</t>
        </is>
      </c>
      <c r="B158" s="1" t="n">
        <v>44699</v>
      </c>
      <c r="C158" s="1" t="n">
        <v>45884</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31136-2022</t>
        </is>
      </c>
      <c r="B159" s="1" t="n">
        <v>44770.40920138889</v>
      </c>
      <c r="C159" s="1" t="n">
        <v>45884</v>
      </c>
      <c r="D159" t="inlineStr">
        <is>
          <t>VÄSTERNORRLANDS LÄN</t>
        </is>
      </c>
      <c r="E159" t="inlineStr">
        <is>
          <t>ÅNGE</t>
        </is>
      </c>
      <c r="F159" t="inlineStr">
        <is>
          <t>Övriga Aktiebolag</t>
        </is>
      </c>
      <c r="G159" t="n">
        <v>4.4</v>
      </c>
      <c r="H159" t="n">
        <v>1</v>
      </c>
      <c r="I159" t="n">
        <v>0</v>
      </c>
      <c r="J159" t="n">
        <v>0</v>
      </c>
      <c r="K159" t="n">
        <v>0</v>
      </c>
      <c r="L159" t="n">
        <v>0</v>
      </c>
      <c r="M159" t="n">
        <v>0</v>
      </c>
      <c r="N159" t="n">
        <v>0</v>
      </c>
      <c r="O159" t="n">
        <v>0</v>
      </c>
      <c r="P159" t="n">
        <v>0</v>
      </c>
      <c r="Q159" t="n">
        <v>1</v>
      </c>
      <c r="R159" s="2" t="inlineStr">
        <is>
          <t>Tjäder</t>
        </is>
      </c>
      <c r="S159">
        <f>HYPERLINK("https://klasma.github.io/Logging_2260/artfynd/A 31136-2022 artfynd.xlsx", "A 31136-2022")</f>
        <v/>
      </c>
      <c r="T159">
        <f>HYPERLINK("https://klasma.github.io/Logging_2260/kartor/A 31136-2022 karta.png", "A 31136-2022")</f>
        <v/>
      </c>
      <c r="V159">
        <f>HYPERLINK("https://klasma.github.io/Logging_2260/klagomål/A 31136-2022 FSC-klagomål.docx", "A 31136-2022")</f>
        <v/>
      </c>
      <c r="W159">
        <f>HYPERLINK("https://klasma.github.io/Logging_2260/klagomålsmail/A 31136-2022 FSC-klagomål mail.docx", "A 31136-2022")</f>
        <v/>
      </c>
      <c r="X159">
        <f>HYPERLINK("https://klasma.github.io/Logging_2260/tillsyn/A 31136-2022 tillsynsbegäran.docx", "A 31136-2022")</f>
        <v/>
      </c>
      <c r="Y159">
        <f>HYPERLINK("https://klasma.github.io/Logging_2260/tillsynsmail/A 31136-2022 tillsynsbegäran mail.docx", "A 31136-2022")</f>
        <v/>
      </c>
      <c r="Z159">
        <f>HYPERLINK("https://klasma.github.io/Logging_2260/fåglar/A 31136-2022 prioriterade fågelarter.docx", "A 31136-2022")</f>
        <v/>
      </c>
    </row>
    <row r="160" ht="15" customHeight="1">
      <c r="A160" t="inlineStr">
        <is>
          <t>A 5558-2021</t>
        </is>
      </c>
      <c r="B160" s="1" t="n">
        <v>44230</v>
      </c>
      <c r="C160" s="1" t="n">
        <v>45884</v>
      </c>
      <c r="D160" t="inlineStr">
        <is>
          <t>VÄSTERNORRLANDS LÄN</t>
        </is>
      </c>
      <c r="E160" t="inlineStr">
        <is>
          <t>ÅNGE</t>
        </is>
      </c>
      <c r="G160" t="n">
        <v>60.6</v>
      </c>
      <c r="H160" t="n">
        <v>0</v>
      </c>
      <c r="I160" t="n">
        <v>0</v>
      </c>
      <c r="J160" t="n">
        <v>1</v>
      </c>
      <c r="K160" t="n">
        <v>0</v>
      </c>
      <c r="L160" t="n">
        <v>0</v>
      </c>
      <c r="M160" t="n">
        <v>0</v>
      </c>
      <c r="N160" t="n">
        <v>0</v>
      </c>
      <c r="O160" t="n">
        <v>1</v>
      </c>
      <c r="P160" t="n">
        <v>0</v>
      </c>
      <c r="Q160" t="n">
        <v>1</v>
      </c>
      <c r="R160" s="2" t="inlineStr">
        <is>
          <t>Garnlav</t>
        </is>
      </c>
      <c r="S160">
        <f>HYPERLINK("https://klasma.github.io/Logging_2260/artfynd/A 5558-2021 artfynd.xlsx", "A 5558-2021")</f>
        <v/>
      </c>
      <c r="T160">
        <f>HYPERLINK("https://klasma.github.io/Logging_2260/kartor/A 5558-2021 karta.png", "A 5558-2021")</f>
        <v/>
      </c>
      <c r="V160">
        <f>HYPERLINK("https://klasma.github.io/Logging_2260/klagomål/A 5558-2021 FSC-klagomål.docx", "A 5558-2021")</f>
        <v/>
      </c>
      <c r="W160">
        <f>HYPERLINK("https://klasma.github.io/Logging_2260/klagomålsmail/A 5558-2021 FSC-klagomål mail.docx", "A 5558-2021")</f>
        <v/>
      </c>
      <c r="X160">
        <f>HYPERLINK("https://klasma.github.io/Logging_2260/tillsyn/A 5558-2021 tillsynsbegäran.docx", "A 5558-2021")</f>
        <v/>
      </c>
      <c r="Y160">
        <f>HYPERLINK("https://klasma.github.io/Logging_2260/tillsynsmail/A 5558-2021 tillsynsbegäran mail.docx", "A 5558-2021")</f>
        <v/>
      </c>
    </row>
    <row r="161" ht="15" customHeight="1">
      <c r="A161" t="inlineStr">
        <is>
          <t>A 61479-2021</t>
        </is>
      </c>
      <c r="B161" s="1" t="n">
        <v>44500</v>
      </c>
      <c r="C161" s="1" t="n">
        <v>45884</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45884</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45884</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13934-2024</t>
        </is>
      </c>
      <c r="B164" s="1" t="n">
        <v>45391</v>
      </c>
      <c r="C164" s="1" t="n">
        <v>45884</v>
      </c>
      <c r="D164" t="inlineStr">
        <is>
          <t>VÄSTERNORRLANDS LÄN</t>
        </is>
      </c>
      <c r="E164" t="inlineStr">
        <is>
          <t>ÅNGE</t>
        </is>
      </c>
      <c r="F164" t="inlineStr">
        <is>
          <t>SCA</t>
        </is>
      </c>
      <c r="G164" t="n">
        <v>5.8</v>
      </c>
      <c r="H164" t="n">
        <v>0</v>
      </c>
      <c r="I164" t="n">
        <v>0</v>
      </c>
      <c r="J164" t="n">
        <v>1</v>
      </c>
      <c r="K164" t="n">
        <v>0</v>
      </c>
      <c r="L164" t="n">
        <v>0</v>
      </c>
      <c r="M164" t="n">
        <v>0</v>
      </c>
      <c r="N164" t="n">
        <v>0</v>
      </c>
      <c r="O164" t="n">
        <v>1</v>
      </c>
      <c r="P164" t="n">
        <v>0</v>
      </c>
      <c r="Q164" t="n">
        <v>1</v>
      </c>
      <c r="R164" s="2" t="inlineStr">
        <is>
          <t>Ullticka</t>
        </is>
      </c>
      <c r="S164">
        <f>HYPERLINK("https://klasma.github.io/Logging_2260/artfynd/A 13934-2024 artfynd.xlsx", "A 13934-2024")</f>
        <v/>
      </c>
      <c r="T164">
        <f>HYPERLINK("https://klasma.github.io/Logging_2260/kartor/A 13934-2024 karta.png", "A 13934-2024")</f>
        <v/>
      </c>
      <c r="V164">
        <f>HYPERLINK("https://klasma.github.io/Logging_2260/klagomål/A 13934-2024 FSC-klagomål.docx", "A 13934-2024")</f>
        <v/>
      </c>
      <c r="W164">
        <f>HYPERLINK("https://klasma.github.io/Logging_2260/klagomålsmail/A 13934-2024 FSC-klagomål mail.docx", "A 13934-2024")</f>
        <v/>
      </c>
      <c r="X164">
        <f>HYPERLINK("https://klasma.github.io/Logging_2260/tillsyn/A 13934-2024 tillsynsbegäran.docx", "A 13934-2024")</f>
        <v/>
      </c>
      <c r="Y164">
        <f>HYPERLINK("https://klasma.github.io/Logging_2260/tillsynsmail/A 13934-2024 tillsynsbegäran mail.docx", "A 13934-2024")</f>
        <v/>
      </c>
    </row>
    <row r="165" ht="15" customHeight="1">
      <c r="A165" t="inlineStr">
        <is>
          <t>A 40416-2020</t>
        </is>
      </c>
      <c r="B165" s="1" t="n">
        <v>44068</v>
      </c>
      <c r="C165" s="1" t="n">
        <v>45884</v>
      </c>
      <c r="D165" t="inlineStr">
        <is>
          <t>VÄSTERNORRLANDS LÄN</t>
        </is>
      </c>
      <c r="E165" t="inlineStr">
        <is>
          <t>ÅNGE</t>
        </is>
      </c>
      <c r="F165" t="inlineStr">
        <is>
          <t>SCA</t>
        </is>
      </c>
      <c r="G165" t="n">
        <v>7.7</v>
      </c>
      <c r="H165" t="n">
        <v>1</v>
      </c>
      <c r="I165" t="n">
        <v>0</v>
      </c>
      <c r="J165" t="n">
        <v>0</v>
      </c>
      <c r="K165" t="n">
        <v>1</v>
      </c>
      <c r="L165" t="n">
        <v>0</v>
      </c>
      <c r="M165" t="n">
        <v>0</v>
      </c>
      <c r="N165" t="n">
        <v>0</v>
      </c>
      <c r="O165" t="n">
        <v>1</v>
      </c>
      <c r="P165" t="n">
        <v>1</v>
      </c>
      <c r="Q165" t="n">
        <v>1</v>
      </c>
      <c r="R165" s="2" t="inlineStr">
        <is>
          <t>Knärot</t>
        </is>
      </c>
      <c r="S165">
        <f>HYPERLINK("https://klasma.github.io/Logging_2260/artfynd/A 40416-2020 artfynd.xlsx", "A 40416-2020")</f>
        <v/>
      </c>
      <c r="T165">
        <f>HYPERLINK("https://klasma.github.io/Logging_2260/kartor/A 40416-2020 karta.png", "A 40416-2020")</f>
        <v/>
      </c>
      <c r="U165">
        <f>HYPERLINK("https://klasma.github.io/Logging_2260/knärot/A 40416-2020 karta knärot.png", "A 40416-2020")</f>
        <v/>
      </c>
      <c r="V165">
        <f>HYPERLINK("https://klasma.github.io/Logging_2260/klagomål/A 40416-2020 FSC-klagomål.docx", "A 40416-2020")</f>
        <v/>
      </c>
      <c r="W165">
        <f>HYPERLINK("https://klasma.github.io/Logging_2260/klagomålsmail/A 40416-2020 FSC-klagomål mail.docx", "A 40416-2020")</f>
        <v/>
      </c>
      <c r="X165">
        <f>HYPERLINK("https://klasma.github.io/Logging_2260/tillsyn/A 40416-2020 tillsynsbegäran.docx", "A 40416-2020")</f>
        <v/>
      </c>
      <c r="Y165">
        <f>HYPERLINK("https://klasma.github.io/Logging_2260/tillsynsmail/A 40416-2020 tillsynsbegäran mail.docx", "A 40416-2020")</f>
        <v/>
      </c>
    </row>
    <row r="166" ht="15" customHeight="1">
      <c r="A166" t="inlineStr">
        <is>
          <t>A 39933-2022</t>
        </is>
      </c>
      <c r="B166" s="1" t="n">
        <v>44819</v>
      </c>
      <c r="C166" s="1" t="n">
        <v>45884</v>
      </c>
      <c r="D166" t="inlineStr">
        <is>
          <t>VÄSTERNORRLANDS LÄN</t>
        </is>
      </c>
      <c r="E166" t="inlineStr">
        <is>
          <t>ÅNGE</t>
        </is>
      </c>
      <c r="F166" t="inlineStr">
        <is>
          <t>SCA</t>
        </is>
      </c>
      <c r="G166" t="n">
        <v>13.8</v>
      </c>
      <c r="H166" t="n">
        <v>1</v>
      </c>
      <c r="I166" t="n">
        <v>0</v>
      </c>
      <c r="J166" t="n">
        <v>0</v>
      </c>
      <c r="K166" t="n">
        <v>1</v>
      </c>
      <c r="L166" t="n">
        <v>0</v>
      </c>
      <c r="M166" t="n">
        <v>0</v>
      </c>
      <c r="N166" t="n">
        <v>0</v>
      </c>
      <c r="O166" t="n">
        <v>1</v>
      </c>
      <c r="P166" t="n">
        <v>1</v>
      </c>
      <c r="Q166" t="n">
        <v>1</v>
      </c>
      <c r="R166" s="2" t="inlineStr">
        <is>
          <t>Knärot</t>
        </is>
      </c>
      <c r="S166">
        <f>HYPERLINK("https://klasma.github.io/Logging_2260/artfynd/A 39933-2022 artfynd.xlsx", "A 39933-2022")</f>
        <v/>
      </c>
      <c r="T166">
        <f>HYPERLINK("https://klasma.github.io/Logging_2260/kartor/A 39933-2022 karta.png", "A 39933-2022")</f>
        <v/>
      </c>
      <c r="U166">
        <f>HYPERLINK("https://klasma.github.io/Logging_2260/knärot/A 39933-2022 karta knärot.png", "A 39933-2022")</f>
        <v/>
      </c>
      <c r="V166">
        <f>HYPERLINK("https://klasma.github.io/Logging_2260/klagomål/A 39933-2022 FSC-klagomål.docx", "A 39933-2022")</f>
        <v/>
      </c>
      <c r="W166">
        <f>HYPERLINK("https://klasma.github.io/Logging_2260/klagomålsmail/A 39933-2022 FSC-klagomål mail.docx", "A 39933-2022")</f>
        <v/>
      </c>
      <c r="X166">
        <f>HYPERLINK("https://klasma.github.io/Logging_2260/tillsyn/A 39933-2022 tillsynsbegäran.docx", "A 39933-2022")</f>
        <v/>
      </c>
      <c r="Y166">
        <f>HYPERLINK("https://klasma.github.io/Logging_2260/tillsynsmail/A 39933-2022 tillsynsbegäran mail.docx", "A 39933-2022")</f>
        <v/>
      </c>
    </row>
    <row r="167" ht="15" customHeight="1">
      <c r="A167" t="inlineStr">
        <is>
          <t>A 38606-2024</t>
        </is>
      </c>
      <c r="B167" s="1" t="n">
        <v>45546.67804398148</v>
      </c>
      <c r="C167" s="1" t="n">
        <v>45884</v>
      </c>
      <c r="D167" t="inlineStr">
        <is>
          <t>VÄSTERNORRLANDS LÄN</t>
        </is>
      </c>
      <c r="E167" t="inlineStr">
        <is>
          <t>ÅNGE</t>
        </is>
      </c>
      <c r="F167" t="inlineStr">
        <is>
          <t>SCA</t>
        </is>
      </c>
      <c r="G167" t="n">
        <v>2.4</v>
      </c>
      <c r="H167" t="n">
        <v>0</v>
      </c>
      <c r="I167" t="n">
        <v>0</v>
      </c>
      <c r="J167" t="n">
        <v>1</v>
      </c>
      <c r="K167" t="n">
        <v>0</v>
      </c>
      <c r="L167" t="n">
        <v>0</v>
      </c>
      <c r="M167" t="n">
        <v>0</v>
      </c>
      <c r="N167" t="n">
        <v>0</v>
      </c>
      <c r="O167" t="n">
        <v>1</v>
      </c>
      <c r="P167" t="n">
        <v>0</v>
      </c>
      <c r="Q167" t="n">
        <v>1</v>
      </c>
      <c r="R167" s="2" t="inlineStr">
        <is>
          <t>Ullticka</t>
        </is>
      </c>
      <c r="S167">
        <f>HYPERLINK("https://klasma.github.io/Logging_2260/artfynd/A 38606-2024 artfynd.xlsx", "A 38606-2024")</f>
        <v/>
      </c>
      <c r="T167">
        <f>HYPERLINK("https://klasma.github.io/Logging_2260/kartor/A 38606-2024 karta.png", "A 38606-2024")</f>
        <v/>
      </c>
      <c r="V167">
        <f>HYPERLINK("https://klasma.github.io/Logging_2260/klagomål/A 38606-2024 FSC-klagomål.docx", "A 38606-2024")</f>
        <v/>
      </c>
      <c r="W167">
        <f>HYPERLINK("https://klasma.github.io/Logging_2260/klagomålsmail/A 38606-2024 FSC-klagomål mail.docx", "A 38606-2024")</f>
        <v/>
      </c>
      <c r="X167">
        <f>HYPERLINK("https://klasma.github.io/Logging_2260/tillsyn/A 38606-2024 tillsynsbegäran.docx", "A 38606-2024")</f>
        <v/>
      </c>
      <c r="Y167">
        <f>HYPERLINK("https://klasma.github.io/Logging_2260/tillsynsmail/A 38606-2024 tillsynsbegäran mail.docx", "A 38606-2024")</f>
        <v/>
      </c>
    </row>
    <row r="168" ht="15" customHeight="1">
      <c r="A168" t="inlineStr">
        <is>
          <t>A 43171-2024</t>
        </is>
      </c>
      <c r="B168" s="1" t="n">
        <v>45567</v>
      </c>
      <c r="C168" s="1" t="n">
        <v>45884</v>
      </c>
      <c r="D168" t="inlineStr">
        <is>
          <t>VÄSTERNORRLANDS LÄN</t>
        </is>
      </c>
      <c r="E168" t="inlineStr">
        <is>
          <t>ÅNGE</t>
        </is>
      </c>
      <c r="F168" t="inlineStr">
        <is>
          <t>SCA</t>
        </is>
      </c>
      <c r="G168" t="n">
        <v>3.4</v>
      </c>
      <c r="H168" t="n">
        <v>0</v>
      </c>
      <c r="I168" t="n">
        <v>0</v>
      </c>
      <c r="J168" t="n">
        <v>1</v>
      </c>
      <c r="K168" t="n">
        <v>0</v>
      </c>
      <c r="L168" t="n">
        <v>0</v>
      </c>
      <c r="M168" t="n">
        <v>0</v>
      </c>
      <c r="N168" t="n">
        <v>0</v>
      </c>
      <c r="O168" t="n">
        <v>1</v>
      </c>
      <c r="P168" t="n">
        <v>0</v>
      </c>
      <c r="Q168" t="n">
        <v>1</v>
      </c>
      <c r="R168" s="2" t="inlineStr">
        <is>
          <t>Rosenticka</t>
        </is>
      </c>
      <c r="S168">
        <f>HYPERLINK("https://klasma.github.io/Logging_2260/artfynd/A 43171-2024 artfynd.xlsx", "A 43171-2024")</f>
        <v/>
      </c>
      <c r="T168">
        <f>HYPERLINK("https://klasma.github.io/Logging_2260/kartor/A 43171-2024 karta.png", "A 43171-2024")</f>
        <v/>
      </c>
      <c r="V168">
        <f>HYPERLINK("https://klasma.github.io/Logging_2260/klagomål/A 43171-2024 FSC-klagomål.docx", "A 43171-2024")</f>
        <v/>
      </c>
      <c r="W168">
        <f>HYPERLINK("https://klasma.github.io/Logging_2260/klagomålsmail/A 43171-2024 FSC-klagomål mail.docx", "A 43171-2024")</f>
        <v/>
      </c>
      <c r="X168">
        <f>HYPERLINK("https://klasma.github.io/Logging_2260/tillsyn/A 43171-2024 tillsynsbegäran.docx", "A 43171-2024")</f>
        <v/>
      </c>
      <c r="Y168">
        <f>HYPERLINK("https://klasma.github.io/Logging_2260/tillsynsmail/A 43171-2024 tillsynsbegäran mail.docx", "A 43171-2024")</f>
        <v/>
      </c>
    </row>
    <row r="169" ht="15" customHeight="1">
      <c r="A169" t="inlineStr">
        <is>
          <t>A 71366-2021</t>
        </is>
      </c>
      <c r="B169" s="1" t="n">
        <v>44539</v>
      </c>
      <c r="C169" s="1" t="n">
        <v>45884</v>
      </c>
      <c r="D169" t="inlineStr">
        <is>
          <t>VÄSTERNORRLANDS LÄN</t>
        </is>
      </c>
      <c r="E169" t="inlineStr">
        <is>
          <t>ÅNGE</t>
        </is>
      </c>
      <c r="F169" t="inlineStr">
        <is>
          <t>SCA</t>
        </is>
      </c>
      <c r="G169" t="n">
        <v>2.3</v>
      </c>
      <c r="H169" t="n">
        <v>1</v>
      </c>
      <c r="I169" t="n">
        <v>0</v>
      </c>
      <c r="J169" t="n">
        <v>0</v>
      </c>
      <c r="K169" t="n">
        <v>1</v>
      </c>
      <c r="L169" t="n">
        <v>0</v>
      </c>
      <c r="M169" t="n">
        <v>0</v>
      </c>
      <c r="N169" t="n">
        <v>0</v>
      </c>
      <c r="O169" t="n">
        <v>1</v>
      </c>
      <c r="P169" t="n">
        <v>1</v>
      </c>
      <c r="Q169" t="n">
        <v>1</v>
      </c>
      <c r="R169" s="2" t="inlineStr">
        <is>
          <t>Knärot</t>
        </is>
      </c>
      <c r="S169">
        <f>HYPERLINK("https://klasma.github.io/Logging_2260/artfynd/A 71366-2021 artfynd.xlsx", "A 71366-2021")</f>
        <v/>
      </c>
      <c r="T169">
        <f>HYPERLINK("https://klasma.github.io/Logging_2260/kartor/A 71366-2021 karta.png", "A 71366-2021")</f>
        <v/>
      </c>
      <c r="U169">
        <f>HYPERLINK("https://klasma.github.io/Logging_2260/knärot/A 71366-2021 karta knärot.png", "A 71366-2021")</f>
        <v/>
      </c>
      <c r="V169">
        <f>HYPERLINK("https://klasma.github.io/Logging_2260/klagomål/A 71366-2021 FSC-klagomål.docx", "A 71366-2021")</f>
        <v/>
      </c>
      <c r="W169">
        <f>HYPERLINK("https://klasma.github.io/Logging_2260/klagomålsmail/A 71366-2021 FSC-klagomål mail.docx", "A 71366-2021")</f>
        <v/>
      </c>
      <c r="X169">
        <f>HYPERLINK("https://klasma.github.io/Logging_2260/tillsyn/A 71366-2021 tillsynsbegäran.docx", "A 71366-2021")</f>
        <v/>
      </c>
      <c r="Y169">
        <f>HYPERLINK("https://klasma.github.io/Logging_2260/tillsynsmail/A 71366-2021 tillsynsbegäran mail.docx", "A 71366-2021")</f>
        <v/>
      </c>
    </row>
    <row r="170" ht="15" customHeight="1">
      <c r="A170" t="inlineStr">
        <is>
          <t>A 32457-2024</t>
        </is>
      </c>
      <c r="B170" s="1" t="n">
        <v>45512</v>
      </c>
      <c r="C170" s="1" t="n">
        <v>45884</v>
      </c>
      <c r="D170" t="inlineStr">
        <is>
          <t>VÄSTERNORRLANDS LÄN</t>
        </is>
      </c>
      <c r="E170" t="inlineStr">
        <is>
          <t>ÅNGE</t>
        </is>
      </c>
      <c r="F170" t="inlineStr">
        <is>
          <t>SCA</t>
        </is>
      </c>
      <c r="G170" t="n">
        <v>1.3</v>
      </c>
      <c r="H170" t="n">
        <v>0</v>
      </c>
      <c r="I170" t="n">
        <v>0</v>
      </c>
      <c r="J170" t="n">
        <v>1</v>
      </c>
      <c r="K170" t="n">
        <v>0</v>
      </c>
      <c r="L170" t="n">
        <v>0</v>
      </c>
      <c r="M170" t="n">
        <v>0</v>
      </c>
      <c r="N170" t="n">
        <v>0</v>
      </c>
      <c r="O170" t="n">
        <v>1</v>
      </c>
      <c r="P170" t="n">
        <v>0</v>
      </c>
      <c r="Q170" t="n">
        <v>1</v>
      </c>
      <c r="R170" s="2" t="inlineStr">
        <is>
          <t>Ullticka</t>
        </is>
      </c>
      <c r="S170">
        <f>HYPERLINK("https://klasma.github.io/Logging_2260/artfynd/A 32457-2024 artfynd.xlsx", "A 32457-2024")</f>
        <v/>
      </c>
      <c r="T170">
        <f>HYPERLINK("https://klasma.github.io/Logging_2260/kartor/A 32457-2024 karta.png", "A 32457-2024")</f>
        <v/>
      </c>
      <c r="V170">
        <f>HYPERLINK("https://klasma.github.io/Logging_2260/klagomål/A 32457-2024 FSC-klagomål.docx", "A 32457-2024")</f>
        <v/>
      </c>
      <c r="W170">
        <f>HYPERLINK("https://klasma.github.io/Logging_2260/klagomålsmail/A 32457-2024 FSC-klagomål mail.docx", "A 32457-2024")</f>
        <v/>
      </c>
      <c r="X170">
        <f>HYPERLINK("https://klasma.github.io/Logging_2260/tillsyn/A 32457-2024 tillsynsbegäran.docx", "A 32457-2024")</f>
        <v/>
      </c>
      <c r="Y170">
        <f>HYPERLINK("https://klasma.github.io/Logging_2260/tillsynsmail/A 32457-2024 tillsynsbegäran mail.docx", "A 32457-2024")</f>
        <v/>
      </c>
    </row>
    <row r="171" ht="15" customHeight="1">
      <c r="A171" t="inlineStr">
        <is>
          <t>A 30774-2024</t>
        </is>
      </c>
      <c r="B171" s="1" t="n">
        <v>45496.949375</v>
      </c>
      <c r="C171" s="1" t="n">
        <v>45884</v>
      </c>
      <c r="D171" t="inlineStr">
        <is>
          <t>VÄSTERNORRLANDS LÄN</t>
        </is>
      </c>
      <c r="E171" t="inlineStr">
        <is>
          <t>ÅNGE</t>
        </is>
      </c>
      <c r="F171" t="inlineStr">
        <is>
          <t>SCA</t>
        </is>
      </c>
      <c r="G171" t="n">
        <v>2.2</v>
      </c>
      <c r="H171" t="n">
        <v>1</v>
      </c>
      <c r="I171" t="n">
        <v>0</v>
      </c>
      <c r="J171" t="n">
        <v>0</v>
      </c>
      <c r="K171" t="n">
        <v>0</v>
      </c>
      <c r="L171" t="n">
        <v>0</v>
      </c>
      <c r="M171" t="n">
        <v>0</v>
      </c>
      <c r="N171" t="n">
        <v>0</v>
      </c>
      <c r="O171" t="n">
        <v>0</v>
      </c>
      <c r="P171" t="n">
        <v>0</v>
      </c>
      <c r="Q171" t="n">
        <v>1</v>
      </c>
      <c r="R171" s="2" t="inlineStr">
        <is>
          <t>Tjäder</t>
        </is>
      </c>
      <c r="S171">
        <f>HYPERLINK("https://klasma.github.io/Logging_2260/artfynd/A 30774-2024 artfynd.xlsx", "A 30774-2024")</f>
        <v/>
      </c>
      <c r="T171">
        <f>HYPERLINK("https://klasma.github.io/Logging_2260/kartor/A 30774-2024 karta.png", "A 30774-2024")</f>
        <v/>
      </c>
      <c r="V171">
        <f>HYPERLINK("https://klasma.github.io/Logging_2260/klagomål/A 30774-2024 FSC-klagomål.docx", "A 30774-2024")</f>
        <v/>
      </c>
      <c r="W171">
        <f>HYPERLINK("https://klasma.github.io/Logging_2260/klagomålsmail/A 30774-2024 FSC-klagomål mail.docx", "A 30774-2024")</f>
        <v/>
      </c>
      <c r="X171">
        <f>HYPERLINK("https://klasma.github.io/Logging_2260/tillsyn/A 30774-2024 tillsynsbegäran.docx", "A 30774-2024")</f>
        <v/>
      </c>
      <c r="Y171">
        <f>HYPERLINK("https://klasma.github.io/Logging_2260/tillsynsmail/A 30774-2024 tillsynsbegäran mail.docx", "A 30774-2024")</f>
        <v/>
      </c>
      <c r="Z171">
        <f>HYPERLINK("https://klasma.github.io/Logging_2260/fåglar/A 30774-2024 prioriterade fågelarter.docx", "A 30774-2024")</f>
        <v/>
      </c>
    </row>
    <row r="172" ht="15" customHeight="1">
      <c r="A172" t="inlineStr">
        <is>
          <t>A 64510-2023</t>
        </is>
      </c>
      <c r="B172" s="1" t="n">
        <v>45281</v>
      </c>
      <c r="C172" s="1" t="n">
        <v>45884</v>
      </c>
      <c r="D172" t="inlineStr">
        <is>
          <t>VÄSTERNORRLANDS LÄN</t>
        </is>
      </c>
      <c r="E172" t="inlineStr">
        <is>
          <t>ÅNGE</t>
        </is>
      </c>
      <c r="G172" t="n">
        <v>3.7</v>
      </c>
      <c r="H172" t="n">
        <v>0</v>
      </c>
      <c r="I172" t="n">
        <v>1</v>
      </c>
      <c r="J172" t="n">
        <v>0</v>
      </c>
      <c r="K172" t="n">
        <v>0</v>
      </c>
      <c r="L172" t="n">
        <v>0</v>
      </c>
      <c r="M172" t="n">
        <v>0</v>
      </c>
      <c r="N172" t="n">
        <v>0</v>
      </c>
      <c r="O172" t="n">
        <v>0</v>
      </c>
      <c r="P172" t="n">
        <v>0</v>
      </c>
      <c r="Q172" t="n">
        <v>1</v>
      </c>
      <c r="R172" s="2" t="inlineStr">
        <is>
          <t>Dropptaggsvamp</t>
        </is>
      </c>
      <c r="S172">
        <f>HYPERLINK("https://klasma.github.io/Logging_2260/artfynd/A 64510-2023 artfynd.xlsx", "A 64510-2023")</f>
        <v/>
      </c>
      <c r="T172">
        <f>HYPERLINK("https://klasma.github.io/Logging_2260/kartor/A 64510-2023 karta.png", "A 64510-2023")</f>
        <v/>
      </c>
      <c r="V172">
        <f>HYPERLINK("https://klasma.github.io/Logging_2260/klagomål/A 64510-2023 FSC-klagomål.docx", "A 64510-2023")</f>
        <v/>
      </c>
      <c r="W172">
        <f>HYPERLINK("https://klasma.github.io/Logging_2260/klagomålsmail/A 64510-2023 FSC-klagomål mail.docx", "A 64510-2023")</f>
        <v/>
      </c>
      <c r="X172">
        <f>HYPERLINK("https://klasma.github.io/Logging_2260/tillsyn/A 64510-2023 tillsynsbegäran.docx", "A 64510-2023")</f>
        <v/>
      </c>
      <c r="Y172">
        <f>HYPERLINK("https://klasma.github.io/Logging_2260/tillsynsmail/A 64510-2023 tillsynsbegäran mail.docx", "A 64510-2023")</f>
        <v/>
      </c>
    </row>
    <row r="173" ht="15" customHeight="1">
      <c r="A173" t="inlineStr">
        <is>
          <t>A 24799-2024</t>
        </is>
      </c>
      <c r="B173" s="1" t="n">
        <v>45460</v>
      </c>
      <c r="C173" s="1" t="n">
        <v>45884</v>
      </c>
      <c r="D173" t="inlineStr">
        <is>
          <t>VÄSTERNORRLANDS LÄN</t>
        </is>
      </c>
      <c r="E173" t="inlineStr">
        <is>
          <t>ÅNGE</t>
        </is>
      </c>
      <c r="F173" t="inlineStr">
        <is>
          <t>SCA</t>
        </is>
      </c>
      <c r="G173" t="n">
        <v>2.8</v>
      </c>
      <c r="H173" t="n">
        <v>1</v>
      </c>
      <c r="I173" t="n">
        <v>0</v>
      </c>
      <c r="J173" t="n">
        <v>0</v>
      </c>
      <c r="K173" t="n">
        <v>1</v>
      </c>
      <c r="L173" t="n">
        <v>0</v>
      </c>
      <c r="M173" t="n">
        <v>0</v>
      </c>
      <c r="N173" t="n">
        <v>0</v>
      </c>
      <c r="O173" t="n">
        <v>1</v>
      </c>
      <c r="P173" t="n">
        <v>1</v>
      </c>
      <c r="Q173" t="n">
        <v>1</v>
      </c>
      <c r="R173" s="2" t="inlineStr">
        <is>
          <t>Doftticka</t>
        </is>
      </c>
      <c r="S173">
        <f>HYPERLINK("https://klasma.github.io/Logging_2260/artfynd/A 24799-2024 artfynd.xlsx", "A 24799-2024")</f>
        <v/>
      </c>
      <c r="T173">
        <f>HYPERLINK("https://klasma.github.io/Logging_2260/kartor/A 24799-2024 karta.png", "A 24799-2024")</f>
        <v/>
      </c>
      <c r="V173">
        <f>HYPERLINK("https://klasma.github.io/Logging_2260/klagomål/A 24799-2024 FSC-klagomål.docx", "A 24799-2024")</f>
        <v/>
      </c>
      <c r="W173">
        <f>HYPERLINK("https://klasma.github.io/Logging_2260/klagomålsmail/A 24799-2024 FSC-klagomål mail.docx", "A 24799-2024")</f>
        <v/>
      </c>
      <c r="X173">
        <f>HYPERLINK("https://klasma.github.io/Logging_2260/tillsyn/A 24799-2024 tillsynsbegäran.docx", "A 24799-2024")</f>
        <v/>
      </c>
      <c r="Y173">
        <f>HYPERLINK("https://klasma.github.io/Logging_2260/tillsynsmail/A 24799-2024 tillsynsbegäran mail.docx", "A 24799-2024")</f>
        <v/>
      </c>
    </row>
    <row r="174" ht="15" customHeight="1">
      <c r="A174" t="inlineStr">
        <is>
          <t>A 55015-2023</t>
        </is>
      </c>
      <c r="B174" s="1" t="n">
        <v>45237.32185185186</v>
      </c>
      <c r="C174" s="1" t="n">
        <v>45884</v>
      </c>
      <c r="D174" t="inlineStr">
        <is>
          <t>VÄSTERNORRLANDS LÄN</t>
        </is>
      </c>
      <c r="E174" t="inlineStr">
        <is>
          <t>ÅNGE</t>
        </is>
      </c>
      <c r="F174" t="inlineStr">
        <is>
          <t>Sveaskog</t>
        </is>
      </c>
      <c r="G174" t="n">
        <v>2.7</v>
      </c>
      <c r="H174" t="n">
        <v>0</v>
      </c>
      <c r="I174" t="n">
        <v>0</v>
      </c>
      <c r="J174" t="n">
        <v>1</v>
      </c>
      <c r="K174" t="n">
        <v>0</v>
      </c>
      <c r="L174" t="n">
        <v>0</v>
      </c>
      <c r="M174" t="n">
        <v>0</v>
      </c>
      <c r="N174" t="n">
        <v>0</v>
      </c>
      <c r="O174" t="n">
        <v>1</v>
      </c>
      <c r="P174" t="n">
        <v>0</v>
      </c>
      <c r="Q174" t="n">
        <v>1</v>
      </c>
      <c r="R174" s="2" t="inlineStr">
        <is>
          <t>Lunglav</t>
        </is>
      </c>
      <c r="S174">
        <f>HYPERLINK("https://klasma.github.io/Logging_2260/artfynd/A 55015-2023 artfynd.xlsx", "A 55015-2023")</f>
        <v/>
      </c>
      <c r="T174">
        <f>HYPERLINK("https://klasma.github.io/Logging_2260/kartor/A 55015-2023 karta.png", "A 55015-2023")</f>
        <v/>
      </c>
      <c r="V174">
        <f>HYPERLINK("https://klasma.github.io/Logging_2260/klagomål/A 55015-2023 FSC-klagomål.docx", "A 55015-2023")</f>
        <v/>
      </c>
      <c r="W174">
        <f>HYPERLINK("https://klasma.github.io/Logging_2260/klagomålsmail/A 55015-2023 FSC-klagomål mail.docx", "A 55015-2023")</f>
        <v/>
      </c>
      <c r="X174">
        <f>HYPERLINK("https://klasma.github.io/Logging_2260/tillsyn/A 55015-2023 tillsynsbegäran.docx", "A 55015-2023")</f>
        <v/>
      </c>
      <c r="Y174">
        <f>HYPERLINK("https://klasma.github.io/Logging_2260/tillsynsmail/A 55015-2023 tillsynsbegäran mail.docx", "A 55015-2023")</f>
        <v/>
      </c>
    </row>
    <row r="175" ht="15" customHeight="1">
      <c r="A175" t="inlineStr">
        <is>
          <t>A 27308-2024</t>
        </is>
      </c>
      <c r="B175" s="1" t="n">
        <v>45471</v>
      </c>
      <c r="C175" s="1" t="n">
        <v>45884</v>
      </c>
      <c r="D175" t="inlineStr">
        <is>
          <t>VÄSTERNORRLANDS LÄN</t>
        </is>
      </c>
      <c r="E175" t="inlineStr">
        <is>
          <t>ÅNGE</t>
        </is>
      </c>
      <c r="F175" t="inlineStr">
        <is>
          <t>SCA</t>
        </is>
      </c>
      <c r="G175" t="n">
        <v>15.9</v>
      </c>
      <c r="H175" t="n">
        <v>0</v>
      </c>
      <c r="I175" t="n">
        <v>0</v>
      </c>
      <c r="J175" t="n">
        <v>1</v>
      </c>
      <c r="K175" t="n">
        <v>0</v>
      </c>
      <c r="L175" t="n">
        <v>0</v>
      </c>
      <c r="M175" t="n">
        <v>0</v>
      </c>
      <c r="N175" t="n">
        <v>0</v>
      </c>
      <c r="O175" t="n">
        <v>1</v>
      </c>
      <c r="P175" t="n">
        <v>0</v>
      </c>
      <c r="Q175" t="n">
        <v>1</v>
      </c>
      <c r="R175" s="2" t="inlineStr">
        <is>
          <t>Lunglav</t>
        </is>
      </c>
      <c r="S175">
        <f>HYPERLINK("https://klasma.github.io/Logging_2260/artfynd/A 27308-2024 artfynd.xlsx", "A 27308-2024")</f>
        <v/>
      </c>
      <c r="T175">
        <f>HYPERLINK("https://klasma.github.io/Logging_2260/kartor/A 27308-2024 karta.png", "A 27308-2024")</f>
        <v/>
      </c>
      <c r="V175">
        <f>HYPERLINK("https://klasma.github.io/Logging_2260/klagomål/A 27308-2024 FSC-klagomål.docx", "A 27308-2024")</f>
        <v/>
      </c>
      <c r="W175">
        <f>HYPERLINK("https://klasma.github.io/Logging_2260/klagomålsmail/A 27308-2024 FSC-klagomål mail.docx", "A 27308-2024")</f>
        <v/>
      </c>
      <c r="X175">
        <f>HYPERLINK("https://klasma.github.io/Logging_2260/tillsyn/A 27308-2024 tillsynsbegäran.docx", "A 27308-2024")</f>
        <v/>
      </c>
      <c r="Y175">
        <f>HYPERLINK("https://klasma.github.io/Logging_2260/tillsynsmail/A 27308-2024 tillsynsbegäran mail.docx", "A 27308-2024")</f>
        <v/>
      </c>
    </row>
    <row r="176" ht="15" customHeight="1">
      <c r="A176" t="inlineStr">
        <is>
          <t>A 41493-2021</t>
        </is>
      </c>
      <c r="B176" s="1" t="n">
        <v>44424</v>
      </c>
      <c r="C176" s="1" t="n">
        <v>45884</v>
      </c>
      <c r="D176" t="inlineStr">
        <is>
          <t>VÄSTERNORRLANDS LÄN</t>
        </is>
      </c>
      <c r="E176" t="inlineStr">
        <is>
          <t>ÅNGE</t>
        </is>
      </c>
      <c r="F176" t="inlineStr">
        <is>
          <t>SCA</t>
        </is>
      </c>
      <c r="G176" t="n">
        <v>8</v>
      </c>
      <c r="H176" t="n">
        <v>1</v>
      </c>
      <c r="I176" t="n">
        <v>0</v>
      </c>
      <c r="J176" t="n">
        <v>0</v>
      </c>
      <c r="K176" t="n">
        <v>1</v>
      </c>
      <c r="L176" t="n">
        <v>0</v>
      </c>
      <c r="M176" t="n">
        <v>0</v>
      </c>
      <c r="N176" t="n">
        <v>0</v>
      </c>
      <c r="O176" t="n">
        <v>1</v>
      </c>
      <c r="P176" t="n">
        <v>1</v>
      </c>
      <c r="Q176" t="n">
        <v>1</v>
      </c>
      <c r="R176" s="2" t="inlineStr">
        <is>
          <t>Knärot</t>
        </is>
      </c>
      <c r="S176">
        <f>HYPERLINK("https://klasma.github.io/Logging_2260/artfynd/A 41493-2021 artfynd.xlsx", "A 41493-2021")</f>
        <v/>
      </c>
      <c r="T176">
        <f>HYPERLINK("https://klasma.github.io/Logging_2260/kartor/A 41493-2021 karta.png", "A 41493-2021")</f>
        <v/>
      </c>
      <c r="U176">
        <f>HYPERLINK("https://klasma.github.io/Logging_2260/knärot/A 41493-2021 karta knärot.png", "A 41493-2021")</f>
        <v/>
      </c>
      <c r="V176">
        <f>HYPERLINK("https://klasma.github.io/Logging_2260/klagomål/A 41493-2021 FSC-klagomål.docx", "A 41493-2021")</f>
        <v/>
      </c>
      <c r="W176">
        <f>HYPERLINK("https://klasma.github.io/Logging_2260/klagomålsmail/A 41493-2021 FSC-klagomål mail.docx", "A 41493-2021")</f>
        <v/>
      </c>
      <c r="X176">
        <f>HYPERLINK("https://klasma.github.io/Logging_2260/tillsyn/A 41493-2021 tillsynsbegäran.docx", "A 41493-2021")</f>
        <v/>
      </c>
      <c r="Y176">
        <f>HYPERLINK("https://klasma.github.io/Logging_2260/tillsynsmail/A 41493-2021 tillsynsbegäran mail.docx", "A 41493-2021")</f>
        <v/>
      </c>
    </row>
    <row r="177" ht="15" customHeight="1">
      <c r="A177" t="inlineStr">
        <is>
          <t>A 38603-2024</t>
        </is>
      </c>
      <c r="B177" s="1" t="n">
        <v>45546</v>
      </c>
      <c r="C177" s="1" t="n">
        <v>45884</v>
      </c>
      <c r="D177" t="inlineStr">
        <is>
          <t>VÄSTERNORRLANDS LÄN</t>
        </is>
      </c>
      <c r="E177" t="inlineStr">
        <is>
          <t>ÅNGE</t>
        </is>
      </c>
      <c r="F177" t="inlineStr">
        <is>
          <t>SCA</t>
        </is>
      </c>
      <c r="G177" t="n">
        <v>5.6</v>
      </c>
      <c r="H177" t="n">
        <v>0</v>
      </c>
      <c r="I177" t="n">
        <v>0</v>
      </c>
      <c r="J177" t="n">
        <v>0</v>
      </c>
      <c r="K177" t="n">
        <v>1</v>
      </c>
      <c r="L177" t="n">
        <v>0</v>
      </c>
      <c r="M177" t="n">
        <v>0</v>
      </c>
      <c r="N177" t="n">
        <v>0</v>
      </c>
      <c r="O177" t="n">
        <v>1</v>
      </c>
      <c r="P177" t="n">
        <v>1</v>
      </c>
      <c r="Q177" t="n">
        <v>1</v>
      </c>
      <c r="R177" s="2" t="inlineStr">
        <is>
          <t>Rynkskinn</t>
        </is>
      </c>
      <c r="S177">
        <f>HYPERLINK("https://klasma.github.io/Logging_2260/artfynd/A 38603-2024 artfynd.xlsx", "A 38603-2024")</f>
        <v/>
      </c>
      <c r="T177">
        <f>HYPERLINK("https://klasma.github.io/Logging_2260/kartor/A 38603-2024 karta.png", "A 38603-2024")</f>
        <v/>
      </c>
      <c r="V177">
        <f>HYPERLINK("https://klasma.github.io/Logging_2260/klagomål/A 38603-2024 FSC-klagomål.docx", "A 38603-2024")</f>
        <v/>
      </c>
      <c r="W177">
        <f>HYPERLINK("https://klasma.github.io/Logging_2260/klagomålsmail/A 38603-2024 FSC-klagomål mail.docx", "A 38603-2024")</f>
        <v/>
      </c>
      <c r="X177">
        <f>HYPERLINK("https://klasma.github.io/Logging_2260/tillsyn/A 38603-2024 tillsynsbegäran.docx", "A 38603-2024")</f>
        <v/>
      </c>
      <c r="Y177">
        <f>HYPERLINK("https://klasma.github.io/Logging_2260/tillsynsmail/A 38603-2024 tillsynsbegäran mail.docx", "A 38603-2024")</f>
        <v/>
      </c>
    </row>
    <row r="178" ht="15" customHeight="1">
      <c r="A178" t="inlineStr">
        <is>
          <t>A 34696-2024</t>
        </is>
      </c>
      <c r="B178" s="1" t="n">
        <v>45526</v>
      </c>
      <c r="C178" s="1" t="n">
        <v>45884</v>
      </c>
      <c r="D178" t="inlineStr">
        <is>
          <t>VÄSTERNORRLANDS LÄN</t>
        </is>
      </c>
      <c r="E178" t="inlineStr">
        <is>
          <t>ÅNGE</t>
        </is>
      </c>
      <c r="G178" t="n">
        <v>3.6</v>
      </c>
      <c r="H178" t="n">
        <v>1</v>
      </c>
      <c r="I178" t="n">
        <v>0</v>
      </c>
      <c r="J178" t="n">
        <v>0</v>
      </c>
      <c r="K178" t="n">
        <v>0</v>
      </c>
      <c r="L178" t="n">
        <v>0</v>
      </c>
      <c r="M178" t="n">
        <v>0</v>
      </c>
      <c r="N178" t="n">
        <v>0</v>
      </c>
      <c r="O178" t="n">
        <v>0</v>
      </c>
      <c r="P178" t="n">
        <v>0</v>
      </c>
      <c r="Q178" t="n">
        <v>1</v>
      </c>
      <c r="R178" s="2" t="inlineStr">
        <is>
          <t>Revlummer</t>
        </is>
      </c>
      <c r="S178">
        <f>HYPERLINK("https://klasma.github.io/Logging_2260/artfynd/A 34696-2024 artfynd.xlsx", "A 34696-2024")</f>
        <v/>
      </c>
      <c r="T178">
        <f>HYPERLINK("https://klasma.github.io/Logging_2260/kartor/A 34696-2024 karta.png", "A 34696-2024")</f>
        <v/>
      </c>
      <c r="V178">
        <f>HYPERLINK("https://klasma.github.io/Logging_2260/klagomål/A 34696-2024 FSC-klagomål.docx", "A 34696-2024")</f>
        <v/>
      </c>
      <c r="W178">
        <f>HYPERLINK("https://klasma.github.io/Logging_2260/klagomålsmail/A 34696-2024 FSC-klagomål mail.docx", "A 34696-2024")</f>
        <v/>
      </c>
      <c r="X178">
        <f>HYPERLINK("https://klasma.github.io/Logging_2260/tillsyn/A 34696-2024 tillsynsbegäran.docx", "A 34696-2024")</f>
        <v/>
      </c>
      <c r="Y178">
        <f>HYPERLINK("https://klasma.github.io/Logging_2260/tillsynsmail/A 34696-2024 tillsynsbegäran mail.docx", "A 34696-2024")</f>
        <v/>
      </c>
    </row>
    <row r="179" ht="15" customHeight="1">
      <c r="A179" t="inlineStr">
        <is>
          <t>A 31510-2024</t>
        </is>
      </c>
      <c r="B179" s="1" t="n">
        <v>45505</v>
      </c>
      <c r="C179" s="1" t="n">
        <v>45884</v>
      </c>
      <c r="D179" t="inlineStr">
        <is>
          <t>VÄSTERNORRLANDS LÄN</t>
        </is>
      </c>
      <c r="E179" t="inlineStr">
        <is>
          <t>ÅNGE</t>
        </is>
      </c>
      <c r="F179" t="inlineStr">
        <is>
          <t>SCA</t>
        </is>
      </c>
      <c r="G179" t="n">
        <v>6</v>
      </c>
      <c r="H179" t="n">
        <v>1</v>
      </c>
      <c r="I179" t="n">
        <v>0</v>
      </c>
      <c r="J179" t="n">
        <v>0</v>
      </c>
      <c r="K179" t="n">
        <v>1</v>
      </c>
      <c r="L179" t="n">
        <v>0</v>
      </c>
      <c r="M179" t="n">
        <v>0</v>
      </c>
      <c r="N179" t="n">
        <v>0</v>
      </c>
      <c r="O179" t="n">
        <v>1</v>
      </c>
      <c r="P179" t="n">
        <v>1</v>
      </c>
      <c r="Q179" t="n">
        <v>1</v>
      </c>
      <c r="R179" s="2" t="inlineStr">
        <is>
          <t>Doftticka</t>
        </is>
      </c>
      <c r="S179">
        <f>HYPERLINK("https://klasma.github.io/Logging_2260/artfynd/A 31510-2024 artfynd.xlsx", "A 31510-2024")</f>
        <v/>
      </c>
      <c r="T179">
        <f>HYPERLINK("https://klasma.github.io/Logging_2260/kartor/A 31510-2024 karta.png", "A 31510-2024")</f>
        <v/>
      </c>
      <c r="V179">
        <f>HYPERLINK("https://klasma.github.io/Logging_2260/klagomål/A 31510-2024 FSC-klagomål.docx", "A 31510-2024")</f>
        <v/>
      </c>
      <c r="W179">
        <f>HYPERLINK("https://klasma.github.io/Logging_2260/klagomålsmail/A 31510-2024 FSC-klagomål mail.docx", "A 31510-2024")</f>
        <v/>
      </c>
      <c r="X179">
        <f>HYPERLINK("https://klasma.github.io/Logging_2260/tillsyn/A 31510-2024 tillsynsbegäran.docx", "A 31510-2024")</f>
        <v/>
      </c>
      <c r="Y179">
        <f>HYPERLINK("https://klasma.github.io/Logging_2260/tillsynsmail/A 31510-2024 tillsynsbegäran mail.docx", "A 31510-2024")</f>
        <v/>
      </c>
    </row>
    <row r="180" ht="15" customHeight="1">
      <c r="A180" t="inlineStr">
        <is>
          <t>A 29327-2023</t>
        </is>
      </c>
      <c r="B180" s="1" t="n">
        <v>45105.94349537037</v>
      </c>
      <c r="C180" s="1" t="n">
        <v>45884</v>
      </c>
      <c r="D180" t="inlineStr">
        <is>
          <t>VÄSTERNORRLANDS LÄN</t>
        </is>
      </c>
      <c r="E180" t="inlineStr">
        <is>
          <t>ÅNGE</t>
        </is>
      </c>
      <c r="G180" t="n">
        <v>7.8</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29327-2023 artfynd.xlsx", "A 29327-2023")</f>
        <v/>
      </c>
      <c r="T180">
        <f>HYPERLINK("https://klasma.github.io/Logging_2260/kartor/A 29327-2023 karta.png", "A 29327-2023")</f>
        <v/>
      </c>
      <c r="V180">
        <f>HYPERLINK("https://klasma.github.io/Logging_2260/klagomål/A 29327-2023 FSC-klagomål.docx", "A 29327-2023")</f>
        <v/>
      </c>
      <c r="W180">
        <f>HYPERLINK("https://klasma.github.io/Logging_2260/klagomålsmail/A 29327-2023 FSC-klagomål mail.docx", "A 29327-2023")</f>
        <v/>
      </c>
      <c r="X180">
        <f>HYPERLINK("https://klasma.github.io/Logging_2260/tillsyn/A 29327-2023 tillsynsbegäran.docx", "A 29327-2023")</f>
        <v/>
      </c>
      <c r="Y180">
        <f>HYPERLINK("https://klasma.github.io/Logging_2260/tillsynsmail/A 29327-2023 tillsynsbegäran mail.docx", "A 29327-2023")</f>
        <v/>
      </c>
    </row>
    <row r="181" ht="15" customHeight="1">
      <c r="A181" t="inlineStr">
        <is>
          <t>A 31878-2024</t>
        </is>
      </c>
      <c r="B181" s="1" t="n">
        <v>45509</v>
      </c>
      <c r="C181" s="1" t="n">
        <v>45884</v>
      </c>
      <c r="D181" t="inlineStr">
        <is>
          <t>VÄSTERNORRLANDS LÄN</t>
        </is>
      </c>
      <c r="E181" t="inlineStr">
        <is>
          <t>ÅNGE</t>
        </is>
      </c>
      <c r="F181" t="inlineStr">
        <is>
          <t>SCA</t>
        </is>
      </c>
      <c r="G181" t="n">
        <v>5.1</v>
      </c>
      <c r="H181" t="n">
        <v>0</v>
      </c>
      <c r="I181" t="n">
        <v>1</v>
      </c>
      <c r="J181" t="n">
        <v>0</v>
      </c>
      <c r="K181" t="n">
        <v>0</v>
      </c>
      <c r="L181" t="n">
        <v>0</v>
      </c>
      <c r="M181" t="n">
        <v>0</v>
      </c>
      <c r="N181" t="n">
        <v>0</v>
      </c>
      <c r="O181" t="n">
        <v>0</v>
      </c>
      <c r="P181" t="n">
        <v>0</v>
      </c>
      <c r="Q181" t="n">
        <v>1</v>
      </c>
      <c r="R181" s="2" t="inlineStr">
        <is>
          <t>Grönpyrola</t>
        </is>
      </c>
      <c r="S181">
        <f>HYPERLINK("https://klasma.github.io/Logging_2260/artfynd/A 31878-2024 artfynd.xlsx", "A 31878-2024")</f>
        <v/>
      </c>
      <c r="T181">
        <f>HYPERLINK("https://klasma.github.io/Logging_2260/kartor/A 31878-2024 karta.png", "A 31878-2024")</f>
        <v/>
      </c>
      <c r="V181">
        <f>HYPERLINK("https://klasma.github.io/Logging_2260/klagomål/A 31878-2024 FSC-klagomål.docx", "A 31878-2024")</f>
        <v/>
      </c>
      <c r="W181">
        <f>HYPERLINK("https://klasma.github.io/Logging_2260/klagomålsmail/A 31878-2024 FSC-klagomål mail.docx", "A 31878-2024")</f>
        <v/>
      </c>
      <c r="X181">
        <f>HYPERLINK("https://klasma.github.io/Logging_2260/tillsyn/A 31878-2024 tillsynsbegäran.docx", "A 31878-2024")</f>
        <v/>
      </c>
      <c r="Y181">
        <f>HYPERLINK("https://klasma.github.io/Logging_2260/tillsynsmail/A 31878-2024 tillsynsbegäran mail.docx", "A 31878-2024")</f>
        <v/>
      </c>
    </row>
    <row r="182" ht="15" customHeight="1">
      <c r="A182" t="inlineStr">
        <is>
          <t>A 63983-2020</t>
        </is>
      </c>
      <c r="B182" s="1" t="n">
        <v>44167</v>
      </c>
      <c r="C182" s="1" t="n">
        <v>45884</v>
      </c>
      <c r="D182" t="inlineStr">
        <is>
          <t>VÄSTERNORRLANDS LÄN</t>
        </is>
      </c>
      <c r="E182" t="inlineStr">
        <is>
          <t>ÅNGE</t>
        </is>
      </c>
      <c r="F182" t="inlineStr">
        <is>
          <t>Kommuner</t>
        </is>
      </c>
      <c r="G182" t="n">
        <v>27.1</v>
      </c>
      <c r="H182" t="n">
        <v>1</v>
      </c>
      <c r="I182" t="n">
        <v>0</v>
      </c>
      <c r="J182" t="n">
        <v>0</v>
      </c>
      <c r="K182" t="n">
        <v>1</v>
      </c>
      <c r="L182" t="n">
        <v>0</v>
      </c>
      <c r="M182" t="n">
        <v>0</v>
      </c>
      <c r="N182" t="n">
        <v>0</v>
      </c>
      <c r="O182" t="n">
        <v>1</v>
      </c>
      <c r="P182" t="n">
        <v>1</v>
      </c>
      <c r="Q182" t="n">
        <v>1</v>
      </c>
      <c r="R182" s="2" t="inlineStr">
        <is>
          <t>Knärot</t>
        </is>
      </c>
      <c r="S182">
        <f>HYPERLINK("https://klasma.github.io/Logging_2260/artfynd/A 63983-2020 artfynd.xlsx", "A 63983-2020")</f>
        <v/>
      </c>
      <c r="T182">
        <f>HYPERLINK("https://klasma.github.io/Logging_2260/kartor/A 63983-2020 karta.png", "A 63983-2020")</f>
        <v/>
      </c>
      <c r="U182">
        <f>HYPERLINK("https://klasma.github.io/Logging_2260/knärot/A 63983-2020 karta knärot.png", "A 63983-2020")</f>
        <v/>
      </c>
      <c r="V182">
        <f>HYPERLINK("https://klasma.github.io/Logging_2260/klagomål/A 63983-2020 FSC-klagomål.docx", "A 63983-2020")</f>
        <v/>
      </c>
      <c r="W182">
        <f>HYPERLINK("https://klasma.github.io/Logging_2260/klagomålsmail/A 63983-2020 FSC-klagomål mail.docx", "A 63983-2020")</f>
        <v/>
      </c>
      <c r="X182">
        <f>HYPERLINK("https://klasma.github.io/Logging_2260/tillsyn/A 63983-2020 tillsynsbegäran.docx", "A 63983-2020")</f>
        <v/>
      </c>
      <c r="Y182">
        <f>HYPERLINK("https://klasma.github.io/Logging_2260/tillsynsmail/A 63983-2020 tillsynsbegäran mail.docx", "A 63983-2020")</f>
        <v/>
      </c>
    </row>
    <row r="183" ht="15" customHeight="1">
      <c r="A183" t="inlineStr">
        <is>
          <t>A 37914-2024</t>
        </is>
      </c>
      <c r="B183" s="1" t="n">
        <v>45544</v>
      </c>
      <c r="C183" s="1" t="n">
        <v>45884</v>
      </c>
      <c r="D183" t="inlineStr">
        <is>
          <t>VÄSTERNORRLANDS LÄN</t>
        </is>
      </c>
      <c r="E183" t="inlineStr">
        <is>
          <t>ÅNGE</t>
        </is>
      </c>
      <c r="F183" t="inlineStr">
        <is>
          <t>SCA</t>
        </is>
      </c>
      <c r="G183" t="n">
        <v>9</v>
      </c>
      <c r="H183" t="n">
        <v>0</v>
      </c>
      <c r="I183" t="n">
        <v>0</v>
      </c>
      <c r="J183" t="n">
        <v>1</v>
      </c>
      <c r="K183" t="n">
        <v>0</v>
      </c>
      <c r="L183" t="n">
        <v>0</v>
      </c>
      <c r="M183" t="n">
        <v>0</v>
      </c>
      <c r="N183" t="n">
        <v>0</v>
      </c>
      <c r="O183" t="n">
        <v>1</v>
      </c>
      <c r="P183" t="n">
        <v>0</v>
      </c>
      <c r="Q183" t="n">
        <v>1</v>
      </c>
      <c r="R183" s="2" t="inlineStr">
        <is>
          <t>Granticka</t>
        </is>
      </c>
      <c r="S183">
        <f>HYPERLINK("https://klasma.github.io/Logging_2260/artfynd/A 37914-2024 artfynd.xlsx", "A 37914-2024")</f>
        <v/>
      </c>
      <c r="T183">
        <f>HYPERLINK("https://klasma.github.io/Logging_2260/kartor/A 37914-2024 karta.png", "A 37914-2024")</f>
        <v/>
      </c>
      <c r="V183">
        <f>HYPERLINK("https://klasma.github.io/Logging_2260/klagomål/A 37914-2024 FSC-klagomål.docx", "A 37914-2024")</f>
        <v/>
      </c>
      <c r="W183">
        <f>HYPERLINK("https://klasma.github.io/Logging_2260/klagomålsmail/A 37914-2024 FSC-klagomål mail.docx", "A 37914-2024")</f>
        <v/>
      </c>
      <c r="X183">
        <f>HYPERLINK("https://klasma.github.io/Logging_2260/tillsyn/A 37914-2024 tillsynsbegäran.docx", "A 37914-2024")</f>
        <v/>
      </c>
      <c r="Y183">
        <f>HYPERLINK("https://klasma.github.io/Logging_2260/tillsynsmail/A 37914-2024 tillsynsbegäran mail.docx", "A 37914-2024")</f>
        <v/>
      </c>
    </row>
    <row r="184" ht="15" customHeight="1">
      <c r="A184" t="inlineStr">
        <is>
          <t>A 25705-2024</t>
        </is>
      </c>
      <c r="B184" s="1" t="n">
        <v>45463.9428587963</v>
      </c>
      <c r="C184" s="1" t="n">
        <v>45884</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20192-2025</t>
        </is>
      </c>
      <c r="B185" s="1" t="n">
        <v>45772.60177083333</v>
      </c>
      <c r="C185" s="1" t="n">
        <v>45884</v>
      </c>
      <c r="D185" t="inlineStr">
        <is>
          <t>VÄSTERNORRLANDS LÄN</t>
        </is>
      </c>
      <c r="E185" t="inlineStr">
        <is>
          <t>ÅNGE</t>
        </is>
      </c>
      <c r="F185" t="inlineStr">
        <is>
          <t>Sveaskog</t>
        </is>
      </c>
      <c r="G185" t="n">
        <v>8.800000000000001</v>
      </c>
      <c r="H185" t="n">
        <v>1</v>
      </c>
      <c r="I185" t="n">
        <v>0</v>
      </c>
      <c r="J185" t="n">
        <v>0</v>
      </c>
      <c r="K185" t="n">
        <v>0</v>
      </c>
      <c r="L185" t="n">
        <v>0</v>
      </c>
      <c r="M185" t="n">
        <v>0</v>
      </c>
      <c r="N185" t="n">
        <v>0</v>
      </c>
      <c r="O185" t="n">
        <v>0</v>
      </c>
      <c r="P185" t="n">
        <v>0</v>
      </c>
      <c r="Q185" t="n">
        <v>1</v>
      </c>
      <c r="R185" s="2" t="inlineStr">
        <is>
          <t>Blåsippa</t>
        </is>
      </c>
      <c r="S185">
        <f>HYPERLINK("https://klasma.github.io/Logging_2260/artfynd/A 20192-2025 artfynd.xlsx", "A 20192-2025")</f>
        <v/>
      </c>
      <c r="T185">
        <f>HYPERLINK("https://klasma.github.io/Logging_2260/kartor/A 20192-2025 karta.png", "A 20192-2025")</f>
        <v/>
      </c>
      <c r="V185">
        <f>HYPERLINK("https://klasma.github.io/Logging_2260/klagomål/A 20192-2025 FSC-klagomål.docx", "A 20192-2025")</f>
        <v/>
      </c>
      <c r="W185">
        <f>HYPERLINK("https://klasma.github.io/Logging_2260/klagomålsmail/A 20192-2025 FSC-klagomål mail.docx", "A 20192-2025")</f>
        <v/>
      </c>
      <c r="X185">
        <f>HYPERLINK("https://klasma.github.io/Logging_2260/tillsyn/A 20192-2025 tillsynsbegäran.docx", "A 20192-2025")</f>
        <v/>
      </c>
      <c r="Y185">
        <f>HYPERLINK("https://klasma.github.io/Logging_2260/tillsynsmail/A 20192-2025 tillsynsbegäran mail.docx", "A 20192-2025")</f>
        <v/>
      </c>
    </row>
    <row r="186" ht="15" customHeight="1">
      <c r="A186" t="inlineStr">
        <is>
          <t>A 54751-2021</t>
        </is>
      </c>
      <c r="B186" s="1" t="n">
        <v>44473</v>
      </c>
      <c r="C186" s="1" t="n">
        <v>45884</v>
      </c>
      <c r="D186" t="inlineStr">
        <is>
          <t>VÄSTERNORRLANDS LÄN</t>
        </is>
      </c>
      <c r="E186" t="inlineStr">
        <is>
          <t>ÅNGE</t>
        </is>
      </c>
      <c r="G186" t="n">
        <v>6.5</v>
      </c>
      <c r="H186" t="n">
        <v>0</v>
      </c>
      <c r="I186" t="n">
        <v>0</v>
      </c>
      <c r="J186" t="n">
        <v>0</v>
      </c>
      <c r="K186" t="n">
        <v>1</v>
      </c>
      <c r="L186" t="n">
        <v>0</v>
      </c>
      <c r="M186" t="n">
        <v>0</v>
      </c>
      <c r="N186" t="n">
        <v>0</v>
      </c>
      <c r="O186" t="n">
        <v>1</v>
      </c>
      <c r="P186" t="n">
        <v>1</v>
      </c>
      <c r="Q186" t="n">
        <v>1</v>
      </c>
      <c r="R186" s="2" t="inlineStr">
        <is>
          <t>Gräddporing</t>
        </is>
      </c>
      <c r="S186">
        <f>HYPERLINK("https://klasma.github.io/Logging_2260/artfynd/A 54751-2021 artfynd.xlsx", "A 54751-2021")</f>
        <v/>
      </c>
      <c r="T186">
        <f>HYPERLINK("https://klasma.github.io/Logging_2260/kartor/A 54751-2021 karta.png", "A 54751-2021")</f>
        <v/>
      </c>
      <c r="V186">
        <f>HYPERLINK("https://klasma.github.io/Logging_2260/klagomål/A 54751-2021 FSC-klagomål.docx", "A 54751-2021")</f>
        <v/>
      </c>
      <c r="W186">
        <f>HYPERLINK("https://klasma.github.io/Logging_2260/klagomålsmail/A 54751-2021 FSC-klagomål mail.docx", "A 54751-2021")</f>
        <v/>
      </c>
      <c r="X186">
        <f>HYPERLINK("https://klasma.github.io/Logging_2260/tillsyn/A 54751-2021 tillsynsbegäran.docx", "A 54751-2021")</f>
        <v/>
      </c>
      <c r="Y186">
        <f>HYPERLINK("https://klasma.github.io/Logging_2260/tillsynsmail/A 54751-2021 tillsynsbegäran mail.docx", "A 54751-2021")</f>
        <v/>
      </c>
    </row>
    <row r="187" ht="15" customHeight="1">
      <c r="A187" t="inlineStr">
        <is>
          <t>A 39180-2024</t>
        </is>
      </c>
      <c r="B187" s="1" t="n">
        <v>45548.6571412037</v>
      </c>
      <c r="C187" s="1" t="n">
        <v>45884</v>
      </c>
      <c r="D187" t="inlineStr">
        <is>
          <t>VÄSTERNORRLANDS LÄN</t>
        </is>
      </c>
      <c r="E187" t="inlineStr">
        <is>
          <t>ÅNGE</t>
        </is>
      </c>
      <c r="F187" t="inlineStr">
        <is>
          <t>SCA</t>
        </is>
      </c>
      <c r="G187" t="n">
        <v>8.699999999999999</v>
      </c>
      <c r="H187" t="n">
        <v>0</v>
      </c>
      <c r="I187" t="n">
        <v>0</v>
      </c>
      <c r="J187" t="n">
        <v>1</v>
      </c>
      <c r="K187" t="n">
        <v>0</v>
      </c>
      <c r="L187" t="n">
        <v>0</v>
      </c>
      <c r="M187" t="n">
        <v>0</v>
      </c>
      <c r="N187" t="n">
        <v>0</v>
      </c>
      <c r="O187" t="n">
        <v>1</v>
      </c>
      <c r="P187" t="n">
        <v>0</v>
      </c>
      <c r="Q187" t="n">
        <v>1</v>
      </c>
      <c r="R187" s="2" t="inlineStr">
        <is>
          <t>Lunglav</t>
        </is>
      </c>
      <c r="S187">
        <f>HYPERLINK("https://klasma.github.io/Logging_2260/artfynd/A 39180-2024 artfynd.xlsx", "A 39180-2024")</f>
        <v/>
      </c>
      <c r="T187">
        <f>HYPERLINK("https://klasma.github.io/Logging_2260/kartor/A 39180-2024 karta.png", "A 39180-2024")</f>
        <v/>
      </c>
      <c r="V187">
        <f>HYPERLINK("https://klasma.github.io/Logging_2260/klagomål/A 39180-2024 FSC-klagomål.docx", "A 39180-2024")</f>
        <v/>
      </c>
      <c r="W187">
        <f>HYPERLINK("https://klasma.github.io/Logging_2260/klagomålsmail/A 39180-2024 FSC-klagomål mail.docx", "A 39180-2024")</f>
        <v/>
      </c>
      <c r="X187">
        <f>HYPERLINK("https://klasma.github.io/Logging_2260/tillsyn/A 39180-2024 tillsynsbegäran.docx", "A 39180-2024")</f>
        <v/>
      </c>
      <c r="Y187">
        <f>HYPERLINK("https://klasma.github.io/Logging_2260/tillsynsmail/A 39180-2024 tillsynsbegäran mail.docx", "A 39180-2024")</f>
        <v/>
      </c>
    </row>
    <row r="188" ht="15" customHeight="1">
      <c r="A188" t="inlineStr">
        <is>
          <t>A 39638-2024</t>
        </is>
      </c>
      <c r="B188" s="1" t="n">
        <v>45552</v>
      </c>
      <c r="C188" s="1" t="n">
        <v>45884</v>
      </c>
      <c r="D188" t="inlineStr">
        <is>
          <t>VÄSTERNORRLANDS LÄN</t>
        </is>
      </c>
      <c r="E188" t="inlineStr">
        <is>
          <t>ÅNGE</t>
        </is>
      </c>
      <c r="G188" t="n">
        <v>3</v>
      </c>
      <c r="H188" t="n">
        <v>1</v>
      </c>
      <c r="I188" t="n">
        <v>0</v>
      </c>
      <c r="J188" t="n">
        <v>0</v>
      </c>
      <c r="K188" t="n">
        <v>0</v>
      </c>
      <c r="L188" t="n">
        <v>0</v>
      </c>
      <c r="M188" t="n">
        <v>0</v>
      </c>
      <c r="N188" t="n">
        <v>0</v>
      </c>
      <c r="O188" t="n">
        <v>0</v>
      </c>
      <c r="P188" t="n">
        <v>0</v>
      </c>
      <c r="Q188" t="n">
        <v>1</v>
      </c>
      <c r="R188" s="2" t="inlineStr">
        <is>
          <t>Tjäder</t>
        </is>
      </c>
      <c r="S188">
        <f>HYPERLINK("https://klasma.github.io/Logging_2260/artfynd/A 39638-2024 artfynd.xlsx", "A 39638-2024")</f>
        <v/>
      </c>
      <c r="T188">
        <f>HYPERLINK("https://klasma.github.io/Logging_2260/kartor/A 39638-2024 karta.png", "A 39638-2024")</f>
        <v/>
      </c>
      <c r="V188">
        <f>HYPERLINK("https://klasma.github.io/Logging_2260/klagomål/A 39638-2024 FSC-klagomål.docx", "A 39638-2024")</f>
        <v/>
      </c>
      <c r="W188">
        <f>HYPERLINK("https://klasma.github.io/Logging_2260/klagomålsmail/A 39638-2024 FSC-klagomål mail.docx", "A 39638-2024")</f>
        <v/>
      </c>
      <c r="X188">
        <f>HYPERLINK("https://klasma.github.io/Logging_2260/tillsyn/A 39638-2024 tillsynsbegäran.docx", "A 39638-2024")</f>
        <v/>
      </c>
      <c r="Y188">
        <f>HYPERLINK("https://klasma.github.io/Logging_2260/tillsynsmail/A 39638-2024 tillsynsbegäran mail.docx", "A 39638-2024")</f>
        <v/>
      </c>
      <c r="Z188">
        <f>HYPERLINK("https://klasma.github.io/Logging_2260/fåglar/A 39638-2024 prioriterade fågelarter.docx", "A 39638-2024")</f>
        <v/>
      </c>
    </row>
    <row r="189" ht="15" customHeight="1">
      <c r="A189" t="inlineStr">
        <is>
          <t>A 57272-2024</t>
        </is>
      </c>
      <c r="B189" s="1" t="n">
        <v>45629.57380787037</v>
      </c>
      <c r="C189" s="1" t="n">
        <v>45884</v>
      </c>
      <c r="D189" t="inlineStr">
        <is>
          <t>VÄSTERNORRLANDS LÄN</t>
        </is>
      </c>
      <c r="E189" t="inlineStr">
        <is>
          <t>ÅNGE</t>
        </is>
      </c>
      <c r="F189" t="inlineStr">
        <is>
          <t>SCA</t>
        </is>
      </c>
      <c r="G189" t="n">
        <v>5.4</v>
      </c>
      <c r="H189" t="n">
        <v>0</v>
      </c>
      <c r="I189" t="n">
        <v>0</v>
      </c>
      <c r="J189" t="n">
        <v>1</v>
      </c>
      <c r="K189" t="n">
        <v>0</v>
      </c>
      <c r="L189" t="n">
        <v>0</v>
      </c>
      <c r="M189" t="n">
        <v>0</v>
      </c>
      <c r="N189" t="n">
        <v>0</v>
      </c>
      <c r="O189" t="n">
        <v>1</v>
      </c>
      <c r="P189" t="n">
        <v>0</v>
      </c>
      <c r="Q189" t="n">
        <v>1</v>
      </c>
      <c r="R189" s="2" t="inlineStr">
        <is>
          <t>Orange taggsvamp</t>
        </is>
      </c>
      <c r="S189">
        <f>HYPERLINK("https://klasma.github.io/Logging_2260/artfynd/A 57272-2024 artfynd.xlsx", "A 57272-2024")</f>
        <v/>
      </c>
      <c r="T189">
        <f>HYPERLINK("https://klasma.github.io/Logging_2260/kartor/A 57272-2024 karta.png", "A 57272-2024")</f>
        <v/>
      </c>
      <c r="V189">
        <f>HYPERLINK("https://klasma.github.io/Logging_2260/klagomål/A 57272-2024 FSC-klagomål.docx", "A 57272-2024")</f>
        <v/>
      </c>
      <c r="W189">
        <f>HYPERLINK("https://klasma.github.io/Logging_2260/klagomålsmail/A 57272-2024 FSC-klagomål mail.docx", "A 57272-2024")</f>
        <v/>
      </c>
      <c r="X189">
        <f>HYPERLINK("https://klasma.github.io/Logging_2260/tillsyn/A 57272-2024 tillsynsbegäran.docx", "A 57272-2024")</f>
        <v/>
      </c>
      <c r="Y189">
        <f>HYPERLINK("https://klasma.github.io/Logging_2260/tillsynsmail/A 57272-2024 tillsynsbegäran mail.docx", "A 57272-2024")</f>
        <v/>
      </c>
    </row>
    <row r="190" ht="15" customHeight="1">
      <c r="A190" t="inlineStr">
        <is>
          <t>A 1449-2025</t>
        </is>
      </c>
      <c r="B190" s="1" t="n">
        <v>45670.27537037037</v>
      </c>
      <c r="C190" s="1" t="n">
        <v>45884</v>
      </c>
      <c r="D190" t="inlineStr">
        <is>
          <t>VÄSTERNORRLANDS LÄN</t>
        </is>
      </c>
      <c r="E190" t="inlineStr">
        <is>
          <t>ÅNGE</t>
        </is>
      </c>
      <c r="G190" t="n">
        <v>6.3</v>
      </c>
      <c r="H190" t="n">
        <v>0</v>
      </c>
      <c r="I190" t="n">
        <v>1</v>
      </c>
      <c r="J190" t="n">
        <v>0</v>
      </c>
      <c r="K190" t="n">
        <v>0</v>
      </c>
      <c r="L190" t="n">
        <v>0</v>
      </c>
      <c r="M190" t="n">
        <v>0</v>
      </c>
      <c r="N190" t="n">
        <v>0</v>
      </c>
      <c r="O190" t="n">
        <v>0</v>
      </c>
      <c r="P190" t="n">
        <v>0</v>
      </c>
      <c r="Q190" t="n">
        <v>1</v>
      </c>
      <c r="R190" s="2" t="inlineStr">
        <is>
          <t>Korallblylav</t>
        </is>
      </c>
      <c r="S190">
        <f>HYPERLINK("https://klasma.github.io/Logging_2260/artfynd/A 1449-2025 artfynd.xlsx", "A 1449-2025")</f>
        <v/>
      </c>
      <c r="T190">
        <f>HYPERLINK("https://klasma.github.io/Logging_2260/kartor/A 1449-2025 karta.png", "A 1449-2025")</f>
        <v/>
      </c>
      <c r="V190">
        <f>HYPERLINK("https://klasma.github.io/Logging_2260/klagomål/A 1449-2025 FSC-klagomål.docx", "A 1449-2025")</f>
        <v/>
      </c>
      <c r="W190">
        <f>HYPERLINK("https://klasma.github.io/Logging_2260/klagomålsmail/A 1449-2025 FSC-klagomål mail.docx", "A 1449-2025")</f>
        <v/>
      </c>
      <c r="X190">
        <f>HYPERLINK("https://klasma.github.io/Logging_2260/tillsyn/A 1449-2025 tillsynsbegäran.docx", "A 1449-2025")</f>
        <v/>
      </c>
      <c r="Y190">
        <f>HYPERLINK("https://klasma.github.io/Logging_2260/tillsynsmail/A 1449-2025 tillsynsbegäran mail.docx", "A 1449-2025")</f>
        <v/>
      </c>
    </row>
    <row r="191" ht="15" customHeight="1">
      <c r="A191" t="inlineStr">
        <is>
          <t>A 4351-2024</t>
        </is>
      </c>
      <c r="B191" s="1" t="n">
        <v>45324</v>
      </c>
      <c r="C191" s="1" t="n">
        <v>45884</v>
      </c>
      <c r="D191" t="inlineStr">
        <is>
          <t>VÄSTERNORRLANDS LÄN</t>
        </is>
      </c>
      <c r="E191" t="inlineStr">
        <is>
          <t>ÅNGE</t>
        </is>
      </c>
      <c r="F191" t="inlineStr">
        <is>
          <t>SCA</t>
        </is>
      </c>
      <c r="G191" t="n">
        <v>0.5</v>
      </c>
      <c r="H191" t="n">
        <v>0</v>
      </c>
      <c r="I191" t="n">
        <v>0</v>
      </c>
      <c r="J191" t="n">
        <v>1</v>
      </c>
      <c r="K191" t="n">
        <v>0</v>
      </c>
      <c r="L191" t="n">
        <v>0</v>
      </c>
      <c r="M191" t="n">
        <v>0</v>
      </c>
      <c r="N191" t="n">
        <v>0</v>
      </c>
      <c r="O191" t="n">
        <v>1</v>
      </c>
      <c r="P191" t="n">
        <v>0</v>
      </c>
      <c r="Q191" t="n">
        <v>1</v>
      </c>
      <c r="R191" s="2" t="inlineStr">
        <is>
          <t>Garnlav</t>
        </is>
      </c>
      <c r="S191">
        <f>HYPERLINK("https://klasma.github.io/Logging_2260/artfynd/A 4351-2024 artfynd.xlsx", "A 4351-2024")</f>
        <v/>
      </c>
      <c r="T191">
        <f>HYPERLINK("https://klasma.github.io/Logging_2260/kartor/A 4351-2024 karta.png", "A 4351-2024")</f>
        <v/>
      </c>
      <c r="V191">
        <f>HYPERLINK("https://klasma.github.io/Logging_2260/klagomål/A 4351-2024 FSC-klagomål.docx", "A 4351-2024")</f>
        <v/>
      </c>
      <c r="W191">
        <f>HYPERLINK("https://klasma.github.io/Logging_2260/klagomålsmail/A 4351-2024 FSC-klagomål mail.docx", "A 4351-2024")</f>
        <v/>
      </c>
      <c r="X191">
        <f>HYPERLINK("https://klasma.github.io/Logging_2260/tillsyn/A 4351-2024 tillsynsbegäran.docx", "A 4351-2024")</f>
        <v/>
      </c>
      <c r="Y191">
        <f>HYPERLINK("https://klasma.github.io/Logging_2260/tillsynsmail/A 4351-2024 tillsynsbegäran mail.docx", "A 4351-2024")</f>
        <v/>
      </c>
    </row>
    <row r="192" ht="15" customHeight="1">
      <c r="A192" t="inlineStr">
        <is>
          <t>A 40214-2024</t>
        </is>
      </c>
      <c r="B192" s="1" t="n">
        <v>45554.59460648148</v>
      </c>
      <c r="C192" s="1" t="n">
        <v>45884</v>
      </c>
      <c r="D192" t="inlineStr">
        <is>
          <t>VÄSTERNORRLANDS LÄN</t>
        </is>
      </c>
      <c r="E192" t="inlineStr">
        <is>
          <t>ÅNGE</t>
        </is>
      </c>
      <c r="F192" t="inlineStr">
        <is>
          <t>SCA</t>
        </is>
      </c>
      <c r="G192" t="n">
        <v>7.7</v>
      </c>
      <c r="H192" t="n">
        <v>0</v>
      </c>
      <c r="I192" t="n">
        <v>0</v>
      </c>
      <c r="J192" t="n">
        <v>1</v>
      </c>
      <c r="K192" t="n">
        <v>0</v>
      </c>
      <c r="L192" t="n">
        <v>0</v>
      </c>
      <c r="M192" t="n">
        <v>0</v>
      </c>
      <c r="N192" t="n">
        <v>0</v>
      </c>
      <c r="O192" t="n">
        <v>1</v>
      </c>
      <c r="P192" t="n">
        <v>0</v>
      </c>
      <c r="Q192" t="n">
        <v>1</v>
      </c>
      <c r="R192" s="2" t="inlineStr">
        <is>
          <t>Lunglav</t>
        </is>
      </c>
      <c r="S192">
        <f>HYPERLINK("https://klasma.github.io/Logging_2260/artfynd/A 40214-2024 artfynd.xlsx", "A 40214-2024")</f>
        <v/>
      </c>
      <c r="T192">
        <f>HYPERLINK("https://klasma.github.io/Logging_2260/kartor/A 40214-2024 karta.png", "A 40214-2024")</f>
        <v/>
      </c>
      <c r="V192">
        <f>HYPERLINK("https://klasma.github.io/Logging_2260/klagomål/A 40214-2024 FSC-klagomål.docx", "A 40214-2024")</f>
        <v/>
      </c>
      <c r="W192">
        <f>HYPERLINK("https://klasma.github.io/Logging_2260/klagomålsmail/A 40214-2024 FSC-klagomål mail.docx", "A 40214-2024")</f>
        <v/>
      </c>
      <c r="X192">
        <f>HYPERLINK("https://klasma.github.io/Logging_2260/tillsyn/A 40214-2024 tillsynsbegäran.docx", "A 40214-2024")</f>
        <v/>
      </c>
      <c r="Y192">
        <f>HYPERLINK("https://klasma.github.io/Logging_2260/tillsynsmail/A 40214-2024 tillsynsbegäran mail.docx", "A 40214-2024")</f>
        <v/>
      </c>
    </row>
    <row r="193" ht="15" customHeight="1">
      <c r="A193" t="inlineStr">
        <is>
          <t>A 5-2025</t>
        </is>
      </c>
      <c r="B193" s="1" t="n">
        <v>45658.50527777777</v>
      </c>
      <c r="C193" s="1" t="n">
        <v>45884</v>
      </c>
      <c r="D193" t="inlineStr">
        <is>
          <t>VÄSTERNORRLANDS LÄN</t>
        </is>
      </c>
      <c r="E193" t="inlineStr">
        <is>
          <t>ÅNGE</t>
        </is>
      </c>
      <c r="G193" t="n">
        <v>5.7</v>
      </c>
      <c r="H193" t="n">
        <v>1</v>
      </c>
      <c r="I193" t="n">
        <v>0</v>
      </c>
      <c r="J193" t="n">
        <v>0</v>
      </c>
      <c r="K193" t="n">
        <v>0</v>
      </c>
      <c r="L193" t="n">
        <v>0</v>
      </c>
      <c r="M193" t="n">
        <v>0</v>
      </c>
      <c r="N193" t="n">
        <v>0</v>
      </c>
      <c r="O193" t="n">
        <v>0</v>
      </c>
      <c r="P193" t="n">
        <v>0</v>
      </c>
      <c r="Q193" t="n">
        <v>1</v>
      </c>
      <c r="R193" s="2" t="inlineStr">
        <is>
          <t>Vanlig groda</t>
        </is>
      </c>
      <c r="S193">
        <f>HYPERLINK("https://klasma.github.io/Logging_2260/artfynd/A 5-2025 artfynd.xlsx", "A 5-2025")</f>
        <v/>
      </c>
      <c r="T193">
        <f>HYPERLINK("https://klasma.github.io/Logging_2260/kartor/A 5-2025 karta.png", "A 5-2025")</f>
        <v/>
      </c>
      <c r="V193">
        <f>HYPERLINK("https://klasma.github.io/Logging_2260/klagomål/A 5-2025 FSC-klagomål.docx", "A 5-2025")</f>
        <v/>
      </c>
      <c r="W193">
        <f>HYPERLINK("https://klasma.github.io/Logging_2260/klagomålsmail/A 5-2025 FSC-klagomål mail.docx", "A 5-2025")</f>
        <v/>
      </c>
      <c r="X193">
        <f>HYPERLINK("https://klasma.github.io/Logging_2260/tillsyn/A 5-2025 tillsynsbegäran.docx", "A 5-2025")</f>
        <v/>
      </c>
      <c r="Y193">
        <f>HYPERLINK("https://klasma.github.io/Logging_2260/tillsynsmail/A 5-2025 tillsynsbegäran mail.docx", "A 5-2025")</f>
        <v/>
      </c>
    </row>
    <row r="194" ht="15" customHeight="1">
      <c r="A194" t="inlineStr">
        <is>
          <t>A 40776-2023</t>
        </is>
      </c>
      <c r="B194" s="1" t="n">
        <v>45170</v>
      </c>
      <c r="C194" s="1" t="n">
        <v>45884</v>
      </c>
      <c r="D194" t="inlineStr">
        <is>
          <t>VÄSTERNORRLANDS LÄN</t>
        </is>
      </c>
      <c r="E194" t="inlineStr">
        <is>
          <t>ÅNGE</t>
        </is>
      </c>
      <c r="F194" t="inlineStr">
        <is>
          <t>SCA</t>
        </is>
      </c>
      <c r="G194" t="n">
        <v>3</v>
      </c>
      <c r="H194" t="n">
        <v>1</v>
      </c>
      <c r="I194" t="n">
        <v>0</v>
      </c>
      <c r="J194" t="n">
        <v>1</v>
      </c>
      <c r="K194" t="n">
        <v>0</v>
      </c>
      <c r="L194" t="n">
        <v>0</v>
      </c>
      <c r="M194" t="n">
        <v>0</v>
      </c>
      <c r="N194" t="n">
        <v>0</v>
      </c>
      <c r="O194" t="n">
        <v>1</v>
      </c>
      <c r="P194" t="n">
        <v>0</v>
      </c>
      <c r="Q194" t="n">
        <v>1</v>
      </c>
      <c r="R194" s="2" t="inlineStr">
        <is>
          <t>Tretåig hackspett</t>
        </is>
      </c>
      <c r="S194">
        <f>HYPERLINK("https://klasma.github.io/Logging_2260/artfynd/A 40776-2023 artfynd.xlsx", "A 40776-2023")</f>
        <v/>
      </c>
      <c r="T194">
        <f>HYPERLINK("https://klasma.github.io/Logging_2260/kartor/A 40776-2023 karta.png", "A 40776-2023")</f>
        <v/>
      </c>
      <c r="V194">
        <f>HYPERLINK("https://klasma.github.io/Logging_2260/klagomål/A 40776-2023 FSC-klagomål.docx", "A 40776-2023")</f>
        <v/>
      </c>
      <c r="W194">
        <f>HYPERLINK("https://klasma.github.io/Logging_2260/klagomålsmail/A 40776-2023 FSC-klagomål mail.docx", "A 40776-2023")</f>
        <v/>
      </c>
      <c r="X194">
        <f>HYPERLINK("https://klasma.github.io/Logging_2260/tillsyn/A 40776-2023 tillsynsbegäran.docx", "A 40776-2023")</f>
        <v/>
      </c>
      <c r="Y194">
        <f>HYPERLINK("https://klasma.github.io/Logging_2260/tillsynsmail/A 40776-2023 tillsynsbegäran mail.docx", "A 40776-2023")</f>
        <v/>
      </c>
      <c r="Z194">
        <f>HYPERLINK("https://klasma.github.io/Logging_2260/fåglar/A 40776-2023 prioriterade fågelarter.docx", "A 40776-2023")</f>
        <v/>
      </c>
    </row>
    <row r="195" ht="15" customHeight="1">
      <c r="A195" t="inlineStr">
        <is>
          <t>A 52424-2023</t>
        </is>
      </c>
      <c r="B195" s="1" t="n">
        <v>45217</v>
      </c>
      <c r="C195" s="1" t="n">
        <v>45884</v>
      </c>
      <c r="D195" t="inlineStr">
        <is>
          <t>VÄSTERNORRLANDS LÄN</t>
        </is>
      </c>
      <c r="E195" t="inlineStr">
        <is>
          <t>ÅNGE</t>
        </is>
      </c>
      <c r="F195" t="inlineStr">
        <is>
          <t>SCA</t>
        </is>
      </c>
      <c r="G195" t="n">
        <v>3.8</v>
      </c>
      <c r="H195" t="n">
        <v>1</v>
      </c>
      <c r="I195" t="n">
        <v>0</v>
      </c>
      <c r="J195" t="n">
        <v>0</v>
      </c>
      <c r="K195" t="n">
        <v>0</v>
      </c>
      <c r="L195" t="n">
        <v>0</v>
      </c>
      <c r="M195" t="n">
        <v>0</v>
      </c>
      <c r="N195" t="n">
        <v>0</v>
      </c>
      <c r="O195" t="n">
        <v>0</v>
      </c>
      <c r="P195" t="n">
        <v>0</v>
      </c>
      <c r="Q195" t="n">
        <v>1</v>
      </c>
      <c r="R195" s="2" t="inlineStr">
        <is>
          <t>Revlummer</t>
        </is>
      </c>
      <c r="S195">
        <f>HYPERLINK("https://klasma.github.io/Logging_2260/artfynd/A 52424-2023 artfynd.xlsx", "A 52424-2023")</f>
        <v/>
      </c>
      <c r="T195">
        <f>HYPERLINK("https://klasma.github.io/Logging_2260/kartor/A 52424-2023 karta.png", "A 52424-2023")</f>
        <v/>
      </c>
      <c r="V195">
        <f>HYPERLINK("https://klasma.github.io/Logging_2260/klagomål/A 52424-2023 FSC-klagomål.docx", "A 52424-2023")</f>
        <v/>
      </c>
      <c r="W195">
        <f>HYPERLINK("https://klasma.github.io/Logging_2260/klagomålsmail/A 52424-2023 FSC-klagomål mail.docx", "A 52424-2023")</f>
        <v/>
      </c>
      <c r="X195">
        <f>HYPERLINK("https://klasma.github.io/Logging_2260/tillsyn/A 52424-2023 tillsynsbegäran.docx", "A 52424-2023")</f>
        <v/>
      </c>
      <c r="Y195">
        <f>HYPERLINK("https://klasma.github.io/Logging_2260/tillsynsmail/A 52424-2023 tillsynsbegäran mail.docx", "A 52424-2023")</f>
        <v/>
      </c>
    </row>
    <row r="196" ht="15" customHeight="1">
      <c r="A196" t="inlineStr">
        <is>
          <t>A 31544-2024</t>
        </is>
      </c>
      <c r="B196" s="1" t="n">
        <v>45505</v>
      </c>
      <c r="C196" s="1" t="n">
        <v>45884</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54386-2024</t>
        </is>
      </c>
      <c r="B197" s="1" t="n">
        <v>45617.44822916666</v>
      </c>
      <c r="C197" s="1" t="n">
        <v>45884</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Reliktbock</t>
        </is>
      </c>
      <c r="S197">
        <f>HYPERLINK("https://klasma.github.io/Logging_2260/artfynd/A 54386-2024 artfynd.xlsx", "A 54386-2024")</f>
        <v/>
      </c>
      <c r="T197">
        <f>HYPERLINK("https://klasma.github.io/Logging_2260/kartor/A 54386-2024 karta.png", "A 54386-2024")</f>
        <v/>
      </c>
      <c r="V197">
        <f>HYPERLINK("https://klasma.github.io/Logging_2260/klagomål/A 54386-2024 FSC-klagomål.docx", "A 54386-2024")</f>
        <v/>
      </c>
      <c r="W197">
        <f>HYPERLINK("https://klasma.github.io/Logging_2260/klagomålsmail/A 54386-2024 FSC-klagomål mail.docx", "A 54386-2024")</f>
        <v/>
      </c>
      <c r="X197">
        <f>HYPERLINK("https://klasma.github.io/Logging_2260/tillsyn/A 54386-2024 tillsynsbegäran.docx", "A 54386-2024")</f>
        <v/>
      </c>
      <c r="Y197">
        <f>HYPERLINK("https://klasma.github.io/Logging_2260/tillsynsmail/A 54386-2024 tillsynsbegäran mail.docx", "A 54386-2024")</f>
        <v/>
      </c>
    </row>
    <row r="198" ht="15" customHeight="1">
      <c r="A198" t="inlineStr">
        <is>
          <t>A 56091-2024</t>
        </is>
      </c>
      <c r="B198" s="1" t="n">
        <v>45624.40678240741</v>
      </c>
      <c r="C198" s="1" t="n">
        <v>45884</v>
      </c>
      <c r="D198" t="inlineStr">
        <is>
          <t>VÄSTERNORRLANDS LÄN</t>
        </is>
      </c>
      <c r="E198" t="inlineStr">
        <is>
          <t>ÅNGE</t>
        </is>
      </c>
      <c r="F198" t="inlineStr">
        <is>
          <t>SCA</t>
        </is>
      </c>
      <c r="G198" t="n">
        <v>2.5</v>
      </c>
      <c r="H198" t="n">
        <v>0</v>
      </c>
      <c r="I198" t="n">
        <v>0</v>
      </c>
      <c r="J198" t="n">
        <v>1</v>
      </c>
      <c r="K198" t="n">
        <v>0</v>
      </c>
      <c r="L198" t="n">
        <v>0</v>
      </c>
      <c r="M198" t="n">
        <v>0</v>
      </c>
      <c r="N198" t="n">
        <v>0</v>
      </c>
      <c r="O198" t="n">
        <v>1</v>
      </c>
      <c r="P198" t="n">
        <v>0</v>
      </c>
      <c r="Q198" t="n">
        <v>1</v>
      </c>
      <c r="R198" s="2" t="inlineStr">
        <is>
          <t>Mörk kolflarnlav</t>
        </is>
      </c>
      <c r="S198">
        <f>HYPERLINK("https://klasma.github.io/Logging_2260/artfynd/A 56091-2024 artfynd.xlsx", "A 56091-2024")</f>
        <v/>
      </c>
      <c r="T198">
        <f>HYPERLINK("https://klasma.github.io/Logging_2260/kartor/A 56091-2024 karta.png", "A 56091-2024")</f>
        <v/>
      </c>
      <c r="V198">
        <f>HYPERLINK("https://klasma.github.io/Logging_2260/klagomål/A 56091-2024 FSC-klagomål.docx", "A 56091-2024")</f>
        <v/>
      </c>
      <c r="W198">
        <f>HYPERLINK("https://klasma.github.io/Logging_2260/klagomålsmail/A 56091-2024 FSC-klagomål mail.docx", "A 56091-2024")</f>
        <v/>
      </c>
      <c r="X198">
        <f>HYPERLINK("https://klasma.github.io/Logging_2260/tillsyn/A 56091-2024 tillsynsbegäran.docx", "A 56091-2024")</f>
        <v/>
      </c>
      <c r="Y198">
        <f>HYPERLINK("https://klasma.github.io/Logging_2260/tillsynsmail/A 56091-2024 tillsynsbegäran mail.docx", "A 56091-2024")</f>
        <v/>
      </c>
    </row>
    <row r="199" ht="15" customHeight="1">
      <c r="A199" t="inlineStr">
        <is>
          <t>A 35648-2025</t>
        </is>
      </c>
      <c r="B199" s="1" t="n">
        <v>45859.51670138889</v>
      </c>
      <c r="C199" s="1" t="n">
        <v>45884</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35839-2025</t>
        </is>
      </c>
      <c r="B200" s="1" t="n">
        <v>45861.53943287037</v>
      </c>
      <c r="C200" s="1" t="n">
        <v>45884</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27025-2025</t>
        </is>
      </c>
      <c r="B201" s="1" t="n">
        <v>45811</v>
      </c>
      <c r="C201" s="1" t="n">
        <v>45884</v>
      </c>
      <c r="D201" t="inlineStr">
        <is>
          <t>VÄSTERNORRLANDS LÄN</t>
        </is>
      </c>
      <c r="E201" t="inlineStr">
        <is>
          <t>ÅNGE</t>
        </is>
      </c>
      <c r="G201" t="n">
        <v>25.5</v>
      </c>
      <c r="H201" t="n">
        <v>0</v>
      </c>
      <c r="I201" t="n">
        <v>0</v>
      </c>
      <c r="J201" t="n">
        <v>1</v>
      </c>
      <c r="K201" t="n">
        <v>0</v>
      </c>
      <c r="L201" t="n">
        <v>0</v>
      </c>
      <c r="M201" t="n">
        <v>0</v>
      </c>
      <c r="N201" t="n">
        <v>0</v>
      </c>
      <c r="O201" t="n">
        <v>1</v>
      </c>
      <c r="P201" t="n">
        <v>0</v>
      </c>
      <c r="Q201" t="n">
        <v>1</v>
      </c>
      <c r="R201" s="2" t="inlineStr">
        <is>
          <t>Garnlav</t>
        </is>
      </c>
      <c r="S201">
        <f>HYPERLINK("https://klasma.github.io/Logging_2260/artfynd/A 27025-2025 artfynd.xlsx", "A 27025-2025")</f>
        <v/>
      </c>
      <c r="T201">
        <f>HYPERLINK("https://klasma.github.io/Logging_2260/kartor/A 27025-2025 karta.png", "A 27025-2025")</f>
        <v/>
      </c>
      <c r="U201">
        <f>HYPERLINK("https://klasma.github.io/Logging_2260/knärot/A 27025-2025 karta knärot.png", "A 27025-2025")</f>
        <v/>
      </c>
      <c r="V201">
        <f>HYPERLINK("https://klasma.github.io/Logging_2260/klagomål/A 27025-2025 FSC-klagomål.docx", "A 27025-2025")</f>
        <v/>
      </c>
      <c r="W201">
        <f>HYPERLINK("https://klasma.github.io/Logging_2260/klagomålsmail/A 27025-2025 FSC-klagomål mail.docx", "A 27025-2025")</f>
        <v/>
      </c>
      <c r="X201">
        <f>HYPERLINK("https://klasma.github.io/Logging_2260/tillsyn/A 27025-2025 tillsynsbegäran.docx", "A 27025-2025")</f>
        <v/>
      </c>
      <c r="Y201">
        <f>HYPERLINK("https://klasma.github.io/Logging_2260/tillsynsmail/A 27025-2025 tillsynsbegäran mail.docx", "A 27025-2025")</f>
        <v/>
      </c>
    </row>
    <row r="202" ht="15" customHeight="1">
      <c r="A202" t="inlineStr">
        <is>
          <t>A 37432-2025</t>
        </is>
      </c>
      <c r="B202" s="1" t="n">
        <v>45877.51106481482</v>
      </c>
      <c r="C202" s="1" t="n">
        <v>45884</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8057-2021</t>
        </is>
      </c>
      <c r="B203" s="1" t="n">
        <v>44238</v>
      </c>
      <c r="C203" s="1" t="n">
        <v>45884</v>
      </c>
      <c r="D203" t="inlineStr">
        <is>
          <t>VÄSTERNORRLANDS LÄN</t>
        </is>
      </c>
      <c r="E203" t="inlineStr">
        <is>
          <t>ÅNGE</t>
        </is>
      </c>
      <c r="G203" t="n">
        <v>1.2</v>
      </c>
      <c r="H203" t="n">
        <v>0</v>
      </c>
      <c r="I203" t="n">
        <v>0</v>
      </c>
      <c r="J203" t="n">
        <v>0</v>
      </c>
      <c r="K203" t="n">
        <v>0</v>
      </c>
      <c r="L203" t="n">
        <v>0</v>
      </c>
      <c r="M203" t="n">
        <v>0</v>
      </c>
      <c r="N203" t="n">
        <v>0</v>
      </c>
      <c r="O203" t="n">
        <v>0</v>
      </c>
      <c r="P203" t="n">
        <v>0</v>
      </c>
      <c r="Q203" t="n">
        <v>0</v>
      </c>
      <c r="R203" s="2" t="inlineStr"/>
    </row>
    <row r="204" ht="15" customHeight="1">
      <c r="A204" t="inlineStr">
        <is>
          <t>A 47127-2020</t>
        </is>
      </c>
      <c r="B204" s="1" t="n">
        <v>44096</v>
      </c>
      <c r="C204" s="1" t="n">
        <v>45884</v>
      </c>
      <c r="D204" t="inlineStr">
        <is>
          <t>VÄSTERNORRLANDS LÄN</t>
        </is>
      </c>
      <c r="E204" t="inlineStr">
        <is>
          <t>ÅNGE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52627-2020</t>
        </is>
      </c>
      <c r="B205" s="1" t="n">
        <v>44118</v>
      </c>
      <c r="C205" s="1" t="n">
        <v>45884</v>
      </c>
      <c r="D205" t="inlineStr">
        <is>
          <t>VÄSTERNORRLANDS LÄN</t>
        </is>
      </c>
      <c r="E205" t="inlineStr">
        <is>
          <t>ÅNGE</t>
        </is>
      </c>
      <c r="G205" t="n">
        <v>0.8</v>
      </c>
      <c r="H205" t="n">
        <v>0</v>
      </c>
      <c r="I205" t="n">
        <v>0</v>
      </c>
      <c r="J205" t="n">
        <v>0</v>
      </c>
      <c r="K205" t="n">
        <v>0</v>
      </c>
      <c r="L205" t="n">
        <v>0</v>
      </c>
      <c r="M205" t="n">
        <v>0</v>
      </c>
      <c r="N205" t="n">
        <v>0</v>
      </c>
      <c r="O205" t="n">
        <v>0</v>
      </c>
      <c r="P205" t="n">
        <v>0</v>
      </c>
      <c r="Q205" t="n">
        <v>0</v>
      </c>
      <c r="R205" s="2" t="inlineStr"/>
    </row>
    <row r="206" ht="15" customHeight="1">
      <c r="A206" t="inlineStr">
        <is>
          <t>A 52633-2020</t>
        </is>
      </c>
      <c r="B206" s="1" t="n">
        <v>44118</v>
      </c>
      <c r="C206" s="1" t="n">
        <v>45884</v>
      </c>
      <c r="D206" t="inlineStr">
        <is>
          <t>VÄSTERNORRLANDS LÄN</t>
        </is>
      </c>
      <c r="E206" t="inlineStr">
        <is>
          <t>ÅNGE</t>
        </is>
      </c>
      <c r="G206" t="n">
        <v>3.6</v>
      </c>
      <c r="H206" t="n">
        <v>0</v>
      </c>
      <c r="I206" t="n">
        <v>0</v>
      </c>
      <c r="J206" t="n">
        <v>0</v>
      </c>
      <c r="K206" t="n">
        <v>0</v>
      </c>
      <c r="L206" t="n">
        <v>0</v>
      </c>
      <c r="M206" t="n">
        <v>0</v>
      </c>
      <c r="N206" t="n">
        <v>0</v>
      </c>
      <c r="O206" t="n">
        <v>0</v>
      </c>
      <c r="P206" t="n">
        <v>0</v>
      </c>
      <c r="Q206" t="n">
        <v>0</v>
      </c>
      <c r="R206" s="2" t="inlineStr"/>
    </row>
    <row r="207" ht="15" customHeight="1">
      <c r="A207" t="inlineStr">
        <is>
          <t>A 20354-2021</t>
        </is>
      </c>
      <c r="B207" s="1" t="n">
        <v>44312</v>
      </c>
      <c r="C207" s="1" t="n">
        <v>45884</v>
      </c>
      <c r="D207" t="inlineStr">
        <is>
          <t>VÄSTERNORRLANDS LÄN</t>
        </is>
      </c>
      <c r="E207" t="inlineStr">
        <is>
          <t>ÅNGE</t>
        </is>
      </c>
      <c r="G207" t="n">
        <v>1.3</v>
      </c>
      <c r="H207" t="n">
        <v>0</v>
      </c>
      <c r="I207" t="n">
        <v>0</v>
      </c>
      <c r="J207" t="n">
        <v>0</v>
      </c>
      <c r="K207" t="n">
        <v>0</v>
      </c>
      <c r="L207" t="n">
        <v>0</v>
      </c>
      <c r="M207" t="n">
        <v>0</v>
      </c>
      <c r="N207" t="n">
        <v>0</v>
      </c>
      <c r="O207" t="n">
        <v>0</v>
      </c>
      <c r="P207" t="n">
        <v>0</v>
      </c>
      <c r="Q207" t="n">
        <v>0</v>
      </c>
      <c r="R207" s="2" t="inlineStr"/>
    </row>
    <row r="208" ht="15" customHeight="1">
      <c r="A208" t="inlineStr">
        <is>
          <t>A 53474-2020</t>
        </is>
      </c>
      <c r="B208" s="1" t="n">
        <v>44123.68413194444</v>
      </c>
      <c r="C208" s="1" t="n">
        <v>45884</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49343-2020</t>
        </is>
      </c>
      <c r="B209" s="1" t="n">
        <v>44105.56329861111</v>
      </c>
      <c r="C209" s="1" t="n">
        <v>45884</v>
      </c>
      <c r="D209" t="inlineStr">
        <is>
          <t>VÄSTERNORRLANDS LÄN</t>
        </is>
      </c>
      <c r="E209" t="inlineStr">
        <is>
          <t>ÅNGE</t>
        </is>
      </c>
      <c r="G209" t="n">
        <v>1.2</v>
      </c>
      <c r="H209" t="n">
        <v>0</v>
      </c>
      <c r="I209" t="n">
        <v>0</v>
      </c>
      <c r="J209" t="n">
        <v>0</v>
      </c>
      <c r="K209" t="n">
        <v>0</v>
      </c>
      <c r="L209" t="n">
        <v>0</v>
      </c>
      <c r="M209" t="n">
        <v>0</v>
      </c>
      <c r="N209" t="n">
        <v>0</v>
      </c>
      <c r="O209" t="n">
        <v>0</v>
      </c>
      <c r="P209" t="n">
        <v>0</v>
      </c>
      <c r="Q209" t="n">
        <v>0</v>
      </c>
      <c r="R209" s="2" t="inlineStr"/>
    </row>
    <row r="210" ht="15" customHeight="1">
      <c r="A210" t="inlineStr">
        <is>
          <t>A 53660-2020</t>
        </is>
      </c>
      <c r="B210" s="1" t="n">
        <v>44124</v>
      </c>
      <c r="C210" s="1" t="n">
        <v>45884</v>
      </c>
      <c r="D210" t="inlineStr">
        <is>
          <t>VÄSTERNORRLANDS LÄN</t>
        </is>
      </c>
      <c r="E210" t="inlineStr">
        <is>
          <t>ÅNGE</t>
        </is>
      </c>
      <c r="G210" t="n">
        <v>5.4</v>
      </c>
      <c r="H210" t="n">
        <v>0</v>
      </c>
      <c r="I210" t="n">
        <v>0</v>
      </c>
      <c r="J210" t="n">
        <v>0</v>
      </c>
      <c r="K210" t="n">
        <v>0</v>
      </c>
      <c r="L210" t="n">
        <v>0</v>
      </c>
      <c r="M210" t="n">
        <v>0</v>
      </c>
      <c r="N210" t="n">
        <v>0</v>
      </c>
      <c r="O210" t="n">
        <v>0</v>
      </c>
      <c r="P210" t="n">
        <v>0</v>
      </c>
      <c r="Q210" t="n">
        <v>0</v>
      </c>
      <c r="R210" s="2" t="inlineStr"/>
    </row>
    <row r="211" ht="15" customHeight="1">
      <c r="A211" t="inlineStr">
        <is>
          <t>A 21740-2022</t>
        </is>
      </c>
      <c r="B211" s="1" t="n">
        <v>44708.37472222222</v>
      </c>
      <c r="C211" s="1" t="n">
        <v>45884</v>
      </c>
      <c r="D211" t="inlineStr">
        <is>
          <t>VÄSTERNORRLANDS LÄN</t>
        </is>
      </c>
      <c r="E211" t="inlineStr">
        <is>
          <t>ÅNGE</t>
        </is>
      </c>
      <c r="G211" t="n">
        <v>2</v>
      </c>
      <c r="H211" t="n">
        <v>0</v>
      </c>
      <c r="I211" t="n">
        <v>0</v>
      </c>
      <c r="J211" t="n">
        <v>0</v>
      </c>
      <c r="K211" t="n">
        <v>0</v>
      </c>
      <c r="L211" t="n">
        <v>0</v>
      </c>
      <c r="M211" t="n">
        <v>0</v>
      </c>
      <c r="N211" t="n">
        <v>0</v>
      </c>
      <c r="O211" t="n">
        <v>0</v>
      </c>
      <c r="P211" t="n">
        <v>0</v>
      </c>
      <c r="Q211" t="n">
        <v>0</v>
      </c>
      <c r="R211" s="2" t="inlineStr"/>
    </row>
    <row r="212" ht="15" customHeight="1">
      <c r="A212" t="inlineStr">
        <is>
          <t>A 37624-2021</t>
        </is>
      </c>
      <c r="B212" s="1" t="n">
        <v>44399</v>
      </c>
      <c r="C212" s="1" t="n">
        <v>45884</v>
      </c>
      <c r="D212" t="inlineStr">
        <is>
          <t>VÄSTERNORRLANDS LÄN</t>
        </is>
      </c>
      <c r="E212" t="inlineStr">
        <is>
          <t>ÅNGE</t>
        </is>
      </c>
      <c r="G212" t="n">
        <v>4.1</v>
      </c>
      <c r="H212" t="n">
        <v>0</v>
      </c>
      <c r="I212" t="n">
        <v>0</v>
      </c>
      <c r="J212" t="n">
        <v>0</v>
      </c>
      <c r="K212" t="n">
        <v>0</v>
      </c>
      <c r="L212" t="n">
        <v>0</v>
      </c>
      <c r="M212" t="n">
        <v>0</v>
      </c>
      <c r="N212" t="n">
        <v>0</v>
      </c>
      <c r="O212" t="n">
        <v>0</v>
      </c>
      <c r="P212" t="n">
        <v>0</v>
      </c>
      <c r="Q212" t="n">
        <v>0</v>
      </c>
      <c r="R212" s="2" t="inlineStr"/>
    </row>
    <row r="213" ht="15" customHeight="1">
      <c r="A213" t="inlineStr">
        <is>
          <t>A 24353-2022</t>
        </is>
      </c>
      <c r="B213" s="1" t="n">
        <v>44726.37769675926</v>
      </c>
      <c r="C213" s="1" t="n">
        <v>45884</v>
      </c>
      <c r="D213" t="inlineStr">
        <is>
          <t>VÄSTERNORRLANDS LÄN</t>
        </is>
      </c>
      <c r="E213" t="inlineStr">
        <is>
          <t>ÅNGE</t>
        </is>
      </c>
      <c r="G213" t="n">
        <v>1</v>
      </c>
      <c r="H213" t="n">
        <v>0</v>
      </c>
      <c r="I213" t="n">
        <v>0</v>
      </c>
      <c r="J213" t="n">
        <v>0</v>
      </c>
      <c r="K213" t="n">
        <v>0</v>
      </c>
      <c r="L213" t="n">
        <v>0</v>
      </c>
      <c r="M213" t="n">
        <v>0</v>
      </c>
      <c r="N213" t="n">
        <v>0</v>
      </c>
      <c r="O213" t="n">
        <v>0</v>
      </c>
      <c r="P213" t="n">
        <v>0</v>
      </c>
      <c r="Q213" t="n">
        <v>0</v>
      </c>
      <c r="R213" s="2" t="inlineStr"/>
    </row>
    <row r="214" ht="15" customHeight="1">
      <c r="A214" t="inlineStr">
        <is>
          <t>A 5381-2022</t>
        </is>
      </c>
      <c r="B214" s="1" t="n">
        <v>44594.9337037037</v>
      </c>
      <c r="C214" s="1" t="n">
        <v>45884</v>
      </c>
      <c r="D214" t="inlineStr">
        <is>
          <t>VÄSTERNORRLANDS LÄN</t>
        </is>
      </c>
      <c r="E214" t="inlineStr">
        <is>
          <t>ÅNGE</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38432-2021</t>
        </is>
      </c>
      <c r="B215" s="1" t="n">
        <v>44406</v>
      </c>
      <c r="C215" s="1" t="n">
        <v>45884</v>
      </c>
      <c r="D215" t="inlineStr">
        <is>
          <t>VÄSTERNORRLANDS LÄN</t>
        </is>
      </c>
      <c r="E215" t="inlineStr">
        <is>
          <t>ÅNGE</t>
        </is>
      </c>
      <c r="G215" t="n">
        <v>0.4</v>
      </c>
      <c r="H215" t="n">
        <v>0</v>
      </c>
      <c r="I215" t="n">
        <v>0</v>
      </c>
      <c r="J215" t="n">
        <v>0</v>
      </c>
      <c r="K215" t="n">
        <v>0</v>
      </c>
      <c r="L215" t="n">
        <v>0</v>
      </c>
      <c r="M215" t="n">
        <v>0</v>
      </c>
      <c r="N215" t="n">
        <v>0</v>
      </c>
      <c r="O215" t="n">
        <v>0</v>
      </c>
      <c r="P215" t="n">
        <v>0</v>
      </c>
      <c r="Q215" t="n">
        <v>0</v>
      </c>
      <c r="R215" s="2" t="inlineStr"/>
    </row>
    <row r="216" ht="15" customHeight="1">
      <c r="A216" t="inlineStr">
        <is>
          <t>A 14433-2022</t>
        </is>
      </c>
      <c r="B216" s="1" t="n">
        <v>44652</v>
      </c>
      <c r="C216" s="1" t="n">
        <v>45884</v>
      </c>
      <c r="D216" t="inlineStr">
        <is>
          <t>VÄSTERNORRLANDS LÄN</t>
        </is>
      </c>
      <c r="E216" t="inlineStr">
        <is>
          <t>ÅNGE</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48876-2021</t>
        </is>
      </c>
      <c r="B217" s="1" t="n">
        <v>44452</v>
      </c>
      <c r="C217" s="1" t="n">
        <v>45884</v>
      </c>
      <c r="D217" t="inlineStr">
        <is>
          <t>VÄSTERNORRLANDS LÄN</t>
        </is>
      </c>
      <c r="E217" t="inlineStr">
        <is>
          <t>ÅNGE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48990-2021</t>
        </is>
      </c>
      <c r="B218" s="1" t="n">
        <v>44453</v>
      </c>
      <c r="C218" s="1" t="n">
        <v>45884</v>
      </c>
      <c r="D218" t="inlineStr">
        <is>
          <t>VÄSTERNORRLANDS LÄN</t>
        </is>
      </c>
      <c r="E218" t="inlineStr">
        <is>
          <t>ÅNGE</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39744-2021</t>
        </is>
      </c>
      <c r="B219" s="1" t="n">
        <v>44417</v>
      </c>
      <c r="C219" s="1" t="n">
        <v>45884</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46518-2020</t>
        </is>
      </c>
      <c r="B220" s="1" t="n">
        <v>44095</v>
      </c>
      <c r="C220" s="1" t="n">
        <v>45884</v>
      </c>
      <c r="D220" t="inlineStr">
        <is>
          <t>VÄSTERNORRLANDS LÄN</t>
        </is>
      </c>
      <c r="E220" t="inlineStr">
        <is>
          <t>ÅNGE</t>
        </is>
      </c>
      <c r="G220" t="n">
        <v>0.8</v>
      </c>
      <c r="H220" t="n">
        <v>0</v>
      </c>
      <c r="I220" t="n">
        <v>0</v>
      </c>
      <c r="J220" t="n">
        <v>0</v>
      </c>
      <c r="K220" t="n">
        <v>0</v>
      </c>
      <c r="L220" t="n">
        <v>0</v>
      </c>
      <c r="M220" t="n">
        <v>0</v>
      </c>
      <c r="N220" t="n">
        <v>0</v>
      </c>
      <c r="O220" t="n">
        <v>0</v>
      </c>
      <c r="P220" t="n">
        <v>0</v>
      </c>
      <c r="Q220" t="n">
        <v>0</v>
      </c>
      <c r="R220" s="2" t="inlineStr"/>
    </row>
    <row r="221" ht="15" customHeight="1">
      <c r="A221" t="inlineStr">
        <is>
          <t>A 69271-2020</t>
        </is>
      </c>
      <c r="B221" s="1" t="n">
        <v>44193</v>
      </c>
      <c r="C221" s="1" t="n">
        <v>45884</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74088-2021</t>
        </is>
      </c>
      <c r="B222" s="1" t="n">
        <v>44557.59435185185</v>
      </c>
      <c r="C222" s="1" t="n">
        <v>45884</v>
      </c>
      <c r="D222" t="inlineStr">
        <is>
          <t>VÄSTERNORRLANDS LÄN</t>
        </is>
      </c>
      <c r="E222" t="inlineStr">
        <is>
          <t>ÅNGE</t>
        </is>
      </c>
      <c r="G222" t="n">
        <v>0.6</v>
      </c>
      <c r="H222" t="n">
        <v>0</v>
      </c>
      <c r="I222" t="n">
        <v>0</v>
      </c>
      <c r="J222" t="n">
        <v>0</v>
      </c>
      <c r="K222" t="n">
        <v>0</v>
      </c>
      <c r="L222" t="n">
        <v>0</v>
      </c>
      <c r="M222" t="n">
        <v>0</v>
      </c>
      <c r="N222" t="n">
        <v>0</v>
      </c>
      <c r="O222" t="n">
        <v>0</v>
      </c>
      <c r="P222" t="n">
        <v>0</v>
      </c>
      <c r="Q222" t="n">
        <v>0</v>
      </c>
      <c r="R222" s="2" t="inlineStr"/>
    </row>
    <row r="223" ht="15" customHeight="1">
      <c r="A223" t="inlineStr">
        <is>
          <t>A 65593-2020</t>
        </is>
      </c>
      <c r="B223" s="1" t="n">
        <v>44173</v>
      </c>
      <c r="C223" s="1" t="n">
        <v>45884</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68715-2020</t>
        </is>
      </c>
      <c r="B224" s="1" t="n">
        <v>44187</v>
      </c>
      <c r="C224" s="1" t="n">
        <v>45884</v>
      </c>
      <c r="D224" t="inlineStr">
        <is>
          <t>VÄSTERNORRLANDS LÄN</t>
        </is>
      </c>
      <c r="E224" t="inlineStr">
        <is>
          <t>ÅNGE</t>
        </is>
      </c>
      <c r="G224" t="n">
        <v>19.1</v>
      </c>
      <c r="H224" t="n">
        <v>0</v>
      </c>
      <c r="I224" t="n">
        <v>0</v>
      </c>
      <c r="J224" t="n">
        <v>0</v>
      </c>
      <c r="K224" t="n">
        <v>0</v>
      </c>
      <c r="L224" t="n">
        <v>0</v>
      </c>
      <c r="M224" t="n">
        <v>0</v>
      </c>
      <c r="N224" t="n">
        <v>0</v>
      </c>
      <c r="O224" t="n">
        <v>0</v>
      </c>
      <c r="P224" t="n">
        <v>0</v>
      </c>
      <c r="Q224" t="n">
        <v>0</v>
      </c>
      <c r="R224" s="2" t="inlineStr"/>
    </row>
    <row r="225" ht="15" customHeight="1">
      <c r="A225" t="inlineStr">
        <is>
          <t>A 53173-2020</t>
        </is>
      </c>
      <c r="B225" s="1" t="n">
        <v>44120</v>
      </c>
      <c r="C225" s="1" t="n">
        <v>45884</v>
      </c>
      <c r="D225" t="inlineStr">
        <is>
          <t>VÄSTERNORRLANDS LÄN</t>
        </is>
      </c>
      <c r="E225" t="inlineStr">
        <is>
          <t>ÅNGE</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53174-2020</t>
        </is>
      </c>
      <c r="B226" s="1" t="n">
        <v>44120</v>
      </c>
      <c r="C226" s="1" t="n">
        <v>45884</v>
      </c>
      <c r="D226" t="inlineStr">
        <is>
          <t>VÄSTERNORRLANDS LÄN</t>
        </is>
      </c>
      <c r="E226" t="inlineStr">
        <is>
          <t>ÅNGE</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65594-2020</t>
        </is>
      </c>
      <c r="B227" s="1" t="n">
        <v>44173</v>
      </c>
      <c r="C227" s="1" t="n">
        <v>45884</v>
      </c>
      <c r="D227" t="inlineStr">
        <is>
          <t>VÄSTERNORRLANDS LÄN</t>
        </is>
      </c>
      <c r="E227" t="inlineStr">
        <is>
          <t>ÅNGE</t>
        </is>
      </c>
      <c r="G227" t="n">
        <v>5.9</v>
      </c>
      <c r="H227" t="n">
        <v>0</v>
      </c>
      <c r="I227" t="n">
        <v>0</v>
      </c>
      <c r="J227" t="n">
        <v>0</v>
      </c>
      <c r="K227" t="n">
        <v>0</v>
      </c>
      <c r="L227" t="n">
        <v>0</v>
      </c>
      <c r="M227" t="n">
        <v>0</v>
      </c>
      <c r="N227" t="n">
        <v>0</v>
      </c>
      <c r="O227" t="n">
        <v>0</v>
      </c>
      <c r="P227" t="n">
        <v>0</v>
      </c>
      <c r="Q227" t="n">
        <v>0</v>
      </c>
      <c r="R227" s="2" t="inlineStr"/>
    </row>
    <row r="228" ht="15" customHeight="1">
      <c r="A228" t="inlineStr">
        <is>
          <t>A 71396-2021</t>
        </is>
      </c>
      <c r="B228" s="1" t="n">
        <v>44540.35644675926</v>
      </c>
      <c r="C228" s="1" t="n">
        <v>45884</v>
      </c>
      <c r="D228" t="inlineStr">
        <is>
          <t>VÄSTERNORRLANDS LÄN</t>
        </is>
      </c>
      <c r="E228" t="inlineStr">
        <is>
          <t>ÅNGE</t>
        </is>
      </c>
      <c r="G228" t="n">
        <v>0.5</v>
      </c>
      <c r="H228" t="n">
        <v>0</v>
      </c>
      <c r="I228" t="n">
        <v>0</v>
      </c>
      <c r="J228" t="n">
        <v>0</v>
      </c>
      <c r="K228" t="n">
        <v>0</v>
      </c>
      <c r="L228" t="n">
        <v>0</v>
      </c>
      <c r="M228" t="n">
        <v>0</v>
      </c>
      <c r="N228" t="n">
        <v>0</v>
      </c>
      <c r="O228" t="n">
        <v>0</v>
      </c>
      <c r="P228" t="n">
        <v>0</v>
      </c>
      <c r="Q228" t="n">
        <v>0</v>
      </c>
      <c r="R228" s="2" t="inlineStr"/>
    </row>
    <row r="229" ht="15" customHeight="1">
      <c r="A229" t="inlineStr">
        <is>
          <t>A 19102-2021</t>
        </is>
      </c>
      <c r="B229" s="1" t="n">
        <v>44308</v>
      </c>
      <c r="C229" s="1" t="n">
        <v>45884</v>
      </c>
      <c r="D229" t="inlineStr">
        <is>
          <t>VÄSTERNORRLANDS LÄN</t>
        </is>
      </c>
      <c r="E229" t="inlineStr">
        <is>
          <t>ÅNGE</t>
        </is>
      </c>
      <c r="G229" t="n">
        <v>3.3</v>
      </c>
      <c r="H229" t="n">
        <v>0</v>
      </c>
      <c r="I229" t="n">
        <v>0</v>
      </c>
      <c r="J229" t="n">
        <v>0</v>
      </c>
      <c r="K229" t="n">
        <v>0</v>
      </c>
      <c r="L229" t="n">
        <v>0</v>
      </c>
      <c r="M229" t="n">
        <v>0</v>
      </c>
      <c r="N229" t="n">
        <v>0</v>
      </c>
      <c r="O229" t="n">
        <v>0</v>
      </c>
      <c r="P229" t="n">
        <v>0</v>
      </c>
      <c r="Q229" t="n">
        <v>0</v>
      </c>
      <c r="R229" s="2" t="inlineStr"/>
    </row>
    <row r="230" ht="15" customHeight="1">
      <c r="A230" t="inlineStr">
        <is>
          <t>A 66265-2021</t>
        </is>
      </c>
      <c r="B230" s="1" t="n">
        <v>44518.45263888889</v>
      </c>
      <c r="C230" s="1" t="n">
        <v>45884</v>
      </c>
      <c r="D230" t="inlineStr">
        <is>
          <t>VÄSTERNORRLANDS LÄN</t>
        </is>
      </c>
      <c r="E230" t="inlineStr">
        <is>
          <t>ÅNGE</t>
        </is>
      </c>
      <c r="G230" t="n">
        <v>6</v>
      </c>
      <c r="H230" t="n">
        <v>0</v>
      </c>
      <c r="I230" t="n">
        <v>0</v>
      </c>
      <c r="J230" t="n">
        <v>0</v>
      </c>
      <c r="K230" t="n">
        <v>0</v>
      </c>
      <c r="L230" t="n">
        <v>0</v>
      </c>
      <c r="M230" t="n">
        <v>0</v>
      </c>
      <c r="N230" t="n">
        <v>0</v>
      </c>
      <c r="O230" t="n">
        <v>0</v>
      </c>
      <c r="P230" t="n">
        <v>0</v>
      </c>
      <c r="Q230" t="n">
        <v>0</v>
      </c>
      <c r="R230" s="2" t="inlineStr"/>
    </row>
    <row r="231" ht="15" customHeight="1">
      <c r="A231" t="inlineStr">
        <is>
          <t>A 71669-2021</t>
        </is>
      </c>
      <c r="B231" s="1" t="n">
        <v>44538</v>
      </c>
      <c r="C231" s="1" t="n">
        <v>45884</v>
      </c>
      <c r="D231" t="inlineStr">
        <is>
          <t>VÄSTERNORRLANDS LÄN</t>
        </is>
      </c>
      <c r="E231" t="inlineStr">
        <is>
          <t>ÅNGE</t>
        </is>
      </c>
      <c r="G231" t="n">
        <v>2.1</v>
      </c>
      <c r="H231" t="n">
        <v>0</v>
      </c>
      <c r="I231" t="n">
        <v>0</v>
      </c>
      <c r="J231" t="n">
        <v>0</v>
      </c>
      <c r="K231" t="n">
        <v>0</v>
      </c>
      <c r="L231" t="n">
        <v>0</v>
      </c>
      <c r="M231" t="n">
        <v>0</v>
      </c>
      <c r="N231" t="n">
        <v>0</v>
      </c>
      <c r="O231" t="n">
        <v>0</v>
      </c>
      <c r="P231" t="n">
        <v>0</v>
      </c>
      <c r="Q231" t="n">
        <v>0</v>
      </c>
      <c r="R231" s="2" t="inlineStr"/>
    </row>
    <row r="232" ht="15" customHeight="1">
      <c r="A232" t="inlineStr">
        <is>
          <t>A 50258-2020</t>
        </is>
      </c>
      <c r="B232" s="1" t="n">
        <v>44109</v>
      </c>
      <c r="C232" s="1" t="n">
        <v>45884</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50259-2020</t>
        </is>
      </c>
      <c r="B233" s="1" t="n">
        <v>44109</v>
      </c>
      <c r="C233" s="1" t="n">
        <v>45884</v>
      </c>
      <c r="D233" t="inlineStr">
        <is>
          <t>VÄSTERNORRLANDS LÄN</t>
        </is>
      </c>
      <c r="E233" t="inlineStr">
        <is>
          <t>ÅNGE</t>
        </is>
      </c>
      <c r="G233" t="n">
        <v>5.1</v>
      </c>
      <c r="H233" t="n">
        <v>0</v>
      </c>
      <c r="I233" t="n">
        <v>0</v>
      </c>
      <c r="J233" t="n">
        <v>0</v>
      </c>
      <c r="K233" t="n">
        <v>0</v>
      </c>
      <c r="L233" t="n">
        <v>0</v>
      </c>
      <c r="M233" t="n">
        <v>0</v>
      </c>
      <c r="N233" t="n">
        <v>0</v>
      </c>
      <c r="O233" t="n">
        <v>0</v>
      </c>
      <c r="P233" t="n">
        <v>0</v>
      </c>
      <c r="Q233" t="n">
        <v>0</v>
      </c>
      <c r="R233" s="2" t="inlineStr"/>
    </row>
    <row r="234" ht="15" customHeight="1">
      <c r="A234" t="inlineStr">
        <is>
          <t>A 9619-2021</t>
        </is>
      </c>
      <c r="B234" s="1" t="n">
        <v>44251</v>
      </c>
      <c r="C234" s="1" t="n">
        <v>45884</v>
      </c>
      <c r="D234" t="inlineStr">
        <is>
          <t>VÄSTERNORRLANDS LÄN</t>
        </is>
      </c>
      <c r="E234" t="inlineStr">
        <is>
          <t>ÅNGE</t>
        </is>
      </c>
      <c r="G234" t="n">
        <v>10.4</v>
      </c>
      <c r="H234" t="n">
        <v>0</v>
      </c>
      <c r="I234" t="n">
        <v>0</v>
      </c>
      <c r="J234" t="n">
        <v>0</v>
      </c>
      <c r="K234" t="n">
        <v>0</v>
      </c>
      <c r="L234" t="n">
        <v>0</v>
      </c>
      <c r="M234" t="n">
        <v>0</v>
      </c>
      <c r="N234" t="n">
        <v>0</v>
      </c>
      <c r="O234" t="n">
        <v>0</v>
      </c>
      <c r="P234" t="n">
        <v>0</v>
      </c>
      <c r="Q234" t="n">
        <v>0</v>
      </c>
      <c r="R234" s="2" t="inlineStr"/>
    </row>
    <row r="235" ht="15" customHeight="1">
      <c r="A235" t="inlineStr">
        <is>
          <t>A 14812-2021</t>
        </is>
      </c>
      <c r="B235" s="1" t="n">
        <v>44280</v>
      </c>
      <c r="C235" s="1" t="n">
        <v>45884</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46350-2022</t>
        </is>
      </c>
      <c r="B236" s="1" t="n">
        <v>44847.95120370371</v>
      </c>
      <c r="C236" s="1" t="n">
        <v>45884</v>
      </c>
      <c r="D236" t="inlineStr">
        <is>
          <t>VÄSTERNORRLANDS LÄN</t>
        </is>
      </c>
      <c r="E236" t="inlineStr">
        <is>
          <t>ÅNGE</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54105-2020</t>
        </is>
      </c>
      <c r="B237" s="1" t="n">
        <v>44125</v>
      </c>
      <c r="C237" s="1" t="n">
        <v>45884</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24819-2021</t>
        </is>
      </c>
      <c r="B238" s="1" t="n">
        <v>44340</v>
      </c>
      <c r="C238" s="1" t="n">
        <v>45884</v>
      </c>
      <c r="D238" t="inlineStr">
        <is>
          <t>VÄSTERNORRLANDS LÄN</t>
        </is>
      </c>
      <c r="E238" t="inlineStr">
        <is>
          <t>ÅNGE</t>
        </is>
      </c>
      <c r="G238" t="n">
        <v>1.5</v>
      </c>
      <c r="H238" t="n">
        <v>0</v>
      </c>
      <c r="I238" t="n">
        <v>0</v>
      </c>
      <c r="J238" t="n">
        <v>0</v>
      </c>
      <c r="K238" t="n">
        <v>0</v>
      </c>
      <c r="L238" t="n">
        <v>0</v>
      </c>
      <c r="M238" t="n">
        <v>0</v>
      </c>
      <c r="N238" t="n">
        <v>0</v>
      </c>
      <c r="O238" t="n">
        <v>0</v>
      </c>
      <c r="P238" t="n">
        <v>0</v>
      </c>
      <c r="Q238" t="n">
        <v>0</v>
      </c>
      <c r="R238" s="2" t="inlineStr"/>
    </row>
    <row r="239" ht="15" customHeight="1">
      <c r="A239" t="inlineStr">
        <is>
          <t>A 53969-2021</t>
        </is>
      </c>
      <c r="B239" s="1" t="n">
        <v>44469</v>
      </c>
      <c r="C239" s="1" t="n">
        <v>45884</v>
      </c>
      <c r="D239" t="inlineStr">
        <is>
          <t>VÄSTERNORRLANDS LÄN</t>
        </is>
      </c>
      <c r="E239" t="inlineStr">
        <is>
          <t>ÅNGE</t>
        </is>
      </c>
      <c r="G239" t="n">
        <v>0.7</v>
      </c>
      <c r="H239" t="n">
        <v>0</v>
      </c>
      <c r="I239" t="n">
        <v>0</v>
      </c>
      <c r="J239" t="n">
        <v>0</v>
      </c>
      <c r="K239" t="n">
        <v>0</v>
      </c>
      <c r="L239" t="n">
        <v>0</v>
      </c>
      <c r="M239" t="n">
        <v>0</v>
      </c>
      <c r="N239" t="n">
        <v>0</v>
      </c>
      <c r="O239" t="n">
        <v>0</v>
      </c>
      <c r="P239" t="n">
        <v>0</v>
      </c>
      <c r="Q239" t="n">
        <v>0</v>
      </c>
      <c r="R239" s="2" t="inlineStr"/>
    </row>
    <row r="240" ht="15" customHeight="1">
      <c r="A240" t="inlineStr">
        <is>
          <t>A 35359-2021</t>
        </is>
      </c>
      <c r="B240" s="1" t="n">
        <v>44384.93608796296</v>
      </c>
      <c r="C240" s="1" t="n">
        <v>45884</v>
      </c>
      <c r="D240" t="inlineStr">
        <is>
          <t>VÄSTERNORRLANDS LÄN</t>
        </is>
      </c>
      <c r="E240" t="inlineStr">
        <is>
          <t>ÅNGE</t>
        </is>
      </c>
      <c r="F240" t="inlineStr">
        <is>
          <t>SCA</t>
        </is>
      </c>
      <c r="G240" t="n">
        <v>10.1</v>
      </c>
      <c r="H240" t="n">
        <v>0</v>
      </c>
      <c r="I240" t="n">
        <v>0</v>
      </c>
      <c r="J240" t="n">
        <v>0</v>
      </c>
      <c r="K240" t="n">
        <v>0</v>
      </c>
      <c r="L240" t="n">
        <v>0</v>
      </c>
      <c r="M240" t="n">
        <v>0</v>
      </c>
      <c r="N240" t="n">
        <v>0</v>
      </c>
      <c r="O240" t="n">
        <v>0</v>
      </c>
      <c r="P240" t="n">
        <v>0</v>
      </c>
      <c r="Q240" t="n">
        <v>0</v>
      </c>
      <c r="R240" s="2" t="inlineStr"/>
    </row>
    <row r="241" ht="15" customHeight="1">
      <c r="A241" t="inlineStr">
        <is>
          <t>A 31191-2021</t>
        </is>
      </c>
      <c r="B241" s="1" t="n">
        <v>44368</v>
      </c>
      <c r="C241" s="1" t="n">
        <v>45884</v>
      </c>
      <c r="D241" t="inlineStr">
        <is>
          <t>VÄSTERNORRLANDS LÄN</t>
        </is>
      </c>
      <c r="E241" t="inlineStr">
        <is>
          <t>ÅNGE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63609-2021</t>
        </is>
      </c>
      <c r="B242" s="1" t="n">
        <v>44508.94660879629</v>
      </c>
      <c r="C242" s="1" t="n">
        <v>45884</v>
      </c>
      <c r="D242" t="inlineStr">
        <is>
          <t>VÄSTERNORRLANDS LÄN</t>
        </is>
      </c>
      <c r="E242" t="inlineStr">
        <is>
          <t>ÅNGE</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7158-2022</t>
        </is>
      </c>
      <c r="B243" s="1" t="n">
        <v>44603.96534722222</v>
      </c>
      <c r="C243" s="1" t="n">
        <v>45884</v>
      </c>
      <c r="D243" t="inlineStr">
        <is>
          <t>VÄSTERNORRLANDS LÄN</t>
        </is>
      </c>
      <c r="E243" t="inlineStr">
        <is>
          <t>ÅNGE</t>
        </is>
      </c>
      <c r="G243" t="n">
        <v>0.4</v>
      </c>
      <c r="H243" t="n">
        <v>0</v>
      </c>
      <c r="I243" t="n">
        <v>0</v>
      </c>
      <c r="J243" t="n">
        <v>0</v>
      </c>
      <c r="K243" t="n">
        <v>0</v>
      </c>
      <c r="L243" t="n">
        <v>0</v>
      </c>
      <c r="M243" t="n">
        <v>0</v>
      </c>
      <c r="N243" t="n">
        <v>0</v>
      </c>
      <c r="O243" t="n">
        <v>0</v>
      </c>
      <c r="P243" t="n">
        <v>0</v>
      </c>
      <c r="Q243" t="n">
        <v>0</v>
      </c>
      <c r="R243" s="2" t="inlineStr"/>
    </row>
    <row r="244" ht="15" customHeight="1">
      <c r="A244" t="inlineStr">
        <is>
          <t>A 43093-2020</t>
        </is>
      </c>
      <c r="B244" s="1" t="n">
        <v>44078</v>
      </c>
      <c r="C244" s="1" t="n">
        <v>45884</v>
      </c>
      <c r="D244" t="inlineStr">
        <is>
          <t>VÄSTERNORRLANDS LÄN</t>
        </is>
      </c>
      <c r="E244" t="inlineStr">
        <is>
          <t>ÅNGE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58941-2021</t>
        </is>
      </c>
      <c r="B245" s="1" t="n">
        <v>44489.92215277778</v>
      </c>
      <c r="C245" s="1" t="n">
        <v>45884</v>
      </c>
      <c r="D245" t="inlineStr">
        <is>
          <t>VÄSTERNORRLANDS LÄN</t>
        </is>
      </c>
      <c r="E245" t="inlineStr">
        <is>
          <t>ÅNGE</t>
        </is>
      </c>
      <c r="G245" t="n">
        <v>6.7</v>
      </c>
      <c r="H245" t="n">
        <v>0</v>
      </c>
      <c r="I245" t="n">
        <v>0</v>
      </c>
      <c r="J245" t="n">
        <v>0</v>
      </c>
      <c r="K245" t="n">
        <v>0</v>
      </c>
      <c r="L245" t="n">
        <v>0</v>
      </c>
      <c r="M245" t="n">
        <v>0</v>
      </c>
      <c r="N245" t="n">
        <v>0</v>
      </c>
      <c r="O245" t="n">
        <v>0</v>
      </c>
      <c r="P245" t="n">
        <v>0</v>
      </c>
      <c r="Q245" t="n">
        <v>0</v>
      </c>
      <c r="R245" s="2" t="inlineStr"/>
    </row>
    <row r="246" ht="15" customHeight="1">
      <c r="A246" t="inlineStr">
        <is>
          <t>A 47282-2022</t>
        </is>
      </c>
      <c r="B246" s="1" t="n">
        <v>44852.95091435185</v>
      </c>
      <c r="C246" s="1" t="n">
        <v>45884</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7649-2022</t>
        </is>
      </c>
      <c r="B247" s="1" t="n">
        <v>44607</v>
      </c>
      <c r="C247" s="1" t="n">
        <v>45884</v>
      </c>
      <c r="D247" t="inlineStr">
        <is>
          <t>VÄSTERNORRLANDS LÄN</t>
        </is>
      </c>
      <c r="E247" t="inlineStr">
        <is>
          <t>ÅNGE</t>
        </is>
      </c>
      <c r="G247" t="n">
        <v>1.9</v>
      </c>
      <c r="H247" t="n">
        <v>0</v>
      </c>
      <c r="I247" t="n">
        <v>0</v>
      </c>
      <c r="J247" t="n">
        <v>0</v>
      </c>
      <c r="K247" t="n">
        <v>0</v>
      </c>
      <c r="L247" t="n">
        <v>0</v>
      </c>
      <c r="M247" t="n">
        <v>0</v>
      </c>
      <c r="N247" t="n">
        <v>0</v>
      </c>
      <c r="O247" t="n">
        <v>0</v>
      </c>
      <c r="P247" t="n">
        <v>0</v>
      </c>
      <c r="Q247" t="n">
        <v>0</v>
      </c>
      <c r="R247" s="2" t="inlineStr"/>
    </row>
    <row r="248" ht="15" customHeight="1">
      <c r="A248" t="inlineStr">
        <is>
          <t>A 52705-2021</t>
        </is>
      </c>
      <c r="B248" s="1" t="n">
        <v>44466</v>
      </c>
      <c r="C248" s="1" t="n">
        <v>45884</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52726-2021</t>
        </is>
      </c>
      <c r="B249" s="1" t="n">
        <v>44466</v>
      </c>
      <c r="C249" s="1" t="n">
        <v>45884</v>
      </c>
      <c r="D249" t="inlineStr">
        <is>
          <t>VÄSTERNORRLANDS LÄN</t>
        </is>
      </c>
      <c r="E249" t="inlineStr">
        <is>
          <t>ÅNGE</t>
        </is>
      </c>
      <c r="F249" t="inlineStr">
        <is>
          <t>SCA</t>
        </is>
      </c>
      <c r="G249" t="n">
        <v>9.5</v>
      </c>
      <c r="H249" t="n">
        <v>0</v>
      </c>
      <c r="I249" t="n">
        <v>0</v>
      </c>
      <c r="J249" t="n">
        <v>0</v>
      </c>
      <c r="K249" t="n">
        <v>0</v>
      </c>
      <c r="L249" t="n">
        <v>0</v>
      </c>
      <c r="M249" t="n">
        <v>0</v>
      </c>
      <c r="N249" t="n">
        <v>0</v>
      </c>
      <c r="O249" t="n">
        <v>0</v>
      </c>
      <c r="P249" t="n">
        <v>0</v>
      </c>
      <c r="Q249" t="n">
        <v>0</v>
      </c>
      <c r="R249" s="2" t="inlineStr"/>
    </row>
    <row r="250" ht="15" customHeight="1">
      <c r="A250" t="inlineStr">
        <is>
          <t>A 6677-2022</t>
        </is>
      </c>
      <c r="B250" s="1" t="n">
        <v>44602.39258101852</v>
      </c>
      <c r="C250" s="1" t="n">
        <v>45884</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19970-2021</t>
        </is>
      </c>
      <c r="B251" s="1" t="n">
        <v>44313</v>
      </c>
      <c r="C251" s="1" t="n">
        <v>45884</v>
      </c>
      <c r="D251" t="inlineStr">
        <is>
          <t>VÄSTERNORRLANDS LÄN</t>
        </is>
      </c>
      <c r="E251" t="inlineStr">
        <is>
          <t>ÅNGE</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45884</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17844-2021</t>
        </is>
      </c>
      <c r="B253" s="1" t="n">
        <v>44300.9187962963</v>
      </c>
      <c r="C253" s="1" t="n">
        <v>45884</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65437-2021</t>
        </is>
      </c>
      <c r="B254" s="1" t="n">
        <v>44515.93900462963</v>
      </c>
      <c r="C254" s="1" t="n">
        <v>45884</v>
      </c>
      <c r="D254" t="inlineStr">
        <is>
          <t>VÄSTERNORRLANDS LÄN</t>
        </is>
      </c>
      <c r="E254" t="inlineStr">
        <is>
          <t>ÅNGE</t>
        </is>
      </c>
      <c r="F254" t="inlineStr">
        <is>
          <t>SCA</t>
        </is>
      </c>
      <c r="G254" t="n">
        <v>0.4</v>
      </c>
      <c r="H254" t="n">
        <v>0</v>
      </c>
      <c r="I254" t="n">
        <v>0</v>
      </c>
      <c r="J254" t="n">
        <v>0</v>
      </c>
      <c r="K254" t="n">
        <v>0</v>
      </c>
      <c r="L254" t="n">
        <v>0</v>
      </c>
      <c r="M254" t="n">
        <v>0</v>
      </c>
      <c r="N254" t="n">
        <v>0</v>
      </c>
      <c r="O254" t="n">
        <v>0</v>
      </c>
      <c r="P254" t="n">
        <v>0</v>
      </c>
      <c r="Q254" t="n">
        <v>0</v>
      </c>
      <c r="R254" s="2" t="inlineStr"/>
    </row>
    <row r="255" ht="15" customHeight="1">
      <c r="A255" t="inlineStr">
        <is>
          <t>A 23999-2022</t>
        </is>
      </c>
      <c r="B255" s="1" t="n">
        <v>44722.94055555556</v>
      </c>
      <c r="C255" s="1" t="n">
        <v>45884</v>
      </c>
      <c r="D255" t="inlineStr">
        <is>
          <t>VÄSTERNORRLANDS LÄN</t>
        </is>
      </c>
      <c r="E255" t="inlineStr">
        <is>
          <t>ÅNGE</t>
        </is>
      </c>
      <c r="F255" t="inlineStr">
        <is>
          <t>SCA</t>
        </is>
      </c>
      <c r="G255" t="n">
        <v>4.9</v>
      </c>
      <c r="H255" t="n">
        <v>0</v>
      </c>
      <c r="I255" t="n">
        <v>0</v>
      </c>
      <c r="J255" t="n">
        <v>0</v>
      </c>
      <c r="K255" t="n">
        <v>0</v>
      </c>
      <c r="L255" t="n">
        <v>0</v>
      </c>
      <c r="M255" t="n">
        <v>0</v>
      </c>
      <c r="N255" t="n">
        <v>0</v>
      </c>
      <c r="O255" t="n">
        <v>0</v>
      </c>
      <c r="P255" t="n">
        <v>0</v>
      </c>
      <c r="Q255" t="n">
        <v>0</v>
      </c>
      <c r="R255" s="2" t="inlineStr"/>
    </row>
    <row r="256" ht="15" customHeight="1">
      <c r="A256" t="inlineStr">
        <is>
          <t>A 39729-2021</t>
        </is>
      </c>
      <c r="B256" s="1" t="n">
        <v>44417.48267361111</v>
      </c>
      <c r="C256" s="1" t="n">
        <v>45884</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53170-2020</t>
        </is>
      </c>
      <c r="B257" s="1" t="n">
        <v>44120</v>
      </c>
      <c r="C257" s="1" t="n">
        <v>45884</v>
      </c>
      <c r="D257" t="inlineStr">
        <is>
          <t>VÄSTERNORRLANDS LÄN</t>
        </is>
      </c>
      <c r="E257" t="inlineStr">
        <is>
          <t>ÅNGE</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31649-2022</t>
        </is>
      </c>
      <c r="B258" s="1" t="n">
        <v>44775.94340277778</v>
      </c>
      <c r="C258" s="1" t="n">
        <v>45884</v>
      </c>
      <c r="D258" t="inlineStr">
        <is>
          <t>VÄSTERNORRLANDS LÄN</t>
        </is>
      </c>
      <c r="E258" t="inlineStr">
        <is>
          <t>ÅNGE</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65770-2020</t>
        </is>
      </c>
      <c r="B259" s="1" t="n">
        <v>44174.55582175926</v>
      </c>
      <c r="C259" s="1" t="n">
        <v>45884</v>
      </c>
      <c r="D259" t="inlineStr">
        <is>
          <t>VÄSTERNORRLANDS LÄN</t>
        </is>
      </c>
      <c r="E259" t="inlineStr">
        <is>
          <t>ÅNGE</t>
        </is>
      </c>
      <c r="G259" t="n">
        <v>1</v>
      </c>
      <c r="H259" t="n">
        <v>0</v>
      </c>
      <c r="I259" t="n">
        <v>0</v>
      </c>
      <c r="J259" t="n">
        <v>0</v>
      </c>
      <c r="K259" t="n">
        <v>0</v>
      </c>
      <c r="L259" t="n">
        <v>0</v>
      </c>
      <c r="M259" t="n">
        <v>0</v>
      </c>
      <c r="N259" t="n">
        <v>0</v>
      </c>
      <c r="O259" t="n">
        <v>0</v>
      </c>
      <c r="P259" t="n">
        <v>0</v>
      </c>
      <c r="Q259" t="n">
        <v>0</v>
      </c>
      <c r="R259" s="2" t="inlineStr"/>
    </row>
    <row r="260" ht="15" customHeight="1">
      <c r="A260" t="inlineStr">
        <is>
          <t>A 51427-2021</t>
        </is>
      </c>
      <c r="B260" s="1" t="n">
        <v>44461</v>
      </c>
      <c r="C260" s="1" t="n">
        <v>45884</v>
      </c>
      <c r="D260" t="inlineStr">
        <is>
          <t>VÄSTERNORRLANDS LÄN</t>
        </is>
      </c>
      <c r="E260" t="inlineStr">
        <is>
          <t>ÅNGE</t>
        </is>
      </c>
      <c r="G260" t="n">
        <v>3.2</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45884</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47654-2022</t>
        </is>
      </c>
      <c r="B262" s="1" t="n">
        <v>44854.45208333333</v>
      </c>
      <c r="C262" s="1" t="n">
        <v>45884</v>
      </c>
      <c r="D262" t="inlineStr">
        <is>
          <t>VÄSTERNORRLANDS LÄN</t>
        </is>
      </c>
      <c r="E262" t="inlineStr">
        <is>
          <t>ÅNGE</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70899-2021</t>
        </is>
      </c>
      <c r="B263" s="1" t="n">
        <v>44537</v>
      </c>
      <c r="C263" s="1" t="n">
        <v>45884</v>
      </c>
      <c r="D263" t="inlineStr">
        <is>
          <t>VÄSTERNORRLANDS LÄN</t>
        </is>
      </c>
      <c r="E263" t="inlineStr">
        <is>
          <t>ÅNGE</t>
        </is>
      </c>
      <c r="G263" t="n">
        <v>0.8</v>
      </c>
      <c r="H263" t="n">
        <v>0</v>
      </c>
      <c r="I263" t="n">
        <v>0</v>
      </c>
      <c r="J263" t="n">
        <v>0</v>
      </c>
      <c r="K263" t="n">
        <v>0</v>
      </c>
      <c r="L263" t="n">
        <v>0</v>
      </c>
      <c r="M263" t="n">
        <v>0</v>
      </c>
      <c r="N263" t="n">
        <v>0</v>
      </c>
      <c r="O263" t="n">
        <v>0</v>
      </c>
      <c r="P263" t="n">
        <v>0</v>
      </c>
      <c r="Q263" t="n">
        <v>0</v>
      </c>
      <c r="R263" s="2" t="inlineStr"/>
    </row>
    <row r="264" ht="15" customHeight="1">
      <c r="A264" t="inlineStr">
        <is>
          <t>A 19035-2022</t>
        </is>
      </c>
      <c r="B264" s="1" t="n">
        <v>44691</v>
      </c>
      <c r="C264" s="1" t="n">
        <v>45884</v>
      </c>
      <c r="D264" t="inlineStr">
        <is>
          <t>VÄSTERNORRLANDS LÄN</t>
        </is>
      </c>
      <c r="E264" t="inlineStr">
        <is>
          <t>ÅNGE</t>
        </is>
      </c>
      <c r="G264" t="n">
        <v>1.9</v>
      </c>
      <c r="H264" t="n">
        <v>0</v>
      </c>
      <c r="I264" t="n">
        <v>0</v>
      </c>
      <c r="J264" t="n">
        <v>0</v>
      </c>
      <c r="K264" t="n">
        <v>0</v>
      </c>
      <c r="L264" t="n">
        <v>0</v>
      </c>
      <c r="M264" t="n">
        <v>0</v>
      </c>
      <c r="N264" t="n">
        <v>0</v>
      </c>
      <c r="O264" t="n">
        <v>0</v>
      </c>
      <c r="P264" t="n">
        <v>0</v>
      </c>
      <c r="Q264" t="n">
        <v>0</v>
      </c>
      <c r="R264" s="2" t="inlineStr"/>
    </row>
    <row r="265" ht="15" customHeight="1">
      <c r="A265" t="inlineStr">
        <is>
          <t>A 35497-2022</t>
        </is>
      </c>
      <c r="B265" s="1" t="n">
        <v>44798</v>
      </c>
      <c r="C265" s="1" t="n">
        <v>45884</v>
      </c>
      <c r="D265" t="inlineStr">
        <is>
          <t>VÄSTERNORRLANDS LÄN</t>
        </is>
      </c>
      <c r="E265" t="inlineStr">
        <is>
          <t>ÅNGE</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32536-2022</t>
        </is>
      </c>
      <c r="B266" s="1" t="n">
        <v>44783.30246527777</v>
      </c>
      <c r="C266" s="1" t="n">
        <v>45884</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32631-2022</t>
        </is>
      </c>
      <c r="B267" s="1" t="n">
        <v>44783</v>
      </c>
      <c r="C267" s="1" t="n">
        <v>45884</v>
      </c>
      <c r="D267" t="inlineStr">
        <is>
          <t>VÄSTERNORRLANDS LÄN</t>
        </is>
      </c>
      <c r="E267" t="inlineStr">
        <is>
          <t>ÅNGE</t>
        </is>
      </c>
      <c r="G267" t="n">
        <v>0.7</v>
      </c>
      <c r="H267" t="n">
        <v>0</v>
      </c>
      <c r="I267" t="n">
        <v>0</v>
      </c>
      <c r="J267" t="n">
        <v>0</v>
      </c>
      <c r="K267" t="n">
        <v>0</v>
      </c>
      <c r="L267" t="n">
        <v>0</v>
      </c>
      <c r="M267" t="n">
        <v>0</v>
      </c>
      <c r="N267" t="n">
        <v>0</v>
      </c>
      <c r="O267" t="n">
        <v>0</v>
      </c>
      <c r="P267" t="n">
        <v>0</v>
      </c>
      <c r="Q267" t="n">
        <v>0</v>
      </c>
      <c r="R267" s="2" t="inlineStr"/>
    </row>
    <row r="268" ht="15" customHeight="1">
      <c r="A268" t="inlineStr">
        <is>
          <t>A 68812-2020</t>
        </is>
      </c>
      <c r="B268" s="1" t="n">
        <v>44187</v>
      </c>
      <c r="C268" s="1" t="n">
        <v>45884</v>
      </c>
      <c r="D268" t="inlineStr">
        <is>
          <t>VÄSTERNORRLANDS LÄN</t>
        </is>
      </c>
      <c r="E268" t="inlineStr">
        <is>
          <t>ÅNGE</t>
        </is>
      </c>
      <c r="G268" t="n">
        <v>1.6</v>
      </c>
      <c r="H268" t="n">
        <v>0</v>
      </c>
      <c r="I268" t="n">
        <v>0</v>
      </c>
      <c r="J268" t="n">
        <v>0</v>
      </c>
      <c r="K268" t="n">
        <v>0</v>
      </c>
      <c r="L268" t="n">
        <v>0</v>
      </c>
      <c r="M268" t="n">
        <v>0</v>
      </c>
      <c r="N268" t="n">
        <v>0</v>
      </c>
      <c r="O268" t="n">
        <v>0</v>
      </c>
      <c r="P268" t="n">
        <v>0</v>
      </c>
      <c r="Q268" t="n">
        <v>0</v>
      </c>
      <c r="R268" s="2" t="inlineStr"/>
    </row>
    <row r="269" ht="15" customHeight="1">
      <c r="A269" t="inlineStr">
        <is>
          <t>A 30495-2022</t>
        </is>
      </c>
      <c r="B269" s="1" t="n">
        <v>44761.9424074074</v>
      </c>
      <c r="C269" s="1" t="n">
        <v>45884</v>
      </c>
      <c r="D269" t="inlineStr">
        <is>
          <t>VÄSTERNORRLANDS LÄN</t>
        </is>
      </c>
      <c r="E269" t="inlineStr">
        <is>
          <t>ÅNGE</t>
        </is>
      </c>
      <c r="F269" t="inlineStr">
        <is>
          <t>SCA</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65277-2020</t>
        </is>
      </c>
      <c r="B270" s="1" t="n">
        <v>44172</v>
      </c>
      <c r="C270" s="1" t="n">
        <v>45884</v>
      </c>
      <c r="D270" t="inlineStr">
        <is>
          <t>VÄSTERNORRLANDS LÄN</t>
        </is>
      </c>
      <c r="E270" t="inlineStr">
        <is>
          <t>ÅNGE</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47443-2022</t>
        </is>
      </c>
      <c r="B271" s="1" t="n">
        <v>44853.59686342593</v>
      </c>
      <c r="C271" s="1" t="n">
        <v>45884</v>
      </c>
      <c r="D271" t="inlineStr">
        <is>
          <t>VÄSTERNORRLANDS LÄN</t>
        </is>
      </c>
      <c r="E271" t="inlineStr">
        <is>
          <t>ÅNGE</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13510-2021</t>
        </is>
      </c>
      <c r="B272" s="1" t="n">
        <v>44273</v>
      </c>
      <c r="C272" s="1" t="n">
        <v>45884</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13479-2021</t>
        </is>
      </c>
      <c r="B273" s="1" t="n">
        <v>44273</v>
      </c>
      <c r="C273" s="1" t="n">
        <v>45884</v>
      </c>
      <c r="D273" t="inlineStr">
        <is>
          <t>VÄSTERNORRLANDS LÄN</t>
        </is>
      </c>
      <c r="E273" t="inlineStr">
        <is>
          <t>ÅNGE</t>
        </is>
      </c>
      <c r="G273" t="n">
        <v>0.1</v>
      </c>
      <c r="H273" t="n">
        <v>0</v>
      </c>
      <c r="I273" t="n">
        <v>0</v>
      </c>
      <c r="J273" t="n">
        <v>0</v>
      </c>
      <c r="K273" t="n">
        <v>0</v>
      </c>
      <c r="L273" t="n">
        <v>0</v>
      </c>
      <c r="M273" t="n">
        <v>0</v>
      </c>
      <c r="N273" t="n">
        <v>0</v>
      </c>
      <c r="O273" t="n">
        <v>0</v>
      </c>
      <c r="P273" t="n">
        <v>0</v>
      </c>
      <c r="Q273" t="n">
        <v>0</v>
      </c>
      <c r="R273" s="2" t="inlineStr"/>
    </row>
    <row r="274" ht="15" customHeight="1">
      <c r="A274" t="inlineStr">
        <is>
          <t>A 42881-2021</t>
        </is>
      </c>
      <c r="B274" s="1" t="n">
        <v>44431.31181712963</v>
      </c>
      <c r="C274" s="1" t="n">
        <v>45884</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5822-2021</t>
        </is>
      </c>
      <c r="B275" s="1" t="n">
        <v>44230</v>
      </c>
      <c r="C275" s="1" t="n">
        <v>45884</v>
      </c>
      <c r="D275" t="inlineStr">
        <is>
          <t>VÄSTERNORRLANDS LÄN</t>
        </is>
      </c>
      <c r="E275" t="inlineStr">
        <is>
          <t>ÅNGE</t>
        </is>
      </c>
      <c r="G275" t="n">
        <v>1.5</v>
      </c>
      <c r="H275" t="n">
        <v>0</v>
      </c>
      <c r="I275" t="n">
        <v>0</v>
      </c>
      <c r="J275" t="n">
        <v>0</v>
      </c>
      <c r="K275" t="n">
        <v>0</v>
      </c>
      <c r="L275" t="n">
        <v>0</v>
      </c>
      <c r="M275" t="n">
        <v>0</v>
      </c>
      <c r="N275" t="n">
        <v>0</v>
      </c>
      <c r="O275" t="n">
        <v>0</v>
      </c>
      <c r="P275" t="n">
        <v>0</v>
      </c>
      <c r="Q275" t="n">
        <v>0</v>
      </c>
      <c r="R275" s="2" t="inlineStr"/>
    </row>
    <row r="276" ht="15" customHeight="1">
      <c r="A276" t="inlineStr">
        <is>
          <t>A 39723-2021</t>
        </is>
      </c>
      <c r="B276" s="1" t="n">
        <v>44417.47886574074</v>
      </c>
      <c r="C276" s="1" t="n">
        <v>45884</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45813-2020</t>
        </is>
      </c>
      <c r="B277" s="1" t="n">
        <v>44090.88689814815</v>
      </c>
      <c r="C277" s="1" t="n">
        <v>45884</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58942-2021</t>
        </is>
      </c>
      <c r="B278" s="1" t="n">
        <v>44489.9221875</v>
      </c>
      <c r="C278" s="1" t="n">
        <v>45884</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71651-2021</t>
        </is>
      </c>
      <c r="B279" s="1" t="n">
        <v>44538</v>
      </c>
      <c r="C279" s="1" t="n">
        <v>45884</v>
      </c>
      <c r="D279" t="inlineStr">
        <is>
          <t>VÄSTERNORRLANDS LÄN</t>
        </is>
      </c>
      <c r="E279" t="inlineStr">
        <is>
          <t>ÅNGE</t>
        </is>
      </c>
      <c r="G279" t="n">
        <v>4.4</v>
      </c>
      <c r="H279" t="n">
        <v>0</v>
      </c>
      <c r="I279" t="n">
        <v>0</v>
      </c>
      <c r="J279" t="n">
        <v>0</v>
      </c>
      <c r="K279" t="n">
        <v>0</v>
      </c>
      <c r="L279" t="n">
        <v>0</v>
      </c>
      <c r="M279" t="n">
        <v>0</v>
      </c>
      <c r="N279" t="n">
        <v>0</v>
      </c>
      <c r="O279" t="n">
        <v>0</v>
      </c>
      <c r="P279" t="n">
        <v>0</v>
      </c>
      <c r="Q279" t="n">
        <v>0</v>
      </c>
      <c r="R279" s="2" t="inlineStr"/>
    </row>
    <row r="280" ht="15" customHeight="1">
      <c r="A280" t="inlineStr">
        <is>
          <t>A 46865-2021</t>
        </is>
      </c>
      <c r="B280" s="1" t="n">
        <v>44446.39883101852</v>
      </c>
      <c r="C280" s="1" t="n">
        <v>45884</v>
      </c>
      <c r="D280" t="inlineStr">
        <is>
          <t>VÄSTERNORRLANDS LÄN</t>
        </is>
      </c>
      <c r="E280" t="inlineStr">
        <is>
          <t>ÅNGE</t>
        </is>
      </c>
      <c r="G280" t="n">
        <v>1.6</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45884</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37010-2021</t>
        </is>
      </c>
      <c r="B282" s="1" t="n">
        <v>44393</v>
      </c>
      <c r="C282" s="1" t="n">
        <v>45884</v>
      </c>
      <c r="D282" t="inlineStr">
        <is>
          <t>VÄSTERNORRLANDS LÄN</t>
        </is>
      </c>
      <c r="E282" t="inlineStr">
        <is>
          <t>ÅNGE</t>
        </is>
      </c>
      <c r="F282" t="inlineStr">
        <is>
          <t>Kyrkan</t>
        </is>
      </c>
      <c r="G282" t="n">
        <v>16.8</v>
      </c>
      <c r="H282" t="n">
        <v>0</v>
      </c>
      <c r="I282" t="n">
        <v>0</v>
      </c>
      <c r="J282" t="n">
        <v>0</v>
      </c>
      <c r="K282" t="n">
        <v>0</v>
      </c>
      <c r="L282" t="n">
        <v>0</v>
      </c>
      <c r="M282" t="n">
        <v>0</v>
      </c>
      <c r="N282" t="n">
        <v>0</v>
      </c>
      <c r="O282" t="n">
        <v>0</v>
      </c>
      <c r="P282" t="n">
        <v>0</v>
      </c>
      <c r="Q282" t="n">
        <v>0</v>
      </c>
      <c r="R282" s="2" t="inlineStr"/>
    </row>
    <row r="283" ht="15" customHeight="1">
      <c r="A283" t="inlineStr">
        <is>
          <t>A 42751-2020</t>
        </is>
      </c>
      <c r="B283" s="1" t="n">
        <v>44077</v>
      </c>
      <c r="C283" s="1" t="n">
        <v>45884</v>
      </c>
      <c r="D283" t="inlineStr">
        <is>
          <t>VÄSTERNORRLANDS LÄN</t>
        </is>
      </c>
      <c r="E283" t="inlineStr">
        <is>
          <t>ÅNGE</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71357-2021</t>
        </is>
      </c>
      <c r="B284" s="1" t="n">
        <v>44539.92232638889</v>
      </c>
      <c r="C284" s="1" t="n">
        <v>45884</v>
      </c>
      <c r="D284" t="inlineStr">
        <is>
          <t>VÄSTERNORRLANDS LÄN</t>
        </is>
      </c>
      <c r="E284" t="inlineStr">
        <is>
          <t>ÅNGE</t>
        </is>
      </c>
      <c r="G284" t="n">
        <v>5.4</v>
      </c>
      <c r="H284" t="n">
        <v>0</v>
      </c>
      <c r="I284" t="n">
        <v>0</v>
      </c>
      <c r="J284" t="n">
        <v>0</v>
      </c>
      <c r="K284" t="n">
        <v>0</v>
      </c>
      <c r="L284" t="n">
        <v>0</v>
      </c>
      <c r="M284" t="n">
        <v>0</v>
      </c>
      <c r="N284" t="n">
        <v>0</v>
      </c>
      <c r="O284" t="n">
        <v>0</v>
      </c>
      <c r="P284" t="n">
        <v>0</v>
      </c>
      <c r="Q284" t="n">
        <v>0</v>
      </c>
      <c r="R284" s="2" t="inlineStr"/>
    </row>
    <row r="285" ht="15" customHeight="1">
      <c r="A285" t="inlineStr">
        <is>
          <t>A 66560-2021</t>
        </is>
      </c>
      <c r="B285" s="1" t="n">
        <v>44519</v>
      </c>
      <c r="C285" s="1" t="n">
        <v>45884</v>
      </c>
      <c r="D285" t="inlineStr">
        <is>
          <t>VÄSTERNORRLANDS LÄN</t>
        </is>
      </c>
      <c r="E285" t="inlineStr">
        <is>
          <t>ÅNGE</t>
        </is>
      </c>
      <c r="G285" t="n">
        <v>2.6</v>
      </c>
      <c r="H285" t="n">
        <v>0</v>
      </c>
      <c r="I285" t="n">
        <v>0</v>
      </c>
      <c r="J285" t="n">
        <v>0</v>
      </c>
      <c r="K285" t="n">
        <v>0</v>
      </c>
      <c r="L285" t="n">
        <v>0</v>
      </c>
      <c r="M285" t="n">
        <v>0</v>
      </c>
      <c r="N285" t="n">
        <v>0</v>
      </c>
      <c r="O285" t="n">
        <v>0</v>
      </c>
      <c r="P285" t="n">
        <v>0</v>
      </c>
      <c r="Q285" t="n">
        <v>0</v>
      </c>
      <c r="R285" s="2" t="inlineStr"/>
    </row>
    <row r="286" ht="15" customHeight="1">
      <c r="A286" t="inlineStr">
        <is>
          <t>A 70893-2021</t>
        </is>
      </c>
      <c r="B286" s="1" t="n">
        <v>44538</v>
      </c>
      <c r="C286" s="1" t="n">
        <v>45884</v>
      </c>
      <c r="D286" t="inlineStr">
        <is>
          <t>VÄSTERNORRLANDS LÄN</t>
        </is>
      </c>
      <c r="E286" t="inlineStr">
        <is>
          <t>ÅNGE</t>
        </is>
      </c>
      <c r="G286" t="n">
        <v>6.2</v>
      </c>
      <c r="H286" t="n">
        <v>0</v>
      </c>
      <c r="I286" t="n">
        <v>0</v>
      </c>
      <c r="J286" t="n">
        <v>0</v>
      </c>
      <c r="K286" t="n">
        <v>0</v>
      </c>
      <c r="L286" t="n">
        <v>0</v>
      </c>
      <c r="M286" t="n">
        <v>0</v>
      </c>
      <c r="N286" t="n">
        <v>0</v>
      </c>
      <c r="O286" t="n">
        <v>0</v>
      </c>
      <c r="P286" t="n">
        <v>0</v>
      </c>
      <c r="Q286" t="n">
        <v>0</v>
      </c>
      <c r="R286" s="2" t="inlineStr"/>
    </row>
    <row r="287" ht="15" customHeight="1">
      <c r="A287" t="inlineStr">
        <is>
          <t>A 24355-2022</t>
        </is>
      </c>
      <c r="B287" s="1" t="n">
        <v>44726.3816087963</v>
      </c>
      <c r="C287" s="1" t="n">
        <v>45884</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45884</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45884</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35507-2022</t>
        </is>
      </c>
      <c r="B290" s="1" t="n">
        <v>44798</v>
      </c>
      <c r="C290" s="1" t="n">
        <v>45884</v>
      </c>
      <c r="D290" t="inlineStr">
        <is>
          <t>VÄSTERNORRLANDS LÄN</t>
        </is>
      </c>
      <c r="E290" t="inlineStr">
        <is>
          <t>ÅNGE</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10680-2022</t>
        </is>
      </c>
      <c r="B291" s="1" t="n">
        <v>44624</v>
      </c>
      <c r="C291" s="1" t="n">
        <v>45884</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10686-2022</t>
        </is>
      </c>
      <c r="B292" s="1" t="n">
        <v>44624.92680555556</v>
      </c>
      <c r="C292" s="1" t="n">
        <v>45884</v>
      </c>
      <c r="D292" t="inlineStr">
        <is>
          <t>VÄSTERNORRLANDS LÄN</t>
        </is>
      </c>
      <c r="E292" t="inlineStr">
        <is>
          <t>ÅNGE</t>
        </is>
      </c>
      <c r="G292" t="n">
        <v>1.2</v>
      </c>
      <c r="H292" t="n">
        <v>0</v>
      </c>
      <c r="I292" t="n">
        <v>0</v>
      </c>
      <c r="J292" t="n">
        <v>0</v>
      </c>
      <c r="K292" t="n">
        <v>0</v>
      </c>
      <c r="L292" t="n">
        <v>0</v>
      </c>
      <c r="M292" t="n">
        <v>0</v>
      </c>
      <c r="N292" t="n">
        <v>0</v>
      </c>
      <c r="O292" t="n">
        <v>0</v>
      </c>
      <c r="P292" t="n">
        <v>0</v>
      </c>
      <c r="Q292" t="n">
        <v>0</v>
      </c>
      <c r="R292" s="2" t="inlineStr"/>
    </row>
    <row r="293" ht="15" customHeight="1">
      <c r="A293" t="inlineStr">
        <is>
          <t>A 20369-2022</t>
        </is>
      </c>
      <c r="B293" s="1" t="n">
        <v>44699.41140046297</v>
      </c>
      <c r="C293" s="1" t="n">
        <v>45884</v>
      </c>
      <c r="D293" t="inlineStr">
        <is>
          <t>VÄSTERNORRLANDS LÄN</t>
        </is>
      </c>
      <c r="E293" t="inlineStr">
        <is>
          <t>ÅNGE</t>
        </is>
      </c>
      <c r="G293" t="n">
        <v>5.5</v>
      </c>
      <c r="H293" t="n">
        <v>0</v>
      </c>
      <c r="I293" t="n">
        <v>0</v>
      </c>
      <c r="J293" t="n">
        <v>0</v>
      </c>
      <c r="K293" t="n">
        <v>0</v>
      </c>
      <c r="L293" t="n">
        <v>0</v>
      </c>
      <c r="M293" t="n">
        <v>0</v>
      </c>
      <c r="N293" t="n">
        <v>0</v>
      </c>
      <c r="O293" t="n">
        <v>0</v>
      </c>
      <c r="P293" t="n">
        <v>0</v>
      </c>
      <c r="Q293" t="n">
        <v>0</v>
      </c>
      <c r="R293" s="2" t="inlineStr"/>
    </row>
    <row r="294" ht="15" customHeight="1">
      <c r="A294" t="inlineStr">
        <is>
          <t>A 62870-2021</t>
        </is>
      </c>
      <c r="B294" s="1" t="n">
        <v>44503</v>
      </c>
      <c r="C294" s="1" t="n">
        <v>45884</v>
      </c>
      <c r="D294" t="inlineStr">
        <is>
          <t>VÄSTERNORRLANDS LÄN</t>
        </is>
      </c>
      <c r="E294" t="inlineStr">
        <is>
          <t>ÅNGE</t>
        </is>
      </c>
      <c r="F294" t="inlineStr">
        <is>
          <t>Övriga statliga verk och myndigheter</t>
        </is>
      </c>
      <c r="G294" t="n">
        <v>3</v>
      </c>
      <c r="H294" t="n">
        <v>0</v>
      </c>
      <c r="I294" t="n">
        <v>0</v>
      </c>
      <c r="J294" t="n">
        <v>0</v>
      </c>
      <c r="K294" t="n">
        <v>0</v>
      </c>
      <c r="L294" t="n">
        <v>0</v>
      </c>
      <c r="M294" t="n">
        <v>0</v>
      </c>
      <c r="N294" t="n">
        <v>0</v>
      </c>
      <c r="O294" t="n">
        <v>0</v>
      </c>
      <c r="P294" t="n">
        <v>0</v>
      </c>
      <c r="Q294" t="n">
        <v>0</v>
      </c>
      <c r="R294" s="2" t="inlineStr"/>
    </row>
    <row r="295" ht="15" customHeight="1">
      <c r="A295" t="inlineStr">
        <is>
          <t>A 5113-2022</t>
        </is>
      </c>
      <c r="B295" s="1" t="n">
        <v>44593.93362268519</v>
      </c>
      <c r="C295" s="1" t="n">
        <v>45884</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31668-2021</t>
        </is>
      </c>
      <c r="B296" s="1" t="n">
        <v>44369</v>
      </c>
      <c r="C296" s="1" t="n">
        <v>45884</v>
      </c>
      <c r="D296" t="inlineStr">
        <is>
          <t>VÄSTERNORRLANDS LÄN</t>
        </is>
      </c>
      <c r="E296" t="inlineStr">
        <is>
          <t>ÅNGE</t>
        </is>
      </c>
      <c r="F296" t="inlineStr">
        <is>
          <t>Kyrkan</t>
        </is>
      </c>
      <c r="G296" t="n">
        <v>3.6</v>
      </c>
      <c r="H296" t="n">
        <v>0</v>
      </c>
      <c r="I296" t="n">
        <v>0</v>
      </c>
      <c r="J296" t="n">
        <v>0</v>
      </c>
      <c r="K296" t="n">
        <v>0</v>
      </c>
      <c r="L296" t="n">
        <v>0</v>
      </c>
      <c r="M296" t="n">
        <v>0</v>
      </c>
      <c r="N296" t="n">
        <v>0</v>
      </c>
      <c r="O296" t="n">
        <v>0</v>
      </c>
      <c r="P296" t="n">
        <v>0</v>
      </c>
      <c r="Q296" t="n">
        <v>0</v>
      </c>
      <c r="R296" s="2" t="inlineStr"/>
    </row>
    <row r="297" ht="15" customHeight="1">
      <c r="A297" t="inlineStr">
        <is>
          <t>A 32328-2021</t>
        </is>
      </c>
      <c r="B297" s="1" t="n">
        <v>44371.55924768518</v>
      </c>
      <c r="C297" s="1" t="n">
        <v>45884</v>
      </c>
      <c r="D297" t="inlineStr">
        <is>
          <t>VÄSTERNORRLANDS LÄN</t>
        </is>
      </c>
      <c r="E297" t="inlineStr">
        <is>
          <t>ÅNGE</t>
        </is>
      </c>
      <c r="G297" t="n">
        <v>0.9</v>
      </c>
      <c r="H297" t="n">
        <v>0</v>
      </c>
      <c r="I297" t="n">
        <v>0</v>
      </c>
      <c r="J297" t="n">
        <v>0</v>
      </c>
      <c r="K297" t="n">
        <v>0</v>
      </c>
      <c r="L297" t="n">
        <v>0</v>
      </c>
      <c r="M297" t="n">
        <v>0</v>
      </c>
      <c r="N297" t="n">
        <v>0</v>
      </c>
      <c r="O297" t="n">
        <v>0</v>
      </c>
      <c r="P297" t="n">
        <v>0</v>
      </c>
      <c r="Q297" t="n">
        <v>0</v>
      </c>
      <c r="R297" s="2" t="inlineStr"/>
    </row>
    <row r="298" ht="15" customHeight="1">
      <c r="A298" t="inlineStr">
        <is>
          <t>A 14084-2022</t>
        </is>
      </c>
      <c r="B298" s="1" t="n">
        <v>44651</v>
      </c>
      <c r="C298" s="1" t="n">
        <v>45884</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14091-2022</t>
        </is>
      </c>
      <c r="B299" s="1" t="n">
        <v>44651</v>
      </c>
      <c r="C299" s="1" t="n">
        <v>45884</v>
      </c>
      <c r="D299" t="inlineStr">
        <is>
          <t>VÄSTERNORRLANDS LÄN</t>
        </is>
      </c>
      <c r="E299" t="inlineStr">
        <is>
          <t>ÅNGE</t>
        </is>
      </c>
      <c r="G299" t="n">
        <v>2.4</v>
      </c>
      <c r="H299" t="n">
        <v>0</v>
      </c>
      <c r="I299" t="n">
        <v>0</v>
      </c>
      <c r="J299" t="n">
        <v>0</v>
      </c>
      <c r="K299" t="n">
        <v>0</v>
      </c>
      <c r="L299" t="n">
        <v>0</v>
      </c>
      <c r="M299" t="n">
        <v>0</v>
      </c>
      <c r="N299" t="n">
        <v>0</v>
      </c>
      <c r="O299" t="n">
        <v>0</v>
      </c>
      <c r="P299" t="n">
        <v>0</v>
      </c>
      <c r="Q299" t="n">
        <v>0</v>
      </c>
      <c r="R299" s="2" t="inlineStr"/>
    </row>
    <row r="300" ht="15" customHeight="1">
      <c r="A300" t="inlineStr">
        <is>
          <t>A 10687-2022</t>
        </is>
      </c>
      <c r="B300" s="1" t="n">
        <v>44624.92684027777</v>
      </c>
      <c r="C300" s="1" t="n">
        <v>45884</v>
      </c>
      <c r="D300" t="inlineStr">
        <is>
          <t>VÄSTERNORRLANDS LÄN</t>
        </is>
      </c>
      <c r="E300" t="inlineStr">
        <is>
          <t>ÅNGE</t>
        </is>
      </c>
      <c r="G300" t="n">
        <v>0.7</v>
      </c>
      <c r="H300" t="n">
        <v>0</v>
      </c>
      <c r="I300" t="n">
        <v>0</v>
      </c>
      <c r="J300" t="n">
        <v>0</v>
      </c>
      <c r="K300" t="n">
        <v>0</v>
      </c>
      <c r="L300" t="n">
        <v>0</v>
      </c>
      <c r="M300" t="n">
        <v>0</v>
      </c>
      <c r="N300" t="n">
        <v>0</v>
      </c>
      <c r="O300" t="n">
        <v>0</v>
      </c>
      <c r="P300" t="n">
        <v>0</v>
      </c>
      <c r="Q300" t="n">
        <v>0</v>
      </c>
      <c r="R300" s="2" t="inlineStr"/>
    </row>
    <row r="301" ht="15" customHeight="1">
      <c r="A301" t="inlineStr">
        <is>
          <t>A 50333-2021</t>
        </is>
      </c>
      <c r="B301" s="1" t="n">
        <v>44454</v>
      </c>
      <c r="C301" s="1" t="n">
        <v>45884</v>
      </c>
      <c r="D301" t="inlineStr">
        <is>
          <t>VÄSTERNORRLANDS LÄN</t>
        </is>
      </c>
      <c r="E301" t="inlineStr">
        <is>
          <t>ÅNGE</t>
        </is>
      </c>
      <c r="G301" t="n">
        <v>1</v>
      </c>
      <c r="H301" t="n">
        <v>0</v>
      </c>
      <c r="I301" t="n">
        <v>0</v>
      </c>
      <c r="J301" t="n">
        <v>0</v>
      </c>
      <c r="K301" t="n">
        <v>0</v>
      </c>
      <c r="L301" t="n">
        <v>0</v>
      </c>
      <c r="M301" t="n">
        <v>0</v>
      </c>
      <c r="N301" t="n">
        <v>0</v>
      </c>
      <c r="O301" t="n">
        <v>0</v>
      </c>
      <c r="P301" t="n">
        <v>0</v>
      </c>
      <c r="Q301" t="n">
        <v>0</v>
      </c>
      <c r="R301" s="2" t="inlineStr"/>
    </row>
    <row r="302" ht="15" customHeight="1">
      <c r="A302" t="inlineStr">
        <is>
          <t>A 20807-2021</t>
        </is>
      </c>
      <c r="B302" s="1" t="n">
        <v>44316.93965277778</v>
      </c>
      <c r="C302" s="1" t="n">
        <v>45884</v>
      </c>
      <c r="D302" t="inlineStr">
        <is>
          <t>VÄSTERNORRLANDS LÄN</t>
        </is>
      </c>
      <c r="E302" t="inlineStr">
        <is>
          <t>ÅNGE</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17594-2021</t>
        </is>
      </c>
      <c r="B303" s="1" t="n">
        <v>44299</v>
      </c>
      <c r="C303" s="1" t="n">
        <v>45884</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21189-2021</t>
        </is>
      </c>
      <c r="B304" s="1" t="n">
        <v>44320</v>
      </c>
      <c r="C304" s="1" t="n">
        <v>45884</v>
      </c>
      <c r="D304" t="inlineStr">
        <is>
          <t>VÄSTERNORRLANDS LÄN</t>
        </is>
      </c>
      <c r="E304" t="inlineStr">
        <is>
          <t>ÅNGE</t>
        </is>
      </c>
      <c r="G304" t="n">
        <v>2.4</v>
      </c>
      <c r="H304" t="n">
        <v>0</v>
      </c>
      <c r="I304" t="n">
        <v>0</v>
      </c>
      <c r="J304" t="n">
        <v>0</v>
      </c>
      <c r="K304" t="n">
        <v>0</v>
      </c>
      <c r="L304" t="n">
        <v>0</v>
      </c>
      <c r="M304" t="n">
        <v>0</v>
      </c>
      <c r="N304" t="n">
        <v>0</v>
      </c>
      <c r="O304" t="n">
        <v>0</v>
      </c>
      <c r="P304" t="n">
        <v>0</v>
      </c>
      <c r="Q304" t="n">
        <v>0</v>
      </c>
      <c r="R304" s="2" t="inlineStr"/>
    </row>
    <row r="305" ht="15" customHeight="1">
      <c r="A305" t="inlineStr">
        <is>
          <t>A 61761-2021</t>
        </is>
      </c>
      <c r="B305" s="1" t="n">
        <v>44501</v>
      </c>
      <c r="C305" s="1" t="n">
        <v>45884</v>
      </c>
      <c r="D305" t="inlineStr">
        <is>
          <t>VÄSTERNORRLANDS LÄN</t>
        </is>
      </c>
      <c r="E305" t="inlineStr">
        <is>
          <t>ÅNGE</t>
        </is>
      </c>
      <c r="G305" t="n">
        <v>0.3</v>
      </c>
      <c r="H305" t="n">
        <v>0</v>
      </c>
      <c r="I305" t="n">
        <v>0</v>
      </c>
      <c r="J305" t="n">
        <v>0</v>
      </c>
      <c r="K305" t="n">
        <v>0</v>
      </c>
      <c r="L305" t="n">
        <v>0</v>
      </c>
      <c r="M305" t="n">
        <v>0</v>
      </c>
      <c r="N305" t="n">
        <v>0</v>
      </c>
      <c r="O305" t="n">
        <v>0</v>
      </c>
      <c r="P305" t="n">
        <v>0</v>
      </c>
      <c r="Q305" t="n">
        <v>0</v>
      </c>
      <c r="R305" s="2" t="inlineStr"/>
    </row>
    <row r="306" ht="15" customHeight="1">
      <c r="A306" t="inlineStr">
        <is>
          <t>A 45808-2020</t>
        </is>
      </c>
      <c r="B306" s="1" t="n">
        <v>44090</v>
      </c>
      <c r="C306" s="1" t="n">
        <v>45884</v>
      </c>
      <c r="D306" t="inlineStr">
        <is>
          <t>VÄSTERNORRLANDS LÄN</t>
        </is>
      </c>
      <c r="E306" t="inlineStr">
        <is>
          <t>ÅNGE</t>
        </is>
      </c>
      <c r="G306" t="n">
        <v>0.3</v>
      </c>
      <c r="H306" t="n">
        <v>0</v>
      </c>
      <c r="I306" t="n">
        <v>0</v>
      </c>
      <c r="J306" t="n">
        <v>0</v>
      </c>
      <c r="K306" t="n">
        <v>0</v>
      </c>
      <c r="L306" t="n">
        <v>0</v>
      </c>
      <c r="M306" t="n">
        <v>0</v>
      </c>
      <c r="N306" t="n">
        <v>0</v>
      </c>
      <c r="O306" t="n">
        <v>0</v>
      </c>
      <c r="P306" t="n">
        <v>0</v>
      </c>
      <c r="Q306" t="n">
        <v>0</v>
      </c>
      <c r="R306" s="2" t="inlineStr"/>
    </row>
    <row r="307" ht="15" customHeight="1">
      <c r="A307" t="inlineStr">
        <is>
          <t>A 45812-2020</t>
        </is>
      </c>
      <c r="B307" s="1" t="n">
        <v>44090.88556712963</v>
      </c>
      <c r="C307" s="1" t="n">
        <v>45884</v>
      </c>
      <c r="D307" t="inlineStr">
        <is>
          <t>VÄSTERNORRLANDS LÄN</t>
        </is>
      </c>
      <c r="E307" t="inlineStr">
        <is>
          <t>ÅNGE</t>
        </is>
      </c>
      <c r="G307" t="n">
        <v>0.1</v>
      </c>
      <c r="H307" t="n">
        <v>0</v>
      </c>
      <c r="I307" t="n">
        <v>0</v>
      </c>
      <c r="J307" t="n">
        <v>0</v>
      </c>
      <c r="K307" t="n">
        <v>0</v>
      </c>
      <c r="L307" t="n">
        <v>0</v>
      </c>
      <c r="M307" t="n">
        <v>0</v>
      </c>
      <c r="N307" t="n">
        <v>0</v>
      </c>
      <c r="O307" t="n">
        <v>0</v>
      </c>
      <c r="P307" t="n">
        <v>0</v>
      </c>
      <c r="Q307" t="n">
        <v>0</v>
      </c>
      <c r="R307" s="2" t="inlineStr"/>
    </row>
    <row r="308" ht="15" customHeight="1">
      <c r="A308" t="inlineStr">
        <is>
          <t>A 37621-2021</t>
        </is>
      </c>
      <c r="B308" s="1" t="n">
        <v>44399</v>
      </c>
      <c r="C308" s="1" t="n">
        <v>45884</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30768-2022</t>
        </is>
      </c>
      <c r="B309" s="1" t="n">
        <v>44764.53608796297</v>
      </c>
      <c r="C309" s="1" t="n">
        <v>45884</v>
      </c>
      <c r="D309" t="inlineStr">
        <is>
          <t>VÄSTERNORRLANDS LÄN</t>
        </is>
      </c>
      <c r="E309" t="inlineStr">
        <is>
          <t>ÅNGE</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66233-2021</t>
        </is>
      </c>
      <c r="B310" s="1" t="n">
        <v>44518.39234953704</v>
      </c>
      <c r="C310" s="1" t="n">
        <v>45884</v>
      </c>
      <c r="D310" t="inlineStr">
        <is>
          <t>VÄSTERNORRLANDS LÄN</t>
        </is>
      </c>
      <c r="E310" t="inlineStr">
        <is>
          <t>ÅNGE</t>
        </is>
      </c>
      <c r="G310" t="n">
        <v>3.1</v>
      </c>
      <c r="H310" t="n">
        <v>0</v>
      </c>
      <c r="I310" t="n">
        <v>0</v>
      </c>
      <c r="J310" t="n">
        <v>0</v>
      </c>
      <c r="K310" t="n">
        <v>0</v>
      </c>
      <c r="L310" t="n">
        <v>0</v>
      </c>
      <c r="M310" t="n">
        <v>0</v>
      </c>
      <c r="N310" t="n">
        <v>0</v>
      </c>
      <c r="O310" t="n">
        <v>0</v>
      </c>
      <c r="P310" t="n">
        <v>0</v>
      </c>
      <c r="Q310" t="n">
        <v>0</v>
      </c>
      <c r="R310" s="2" t="inlineStr"/>
    </row>
    <row r="311" ht="15" customHeight="1">
      <c r="A311" t="inlineStr">
        <is>
          <t>A 51555-2022</t>
        </is>
      </c>
      <c r="B311" s="1" t="n">
        <v>44869.9495949074</v>
      </c>
      <c r="C311" s="1" t="n">
        <v>45884</v>
      </c>
      <c r="D311" t="inlineStr">
        <is>
          <t>VÄSTERNORRLANDS LÄN</t>
        </is>
      </c>
      <c r="E311" t="inlineStr">
        <is>
          <t>ÅNGE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42289-2020</t>
        </is>
      </c>
      <c r="B312" s="1" t="n">
        <v>44076</v>
      </c>
      <c r="C312" s="1" t="n">
        <v>45884</v>
      </c>
      <c r="D312" t="inlineStr">
        <is>
          <t>VÄSTERNORRLANDS LÄN</t>
        </is>
      </c>
      <c r="E312" t="inlineStr">
        <is>
          <t>ÅNGE</t>
        </is>
      </c>
      <c r="G312" t="n">
        <v>16.7</v>
      </c>
      <c r="H312" t="n">
        <v>0</v>
      </c>
      <c r="I312" t="n">
        <v>0</v>
      </c>
      <c r="J312" t="n">
        <v>0</v>
      </c>
      <c r="K312" t="n">
        <v>0</v>
      </c>
      <c r="L312" t="n">
        <v>0</v>
      </c>
      <c r="M312" t="n">
        <v>0</v>
      </c>
      <c r="N312" t="n">
        <v>0</v>
      </c>
      <c r="O312" t="n">
        <v>0</v>
      </c>
      <c r="P312" t="n">
        <v>0</v>
      </c>
      <c r="Q312" t="n">
        <v>0</v>
      </c>
      <c r="R312" s="2" t="inlineStr"/>
    </row>
    <row r="313" ht="15" customHeight="1">
      <c r="A313" t="inlineStr">
        <is>
          <t>A 51494-2022</t>
        </is>
      </c>
      <c r="B313" s="1" t="n">
        <v>44869</v>
      </c>
      <c r="C313" s="1" t="n">
        <v>45884</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65790-2021</t>
        </is>
      </c>
      <c r="B314" s="1" t="n">
        <v>44516.94785879629</v>
      </c>
      <c r="C314" s="1" t="n">
        <v>45884</v>
      </c>
      <c r="D314" t="inlineStr">
        <is>
          <t>VÄSTERNORRLANDS LÄN</t>
        </is>
      </c>
      <c r="E314" t="inlineStr">
        <is>
          <t>ÅNGE</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5366-2022</t>
        </is>
      </c>
      <c r="B315" s="1" t="n">
        <v>44594.92107638889</v>
      </c>
      <c r="C315" s="1" t="n">
        <v>45884</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45810-2020</t>
        </is>
      </c>
      <c r="B316" s="1" t="n">
        <v>44090.88427083333</v>
      </c>
      <c r="C316" s="1" t="n">
        <v>45884</v>
      </c>
      <c r="D316" t="inlineStr">
        <is>
          <t>VÄSTERNORRLANDS LÄN</t>
        </is>
      </c>
      <c r="E316" t="inlineStr">
        <is>
          <t>ÅNGE</t>
        </is>
      </c>
      <c r="G316" t="n">
        <v>0.2</v>
      </c>
      <c r="H316" t="n">
        <v>0</v>
      </c>
      <c r="I316" t="n">
        <v>0</v>
      </c>
      <c r="J316" t="n">
        <v>0</v>
      </c>
      <c r="K316" t="n">
        <v>0</v>
      </c>
      <c r="L316" t="n">
        <v>0</v>
      </c>
      <c r="M316" t="n">
        <v>0</v>
      </c>
      <c r="N316" t="n">
        <v>0</v>
      </c>
      <c r="O316" t="n">
        <v>0</v>
      </c>
      <c r="P316" t="n">
        <v>0</v>
      </c>
      <c r="Q316" t="n">
        <v>0</v>
      </c>
      <c r="R316" s="2" t="inlineStr"/>
    </row>
    <row r="317" ht="15" customHeight="1">
      <c r="A317" t="inlineStr">
        <is>
          <t>A 30286-2021</t>
        </is>
      </c>
      <c r="B317" s="1" t="n">
        <v>44363</v>
      </c>
      <c r="C317" s="1" t="n">
        <v>45884</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33408-2021</t>
        </is>
      </c>
      <c r="B318" s="1" t="n">
        <v>44377</v>
      </c>
      <c r="C318" s="1" t="n">
        <v>45884</v>
      </c>
      <c r="D318" t="inlineStr">
        <is>
          <t>VÄSTERNORRLANDS LÄN</t>
        </is>
      </c>
      <c r="E318" t="inlineStr">
        <is>
          <t>ÅNGE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60064-2020</t>
        </is>
      </c>
      <c r="B319" s="1" t="n">
        <v>44151</v>
      </c>
      <c r="C319" s="1" t="n">
        <v>45884</v>
      </c>
      <c r="D319" t="inlineStr">
        <is>
          <t>VÄSTERNORRLANDS LÄN</t>
        </is>
      </c>
      <c r="E319" t="inlineStr">
        <is>
          <t>ÅNGE</t>
        </is>
      </c>
      <c r="G319" t="n">
        <v>1.8</v>
      </c>
      <c r="H319" t="n">
        <v>0</v>
      </c>
      <c r="I319" t="n">
        <v>0</v>
      </c>
      <c r="J319" t="n">
        <v>0</v>
      </c>
      <c r="K319" t="n">
        <v>0</v>
      </c>
      <c r="L319" t="n">
        <v>0</v>
      </c>
      <c r="M319" t="n">
        <v>0</v>
      </c>
      <c r="N319" t="n">
        <v>0</v>
      </c>
      <c r="O319" t="n">
        <v>0</v>
      </c>
      <c r="P319" t="n">
        <v>0</v>
      </c>
      <c r="Q319" t="n">
        <v>0</v>
      </c>
      <c r="R319" s="2" t="inlineStr"/>
    </row>
    <row r="320" ht="15" customHeight="1">
      <c r="A320" t="inlineStr">
        <is>
          <t>A 48238-2020</t>
        </is>
      </c>
      <c r="B320" s="1" t="n">
        <v>44097</v>
      </c>
      <c r="C320" s="1" t="n">
        <v>45884</v>
      </c>
      <c r="D320" t="inlineStr">
        <is>
          <t>VÄSTERNORRLANDS LÄN</t>
        </is>
      </c>
      <c r="E320" t="inlineStr">
        <is>
          <t>ÅNGE</t>
        </is>
      </c>
      <c r="G320" t="n">
        <v>5.1</v>
      </c>
      <c r="H320" t="n">
        <v>0</v>
      </c>
      <c r="I320" t="n">
        <v>0</v>
      </c>
      <c r="J320" t="n">
        <v>0</v>
      </c>
      <c r="K320" t="n">
        <v>0</v>
      </c>
      <c r="L320" t="n">
        <v>0</v>
      </c>
      <c r="M320" t="n">
        <v>0</v>
      </c>
      <c r="N320" t="n">
        <v>0</v>
      </c>
      <c r="O320" t="n">
        <v>0</v>
      </c>
      <c r="P320" t="n">
        <v>0</v>
      </c>
      <c r="Q320" t="n">
        <v>0</v>
      </c>
      <c r="R320" s="2" t="inlineStr"/>
    </row>
    <row r="321" ht="15" customHeight="1">
      <c r="A321" t="inlineStr">
        <is>
          <t>A 55912-2021</t>
        </is>
      </c>
      <c r="B321" s="1" t="n">
        <v>44476.91979166667</v>
      </c>
      <c r="C321" s="1" t="n">
        <v>45884</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53962-2020</t>
        </is>
      </c>
      <c r="B322" s="1" t="n">
        <v>44125.46759259259</v>
      </c>
      <c r="C322" s="1" t="n">
        <v>45884</v>
      </c>
      <c r="D322" t="inlineStr">
        <is>
          <t>VÄSTERNORRLANDS LÄN</t>
        </is>
      </c>
      <c r="E322" t="inlineStr">
        <is>
          <t>ÅNGE</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51163-2021</t>
        </is>
      </c>
      <c r="B323" s="1" t="n">
        <v>44461.4665625</v>
      </c>
      <c r="C323" s="1" t="n">
        <v>45884</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46351-2022</t>
        </is>
      </c>
      <c r="B324" s="1" t="n">
        <v>44847</v>
      </c>
      <c r="C324" s="1" t="n">
        <v>45884</v>
      </c>
      <c r="D324" t="inlineStr">
        <is>
          <t>VÄSTERNORRLANDS LÄN</t>
        </is>
      </c>
      <c r="E324" t="inlineStr">
        <is>
          <t>ÅNGE</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35276-2022</t>
        </is>
      </c>
      <c r="B325" s="1" t="n">
        <v>44798</v>
      </c>
      <c r="C325" s="1" t="n">
        <v>45884</v>
      </c>
      <c r="D325" t="inlineStr">
        <is>
          <t>VÄSTERNORRLANDS LÄN</t>
        </is>
      </c>
      <c r="E325" t="inlineStr">
        <is>
          <t>ÅNGE</t>
        </is>
      </c>
      <c r="G325" t="n">
        <v>15.2</v>
      </c>
      <c r="H325" t="n">
        <v>0</v>
      </c>
      <c r="I325" t="n">
        <v>0</v>
      </c>
      <c r="J325" t="n">
        <v>0</v>
      </c>
      <c r="K325" t="n">
        <v>0</v>
      </c>
      <c r="L325" t="n">
        <v>0</v>
      </c>
      <c r="M325" t="n">
        <v>0</v>
      </c>
      <c r="N325" t="n">
        <v>0</v>
      </c>
      <c r="O325" t="n">
        <v>0</v>
      </c>
      <c r="P325" t="n">
        <v>0</v>
      </c>
      <c r="Q325" t="n">
        <v>0</v>
      </c>
      <c r="R325" s="2" t="inlineStr"/>
    </row>
    <row r="326" ht="15" customHeight="1">
      <c r="A326" t="inlineStr">
        <is>
          <t>A 13149-2021</t>
        </is>
      </c>
      <c r="B326" s="1" t="n">
        <v>44272</v>
      </c>
      <c r="C326" s="1" t="n">
        <v>45884</v>
      </c>
      <c r="D326" t="inlineStr">
        <is>
          <t>VÄSTERNORRLANDS LÄN</t>
        </is>
      </c>
      <c r="E326" t="inlineStr">
        <is>
          <t>ÅNGE</t>
        </is>
      </c>
      <c r="G326" t="n">
        <v>3.4</v>
      </c>
      <c r="H326" t="n">
        <v>0</v>
      </c>
      <c r="I326" t="n">
        <v>0</v>
      </c>
      <c r="J326" t="n">
        <v>0</v>
      </c>
      <c r="K326" t="n">
        <v>0</v>
      </c>
      <c r="L326" t="n">
        <v>0</v>
      </c>
      <c r="M326" t="n">
        <v>0</v>
      </c>
      <c r="N326" t="n">
        <v>0</v>
      </c>
      <c r="O326" t="n">
        <v>0</v>
      </c>
      <c r="P326" t="n">
        <v>0</v>
      </c>
      <c r="Q326" t="n">
        <v>0</v>
      </c>
      <c r="R326" s="2" t="inlineStr"/>
    </row>
    <row r="327" ht="15" customHeight="1">
      <c r="A327" t="inlineStr">
        <is>
          <t>A 11098-2022</t>
        </is>
      </c>
      <c r="B327" s="1" t="n">
        <v>44628</v>
      </c>
      <c r="C327" s="1" t="n">
        <v>45884</v>
      </c>
      <c r="D327" t="inlineStr">
        <is>
          <t>VÄSTERNORRLANDS LÄN</t>
        </is>
      </c>
      <c r="E327" t="inlineStr">
        <is>
          <t>ÅNGE</t>
        </is>
      </c>
      <c r="G327" t="n">
        <v>8.9</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45884</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5565-2022</t>
        </is>
      </c>
      <c r="B329" s="1" t="n">
        <v>44595</v>
      </c>
      <c r="C329" s="1" t="n">
        <v>45884</v>
      </c>
      <c r="D329" t="inlineStr">
        <is>
          <t>VÄSTERNORRLANDS LÄN</t>
        </is>
      </c>
      <c r="E329" t="inlineStr">
        <is>
          <t>ÅNGE</t>
        </is>
      </c>
      <c r="G329" t="n">
        <v>0.3</v>
      </c>
      <c r="H329" t="n">
        <v>0</v>
      </c>
      <c r="I329" t="n">
        <v>0</v>
      </c>
      <c r="J329" t="n">
        <v>0</v>
      </c>
      <c r="K329" t="n">
        <v>0</v>
      </c>
      <c r="L329" t="n">
        <v>0</v>
      </c>
      <c r="M329" t="n">
        <v>0</v>
      </c>
      <c r="N329" t="n">
        <v>0</v>
      </c>
      <c r="O329" t="n">
        <v>0</v>
      </c>
      <c r="P329" t="n">
        <v>0</v>
      </c>
      <c r="Q329" t="n">
        <v>0</v>
      </c>
      <c r="R329" s="2" t="inlineStr"/>
    </row>
    <row r="330" ht="15" customHeight="1">
      <c r="A330" t="inlineStr">
        <is>
          <t>A 23016-2021</t>
        </is>
      </c>
      <c r="B330" s="1" t="n">
        <v>44328.92197916667</v>
      </c>
      <c r="C330" s="1" t="n">
        <v>45884</v>
      </c>
      <c r="D330" t="inlineStr">
        <is>
          <t>VÄSTERNORRLANDS LÄN</t>
        </is>
      </c>
      <c r="E330" t="inlineStr">
        <is>
          <t>ÅNGE</t>
        </is>
      </c>
      <c r="G330" t="n">
        <v>1.5</v>
      </c>
      <c r="H330" t="n">
        <v>0</v>
      </c>
      <c r="I330" t="n">
        <v>0</v>
      </c>
      <c r="J330" t="n">
        <v>0</v>
      </c>
      <c r="K330" t="n">
        <v>0</v>
      </c>
      <c r="L330" t="n">
        <v>0</v>
      </c>
      <c r="M330" t="n">
        <v>0</v>
      </c>
      <c r="N330" t="n">
        <v>0</v>
      </c>
      <c r="O330" t="n">
        <v>0</v>
      </c>
      <c r="P330" t="n">
        <v>0</v>
      </c>
      <c r="Q330" t="n">
        <v>0</v>
      </c>
      <c r="R330" s="2" t="inlineStr"/>
    </row>
    <row r="331" ht="15" customHeight="1">
      <c r="A331" t="inlineStr">
        <is>
          <t>A 65280-2020</t>
        </is>
      </c>
      <c r="B331" s="1" t="n">
        <v>44172</v>
      </c>
      <c r="C331" s="1" t="n">
        <v>45884</v>
      </c>
      <c r="D331" t="inlineStr">
        <is>
          <t>VÄSTERNORRLANDS LÄN</t>
        </is>
      </c>
      <c r="E331" t="inlineStr">
        <is>
          <t>ÅNGE</t>
        </is>
      </c>
      <c r="F331" t="inlineStr">
        <is>
          <t>SCA</t>
        </is>
      </c>
      <c r="G331" t="n">
        <v>4</v>
      </c>
      <c r="H331" t="n">
        <v>0</v>
      </c>
      <c r="I331" t="n">
        <v>0</v>
      </c>
      <c r="J331" t="n">
        <v>0</v>
      </c>
      <c r="K331" t="n">
        <v>0</v>
      </c>
      <c r="L331" t="n">
        <v>0</v>
      </c>
      <c r="M331" t="n">
        <v>0</v>
      </c>
      <c r="N331" t="n">
        <v>0</v>
      </c>
      <c r="O331" t="n">
        <v>0</v>
      </c>
      <c r="P331" t="n">
        <v>0</v>
      </c>
      <c r="Q331" t="n">
        <v>0</v>
      </c>
      <c r="R331" s="2" t="inlineStr"/>
    </row>
    <row r="332" ht="15" customHeight="1">
      <c r="A332" t="inlineStr">
        <is>
          <t>A 70899-2021</t>
        </is>
      </c>
      <c r="B332" s="1" t="n">
        <v>44537</v>
      </c>
      <c r="C332" s="1" t="n">
        <v>45884</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74194-2021</t>
        </is>
      </c>
      <c r="B333" s="1" t="n">
        <v>44558.47333333334</v>
      </c>
      <c r="C333" s="1" t="n">
        <v>45884</v>
      </c>
      <c r="D333" t="inlineStr">
        <is>
          <t>VÄSTERNORRLANDS LÄN</t>
        </is>
      </c>
      <c r="E333" t="inlineStr">
        <is>
          <t>ÅNGE</t>
        </is>
      </c>
      <c r="G333" t="n">
        <v>1.9</v>
      </c>
      <c r="H333" t="n">
        <v>0</v>
      </c>
      <c r="I333" t="n">
        <v>0</v>
      </c>
      <c r="J333" t="n">
        <v>0</v>
      </c>
      <c r="K333" t="n">
        <v>0</v>
      </c>
      <c r="L333" t="n">
        <v>0</v>
      </c>
      <c r="M333" t="n">
        <v>0</v>
      </c>
      <c r="N333" t="n">
        <v>0</v>
      </c>
      <c r="O333" t="n">
        <v>0</v>
      </c>
      <c r="P333" t="n">
        <v>0</v>
      </c>
      <c r="Q333" t="n">
        <v>0</v>
      </c>
      <c r="R333" s="2" t="inlineStr"/>
    </row>
    <row r="334" ht="15" customHeight="1">
      <c r="A334" t="inlineStr">
        <is>
          <t>A 35283-2022</t>
        </is>
      </c>
      <c r="B334" s="1" t="n">
        <v>44798.39916666667</v>
      </c>
      <c r="C334" s="1" t="n">
        <v>45884</v>
      </c>
      <c r="D334" t="inlineStr">
        <is>
          <t>VÄSTERNORRLANDS LÄN</t>
        </is>
      </c>
      <c r="E334" t="inlineStr">
        <is>
          <t>ÅNGE</t>
        </is>
      </c>
      <c r="G334" t="n">
        <v>4.5</v>
      </c>
      <c r="H334" t="n">
        <v>0</v>
      </c>
      <c r="I334" t="n">
        <v>0</v>
      </c>
      <c r="J334" t="n">
        <v>0</v>
      </c>
      <c r="K334" t="n">
        <v>0</v>
      </c>
      <c r="L334" t="n">
        <v>0</v>
      </c>
      <c r="M334" t="n">
        <v>0</v>
      </c>
      <c r="N334" t="n">
        <v>0</v>
      </c>
      <c r="O334" t="n">
        <v>0</v>
      </c>
      <c r="P334" t="n">
        <v>0</v>
      </c>
      <c r="Q334" t="n">
        <v>0</v>
      </c>
      <c r="R334" s="2" t="inlineStr"/>
    </row>
    <row r="335" ht="15" customHeight="1">
      <c r="A335" t="inlineStr">
        <is>
          <t>A 29509-2021</t>
        </is>
      </c>
      <c r="B335" s="1" t="n">
        <v>44361</v>
      </c>
      <c r="C335" s="1" t="n">
        <v>45884</v>
      </c>
      <c r="D335" t="inlineStr">
        <is>
          <t>VÄSTERNORRLANDS LÄN</t>
        </is>
      </c>
      <c r="E335" t="inlineStr">
        <is>
          <t>ÅNGE</t>
        </is>
      </c>
      <c r="G335" t="n">
        <v>3.6</v>
      </c>
      <c r="H335" t="n">
        <v>0</v>
      </c>
      <c r="I335" t="n">
        <v>0</v>
      </c>
      <c r="J335" t="n">
        <v>0</v>
      </c>
      <c r="K335" t="n">
        <v>0</v>
      </c>
      <c r="L335" t="n">
        <v>0</v>
      </c>
      <c r="M335" t="n">
        <v>0</v>
      </c>
      <c r="N335" t="n">
        <v>0</v>
      </c>
      <c r="O335" t="n">
        <v>0</v>
      </c>
      <c r="P335" t="n">
        <v>0</v>
      </c>
      <c r="Q335" t="n">
        <v>0</v>
      </c>
      <c r="R335" s="2" t="inlineStr"/>
    </row>
    <row r="336" ht="15" customHeight="1">
      <c r="A336" t="inlineStr">
        <is>
          <t>A 48810-2020</t>
        </is>
      </c>
      <c r="B336" s="1" t="n">
        <v>44103</v>
      </c>
      <c r="C336" s="1" t="n">
        <v>45884</v>
      </c>
      <c r="D336" t="inlineStr">
        <is>
          <t>VÄSTERNORRLANDS LÄN</t>
        </is>
      </c>
      <c r="E336" t="inlineStr">
        <is>
          <t>ÅNGE</t>
        </is>
      </c>
      <c r="F336" t="inlineStr">
        <is>
          <t>SCA</t>
        </is>
      </c>
      <c r="G336" t="n">
        <v>1.8</v>
      </c>
      <c r="H336" t="n">
        <v>0</v>
      </c>
      <c r="I336" t="n">
        <v>0</v>
      </c>
      <c r="J336" t="n">
        <v>0</v>
      </c>
      <c r="K336" t="n">
        <v>0</v>
      </c>
      <c r="L336" t="n">
        <v>0</v>
      </c>
      <c r="M336" t="n">
        <v>0</v>
      </c>
      <c r="N336" t="n">
        <v>0</v>
      </c>
      <c r="O336" t="n">
        <v>0</v>
      </c>
      <c r="P336" t="n">
        <v>0</v>
      </c>
      <c r="Q336" t="n">
        <v>0</v>
      </c>
      <c r="R336" s="2" t="inlineStr"/>
      <c r="U336">
        <f>HYPERLINK("https://klasma.github.io/Logging_2260/knärot/A 48810-2020 karta knärot.png", "A 48810-2020")</f>
        <v/>
      </c>
      <c r="V336">
        <f>HYPERLINK("https://klasma.github.io/Logging_2260/klagomål/A 48810-2020 FSC-klagomål.docx", "A 48810-2020")</f>
        <v/>
      </c>
      <c r="W336">
        <f>HYPERLINK("https://klasma.github.io/Logging_2260/klagomålsmail/A 48810-2020 FSC-klagomål mail.docx", "A 48810-2020")</f>
        <v/>
      </c>
      <c r="X336">
        <f>HYPERLINK("https://klasma.github.io/Logging_2260/tillsyn/A 48810-2020 tillsynsbegäran.docx", "A 48810-2020")</f>
        <v/>
      </c>
      <c r="Y336">
        <f>HYPERLINK("https://klasma.github.io/Logging_2260/tillsynsmail/A 48810-2020 tillsynsbegäran mail.docx", "A 48810-2020")</f>
        <v/>
      </c>
    </row>
    <row r="337" ht="15" customHeight="1">
      <c r="A337" t="inlineStr">
        <is>
          <t>A 33274-2022</t>
        </is>
      </c>
      <c r="B337" s="1" t="n">
        <v>44788</v>
      </c>
      <c r="C337" s="1" t="n">
        <v>45884</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7633-2022</t>
        </is>
      </c>
      <c r="B338" s="1" t="n">
        <v>44607.71378472223</v>
      </c>
      <c r="C338" s="1" t="n">
        <v>45884</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13641-2022</t>
        </is>
      </c>
      <c r="B339" s="1" t="n">
        <v>44648</v>
      </c>
      <c r="C339" s="1" t="n">
        <v>45884</v>
      </c>
      <c r="D339" t="inlineStr">
        <is>
          <t>VÄSTERNORRLANDS LÄN</t>
        </is>
      </c>
      <c r="E339" t="inlineStr">
        <is>
          <t>ÅNGE</t>
        </is>
      </c>
      <c r="G339" t="n">
        <v>4.9</v>
      </c>
      <c r="H339" t="n">
        <v>0</v>
      </c>
      <c r="I339" t="n">
        <v>0</v>
      </c>
      <c r="J339" t="n">
        <v>0</v>
      </c>
      <c r="K339" t="n">
        <v>0</v>
      </c>
      <c r="L339" t="n">
        <v>0</v>
      </c>
      <c r="M339" t="n">
        <v>0</v>
      </c>
      <c r="N339" t="n">
        <v>0</v>
      </c>
      <c r="O339" t="n">
        <v>0</v>
      </c>
      <c r="P339" t="n">
        <v>0</v>
      </c>
      <c r="Q339" t="n">
        <v>0</v>
      </c>
      <c r="R339" s="2" t="inlineStr"/>
    </row>
    <row r="340" ht="15" customHeight="1">
      <c r="A340" t="inlineStr">
        <is>
          <t>A 47660-2022</t>
        </is>
      </c>
      <c r="B340" s="1" t="n">
        <v>44854.45766203704</v>
      </c>
      <c r="C340" s="1" t="n">
        <v>45884</v>
      </c>
      <c r="D340" t="inlineStr">
        <is>
          <t>VÄSTERNORRLANDS LÄN</t>
        </is>
      </c>
      <c r="E340" t="inlineStr">
        <is>
          <t>ÅNGE</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50710-2021</t>
        </is>
      </c>
      <c r="B341" s="1" t="n">
        <v>44460.366875</v>
      </c>
      <c r="C341" s="1" t="n">
        <v>45884</v>
      </c>
      <c r="D341" t="inlineStr">
        <is>
          <t>VÄSTERNORRLANDS LÄN</t>
        </is>
      </c>
      <c r="E341" t="inlineStr">
        <is>
          <t>ÅNGE</t>
        </is>
      </c>
      <c r="G341" t="n">
        <v>2.2</v>
      </c>
      <c r="H341" t="n">
        <v>0</v>
      </c>
      <c r="I341" t="n">
        <v>0</v>
      </c>
      <c r="J341" t="n">
        <v>0</v>
      </c>
      <c r="K341" t="n">
        <v>0</v>
      </c>
      <c r="L341" t="n">
        <v>0</v>
      </c>
      <c r="M341" t="n">
        <v>0</v>
      </c>
      <c r="N341" t="n">
        <v>0</v>
      </c>
      <c r="O341" t="n">
        <v>0</v>
      </c>
      <c r="P341" t="n">
        <v>0</v>
      </c>
      <c r="Q341" t="n">
        <v>0</v>
      </c>
      <c r="R341" s="2" t="inlineStr"/>
    </row>
    <row r="342" ht="15" customHeight="1">
      <c r="A342" t="inlineStr">
        <is>
          <t>A 47411-2020</t>
        </is>
      </c>
      <c r="B342" s="1" t="n">
        <v>44095</v>
      </c>
      <c r="C342" s="1" t="n">
        <v>45884</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40476-2022</t>
        </is>
      </c>
      <c r="B343" s="1" t="n">
        <v>44823.54685185185</v>
      </c>
      <c r="C343" s="1" t="n">
        <v>45884</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14813-2022</t>
        </is>
      </c>
      <c r="B344" s="1" t="n">
        <v>44656</v>
      </c>
      <c r="C344" s="1" t="n">
        <v>45884</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56907-2021</t>
        </is>
      </c>
      <c r="B345" s="1" t="n">
        <v>44481.93837962963</v>
      </c>
      <c r="C345" s="1" t="n">
        <v>45884</v>
      </c>
      <c r="D345" t="inlineStr">
        <is>
          <t>VÄSTERNORRLANDS LÄN</t>
        </is>
      </c>
      <c r="E345" t="inlineStr">
        <is>
          <t>ÅNGE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57418-2021</t>
        </is>
      </c>
      <c r="B346" s="1" t="n">
        <v>44483</v>
      </c>
      <c r="C346" s="1" t="n">
        <v>45884</v>
      </c>
      <c r="D346" t="inlineStr">
        <is>
          <t>VÄSTERNORRLANDS LÄN</t>
        </is>
      </c>
      <c r="E346" t="inlineStr">
        <is>
          <t>ÅNGE</t>
        </is>
      </c>
      <c r="G346" t="n">
        <v>4.4</v>
      </c>
      <c r="H346" t="n">
        <v>0</v>
      </c>
      <c r="I346" t="n">
        <v>0</v>
      </c>
      <c r="J346" t="n">
        <v>0</v>
      </c>
      <c r="K346" t="n">
        <v>0</v>
      </c>
      <c r="L346" t="n">
        <v>0</v>
      </c>
      <c r="M346" t="n">
        <v>0</v>
      </c>
      <c r="N346" t="n">
        <v>0</v>
      </c>
      <c r="O346" t="n">
        <v>0</v>
      </c>
      <c r="P346" t="n">
        <v>0</v>
      </c>
      <c r="Q346" t="n">
        <v>0</v>
      </c>
      <c r="R346" s="2" t="inlineStr"/>
    </row>
    <row r="347" ht="15" customHeight="1">
      <c r="A347" t="inlineStr">
        <is>
          <t>A 12800-2021</t>
        </is>
      </c>
      <c r="B347" s="1" t="n">
        <v>44270.92056712963</v>
      </c>
      <c r="C347" s="1" t="n">
        <v>45884</v>
      </c>
      <c r="D347" t="inlineStr">
        <is>
          <t>VÄSTERNORRLANDS LÄN</t>
        </is>
      </c>
      <c r="E347" t="inlineStr">
        <is>
          <t>ÅNGE</t>
        </is>
      </c>
      <c r="G347" t="n">
        <v>0.6</v>
      </c>
      <c r="H347" t="n">
        <v>0</v>
      </c>
      <c r="I347" t="n">
        <v>0</v>
      </c>
      <c r="J347" t="n">
        <v>0</v>
      </c>
      <c r="K347" t="n">
        <v>0</v>
      </c>
      <c r="L347" t="n">
        <v>0</v>
      </c>
      <c r="M347" t="n">
        <v>0</v>
      </c>
      <c r="N347" t="n">
        <v>0</v>
      </c>
      <c r="O347" t="n">
        <v>0</v>
      </c>
      <c r="P347" t="n">
        <v>0</v>
      </c>
      <c r="Q347" t="n">
        <v>0</v>
      </c>
      <c r="R347" s="2" t="inlineStr"/>
    </row>
    <row r="348" ht="15" customHeight="1">
      <c r="A348" t="inlineStr">
        <is>
          <t>A 57111-2020</t>
        </is>
      </c>
      <c r="B348" s="1" t="n">
        <v>44139</v>
      </c>
      <c r="C348" s="1" t="n">
        <v>45884</v>
      </c>
      <c r="D348" t="inlineStr">
        <is>
          <t>VÄSTERNORRLANDS LÄN</t>
        </is>
      </c>
      <c r="E348" t="inlineStr">
        <is>
          <t>ÅNGE</t>
        </is>
      </c>
      <c r="G348" t="n">
        <v>0.5</v>
      </c>
      <c r="H348" t="n">
        <v>0</v>
      </c>
      <c r="I348" t="n">
        <v>0</v>
      </c>
      <c r="J348" t="n">
        <v>0</v>
      </c>
      <c r="K348" t="n">
        <v>0</v>
      </c>
      <c r="L348" t="n">
        <v>0</v>
      </c>
      <c r="M348" t="n">
        <v>0</v>
      </c>
      <c r="N348" t="n">
        <v>0</v>
      </c>
      <c r="O348" t="n">
        <v>0</v>
      </c>
      <c r="P348" t="n">
        <v>0</v>
      </c>
      <c r="Q348" t="n">
        <v>0</v>
      </c>
      <c r="R348" s="2" t="inlineStr"/>
    </row>
    <row r="349" ht="15" customHeight="1">
      <c r="A349" t="inlineStr">
        <is>
          <t>A 66229-2021</t>
        </is>
      </c>
      <c r="B349" s="1" t="n">
        <v>44518.3875</v>
      </c>
      <c r="C349" s="1" t="n">
        <v>45884</v>
      </c>
      <c r="D349" t="inlineStr">
        <is>
          <t>VÄSTERNORRLANDS LÄN</t>
        </is>
      </c>
      <c r="E349" t="inlineStr">
        <is>
          <t>ÅNGE</t>
        </is>
      </c>
      <c r="G349" t="n">
        <v>3.5</v>
      </c>
      <c r="H349" t="n">
        <v>0</v>
      </c>
      <c r="I349" t="n">
        <v>0</v>
      </c>
      <c r="J349" t="n">
        <v>0</v>
      </c>
      <c r="K349" t="n">
        <v>0</v>
      </c>
      <c r="L349" t="n">
        <v>0</v>
      </c>
      <c r="M349" t="n">
        <v>0</v>
      </c>
      <c r="N349" t="n">
        <v>0</v>
      </c>
      <c r="O349" t="n">
        <v>0</v>
      </c>
      <c r="P349" t="n">
        <v>0</v>
      </c>
      <c r="Q349" t="n">
        <v>0</v>
      </c>
      <c r="R349" s="2" t="inlineStr"/>
    </row>
    <row r="350" ht="15" customHeight="1">
      <c r="A350" t="inlineStr">
        <is>
          <t>A 42299-2020</t>
        </is>
      </c>
      <c r="B350" s="1" t="n">
        <v>44076</v>
      </c>
      <c r="C350" s="1" t="n">
        <v>45884</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35058-2021</t>
        </is>
      </c>
      <c r="B351" s="1" t="n">
        <v>44383</v>
      </c>
      <c r="C351" s="1" t="n">
        <v>45884</v>
      </c>
      <c r="D351" t="inlineStr">
        <is>
          <t>VÄSTERNORRLANDS LÄN</t>
        </is>
      </c>
      <c r="E351" t="inlineStr">
        <is>
          <t>ÅNGE</t>
        </is>
      </c>
      <c r="F351" t="inlineStr">
        <is>
          <t>SCA</t>
        </is>
      </c>
      <c r="G351" t="n">
        <v>0.4</v>
      </c>
      <c r="H351" t="n">
        <v>0</v>
      </c>
      <c r="I351" t="n">
        <v>0</v>
      </c>
      <c r="J351" t="n">
        <v>0</v>
      </c>
      <c r="K351" t="n">
        <v>0</v>
      </c>
      <c r="L351" t="n">
        <v>0</v>
      </c>
      <c r="M351" t="n">
        <v>0</v>
      </c>
      <c r="N351" t="n">
        <v>0</v>
      </c>
      <c r="O351" t="n">
        <v>0</v>
      </c>
      <c r="P351" t="n">
        <v>0</v>
      </c>
      <c r="Q351" t="n">
        <v>0</v>
      </c>
      <c r="R351" s="2" t="inlineStr"/>
    </row>
    <row r="352" ht="15" customHeight="1">
      <c r="A352" t="inlineStr">
        <is>
          <t>A 35079-2021</t>
        </is>
      </c>
      <c r="B352" s="1" t="n">
        <v>44383</v>
      </c>
      <c r="C352" s="1" t="n">
        <v>45884</v>
      </c>
      <c r="D352" t="inlineStr">
        <is>
          <t>VÄSTERNORRLANDS LÄN</t>
        </is>
      </c>
      <c r="E352" t="inlineStr">
        <is>
          <t>ÅNGE</t>
        </is>
      </c>
      <c r="G352" t="n">
        <v>2.8</v>
      </c>
      <c r="H352" t="n">
        <v>0</v>
      </c>
      <c r="I352" t="n">
        <v>0</v>
      </c>
      <c r="J352" t="n">
        <v>0</v>
      </c>
      <c r="K352" t="n">
        <v>0</v>
      </c>
      <c r="L352" t="n">
        <v>0</v>
      </c>
      <c r="M352" t="n">
        <v>0</v>
      </c>
      <c r="N352" t="n">
        <v>0</v>
      </c>
      <c r="O352" t="n">
        <v>0</v>
      </c>
      <c r="P352" t="n">
        <v>0</v>
      </c>
      <c r="Q352" t="n">
        <v>0</v>
      </c>
      <c r="R352" s="2" t="inlineStr"/>
    </row>
    <row r="353" ht="15" customHeight="1">
      <c r="A353" t="inlineStr">
        <is>
          <t>A 53010-2022</t>
        </is>
      </c>
      <c r="B353" s="1" t="n">
        <v>44875</v>
      </c>
      <c r="C353" s="1" t="n">
        <v>45884</v>
      </c>
      <c r="D353" t="inlineStr">
        <is>
          <t>VÄSTERNORRLANDS LÄN</t>
        </is>
      </c>
      <c r="E353" t="inlineStr">
        <is>
          <t>ÅNGE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45884</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4939-2022</t>
        </is>
      </c>
      <c r="B355" s="1" t="n">
        <v>44593.50019675926</v>
      </c>
      <c r="C355" s="1" t="n">
        <v>45884</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1297-2022</t>
        </is>
      </c>
      <c r="B356" s="1" t="n">
        <v>44572.69135416667</v>
      </c>
      <c r="C356" s="1" t="n">
        <v>45884</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21642-2021</t>
        </is>
      </c>
      <c r="B357" s="1" t="n">
        <v>44321.94239583334</v>
      </c>
      <c r="C357" s="1" t="n">
        <v>45884</v>
      </c>
      <c r="D357" t="inlineStr">
        <is>
          <t>VÄSTERNORRLANDS LÄN</t>
        </is>
      </c>
      <c r="E357" t="inlineStr">
        <is>
          <t>ÅNGE</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42296-2020</t>
        </is>
      </c>
      <c r="B358" s="1" t="n">
        <v>44076.45442129629</v>
      </c>
      <c r="C358" s="1" t="n">
        <v>45884</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10342-2021</t>
        </is>
      </c>
      <c r="B359" s="1" t="n">
        <v>44257</v>
      </c>
      <c r="C359" s="1" t="n">
        <v>45884</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39561-2020</t>
        </is>
      </c>
      <c r="B360" s="1" t="n">
        <v>44064</v>
      </c>
      <c r="C360" s="1" t="n">
        <v>45884</v>
      </c>
      <c r="D360" t="inlineStr">
        <is>
          <t>VÄSTERNORRLANDS LÄN</t>
        </is>
      </c>
      <c r="E360" t="inlineStr">
        <is>
          <t>ÅNGE</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45884</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45884</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50265-2020</t>
        </is>
      </c>
      <c r="B363" s="1" t="n">
        <v>44109</v>
      </c>
      <c r="C363" s="1" t="n">
        <v>45884</v>
      </c>
      <c r="D363" t="inlineStr">
        <is>
          <t>VÄSTERNORRLANDS LÄN</t>
        </is>
      </c>
      <c r="E363" t="inlineStr">
        <is>
          <t>ÅNGE</t>
        </is>
      </c>
      <c r="G363" t="n">
        <v>1.5</v>
      </c>
      <c r="H363" t="n">
        <v>0</v>
      </c>
      <c r="I363" t="n">
        <v>0</v>
      </c>
      <c r="J363" t="n">
        <v>0</v>
      </c>
      <c r="K363" t="n">
        <v>0</v>
      </c>
      <c r="L363" t="n">
        <v>0</v>
      </c>
      <c r="M363" t="n">
        <v>0</v>
      </c>
      <c r="N363" t="n">
        <v>0</v>
      </c>
      <c r="O363" t="n">
        <v>0</v>
      </c>
      <c r="P363" t="n">
        <v>0</v>
      </c>
      <c r="Q363" t="n">
        <v>0</v>
      </c>
      <c r="R363" s="2" t="inlineStr"/>
    </row>
    <row r="364" ht="15" customHeight="1">
      <c r="A364" t="inlineStr">
        <is>
          <t>A 50125-2021</t>
        </is>
      </c>
      <c r="B364" s="1" t="n">
        <v>44456</v>
      </c>
      <c r="C364" s="1" t="n">
        <v>45884</v>
      </c>
      <c r="D364" t="inlineStr">
        <is>
          <t>VÄSTERNORRLANDS LÄN</t>
        </is>
      </c>
      <c r="E364" t="inlineStr">
        <is>
          <t>ÅNGE</t>
        </is>
      </c>
      <c r="G364" t="n">
        <v>1.2</v>
      </c>
      <c r="H364" t="n">
        <v>0</v>
      </c>
      <c r="I364" t="n">
        <v>0</v>
      </c>
      <c r="J364" t="n">
        <v>0</v>
      </c>
      <c r="K364" t="n">
        <v>0</v>
      </c>
      <c r="L364" t="n">
        <v>0</v>
      </c>
      <c r="M364" t="n">
        <v>0</v>
      </c>
      <c r="N364" t="n">
        <v>0</v>
      </c>
      <c r="O364" t="n">
        <v>0</v>
      </c>
      <c r="P364" t="n">
        <v>0</v>
      </c>
      <c r="Q364" t="n">
        <v>0</v>
      </c>
      <c r="R364" s="2" t="inlineStr"/>
    </row>
    <row r="365" ht="15" customHeight="1">
      <c r="A365" t="inlineStr">
        <is>
          <t>A 55905-2021</t>
        </is>
      </c>
      <c r="B365" s="1" t="n">
        <v>44476.91895833334</v>
      </c>
      <c r="C365" s="1" t="n">
        <v>45884</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17580-2022</t>
        </is>
      </c>
      <c r="B366" s="1" t="n">
        <v>44679</v>
      </c>
      <c r="C366" s="1" t="n">
        <v>45884</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6898-2022</t>
        </is>
      </c>
      <c r="B367" s="1" t="n">
        <v>44602.92141203704</v>
      </c>
      <c r="C367" s="1" t="n">
        <v>45884</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69736-2021</t>
        </is>
      </c>
      <c r="B368" s="1" t="n">
        <v>44532</v>
      </c>
      <c r="C368" s="1" t="n">
        <v>45884</v>
      </c>
      <c r="D368" t="inlineStr">
        <is>
          <t>VÄSTERNORRLANDS LÄN</t>
        </is>
      </c>
      <c r="E368" t="inlineStr">
        <is>
          <t>ÅNGE</t>
        </is>
      </c>
      <c r="G368" t="n">
        <v>5</v>
      </c>
      <c r="H368" t="n">
        <v>0</v>
      </c>
      <c r="I368" t="n">
        <v>0</v>
      </c>
      <c r="J368" t="n">
        <v>0</v>
      </c>
      <c r="K368" t="n">
        <v>0</v>
      </c>
      <c r="L368" t="n">
        <v>0</v>
      </c>
      <c r="M368" t="n">
        <v>0</v>
      </c>
      <c r="N368" t="n">
        <v>0</v>
      </c>
      <c r="O368" t="n">
        <v>0</v>
      </c>
      <c r="P368" t="n">
        <v>0</v>
      </c>
      <c r="Q368" t="n">
        <v>0</v>
      </c>
      <c r="R368" s="2" t="inlineStr"/>
    </row>
    <row r="369" ht="15" customHeight="1">
      <c r="A369" t="inlineStr">
        <is>
          <t>A 51755-2020</t>
        </is>
      </c>
      <c r="B369" s="1" t="n">
        <v>44114</v>
      </c>
      <c r="C369" s="1" t="n">
        <v>45884</v>
      </c>
      <c r="D369" t="inlineStr">
        <is>
          <t>VÄSTERNORRLANDS LÄN</t>
        </is>
      </c>
      <c r="E369" t="inlineStr">
        <is>
          <t>ÅNGE</t>
        </is>
      </c>
      <c r="G369" t="n">
        <v>6.4</v>
      </c>
      <c r="H369" t="n">
        <v>0</v>
      </c>
      <c r="I369" t="n">
        <v>0</v>
      </c>
      <c r="J369" t="n">
        <v>0</v>
      </c>
      <c r="K369" t="n">
        <v>0</v>
      </c>
      <c r="L369" t="n">
        <v>0</v>
      </c>
      <c r="M369" t="n">
        <v>0</v>
      </c>
      <c r="N369" t="n">
        <v>0</v>
      </c>
      <c r="O369" t="n">
        <v>0</v>
      </c>
      <c r="P369" t="n">
        <v>0</v>
      </c>
      <c r="Q369" t="n">
        <v>0</v>
      </c>
      <c r="R369" s="2" t="inlineStr"/>
    </row>
    <row r="370" ht="15" customHeight="1">
      <c r="A370" t="inlineStr">
        <is>
          <t>A 2327-2021</t>
        </is>
      </c>
      <c r="B370" s="1" t="n">
        <v>44214</v>
      </c>
      <c r="C370" s="1" t="n">
        <v>45884</v>
      </c>
      <c r="D370" t="inlineStr">
        <is>
          <t>VÄSTERNORRLANDS LÄN</t>
        </is>
      </c>
      <c r="E370" t="inlineStr">
        <is>
          <t>ÅNGE</t>
        </is>
      </c>
      <c r="G370" t="n">
        <v>6.7</v>
      </c>
      <c r="H370" t="n">
        <v>0</v>
      </c>
      <c r="I370" t="n">
        <v>0</v>
      </c>
      <c r="J370" t="n">
        <v>0</v>
      </c>
      <c r="K370" t="n">
        <v>0</v>
      </c>
      <c r="L370" t="n">
        <v>0</v>
      </c>
      <c r="M370" t="n">
        <v>0</v>
      </c>
      <c r="N370" t="n">
        <v>0</v>
      </c>
      <c r="O370" t="n">
        <v>0</v>
      </c>
      <c r="P370" t="n">
        <v>0</v>
      </c>
      <c r="Q370" t="n">
        <v>0</v>
      </c>
      <c r="R370" s="2" t="inlineStr"/>
    </row>
    <row r="371" ht="15" customHeight="1">
      <c r="A371" t="inlineStr">
        <is>
          <t>A 38369-2021</t>
        </is>
      </c>
      <c r="B371" s="1" t="n">
        <v>44406</v>
      </c>
      <c r="C371" s="1" t="n">
        <v>45884</v>
      </c>
      <c r="D371" t="inlineStr">
        <is>
          <t>VÄSTERNORRLANDS LÄN</t>
        </is>
      </c>
      <c r="E371" t="inlineStr">
        <is>
          <t>ÅNGE</t>
        </is>
      </c>
      <c r="G371" t="n">
        <v>5.6</v>
      </c>
      <c r="H371" t="n">
        <v>0</v>
      </c>
      <c r="I371" t="n">
        <v>0</v>
      </c>
      <c r="J371" t="n">
        <v>0</v>
      </c>
      <c r="K371" t="n">
        <v>0</v>
      </c>
      <c r="L371" t="n">
        <v>0</v>
      </c>
      <c r="M371" t="n">
        <v>0</v>
      </c>
      <c r="N371" t="n">
        <v>0</v>
      </c>
      <c r="O371" t="n">
        <v>0</v>
      </c>
      <c r="P371" t="n">
        <v>0</v>
      </c>
      <c r="Q371" t="n">
        <v>0</v>
      </c>
      <c r="R371" s="2" t="inlineStr"/>
    </row>
    <row r="372" ht="15" customHeight="1">
      <c r="A372" t="inlineStr">
        <is>
          <t>A 14587-2021</t>
        </is>
      </c>
      <c r="B372" s="1" t="n">
        <v>44279.91825231481</v>
      </c>
      <c r="C372" s="1" t="n">
        <v>45884</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5279-2022</t>
        </is>
      </c>
      <c r="B373" s="1" t="n">
        <v>44594</v>
      </c>
      <c r="C373" s="1" t="n">
        <v>45884</v>
      </c>
      <c r="D373" t="inlineStr">
        <is>
          <t>VÄSTERNORRLANDS LÄN</t>
        </is>
      </c>
      <c r="E373" t="inlineStr">
        <is>
          <t>ÅNGE</t>
        </is>
      </c>
      <c r="G373" t="n">
        <v>0.9</v>
      </c>
      <c r="H373" t="n">
        <v>0</v>
      </c>
      <c r="I373" t="n">
        <v>0</v>
      </c>
      <c r="J373" t="n">
        <v>0</v>
      </c>
      <c r="K373" t="n">
        <v>0</v>
      </c>
      <c r="L373" t="n">
        <v>0</v>
      </c>
      <c r="M373" t="n">
        <v>0</v>
      </c>
      <c r="N373" t="n">
        <v>0</v>
      </c>
      <c r="O373" t="n">
        <v>0</v>
      </c>
      <c r="P373" t="n">
        <v>0</v>
      </c>
      <c r="Q373" t="n">
        <v>0</v>
      </c>
      <c r="R373" s="2" t="inlineStr"/>
    </row>
    <row r="374" ht="15" customHeight="1">
      <c r="A374" t="inlineStr">
        <is>
          <t>A 50268-2020</t>
        </is>
      </c>
      <c r="B374" s="1" t="n">
        <v>44109</v>
      </c>
      <c r="C374" s="1" t="n">
        <v>45884</v>
      </c>
      <c r="D374" t="inlineStr">
        <is>
          <t>VÄSTERNORRLANDS LÄN</t>
        </is>
      </c>
      <c r="E374" t="inlineStr">
        <is>
          <t>ÅNGE</t>
        </is>
      </c>
      <c r="G374" t="n">
        <v>1.3</v>
      </c>
      <c r="H374" t="n">
        <v>0</v>
      </c>
      <c r="I374" t="n">
        <v>0</v>
      </c>
      <c r="J374" t="n">
        <v>0</v>
      </c>
      <c r="K374" t="n">
        <v>0</v>
      </c>
      <c r="L374" t="n">
        <v>0</v>
      </c>
      <c r="M374" t="n">
        <v>0</v>
      </c>
      <c r="N374" t="n">
        <v>0</v>
      </c>
      <c r="O374" t="n">
        <v>0</v>
      </c>
      <c r="P374" t="n">
        <v>0</v>
      </c>
      <c r="Q374" t="n">
        <v>0</v>
      </c>
      <c r="R374" s="2" t="inlineStr"/>
    </row>
    <row r="375" ht="15" customHeight="1">
      <c r="A375" t="inlineStr">
        <is>
          <t>A 57162-2021</t>
        </is>
      </c>
      <c r="B375" s="1" t="n">
        <v>44482</v>
      </c>
      <c r="C375" s="1" t="n">
        <v>45884</v>
      </c>
      <c r="D375" t="inlineStr">
        <is>
          <t>VÄSTERNORRLANDS LÄN</t>
        </is>
      </c>
      <c r="E375" t="inlineStr">
        <is>
          <t>ÅNGE</t>
        </is>
      </c>
      <c r="G375" t="n">
        <v>2.5</v>
      </c>
      <c r="H375" t="n">
        <v>0</v>
      </c>
      <c r="I375" t="n">
        <v>0</v>
      </c>
      <c r="J375" t="n">
        <v>0</v>
      </c>
      <c r="K375" t="n">
        <v>0</v>
      </c>
      <c r="L375" t="n">
        <v>0</v>
      </c>
      <c r="M375" t="n">
        <v>0</v>
      </c>
      <c r="N375" t="n">
        <v>0</v>
      </c>
      <c r="O375" t="n">
        <v>0</v>
      </c>
      <c r="P375" t="n">
        <v>0</v>
      </c>
      <c r="Q375" t="n">
        <v>0</v>
      </c>
      <c r="R375" s="2" t="inlineStr"/>
    </row>
    <row r="376" ht="15" customHeight="1">
      <c r="A376" t="inlineStr">
        <is>
          <t>A 18024-2022</t>
        </is>
      </c>
      <c r="B376" s="1" t="n">
        <v>44683.94383101852</v>
      </c>
      <c r="C376" s="1" t="n">
        <v>45884</v>
      </c>
      <c r="D376" t="inlineStr">
        <is>
          <t>VÄSTERNORRLANDS LÄN</t>
        </is>
      </c>
      <c r="E376" t="inlineStr">
        <is>
          <t>ÅNGE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46053-2021</t>
        </is>
      </c>
      <c r="B377" s="1" t="n">
        <v>44441</v>
      </c>
      <c r="C377" s="1" t="n">
        <v>45884</v>
      </c>
      <c r="D377" t="inlineStr">
        <is>
          <t>VÄSTERNORRLANDS LÄN</t>
        </is>
      </c>
      <c r="E377" t="inlineStr">
        <is>
          <t>ÅNGE</t>
        </is>
      </c>
      <c r="F377" t="inlineStr">
        <is>
          <t>SCA</t>
        </is>
      </c>
      <c r="G377" t="n">
        <v>0.2</v>
      </c>
      <c r="H377" t="n">
        <v>0</v>
      </c>
      <c r="I377" t="n">
        <v>0</v>
      </c>
      <c r="J377" t="n">
        <v>0</v>
      </c>
      <c r="K377" t="n">
        <v>0</v>
      </c>
      <c r="L377" t="n">
        <v>0</v>
      </c>
      <c r="M377" t="n">
        <v>0</v>
      </c>
      <c r="N377" t="n">
        <v>0</v>
      </c>
      <c r="O377" t="n">
        <v>0</v>
      </c>
      <c r="P377" t="n">
        <v>0</v>
      </c>
      <c r="Q377" t="n">
        <v>0</v>
      </c>
      <c r="R377" s="2" t="inlineStr"/>
    </row>
    <row r="378" ht="15" customHeight="1">
      <c r="A378" t="inlineStr">
        <is>
          <t>A 52232-2020</t>
        </is>
      </c>
      <c r="B378" s="1" t="n">
        <v>44111</v>
      </c>
      <c r="C378" s="1" t="n">
        <v>45884</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49656-2020</t>
        </is>
      </c>
      <c r="B379" s="1" t="n">
        <v>44106</v>
      </c>
      <c r="C379" s="1" t="n">
        <v>45884</v>
      </c>
      <c r="D379" t="inlineStr">
        <is>
          <t>VÄSTERNORRLANDS LÄN</t>
        </is>
      </c>
      <c r="E379" t="inlineStr">
        <is>
          <t>ÅNGE</t>
        </is>
      </c>
      <c r="G379" t="n">
        <v>2.6</v>
      </c>
      <c r="H379" t="n">
        <v>0</v>
      </c>
      <c r="I379" t="n">
        <v>0</v>
      </c>
      <c r="J379" t="n">
        <v>0</v>
      </c>
      <c r="K379" t="n">
        <v>0</v>
      </c>
      <c r="L379" t="n">
        <v>0</v>
      </c>
      <c r="M379" t="n">
        <v>0</v>
      </c>
      <c r="N379" t="n">
        <v>0</v>
      </c>
      <c r="O379" t="n">
        <v>0</v>
      </c>
      <c r="P379" t="n">
        <v>0</v>
      </c>
      <c r="Q379" t="n">
        <v>0</v>
      </c>
      <c r="R379" s="2" t="inlineStr"/>
    </row>
    <row r="380" ht="15" customHeight="1">
      <c r="A380" t="inlineStr">
        <is>
          <t>A 45145-2021</t>
        </is>
      </c>
      <c r="B380" s="1" t="n">
        <v>44439</v>
      </c>
      <c r="C380" s="1" t="n">
        <v>45884</v>
      </c>
      <c r="D380" t="inlineStr">
        <is>
          <t>VÄSTERNORRLANDS LÄN</t>
        </is>
      </c>
      <c r="E380" t="inlineStr">
        <is>
          <t>ÅNGE</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71302-2021</t>
        </is>
      </c>
      <c r="B381" s="1" t="n">
        <v>44539.63871527778</v>
      </c>
      <c r="C381" s="1" t="n">
        <v>45884</v>
      </c>
      <c r="D381" t="inlineStr">
        <is>
          <t>VÄSTERNORRLANDS LÄN</t>
        </is>
      </c>
      <c r="E381" t="inlineStr">
        <is>
          <t>ÅNGE</t>
        </is>
      </c>
      <c r="G381" t="n">
        <v>0.5</v>
      </c>
      <c r="H381" t="n">
        <v>0</v>
      </c>
      <c r="I381" t="n">
        <v>0</v>
      </c>
      <c r="J381" t="n">
        <v>0</v>
      </c>
      <c r="K381" t="n">
        <v>0</v>
      </c>
      <c r="L381" t="n">
        <v>0</v>
      </c>
      <c r="M381" t="n">
        <v>0</v>
      </c>
      <c r="N381" t="n">
        <v>0</v>
      </c>
      <c r="O381" t="n">
        <v>0</v>
      </c>
      <c r="P381" t="n">
        <v>0</v>
      </c>
      <c r="Q381" t="n">
        <v>0</v>
      </c>
      <c r="R381" s="2" t="inlineStr"/>
    </row>
    <row r="382" ht="15" customHeight="1">
      <c r="A382" t="inlineStr">
        <is>
          <t>A 55907-2022</t>
        </is>
      </c>
      <c r="B382" s="1" t="n">
        <v>44888.95457175926</v>
      </c>
      <c r="C382" s="1" t="n">
        <v>45884</v>
      </c>
      <c r="D382" t="inlineStr">
        <is>
          <t>VÄSTERNORRLANDS LÄN</t>
        </is>
      </c>
      <c r="E382" t="inlineStr">
        <is>
          <t>ÅNGE</t>
        </is>
      </c>
      <c r="F382" t="inlineStr">
        <is>
          <t>SCA</t>
        </is>
      </c>
      <c r="G382" t="n">
        <v>8.4</v>
      </c>
      <c r="H382" t="n">
        <v>0</v>
      </c>
      <c r="I382" t="n">
        <v>0</v>
      </c>
      <c r="J382" t="n">
        <v>0</v>
      </c>
      <c r="K382" t="n">
        <v>0</v>
      </c>
      <c r="L382" t="n">
        <v>0</v>
      </c>
      <c r="M382" t="n">
        <v>0</v>
      </c>
      <c r="N382" t="n">
        <v>0</v>
      </c>
      <c r="O382" t="n">
        <v>0</v>
      </c>
      <c r="P382" t="n">
        <v>0</v>
      </c>
      <c r="Q382" t="n">
        <v>0</v>
      </c>
      <c r="R382" s="2" t="inlineStr"/>
    </row>
    <row r="383" ht="15" customHeight="1">
      <c r="A383" t="inlineStr">
        <is>
          <t>A 31647-2022</t>
        </is>
      </c>
      <c r="B383" s="1" t="n">
        <v>44775.94328703704</v>
      </c>
      <c r="C383" s="1" t="n">
        <v>45884</v>
      </c>
      <c r="D383" t="inlineStr">
        <is>
          <t>VÄSTERNORRLANDS LÄN</t>
        </is>
      </c>
      <c r="E383" t="inlineStr">
        <is>
          <t>ÅNGE</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37605-2021</t>
        </is>
      </c>
      <c r="B384" s="1" t="n">
        <v>44399</v>
      </c>
      <c r="C384" s="1" t="n">
        <v>45884</v>
      </c>
      <c r="D384" t="inlineStr">
        <is>
          <t>VÄSTERNORRLANDS LÄN</t>
        </is>
      </c>
      <c r="E384" t="inlineStr">
        <is>
          <t>ÅNGE</t>
        </is>
      </c>
      <c r="G384" t="n">
        <v>0.5</v>
      </c>
      <c r="H384" t="n">
        <v>0</v>
      </c>
      <c r="I384" t="n">
        <v>0</v>
      </c>
      <c r="J384" t="n">
        <v>0</v>
      </c>
      <c r="K384" t="n">
        <v>0</v>
      </c>
      <c r="L384" t="n">
        <v>0</v>
      </c>
      <c r="M384" t="n">
        <v>0</v>
      </c>
      <c r="N384" t="n">
        <v>0</v>
      </c>
      <c r="O384" t="n">
        <v>0</v>
      </c>
      <c r="P384" t="n">
        <v>0</v>
      </c>
      <c r="Q384" t="n">
        <v>0</v>
      </c>
      <c r="R384" s="2" t="inlineStr"/>
    </row>
    <row r="385" ht="15" customHeight="1">
      <c r="A385" t="inlineStr">
        <is>
          <t>A 37620-2021</t>
        </is>
      </c>
      <c r="B385" s="1" t="n">
        <v>44399</v>
      </c>
      <c r="C385" s="1" t="n">
        <v>45884</v>
      </c>
      <c r="D385" t="inlineStr">
        <is>
          <t>VÄSTERNORRLANDS LÄN</t>
        </is>
      </c>
      <c r="E385" t="inlineStr">
        <is>
          <t>ÅNGE</t>
        </is>
      </c>
      <c r="G385" t="n">
        <v>4.3</v>
      </c>
      <c r="H385" t="n">
        <v>0</v>
      </c>
      <c r="I385" t="n">
        <v>0</v>
      </c>
      <c r="J385" t="n">
        <v>0</v>
      </c>
      <c r="K385" t="n">
        <v>0</v>
      </c>
      <c r="L385" t="n">
        <v>0</v>
      </c>
      <c r="M385" t="n">
        <v>0</v>
      </c>
      <c r="N385" t="n">
        <v>0</v>
      </c>
      <c r="O385" t="n">
        <v>0</v>
      </c>
      <c r="P385" t="n">
        <v>0</v>
      </c>
      <c r="Q385" t="n">
        <v>0</v>
      </c>
      <c r="R385" s="2" t="inlineStr"/>
    </row>
    <row r="386" ht="15" customHeight="1">
      <c r="A386" t="inlineStr">
        <is>
          <t>A 29270-2024</t>
        </is>
      </c>
      <c r="B386" s="1" t="n">
        <v>45482.94979166667</v>
      </c>
      <c r="C386" s="1" t="n">
        <v>45884</v>
      </c>
      <c r="D386" t="inlineStr">
        <is>
          <t>VÄSTERNORRLANDS LÄN</t>
        </is>
      </c>
      <c r="E386" t="inlineStr">
        <is>
          <t>ÅNGE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28506-2024</t>
        </is>
      </c>
      <c r="B387" s="1" t="n">
        <v>45477.9475</v>
      </c>
      <c r="C387" s="1" t="n">
        <v>45884</v>
      </c>
      <c r="D387" t="inlineStr">
        <is>
          <t>VÄSTERNORRLANDS LÄN</t>
        </is>
      </c>
      <c r="E387" t="inlineStr">
        <is>
          <t>ÅNGE</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17963-2022</t>
        </is>
      </c>
      <c r="B388" s="1" t="n">
        <v>44683</v>
      </c>
      <c r="C388" s="1" t="n">
        <v>45884</v>
      </c>
      <c r="D388" t="inlineStr">
        <is>
          <t>VÄSTERNORRLANDS LÄN</t>
        </is>
      </c>
      <c r="E388" t="inlineStr">
        <is>
          <t>ÅNGE</t>
        </is>
      </c>
      <c r="G388" t="n">
        <v>0.2</v>
      </c>
      <c r="H388" t="n">
        <v>0</v>
      </c>
      <c r="I388" t="n">
        <v>0</v>
      </c>
      <c r="J388" t="n">
        <v>0</v>
      </c>
      <c r="K388" t="n">
        <v>0</v>
      </c>
      <c r="L388" t="n">
        <v>0</v>
      </c>
      <c r="M388" t="n">
        <v>0</v>
      </c>
      <c r="N388" t="n">
        <v>0</v>
      </c>
      <c r="O388" t="n">
        <v>0</v>
      </c>
      <c r="P388" t="n">
        <v>0</v>
      </c>
      <c r="Q388" t="n">
        <v>0</v>
      </c>
      <c r="R388" s="2" t="inlineStr"/>
    </row>
    <row r="389" ht="15" customHeight="1">
      <c r="A389" t="inlineStr">
        <is>
          <t>A 18668-2023</t>
        </is>
      </c>
      <c r="B389" s="1" t="n">
        <v>45043.57108796296</v>
      </c>
      <c r="C389" s="1" t="n">
        <v>45884</v>
      </c>
      <c r="D389" t="inlineStr">
        <is>
          <t>VÄSTERNORRLANDS LÄN</t>
        </is>
      </c>
      <c r="E389" t="inlineStr">
        <is>
          <t>ÅNGE</t>
        </is>
      </c>
      <c r="G389" t="n">
        <v>3.4</v>
      </c>
      <c r="H389" t="n">
        <v>0</v>
      </c>
      <c r="I389" t="n">
        <v>0</v>
      </c>
      <c r="J389" t="n">
        <v>0</v>
      </c>
      <c r="K389" t="n">
        <v>0</v>
      </c>
      <c r="L389" t="n">
        <v>0</v>
      </c>
      <c r="M389" t="n">
        <v>0</v>
      </c>
      <c r="N389" t="n">
        <v>0</v>
      </c>
      <c r="O389" t="n">
        <v>0</v>
      </c>
      <c r="P389" t="n">
        <v>0</v>
      </c>
      <c r="Q389" t="n">
        <v>0</v>
      </c>
      <c r="R389" s="2" t="inlineStr"/>
    </row>
    <row r="390" ht="15" customHeight="1">
      <c r="A390" t="inlineStr">
        <is>
          <t>A 6732-2022</t>
        </is>
      </c>
      <c r="B390" s="1" t="n">
        <v>44602.46072916667</v>
      </c>
      <c r="C390" s="1" t="n">
        <v>45884</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1964-2022</t>
        </is>
      </c>
      <c r="B391" s="1" t="n">
        <v>44575.5050462963</v>
      </c>
      <c r="C391" s="1" t="n">
        <v>45884</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18880-2024</t>
        </is>
      </c>
      <c r="B392" s="1" t="n">
        <v>45426</v>
      </c>
      <c r="C392" s="1" t="n">
        <v>45884</v>
      </c>
      <c r="D392" t="inlineStr">
        <is>
          <t>VÄSTERNORRLANDS LÄN</t>
        </is>
      </c>
      <c r="E392" t="inlineStr">
        <is>
          <t>ÅNGE</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34861-2024</t>
        </is>
      </c>
      <c r="B393" s="1" t="n">
        <v>45527.339375</v>
      </c>
      <c r="C393" s="1" t="n">
        <v>45884</v>
      </c>
      <c r="D393" t="inlineStr">
        <is>
          <t>VÄSTERNORRLANDS LÄN</t>
        </is>
      </c>
      <c r="E393" t="inlineStr">
        <is>
          <t>ÅNGE</t>
        </is>
      </c>
      <c r="F393" t="inlineStr">
        <is>
          <t>SCA</t>
        </is>
      </c>
      <c r="G393" t="n">
        <v>9.1</v>
      </c>
      <c r="H393" t="n">
        <v>0</v>
      </c>
      <c r="I393" t="n">
        <v>0</v>
      </c>
      <c r="J393" t="n">
        <v>0</v>
      </c>
      <c r="K393" t="n">
        <v>0</v>
      </c>
      <c r="L393" t="n">
        <v>0</v>
      </c>
      <c r="M393" t="n">
        <v>0</v>
      </c>
      <c r="N393" t="n">
        <v>0</v>
      </c>
      <c r="O393" t="n">
        <v>0</v>
      </c>
      <c r="P393" t="n">
        <v>0</v>
      </c>
      <c r="Q393" t="n">
        <v>0</v>
      </c>
      <c r="R393" s="2" t="inlineStr"/>
    </row>
    <row r="394" ht="15" customHeight="1">
      <c r="A394" t="inlineStr">
        <is>
          <t>A 35496-2022</t>
        </is>
      </c>
      <c r="B394" s="1" t="n">
        <v>44798</v>
      </c>
      <c r="C394" s="1" t="n">
        <v>45884</v>
      </c>
      <c r="D394" t="inlineStr">
        <is>
          <t>VÄSTERNORRLANDS LÄN</t>
        </is>
      </c>
      <c r="E394" t="inlineStr">
        <is>
          <t>ÅNGE</t>
        </is>
      </c>
      <c r="F394" t="inlineStr">
        <is>
          <t>SCA</t>
        </is>
      </c>
      <c r="G394" t="n">
        <v>15.6</v>
      </c>
      <c r="H394" t="n">
        <v>0</v>
      </c>
      <c r="I394" t="n">
        <v>0</v>
      </c>
      <c r="J394" t="n">
        <v>0</v>
      </c>
      <c r="K394" t="n">
        <v>0</v>
      </c>
      <c r="L394" t="n">
        <v>0</v>
      </c>
      <c r="M394" t="n">
        <v>0</v>
      </c>
      <c r="N394" t="n">
        <v>0</v>
      </c>
      <c r="O394" t="n">
        <v>0</v>
      </c>
      <c r="P394" t="n">
        <v>0</v>
      </c>
      <c r="Q394" t="n">
        <v>0</v>
      </c>
      <c r="R394" s="2" t="inlineStr"/>
    </row>
    <row r="395" ht="15" customHeight="1">
      <c r="A395" t="inlineStr">
        <is>
          <t>A 48787-2024</t>
        </is>
      </c>
      <c r="B395" s="1" t="n">
        <v>45593.63888888889</v>
      </c>
      <c r="C395" s="1" t="n">
        <v>45884</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1886-2024</t>
        </is>
      </c>
      <c r="B396" s="1" t="n">
        <v>45307.96335648148</v>
      </c>
      <c r="C396" s="1" t="n">
        <v>45884</v>
      </c>
      <c r="D396" t="inlineStr">
        <is>
          <t>VÄSTERNORRLANDS LÄN</t>
        </is>
      </c>
      <c r="E396" t="inlineStr">
        <is>
          <t>ÅNGE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61461-2023</t>
        </is>
      </c>
      <c r="B397" s="1" t="n">
        <v>45264.9261574074</v>
      </c>
      <c r="C397" s="1" t="n">
        <v>45884</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41370-2023</t>
        </is>
      </c>
      <c r="B398" s="1" t="n">
        <v>45174.85951388889</v>
      </c>
      <c r="C398" s="1" t="n">
        <v>45884</v>
      </c>
      <c r="D398" t="inlineStr">
        <is>
          <t>VÄSTERNORRLANDS LÄN</t>
        </is>
      </c>
      <c r="E398" t="inlineStr">
        <is>
          <t>ÅNGE</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39005-2024</t>
        </is>
      </c>
      <c r="B399" s="1" t="n">
        <v>45548.42743055556</v>
      </c>
      <c r="C399" s="1" t="n">
        <v>45884</v>
      </c>
      <c r="D399" t="inlineStr">
        <is>
          <t>VÄSTERNORRLANDS LÄN</t>
        </is>
      </c>
      <c r="E399" t="inlineStr">
        <is>
          <t>ÅNGE</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44412-2022</t>
        </is>
      </c>
      <c r="B400" s="1" t="n">
        <v>44839.92626157407</v>
      </c>
      <c r="C400" s="1" t="n">
        <v>45884</v>
      </c>
      <c r="D400" t="inlineStr">
        <is>
          <t>VÄSTERNORRLANDS LÄN</t>
        </is>
      </c>
      <c r="E400" t="inlineStr">
        <is>
          <t>ÅNGE</t>
        </is>
      </c>
      <c r="G400" t="n">
        <v>1.6</v>
      </c>
      <c r="H400" t="n">
        <v>0</v>
      </c>
      <c r="I400" t="n">
        <v>0</v>
      </c>
      <c r="J400" t="n">
        <v>0</v>
      </c>
      <c r="K400" t="n">
        <v>0</v>
      </c>
      <c r="L400" t="n">
        <v>0</v>
      </c>
      <c r="M400" t="n">
        <v>0</v>
      </c>
      <c r="N400" t="n">
        <v>0</v>
      </c>
      <c r="O400" t="n">
        <v>0</v>
      </c>
      <c r="P400" t="n">
        <v>0</v>
      </c>
      <c r="Q400" t="n">
        <v>0</v>
      </c>
      <c r="R400" s="2" t="inlineStr"/>
    </row>
    <row r="401" ht="15" customHeight="1">
      <c r="A401" t="inlineStr">
        <is>
          <t>A 19723-2025</t>
        </is>
      </c>
      <c r="B401" s="1" t="n">
        <v>45771.36490740741</v>
      </c>
      <c r="C401" s="1" t="n">
        <v>45884</v>
      </c>
      <c r="D401" t="inlineStr">
        <is>
          <t>VÄSTERNORRLANDS LÄN</t>
        </is>
      </c>
      <c r="E401" t="inlineStr">
        <is>
          <t>ÅNGE</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54469-2020</t>
        </is>
      </c>
      <c r="B402" s="1" t="n">
        <v>44126</v>
      </c>
      <c r="C402" s="1" t="n">
        <v>45884</v>
      </c>
      <c r="D402" t="inlineStr">
        <is>
          <t>VÄSTERNORRLANDS LÄN</t>
        </is>
      </c>
      <c r="E402" t="inlineStr">
        <is>
          <t>ÅNGE</t>
        </is>
      </c>
      <c r="G402" t="n">
        <v>4</v>
      </c>
      <c r="H402" t="n">
        <v>0</v>
      </c>
      <c r="I402" t="n">
        <v>0</v>
      </c>
      <c r="J402" t="n">
        <v>0</v>
      </c>
      <c r="K402" t="n">
        <v>0</v>
      </c>
      <c r="L402" t="n">
        <v>0</v>
      </c>
      <c r="M402" t="n">
        <v>0</v>
      </c>
      <c r="N402" t="n">
        <v>0</v>
      </c>
      <c r="O402" t="n">
        <v>0</v>
      </c>
      <c r="P402" t="n">
        <v>0</v>
      </c>
      <c r="Q402" t="n">
        <v>0</v>
      </c>
      <c r="R402" s="2" t="inlineStr"/>
    </row>
    <row r="403" ht="15" customHeight="1">
      <c r="A403" t="inlineStr">
        <is>
          <t>A 30235-2024</t>
        </is>
      </c>
      <c r="B403" s="1" t="n">
        <v>45490.49040509259</v>
      </c>
      <c r="C403" s="1" t="n">
        <v>45884</v>
      </c>
      <c r="D403" t="inlineStr">
        <is>
          <t>VÄSTERNORRLANDS LÄN</t>
        </is>
      </c>
      <c r="E403" t="inlineStr">
        <is>
          <t>ÅNGE</t>
        </is>
      </c>
      <c r="G403" t="n">
        <v>3.7</v>
      </c>
      <c r="H403" t="n">
        <v>0</v>
      </c>
      <c r="I403" t="n">
        <v>0</v>
      </c>
      <c r="J403" t="n">
        <v>0</v>
      </c>
      <c r="K403" t="n">
        <v>0</v>
      </c>
      <c r="L403" t="n">
        <v>0</v>
      </c>
      <c r="M403" t="n">
        <v>0</v>
      </c>
      <c r="N403" t="n">
        <v>0</v>
      </c>
      <c r="O403" t="n">
        <v>0</v>
      </c>
      <c r="P403" t="n">
        <v>0</v>
      </c>
      <c r="Q403" t="n">
        <v>0</v>
      </c>
      <c r="R403" s="2" t="inlineStr"/>
    </row>
    <row r="404" ht="15" customHeight="1">
      <c r="A404" t="inlineStr">
        <is>
          <t>A 53171-2020</t>
        </is>
      </c>
      <c r="B404" s="1" t="n">
        <v>44120</v>
      </c>
      <c r="C404" s="1" t="n">
        <v>45884</v>
      </c>
      <c r="D404" t="inlineStr">
        <is>
          <t>VÄSTERNORRLANDS LÄN</t>
        </is>
      </c>
      <c r="E404" t="inlineStr">
        <is>
          <t>ÅNGE</t>
        </is>
      </c>
      <c r="F404" t="inlineStr">
        <is>
          <t>SCA</t>
        </is>
      </c>
      <c r="G404" t="n">
        <v>6.9</v>
      </c>
      <c r="H404" t="n">
        <v>0</v>
      </c>
      <c r="I404" t="n">
        <v>0</v>
      </c>
      <c r="J404" t="n">
        <v>0</v>
      </c>
      <c r="K404" t="n">
        <v>0</v>
      </c>
      <c r="L404" t="n">
        <v>0</v>
      </c>
      <c r="M404" t="n">
        <v>0</v>
      </c>
      <c r="N404" t="n">
        <v>0</v>
      </c>
      <c r="O404" t="n">
        <v>0</v>
      </c>
      <c r="P404" t="n">
        <v>0</v>
      </c>
      <c r="Q404" t="n">
        <v>0</v>
      </c>
      <c r="R404" s="2" t="inlineStr"/>
    </row>
    <row r="405" ht="15" customHeight="1">
      <c r="A405" t="inlineStr">
        <is>
          <t>A 18081-2025</t>
        </is>
      </c>
      <c r="B405" s="1" t="n">
        <v>45761.51086805556</v>
      </c>
      <c r="C405" s="1" t="n">
        <v>45884</v>
      </c>
      <c r="D405" t="inlineStr">
        <is>
          <t>VÄSTERNORRLANDS LÄN</t>
        </is>
      </c>
      <c r="E405" t="inlineStr">
        <is>
          <t>ÅNGE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6263-2022</t>
        </is>
      </c>
      <c r="B406" s="1" t="n">
        <v>44600</v>
      </c>
      <c r="C406" s="1" t="n">
        <v>45884</v>
      </c>
      <c r="D406" t="inlineStr">
        <is>
          <t>VÄSTERNORRLANDS LÄN</t>
        </is>
      </c>
      <c r="E406" t="inlineStr">
        <is>
          <t>ÅNGE</t>
        </is>
      </c>
      <c r="G406" t="n">
        <v>1.4</v>
      </c>
      <c r="H406" t="n">
        <v>0</v>
      </c>
      <c r="I406" t="n">
        <v>0</v>
      </c>
      <c r="J406" t="n">
        <v>0</v>
      </c>
      <c r="K406" t="n">
        <v>0</v>
      </c>
      <c r="L406" t="n">
        <v>0</v>
      </c>
      <c r="M406" t="n">
        <v>0</v>
      </c>
      <c r="N406" t="n">
        <v>0</v>
      </c>
      <c r="O406" t="n">
        <v>0</v>
      </c>
      <c r="P406" t="n">
        <v>0</v>
      </c>
      <c r="Q406" t="n">
        <v>0</v>
      </c>
      <c r="R406" s="2" t="inlineStr"/>
    </row>
    <row r="407" ht="15" customHeight="1">
      <c r="A407" t="inlineStr">
        <is>
          <t>A 57593-2022</t>
        </is>
      </c>
      <c r="B407" s="1" t="n">
        <v>44896.97847222222</v>
      </c>
      <c r="C407" s="1" t="n">
        <v>45884</v>
      </c>
      <c r="D407" t="inlineStr">
        <is>
          <t>VÄSTERNORRLANDS LÄN</t>
        </is>
      </c>
      <c r="E407" t="inlineStr">
        <is>
          <t>ÅNGE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57596-2022</t>
        </is>
      </c>
      <c r="B408" s="1" t="n">
        <v>44896.97871527778</v>
      </c>
      <c r="C408" s="1" t="n">
        <v>45884</v>
      </c>
      <c r="D408" t="inlineStr">
        <is>
          <t>VÄSTERNORRLANDS LÄN</t>
        </is>
      </c>
      <c r="E408" t="inlineStr">
        <is>
          <t>ÅNGE</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57598-2022</t>
        </is>
      </c>
      <c r="B409" s="1" t="n">
        <v>44896</v>
      </c>
      <c r="C409" s="1" t="n">
        <v>45884</v>
      </c>
      <c r="D409" t="inlineStr">
        <is>
          <t>VÄSTERNORRLANDS LÄN</t>
        </is>
      </c>
      <c r="E409" t="inlineStr">
        <is>
          <t>ÅNGE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23063-2024</t>
        </is>
      </c>
      <c r="B410" s="1" t="n">
        <v>45450.44278935185</v>
      </c>
      <c r="C410" s="1" t="n">
        <v>45884</v>
      </c>
      <c r="D410" t="inlineStr">
        <is>
          <t>VÄSTERNORRLANDS LÄN</t>
        </is>
      </c>
      <c r="E410" t="inlineStr">
        <is>
          <t>ÅNGE</t>
        </is>
      </c>
      <c r="G410" t="n">
        <v>0.8</v>
      </c>
      <c r="H410" t="n">
        <v>0</v>
      </c>
      <c r="I410" t="n">
        <v>0</v>
      </c>
      <c r="J410" t="n">
        <v>0</v>
      </c>
      <c r="K410" t="n">
        <v>0</v>
      </c>
      <c r="L410" t="n">
        <v>0</v>
      </c>
      <c r="M410" t="n">
        <v>0</v>
      </c>
      <c r="N410" t="n">
        <v>0</v>
      </c>
      <c r="O410" t="n">
        <v>0</v>
      </c>
      <c r="P410" t="n">
        <v>0</v>
      </c>
      <c r="Q410" t="n">
        <v>0</v>
      </c>
      <c r="R410" s="2" t="inlineStr"/>
    </row>
    <row r="411" ht="15" customHeight="1">
      <c r="A411" t="inlineStr">
        <is>
          <t>A 52504-2020</t>
        </is>
      </c>
      <c r="B411" s="1" t="n">
        <v>44113</v>
      </c>
      <c r="C411" s="1" t="n">
        <v>45884</v>
      </c>
      <c r="D411" t="inlineStr">
        <is>
          <t>VÄSTERNORRLANDS LÄN</t>
        </is>
      </c>
      <c r="E411" t="inlineStr">
        <is>
          <t>ÅNGE</t>
        </is>
      </c>
      <c r="G411" t="n">
        <v>1.8</v>
      </c>
      <c r="H411" t="n">
        <v>0</v>
      </c>
      <c r="I411" t="n">
        <v>0</v>
      </c>
      <c r="J411" t="n">
        <v>0</v>
      </c>
      <c r="K411" t="n">
        <v>0</v>
      </c>
      <c r="L411" t="n">
        <v>0</v>
      </c>
      <c r="M411" t="n">
        <v>0</v>
      </c>
      <c r="N411" t="n">
        <v>0</v>
      </c>
      <c r="O411" t="n">
        <v>0</v>
      </c>
      <c r="P411" t="n">
        <v>0</v>
      </c>
      <c r="Q411" t="n">
        <v>0</v>
      </c>
      <c r="R411" s="2" t="inlineStr"/>
    </row>
    <row r="412" ht="15" customHeight="1">
      <c r="A412" t="inlineStr">
        <is>
          <t>A 10558-2023</t>
        </is>
      </c>
      <c r="B412" s="1" t="n">
        <v>44987.94438657408</v>
      </c>
      <c r="C412" s="1" t="n">
        <v>45884</v>
      </c>
      <c r="D412" t="inlineStr">
        <is>
          <t>VÄSTERNORRLANDS LÄN</t>
        </is>
      </c>
      <c r="E412" t="inlineStr">
        <is>
          <t>ÅNGE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53856-2024</t>
        </is>
      </c>
      <c r="B413" s="1" t="n">
        <v>45615</v>
      </c>
      <c r="C413" s="1" t="n">
        <v>45884</v>
      </c>
      <c r="D413" t="inlineStr">
        <is>
          <t>VÄSTERNORRLANDS LÄN</t>
        </is>
      </c>
      <c r="E413" t="inlineStr">
        <is>
          <t>ÅNGE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53858-2024</t>
        </is>
      </c>
      <c r="B414" s="1" t="n">
        <v>45615</v>
      </c>
      <c r="C414" s="1" t="n">
        <v>45884</v>
      </c>
      <c r="D414" t="inlineStr">
        <is>
          <t>VÄSTERNORRLANDS LÄN</t>
        </is>
      </c>
      <c r="E414" t="inlineStr">
        <is>
          <t>ÅNGE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27953-2021</t>
        </is>
      </c>
      <c r="B415" s="1" t="n">
        <v>44354.9209375</v>
      </c>
      <c r="C415" s="1" t="n">
        <v>45884</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44158-2024</t>
        </is>
      </c>
      <c r="B416" s="1" t="n">
        <v>45572</v>
      </c>
      <c r="C416" s="1" t="n">
        <v>45884</v>
      </c>
      <c r="D416" t="inlineStr">
        <is>
          <t>VÄSTERNORRLANDS LÄN</t>
        </is>
      </c>
      <c r="E416" t="inlineStr">
        <is>
          <t>ÅNGE</t>
        </is>
      </c>
      <c r="G416" t="n">
        <v>2.6</v>
      </c>
      <c r="H416" t="n">
        <v>0</v>
      </c>
      <c r="I416" t="n">
        <v>0</v>
      </c>
      <c r="J416" t="n">
        <v>0</v>
      </c>
      <c r="K416" t="n">
        <v>0</v>
      </c>
      <c r="L416" t="n">
        <v>0</v>
      </c>
      <c r="M416" t="n">
        <v>0</v>
      </c>
      <c r="N416" t="n">
        <v>0</v>
      </c>
      <c r="O416" t="n">
        <v>0</v>
      </c>
      <c r="P416" t="n">
        <v>0</v>
      </c>
      <c r="Q416" t="n">
        <v>0</v>
      </c>
      <c r="R416" s="2" t="inlineStr"/>
    </row>
    <row r="417" ht="15" customHeight="1">
      <c r="A417" t="inlineStr">
        <is>
          <t>A 60817-2024</t>
        </is>
      </c>
      <c r="B417" s="1" t="n">
        <v>45644</v>
      </c>
      <c r="C417" s="1" t="n">
        <v>45884</v>
      </c>
      <c r="D417" t="inlineStr">
        <is>
          <t>VÄSTERNORRLANDS LÄN</t>
        </is>
      </c>
      <c r="E417" t="inlineStr">
        <is>
          <t>ÅNGE</t>
        </is>
      </c>
      <c r="G417" t="n">
        <v>3.2</v>
      </c>
      <c r="H417" t="n">
        <v>0</v>
      </c>
      <c r="I417" t="n">
        <v>0</v>
      </c>
      <c r="J417" t="n">
        <v>0</v>
      </c>
      <c r="K417" t="n">
        <v>0</v>
      </c>
      <c r="L417" t="n">
        <v>0</v>
      </c>
      <c r="M417" t="n">
        <v>0</v>
      </c>
      <c r="N417" t="n">
        <v>0</v>
      </c>
      <c r="O417" t="n">
        <v>0</v>
      </c>
      <c r="P417" t="n">
        <v>0</v>
      </c>
      <c r="Q417" t="n">
        <v>0</v>
      </c>
      <c r="R417" s="2" t="inlineStr"/>
    </row>
    <row r="418" ht="15" customHeight="1">
      <c r="A418" t="inlineStr">
        <is>
          <t>A 18456-2024</t>
        </is>
      </c>
      <c r="B418" s="1" t="n">
        <v>45425.46831018518</v>
      </c>
      <c r="C418" s="1" t="n">
        <v>45884</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18422-2021</t>
        </is>
      </c>
      <c r="B419" s="1" t="n">
        <v>44305</v>
      </c>
      <c r="C419" s="1" t="n">
        <v>45884</v>
      </c>
      <c r="D419" t="inlineStr">
        <is>
          <t>VÄSTERNORRLANDS LÄN</t>
        </is>
      </c>
      <c r="E419" t="inlineStr">
        <is>
          <t>ÅNGE</t>
        </is>
      </c>
      <c r="G419" t="n">
        <v>1.5</v>
      </c>
      <c r="H419" t="n">
        <v>0</v>
      </c>
      <c r="I419" t="n">
        <v>0</v>
      </c>
      <c r="J419" t="n">
        <v>0</v>
      </c>
      <c r="K419" t="n">
        <v>0</v>
      </c>
      <c r="L419" t="n">
        <v>0</v>
      </c>
      <c r="M419" t="n">
        <v>0</v>
      </c>
      <c r="N419" t="n">
        <v>0</v>
      </c>
      <c r="O419" t="n">
        <v>0</v>
      </c>
      <c r="P419" t="n">
        <v>0</v>
      </c>
      <c r="Q419" t="n">
        <v>0</v>
      </c>
      <c r="R419" s="2" t="inlineStr"/>
    </row>
    <row r="420" ht="15" customHeight="1">
      <c r="A420" t="inlineStr">
        <is>
          <t>A 27951-2021</t>
        </is>
      </c>
      <c r="B420" s="1" t="n">
        <v>44354</v>
      </c>
      <c r="C420" s="1" t="n">
        <v>45884</v>
      </c>
      <c r="D420" t="inlineStr">
        <is>
          <t>VÄSTERNORRLANDS LÄN</t>
        </is>
      </c>
      <c r="E420" t="inlineStr">
        <is>
          <t>ÅNGE</t>
        </is>
      </c>
      <c r="G420" t="n">
        <v>3</v>
      </c>
      <c r="H420" t="n">
        <v>0</v>
      </c>
      <c r="I420" t="n">
        <v>0</v>
      </c>
      <c r="J420" t="n">
        <v>0</v>
      </c>
      <c r="K420" t="n">
        <v>0</v>
      </c>
      <c r="L420" t="n">
        <v>0</v>
      </c>
      <c r="M420" t="n">
        <v>0</v>
      </c>
      <c r="N420" t="n">
        <v>0</v>
      </c>
      <c r="O420" t="n">
        <v>0</v>
      </c>
      <c r="P420" t="n">
        <v>0</v>
      </c>
      <c r="Q420" t="n">
        <v>0</v>
      </c>
      <c r="R420" s="2" t="inlineStr"/>
    </row>
    <row r="421" ht="15" customHeight="1">
      <c r="A421" t="inlineStr">
        <is>
          <t>A 46824-2021</t>
        </is>
      </c>
      <c r="B421" s="1" t="n">
        <v>44446.34271990741</v>
      </c>
      <c r="C421" s="1" t="n">
        <v>45884</v>
      </c>
      <c r="D421" t="inlineStr">
        <is>
          <t>VÄSTERNORRLANDS LÄN</t>
        </is>
      </c>
      <c r="E421" t="inlineStr">
        <is>
          <t>ÅNGE</t>
        </is>
      </c>
      <c r="G421" t="n">
        <v>0.6</v>
      </c>
      <c r="H421" t="n">
        <v>0</v>
      </c>
      <c r="I421" t="n">
        <v>0</v>
      </c>
      <c r="J421" t="n">
        <v>0</v>
      </c>
      <c r="K421" t="n">
        <v>0</v>
      </c>
      <c r="L421" t="n">
        <v>0</v>
      </c>
      <c r="M421" t="n">
        <v>0</v>
      </c>
      <c r="N421" t="n">
        <v>0</v>
      </c>
      <c r="O421" t="n">
        <v>0</v>
      </c>
      <c r="P421" t="n">
        <v>0</v>
      </c>
      <c r="Q421" t="n">
        <v>0</v>
      </c>
      <c r="R421" s="2" t="inlineStr"/>
    </row>
    <row r="422" ht="15" customHeight="1">
      <c r="A422" t="inlineStr">
        <is>
          <t>A 41829-2021</t>
        </is>
      </c>
      <c r="B422" s="1" t="n">
        <v>44425.92202546296</v>
      </c>
      <c r="C422" s="1" t="n">
        <v>45884</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30365-2021</t>
        </is>
      </c>
      <c r="B423" s="1" t="n">
        <v>44364.45164351852</v>
      </c>
      <c r="C423" s="1" t="n">
        <v>45884</v>
      </c>
      <c r="D423" t="inlineStr">
        <is>
          <t>VÄSTERNORRLANDS LÄN</t>
        </is>
      </c>
      <c r="E423" t="inlineStr">
        <is>
          <t>ÅNGE</t>
        </is>
      </c>
      <c r="G423" t="n">
        <v>3.9</v>
      </c>
      <c r="H423" t="n">
        <v>0</v>
      </c>
      <c r="I423" t="n">
        <v>0</v>
      </c>
      <c r="J423" t="n">
        <v>0</v>
      </c>
      <c r="K423" t="n">
        <v>0</v>
      </c>
      <c r="L423" t="n">
        <v>0</v>
      </c>
      <c r="M423" t="n">
        <v>0</v>
      </c>
      <c r="N423" t="n">
        <v>0</v>
      </c>
      <c r="O423" t="n">
        <v>0</v>
      </c>
      <c r="P423" t="n">
        <v>0</v>
      </c>
      <c r="Q423" t="n">
        <v>0</v>
      </c>
      <c r="R423" s="2" t="inlineStr"/>
    </row>
    <row r="424" ht="15" customHeight="1">
      <c r="A424" t="inlineStr">
        <is>
          <t>A 17044-2022</t>
        </is>
      </c>
      <c r="B424" s="1" t="n">
        <v>44676</v>
      </c>
      <c r="C424" s="1" t="n">
        <v>45884</v>
      </c>
      <c r="D424" t="inlineStr">
        <is>
          <t>VÄSTERNORRLANDS LÄN</t>
        </is>
      </c>
      <c r="E424" t="inlineStr">
        <is>
          <t>ÅNGE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25903-2022</t>
        </is>
      </c>
      <c r="B425" s="1" t="n">
        <v>44733</v>
      </c>
      <c r="C425" s="1" t="n">
        <v>45884</v>
      </c>
      <c r="D425" t="inlineStr">
        <is>
          <t>VÄSTERNORRLANDS LÄN</t>
        </is>
      </c>
      <c r="E425" t="inlineStr">
        <is>
          <t>ÅNGE</t>
        </is>
      </c>
      <c r="G425" t="n">
        <v>1</v>
      </c>
      <c r="H425" t="n">
        <v>0</v>
      </c>
      <c r="I425" t="n">
        <v>0</v>
      </c>
      <c r="J425" t="n">
        <v>0</v>
      </c>
      <c r="K425" t="n">
        <v>0</v>
      </c>
      <c r="L425" t="n">
        <v>0</v>
      </c>
      <c r="M425" t="n">
        <v>0</v>
      </c>
      <c r="N425" t="n">
        <v>0</v>
      </c>
      <c r="O425" t="n">
        <v>0</v>
      </c>
      <c r="P425" t="n">
        <v>0</v>
      </c>
      <c r="Q425" t="n">
        <v>0</v>
      </c>
      <c r="R425" s="2" t="inlineStr"/>
    </row>
    <row r="426" ht="15" customHeight="1">
      <c r="A426" t="inlineStr">
        <is>
          <t>A 51542-2022</t>
        </is>
      </c>
      <c r="B426" s="1" t="n">
        <v>44869.94850694444</v>
      </c>
      <c r="C426" s="1" t="n">
        <v>45884</v>
      </c>
      <c r="D426" t="inlineStr">
        <is>
          <t>VÄSTERNORRLANDS LÄN</t>
        </is>
      </c>
      <c r="E426" t="inlineStr">
        <is>
          <t>ÅNGE</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1103-2023</t>
        </is>
      </c>
      <c r="B427" s="1" t="n">
        <v>44929</v>
      </c>
      <c r="C427" s="1" t="n">
        <v>45884</v>
      </c>
      <c r="D427" t="inlineStr">
        <is>
          <t>VÄSTERNORRLANDS LÄN</t>
        </is>
      </c>
      <c r="E427" t="inlineStr">
        <is>
          <t>ÅNGE</t>
        </is>
      </c>
      <c r="G427" t="n">
        <v>7.3</v>
      </c>
      <c r="H427" t="n">
        <v>0</v>
      </c>
      <c r="I427" t="n">
        <v>0</v>
      </c>
      <c r="J427" t="n">
        <v>0</v>
      </c>
      <c r="K427" t="n">
        <v>0</v>
      </c>
      <c r="L427" t="n">
        <v>0</v>
      </c>
      <c r="M427" t="n">
        <v>0</v>
      </c>
      <c r="N427" t="n">
        <v>0</v>
      </c>
      <c r="O427" t="n">
        <v>0</v>
      </c>
      <c r="P427" t="n">
        <v>0</v>
      </c>
      <c r="Q427" t="n">
        <v>0</v>
      </c>
      <c r="R427" s="2" t="inlineStr"/>
    </row>
    <row r="428" ht="15" customHeight="1">
      <c r="A428" t="inlineStr">
        <is>
          <t>A 25047-2023</t>
        </is>
      </c>
      <c r="B428" s="1" t="n">
        <v>45085.94569444445</v>
      </c>
      <c r="C428" s="1" t="n">
        <v>45884</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5552-2022</t>
        </is>
      </c>
      <c r="B429" s="1" t="n">
        <v>44595.62966435185</v>
      </c>
      <c r="C429" s="1" t="n">
        <v>45884</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35026-2022</t>
        </is>
      </c>
      <c r="B430" s="1" t="n">
        <v>44796</v>
      </c>
      <c r="C430" s="1" t="n">
        <v>45884</v>
      </c>
      <c r="D430" t="inlineStr">
        <is>
          <t>VÄSTERNORRLANDS LÄN</t>
        </is>
      </c>
      <c r="E430" t="inlineStr">
        <is>
          <t>ÅNGE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2140-2023</t>
        </is>
      </c>
      <c r="B431" s="1" t="n">
        <v>44940</v>
      </c>
      <c r="C431" s="1" t="n">
        <v>45884</v>
      </c>
      <c r="D431" t="inlineStr">
        <is>
          <t>VÄSTERNORRLANDS LÄN</t>
        </is>
      </c>
      <c r="E431" t="inlineStr">
        <is>
          <t>ÅNGE</t>
        </is>
      </c>
      <c r="G431" t="n">
        <v>2.9</v>
      </c>
      <c r="H431" t="n">
        <v>0</v>
      </c>
      <c r="I431" t="n">
        <v>0</v>
      </c>
      <c r="J431" t="n">
        <v>0</v>
      </c>
      <c r="K431" t="n">
        <v>0</v>
      </c>
      <c r="L431" t="n">
        <v>0</v>
      </c>
      <c r="M431" t="n">
        <v>0</v>
      </c>
      <c r="N431" t="n">
        <v>0</v>
      </c>
      <c r="O431" t="n">
        <v>0</v>
      </c>
      <c r="P431" t="n">
        <v>0</v>
      </c>
      <c r="Q431" t="n">
        <v>0</v>
      </c>
      <c r="R431" s="2" t="inlineStr"/>
    </row>
    <row r="432" ht="15" customHeight="1">
      <c r="A432" t="inlineStr">
        <is>
          <t>A 57815-2024</t>
        </is>
      </c>
      <c r="B432" s="1" t="n">
        <v>45631.37068287037</v>
      </c>
      <c r="C432" s="1" t="n">
        <v>45884</v>
      </c>
      <c r="D432" t="inlineStr">
        <is>
          <t>VÄSTERNORRLANDS LÄN</t>
        </is>
      </c>
      <c r="E432" t="inlineStr">
        <is>
          <t>ÅNGE</t>
        </is>
      </c>
      <c r="G432" t="n">
        <v>2.6</v>
      </c>
      <c r="H432" t="n">
        <v>0</v>
      </c>
      <c r="I432" t="n">
        <v>0</v>
      </c>
      <c r="J432" t="n">
        <v>0</v>
      </c>
      <c r="K432" t="n">
        <v>0</v>
      </c>
      <c r="L432" t="n">
        <v>0</v>
      </c>
      <c r="M432" t="n">
        <v>0</v>
      </c>
      <c r="N432" t="n">
        <v>0</v>
      </c>
      <c r="O432" t="n">
        <v>0</v>
      </c>
      <c r="P432" t="n">
        <v>0</v>
      </c>
      <c r="Q432" t="n">
        <v>0</v>
      </c>
      <c r="R432" s="2" t="inlineStr"/>
    </row>
    <row r="433" ht="15" customHeight="1">
      <c r="A433" t="inlineStr">
        <is>
          <t>A 32535-2022</t>
        </is>
      </c>
      <c r="B433" s="1" t="n">
        <v>44783.29856481482</v>
      </c>
      <c r="C433" s="1" t="n">
        <v>45884</v>
      </c>
      <c r="D433" t="inlineStr">
        <is>
          <t>VÄSTERNORRLANDS LÄN</t>
        </is>
      </c>
      <c r="E433" t="inlineStr">
        <is>
          <t>ÅNGE</t>
        </is>
      </c>
      <c r="G433" t="n">
        <v>10.3</v>
      </c>
      <c r="H433" t="n">
        <v>0</v>
      </c>
      <c r="I433" t="n">
        <v>0</v>
      </c>
      <c r="J433" t="n">
        <v>0</v>
      </c>
      <c r="K433" t="n">
        <v>0</v>
      </c>
      <c r="L433" t="n">
        <v>0</v>
      </c>
      <c r="M433" t="n">
        <v>0</v>
      </c>
      <c r="N433" t="n">
        <v>0</v>
      </c>
      <c r="O433" t="n">
        <v>0</v>
      </c>
      <c r="P433" t="n">
        <v>0</v>
      </c>
      <c r="Q433" t="n">
        <v>0</v>
      </c>
      <c r="R433" s="2" t="inlineStr"/>
    </row>
    <row r="434" ht="15" customHeight="1">
      <c r="A434" t="inlineStr">
        <is>
          <t>A 47488-2023</t>
        </is>
      </c>
      <c r="B434" s="1" t="n">
        <v>45202.94168981481</v>
      </c>
      <c r="C434" s="1" t="n">
        <v>45884</v>
      </c>
      <c r="D434" t="inlineStr">
        <is>
          <t>VÄSTERNORRLANDS LÄN</t>
        </is>
      </c>
      <c r="E434" t="inlineStr">
        <is>
          <t>ÅNGE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34754-2024</t>
        </is>
      </c>
      <c r="B435" s="1" t="n">
        <v>45526</v>
      </c>
      <c r="C435" s="1" t="n">
        <v>45884</v>
      </c>
      <c r="D435" t="inlineStr">
        <is>
          <t>VÄSTERNORRLANDS LÄN</t>
        </is>
      </c>
      <c r="E435" t="inlineStr">
        <is>
          <t>ÅNGE</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3362-2023</t>
        </is>
      </c>
      <c r="B436" s="1" t="n">
        <v>44945</v>
      </c>
      <c r="C436" s="1" t="n">
        <v>45884</v>
      </c>
      <c r="D436" t="inlineStr">
        <is>
          <t>VÄSTERNORRLANDS LÄN</t>
        </is>
      </c>
      <c r="E436" t="inlineStr">
        <is>
          <t>ÅNGE</t>
        </is>
      </c>
      <c r="G436" t="n">
        <v>1</v>
      </c>
      <c r="H436" t="n">
        <v>0</v>
      </c>
      <c r="I436" t="n">
        <v>0</v>
      </c>
      <c r="J436" t="n">
        <v>0</v>
      </c>
      <c r="K436" t="n">
        <v>0</v>
      </c>
      <c r="L436" t="n">
        <v>0</v>
      </c>
      <c r="M436" t="n">
        <v>0</v>
      </c>
      <c r="N436" t="n">
        <v>0</v>
      </c>
      <c r="O436" t="n">
        <v>0</v>
      </c>
      <c r="P436" t="n">
        <v>0</v>
      </c>
      <c r="Q436" t="n">
        <v>0</v>
      </c>
      <c r="R436" s="2" t="inlineStr"/>
    </row>
    <row r="437" ht="15" customHeight="1">
      <c r="A437" t="inlineStr">
        <is>
          <t>A 39594-2022</t>
        </is>
      </c>
      <c r="B437" s="1" t="n">
        <v>44818</v>
      </c>
      <c r="C437" s="1" t="n">
        <v>45884</v>
      </c>
      <c r="D437" t="inlineStr">
        <is>
          <t>VÄSTERNORRLANDS LÄN</t>
        </is>
      </c>
      <c r="E437" t="inlineStr">
        <is>
          <t>ÅNGE</t>
        </is>
      </c>
      <c r="G437" t="n">
        <v>1.4</v>
      </c>
      <c r="H437" t="n">
        <v>0</v>
      </c>
      <c r="I437" t="n">
        <v>0</v>
      </c>
      <c r="J437" t="n">
        <v>0</v>
      </c>
      <c r="K437" t="n">
        <v>0</v>
      </c>
      <c r="L437" t="n">
        <v>0</v>
      </c>
      <c r="M437" t="n">
        <v>0</v>
      </c>
      <c r="N437" t="n">
        <v>0</v>
      </c>
      <c r="O437" t="n">
        <v>0</v>
      </c>
      <c r="P437" t="n">
        <v>0</v>
      </c>
      <c r="Q437" t="n">
        <v>0</v>
      </c>
      <c r="R437" s="2" t="inlineStr"/>
    </row>
    <row r="438" ht="15" customHeight="1">
      <c r="A438" t="inlineStr">
        <is>
          <t>A 10313-2022</t>
        </is>
      </c>
      <c r="B438" s="1" t="n">
        <v>44622</v>
      </c>
      <c r="C438" s="1" t="n">
        <v>45884</v>
      </c>
      <c r="D438" t="inlineStr">
        <is>
          <t>VÄSTERNORRLANDS LÄN</t>
        </is>
      </c>
      <c r="E438" t="inlineStr">
        <is>
          <t>ÅNGE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59600-2024</t>
        </is>
      </c>
      <c r="B439" s="1" t="n">
        <v>45638.71763888889</v>
      </c>
      <c r="C439" s="1" t="n">
        <v>45884</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52685-2024</t>
        </is>
      </c>
      <c r="B440" s="1" t="n">
        <v>45610</v>
      </c>
      <c r="C440" s="1" t="n">
        <v>45884</v>
      </c>
      <c r="D440" t="inlineStr">
        <is>
          <t>VÄSTERNORRLANDS LÄN</t>
        </is>
      </c>
      <c r="E440" t="inlineStr">
        <is>
          <t>ÅNGE</t>
        </is>
      </c>
      <c r="G440" t="n">
        <v>2.3</v>
      </c>
      <c r="H440" t="n">
        <v>0</v>
      </c>
      <c r="I440" t="n">
        <v>0</v>
      </c>
      <c r="J440" t="n">
        <v>0</v>
      </c>
      <c r="K440" t="n">
        <v>0</v>
      </c>
      <c r="L440" t="n">
        <v>0</v>
      </c>
      <c r="M440" t="n">
        <v>0</v>
      </c>
      <c r="N440" t="n">
        <v>0</v>
      </c>
      <c r="O440" t="n">
        <v>0</v>
      </c>
      <c r="P440" t="n">
        <v>0</v>
      </c>
      <c r="Q440" t="n">
        <v>0</v>
      </c>
      <c r="R440" s="2" t="inlineStr"/>
    </row>
    <row r="441" ht="15" customHeight="1">
      <c r="A441" t="inlineStr">
        <is>
          <t>A 42044-2024</t>
        </is>
      </c>
      <c r="B441" s="1" t="n">
        <v>45561</v>
      </c>
      <c r="C441" s="1" t="n">
        <v>45884</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42090-2024</t>
        </is>
      </c>
      <c r="B442" s="1" t="n">
        <v>45562</v>
      </c>
      <c r="C442" s="1" t="n">
        <v>45884</v>
      </c>
      <c r="D442" t="inlineStr">
        <is>
          <t>VÄSTERNORRLANDS LÄN</t>
        </is>
      </c>
      <c r="E442" t="inlineStr">
        <is>
          <t>ÅNGE</t>
        </is>
      </c>
      <c r="F442" t="inlineStr">
        <is>
          <t>SCA</t>
        </is>
      </c>
      <c r="G442" t="n">
        <v>20.2</v>
      </c>
      <c r="H442" t="n">
        <v>0</v>
      </c>
      <c r="I442" t="n">
        <v>0</v>
      </c>
      <c r="J442" t="n">
        <v>0</v>
      </c>
      <c r="K442" t="n">
        <v>0</v>
      </c>
      <c r="L442" t="n">
        <v>0</v>
      </c>
      <c r="M442" t="n">
        <v>0</v>
      </c>
      <c r="N442" t="n">
        <v>0</v>
      </c>
      <c r="O442" t="n">
        <v>0</v>
      </c>
      <c r="P442" t="n">
        <v>0</v>
      </c>
      <c r="Q442" t="n">
        <v>0</v>
      </c>
      <c r="R442" s="2" t="inlineStr"/>
    </row>
    <row r="443" ht="15" customHeight="1">
      <c r="A443" t="inlineStr">
        <is>
          <t>A 50640-2022</t>
        </is>
      </c>
      <c r="B443" s="1" t="n">
        <v>44866.94734953704</v>
      </c>
      <c r="C443" s="1" t="n">
        <v>45884</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18112-2025</t>
        </is>
      </c>
      <c r="B444" s="1" t="n">
        <v>45761.57350694444</v>
      </c>
      <c r="C444" s="1" t="n">
        <v>45884</v>
      </c>
      <c r="D444" t="inlineStr">
        <is>
          <t>VÄSTERNORRLANDS LÄN</t>
        </is>
      </c>
      <c r="E444" t="inlineStr">
        <is>
          <t>ÅNGE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36466-2024</t>
        </is>
      </c>
      <c r="B445" s="1" t="n">
        <v>45537.35872685185</v>
      </c>
      <c r="C445" s="1" t="n">
        <v>45884</v>
      </c>
      <c r="D445" t="inlineStr">
        <is>
          <t>VÄSTERNORRLANDS LÄN</t>
        </is>
      </c>
      <c r="E445" t="inlineStr">
        <is>
          <t>ÅNGE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54720-2024</t>
        </is>
      </c>
      <c r="B446" s="1" t="n">
        <v>45618.43715277778</v>
      </c>
      <c r="C446" s="1" t="n">
        <v>45884</v>
      </c>
      <c r="D446" t="inlineStr">
        <is>
          <t>VÄSTERNORRLANDS LÄN</t>
        </is>
      </c>
      <c r="E446" t="inlineStr">
        <is>
          <t>ÅNGE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35650-2024</t>
        </is>
      </c>
      <c r="B447" s="1" t="n">
        <v>45532.34123842593</v>
      </c>
      <c r="C447" s="1" t="n">
        <v>45884</v>
      </c>
      <c r="D447" t="inlineStr">
        <is>
          <t>VÄSTERNORRLANDS LÄN</t>
        </is>
      </c>
      <c r="E447" t="inlineStr">
        <is>
          <t>ÅNGE</t>
        </is>
      </c>
      <c r="G447" t="n">
        <v>3.8</v>
      </c>
      <c r="H447" t="n">
        <v>0</v>
      </c>
      <c r="I447" t="n">
        <v>0</v>
      </c>
      <c r="J447" t="n">
        <v>0</v>
      </c>
      <c r="K447" t="n">
        <v>0</v>
      </c>
      <c r="L447" t="n">
        <v>0</v>
      </c>
      <c r="M447" t="n">
        <v>0</v>
      </c>
      <c r="N447" t="n">
        <v>0</v>
      </c>
      <c r="O447" t="n">
        <v>0</v>
      </c>
      <c r="P447" t="n">
        <v>0</v>
      </c>
      <c r="Q447" t="n">
        <v>0</v>
      </c>
      <c r="R447" s="2" t="inlineStr"/>
    </row>
    <row r="448" ht="15" customHeight="1">
      <c r="A448" t="inlineStr">
        <is>
          <t>A 15368-2024</t>
        </is>
      </c>
      <c r="B448" s="1" t="n">
        <v>45400.92284722222</v>
      </c>
      <c r="C448" s="1" t="n">
        <v>45884</v>
      </c>
      <c r="D448" t="inlineStr">
        <is>
          <t>VÄSTERNORRLANDS LÄN</t>
        </is>
      </c>
      <c r="E448" t="inlineStr">
        <is>
          <t>ÅNGE</t>
        </is>
      </c>
      <c r="G448" t="n">
        <v>0.4</v>
      </c>
      <c r="H448" t="n">
        <v>0</v>
      </c>
      <c r="I448" t="n">
        <v>0</v>
      </c>
      <c r="J448" t="n">
        <v>0</v>
      </c>
      <c r="K448" t="n">
        <v>0</v>
      </c>
      <c r="L448" t="n">
        <v>0</v>
      </c>
      <c r="M448" t="n">
        <v>0</v>
      </c>
      <c r="N448" t="n">
        <v>0</v>
      </c>
      <c r="O448" t="n">
        <v>0</v>
      </c>
      <c r="P448" t="n">
        <v>0</v>
      </c>
      <c r="Q448" t="n">
        <v>0</v>
      </c>
      <c r="R448" s="2" t="inlineStr"/>
    </row>
    <row r="449" ht="15" customHeight="1">
      <c r="A449" t="inlineStr">
        <is>
          <t>A 19709-2025</t>
        </is>
      </c>
      <c r="B449" s="1" t="n">
        <v>45771.34263888889</v>
      </c>
      <c r="C449" s="1" t="n">
        <v>45884</v>
      </c>
      <c r="D449" t="inlineStr">
        <is>
          <t>VÄSTERNORRLANDS LÄN</t>
        </is>
      </c>
      <c r="E449" t="inlineStr">
        <is>
          <t>ÅNGE</t>
        </is>
      </c>
      <c r="G449" t="n">
        <v>3.8</v>
      </c>
      <c r="H449" t="n">
        <v>0</v>
      </c>
      <c r="I449" t="n">
        <v>0</v>
      </c>
      <c r="J449" t="n">
        <v>0</v>
      </c>
      <c r="K449" t="n">
        <v>0</v>
      </c>
      <c r="L449" t="n">
        <v>0</v>
      </c>
      <c r="M449" t="n">
        <v>0</v>
      </c>
      <c r="N449" t="n">
        <v>0</v>
      </c>
      <c r="O449" t="n">
        <v>0</v>
      </c>
      <c r="P449" t="n">
        <v>0</v>
      </c>
      <c r="Q449" t="n">
        <v>0</v>
      </c>
      <c r="R449" s="2" t="inlineStr"/>
    </row>
    <row r="450" ht="15" customHeight="1">
      <c r="A450" t="inlineStr">
        <is>
          <t>A 11764-2024</t>
        </is>
      </c>
      <c r="B450" s="1" t="n">
        <v>45373.94837962963</v>
      </c>
      <c r="C450" s="1" t="n">
        <v>45884</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6680-2024</t>
        </is>
      </c>
      <c r="B451" s="1" t="n">
        <v>45341</v>
      </c>
      <c r="C451" s="1" t="n">
        <v>45884</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15799-2025</t>
        </is>
      </c>
      <c r="B452" s="1" t="n">
        <v>45748.64768518518</v>
      </c>
      <c r="C452" s="1" t="n">
        <v>45884</v>
      </c>
      <c r="D452" t="inlineStr">
        <is>
          <t>VÄSTERNORRLANDS LÄN</t>
        </is>
      </c>
      <c r="E452" t="inlineStr">
        <is>
          <t>ÅNGE</t>
        </is>
      </c>
      <c r="G452" t="n">
        <v>2.3</v>
      </c>
      <c r="H452" t="n">
        <v>0</v>
      </c>
      <c r="I452" t="n">
        <v>0</v>
      </c>
      <c r="J452" t="n">
        <v>0</v>
      </c>
      <c r="K452" t="n">
        <v>0</v>
      </c>
      <c r="L452" t="n">
        <v>0</v>
      </c>
      <c r="M452" t="n">
        <v>0</v>
      </c>
      <c r="N452" t="n">
        <v>0</v>
      </c>
      <c r="O452" t="n">
        <v>0</v>
      </c>
      <c r="P452" t="n">
        <v>0</v>
      </c>
      <c r="Q452" t="n">
        <v>0</v>
      </c>
      <c r="R452" s="2" t="inlineStr"/>
    </row>
    <row r="453" ht="15" customHeight="1">
      <c r="A453" t="inlineStr">
        <is>
          <t>A 6685-2024</t>
        </is>
      </c>
      <c r="B453" s="1" t="n">
        <v>45341</v>
      </c>
      <c r="C453" s="1" t="n">
        <v>45884</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6689-2024</t>
        </is>
      </c>
      <c r="B454" s="1" t="n">
        <v>45341.9259375</v>
      </c>
      <c r="C454" s="1" t="n">
        <v>45884</v>
      </c>
      <c r="D454" t="inlineStr">
        <is>
          <t>VÄSTERNORRLANDS LÄN</t>
        </is>
      </c>
      <c r="E454" t="inlineStr">
        <is>
          <t>ÅNGE</t>
        </is>
      </c>
      <c r="G454" t="n">
        <v>1</v>
      </c>
      <c r="H454" t="n">
        <v>0</v>
      </c>
      <c r="I454" t="n">
        <v>0</v>
      </c>
      <c r="J454" t="n">
        <v>0</v>
      </c>
      <c r="K454" t="n">
        <v>0</v>
      </c>
      <c r="L454" t="n">
        <v>0</v>
      </c>
      <c r="M454" t="n">
        <v>0</v>
      </c>
      <c r="N454" t="n">
        <v>0</v>
      </c>
      <c r="O454" t="n">
        <v>0</v>
      </c>
      <c r="P454" t="n">
        <v>0</v>
      </c>
      <c r="Q454" t="n">
        <v>0</v>
      </c>
      <c r="R454" s="2" t="inlineStr"/>
    </row>
    <row r="455" ht="15" customHeight="1">
      <c r="A455" t="inlineStr">
        <is>
          <t>A 16303-2025</t>
        </is>
      </c>
      <c r="B455" s="1" t="n">
        <v>45751.3462037037</v>
      </c>
      <c r="C455" s="1" t="n">
        <v>45884</v>
      </c>
      <c r="D455" t="inlineStr">
        <is>
          <t>VÄSTERNORRLANDS LÄN</t>
        </is>
      </c>
      <c r="E455" t="inlineStr">
        <is>
          <t>ÅNGE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25035-2023</t>
        </is>
      </c>
      <c r="B456" s="1" t="n">
        <v>45085</v>
      </c>
      <c r="C456" s="1" t="n">
        <v>45884</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11531-2023</t>
        </is>
      </c>
      <c r="B457" s="1" t="n">
        <v>44993.77038194444</v>
      </c>
      <c r="C457" s="1" t="n">
        <v>45884</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11532-2023</t>
        </is>
      </c>
      <c r="B458" s="1" t="n">
        <v>44993.77212962963</v>
      </c>
      <c r="C458" s="1" t="n">
        <v>45884</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10195-2024</t>
        </is>
      </c>
      <c r="B459" s="1" t="n">
        <v>45364</v>
      </c>
      <c r="C459" s="1" t="n">
        <v>45884</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45459-2022</t>
        </is>
      </c>
      <c r="B460" s="1" t="n">
        <v>44845</v>
      </c>
      <c r="C460" s="1" t="n">
        <v>45884</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41758-2024</t>
        </is>
      </c>
      <c r="B461" s="1" t="n">
        <v>45561.34478009259</v>
      </c>
      <c r="C461" s="1" t="n">
        <v>45884</v>
      </c>
      <c r="D461" t="inlineStr">
        <is>
          <t>VÄSTERNORRLANDS LÄN</t>
        </is>
      </c>
      <c r="E461" t="inlineStr">
        <is>
          <t>ÅNGE</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9759-2024</t>
        </is>
      </c>
      <c r="B462" s="1" t="n">
        <v>45362</v>
      </c>
      <c r="C462" s="1" t="n">
        <v>45884</v>
      </c>
      <c r="D462" t="inlineStr">
        <is>
          <t>VÄSTERNORRLANDS LÄN</t>
        </is>
      </c>
      <c r="E462" t="inlineStr">
        <is>
          <t>ÅNGE</t>
        </is>
      </c>
      <c r="G462" t="n">
        <v>2.5</v>
      </c>
      <c r="H462" t="n">
        <v>0</v>
      </c>
      <c r="I462" t="n">
        <v>0</v>
      </c>
      <c r="J462" t="n">
        <v>0</v>
      </c>
      <c r="K462" t="n">
        <v>0</v>
      </c>
      <c r="L462" t="n">
        <v>0</v>
      </c>
      <c r="M462" t="n">
        <v>0</v>
      </c>
      <c r="N462" t="n">
        <v>0</v>
      </c>
      <c r="O462" t="n">
        <v>0</v>
      </c>
      <c r="P462" t="n">
        <v>0</v>
      </c>
      <c r="Q462" t="n">
        <v>0</v>
      </c>
      <c r="R462" s="2" t="inlineStr"/>
    </row>
    <row r="463" ht="15" customHeight="1">
      <c r="A463" t="inlineStr">
        <is>
          <t>A 55328-2023</t>
        </is>
      </c>
      <c r="B463" s="1" t="n">
        <v>45237</v>
      </c>
      <c r="C463" s="1" t="n">
        <v>45884</v>
      </c>
      <c r="D463" t="inlineStr">
        <is>
          <t>VÄSTERNORRLANDS LÄN</t>
        </is>
      </c>
      <c r="E463" t="inlineStr">
        <is>
          <t>ÅNGE</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5369-2022</t>
        </is>
      </c>
      <c r="B464" s="1" t="n">
        <v>44594.92113425926</v>
      </c>
      <c r="C464" s="1" t="n">
        <v>45884</v>
      </c>
      <c r="D464" t="inlineStr">
        <is>
          <t>VÄSTERNORRLANDS LÄN</t>
        </is>
      </c>
      <c r="E464" t="inlineStr">
        <is>
          <t>ÅNGE</t>
        </is>
      </c>
      <c r="G464" t="n">
        <v>1.3</v>
      </c>
      <c r="H464" t="n">
        <v>0</v>
      </c>
      <c r="I464" t="n">
        <v>0</v>
      </c>
      <c r="J464" t="n">
        <v>0</v>
      </c>
      <c r="K464" t="n">
        <v>0</v>
      </c>
      <c r="L464" t="n">
        <v>0</v>
      </c>
      <c r="M464" t="n">
        <v>0</v>
      </c>
      <c r="N464" t="n">
        <v>0</v>
      </c>
      <c r="O464" t="n">
        <v>0</v>
      </c>
      <c r="P464" t="n">
        <v>0</v>
      </c>
      <c r="Q464" t="n">
        <v>0</v>
      </c>
      <c r="R464" s="2" t="inlineStr"/>
    </row>
    <row r="465" ht="15" customHeight="1">
      <c r="A465" t="inlineStr">
        <is>
          <t>A 213-2024</t>
        </is>
      </c>
      <c r="B465" s="1" t="n">
        <v>45293</v>
      </c>
      <c r="C465" s="1" t="n">
        <v>45884</v>
      </c>
      <c r="D465" t="inlineStr">
        <is>
          <t>VÄSTERNORRLANDS LÄN</t>
        </is>
      </c>
      <c r="E465" t="inlineStr">
        <is>
          <t>ÅNGE</t>
        </is>
      </c>
      <c r="G465" t="n">
        <v>1</v>
      </c>
      <c r="H465" t="n">
        <v>0</v>
      </c>
      <c r="I465" t="n">
        <v>0</v>
      </c>
      <c r="J465" t="n">
        <v>0</v>
      </c>
      <c r="K465" t="n">
        <v>0</v>
      </c>
      <c r="L465" t="n">
        <v>0</v>
      </c>
      <c r="M465" t="n">
        <v>0</v>
      </c>
      <c r="N465" t="n">
        <v>0</v>
      </c>
      <c r="O465" t="n">
        <v>0</v>
      </c>
      <c r="P465" t="n">
        <v>0</v>
      </c>
      <c r="Q465" t="n">
        <v>0</v>
      </c>
      <c r="R465" s="2" t="inlineStr"/>
    </row>
    <row r="466" ht="15" customHeight="1">
      <c r="A466" t="inlineStr">
        <is>
          <t>A 42488-2024</t>
        </is>
      </c>
      <c r="B466" s="1" t="n">
        <v>45565.49420138889</v>
      </c>
      <c r="C466" s="1" t="n">
        <v>45884</v>
      </c>
      <c r="D466" t="inlineStr">
        <is>
          <t>VÄSTERNORRLANDS LÄN</t>
        </is>
      </c>
      <c r="E466" t="inlineStr">
        <is>
          <t>ÅNGE</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42529-2024</t>
        </is>
      </c>
      <c r="B467" s="1" t="n">
        <v>45565.57324074074</v>
      </c>
      <c r="C467" s="1" t="n">
        <v>45884</v>
      </c>
      <c r="D467" t="inlineStr">
        <is>
          <t>VÄSTERNORRLANDS LÄN</t>
        </is>
      </c>
      <c r="E467" t="inlineStr">
        <is>
          <t>ÅNGE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37382-2021</t>
        </is>
      </c>
      <c r="B468" s="1" t="n">
        <v>44397</v>
      </c>
      <c r="C468" s="1" t="n">
        <v>45884</v>
      </c>
      <c r="D468" t="inlineStr">
        <is>
          <t>VÄSTERNORRLANDS LÄN</t>
        </is>
      </c>
      <c r="E468" t="inlineStr">
        <is>
          <t>ÅNGE</t>
        </is>
      </c>
      <c r="G468" t="n">
        <v>2.4</v>
      </c>
      <c r="H468" t="n">
        <v>0</v>
      </c>
      <c r="I468" t="n">
        <v>0</v>
      </c>
      <c r="J468" t="n">
        <v>0</v>
      </c>
      <c r="K468" t="n">
        <v>0</v>
      </c>
      <c r="L468" t="n">
        <v>0</v>
      </c>
      <c r="M468" t="n">
        <v>0</v>
      </c>
      <c r="N468" t="n">
        <v>0</v>
      </c>
      <c r="O468" t="n">
        <v>0</v>
      </c>
      <c r="P468" t="n">
        <v>0</v>
      </c>
      <c r="Q468" t="n">
        <v>0</v>
      </c>
      <c r="R468" s="2" t="inlineStr"/>
    </row>
    <row r="469" ht="15" customHeight="1">
      <c r="A469" t="inlineStr">
        <is>
          <t>A 9211-2023</t>
        </is>
      </c>
      <c r="B469" s="1" t="n">
        <v>44980</v>
      </c>
      <c r="C469" s="1" t="n">
        <v>45884</v>
      </c>
      <c r="D469" t="inlineStr">
        <is>
          <t>VÄSTERNORRLANDS LÄN</t>
        </is>
      </c>
      <c r="E469" t="inlineStr">
        <is>
          <t>ÅNGE</t>
        </is>
      </c>
      <c r="G469" t="n">
        <v>2.3</v>
      </c>
      <c r="H469" t="n">
        <v>0</v>
      </c>
      <c r="I469" t="n">
        <v>0</v>
      </c>
      <c r="J469" t="n">
        <v>0</v>
      </c>
      <c r="K469" t="n">
        <v>0</v>
      </c>
      <c r="L469" t="n">
        <v>0</v>
      </c>
      <c r="M469" t="n">
        <v>0</v>
      </c>
      <c r="N469" t="n">
        <v>0</v>
      </c>
      <c r="O469" t="n">
        <v>0</v>
      </c>
      <c r="P469" t="n">
        <v>0</v>
      </c>
      <c r="Q469" t="n">
        <v>0</v>
      </c>
      <c r="R469" s="2" t="inlineStr"/>
    </row>
    <row r="470" ht="15" customHeight="1">
      <c r="A470" t="inlineStr">
        <is>
          <t>A 29193-2024</t>
        </is>
      </c>
      <c r="B470" s="1" t="n">
        <v>45482.56510416666</v>
      </c>
      <c r="C470" s="1" t="n">
        <v>45884</v>
      </c>
      <c r="D470" t="inlineStr">
        <is>
          <t>VÄSTERNORRLANDS LÄN</t>
        </is>
      </c>
      <c r="E470" t="inlineStr">
        <is>
          <t>ÅNGE</t>
        </is>
      </c>
      <c r="G470" t="n">
        <v>5.6</v>
      </c>
      <c r="H470" t="n">
        <v>0</v>
      </c>
      <c r="I470" t="n">
        <v>0</v>
      </c>
      <c r="J470" t="n">
        <v>0</v>
      </c>
      <c r="K470" t="n">
        <v>0</v>
      </c>
      <c r="L470" t="n">
        <v>0</v>
      </c>
      <c r="M470" t="n">
        <v>0</v>
      </c>
      <c r="N470" t="n">
        <v>0</v>
      </c>
      <c r="O470" t="n">
        <v>0</v>
      </c>
      <c r="P470" t="n">
        <v>0</v>
      </c>
      <c r="Q470" t="n">
        <v>0</v>
      </c>
      <c r="R470" s="2" t="inlineStr"/>
    </row>
    <row r="471" ht="15" customHeight="1">
      <c r="A471" t="inlineStr">
        <is>
          <t>A 3023-2023</t>
        </is>
      </c>
      <c r="B471" s="1" t="n">
        <v>44945</v>
      </c>
      <c r="C471" s="1" t="n">
        <v>45884</v>
      </c>
      <c r="D471" t="inlineStr">
        <is>
          <t>VÄSTERNORRLANDS LÄN</t>
        </is>
      </c>
      <c r="E471" t="inlineStr">
        <is>
          <t>ÅNGE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3025-2023</t>
        </is>
      </c>
      <c r="B472" s="1" t="n">
        <v>44945</v>
      </c>
      <c r="C472" s="1" t="n">
        <v>45884</v>
      </c>
      <c r="D472" t="inlineStr">
        <is>
          <t>VÄSTERNORRLANDS LÄN</t>
        </is>
      </c>
      <c r="E472" t="inlineStr">
        <is>
          <t>ÅNGE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4872-2025</t>
        </is>
      </c>
      <c r="B473" s="1" t="n">
        <v>45688.67619212963</v>
      </c>
      <c r="C473" s="1" t="n">
        <v>45884</v>
      </c>
      <c r="D473" t="inlineStr">
        <is>
          <t>VÄSTERNORRLANDS LÄN</t>
        </is>
      </c>
      <c r="E473" t="inlineStr">
        <is>
          <t>ÅNGE</t>
        </is>
      </c>
      <c r="F473" t="inlineStr">
        <is>
          <t>SCA</t>
        </is>
      </c>
      <c r="G473" t="n">
        <v>31.3</v>
      </c>
      <c r="H473" t="n">
        <v>0</v>
      </c>
      <c r="I473" t="n">
        <v>0</v>
      </c>
      <c r="J473" t="n">
        <v>0</v>
      </c>
      <c r="K473" t="n">
        <v>0</v>
      </c>
      <c r="L473" t="n">
        <v>0</v>
      </c>
      <c r="M473" t="n">
        <v>0</v>
      </c>
      <c r="N473" t="n">
        <v>0</v>
      </c>
      <c r="O473" t="n">
        <v>0</v>
      </c>
      <c r="P473" t="n">
        <v>0</v>
      </c>
      <c r="Q473" t="n">
        <v>0</v>
      </c>
      <c r="R473" s="2" t="inlineStr"/>
    </row>
    <row r="474" ht="15" customHeight="1">
      <c r="A474" t="inlineStr">
        <is>
          <t>A 35426-2024</t>
        </is>
      </c>
      <c r="B474" s="1" t="n">
        <v>45531</v>
      </c>
      <c r="C474" s="1" t="n">
        <v>45884</v>
      </c>
      <c r="D474" t="inlineStr">
        <is>
          <t>VÄSTERNORRLANDS LÄN</t>
        </is>
      </c>
      <c r="E474" t="inlineStr">
        <is>
          <t>ÅNGE</t>
        </is>
      </c>
      <c r="F474" t="inlineStr">
        <is>
          <t>SCA</t>
        </is>
      </c>
      <c r="G474" t="n">
        <v>10.9</v>
      </c>
      <c r="H474" t="n">
        <v>0</v>
      </c>
      <c r="I474" t="n">
        <v>0</v>
      </c>
      <c r="J474" t="n">
        <v>0</v>
      </c>
      <c r="K474" t="n">
        <v>0</v>
      </c>
      <c r="L474" t="n">
        <v>0</v>
      </c>
      <c r="M474" t="n">
        <v>0</v>
      </c>
      <c r="N474" t="n">
        <v>0</v>
      </c>
      <c r="O474" t="n">
        <v>0</v>
      </c>
      <c r="P474" t="n">
        <v>0</v>
      </c>
      <c r="Q474" t="n">
        <v>0</v>
      </c>
      <c r="R474" s="2" t="inlineStr"/>
    </row>
    <row r="475" ht="15" customHeight="1">
      <c r="A475" t="inlineStr">
        <is>
          <t>A 11529-2023</t>
        </is>
      </c>
      <c r="B475" s="1" t="n">
        <v>44993</v>
      </c>
      <c r="C475" s="1" t="n">
        <v>45884</v>
      </c>
      <c r="D475" t="inlineStr">
        <is>
          <t>VÄSTERNORRLANDS LÄN</t>
        </is>
      </c>
      <c r="E475" t="inlineStr">
        <is>
          <t>ÅNGE</t>
        </is>
      </c>
      <c r="G475" t="n">
        <v>8.9</v>
      </c>
      <c r="H475" t="n">
        <v>0</v>
      </c>
      <c r="I475" t="n">
        <v>0</v>
      </c>
      <c r="J475" t="n">
        <v>0</v>
      </c>
      <c r="K475" t="n">
        <v>0</v>
      </c>
      <c r="L475" t="n">
        <v>0</v>
      </c>
      <c r="M475" t="n">
        <v>0</v>
      </c>
      <c r="N475" t="n">
        <v>0</v>
      </c>
      <c r="O475" t="n">
        <v>0</v>
      </c>
      <c r="P475" t="n">
        <v>0</v>
      </c>
      <c r="Q475" t="n">
        <v>0</v>
      </c>
      <c r="R475" s="2" t="inlineStr"/>
    </row>
    <row r="476" ht="15" customHeight="1">
      <c r="A476" t="inlineStr">
        <is>
          <t>A 56232-2024</t>
        </is>
      </c>
      <c r="B476" s="1" t="n">
        <v>45624</v>
      </c>
      <c r="C476" s="1" t="n">
        <v>45884</v>
      </c>
      <c r="D476" t="inlineStr">
        <is>
          <t>VÄSTERNORRLANDS LÄN</t>
        </is>
      </c>
      <c r="E476" t="inlineStr">
        <is>
          <t>ÅNGE</t>
        </is>
      </c>
      <c r="G476" t="n">
        <v>1.1</v>
      </c>
      <c r="H476" t="n">
        <v>0</v>
      </c>
      <c r="I476" t="n">
        <v>0</v>
      </c>
      <c r="J476" t="n">
        <v>0</v>
      </c>
      <c r="K476" t="n">
        <v>0</v>
      </c>
      <c r="L476" t="n">
        <v>0</v>
      </c>
      <c r="M476" t="n">
        <v>0</v>
      </c>
      <c r="N476" t="n">
        <v>0</v>
      </c>
      <c r="O476" t="n">
        <v>0</v>
      </c>
      <c r="P476" t="n">
        <v>0</v>
      </c>
      <c r="Q476" t="n">
        <v>0</v>
      </c>
      <c r="R476" s="2" t="inlineStr"/>
    </row>
    <row r="477" ht="15" customHeight="1">
      <c r="A477" t="inlineStr">
        <is>
          <t>A 35488-2024</t>
        </is>
      </c>
      <c r="B477" s="1" t="n">
        <v>45531</v>
      </c>
      <c r="C477" s="1" t="n">
        <v>45884</v>
      </c>
      <c r="D477" t="inlineStr">
        <is>
          <t>VÄSTERNORRLANDS LÄN</t>
        </is>
      </c>
      <c r="E477" t="inlineStr">
        <is>
          <t>ÅNGE</t>
        </is>
      </c>
      <c r="G477" t="n">
        <v>2.4</v>
      </c>
      <c r="H477" t="n">
        <v>0</v>
      </c>
      <c r="I477" t="n">
        <v>0</v>
      </c>
      <c r="J477" t="n">
        <v>0</v>
      </c>
      <c r="K477" t="n">
        <v>0</v>
      </c>
      <c r="L477" t="n">
        <v>0</v>
      </c>
      <c r="M477" t="n">
        <v>0</v>
      </c>
      <c r="N477" t="n">
        <v>0</v>
      </c>
      <c r="O477" t="n">
        <v>0</v>
      </c>
      <c r="P477" t="n">
        <v>0</v>
      </c>
      <c r="Q477" t="n">
        <v>0</v>
      </c>
      <c r="R477" s="2" t="inlineStr"/>
    </row>
    <row r="478" ht="15" customHeight="1">
      <c r="A478" t="inlineStr">
        <is>
          <t>A 3347-2024</t>
        </is>
      </c>
      <c r="B478" s="1" t="n">
        <v>45317</v>
      </c>
      <c r="C478" s="1" t="n">
        <v>45884</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16853-2023</t>
        </is>
      </c>
      <c r="B479" s="1" t="n">
        <v>45033</v>
      </c>
      <c r="C479" s="1" t="n">
        <v>45884</v>
      </c>
      <c r="D479" t="inlineStr">
        <is>
          <t>VÄSTERNORRLANDS LÄN</t>
        </is>
      </c>
      <c r="E479" t="inlineStr">
        <is>
          <t>ÅNGE</t>
        </is>
      </c>
      <c r="G479" t="n">
        <v>0.7</v>
      </c>
      <c r="H479" t="n">
        <v>0</v>
      </c>
      <c r="I479" t="n">
        <v>0</v>
      </c>
      <c r="J479" t="n">
        <v>0</v>
      </c>
      <c r="K479" t="n">
        <v>0</v>
      </c>
      <c r="L479" t="n">
        <v>0</v>
      </c>
      <c r="M479" t="n">
        <v>0</v>
      </c>
      <c r="N479" t="n">
        <v>0</v>
      </c>
      <c r="O479" t="n">
        <v>0</v>
      </c>
      <c r="P479" t="n">
        <v>0</v>
      </c>
      <c r="Q479" t="n">
        <v>0</v>
      </c>
      <c r="R479" s="2" t="inlineStr"/>
    </row>
    <row r="480" ht="15" customHeight="1">
      <c r="A480" t="inlineStr">
        <is>
          <t>A 31563-2024</t>
        </is>
      </c>
      <c r="B480" s="1" t="n">
        <v>45505</v>
      </c>
      <c r="C480" s="1" t="n">
        <v>45884</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17009-2023</t>
        </is>
      </c>
      <c r="B481" s="1" t="n">
        <v>45033.9455787037</v>
      </c>
      <c r="C481" s="1" t="n">
        <v>45884</v>
      </c>
      <c r="D481" t="inlineStr">
        <is>
          <t>VÄSTERNORRLANDS LÄN</t>
        </is>
      </c>
      <c r="E481" t="inlineStr">
        <is>
          <t>ÅNGE</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7528-2023</t>
        </is>
      </c>
      <c r="B482" s="1" t="n">
        <v>44971.97662037037</v>
      </c>
      <c r="C482" s="1" t="n">
        <v>45884</v>
      </c>
      <c r="D482" t="inlineStr">
        <is>
          <t>VÄSTERNORRLANDS LÄN</t>
        </is>
      </c>
      <c r="E482" t="inlineStr">
        <is>
          <t>ÅNGE</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53988-2024</t>
        </is>
      </c>
      <c r="B483" s="1" t="n">
        <v>45616.34408564815</v>
      </c>
      <c r="C483" s="1" t="n">
        <v>45884</v>
      </c>
      <c r="D483" t="inlineStr">
        <is>
          <t>VÄSTERNORRLANDS LÄN</t>
        </is>
      </c>
      <c r="E483" t="inlineStr">
        <is>
          <t>ÅNGE</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54002-2024</t>
        </is>
      </c>
      <c r="B484" s="1" t="n">
        <v>45616.36491898148</v>
      </c>
      <c r="C484" s="1" t="n">
        <v>45884</v>
      </c>
      <c r="D484" t="inlineStr">
        <is>
          <t>VÄSTERNORRLANDS LÄN</t>
        </is>
      </c>
      <c r="E484" t="inlineStr">
        <is>
          <t>ÅNGE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54059-2024</t>
        </is>
      </c>
      <c r="B485" s="1" t="n">
        <v>45616.46943287037</v>
      </c>
      <c r="C485" s="1" t="n">
        <v>45884</v>
      </c>
      <c r="D485" t="inlineStr">
        <is>
          <t>VÄSTERNORRLANDS LÄN</t>
        </is>
      </c>
      <c r="E485" t="inlineStr">
        <is>
          <t>ÅNGE</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24324-2022</t>
        </is>
      </c>
      <c r="B486" s="1" t="n">
        <v>44725.945</v>
      </c>
      <c r="C486" s="1" t="n">
        <v>45884</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24325-2022</t>
        </is>
      </c>
      <c r="B487" s="1" t="n">
        <v>44725.94506944445</v>
      </c>
      <c r="C487" s="1" t="n">
        <v>45884</v>
      </c>
      <c r="D487" t="inlineStr">
        <is>
          <t>VÄSTERNORRLANDS LÄN</t>
        </is>
      </c>
      <c r="E487" t="inlineStr">
        <is>
          <t>ÅNGE</t>
        </is>
      </c>
      <c r="G487" t="n">
        <v>1.6</v>
      </c>
      <c r="H487" t="n">
        <v>0</v>
      </c>
      <c r="I487" t="n">
        <v>0</v>
      </c>
      <c r="J487" t="n">
        <v>0</v>
      </c>
      <c r="K487" t="n">
        <v>0</v>
      </c>
      <c r="L487" t="n">
        <v>0</v>
      </c>
      <c r="M487" t="n">
        <v>0</v>
      </c>
      <c r="N487" t="n">
        <v>0</v>
      </c>
      <c r="O487" t="n">
        <v>0</v>
      </c>
      <c r="P487" t="n">
        <v>0</v>
      </c>
      <c r="Q487" t="n">
        <v>0</v>
      </c>
      <c r="R487" s="2" t="inlineStr"/>
    </row>
    <row r="488" ht="15" customHeight="1">
      <c r="A488" t="inlineStr">
        <is>
          <t>A 19829-2025</t>
        </is>
      </c>
      <c r="B488" s="1" t="n">
        <v>45771.46944444445</v>
      </c>
      <c r="C488" s="1" t="n">
        <v>45884</v>
      </c>
      <c r="D488" t="inlineStr">
        <is>
          <t>VÄSTERNORRLANDS LÄN</t>
        </is>
      </c>
      <c r="E488" t="inlineStr">
        <is>
          <t>ÅNGE</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16362-2023</t>
        </is>
      </c>
      <c r="B489" s="1" t="n">
        <v>45028.9250462963</v>
      </c>
      <c r="C489" s="1" t="n">
        <v>45884</v>
      </c>
      <c r="D489" t="inlineStr">
        <is>
          <t>VÄSTERNORRLANDS LÄN</t>
        </is>
      </c>
      <c r="E489" t="inlineStr">
        <is>
          <t>ÅNGE</t>
        </is>
      </c>
      <c r="G489" t="n">
        <v>4.8</v>
      </c>
      <c r="H489" t="n">
        <v>0</v>
      </c>
      <c r="I489" t="n">
        <v>0</v>
      </c>
      <c r="J489" t="n">
        <v>0</v>
      </c>
      <c r="K489" t="n">
        <v>0</v>
      </c>
      <c r="L489" t="n">
        <v>0</v>
      </c>
      <c r="M489" t="n">
        <v>0</v>
      </c>
      <c r="N489" t="n">
        <v>0</v>
      </c>
      <c r="O489" t="n">
        <v>0</v>
      </c>
      <c r="P489" t="n">
        <v>0</v>
      </c>
      <c r="Q489" t="n">
        <v>0</v>
      </c>
      <c r="R489" s="2" t="inlineStr"/>
    </row>
    <row r="490" ht="15" customHeight="1">
      <c r="A490" t="inlineStr">
        <is>
          <t>A 32458-2024</t>
        </is>
      </c>
      <c r="B490" s="1" t="n">
        <v>45512</v>
      </c>
      <c r="C490" s="1" t="n">
        <v>45884</v>
      </c>
      <c r="D490" t="inlineStr">
        <is>
          <t>VÄSTERNORRLANDS LÄN</t>
        </is>
      </c>
      <c r="E490" t="inlineStr">
        <is>
          <t>ÅNGE</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39973-2023</t>
        </is>
      </c>
      <c r="B491" s="1" t="n">
        <v>45168.5858912037</v>
      </c>
      <c r="C491" s="1" t="n">
        <v>45884</v>
      </c>
      <c r="D491" t="inlineStr">
        <is>
          <t>VÄSTERNORRLANDS LÄN</t>
        </is>
      </c>
      <c r="E491" t="inlineStr">
        <is>
          <t>ÅNGE</t>
        </is>
      </c>
      <c r="G491" t="n">
        <v>3.6</v>
      </c>
      <c r="H491" t="n">
        <v>0</v>
      </c>
      <c r="I491" t="n">
        <v>0</v>
      </c>
      <c r="J491" t="n">
        <v>0</v>
      </c>
      <c r="K491" t="n">
        <v>0</v>
      </c>
      <c r="L491" t="n">
        <v>0</v>
      </c>
      <c r="M491" t="n">
        <v>0</v>
      </c>
      <c r="N491" t="n">
        <v>0</v>
      </c>
      <c r="O491" t="n">
        <v>0</v>
      </c>
      <c r="P491" t="n">
        <v>0</v>
      </c>
      <c r="Q491" t="n">
        <v>0</v>
      </c>
      <c r="R491" s="2" t="inlineStr"/>
    </row>
    <row r="492" ht="15" customHeight="1">
      <c r="A492" t="inlineStr">
        <is>
          <t>A 33747-2024</t>
        </is>
      </c>
      <c r="B492" s="1" t="n">
        <v>45520</v>
      </c>
      <c r="C492" s="1" t="n">
        <v>45884</v>
      </c>
      <c r="D492" t="inlineStr">
        <is>
          <t>VÄSTERNORRLANDS LÄN</t>
        </is>
      </c>
      <c r="E492" t="inlineStr">
        <is>
          <t>ÅNGE</t>
        </is>
      </c>
      <c r="G492" t="n">
        <v>0.7</v>
      </c>
      <c r="H492" t="n">
        <v>0</v>
      </c>
      <c r="I492" t="n">
        <v>0</v>
      </c>
      <c r="J492" t="n">
        <v>0</v>
      </c>
      <c r="K492" t="n">
        <v>0</v>
      </c>
      <c r="L492" t="n">
        <v>0</v>
      </c>
      <c r="M492" t="n">
        <v>0</v>
      </c>
      <c r="N492" t="n">
        <v>0</v>
      </c>
      <c r="O492" t="n">
        <v>0</v>
      </c>
      <c r="P492" t="n">
        <v>0</v>
      </c>
      <c r="Q492" t="n">
        <v>0</v>
      </c>
      <c r="R492" s="2" t="inlineStr"/>
    </row>
    <row r="493" ht="15" customHeight="1">
      <c r="A493" t="inlineStr">
        <is>
          <t>A 50235-2021</t>
        </is>
      </c>
      <c r="B493" s="1" t="n">
        <v>44457</v>
      </c>
      <c r="C493" s="1" t="n">
        <v>45884</v>
      </c>
      <c r="D493" t="inlineStr">
        <is>
          <t>VÄSTERNORRLANDS LÄN</t>
        </is>
      </c>
      <c r="E493" t="inlineStr">
        <is>
          <t>ÅNGE</t>
        </is>
      </c>
      <c r="G493" t="n">
        <v>3.8</v>
      </c>
      <c r="H493" t="n">
        <v>0</v>
      </c>
      <c r="I493" t="n">
        <v>0</v>
      </c>
      <c r="J493" t="n">
        <v>0</v>
      </c>
      <c r="K493" t="n">
        <v>0</v>
      </c>
      <c r="L493" t="n">
        <v>0</v>
      </c>
      <c r="M493" t="n">
        <v>0</v>
      </c>
      <c r="N493" t="n">
        <v>0</v>
      </c>
      <c r="O493" t="n">
        <v>0</v>
      </c>
      <c r="P493" t="n">
        <v>0</v>
      </c>
      <c r="Q493" t="n">
        <v>0</v>
      </c>
      <c r="R493" s="2" t="inlineStr"/>
    </row>
    <row r="494" ht="15" customHeight="1">
      <c r="A494" t="inlineStr">
        <is>
          <t>A 34851-2023</t>
        </is>
      </c>
      <c r="B494" s="1" t="n">
        <v>45141</v>
      </c>
      <c r="C494" s="1" t="n">
        <v>45884</v>
      </c>
      <c r="D494" t="inlineStr">
        <is>
          <t>VÄSTERNORRLANDS LÄN</t>
        </is>
      </c>
      <c r="E494" t="inlineStr">
        <is>
          <t>ÅNGE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741-2024</t>
        </is>
      </c>
      <c r="B495" s="1" t="n">
        <v>45300.46591435185</v>
      </c>
      <c r="C495" s="1" t="n">
        <v>45884</v>
      </c>
      <c r="D495" t="inlineStr">
        <is>
          <t>VÄSTERNORRLANDS LÄN</t>
        </is>
      </c>
      <c r="E495" t="inlineStr">
        <is>
          <t>ÅNGE</t>
        </is>
      </c>
      <c r="G495" t="n">
        <v>8</v>
      </c>
      <c r="H495" t="n">
        <v>0</v>
      </c>
      <c r="I495" t="n">
        <v>0</v>
      </c>
      <c r="J495" t="n">
        <v>0</v>
      </c>
      <c r="K495" t="n">
        <v>0</v>
      </c>
      <c r="L495" t="n">
        <v>0</v>
      </c>
      <c r="M495" t="n">
        <v>0</v>
      </c>
      <c r="N495" t="n">
        <v>0</v>
      </c>
      <c r="O495" t="n">
        <v>0</v>
      </c>
      <c r="P495" t="n">
        <v>0</v>
      </c>
      <c r="Q495" t="n">
        <v>0</v>
      </c>
      <c r="R495" s="2" t="inlineStr"/>
    </row>
    <row r="496" ht="15" customHeight="1">
      <c r="A496" t="inlineStr">
        <is>
          <t>A 48369-2024</t>
        </is>
      </c>
      <c r="B496" s="1" t="n">
        <v>45590.57960648148</v>
      </c>
      <c r="C496" s="1" t="n">
        <v>45884</v>
      </c>
      <c r="D496" t="inlineStr">
        <is>
          <t>VÄSTERNORRLANDS LÄN</t>
        </is>
      </c>
      <c r="E496" t="inlineStr">
        <is>
          <t>ÅNGE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44600-2024</t>
        </is>
      </c>
      <c r="B497" s="1" t="n">
        <v>45574.51113425926</v>
      </c>
      <c r="C497" s="1" t="n">
        <v>45884</v>
      </c>
      <c r="D497" t="inlineStr">
        <is>
          <t>VÄSTERNORRLANDS LÄN</t>
        </is>
      </c>
      <c r="E497" t="inlineStr">
        <is>
          <t>ÅNGE</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16524-2025</t>
        </is>
      </c>
      <c r="B498" s="1" t="n">
        <v>45751.64310185185</v>
      </c>
      <c r="C498" s="1" t="n">
        <v>45884</v>
      </c>
      <c r="D498" t="inlineStr">
        <is>
          <t>VÄSTERNORRLANDS LÄN</t>
        </is>
      </c>
      <c r="E498" t="inlineStr">
        <is>
          <t>ÅNGE</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113-2025</t>
        </is>
      </c>
      <c r="B499" s="1" t="n">
        <v>45659.5106712963</v>
      </c>
      <c r="C499" s="1" t="n">
        <v>45884</v>
      </c>
      <c r="D499" t="inlineStr">
        <is>
          <t>VÄSTERNORRLANDS LÄN</t>
        </is>
      </c>
      <c r="E499" t="inlineStr">
        <is>
          <t>ÅNGE</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52683-2024</t>
        </is>
      </c>
      <c r="B500" s="1" t="n">
        <v>45610</v>
      </c>
      <c r="C500" s="1" t="n">
        <v>45884</v>
      </c>
      <c r="D500" t="inlineStr">
        <is>
          <t>VÄSTERNORRLANDS LÄN</t>
        </is>
      </c>
      <c r="E500" t="inlineStr">
        <is>
          <t>ÅNGE</t>
        </is>
      </c>
      <c r="G500" t="n">
        <v>1.8</v>
      </c>
      <c r="H500" t="n">
        <v>0</v>
      </c>
      <c r="I500" t="n">
        <v>0</v>
      </c>
      <c r="J500" t="n">
        <v>0</v>
      </c>
      <c r="K500" t="n">
        <v>0</v>
      </c>
      <c r="L500" t="n">
        <v>0</v>
      </c>
      <c r="M500" t="n">
        <v>0</v>
      </c>
      <c r="N500" t="n">
        <v>0</v>
      </c>
      <c r="O500" t="n">
        <v>0</v>
      </c>
      <c r="P500" t="n">
        <v>0</v>
      </c>
      <c r="Q500" t="n">
        <v>0</v>
      </c>
      <c r="R500" s="2" t="inlineStr"/>
    </row>
    <row r="501" ht="15" customHeight="1">
      <c r="A501" t="inlineStr">
        <is>
          <t>A 40790-2023</t>
        </is>
      </c>
      <c r="B501" s="1" t="n">
        <v>45170.95814814815</v>
      </c>
      <c r="C501" s="1" t="n">
        <v>45884</v>
      </c>
      <c r="D501" t="inlineStr">
        <is>
          <t>VÄSTERNORRLANDS LÄN</t>
        </is>
      </c>
      <c r="E501" t="inlineStr">
        <is>
          <t>ÅNGE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38002-2024</t>
        </is>
      </c>
      <c r="B502" s="1" t="n">
        <v>45544.61484953704</v>
      </c>
      <c r="C502" s="1" t="n">
        <v>45884</v>
      </c>
      <c r="D502" t="inlineStr">
        <is>
          <t>VÄSTERNORRLANDS LÄN</t>
        </is>
      </c>
      <c r="E502" t="inlineStr">
        <is>
          <t>ÅNGE</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60514-2024</t>
        </is>
      </c>
      <c r="B503" s="1" t="n">
        <v>45643.67474537037</v>
      </c>
      <c r="C503" s="1" t="n">
        <v>45884</v>
      </c>
      <c r="D503" t="inlineStr">
        <is>
          <t>VÄSTERNORRLANDS LÄN</t>
        </is>
      </c>
      <c r="E503" t="inlineStr">
        <is>
          <t>ÅNGE</t>
        </is>
      </c>
      <c r="G503" t="n">
        <v>2.4</v>
      </c>
      <c r="H503" t="n">
        <v>0</v>
      </c>
      <c r="I503" t="n">
        <v>0</v>
      </c>
      <c r="J503" t="n">
        <v>0</v>
      </c>
      <c r="K503" t="n">
        <v>0</v>
      </c>
      <c r="L503" t="n">
        <v>0</v>
      </c>
      <c r="M503" t="n">
        <v>0</v>
      </c>
      <c r="N503" t="n">
        <v>0</v>
      </c>
      <c r="O503" t="n">
        <v>0</v>
      </c>
      <c r="P503" t="n">
        <v>0</v>
      </c>
      <c r="Q503" t="n">
        <v>0</v>
      </c>
      <c r="R503" s="2" t="inlineStr"/>
    </row>
    <row r="504" ht="15" customHeight="1">
      <c r="A504" t="inlineStr">
        <is>
          <t>A 6684-2024</t>
        </is>
      </c>
      <c r="B504" s="1" t="n">
        <v>45341.92555555556</v>
      </c>
      <c r="C504" s="1" t="n">
        <v>45884</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6691-2024</t>
        </is>
      </c>
      <c r="B505" s="1" t="n">
        <v>45341</v>
      </c>
      <c r="C505" s="1" t="n">
        <v>45884</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12806-2025</t>
        </is>
      </c>
      <c r="B506" s="1" t="n">
        <v>45733.61518518518</v>
      </c>
      <c r="C506" s="1" t="n">
        <v>45884</v>
      </c>
      <c r="D506" t="inlineStr">
        <is>
          <t>VÄSTERNORRLANDS LÄN</t>
        </is>
      </c>
      <c r="E506" t="inlineStr">
        <is>
          <t>ÅNGE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27002-2023</t>
        </is>
      </c>
      <c r="B507" s="1" t="n">
        <v>45093</v>
      </c>
      <c r="C507" s="1" t="n">
        <v>45884</v>
      </c>
      <c r="D507" t="inlineStr">
        <is>
          <t>VÄSTERNORRLANDS LÄN</t>
        </is>
      </c>
      <c r="E507" t="inlineStr">
        <is>
          <t>ÅNGE</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56874-2024</t>
        </is>
      </c>
      <c r="B508" s="1" t="n">
        <v>45628</v>
      </c>
      <c r="C508" s="1" t="n">
        <v>45884</v>
      </c>
      <c r="D508" t="inlineStr">
        <is>
          <t>VÄSTERNORRLANDS LÄN</t>
        </is>
      </c>
      <c r="E508" t="inlineStr">
        <is>
          <t>ÅNGE</t>
        </is>
      </c>
      <c r="G508" t="n">
        <v>1.1</v>
      </c>
      <c r="H508" t="n">
        <v>0</v>
      </c>
      <c r="I508" t="n">
        <v>0</v>
      </c>
      <c r="J508" t="n">
        <v>0</v>
      </c>
      <c r="K508" t="n">
        <v>0</v>
      </c>
      <c r="L508" t="n">
        <v>0</v>
      </c>
      <c r="M508" t="n">
        <v>0</v>
      </c>
      <c r="N508" t="n">
        <v>0</v>
      </c>
      <c r="O508" t="n">
        <v>0</v>
      </c>
      <c r="P508" t="n">
        <v>0</v>
      </c>
      <c r="Q508" t="n">
        <v>0</v>
      </c>
      <c r="R508" s="2" t="inlineStr"/>
    </row>
    <row r="509" ht="15" customHeight="1">
      <c r="A509" t="inlineStr">
        <is>
          <t>A 58087-2024</t>
        </is>
      </c>
      <c r="B509" s="1" t="n">
        <v>45632.34502314815</v>
      </c>
      <c r="C509" s="1" t="n">
        <v>45884</v>
      </c>
      <c r="D509" t="inlineStr">
        <is>
          <t>VÄSTERNORRLANDS LÄN</t>
        </is>
      </c>
      <c r="E509" t="inlineStr">
        <is>
          <t>ÅNGE</t>
        </is>
      </c>
      <c r="G509" t="n">
        <v>2.6</v>
      </c>
      <c r="H509" t="n">
        <v>0</v>
      </c>
      <c r="I509" t="n">
        <v>0</v>
      </c>
      <c r="J509" t="n">
        <v>0</v>
      </c>
      <c r="K509" t="n">
        <v>0</v>
      </c>
      <c r="L509" t="n">
        <v>0</v>
      </c>
      <c r="M509" t="n">
        <v>0</v>
      </c>
      <c r="N509" t="n">
        <v>0</v>
      </c>
      <c r="O509" t="n">
        <v>0</v>
      </c>
      <c r="P509" t="n">
        <v>0</v>
      </c>
      <c r="Q509" t="n">
        <v>0</v>
      </c>
      <c r="R509" s="2" t="inlineStr"/>
    </row>
    <row r="510" ht="15" customHeight="1">
      <c r="A510" t="inlineStr">
        <is>
          <t>A 54946-2021</t>
        </is>
      </c>
      <c r="B510" s="1" t="n">
        <v>44474.46466435185</v>
      </c>
      <c r="C510" s="1" t="n">
        <v>45884</v>
      </c>
      <c r="D510" t="inlineStr">
        <is>
          <t>VÄSTERNORRLANDS LÄN</t>
        </is>
      </c>
      <c r="E510" t="inlineStr">
        <is>
          <t>ÅNGE</t>
        </is>
      </c>
      <c r="G510" t="n">
        <v>5.4</v>
      </c>
      <c r="H510" t="n">
        <v>0</v>
      </c>
      <c r="I510" t="n">
        <v>0</v>
      </c>
      <c r="J510" t="n">
        <v>0</v>
      </c>
      <c r="K510" t="n">
        <v>0</v>
      </c>
      <c r="L510" t="n">
        <v>0</v>
      </c>
      <c r="M510" t="n">
        <v>0</v>
      </c>
      <c r="N510" t="n">
        <v>0</v>
      </c>
      <c r="O510" t="n">
        <v>0</v>
      </c>
      <c r="P510" t="n">
        <v>0</v>
      </c>
      <c r="Q510" t="n">
        <v>0</v>
      </c>
      <c r="R510" s="2" t="inlineStr"/>
    </row>
    <row r="511" ht="15" customHeight="1">
      <c r="A511" t="inlineStr">
        <is>
          <t>A 45890-2021</t>
        </is>
      </c>
      <c r="B511" s="1" t="n">
        <v>44441</v>
      </c>
      <c r="C511" s="1" t="n">
        <v>45884</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38960-2021</t>
        </is>
      </c>
      <c r="B512" s="1" t="n">
        <v>44411</v>
      </c>
      <c r="C512" s="1" t="n">
        <v>45884</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1869-2022</t>
        </is>
      </c>
      <c r="B513" s="1" t="n">
        <v>44574</v>
      </c>
      <c r="C513" s="1" t="n">
        <v>45884</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21200-2024</t>
        </is>
      </c>
      <c r="B514" s="1" t="n">
        <v>45440</v>
      </c>
      <c r="C514" s="1" t="n">
        <v>45884</v>
      </c>
      <c r="D514" t="inlineStr">
        <is>
          <t>VÄSTERNORRLANDS LÄN</t>
        </is>
      </c>
      <c r="E514" t="inlineStr">
        <is>
          <t>ÅNGE</t>
        </is>
      </c>
      <c r="G514" t="n">
        <v>1.1</v>
      </c>
      <c r="H514" t="n">
        <v>0</v>
      </c>
      <c r="I514" t="n">
        <v>0</v>
      </c>
      <c r="J514" t="n">
        <v>0</v>
      </c>
      <c r="K514" t="n">
        <v>0</v>
      </c>
      <c r="L514" t="n">
        <v>0</v>
      </c>
      <c r="M514" t="n">
        <v>0</v>
      </c>
      <c r="N514" t="n">
        <v>0</v>
      </c>
      <c r="O514" t="n">
        <v>0</v>
      </c>
      <c r="P514" t="n">
        <v>0</v>
      </c>
      <c r="Q514" t="n">
        <v>0</v>
      </c>
      <c r="R514" s="2" t="inlineStr"/>
    </row>
    <row r="515" ht="15" customHeight="1">
      <c r="A515" t="inlineStr">
        <is>
          <t>A 45027-2023</t>
        </is>
      </c>
      <c r="B515" s="1" t="n">
        <v>45190.96303240741</v>
      </c>
      <c r="C515" s="1" t="n">
        <v>45884</v>
      </c>
      <c r="D515" t="inlineStr">
        <is>
          <t>VÄSTERNORRLANDS LÄN</t>
        </is>
      </c>
      <c r="E515" t="inlineStr">
        <is>
          <t>ÅNGE</t>
        </is>
      </c>
      <c r="F515" t="inlineStr">
        <is>
          <t>SCA</t>
        </is>
      </c>
      <c r="G515" t="n">
        <v>5.7</v>
      </c>
      <c r="H515" t="n">
        <v>0</v>
      </c>
      <c r="I515" t="n">
        <v>0</v>
      </c>
      <c r="J515" t="n">
        <v>0</v>
      </c>
      <c r="K515" t="n">
        <v>0</v>
      </c>
      <c r="L515" t="n">
        <v>0</v>
      </c>
      <c r="M515" t="n">
        <v>0</v>
      </c>
      <c r="N515" t="n">
        <v>0</v>
      </c>
      <c r="O515" t="n">
        <v>0</v>
      </c>
      <c r="P515" t="n">
        <v>0</v>
      </c>
      <c r="Q515" t="n">
        <v>0</v>
      </c>
      <c r="R515" s="2" t="inlineStr"/>
    </row>
    <row r="516" ht="15" customHeight="1">
      <c r="A516" t="inlineStr">
        <is>
          <t>A 10017-2025</t>
        </is>
      </c>
      <c r="B516" s="1" t="n">
        <v>45719.46957175926</v>
      </c>
      <c r="C516" s="1" t="n">
        <v>45884</v>
      </c>
      <c r="D516" t="inlineStr">
        <is>
          <t>VÄSTERNORRLANDS LÄN</t>
        </is>
      </c>
      <c r="E516" t="inlineStr">
        <is>
          <t>ÅNGE</t>
        </is>
      </c>
      <c r="F516" t="inlineStr">
        <is>
          <t>SCA</t>
        </is>
      </c>
      <c r="G516" t="n">
        <v>9.9</v>
      </c>
      <c r="H516" t="n">
        <v>0</v>
      </c>
      <c r="I516" t="n">
        <v>0</v>
      </c>
      <c r="J516" t="n">
        <v>0</v>
      </c>
      <c r="K516" t="n">
        <v>0</v>
      </c>
      <c r="L516" t="n">
        <v>0</v>
      </c>
      <c r="M516" t="n">
        <v>0</v>
      </c>
      <c r="N516" t="n">
        <v>0</v>
      </c>
      <c r="O516" t="n">
        <v>0</v>
      </c>
      <c r="P516" t="n">
        <v>0</v>
      </c>
      <c r="Q516" t="n">
        <v>0</v>
      </c>
      <c r="R516" s="2" t="inlineStr"/>
    </row>
    <row r="517" ht="15" customHeight="1">
      <c r="A517" t="inlineStr">
        <is>
          <t>A 48988-2021</t>
        </is>
      </c>
      <c r="B517" s="1" t="n">
        <v>44453.43</v>
      </c>
      <c r="C517" s="1" t="n">
        <v>45884</v>
      </c>
      <c r="D517" t="inlineStr">
        <is>
          <t>VÄSTERNORRLANDS LÄN</t>
        </is>
      </c>
      <c r="E517" t="inlineStr">
        <is>
          <t>ÅNGE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60812-2024</t>
        </is>
      </c>
      <c r="B518" s="1" t="n">
        <v>45644</v>
      </c>
      <c r="C518" s="1" t="n">
        <v>45884</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1127-2023</t>
        </is>
      </c>
      <c r="B519" s="1" t="n">
        <v>44929</v>
      </c>
      <c r="C519" s="1" t="n">
        <v>45884</v>
      </c>
      <c r="D519" t="inlineStr">
        <is>
          <t>VÄSTERNORRLANDS LÄN</t>
        </is>
      </c>
      <c r="E519" t="inlineStr">
        <is>
          <t>ÅNGE</t>
        </is>
      </c>
      <c r="G519" t="n">
        <v>10.5</v>
      </c>
      <c r="H519" t="n">
        <v>0</v>
      </c>
      <c r="I519" t="n">
        <v>0</v>
      </c>
      <c r="J519" t="n">
        <v>0</v>
      </c>
      <c r="K519" t="n">
        <v>0</v>
      </c>
      <c r="L519" t="n">
        <v>0</v>
      </c>
      <c r="M519" t="n">
        <v>0</v>
      </c>
      <c r="N519" t="n">
        <v>0</v>
      </c>
      <c r="O519" t="n">
        <v>0</v>
      </c>
      <c r="P519" t="n">
        <v>0</v>
      </c>
      <c r="Q519" t="n">
        <v>0</v>
      </c>
      <c r="R519" s="2" t="inlineStr"/>
    </row>
    <row r="520" ht="15" customHeight="1">
      <c r="A520" t="inlineStr">
        <is>
          <t>A 22755-2023</t>
        </is>
      </c>
      <c r="B520" s="1" t="n">
        <v>45071.94127314815</v>
      </c>
      <c r="C520" s="1" t="n">
        <v>45884</v>
      </c>
      <c r="D520" t="inlineStr">
        <is>
          <t>VÄSTERNORRLANDS LÄN</t>
        </is>
      </c>
      <c r="E520" t="inlineStr">
        <is>
          <t>ÅNGE</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54611-2023</t>
        </is>
      </c>
      <c r="B521" s="1" t="n">
        <v>45233</v>
      </c>
      <c r="C521" s="1" t="n">
        <v>45884</v>
      </c>
      <c r="D521" t="inlineStr">
        <is>
          <t>VÄSTERNORRLANDS LÄN</t>
        </is>
      </c>
      <c r="E521" t="inlineStr">
        <is>
          <t>ÅNGE</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4727-2023</t>
        </is>
      </c>
      <c r="B522" s="1" t="n">
        <v>44953</v>
      </c>
      <c r="C522" s="1" t="n">
        <v>45884</v>
      </c>
      <c r="D522" t="inlineStr">
        <is>
          <t>VÄSTERNORRLANDS LÄN</t>
        </is>
      </c>
      <c r="E522" t="inlineStr">
        <is>
          <t>ÅNGE</t>
        </is>
      </c>
      <c r="G522" t="n">
        <v>0.4</v>
      </c>
      <c r="H522" t="n">
        <v>0</v>
      </c>
      <c r="I522" t="n">
        <v>0</v>
      </c>
      <c r="J522" t="n">
        <v>0</v>
      </c>
      <c r="K522" t="n">
        <v>0</v>
      </c>
      <c r="L522" t="n">
        <v>0</v>
      </c>
      <c r="M522" t="n">
        <v>0</v>
      </c>
      <c r="N522" t="n">
        <v>0</v>
      </c>
      <c r="O522" t="n">
        <v>0</v>
      </c>
      <c r="P522" t="n">
        <v>0</v>
      </c>
      <c r="Q522" t="n">
        <v>0</v>
      </c>
      <c r="R522" s="2" t="inlineStr"/>
    </row>
    <row r="523" ht="15" customHeight="1">
      <c r="A523" t="inlineStr">
        <is>
          <t>A 3834-2025</t>
        </is>
      </c>
      <c r="B523" s="1" t="n">
        <v>45682.34517361111</v>
      </c>
      <c r="C523" s="1" t="n">
        <v>45884</v>
      </c>
      <c r="D523" t="inlineStr">
        <is>
          <t>VÄSTERNORRLANDS LÄN</t>
        </is>
      </c>
      <c r="E523" t="inlineStr">
        <is>
          <t>ÅNGE</t>
        </is>
      </c>
      <c r="G523" t="n">
        <v>6.4</v>
      </c>
      <c r="H523" t="n">
        <v>0</v>
      </c>
      <c r="I523" t="n">
        <v>0</v>
      </c>
      <c r="J523" t="n">
        <v>0</v>
      </c>
      <c r="K523" t="n">
        <v>0</v>
      </c>
      <c r="L523" t="n">
        <v>0</v>
      </c>
      <c r="M523" t="n">
        <v>0</v>
      </c>
      <c r="N523" t="n">
        <v>0</v>
      </c>
      <c r="O523" t="n">
        <v>0</v>
      </c>
      <c r="P523" t="n">
        <v>0</v>
      </c>
      <c r="Q523" t="n">
        <v>0</v>
      </c>
      <c r="R523" s="2" t="inlineStr"/>
    </row>
    <row r="524" ht="15" customHeight="1">
      <c r="A524" t="inlineStr">
        <is>
          <t>A 49187-2024</t>
        </is>
      </c>
      <c r="B524" s="1" t="n">
        <v>45595.34490740741</v>
      </c>
      <c r="C524" s="1" t="n">
        <v>45884</v>
      </c>
      <c r="D524" t="inlineStr">
        <is>
          <t>VÄSTERNORRLANDS LÄN</t>
        </is>
      </c>
      <c r="E524" t="inlineStr">
        <is>
          <t>ÅNGE</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51810-2023</t>
        </is>
      </c>
      <c r="B525" s="1" t="n">
        <v>45222.96583333334</v>
      </c>
      <c r="C525" s="1" t="n">
        <v>45884</v>
      </c>
      <c r="D525" t="inlineStr">
        <is>
          <t>VÄSTERNORRLANDS LÄN</t>
        </is>
      </c>
      <c r="E525" t="inlineStr">
        <is>
          <t>ÅNGE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5520-2022</t>
        </is>
      </c>
      <c r="B526" s="1" t="n">
        <v>44595</v>
      </c>
      <c r="C526" s="1" t="n">
        <v>45884</v>
      </c>
      <c r="D526" t="inlineStr">
        <is>
          <t>VÄSTERNORRLANDS LÄN</t>
        </is>
      </c>
      <c r="E526" t="inlineStr">
        <is>
          <t>ÅNGE</t>
        </is>
      </c>
      <c r="G526" t="n">
        <v>4.9</v>
      </c>
      <c r="H526" t="n">
        <v>0</v>
      </c>
      <c r="I526" t="n">
        <v>0</v>
      </c>
      <c r="J526" t="n">
        <v>0</v>
      </c>
      <c r="K526" t="n">
        <v>0</v>
      </c>
      <c r="L526" t="n">
        <v>0</v>
      </c>
      <c r="M526" t="n">
        <v>0</v>
      </c>
      <c r="N526" t="n">
        <v>0</v>
      </c>
      <c r="O526" t="n">
        <v>0</v>
      </c>
      <c r="P526" t="n">
        <v>0</v>
      </c>
      <c r="Q526" t="n">
        <v>0</v>
      </c>
      <c r="R526" s="2" t="inlineStr"/>
    </row>
    <row r="527" ht="15" customHeight="1">
      <c r="A527" t="inlineStr">
        <is>
          <t>A 24231-2024</t>
        </is>
      </c>
      <c r="B527" s="1" t="n">
        <v>45457.34393518518</v>
      </c>
      <c r="C527" s="1" t="n">
        <v>45884</v>
      </c>
      <c r="D527" t="inlineStr">
        <is>
          <t>VÄSTERNORRLANDS LÄN</t>
        </is>
      </c>
      <c r="E527" t="inlineStr">
        <is>
          <t>ÅNGE</t>
        </is>
      </c>
      <c r="F527" t="inlineStr">
        <is>
          <t>Sveaskog</t>
        </is>
      </c>
      <c r="G527" t="n">
        <v>7</v>
      </c>
      <c r="H527" t="n">
        <v>0</v>
      </c>
      <c r="I527" t="n">
        <v>0</v>
      </c>
      <c r="J527" t="n">
        <v>0</v>
      </c>
      <c r="K527" t="n">
        <v>0</v>
      </c>
      <c r="L527" t="n">
        <v>0</v>
      </c>
      <c r="M527" t="n">
        <v>0</v>
      </c>
      <c r="N527" t="n">
        <v>0</v>
      </c>
      <c r="O527" t="n">
        <v>0</v>
      </c>
      <c r="P527" t="n">
        <v>0</v>
      </c>
      <c r="Q527" t="n">
        <v>0</v>
      </c>
      <c r="R527" s="2" t="inlineStr"/>
    </row>
    <row r="528" ht="15" customHeight="1">
      <c r="A528" t="inlineStr">
        <is>
          <t>A 36290-2023</t>
        </is>
      </c>
      <c r="B528" s="1" t="n">
        <v>45152.35467592593</v>
      </c>
      <c r="C528" s="1" t="n">
        <v>45884</v>
      </c>
      <c r="D528" t="inlineStr">
        <is>
          <t>VÄSTERNORRLANDS LÄN</t>
        </is>
      </c>
      <c r="E528" t="inlineStr">
        <is>
          <t>ÅNGE</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58469-2023</t>
        </is>
      </c>
      <c r="B529" s="1" t="n">
        <v>45250</v>
      </c>
      <c r="C529" s="1" t="n">
        <v>45884</v>
      </c>
      <c r="D529" t="inlineStr">
        <is>
          <t>VÄSTERNORRLANDS LÄN</t>
        </is>
      </c>
      <c r="E529" t="inlineStr">
        <is>
          <t>ÅNGE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42881-2023</t>
        </is>
      </c>
      <c r="B530" s="1" t="n">
        <v>45182.45256944445</v>
      </c>
      <c r="C530" s="1" t="n">
        <v>45884</v>
      </c>
      <c r="D530" t="inlineStr">
        <is>
          <t>VÄSTERNORRLANDS LÄN</t>
        </is>
      </c>
      <c r="E530" t="inlineStr">
        <is>
          <t>ÅNGE</t>
        </is>
      </c>
      <c r="G530" t="n">
        <v>3.9</v>
      </c>
      <c r="H530" t="n">
        <v>0</v>
      </c>
      <c r="I530" t="n">
        <v>0</v>
      </c>
      <c r="J530" t="n">
        <v>0</v>
      </c>
      <c r="K530" t="n">
        <v>0</v>
      </c>
      <c r="L530" t="n">
        <v>0</v>
      </c>
      <c r="M530" t="n">
        <v>0</v>
      </c>
      <c r="N530" t="n">
        <v>0</v>
      </c>
      <c r="O530" t="n">
        <v>0</v>
      </c>
      <c r="P530" t="n">
        <v>0</v>
      </c>
      <c r="Q530" t="n">
        <v>0</v>
      </c>
      <c r="R530" s="2" t="inlineStr"/>
    </row>
    <row r="531" ht="15" customHeight="1">
      <c r="A531" t="inlineStr">
        <is>
          <t>A 31177-2024</t>
        </is>
      </c>
      <c r="B531" s="1" t="n">
        <v>45503</v>
      </c>
      <c r="C531" s="1" t="n">
        <v>45884</v>
      </c>
      <c r="D531" t="inlineStr">
        <is>
          <t>VÄSTERNORRLANDS LÄN</t>
        </is>
      </c>
      <c r="E531" t="inlineStr">
        <is>
          <t>ÅNGE</t>
        </is>
      </c>
      <c r="G531" t="n">
        <v>10.2</v>
      </c>
      <c r="H531" t="n">
        <v>0</v>
      </c>
      <c r="I531" t="n">
        <v>0</v>
      </c>
      <c r="J531" t="n">
        <v>0</v>
      </c>
      <c r="K531" t="n">
        <v>0</v>
      </c>
      <c r="L531" t="n">
        <v>0</v>
      </c>
      <c r="M531" t="n">
        <v>0</v>
      </c>
      <c r="N531" t="n">
        <v>0</v>
      </c>
      <c r="O531" t="n">
        <v>0</v>
      </c>
      <c r="P531" t="n">
        <v>0</v>
      </c>
      <c r="Q531" t="n">
        <v>0</v>
      </c>
      <c r="R531" s="2" t="inlineStr"/>
    </row>
    <row r="532" ht="15" customHeight="1">
      <c r="A532" t="inlineStr">
        <is>
          <t>A 30474-2024</t>
        </is>
      </c>
      <c r="B532" s="1" t="n">
        <v>45491</v>
      </c>
      <c r="C532" s="1" t="n">
        <v>45884</v>
      </c>
      <c r="D532" t="inlineStr">
        <is>
          <t>VÄSTERNORRLANDS LÄN</t>
        </is>
      </c>
      <c r="E532" t="inlineStr">
        <is>
          <t>ÅNGE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30475-2024</t>
        </is>
      </c>
      <c r="B533" s="1" t="n">
        <v>45491</v>
      </c>
      <c r="C533" s="1" t="n">
        <v>45884</v>
      </c>
      <c r="D533" t="inlineStr">
        <is>
          <t>VÄSTERNORRLANDS LÄN</t>
        </is>
      </c>
      <c r="E533" t="inlineStr">
        <is>
          <t>ÅNGE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47243-2024</t>
        </is>
      </c>
      <c r="B534" s="1" t="n">
        <v>45586.6987962963</v>
      </c>
      <c r="C534" s="1" t="n">
        <v>45884</v>
      </c>
      <c r="D534" t="inlineStr">
        <is>
          <t>VÄSTERNORRLANDS LÄN</t>
        </is>
      </c>
      <c r="E534" t="inlineStr">
        <is>
          <t>ÅNGE</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42043-2024</t>
        </is>
      </c>
      <c r="B535" s="1" t="n">
        <v>45561</v>
      </c>
      <c r="C535" s="1" t="n">
        <v>45884</v>
      </c>
      <c r="D535" t="inlineStr">
        <is>
          <t>VÄSTERNORRLANDS LÄN</t>
        </is>
      </c>
      <c r="E535" t="inlineStr">
        <is>
          <t>ÅNGE</t>
        </is>
      </c>
      <c r="G535" t="n">
        <v>3.1</v>
      </c>
      <c r="H535" t="n">
        <v>0</v>
      </c>
      <c r="I535" t="n">
        <v>0</v>
      </c>
      <c r="J535" t="n">
        <v>0</v>
      </c>
      <c r="K535" t="n">
        <v>0</v>
      </c>
      <c r="L535" t="n">
        <v>0</v>
      </c>
      <c r="M535" t="n">
        <v>0</v>
      </c>
      <c r="N535" t="n">
        <v>0</v>
      </c>
      <c r="O535" t="n">
        <v>0</v>
      </c>
      <c r="P535" t="n">
        <v>0</v>
      </c>
      <c r="Q535" t="n">
        <v>0</v>
      </c>
      <c r="R535" s="2" t="inlineStr"/>
    </row>
    <row r="536" ht="15" customHeight="1">
      <c r="A536" t="inlineStr">
        <is>
          <t>A 42046-2024</t>
        </is>
      </c>
      <c r="B536" s="1" t="n">
        <v>45561.83422453704</v>
      </c>
      <c r="C536" s="1" t="n">
        <v>45884</v>
      </c>
      <c r="D536" t="inlineStr">
        <is>
          <t>VÄSTERNORRLANDS LÄN</t>
        </is>
      </c>
      <c r="E536" t="inlineStr">
        <is>
          <t>ÅNGE</t>
        </is>
      </c>
      <c r="G536" t="n">
        <v>0.6</v>
      </c>
      <c r="H536" t="n">
        <v>0</v>
      </c>
      <c r="I536" t="n">
        <v>0</v>
      </c>
      <c r="J536" t="n">
        <v>0</v>
      </c>
      <c r="K536" t="n">
        <v>0</v>
      </c>
      <c r="L536" t="n">
        <v>0</v>
      </c>
      <c r="M536" t="n">
        <v>0</v>
      </c>
      <c r="N536" t="n">
        <v>0</v>
      </c>
      <c r="O536" t="n">
        <v>0</v>
      </c>
      <c r="P536" t="n">
        <v>0</v>
      </c>
      <c r="Q536" t="n">
        <v>0</v>
      </c>
      <c r="R536" s="2" t="inlineStr"/>
    </row>
    <row r="537" ht="15" customHeight="1">
      <c r="A537" t="inlineStr">
        <is>
          <t>A 30273-2023</t>
        </is>
      </c>
      <c r="B537" s="1" t="n">
        <v>45099</v>
      </c>
      <c r="C537" s="1" t="n">
        <v>45884</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29048-2021</t>
        </is>
      </c>
      <c r="B538" s="1" t="n">
        <v>44358</v>
      </c>
      <c r="C538" s="1" t="n">
        <v>45884</v>
      </c>
      <c r="D538" t="inlineStr">
        <is>
          <t>VÄSTERNORRLANDS LÄN</t>
        </is>
      </c>
      <c r="E538" t="inlineStr">
        <is>
          <t>ÅNGE</t>
        </is>
      </c>
      <c r="G538" t="n">
        <v>2.5</v>
      </c>
      <c r="H538" t="n">
        <v>0</v>
      </c>
      <c r="I538" t="n">
        <v>0</v>
      </c>
      <c r="J538" t="n">
        <v>0</v>
      </c>
      <c r="K538" t="n">
        <v>0</v>
      </c>
      <c r="L538" t="n">
        <v>0</v>
      </c>
      <c r="M538" t="n">
        <v>0</v>
      </c>
      <c r="N538" t="n">
        <v>0</v>
      </c>
      <c r="O538" t="n">
        <v>0</v>
      </c>
      <c r="P538" t="n">
        <v>0</v>
      </c>
      <c r="Q538" t="n">
        <v>0</v>
      </c>
      <c r="R538" s="2" t="inlineStr"/>
    </row>
    <row r="539" ht="15" customHeight="1">
      <c r="A539" t="inlineStr">
        <is>
          <t>A 14889-2022</t>
        </is>
      </c>
      <c r="B539" s="1" t="n">
        <v>44656</v>
      </c>
      <c r="C539" s="1" t="n">
        <v>45884</v>
      </c>
      <c r="D539" t="inlineStr">
        <is>
          <t>VÄSTERNORRLANDS LÄN</t>
        </is>
      </c>
      <c r="E539" t="inlineStr">
        <is>
          <t>ÅNGE</t>
        </is>
      </c>
      <c r="G539" t="n">
        <v>14</v>
      </c>
      <c r="H539" t="n">
        <v>0</v>
      </c>
      <c r="I539" t="n">
        <v>0</v>
      </c>
      <c r="J539" t="n">
        <v>0</v>
      </c>
      <c r="K539" t="n">
        <v>0</v>
      </c>
      <c r="L539" t="n">
        <v>0</v>
      </c>
      <c r="M539" t="n">
        <v>0</v>
      </c>
      <c r="N539" t="n">
        <v>0</v>
      </c>
      <c r="O539" t="n">
        <v>0</v>
      </c>
      <c r="P539" t="n">
        <v>0</v>
      </c>
      <c r="Q539" t="n">
        <v>0</v>
      </c>
      <c r="R539" s="2" t="inlineStr"/>
    </row>
    <row r="540" ht="15" customHeight="1">
      <c r="A540" t="inlineStr">
        <is>
          <t>A 17044-2023</t>
        </is>
      </c>
      <c r="B540" s="1" t="n">
        <v>45034</v>
      </c>
      <c r="C540" s="1" t="n">
        <v>45884</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29063-2023</t>
        </is>
      </c>
      <c r="B541" s="1" t="n">
        <v>45104.94068287037</v>
      </c>
      <c r="C541" s="1" t="n">
        <v>45884</v>
      </c>
      <c r="D541" t="inlineStr">
        <is>
          <t>VÄSTERNORRLANDS LÄN</t>
        </is>
      </c>
      <c r="E541" t="inlineStr">
        <is>
          <t>ÅNGE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59412-2024</t>
        </is>
      </c>
      <c r="B542" s="1" t="n">
        <v>45638</v>
      </c>
      <c r="C542" s="1" t="n">
        <v>45884</v>
      </c>
      <c r="D542" t="inlineStr">
        <is>
          <t>VÄSTERNORRLANDS LÄN</t>
        </is>
      </c>
      <c r="E542" t="inlineStr">
        <is>
          <t>ÅNGE</t>
        </is>
      </c>
      <c r="G542" t="n">
        <v>0.6</v>
      </c>
      <c r="H542" t="n">
        <v>0</v>
      </c>
      <c r="I542" t="n">
        <v>0</v>
      </c>
      <c r="J542" t="n">
        <v>0</v>
      </c>
      <c r="K542" t="n">
        <v>0</v>
      </c>
      <c r="L542" t="n">
        <v>0</v>
      </c>
      <c r="M542" t="n">
        <v>0</v>
      </c>
      <c r="N542" t="n">
        <v>0</v>
      </c>
      <c r="O542" t="n">
        <v>0</v>
      </c>
      <c r="P542" t="n">
        <v>0</v>
      </c>
      <c r="Q542" t="n">
        <v>0</v>
      </c>
      <c r="R542" s="2" t="inlineStr"/>
    </row>
    <row r="543" ht="15" customHeight="1">
      <c r="A543" t="inlineStr">
        <is>
          <t>A 10087-2023</t>
        </is>
      </c>
      <c r="B543" s="1" t="n">
        <v>44985</v>
      </c>
      <c r="C543" s="1" t="n">
        <v>45884</v>
      </c>
      <c r="D543" t="inlineStr">
        <is>
          <t>VÄSTERNORRLANDS LÄN</t>
        </is>
      </c>
      <c r="E543" t="inlineStr">
        <is>
          <t>ÅNGE</t>
        </is>
      </c>
      <c r="F543" t="inlineStr">
        <is>
          <t>SCA</t>
        </is>
      </c>
      <c r="G543" t="n">
        <v>7.9</v>
      </c>
      <c r="H543" t="n">
        <v>0</v>
      </c>
      <c r="I543" t="n">
        <v>0</v>
      </c>
      <c r="J543" t="n">
        <v>0</v>
      </c>
      <c r="K543" t="n">
        <v>0</v>
      </c>
      <c r="L543" t="n">
        <v>0</v>
      </c>
      <c r="M543" t="n">
        <v>0</v>
      </c>
      <c r="N543" t="n">
        <v>0</v>
      </c>
      <c r="O543" t="n">
        <v>0</v>
      </c>
      <c r="P543" t="n">
        <v>0</v>
      </c>
      <c r="Q543" t="n">
        <v>0</v>
      </c>
      <c r="R543" s="2" t="inlineStr"/>
    </row>
    <row r="544" ht="15" customHeight="1">
      <c r="A544" t="inlineStr">
        <is>
          <t>A 15288-2025</t>
        </is>
      </c>
      <c r="B544" s="1" t="n">
        <v>45745.34423611111</v>
      </c>
      <c r="C544" s="1" t="n">
        <v>45884</v>
      </c>
      <c r="D544" t="inlineStr">
        <is>
          <t>VÄSTERNORRLANDS LÄN</t>
        </is>
      </c>
      <c r="E544" t="inlineStr">
        <is>
          <t>ÅNGE</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17670-2023</t>
        </is>
      </c>
      <c r="B545" s="1" t="n">
        <v>45036</v>
      </c>
      <c r="C545" s="1" t="n">
        <v>45884</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5606-2025</t>
        </is>
      </c>
      <c r="B546" s="1" t="n">
        <v>45693.59403935185</v>
      </c>
      <c r="C546" s="1" t="n">
        <v>45884</v>
      </c>
      <c r="D546" t="inlineStr">
        <is>
          <t>VÄSTERNORRLANDS LÄN</t>
        </is>
      </c>
      <c r="E546" t="inlineStr">
        <is>
          <t>ÅNGE</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57109-2023</t>
        </is>
      </c>
      <c r="B547" s="1" t="n">
        <v>45239</v>
      </c>
      <c r="C547" s="1" t="n">
        <v>45884</v>
      </c>
      <c r="D547" t="inlineStr">
        <is>
          <t>VÄSTERNORRLANDS LÄN</t>
        </is>
      </c>
      <c r="E547" t="inlineStr">
        <is>
          <t>ÅNGE</t>
        </is>
      </c>
      <c r="G547" t="n">
        <v>7</v>
      </c>
      <c r="H547" t="n">
        <v>0</v>
      </c>
      <c r="I547" t="n">
        <v>0</v>
      </c>
      <c r="J547" t="n">
        <v>0</v>
      </c>
      <c r="K547" t="n">
        <v>0</v>
      </c>
      <c r="L547" t="n">
        <v>0</v>
      </c>
      <c r="M547" t="n">
        <v>0</v>
      </c>
      <c r="N547" t="n">
        <v>0</v>
      </c>
      <c r="O547" t="n">
        <v>0</v>
      </c>
      <c r="P547" t="n">
        <v>0</v>
      </c>
      <c r="Q547" t="n">
        <v>0</v>
      </c>
      <c r="R547" s="2" t="inlineStr"/>
    </row>
    <row r="548" ht="15" customHeight="1">
      <c r="A548" t="inlineStr">
        <is>
          <t>A 9567-2024</t>
        </is>
      </c>
      <c r="B548" s="1" t="n">
        <v>45360.03635416667</v>
      </c>
      <c r="C548" s="1" t="n">
        <v>45884</v>
      </c>
      <c r="D548" t="inlineStr">
        <is>
          <t>VÄSTERNORRLANDS LÄN</t>
        </is>
      </c>
      <c r="E548" t="inlineStr">
        <is>
          <t>ÅNGE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22988-2024</t>
        </is>
      </c>
      <c r="B549" s="1" t="n">
        <v>45449.94530092592</v>
      </c>
      <c r="C549" s="1" t="n">
        <v>45884</v>
      </c>
      <c r="D549" t="inlineStr">
        <is>
          <t>VÄSTERNORRLANDS LÄN</t>
        </is>
      </c>
      <c r="E549" t="inlineStr">
        <is>
          <t>ÅNGE</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4073-2025</t>
        </is>
      </c>
      <c r="B550" s="1" t="n">
        <v>45684.63621527778</v>
      </c>
      <c r="C550" s="1" t="n">
        <v>45884</v>
      </c>
      <c r="D550" t="inlineStr">
        <is>
          <t>VÄSTERNORRLANDS LÄN</t>
        </is>
      </c>
      <c r="E550" t="inlineStr">
        <is>
          <t>ÅNGE</t>
        </is>
      </c>
      <c r="F550" t="inlineStr">
        <is>
          <t>SCA</t>
        </is>
      </c>
      <c r="G550" t="n">
        <v>7.7</v>
      </c>
      <c r="H550" t="n">
        <v>0</v>
      </c>
      <c r="I550" t="n">
        <v>0</v>
      </c>
      <c r="J550" t="n">
        <v>0</v>
      </c>
      <c r="K550" t="n">
        <v>0</v>
      </c>
      <c r="L550" t="n">
        <v>0</v>
      </c>
      <c r="M550" t="n">
        <v>0</v>
      </c>
      <c r="N550" t="n">
        <v>0</v>
      </c>
      <c r="O550" t="n">
        <v>0</v>
      </c>
      <c r="P550" t="n">
        <v>0</v>
      </c>
      <c r="Q550" t="n">
        <v>0</v>
      </c>
      <c r="R550" s="2" t="inlineStr"/>
    </row>
    <row r="551" ht="15" customHeight="1">
      <c r="A551" t="inlineStr">
        <is>
          <t>A 56908-2021</t>
        </is>
      </c>
      <c r="B551" s="1" t="n">
        <v>44481.93844907408</v>
      </c>
      <c r="C551" s="1" t="n">
        <v>45884</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55664-2023</t>
        </is>
      </c>
      <c r="B552" s="1" t="n">
        <v>45238.96748842593</v>
      </c>
      <c r="C552" s="1" t="n">
        <v>45884</v>
      </c>
      <c r="D552" t="inlineStr">
        <is>
          <t>VÄSTERNORRLANDS LÄN</t>
        </is>
      </c>
      <c r="E552" t="inlineStr">
        <is>
          <t>ÅNGE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57595-2022</t>
        </is>
      </c>
      <c r="B553" s="1" t="n">
        <v>44896.97862268519</v>
      </c>
      <c r="C553" s="1" t="n">
        <v>45884</v>
      </c>
      <c r="D553" t="inlineStr">
        <is>
          <t>VÄSTERNORRLANDS LÄN</t>
        </is>
      </c>
      <c r="E553" t="inlineStr">
        <is>
          <t>ÅNGE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30747-2024</t>
        </is>
      </c>
      <c r="B554" s="1" t="n">
        <v>45496</v>
      </c>
      <c r="C554" s="1" t="n">
        <v>45884</v>
      </c>
      <c r="D554" t="inlineStr">
        <is>
          <t>VÄSTERNORRLANDS LÄN</t>
        </is>
      </c>
      <c r="E554" t="inlineStr">
        <is>
          <t>ÅNGE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20885-2023</t>
        </is>
      </c>
      <c r="B555" s="1" t="n">
        <v>45058</v>
      </c>
      <c r="C555" s="1" t="n">
        <v>45884</v>
      </c>
      <c r="D555" t="inlineStr">
        <is>
          <t>VÄSTERNORRLANDS LÄN</t>
        </is>
      </c>
      <c r="E555" t="inlineStr">
        <is>
          <t>ÅNGE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61577-2023</t>
        </is>
      </c>
      <c r="B556" s="1" t="n">
        <v>45265.47366898148</v>
      </c>
      <c r="C556" s="1" t="n">
        <v>45884</v>
      </c>
      <c r="D556" t="inlineStr">
        <is>
          <t>VÄSTERNORRLANDS LÄN</t>
        </is>
      </c>
      <c r="E556" t="inlineStr">
        <is>
          <t>ÅNGE</t>
        </is>
      </c>
      <c r="G556" t="n">
        <v>2.9</v>
      </c>
      <c r="H556" t="n">
        <v>0</v>
      </c>
      <c r="I556" t="n">
        <v>0</v>
      </c>
      <c r="J556" t="n">
        <v>0</v>
      </c>
      <c r="K556" t="n">
        <v>0</v>
      </c>
      <c r="L556" t="n">
        <v>0</v>
      </c>
      <c r="M556" t="n">
        <v>0</v>
      </c>
      <c r="N556" t="n">
        <v>0</v>
      </c>
      <c r="O556" t="n">
        <v>0</v>
      </c>
      <c r="P556" t="n">
        <v>0</v>
      </c>
      <c r="Q556" t="n">
        <v>0</v>
      </c>
      <c r="R556" s="2" t="inlineStr"/>
    </row>
    <row r="557" ht="15" customHeight="1">
      <c r="A557" t="inlineStr">
        <is>
          <t>A 58613-2023</t>
        </is>
      </c>
      <c r="B557" s="1" t="n">
        <v>45251.50709490741</v>
      </c>
      <c r="C557" s="1" t="n">
        <v>45884</v>
      </c>
      <c r="D557" t="inlineStr">
        <is>
          <t>VÄSTERNORRLANDS LÄN</t>
        </is>
      </c>
      <c r="E557" t="inlineStr">
        <is>
          <t>ÅNGE</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58939-2021</t>
        </is>
      </c>
      <c r="B558" s="1" t="n">
        <v>44489</v>
      </c>
      <c r="C558" s="1" t="n">
        <v>45884</v>
      </c>
      <c r="D558" t="inlineStr">
        <is>
          <t>VÄSTERNORRLANDS LÄN</t>
        </is>
      </c>
      <c r="E558" t="inlineStr">
        <is>
          <t>ÅNGE</t>
        </is>
      </c>
      <c r="G558" t="n">
        <v>2.5</v>
      </c>
      <c r="H558" t="n">
        <v>0</v>
      </c>
      <c r="I558" t="n">
        <v>0</v>
      </c>
      <c r="J558" t="n">
        <v>0</v>
      </c>
      <c r="K558" t="n">
        <v>0</v>
      </c>
      <c r="L558" t="n">
        <v>0</v>
      </c>
      <c r="M558" t="n">
        <v>0</v>
      </c>
      <c r="N558" t="n">
        <v>0</v>
      </c>
      <c r="O558" t="n">
        <v>0</v>
      </c>
      <c r="P558" t="n">
        <v>0</v>
      </c>
      <c r="Q558" t="n">
        <v>0</v>
      </c>
      <c r="R558" s="2" t="inlineStr"/>
    </row>
    <row r="559" ht="15" customHeight="1">
      <c r="A559" t="inlineStr">
        <is>
          <t>A 51024-2024</t>
        </is>
      </c>
      <c r="B559" s="1" t="n">
        <v>45603.4141087963</v>
      </c>
      <c r="C559" s="1" t="n">
        <v>45884</v>
      </c>
      <c r="D559" t="inlineStr">
        <is>
          <t>VÄSTERNORRLANDS LÄN</t>
        </is>
      </c>
      <c r="E559" t="inlineStr">
        <is>
          <t>ÅNGE</t>
        </is>
      </c>
      <c r="G559" t="n">
        <v>8.9</v>
      </c>
      <c r="H559" t="n">
        <v>0</v>
      </c>
      <c r="I559" t="n">
        <v>0</v>
      </c>
      <c r="J559" t="n">
        <v>0</v>
      </c>
      <c r="K559" t="n">
        <v>0</v>
      </c>
      <c r="L559" t="n">
        <v>0</v>
      </c>
      <c r="M559" t="n">
        <v>0</v>
      </c>
      <c r="N559" t="n">
        <v>0</v>
      </c>
      <c r="O559" t="n">
        <v>0</v>
      </c>
      <c r="P559" t="n">
        <v>0</v>
      </c>
      <c r="Q559" t="n">
        <v>0</v>
      </c>
      <c r="R559" s="2" t="inlineStr"/>
    </row>
    <row r="560" ht="15" customHeight="1">
      <c r="A560" t="inlineStr">
        <is>
          <t>A 58639-2023</t>
        </is>
      </c>
      <c r="B560" s="1" t="n">
        <v>45251</v>
      </c>
      <c r="C560" s="1" t="n">
        <v>45884</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54456-2024</t>
        </is>
      </c>
      <c r="B561" s="1" t="n">
        <v>45617.53160879629</v>
      </c>
      <c r="C561" s="1" t="n">
        <v>45884</v>
      </c>
      <c r="D561" t="inlineStr">
        <is>
          <t>VÄSTERNORRLANDS LÄN</t>
        </is>
      </c>
      <c r="E561" t="inlineStr">
        <is>
          <t>ÅNGE</t>
        </is>
      </c>
      <c r="F561" t="inlineStr">
        <is>
          <t>SCA</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17210-2022</t>
        </is>
      </c>
      <c r="B562" s="1" t="n">
        <v>44677.92701388889</v>
      </c>
      <c r="C562" s="1" t="n">
        <v>45884</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23035-2024</t>
        </is>
      </c>
      <c r="B563" s="1" t="n">
        <v>45450.39016203704</v>
      </c>
      <c r="C563" s="1" t="n">
        <v>45884</v>
      </c>
      <c r="D563" t="inlineStr">
        <is>
          <t>VÄSTERNORRLANDS LÄN</t>
        </is>
      </c>
      <c r="E563" t="inlineStr">
        <is>
          <t>ÅNGE</t>
        </is>
      </c>
      <c r="G563" t="n">
        <v>12.1</v>
      </c>
      <c r="H563" t="n">
        <v>0</v>
      </c>
      <c r="I563" t="n">
        <v>0</v>
      </c>
      <c r="J563" t="n">
        <v>0</v>
      </c>
      <c r="K563" t="n">
        <v>0</v>
      </c>
      <c r="L563" t="n">
        <v>0</v>
      </c>
      <c r="M563" t="n">
        <v>0</v>
      </c>
      <c r="N563" t="n">
        <v>0</v>
      </c>
      <c r="O563" t="n">
        <v>0</v>
      </c>
      <c r="P563" t="n">
        <v>0</v>
      </c>
      <c r="Q563" t="n">
        <v>0</v>
      </c>
      <c r="R563" s="2" t="inlineStr"/>
    </row>
    <row r="564" ht="15" customHeight="1">
      <c r="A564" t="inlineStr">
        <is>
          <t>A 56574-2024</t>
        </is>
      </c>
      <c r="B564" s="1" t="n">
        <v>45625.59616898148</v>
      </c>
      <c r="C564" s="1" t="n">
        <v>45884</v>
      </c>
      <c r="D564" t="inlineStr">
        <is>
          <t>VÄSTERNORRLANDS LÄN</t>
        </is>
      </c>
      <c r="E564" t="inlineStr">
        <is>
          <t>ÅNGE</t>
        </is>
      </c>
      <c r="G564" t="n">
        <v>0.9</v>
      </c>
      <c r="H564" t="n">
        <v>0</v>
      </c>
      <c r="I564" t="n">
        <v>0</v>
      </c>
      <c r="J564" t="n">
        <v>0</v>
      </c>
      <c r="K564" t="n">
        <v>0</v>
      </c>
      <c r="L564" t="n">
        <v>0</v>
      </c>
      <c r="M564" t="n">
        <v>0</v>
      </c>
      <c r="N564" t="n">
        <v>0</v>
      </c>
      <c r="O564" t="n">
        <v>0</v>
      </c>
      <c r="P564" t="n">
        <v>0</v>
      </c>
      <c r="Q564" t="n">
        <v>0</v>
      </c>
      <c r="R564" s="2" t="inlineStr"/>
    </row>
    <row r="565" ht="15" customHeight="1">
      <c r="A565" t="inlineStr">
        <is>
          <t>A 31568-2024</t>
        </is>
      </c>
      <c r="B565" s="1" t="n">
        <v>45505.96721064814</v>
      </c>
      <c r="C565" s="1" t="n">
        <v>45884</v>
      </c>
      <c r="D565" t="inlineStr">
        <is>
          <t>VÄSTERNORRLANDS LÄN</t>
        </is>
      </c>
      <c r="E565" t="inlineStr">
        <is>
          <t>ÅNGE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27468-2024</t>
        </is>
      </c>
      <c r="B566" s="1" t="n">
        <v>45474</v>
      </c>
      <c r="C566" s="1" t="n">
        <v>45884</v>
      </c>
      <c r="D566" t="inlineStr">
        <is>
          <t>VÄSTERNORRLANDS LÄN</t>
        </is>
      </c>
      <c r="E566" t="inlineStr">
        <is>
          <t>ÅNGE</t>
        </is>
      </c>
      <c r="G566" t="n">
        <v>1.3</v>
      </c>
      <c r="H566" t="n">
        <v>0</v>
      </c>
      <c r="I566" t="n">
        <v>0</v>
      </c>
      <c r="J566" t="n">
        <v>0</v>
      </c>
      <c r="K566" t="n">
        <v>0</v>
      </c>
      <c r="L566" t="n">
        <v>0</v>
      </c>
      <c r="M566" t="n">
        <v>0</v>
      </c>
      <c r="N566" t="n">
        <v>0</v>
      </c>
      <c r="O566" t="n">
        <v>0</v>
      </c>
      <c r="P566" t="n">
        <v>0</v>
      </c>
      <c r="Q566" t="n">
        <v>0</v>
      </c>
      <c r="R566" s="2" t="inlineStr"/>
    </row>
    <row r="567" ht="15" customHeight="1">
      <c r="A567" t="inlineStr">
        <is>
          <t>A 44635-2024</t>
        </is>
      </c>
      <c r="B567" s="1" t="n">
        <v>45574.51488425926</v>
      </c>
      <c r="C567" s="1" t="n">
        <v>45884</v>
      </c>
      <c r="D567" t="inlineStr">
        <is>
          <t>VÄSTERNORRLANDS LÄN</t>
        </is>
      </c>
      <c r="E567" t="inlineStr">
        <is>
          <t>ÅNGE</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34959-2023</t>
        </is>
      </c>
      <c r="B568" s="1" t="n">
        <v>45142</v>
      </c>
      <c r="C568" s="1" t="n">
        <v>45884</v>
      </c>
      <c r="D568" t="inlineStr">
        <is>
          <t>VÄSTERNORRLANDS LÄN</t>
        </is>
      </c>
      <c r="E568" t="inlineStr">
        <is>
          <t>ÅNGE</t>
        </is>
      </c>
      <c r="F568" t="inlineStr">
        <is>
          <t>Sveaskog</t>
        </is>
      </c>
      <c r="G568" t="n">
        <v>6.6</v>
      </c>
      <c r="H568" t="n">
        <v>0</v>
      </c>
      <c r="I568" t="n">
        <v>0</v>
      </c>
      <c r="J568" t="n">
        <v>0</v>
      </c>
      <c r="K568" t="n">
        <v>0</v>
      </c>
      <c r="L568" t="n">
        <v>0</v>
      </c>
      <c r="M568" t="n">
        <v>0</v>
      </c>
      <c r="N568" t="n">
        <v>0</v>
      </c>
      <c r="O568" t="n">
        <v>0</v>
      </c>
      <c r="P568" t="n">
        <v>0</v>
      </c>
      <c r="Q568" t="n">
        <v>0</v>
      </c>
      <c r="R568" s="2" t="inlineStr"/>
    </row>
    <row r="569" ht="15" customHeight="1">
      <c r="A569" t="inlineStr">
        <is>
          <t>A 12123-2024</t>
        </is>
      </c>
      <c r="B569" s="1" t="n">
        <v>45377</v>
      </c>
      <c r="C569" s="1" t="n">
        <v>45884</v>
      </c>
      <c r="D569" t="inlineStr">
        <is>
          <t>VÄSTERNORRLANDS LÄN</t>
        </is>
      </c>
      <c r="E569" t="inlineStr">
        <is>
          <t>ÅNGE</t>
        </is>
      </c>
      <c r="G569" t="n">
        <v>2.2</v>
      </c>
      <c r="H569" t="n">
        <v>0</v>
      </c>
      <c r="I569" t="n">
        <v>0</v>
      </c>
      <c r="J569" t="n">
        <v>0</v>
      </c>
      <c r="K569" t="n">
        <v>0</v>
      </c>
      <c r="L569" t="n">
        <v>0</v>
      </c>
      <c r="M569" t="n">
        <v>0</v>
      </c>
      <c r="N569" t="n">
        <v>0</v>
      </c>
      <c r="O569" t="n">
        <v>0</v>
      </c>
      <c r="P569" t="n">
        <v>0</v>
      </c>
      <c r="Q569" t="n">
        <v>0</v>
      </c>
      <c r="R569" s="2" t="inlineStr"/>
    </row>
    <row r="570" ht="15" customHeight="1">
      <c r="A570" t="inlineStr">
        <is>
          <t>A 11299-2023</t>
        </is>
      </c>
      <c r="B570" s="1" t="n">
        <v>44993.01074074074</v>
      </c>
      <c r="C570" s="1" t="n">
        <v>45884</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11309-2023</t>
        </is>
      </c>
      <c r="B571" s="1" t="n">
        <v>44993.0118287037</v>
      </c>
      <c r="C571" s="1" t="n">
        <v>45884</v>
      </c>
      <c r="D571" t="inlineStr">
        <is>
          <t>VÄSTERNORRLANDS LÄN</t>
        </is>
      </c>
      <c r="E571" t="inlineStr">
        <is>
          <t>ÅNGE</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45932-2023</t>
        </is>
      </c>
      <c r="B572" s="1" t="n">
        <v>45195</v>
      </c>
      <c r="C572" s="1" t="n">
        <v>45884</v>
      </c>
      <c r="D572" t="inlineStr">
        <is>
          <t>VÄSTERNORRLANDS LÄN</t>
        </is>
      </c>
      <c r="E572" t="inlineStr">
        <is>
          <t>ÅNGE</t>
        </is>
      </c>
      <c r="F572" t="inlineStr">
        <is>
          <t>SCA</t>
        </is>
      </c>
      <c r="G572" t="n">
        <v>0.1</v>
      </c>
      <c r="H572" t="n">
        <v>0</v>
      </c>
      <c r="I572" t="n">
        <v>0</v>
      </c>
      <c r="J572" t="n">
        <v>0</v>
      </c>
      <c r="K572" t="n">
        <v>0</v>
      </c>
      <c r="L572" t="n">
        <v>0</v>
      </c>
      <c r="M572" t="n">
        <v>0</v>
      </c>
      <c r="N572" t="n">
        <v>0</v>
      </c>
      <c r="O572" t="n">
        <v>0</v>
      </c>
      <c r="P572" t="n">
        <v>0</v>
      </c>
      <c r="Q572" t="n">
        <v>0</v>
      </c>
      <c r="R572" s="2" t="inlineStr"/>
    </row>
    <row r="573" ht="15" customHeight="1">
      <c r="A573" t="inlineStr">
        <is>
          <t>A 43066-2022</t>
        </is>
      </c>
      <c r="B573" s="1" t="n">
        <v>44833</v>
      </c>
      <c r="C573" s="1" t="n">
        <v>45884</v>
      </c>
      <c r="D573" t="inlineStr">
        <is>
          <t>VÄSTERNORRLANDS LÄN</t>
        </is>
      </c>
      <c r="E573" t="inlineStr">
        <is>
          <t>ÅNGE</t>
        </is>
      </c>
      <c r="G573" t="n">
        <v>1.2</v>
      </c>
      <c r="H573" t="n">
        <v>0</v>
      </c>
      <c r="I573" t="n">
        <v>0</v>
      </c>
      <c r="J573" t="n">
        <v>0</v>
      </c>
      <c r="K573" t="n">
        <v>0</v>
      </c>
      <c r="L573" t="n">
        <v>0</v>
      </c>
      <c r="M573" t="n">
        <v>0</v>
      </c>
      <c r="N573" t="n">
        <v>0</v>
      </c>
      <c r="O573" t="n">
        <v>0</v>
      </c>
      <c r="P573" t="n">
        <v>0</v>
      </c>
      <c r="Q573" t="n">
        <v>0</v>
      </c>
      <c r="R573" s="2" t="inlineStr"/>
    </row>
    <row r="574" ht="15" customHeight="1">
      <c r="A574" t="inlineStr">
        <is>
          <t>A 8406-2023</t>
        </is>
      </c>
      <c r="B574" s="1" t="n">
        <v>44971</v>
      </c>
      <c r="C574" s="1" t="n">
        <v>45884</v>
      </c>
      <c r="D574" t="inlineStr">
        <is>
          <t>VÄSTERNORRLANDS LÄN</t>
        </is>
      </c>
      <c r="E574" t="inlineStr">
        <is>
          <t>ÅNGE</t>
        </is>
      </c>
      <c r="G574" t="n">
        <v>1.2</v>
      </c>
      <c r="H574" t="n">
        <v>0</v>
      </c>
      <c r="I574" t="n">
        <v>0</v>
      </c>
      <c r="J574" t="n">
        <v>0</v>
      </c>
      <c r="K574" t="n">
        <v>0</v>
      </c>
      <c r="L574" t="n">
        <v>0</v>
      </c>
      <c r="M574" t="n">
        <v>0</v>
      </c>
      <c r="N574" t="n">
        <v>0</v>
      </c>
      <c r="O574" t="n">
        <v>0</v>
      </c>
      <c r="P574" t="n">
        <v>0</v>
      </c>
      <c r="Q574" t="n">
        <v>0</v>
      </c>
      <c r="R574" s="2" t="inlineStr"/>
    </row>
    <row r="575" ht="15" customHeight="1">
      <c r="A575" t="inlineStr">
        <is>
          <t>A 8648-2025</t>
        </is>
      </c>
      <c r="B575" s="1" t="n">
        <v>45712.34501157407</v>
      </c>
      <c r="C575" s="1" t="n">
        <v>45884</v>
      </c>
      <c r="D575" t="inlineStr">
        <is>
          <t>VÄSTERNORRLANDS LÄN</t>
        </is>
      </c>
      <c r="E575" t="inlineStr">
        <is>
          <t>ÅNGE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24541-2023</t>
        </is>
      </c>
      <c r="B576" s="1" t="n">
        <v>45082.94135416667</v>
      </c>
      <c r="C576" s="1" t="n">
        <v>45884</v>
      </c>
      <c r="D576" t="inlineStr">
        <is>
          <t>VÄSTERNORRLANDS LÄN</t>
        </is>
      </c>
      <c r="E576" t="inlineStr">
        <is>
          <t>ÅNGE</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42857-2022</t>
        </is>
      </c>
      <c r="B577" s="1" t="n">
        <v>44832</v>
      </c>
      <c r="C577" s="1" t="n">
        <v>45884</v>
      </c>
      <c r="D577" t="inlineStr">
        <is>
          <t>VÄSTERNORRLANDS LÄN</t>
        </is>
      </c>
      <c r="E577" t="inlineStr">
        <is>
          <t>ÅNGE</t>
        </is>
      </c>
      <c r="G577" t="n">
        <v>3.4</v>
      </c>
      <c r="H577" t="n">
        <v>0</v>
      </c>
      <c r="I577" t="n">
        <v>0</v>
      </c>
      <c r="J577" t="n">
        <v>0</v>
      </c>
      <c r="K577" t="n">
        <v>0</v>
      </c>
      <c r="L577" t="n">
        <v>0</v>
      </c>
      <c r="M577" t="n">
        <v>0</v>
      </c>
      <c r="N577" t="n">
        <v>0</v>
      </c>
      <c r="O577" t="n">
        <v>0</v>
      </c>
      <c r="P577" t="n">
        <v>0</v>
      </c>
      <c r="Q577" t="n">
        <v>0</v>
      </c>
      <c r="R577" s="2" t="inlineStr"/>
    </row>
    <row r="578" ht="15" customHeight="1">
      <c r="A578" t="inlineStr">
        <is>
          <t>A 54346-2023</t>
        </is>
      </c>
      <c r="B578" s="1" t="n">
        <v>45232.96087962963</v>
      </c>
      <c r="C578" s="1" t="n">
        <v>45884</v>
      </c>
      <c r="D578" t="inlineStr">
        <is>
          <t>VÄSTERNORRLANDS LÄN</t>
        </is>
      </c>
      <c r="E578" t="inlineStr">
        <is>
          <t>ÅNGE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63530-2023</t>
        </is>
      </c>
      <c r="B579" s="1" t="n">
        <v>45274</v>
      </c>
      <c r="C579" s="1" t="n">
        <v>45884</v>
      </c>
      <c r="D579" t="inlineStr">
        <is>
          <t>VÄSTERNORRLANDS LÄN</t>
        </is>
      </c>
      <c r="E579" t="inlineStr">
        <is>
          <t>ÅNGE</t>
        </is>
      </c>
      <c r="G579" t="n">
        <v>1.1</v>
      </c>
      <c r="H579" t="n">
        <v>0</v>
      </c>
      <c r="I579" t="n">
        <v>0</v>
      </c>
      <c r="J579" t="n">
        <v>0</v>
      </c>
      <c r="K579" t="n">
        <v>0</v>
      </c>
      <c r="L579" t="n">
        <v>0</v>
      </c>
      <c r="M579" t="n">
        <v>0</v>
      </c>
      <c r="N579" t="n">
        <v>0</v>
      </c>
      <c r="O579" t="n">
        <v>0</v>
      </c>
      <c r="P579" t="n">
        <v>0</v>
      </c>
      <c r="Q579" t="n">
        <v>0</v>
      </c>
      <c r="R579" s="2" t="inlineStr"/>
    </row>
    <row r="580" ht="15" customHeight="1">
      <c r="A580" t="inlineStr">
        <is>
          <t>A 24552-2023</t>
        </is>
      </c>
      <c r="B580" s="1" t="n">
        <v>45082.94226851852</v>
      </c>
      <c r="C580" s="1" t="n">
        <v>45884</v>
      </c>
      <c r="D580" t="inlineStr">
        <is>
          <t>VÄSTERNORRLANDS LÄN</t>
        </is>
      </c>
      <c r="E580" t="inlineStr">
        <is>
          <t>ÅNGE</t>
        </is>
      </c>
      <c r="G580" t="n">
        <v>1.5</v>
      </c>
      <c r="H580" t="n">
        <v>0</v>
      </c>
      <c r="I580" t="n">
        <v>0</v>
      </c>
      <c r="J580" t="n">
        <v>0</v>
      </c>
      <c r="K580" t="n">
        <v>0</v>
      </c>
      <c r="L580" t="n">
        <v>0</v>
      </c>
      <c r="M580" t="n">
        <v>0</v>
      </c>
      <c r="N580" t="n">
        <v>0</v>
      </c>
      <c r="O580" t="n">
        <v>0</v>
      </c>
      <c r="P580" t="n">
        <v>0</v>
      </c>
      <c r="Q580" t="n">
        <v>0</v>
      </c>
      <c r="R580" s="2" t="inlineStr"/>
    </row>
    <row r="581" ht="15" customHeight="1">
      <c r="A581" t="inlineStr">
        <is>
          <t>A 51131-2022</t>
        </is>
      </c>
      <c r="B581" s="1" t="n">
        <v>44868</v>
      </c>
      <c r="C581" s="1" t="n">
        <v>45884</v>
      </c>
      <c r="D581" t="inlineStr">
        <is>
          <t>VÄSTERNORRLANDS LÄN</t>
        </is>
      </c>
      <c r="E581" t="inlineStr">
        <is>
          <t>ÅNGE</t>
        </is>
      </c>
      <c r="G581" t="n">
        <v>11.1</v>
      </c>
      <c r="H581" t="n">
        <v>0</v>
      </c>
      <c r="I581" t="n">
        <v>0</v>
      </c>
      <c r="J581" t="n">
        <v>0</v>
      </c>
      <c r="K581" t="n">
        <v>0</v>
      </c>
      <c r="L581" t="n">
        <v>0</v>
      </c>
      <c r="M581" t="n">
        <v>0</v>
      </c>
      <c r="N581" t="n">
        <v>0</v>
      </c>
      <c r="O581" t="n">
        <v>0</v>
      </c>
      <c r="P581" t="n">
        <v>0</v>
      </c>
      <c r="Q581" t="n">
        <v>0</v>
      </c>
      <c r="R581" s="2" t="inlineStr"/>
    </row>
    <row r="582" ht="15" customHeight="1">
      <c r="A582" t="inlineStr">
        <is>
          <t>A 33631-2024</t>
        </is>
      </c>
      <c r="B582" s="1" t="n">
        <v>45520</v>
      </c>
      <c r="C582" s="1" t="n">
        <v>45884</v>
      </c>
      <c r="D582" t="inlineStr">
        <is>
          <t>VÄSTERNORRLANDS LÄN</t>
        </is>
      </c>
      <c r="E582" t="inlineStr">
        <is>
          <t>ÅNGE</t>
        </is>
      </c>
      <c r="G582" t="n">
        <v>1.7</v>
      </c>
      <c r="H582" t="n">
        <v>0</v>
      </c>
      <c r="I582" t="n">
        <v>0</v>
      </c>
      <c r="J582" t="n">
        <v>0</v>
      </c>
      <c r="K582" t="n">
        <v>0</v>
      </c>
      <c r="L582" t="n">
        <v>0</v>
      </c>
      <c r="M582" t="n">
        <v>0</v>
      </c>
      <c r="N582" t="n">
        <v>0</v>
      </c>
      <c r="O582" t="n">
        <v>0</v>
      </c>
      <c r="P582" t="n">
        <v>0</v>
      </c>
      <c r="Q582" t="n">
        <v>0</v>
      </c>
      <c r="R582" s="2" t="inlineStr"/>
    </row>
    <row r="583" ht="15" customHeight="1">
      <c r="A583" t="inlineStr">
        <is>
          <t>A 6-2025</t>
        </is>
      </c>
      <c r="B583" s="1" t="n">
        <v>45658.50759259259</v>
      </c>
      <c r="C583" s="1" t="n">
        <v>45884</v>
      </c>
      <c r="D583" t="inlineStr">
        <is>
          <t>VÄSTERNORRLANDS LÄN</t>
        </is>
      </c>
      <c r="E583" t="inlineStr">
        <is>
          <t>ÅNGE</t>
        </is>
      </c>
      <c r="G583" t="n">
        <v>4.3</v>
      </c>
      <c r="H583" t="n">
        <v>0</v>
      </c>
      <c r="I583" t="n">
        <v>0</v>
      </c>
      <c r="J583" t="n">
        <v>0</v>
      </c>
      <c r="K583" t="n">
        <v>0</v>
      </c>
      <c r="L583" t="n">
        <v>0</v>
      </c>
      <c r="M583" t="n">
        <v>0</v>
      </c>
      <c r="N583" t="n">
        <v>0</v>
      </c>
      <c r="O583" t="n">
        <v>0</v>
      </c>
      <c r="P583" t="n">
        <v>0</v>
      </c>
      <c r="Q583" t="n">
        <v>0</v>
      </c>
      <c r="R583" s="2" t="inlineStr"/>
    </row>
    <row r="584" ht="15" customHeight="1">
      <c r="A584" t="inlineStr">
        <is>
          <t>A 60401-2020</t>
        </is>
      </c>
      <c r="B584" s="1" t="n">
        <v>44152</v>
      </c>
      <c r="C584" s="1" t="n">
        <v>45884</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3249-2024</t>
        </is>
      </c>
      <c r="B585" s="1" t="n">
        <v>45316</v>
      </c>
      <c r="C585" s="1" t="n">
        <v>45884</v>
      </c>
      <c r="D585" t="inlineStr">
        <is>
          <t>VÄSTERNORRLANDS LÄN</t>
        </is>
      </c>
      <c r="E585" t="inlineStr">
        <is>
          <t>ÅNGE</t>
        </is>
      </c>
      <c r="G585" t="n">
        <v>0.3</v>
      </c>
      <c r="H585" t="n">
        <v>0</v>
      </c>
      <c r="I585" t="n">
        <v>0</v>
      </c>
      <c r="J585" t="n">
        <v>0</v>
      </c>
      <c r="K585" t="n">
        <v>0</v>
      </c>
      <c r="L585" t="n">
        <v>0</v>
      </c>
      <c r="M585" t="n">
        <v>0</v>
      </c>
      <c r="N585" t="n">
        <v>0</v>
      </c>
      <c r="O585" t="n">
        <v>0</v>
      </c>
      <c r="P585" t="n">
        <v>0</v>
      </c>
      <c r="Q585" t="n">
        <v>0</v>
      </c>
      <c r="R585" s="2" t="inlineStr"/>
    </row>
    <row r="586" ht="15" customHeight="1">
      <c r="A586" t="inlineStr">
        <is>
          <t>A 58275-2022</t>
        </is>
      </c>
      <c r="B586" s="1" t="n">
        <v>44901.47865740741</v>
      </c>
      <c r="C586" s="1" t="n">
        <v>45884</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42948-2024</t>
        </is>
      </c>
      <c r="B587" s="1" t="n">
        <v>45567.36628472222</v>
      </c>
      <c r="C587" s="1" t="n">
        <v>45884</v>
      </c>
      <c r="D587" t="inlineStr">
        <is>
          <t>VÄSTERNORRLANDS LÄN</t>
        </is>
      </c>
      <c r="E587" t="inlineStr">
        <is>
          <t>ÅNGE</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42953-2024</t>
        </is>
      </c>
      <c r="B588" s="1" t="n">
        <v>45567</v>
      </c>
      <c r="C588" s="1" t="n">
        <v>45884</v>
      </c>
      <c r="D588" t="inlineStr">
        <is>
          <t>VÄSTERNORRLANDS LÄN</t>
        </is>
      </c>
      <c r="E588" t="inlineStr">
        <is>
          <t>ÅNGE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42968-2024</t>
        </is>
      </c>
      <c r="B589" s="1" t="n">
        <v>45567</v>
      </c>
      <c r="C589" s="1" t="n">
        <v>45884</v>
      </c>
      <c r="D589" t="inlineStr">
        <is>
          <t>VÄSTERNORRLANDS LÄN</t>
        </is>
      </c>
      <c r="E589" t="inlineStr">
        <is>
          <t>ÅNGE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63522-2021</t>
        </is>
      </c>
      <c r="B590" s="1" t="n">
        <v>44508</v>
      </c>
      <c r="C590" s="1" t="n">
        <v>45884</v>
      </c>
      <c r="D590" t="inlineStr">
        <is>
          <t>VÄSTERNORRLANDS LÄN</t>
        </is>
      </c>
      <c r="E590" t="inlineStr">
        <is>
          <t>ÅNGE</t>
        </is>
      </c>
      <c r="F590" t="inlineStr">
        <is>
          <t>Övriga Aktiebolag</t>
        </is>
      </c>
      <c r="G590" t="n">
        <v>3.5</v>
      </c>
      <c r="H590" t="n">
        <v>0</v>
      </c>
      <c r="I590" t="n">
        <v>0</v>
      </c>
      <c r="J590" t="n">
        <v>0</v>
      </c>
      <c r="K590" t="n">
        <v>0</v>
      </c>
      <c r="L590" t="n">
        <v>0</v>
      </c>
      <c r="M590" t="n">
        <v>0</v>
      </c>
      <c r="N590" t="n">
        <v>0</v>
      </c>
      <c r="O590" t="n">
        <v>0</v>
      </c>
      <c r="P590" t="n">
        <v>0</v>
      </c>
      <c r="Q590" t="n">
        <v>0</v>
      </c>
      <c r="R590" s="2" t="inlineStr"/>
    </row>
    <row r="591" ht="15" customHeight="1">
      <c r="A591" t="inlineStr">
        <is>
          <t>A 24232-2024</t>
        </is>
      </c>
      <c r="B591" s="1" t="n">
        <v>45457.34686342593</v>
      </c>
      <c r="C591" s="1" t="n">
        <v>45884</v>
      </c>
      <c r="D591" t="inlineStr">
        <is>
          <t>VÄSTERNORRLANDS LÄN</t>
        </is>
      </c>
      <c r="E591" t="inlineStr">
        <is>
          <t>ÅNGE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31325-2022</t>
        </is>
      </c>
      <c r="B592" s="1" t="n">
        <v>44774.41421296296</v>
      </c>
      <c r="C592" s="1" t="n">
        <v>45884</v>
      </c>
      <c r="D592" t="inlineStr">
        <is>
          <t>VÄSTERNORRLANDS LÄN</t>
        </is>
      </c>
      <c r="E592" t="inlineStr">
        <is>
          <t>ÅNGE</t>
        </is>
      </c>
      <c r="G592" t="n">
        <v>6.3</v>
      </c>
      <c r="H592" t="n">
        <v>0</v>
      </c>
      <c r="I592" t="n">
        <v>0</v>
      </c>
      <c r="J592" t="n">
        <v>0</v>
      </c>
      <c r="K592" t="n">
        <v>0</v>
      </c>
      <c r="L592" t="n">
        <v>0</v>
      </c>
      <c r="M592" t="n">
        <v>0</v>
      </c>
      <c r="N592" t="n">
        <v>0</v>
      </c>
      <c r="O592" t="n">
        <v>0</v>
      </c>
      <c r="P592" t="n">
        <v>0</v>
      </c>
      <c r="Q592" t="n">
        <v>0</v>
      </c>
      <c r="R592" s="2" t="inlineStr"/>
    </row>
    <row r="593" ht="15" customHeight="1">
      <c r="A593" t="inlineStr">
        <is>
          <t>A 51411-2023</t>
        </is>
      </c>
      <c r="B593" s="1" t="n">
        <v>45219</v>
      </c>
      <c r="C593" s="1" t="n">
        <v>45884</v>
      </c>
      <c r="D593" t="inlineStr">
        <is>
          <t>VÄSTERNORRLANDS LÄN</t>
        </is>
      </c>
      <c r="E593" t="inlineStr">
        <is>
          <t>ÅNGE</t>
        </is>
      </c>
      <c r="G593" t="n">
        <v>2.5</v>
      </c>
      <c r="H593" t="n">
        <v>0</v>
      </c>
      <c r="I593" t="n">
        <v>0</v>
      </c>
      <c r="J593" t="n">
        <v>0</v>
      </c>
      <c r="K593" t="n">
        <v>0</v>
      </c>
      <c r="L593" t="n">
        <v>0</v>
      </c>
      <c r="M593" t="n">
        <v>0</v>
      </c>
      <c r="N593" t="n">
        <v>0</v>
      </c>
      <c r="O593" t="n">
        <v>0</v>
      </c>
      <c r="P593" t="n">
        <v>0</v>
      </c>
      <c r="Q593" t="n">
        <v>0</v>
      </c>
      <c r="R593" s="2" t="inlineStr"/>
    </row>
    <row r="594" ht="15" customHeight="1">
      <c r="A594" t="inlineStr">
        <is>
          <t>A 31229-2023</t>
        </is>
      </c>
      <c r="B594" s="1" t="n">
        <v>45114</v>
      </c>
      <c r="C594" s="1" t="n">
        <v>45884</v>
      </c>
      <c r="D594" t="inlineStr">
        <is>
          <t>VÄSTERNORRLANDS LÄN</t>
        </is>
      </c>
      <c r="E594" t="inlineStr">
        <is>
          <t>ÅNGE</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14673-2025</t>
        </is>
      </c>
      <c r="B595" s="1" t="n">
        <v>45742.55309027778</v>
      </c>
      <c r="C595" s="1" t="n">
        <v>45884</v>
      </c>
      <c r="D595" t="inlineStr">
        <is>
          <t>VÄSTERNORRLANDS LÄN</t>
        </is>
      </c>
      <c r="E595" t="inlineStr">
        <is>
          <t>ÅNGE</t>
        </is>
      </c>
      <c r="G595" t="n">
        <v>2.5</v>
      </c>
      <c r="H595" t="n">
        <v>0</v>
      </c>
      <c r="I595" t="n">
        <v>0</v>
      </c>
      <c r="J595" t="n">
        <v>0</v>
      </c>
      <c r="K595" t="n">
        <v>0</v>
      </c>
      <c r="L595" t="n">
        <v>0</v>
      </c>
      <c r="M595" t="n">
        <v>0</v>
      </c>
      <c r="N595" t="n">
        <v>0</v>
      </c>
      <c r="O595" t="n">
        <v>0</v>
      </c>
      <c r="P595" t="n">
        <v>0</v>
      </c>
      <c r="Q595" t="n">
        <v>0</v>
      </c>
      <c r="R595" s="2" t="inlineStr"/>
    </row>
    <row r="596" ht="15" customHeight="1">
      <c r="A596" t="inlineStr">
        <is>
          <t>A 16191-2023</t>
        </is>
      </c>
      <c r="B596" s="1" t="n">
        <v>45027.94111111111</v>
      </c>
      <c r="C596" s="1" t="n">
        <v>45884</v>
      </c>
      <c r="D596" t="inlineStr">
        <is>
          <t>VÄSTERNORRLANDS LÄN</t>
        </is>
      </c>
      <c r="E596" t="inlineStr">
        <is>
          <t>ÅNGE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35498-2022</t>
        </is>
      </c>
      <c r="B597" s="1" t="n">
        <v>44798.94810185185</v>
      </c>
      <c r="C597" s="1" t="n">
        <v>45884</v>
      </c>
      <c r="D597" t="inlineStr">
        <is>
          <t>VÄSTERNORRLANDS LÄN</t>
        </is>
      </c>
      <c r="E597" t="inlineStr">
        <is>
          <t>ÅNGE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53336-2024</t>
        </is>
      </c>
      <c r="B598" s="1" t="n">
        <v>45614.42753472222</v>
      </c>
      <c r="C598" s="1" t="n">
        <v>45884</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7692-2024</t>
        </is>
      </c>
      <c r="B599" s="1" t="n">
        <v>45349</v>
      </c>
      <c r="C599" s="1" t="n">
        <v>45884</v>
      </c>
      <c r="D599" t="inlineStr">
        <is>
          <t>VÄSTERNORRLANDS LÄN</t>
        </is>
      </c>
      <c r="E599" t="inlineStr">
        <is>
          <t>ÅNGE</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47950-2024</t>
        </is>
      </c>
      <c r="B600" s="1" t="n">
        <v>45589.36511574074</v>
      </c>
      <c r="C600" s="1" t="n">
        <v>45884</v>
      </c>
      <c r="D600" t="inlineStr">
        <is>
          <t>VÄSTERNORRLANDS LÄN</t>
        </is>
      </c>
      <c r="E600" t="inlineStr">
        <is>
          <t>ÅNGE</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39589-2022</t>
        </is>
      </c>
      <c r="B601" s="1" t="n">
        <v>44818</v>
      </c>
      <c r="C601" s="1" t="n">
        <v>45884</v>
      </c>
      <c r="D601" t="inlineStr">
        <is>
          <t>VÄSTERNORRLANDS LÄN</t>
        </is>
      </c>
      <c r="E601" t="inlineStr">
        <is>
          <t>ÅNGE</t>
        </is>
      </c>
      <c r="G601" t="n">
        <v>4.8</v>
      </c>
      <c r="H601" t="n">
        <v>0</v>
      </c>
      <c r="I601" t="n">
        <v>0</v>
      </c>
      <c r="J601" t="n">
        <v>0</v>
      </c>
      <c r="K601" t="n">
        <v>0</v>
      </c>
      <c r="L601" t="n">
        <v>0</v>
      </c>
      <c r="M601" t="n">
        <v>0</v>
      </c>
      <c r="N601" t="n">
        <v>0</v>
      </c>
      <c r="O601" t="n">
        <v>0</v>
      </c>
      <c r="P601" t="n">
        <v>0</v>
      </c>
      <c r="Q601" t="n">
        <v>0</v>
      </c>
      <c r="R601" s="2" t="inlineStr"/>
    </row>
    <row r="602" ht="15" customHeight="1">
      <c r="A602" t="inlineStr">
        <is>
          <t>A 2299-2025</t>
        </is>
      </c>
      <c r="B602" s="1" t="n">
        <v>45673.59516203704</v>
      </c>
      <c r="C602" s="1" t="n">
        <v>45884</v>
      </c>
      <c r="D602" t="inlineStr">
        <is>
          <t>VÄSTERNORRLANDS LÄN</t>
        </is>
      </c>
      <c r="E602" t="inlineStr">
        <is>
          <t>ÅNGE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42098-2024</t>
        </is>
      </c>
      <c r="B603" s="1" t="n">
        <v>45562.34532407407</v>
      </c>
      <c r="C603" s="1" t="n">
        <v>45884</v>
      </c>
      <c r="D603" t="inlineStr">
        <is>
          <t>VÄSTERNORRLANDS LÄN</t>
        </is>
      </c>
      <c r="E603" t="inlineStr">
        <is>
          <t>ÅNGE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31457-2024</t>
        </is>
      </c>
      <c r="B604" s="1" t="n">
        <v>45505</v>
      </c>
      <c r="C604" s="1" t="n">
        <v>45884</v>
      </c>
      <c r="D604" t="inlineStr">
        <is>
          <t>VÄSTERNORRLANDS LÄN</t>
        </is>
      </c>
      <c r="E604" t="inlineStr">
        <is>
          <t>ÅNGE</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10071-2023</t>
        </is>
      </c>
      <c r="B605" s="1" t="n">
        <v>44985.92418981482</v>
      </c>
      <c r="C605" s="1" t="n">
        <v>45884</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54771-2023</t>
        </is>
      </c>
      <c r="B606" s="1" t="n">
        <v>45229</v>
      </c>
      <c r="C606" s="1" t="n">
        <v>45884</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44518-2024</t>
        </is>
      </c>
      <c r="B607" s="1" t="n">
        <v>45574.43376157407</v>
      </c>
      <c r="C607" s="1" t="n">
        <v>45884</v>
      </c>
      <c r="D607" t="inlineStr">
        <is>
          <t>VÄSTERNORRLANDS LÄN</t>
        </is>
      </c>
      <c r="E607" t="inlineStr">
        <is>
          <t>ÅNGE</t>
        </is>
      </c>
      <c r="G607" t="n">
        <v>2.6</v>
      </c>
      <c r="H607" t="n">
        <v>0</v>
      </c>
      <c r="I607" t="n">
        <v>0</v>
      </c>
      <c r="J607" t="n">
        <v>0</v>
      </c>
      <c r="K607" t="n">
        <v>0</v>
      </c>
      <c r="L607" t="n">
        <v>0</v>
      </c>
      <c r="M607" t="n">
        <v>0</v>
      </c>
      <c r="N607" t="n">
        <v>0</v>
      </c>
      <c r="O607" t="n">
        <v>0</v>
      </c>
      <c r="P607" t="n">
        <v>0</v>
      </c>
      <c r="Q607" t="n">
        <v>0</v>
      </c>
      <c r="R607" s="2" t="inlineStr"/>
    </row>
    <row r="608" ht="15" customHeight="1">
      <c r="A608" t="inlineStr">
        <is>
          <t>A 26011-2024</t>
        </is>
      </c>
      <c r="B608" s="1" t="n">
        <v>45467.95828703704</v>
      </c>
      <c r="C608" s="1" t="n">
        <v>45884</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26014-2024</t>
        </is>
      </c>
      <c r="B609" s="1" t="n">
        <v>45467.95862268518</v>
      </c>
      <c r="C609" s="1" t="n">
        <v>45884</v>
      </c>
      <c r="D609" t="inlineStr">
        <is>
          <t>VÄSTERNORRLANDS LÄN</t>
        </is>
      </c>
      <c r="E609" t="inlineStr">
        <is>
          <t>ÅNGE</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15822-2025</t>
        </is>
      </c>
      <c r="B610" s="1" t="n">
        <v>45748.70172453704</v>
      </c>
      <c r="C610" s="1" t="n">
        <v>45884</v>
      </c>
      <c r="D610" t="inlineStr">
        <is>
          <t>VÄSTERNORRLANDS LÄN</t>
        </is>
      </c>
      <c r="E610" t="inlineStr">
        <is>
          <t>ÅNGE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3629-2023</t>
        </is>
      </c>
      <c r="B611" s="1" t="n">
        <v>44950</v>
      </c>
      <c r="C611" s="1" t="n">
        <v>45884</v>
      </c>
      <c r="D611" t="inlineStr">
        <is>
          <t>VÄSTERNORRLANDS LÄN</t>
        </is>
      </c>
      <c r="E611" t="inlineStr">
        <is>
          <t>ÅNGE</t>
        </is>
      </c>
      <c r="G611" t="n">
        <v>2.5</v>
      </c>
      <c r="H611" t="n">
        <v>0</v>
      </c>
      <c r="I611" t="n">
        <v>0</v>
      </c>
      <c r="J611" t="n">
        <v>0</v>
      </c>
      <c r="K611" t="n">
        <v>0</v>
      </c>
      <c r="L611" t="n">
        <v>0</v>
      </c>
      <c r="M611" t="n">
        <v>0</v>
      </c>
      <c r="N611" t="n">
        <v>0</v>
      </c>
      <c r="O611" t="n">
        <v>0</v>
      </c>
      <c r="P611" t="n">
        <v>0</v>
      </c>
      <c r="Q611" t="n">
        <v>0</v>
      </c>
      <c r="R611" s="2" t="inlineStr"/>
    </row>
    <row r="612" ht="15" customHeight="1">
      <c r="A612" t="inlineStr">
        <is>
          <t>A 3631-2023</t>
        </is>
      </c>
      <c r="B612" s="1" t="n">
        <v>44950</v>
      </c>
      <c r="C612" s="1" t="n">
        <v>45884</v>
      </c>
      <c r="D612" t="inlineStr">
        <is>
          <t>VÄSTERNORRLANDS LÄN</t>
        </is>
      </c>
      <c r="E612" t="inlineStr">
        <is>
          <t>ÅNGE</t>
        </is>
      </c>
      <c r="G612" t="n">
        <v>0.8</v>
      </c>
      <c r="H612" t="n">
        <v>0</v>
      </c>
      <c r="I612" t="n">
        <v>0</v>
      </c>
      <c r="J612" t="n">
        <v>0</v>
      </c>
      <c r="K612" t="n">
        <v>0</v>
      </c>
      <c r="L612" t="n">
        <v>0</v>
      </c>
      <c r="M612" t="n">
        <v>0</v>
      </c>
      <c r="N612" t="n">
        <v>0</v>
      </c>
      <c r="O612" t="n">
        <v>0</v>
      </c>
      <c r="P612" t="n">
        <v>0</v>
      </c>
      <c r="Q612" t="n">
        <v>0</v>
      </c>
      <c r="R612" s="2" t="inlineStr"/>
    </row>
    <row r="613" ht="15" customHeight="1">
      <c r="A613" t="inlineStr">
        <is>
          <t>A 41083-2024</t>
        </is>
      </c>
      <c r="B613" s="1" t="n">
        <v>45559.40684027778</v>
      </c>
      <c r="C613" s="1" t="n">
        <v>45884</v>
      </c>
      <c r="D613" t="inlineStr">
        <is>
          <t>VÄSTERNORRLANDS LÄN</t>
        </is>
      </c>
      <c r="E613" t="inlineStr">
        <is>
          <t>ÅNGE</t>
        </is>
      </c>
      <c r="F613" t="inlineStr">
        <is>
          <t>SCA</t>
        </is>
      </c>
      <c r="G613" t="n">
        <v>8.4</v>
      </c>
      <c r="H613" t="n">
        <v>0</v>
      </c>
      <c r="I613" t="n">
        <v>0</v>
      </c>
      <c r="J613" t="n">
        <v>0</v>
      </c>
      <c r="K613" t="n">
        <v>0</v>
      </c>
      <c r="L613" t="n">
        <v>0</v>
      </c>
      <c r="M613" t="n">
        <v>0</v>
      </c>
      <c r="N613" t="n">
        <v>0</v>
      </c>
      <c r="O613" t="n">
        <v>0</v>
      </c>
      <c r="P613" t="n">
        <v>0</v>
      </c>
      <c r="Q613" t="n">
        <v>0</v>
      </c>
      <c r="R613" s="2" t="inlineStr"/>
    </row>
    <row r="614" ht="15" customHeight="1">
      <c r="A614" t="inlineStr">
        <is>
          <t>A 22411-2023</t>
        </is>
      </c>
      <c r="B614" s="1" t="n">
        <v>45070</v>
      </c>
      <c r="C614" s="1" t="n">
        <v>45884</v>
      </c>
      <c r="D614" t="inlineStr">
        <is>
          <t>VÄSTERNORRLANDS LÄN</t>
        </is>
      </c>
      <c r="E614" t="inlineStr">
        <is>
          <t>ÅNGE</t>
        </is>
      </c>
      <c r="G614" t="n">
        <v>2.8</v>
      </c>
      <c r="H614" t="n">
        <v>0</v>
      </c>
      <c r="I614" t="n">
        <v>0</v>
      </c>
      <c r="J614" t="n">
        <v>0</v>
      </c>
      <c r="K614" t="n">
        <v>0</v>
      </c>
      <c r="L614" t="n">
        <v>0</v>
      </c>
      <c r="M614" t="n">
        <v>0</v>
      </c>
      <c r="N614" t="n">
        <v>0</v>
      </c>
      <c r="O614" t="n">
        <v>0</v>
      </c>
      <c r="P614" t="n">
        <v>0</v>
      </c>
      <c r="Q614" t="n">
        <v>0</v>
      </c>
      <c r="R614" s="2" t="inlineStr"/>
    </row>
    <row r="615" ht="15" customHeight="1">
      <c r="A615" t="inlineStr">
        <is>
          <t>A 17703-2025</t>
        </is>
      </c>
      <c r="B615" s="1" t="n">
        <v>45758.4275462963</v>
      </c>
      <c r="C615" s="1" t="n">
        <v>45884</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4094-2025</t>
        </is>
      </c>
      <c r="B616" s="1" t="n">
        <v>45684.6778125</v>
      </c>
      <c r="C616" s="1" t="n">
        <v>45884</v>
      </c>
      <c r="D616" t="inlineStr">
        <is>
          <t>VÄSTERNORRLANDS LÄN</t>
        </is>
      </c>
      <c r="E616" t="inlineStr">
        <is>
          <t>ÅNGE</t>
        </is>
      </c>
      <c r="F616" t="inlineStr">
        <is>
          <t>SCA</t>
        </is>
      </c>
      <c r="G616" t="n">
        <v>7.7</v>
      </c>
      <c r="H616" t="n">
        <v>0</v>
      </c>
      <c r="I616" t="n">
        <v>0</v>
      </c>
      <c r="J616" t="n">
        <v>0</v>
      </c>
      <c r="K616" t="n">
        <v>0</v>
      </c>
      <c r="L616" t="n">
        <v>0</v>
      </c>
      <c r="M616" t="n">
        <v>0</v>
      </c>
      <c r="N616" t="n">
        <v>0</v>
      </c>
      <c r="O616" t="n">
        <v>0</v>
      </c>
      <c r="P616" t="n">
        <v>0</v>
      </c>
      <c r="Q616" t="n">
        <v>0</v>
      </c>
      <c r="R616" s="2" t="inlineStr"/>
    </row>
    <row r="617" ht="15" customHeight="1">
      <c r="A617" t="inlineStr">
        <is>
          <t>A 16606-2023</t>
        </is>
      </c>
      <c r="B617" s="1" t="n">
        <v>45030.3990625</v>
      </c>
      <c r="C617" s="1" t="n">
        <v>45884</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28779-2023</t>
        </is>
      </c>
      <c r="B618" s="1" t="n">
        <v>45104.34314814815</v>
      </c>
      <c r="C618" s="1" t="n">
        <v>45884</v>
      </c>
      <c r="D618" t="inlineStr">
        <is>
          <t>VÄSTERNORRLANDS LÄN</t>
        </is>
      </c>
      <c r="E618" t="inlineStr">
        <is>
          <t>ÅNGE</t>
        </is>
      </c>
      <c r="G618" t="n">
        <v>1.3</v>
      </c>
      <c r="H618" t="n">
        <v>0</v>
      </c>
      <c r="I618" t="n">
        <v>0</v>
      </c>
      <c r="J618" t="n">
        <v>0</v>
      </c>
      <c r="K618" t="n">
        <v>0</v>
      </c>
      <c r="L618" t="n">
        <v>0</v>
      </c>
      <c r="M618" t="n">
        <v>0</v>
      </c>
      <c r="N618" t="n">
        <v>0</v>
      </c>
      <c r="O618" t="n">
        <v>0</v>
      </c>
      <c r="P618" t="n">
        <v>0</v>
      </c>
      <c r="Q618" t="n">
        <v>0</v>
      </c>
      <c r="R618" s="2" t="inlineStr"/>
    </row>
    <row r="619" ht="15" customHeight="1">
      <c r="A619" t="inlineStr">
        <is>
          <t>A 41507-2024</t>
        </is>
      </c>
      <c r="B619" s="1" t="n">
        <v>45560</v>
      </c>
      <c r="C619" s="1" t="n">
        <v>45884</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25311-2023</t>
        </is>
      </c>
      <c r="B620" s="1" t="n">
        <v>45086.93869212963</v>
      </c>
      <c r="C620" s="1" t="n">
        <v>45884</v>
      </c>
      <c r="D620" t="inlineStr">
        <is>
          <t>VÄSTERNORRLANDS LÄN</t>
        </is>
      </c>
      <c r="E620" t="inlineStr">
        <is>
          <t>ÅNGE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60368-2024</t>
        </is>
      </c>
      <c r="B621" s="1" t="n">
        <v>45643</v>
      </c>
      <c r="C621" s="1" t="n">
        <v>45884</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26019-2024</t>
        </is>
      </c>
      <c r="B622" s="1" t="n">
        <v>45467.96015046296</v>
      </c>
      <c r="C622" s="1" t="n">
        <v>45884</v>
      </c>
      <c r="D622" t="inlineStr">
        <is>
          <t>VÄSTERNORRLANDS LÄN</t>
        </is>
      </c>
      <c r="E622" t="inlineStr">
        <is>
          <t>ÅNGE</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28873-2024</t>
        </is>
      </c>
      <c r="B623" s="1" t="n">
        <v>45478.94766203704</v>
      </c>
      <c r="C623" s="1" t="n">
        <v>45884</v>
      </c>
      <c r="D623" t="inlineStr">
        <is>
          <t>VÄSTERNORRLANDS LÄN</t>
        </is>
      </c>
      <c r="E623" t="inlineStr">
        <is>
          <t>ÅNGE</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8747-2022</t>
        </is>
      </c>
      <c r="B624" s="1" t="n">
        <v>44614.33912037037</v>
      </c>
      <c r="C624" s="1" t="n">
        <v>45884</v>
      </c>
      <c r="D624" t="inlineStr">
        <is>
          <t>VÄSTERNORRLANDS LÄN</t>
        </is>
      </c>
      <c r="E624" t="inlineStr">
        <is>
          <t>ÅNGE</t>
        </is>
      </c>
      <c r="G624" t="n">
        <v>1.5</v>
      </c>
      <c r="H624" t="n">
        <v>0</v>
      </c>
      <c r="I624" t="n">
        <v>0</v>
      </c>
      <c r="J624" t="n">
        <v>0</v>
      </c>
      <c r="K624" t="n">
        <v>0</v>
      </c>
      <c r="L624" t="n">
        <v>0</v>
      </c>
      <c r="M624" t="n">
        <v>0</v>
      </c>
      <c r="N624" t="n">
        <v>0</v>
      </c>
      <c r="O624" t="n">
        <v>0</v>
      </c>
      <c r="P624" t="n">
        <v>0</v>
      </c>
      <c r="Q624" t="n">
        <v>0</v>
      </c>
      <c r="R624" s="2" t="inlineStr"/>
    </row>
    <row r="625" ht="15" customHeight="1">
      <c r="A625" t="inlineStr">
        <is>
          <t>A 8755-2022</t>
        </is>
      </c>
      <c r="B625" s="1" t="n">
        <v>44614</v>
      </c>
      <c r="C625" s="1" t="n">
        <v>45884</v>
      </c>
      <c r="D625" t="inlineStr">
        <is>
          <t>VÄSTERNORRLANDS LÄN</t>
        </is>
      </c>
      <c r="E625" t="inlineStr">
        <is>
          <t>ÅNGE</t>
        </is>
      </c>
      <c r="G625" t="n">
        <v>2</v>
      </c>
      <c r="H625" t="n">
        <v>0</v>
      </c>
      <c r="I625" t="n">
        <v>0</v>
      </c>
      <c r="J625" t="n">
        <v>0</v>
      </c>
      <c r="K625" t="n">
        <v>0</v>
      </c>
      <c r="L625" t="n">
        <v>0</v>
      </c>
      <c r="M625" t="n">
        <v>0</v>
      </c>
      <c r="N625" t="n">
        <v>0</v>
      </c>
      <c r="O625" t="n">
        <v>0</v>
      </c>
      <c r="P625" t="n">
        <v>0</v>
      </c>
      <c r="Q625" t="n">
        <v>0</v>
      </c>
      <c r="R625" s="2" t="inlineStr"/>
    </row>
    <row r="626" ht="15" customHeight="1">
      <c r="A626" t="inlineStr">
        <is>
          <t>A 27682-2023</t>
        </is>
      </c>
      <c r="B626" s="1" t="n">
        <v>45097.93758101852</v>
      </c>
      <c r="C626" s="1" t="n">
        <v>45884</v>
      </c>
      <c r="D626" t="inlineStr">
        <is>
          <t>VÄSTERNORRLANDS LÄN</t>
        </is>
      </c>
      <c r="E626" t="inlineStr">
        <is>
          <t>ÅNGE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50612-2024</t>
        </is>
      </c>
      <c r="B627" s="1" t="n">
        <v>45601</v>
      </c>
      <c r="C627" s="1" t="n">
        <v>45884</v>
      </c>
      <c r="D627" t="inlineStr">
        <is>
          <t>VÄSTERNORRLANDS LÄN</t>
        </is>
      </c>
      <c r="E627" t="inlineStr">
        <is>
          <t>ÅNGE</t>
        </is>
      </c>
      <c r="G627" t="n">
        <v>1.9</v>
      </c>
      <c r="H627" t="n">
        <v>0</v>
      </c>
      <c r="I627" t="n">
        <v>0</v>
      </c>
      <c r="J627" t="n">
        <v>0</v>
      </c>
      <c r="K627" t="n">
        <v>0</v>
      </c>
      <c r="L627" t="n">
        <v>0</v>
      </c>
      <c r="M627" t="n">
        <v>0</v>
      </c>
      <c r="N627" t="n">
        <v>0</v>
      </c>
      <c r="O627" t="n">
        <v>0</v>
      </c>
      <c r="P627" t="n">
        <v>0</v>
      </c>
      <c r="Q627" t="n">
        <v>0</v>
      </c>
      <c r="R627" s="2" t="inlineStr"/>
    </row>
    <row r="628" ht="15" customHeight="1">
      <c r="A628" t="inlineStr">
        <is>
          <t>A 9382-2025</t>
        </is>
      </c>
      <c r="B628" s="1" t="n">
        <v>45715.34425925926</v>
      </c>
      <c r="C628" s="1" t="n">
        <v>45884</v>
      </c>
      <c r="D628" t="inlineStr">
        <is>
          <t>VÄSTERNORRLANDS LÄN</t>
        </is>
      </c>
      <c r="E628" t="inlineStr">
        <is>
          <t>ÅNGE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56699-2023</t>
        </is>
      </c>
      <c r="B629" s="1" t="n">
        <v>45243</v>
      </c>
      <c r="C629" s="1" t="n">
        <v>45884</v>
      </c>
      <c r="D629" t="inlineStr">
        <is>
          <t>VÄSTERNORRLANDS LÄN</t>
        </is>
      </c>
      <c r="E629" t="inlineStr">
        <is>
          <t>ÅNGE</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56434-2021</t>
        </is>
      </c>
      <c r="B630" s="1" t="n">
        <v>44477</v>
      </c>
      <c r="C630" s="1" t="n">
        <v>45884</v>
      </c>
      <c r="D630" t="inlineStr">
        <is>
          <t>VÄSTERNORRLANDS LÄN</t>
        </is>
      </c>
      <c r="E630" t="inlineStr">
        <is>
          <t>ÅNGE</t>
        </is>
      </c>
      <c r="G630" t="n">
        <v>2.7</v>
      </c>
      <c r="H630" t="n">
        <v>0</v>
      </c>
      <c r="I630" t="n">
        <v>0</v>
      </c>
      <c r="J630" t="n">
        <v>0</v>
      </c>
      <c r="K630" t="n">
        <v>0</v>
      </c>
      <c r="L630" t="n">
        <v>0</v>
      </c>
      <c r="M630" t="n">
        <v>0</v>
      </c>
      <c r="N630" t="n">
        <v>0</v>
      </c>
      <c r="O630" t="n">
        <v>0</v>
      </c>
      <c r="P630" t="n">
        <v>0</v>
      </c>
      <c r="Q630" t="n">
        <v>0</v>
      </c>
      <c r="R630" s="2" t="inlineStr"/>
    </row>
    <row r="631" ht="15" customHeight="1">
      <c r="A631" t="inlineStr">
        <is>
          <t>A 15868-2025</t>
        </is>
      </c>
      <c r="B631" s="1" t="n">
        <v>45749.36928240741</v>
      </c>
      <c r="C631" s="1" t="n">
        <v>45884</v>
      </c>
      <c r="D631" t="inlineStr">
        <is>
          <t>VÄSTERNORRLANDS LÄN</t>
        </is>
      </c>
      <c r="E631" t="inlineStr">
        <is>
          <t>ÅNGE</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18067-2025</t>
        </is>
      </c>
      <c r="B632" s="1" t="n">
        <v>45761.49016203704</v>
      </c>
      <c r="C632" s="1" t="n">
        <v>45884</v>
      </c>
      <c r="D632" t="inlineStr">
        <is>
          <t>VÄSTERNORRLANDS LÄN</t>
        </is>
      </c>
      <c r="E632" t="inlineStr">
        <is>
          <t>ÅNGE</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11396-2024</t>
        </is>
      </c>
      <c r="B633" s="1" t="n">
        <v>45372</v>
      </c>
      <c r="C633" s="1" t="n">
        <v>45884</v>
      </c>
      <c r="D633" t="inlineStr">
        <is>
          <t>VÄSTERNORRLANDS LÄN</t>
        </is>
      </c>
      <c r="E633" t="inlineStr">
        <is>
          <t>ÅNGE</t>
        </is>
      </c>
      <c r="G633" t="n">
        <v>2.2</v>
      </c>
      <c r="H633" t="n">
        <v>0</v>
      </c>
      <c r="I633" t="n">
        <v>0</v>
      </c>
      <c r="J633" t="n">
        <v>0</v>
      </c>
      <c r="K633" t="n">
        <v>0</v>
      </c>
      <c r="L633" t="n">
        <v>0</v>
      </c>
      <c r="M633" t="n">
        <v>0</v>
      </c>
      <c r="N633" t="n">
        <v>0</v>
      </c>
      <c r="O633" t="n">
        <v>0</v>
      </c>
      <c r="P633" t="n">
        <v>0</v>
      </c>
      <c r="Q633" t="n">
        <v>0</v>
      </c>
      <c r="R633" s="2" t="inlineStr"/>
    </row>
    <row r="634" ht="15" customHeight="1">
      <c r="A634" t="inlineStr">
        <is>
          <t>A 30751-2024</t>
        </is>
      </c>
      <c r="B634" s="1" t="n">
        <v>45496.69339120371</v>
      </c>
      <c r="C634" s="1" t="n">
        <v>45884</v>
      </c>
      <c r="D634" t="inlineStr">
        <is>
          <t>VÄSTERNORRLANDS LÄN</t>
        </is>
      </c>
      <c r="E634" t="inlineStr">
        <is>
          <t>ÅNGE</t>
        </is>
      </c>
      <c r="G634" t="n">
        <v>0.3</v>
      </c>
      <c r="H634" t="n">
        <v>0</v>
      </c>
      <c r="I634" t="n">
        <v>0</v>
      </c>
      <c r="J634" t="n">
        <v>0</v>
      </c>
      <c r="K634" t="n">
        <v>0</v>
      </c>
      <c r="L634" t="n">
        <v>0</v>
      </c>
      <c r="M634" t="n">
        <v>0</v>
      </c>
      <c r="N634" t="n">
        <v>0</v>
      </c>
      <c r="O634" t="n">
        <v>0</v>
      </c>
      <c r="P634" t="n">
        <v>0</v>
      </c>
      <c r="Q634" t="n">
        <v>0</v>
      </c>
      <c r="R634" s="2" t="inlineStr"/>
    </row>
    <row r="635" ht="15" customHeight="1">
      <c r="A635" t="inlineStr">
        <is>
          <t>A 6690-2024</t>
        </is>
      </c>
      <c r="B635" s="1" t="n">
        <v>45341</v>
      </c>
      <c r="C635" s="1" t="n">
        <v>45884</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55324-2023</t>
        </is>
      </c>
      <c r="B636" s="1" t="n">
        <v>45237.9734837963</v>
      </c>
      <c r="C636" s="1" t="n">
        <v>45884</v>
      </c>
      <c r="D636" t="inlineStr">
        <is>
          <t>VÄSTERNORRLANDS LÄN</t>
        </is>
      </c>
      <c r="E636" t="inlineStr">
        <is>
          <t>ÅNGE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64375-2023</t>
        </is>
      </c>
      <c r="B637" s="1" t="n">
        <v>45280</v>
      </c>
      <c r="C637" s="1" t="n">
        <v>45884</v>
      </c>
      <c r="D637" t="inlineStr">
        <is>
          <t>VÄSTERNORRLANDS LÄN</t>
        </is>
      </c>
      <c r="E637" t="inlineStr">
        <is>
          <t>ÅNGE</t>
        </is>
      </c>
      <c r="G637" t="n">
        <v>7.5</v>
      </c>
      <c r="H637" t="n">
        <v>0</v>
      </c>
      <c r="I637" t="n">
        <v>0</v>
      </c>
      <c r="J637" t="n">
        <v>0</v>
      </c>
      <c r="K637" t="n">
        <v>0</v>
      </c>
      <c r="L637" t="n">
        <v>0</v>
      </c>
      <c r="M637" t="n">
        <v>0</v>
      </c>
      <c r="N637" t="n">
        <v>0</v>
      </c>
      <c r="O637" t="n">
        <v>0</v>
      </c>
      <c r="P637" t="n">
        <v>0</v>
      </c>
      <c r="Q637" t="n">
        <v>0</v>
      </c>
      <c r="R637" s="2" t="inlineStr"/>
    </row>
    <row r="638" ht="15" customHeight="1">
      <c r="A638" t="inlineStr">
        <is>
          <t>A 1235-2023</t>
        </is>
      </c>
      <c r="B638" s="1" t="n">
        <v>44935</v>
      </c>
      <c r="C638" s="1" t="n">
        <v>45884</v>
      </c>
      <c r="D638" t="inlineStr">
        <is>
          <t>VÄSTERNORRLANDS LÄN</t>
        </is>
      </c>
      <c r="E638" t="inlineStr">
        <is>
          <t>ÅNGE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62261-2022</t>
        </is>
      </c>
      <c r="B639" s="1" t="n">
        <v>44922.94378472222</v>
      </c>
      <c r="C639" s="1" t="n">
        <v>45884</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41302-2024</t>
        </is>
      </c>
      <c r="B640" s="1" t="n">
        <v>45559.62077546296</v>
      </c>
      <c r="C640" s="1" t="n">
        <v>45884</v>
      </c>
      <c r="D640" t="inlineStr">
        <is>
          <t>VÄSTERNORRLANDS LÄN</t>
        </is>
      </c>
      <c r="E640" t="inlineStr">
        <is>
          <t>ÅNGE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15778-2025</t>
        </is>
      </c>
      <c r="B641" s="1" t="n">
        <v>45748.60030092593</v>
      </c>
      <c r="C641" s="1" t="n">
        <v>45884</v>
      </c>
      <c r="D641" t="inlineStr">
        <is>
          <t>VÄSTERNORRLANDS LÄN</t>
        </is>
      </c>
      <c r="E641" t="inlineStr">
        <is>
          <t>ÅNGE</t>
        </is>
      </c>
      <c r="F641" t="inlineStr">
        <is>
          <t>SCA</t>
        </is>
      </c>
      <c r="G641" t="n">
        <v>13.6</v>
      </c>
      <c r="H641" t="n">
        <v>0</v>
      </c>
      <c r="I641" t="n">
        <v>0</v>
      </c>
      <c r="J641" t="n">
        <v>0</v>
      </c>
      <c r="K641" t="n">
        <v>0</v>
      </c>
      <c r="L641" t="n">
        <v>0</v>
      </c>
      <c r="M641" t="n">
        <v>0</v>
      </c>
      <c r="N641" t="n">
        <v>0</v>
      </c>
      <c r="O641" t="n">
        <v>0</v>
      </c>
      <c r="P641" t="n">
        <v>0</v>
      </c>
      <c r="Q641" t="n">
        <v>0</v>
      </c>
      <c r="R641" s="2" t="inlineStr"/>
    </row>
    <row r="642" ht="15" customHeight="1">
      <c r="A642" t="inlineStr">
        <is>
          <t>A 58445-2022</t>
        </is>
      </c>
      <c r="B642" s="1" t="n">
        <v>44901.95453703704</v>
      </c>
      <c r="C642" s="1" t="n">
        <v>45884</v>
      </c>
      <c r="D642" t="inlineStr">
        <is>
          <t>VÄSTERNORRLANDS LÄN</t>
        </is>
      </c>
      <c r="E642" t="inlineStr">
        <is>
          <t>ÅNGE</t>
        </is>
      </c>
      <c r="F642" t="inlineStr">
        <is>
          <t>SCA</t>
        </is>
      </c>
      <c r="G642" t="n">
        <v>3.6</v>
      </c>
      <c r="H642" t="n">
        <v>0</v>
      </c>
      <c r="I642" t="n">
        <v>0</v>
      </c>
      <c r="J642" t="n">
        <v>0</v>
      </c>
      <c r="K642" t="n">
        <v>0</v>
      </c>
      <c r="L642" t="n">
        <v>0</v>
      </c>
      <c r="M642" t="n">
        <v>0</v>
      </c>
      <c r="N642" t="n">
        <v>0</v>
      </c>
      <c r="O642" t="n">
        <v>0</v>
      </c>
      <c r="P642" t="n">
        <v>0</v>
      </c>
      <c r="Q642" t="n">
        <v>0</v>
      </c>
      <c r="R642" s="2" t="inlineStr"/>
    </row>
    <row r="643" ht="15" customHeight="1">
      <c r="A643" t="inlineStr">
        <is>
          <t>A 39764-2024</t>
        </is>
      </c>
      <c r="B643" s="1" t="n">
        <v>45552.7190162037</v>
      </c>
      <c r="C643" s="1" t="n">
        <v>45884</v>
      </c>
      <c r="D643" t="inlineStr">
        <is>
          <t>VÄSTERNORRLANDS LÄN</t>
        </is>
      </c>
      <c r="E643" t="inlineStr">
        <is>
          <t>ÅNGE</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30683-2024</t>
        </is>
      </c>
      <c r="B644" s="1" t="n">
        <v>45495</v>
      </c>
      <c r="C644" s="1" t="n">
        <v>45884</v>
      </c>
      <c r="D644" t="inlineStr">
        <is>
          <t>VÄSTERNORRLANDS LÄN</t>
        </is>
      </c>
      <c r="E644" t="inlineStr">
        <is>
          <t>ÅNGE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5249-2025</t>
        </is>
      </c>
      <c r="B645" s="1" t="n">
        <v>45692.34465277778</v>
      </c>
      <c r="C645" s="1" t="n">
        <v>45884</v>
      </c>
      <c r="D645" t="inlineStr">
        <is>
          <t>VÄSTERNORRLANDS LÄN</t>
        </is>
      </c>
      <c r="E645" t="inlineStr">
        <is>
          <t>ÅNGE</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43366-2024</t>
        </is>
      </c>
      <c r="B646" s="1" t="n">
        <v>45568</v>
      </c>
      <c r="C646" s="1" t="n">
        <v>45884</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25680-2023</t>
        </is>
      </c>
      <c r="B647" s="1" t="n">
        <v>45089</v>
      </c>
      <c r="C647" s="1" t="n">
        <v>45884</v>
      </c>
      <c r="D647" t="inlineStr">
        <is>
          <t>VÄSTERNORRLANDS LÄN</t>
        </is>
      </c>
      <c r="E647" t="inlineStr">
        <is>
          <t>ÅNGE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35577-2024</t>
        </is>
      </c>
      <c r="B648" s="1" t="n">
        <v>45531</v>
      </c>
      <c r="C648" s="1" t="n">
        <v>45884</v>
      </c>
      <c r="D648" t="inlineStr">
        <is>
          <t>VÄSTERNORRLANDS LÄN</t>
        </is>
      </c>
      <c r="E648" t="inlineStr">
        <is>
          <t>ÅNGE</t>
        </is>
      </c>
      <c r="F648" t="inlineStr">
        <is>
          <t>SCA</t>
        </is>
      </c>
      <c r="G648" t="n">
        <v>0.1</v>
      </c>
      <c r="H648" t="n">
        <v>0</v>
      </c>
      <c r="I648" t="n">
        <v>0</v>
      </c>
      <c r="J648" t="n">
        <v>0</v>
      </c>
      <c r="K648" t="n">
        <v>0</v>
      </c>
      <c r="L648" t="n">
        <v>0</v>
      </c>
      <c r="M648" t="n">
        <v>0</v>
      </c>
      <c r="N648" t="n">
        <v>0</v>
      </c>
      <c r="O648" t="n">
        <v>0</v>
      </c>
      <c r="P648" t="n">
        <v>0</v>
      </c>
      <c r="Q648" t="n">
        <v>0</v>
      </c>
      <c r="R648" s="2" t="inlineStr"/>
    </row>
    <row r="649" ht="15" customHeight="1">
      <c r="A649" t="inlineStr">
        <is>
          <t>A 35580-2024</t>
        </is>
      </c>
      <c r="B649" s="1" t="n">
        <v>45531</v>
      </c>
      <c r="C649" s="1" t="n">
        <v>45884</v>
      </c>
      <c r="D649" t="inlineStr">
        <is>
          <t>VÄSTERNORRLANDS LÄN</t>
        </is>
      </c>
      <c r="E649" t="inlineStr">
        <is>
          <t>ÅNGE</t>
        </is>
      </c>
      <c r="G649" t="n">
        <v>0.7</v>
      </c>
      <c r="H649" t="n">
        <v>0</v>
      </c>
      <c r="I649" t="n">
        <v>0</v>
      </c>
      <c r="J649" t="n">
        <v>0</v>
      </c>
      <c r="K649" t="n">
        <v>0</v>
      </c>
      <c r="L649" t="n">
        <v>0</v>
      </c>
      <c r="M649" t="n">
        <v>0</v>
      </c>
      <c r="N649" t="n">
        <v>0</v>
      </c>
      <c r="O649" t="n">
        <v>0</v>
      </c>
      <c r="P649" t="n">
        <v>0</v>
      </c>
      <c r="Q649" t="n">
        <v>0</v>
      </c>
      <c r="R649" s="2" t="inlineStr"/>
    </row>
    <row r="650" ht="15" customHeight="1">
      <c r="A650" t="inlineStr">
        <is>
          <t>A 28428-2023</t>
        </is>
      </c>
      <c r="B650" s="1" t="n">
        <v>45102</v>
      </c>
      <c r="C650" s="1" t="n">
        <v>45884</v>
      </c>
      <c r="D650" t="inlineStr">
        <is>
          <t>VÄSTERNORRLANDS LÄN</t>
        </is>
      </c>
      <c r="E650" t="inlineStr">
        <is>
          <t>ÅNGE</t>
        </is>
      </c>
      <c r="F650" t="inlineStr">
        <is>
          <t>Kyrkan</t>
        </is>
      </c>
      <c r="G650" t="n">
        <v>12</v>
      </c>
      <c r="H650" t="n">
        <v>0</v>
      </c>
      <c r="I650" t="n">
        <v>0</v>
      </c>
      <c r="J650" t="n">
        <v>0</v>
      </c>
      <c r="K650" t="n">
        <v>0</v>
      </c>
      <c r="L650" t="n">
        <v>0</v>
      </c>
      <c r="M650" t="n">
        <v>0</v>
      </c>
      <c r="N650" t="n">
        <v>0</v>
      </c>
      <c r="O650" t="n">
        <v>0</v>
      </c>
      <c r="P650" t="n">
        <v>0</v>
      </c>
      <c r="Q650" t="n">
        <v>0</v>
      </c>
      <c r="R650" s="2" t="inlineStr"/>
    </row>
    <row r="651" ht="15" customHeight="1">
      <c r="A651" t="inlineStr">
        <is>
          <t>A 18542-2022</t>
        </is>
      </c>
      <c r="B651" s="1" t="n">
        <v>44686</v>
      </c>
      <c r="C651" s="1" t="n">
        <v>45884</v>
      </c>
      <c r="D651" t="inlineStr">
        <is>
          <t>VÄSTERNORRLANDS LÄN</t>
        </is>
      </c>
      <c r="E651" t="inlineStr">
        <is>
          <t>ÅNGE</t>
        </is>
      </c>
      <c r="G651" t="n">
        <v>0.2</v>
      </c>
      <c r="H651" t="n">
        <v>0</v>
      </c>
      <c r="I651" t="n">
        <v>0</v>
      </c>
      <c r="J651" t="n">
        <v>0</v>
      </c>
      <c r="K651" t="n">
        <v>0</v>
      </c>
      <c r="L651" t="n">
        <v>0</v>
      </c>
      <c r="M651" t="n">
        <v>0</v>
      </c>
      <c r="N651" t="n">
        <v>0</v>
      </c>
      <c r="O651" t="n">
        <v>0</v>
      </c>
      <c r="P651" t="n">
        <v>0</v>
      </c>
      <c r="Q651" t="n">
        <v>0</v>
      </c>
      <c r="R651" s="2" t="inlineStr"/>
    </row>
    <row r="652" ht="15" customHeight="1">
      <c r="A652" t="inlineStr">
        <is>
          <t>A 55007-2022</t>
        </is>
      </c>
      <c r="B652" s="1" t="n">
        <v>44881</v>
      </c>
      <c r="C652" s="1" t="n">
        <v>45884</v>
      </c>
      <c r="D652" t="inlineStr">
        <is>
          <t>VÄSTERNORRLANDS LÄN</t>
        </is>
      </c>
      <c r="E652" t="inlineStr">
        <is>
          <t>ÅNGE</t>
        </is>
      </c>
      <c r="G652" t="n">
        <v>2</v>
      </c>
      <c r="H652" t="n">
        <v>0</v>
      </c>
      <c r="I652" t="n">
        <v>0</v>
      </c>
      <c r="J652" t="n">
        <v>0</v>
      </c>
      <c r="K652" t="n">
        <v>0</v>
      </c>
      <c r="L652" t="n">
        <v>0</v>
      </c>
      <c r="M652" t="n">
        <v>0</v>
      </c>
      <c r="N652" t="n">
        <v>0</v>
      </c>
      <c r="O652" t="n">
        <v>0</v>
      </c>
      <c r="P652" t="n">
        <v>0</v>
      </c>
      <c r="Q652" t="n">
        <v>0</v>
      </c>
      <c r="R652" s="2" t="inlineStr"/>
    </row>
    <row r="653" ht="15" customHeight="1">
      <c r="A653" t="inlineStr">
        <is>
          <t>A 46775-2024</t>
        </is>
      </c>
      <c r="B653" s="1" t="n">
        <v>45583.49711805556</v>
      </c>
      <c r="C653" s="1" t="n">
        <v>45884</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46780-2024</t>
        </is>
      </c>
      <c r="B654" s="1" t="n">
        <v>45583.51076388889</v>
      </c>
      <c r="C654" s="1" t="n">
        <v>45884</v>
      </c>
      <c r="D654" t="inlineStr">
        <is>
          <t>VÄSTERNORRLANDS LÄN</t>
        </is>
      </c>
      <c r="E654" t="inlineStr">
        <is>
          <t>ÅNGE</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63607-2021</t>
        </is>
      </c>
      <c r="B655" s="1" t="n">
        <v>44508.94650462963</v>
      </c>
      <c r="C655" s="1" t="n">
        <v>45884</v>
      </c>
      <c r="D655" t="inlineStr">
        <is>
          <t>VÄSTERNORRLANDS LÄN</t>
        </is>
      </c>
      <c r="E655" t="inlineStr">
        <is>
          <t>ÅNGE</t>
        </is>
      </c>
      <c r="F655" t="inlineStr">
        <is>
          <t>SCA</t>
        </is>
      </c>
      <c r="G655" t="n">
        <v>6.7</v>
      </c>
      <c r="H655" t="n">
        <v>0</v>
      </c>
      <c r="I655" t="n">
        <v>0</v>
      </c>
      <c r="J655" t="n">
        <v>0</v>
      </c>
      <c r="K655" t="n">
        <v>0</v>
      </c>
      <c r="L655" t="n">
        <v>0</v>
      </c>
      <c r="M655" t="n">
        <v>0</v>
      </c>
      <c r="N655" t="n">
        <v>0</v>
      </c>
      <c r="O655" t="n">
        <v>0</v>
      </c>
      <c r="P655" t="n">
        <v>0</v>
      </c>
      <c r="Q655" t="n">
        <v>0</v>
      </c>
      <c r="R655" s="2" t="inlineStr"/>
    </row>
    <row r="656" ht="15" customHeight="1">
      <c r="A656" t="inlineStr">
        <is>
          <t>A 41222-2024</t>
        </is>
      </c>
      <c r="B656" s="1" t="n">
        <v>45559.55306712963</v>
      </c>
      <c r="C656" s="1" t="n">
        <v>45884</v>
      </c>
      <c r="D656" t="inlineStr">
        <is>
          <t>VÄSTERNORRLANDS LÄN</t>
        </is>
      </c>
      <c r="E656" t="inlineStr">
        <is>
          <t>ÅNGE</t>
        </is>
      </c>
      <c r="G656" t="n">
        <v>0.4</v>
      </c>
      <c r="H656" t="n">
        <v>0</v>
      </c>
      <c r="I656" t="n">
        <v>0</v>
      </c>
      <c r="J656" t="n">
        <v>0</v>
      </c>
      <c r="K656" t="n">
        <v>0</v>
      </c>
      <c r="L656" t="n">
        <v>0</v>
      </c>
      <c r="M656" t="n">
        <v>0</v>
      </c>
      <c r="N656" t="n">
        <v>0</v>
      </c>
      <c r="O656" t="n">
        <v>0</v>
      </c>
      <c r="P656" t="n">
        <v>0</v>
      </c>
      <c r="Q656" t="n">
        <v>0</v>
      </c>
      <c r="R656" s="2" t="inlineStr"/>
    </row>
    <row r="657" ht="15" customHeight="1">
      <c r="A657" t="inlineStr">
        <is>
          <t>A 13706-2023</t>
        </is>
      </c>
      <c r="B657" s="1" t="n">
        <v>45006</v>
      </c>
      <c r="C657" s="1" t="n">
        <v>45884</v>
      </c>
      <c r="D657" t="inlineStr">
        <is>
          <t>VÄSTERNORRLANDS LÄN</t>
        </is>
      </c>
      <c r="E657" t="inlineStr">
        <is>
          <t>ÅNGE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41355-2024</t>
        </is>
      </c>
      <c r="B658" s="1" t="n">
        <v>45559.69833333333</v>
      </c>
      <c r="C658" s="1" t="n">
        <v>45884</v>
      </c>
      <c r="D658" t="inlineStr">
        <is>
          <t>VÄSTERNORRLANDS LÄN</t>
        </is>
      </c>
      <c r="E658" t="inlineStr">
        <is>
          <t>ÅNGE</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72239-2021</t>
        </is>
      </c>
      <c r="B659" s="1" t="n">
        <v>44544.9203587963</v>
      </c>
      <c r="C659" s="1" t="n">
        <v>45884</v>
      </c>
      <c r="D659" t="inlineStr">
        <is>
          <t>VÄSTERNORRLANDS LÄN</t>
        </is>
      </c>
      <c r="E659" t="inlineStr">
        <is>
          <t>ÅNGE</t>
        </is>
      </c>
      <c r="G659" t="n">
        <v>1.2</v>
      </c>
      <c r="H659" t="n">
        <v>0</v>
      </c>
      <c r="I659" t="n">
        <v>0</v>
      </c>
      <c r="J659" t="n">
        <v>0</v>
      </c>
      <c r="K659" t="n">
        <v>0</v>
      </c>
      <c r="L659" t="n">
        <v>0</v>
      </c>
      <c r="M659" t="n">
        <v>0</v>
      </c>
      <c r="N659" t="n">
        <v>0</v>
      </c>
      <c r="O659" t="n">
        <v>0</v>
      </c>
      <c r="P659" t="n">
        <v>0</v>
      </c>
      <c r="Q659" t="n">
        <v>0</v>
      </c>
      <c r="R659" s="2" t="inlineStr"/>
    </row>
    <row r="660" ht="15" customHeight="1">
      <c r="A660" t="inlineStr">
        <is>
          <t>A 732-2023</t>
        </is>
      </c>
      <c r="B660" s="1" t="n">
        <v>44931.29981481482</v>
      </c>
      <c r="C660" s="1" t="n">
        <v>45884</v>
      </c>
      <c r="D660" t="inlineStr">
        <is>
          <t>VÄSTERNORRLANDS LÄN</t>
        </is>
      </c>
      <c r="E660" t="inlineStr">
        <is>
          <t>ÅNGE</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36342-2024</t>
        </is>
      </c>
      <c r="B661" s="1" t="n">
        <v>45534.64315972223</v>
      </c>
      <c r="C661" s="1" t="n">
        <v>45884</v>
      </c>
      <c r="D661" t="inlineStr">
        <is>
          <t>VÄSTERNORRLANDS LÄN</t>
        </is>
      </c>
      <c r="E661" t="inlineStr">
        <is>
          <t>ÅNGE</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59986-2021</t>
        </is>
      </c>
      <c r="B662" s="1" t="n">
        <v>44494</v>
      </c>
      <c r="C662" s="1" t="n">
        <v>45884</v>
      </c>
      <c r="D662" t="inlineStr">
        <is>
          <t>VÄSTERNORRLANDS LÄN</t>
        </is>
      </c>
      <c r="E662" t="inlineStr">
        <is>
          <t>ÅNGE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58943-2022</t>
        </is>
      </c>
      <c r="B663" s="1" t="n">
        <v>44903.64400462963</v>
      </c>
      <c r="C663" s="1" t="n">
        <v>45884</v>
      </c>
      <c r="D663" t="inlineStr">
        <is>
          <t>VÄSTERNORRLANDS LÄN</t>
        </is>
      </c>
      <c r="E663" t="inlineStr">
        <is>
          <t>ÅNGE</t>
        </is>
      </c>
      <c r="G663" t="n">
        <v>5.6</v>
      </c>
      <c r="H663" t="n">
        <v>0</v>
      </c>
      <c r="I663" t="n">
        <v>0</v>
      </c>
      <c r="J663" t="n">
        <v>0</v>
      </c>
      <c r="K663" t="n">
        <v>0</v>
      </c>
      <c r="L663" t="n">
        <v>0</v>
      </c>
      <c r="M663" t="n">
        <v>0</v>
      </c>
      <c r="N663" t="n">
        <v>0</v>
      </c>
      <c r="O663" t="n">
        <v>0</v>
      </c>
      <c r="P663" t="n">
        <v>0</v>
      </c>
      <c r="Q663" t="n">
        <v>0</v>
      </c>
      <c r="R663" s="2" t="inlineStr"/>
    </row>
    <row r="664" ht="15" customHeight="1">
      <c r="A664" t="inlineStr">
        <is>
          <t>A 30556-2023</t>
        </is>
      </c>
      <c r="B664" s="1" t="n">
        <v>45111.87935185185</v>
      </c>
      <c r="C664" s="1" t="n">
        <v>45884</v>
      </c>
      <c r="D664" t="inlineStr">
        <is>
          <t>VÄSTERNORRLANDS LÄN</t>
        </is>
      </c>
      <c r="E664" t="inlineStr">
        <is>
          <t>ÅNGE</t>
        </is>
      </c>
      <c r="G664" t="n">
        <v>3.7</v>
      </c>
      <c r="H664" t="n">
        <v>0</v>
      </c>
      <c r="I664" t="n">
        <v>0</v>
      </c>
      <c r="J664" t="n">
        <v>0</v>
      </c>
      <c r="K664" t="n">
        <v>0</v>
      </c>
      <c r="L664" t="n">
        <v>0</v>
      </c>
      <c r="M664" t="n">
        <v>0</v>
      </c>
      <c r="N664" t="n">
        <v>0</v>
      </c>
      <c r="O664" t="n">
        <v>0</v>
      </c>
      <c r="P664" t="n">
        <v>0</v>
      </c>
      <c r="Q664" t="n">
        <v>0</v>
      </c>
      <c r="R664" s="2" t="inlineStr"/>
    </row>
    <row r="665" ht="15" customHeight="1">
      <c r="A665" t="inlineStr">
        <is>
          <t>A 29462-2024</t>
        </is>
      </c>
      <c r="B665" s="1" t="n">
        <v>45483.96979166667</v>
      </c>
      <c r="C665" s="1" t="n">
        <v>45884</v>
      </c>
      <c r="D665" t="inlineStr">
        <is>
          <t>VÄSTERNORRLANDS LÄN</t>
        </is>
      </c>
      <c r="E665" t="inlineStr">
        <is>
          <t>ÅNGE</t>
        </is>
      </c>
      <c r="F665" t="inlineStr">
        <is>
          <t>SCA</t>
        </is>
      </c>
      <c r="G665" t="n">
        <v>8.4</v>
      </c>
      <c r="H665" t="n">
        <v>0</v>
      </c>
      <c r="I665" t="n">
        <v>0</v>
      </c>
      <c r="J665" t="n">
        <v>0</v>
      </c>
      <c r="K665" t="n">
        <v>0</v>
      </c>
      <c r="L665" t="n">
        <v>0</v>
      </c>
      <c r="M665" t="n">
        <v>0</v>
      </c>
      <c r="N665" t="n">
        <v>0</v>
      </c>
      <c r="O665" t="n">
        <v>0</v>
      </c>
      <c r="P665" t="n">
        <v>0</v>
      </c>
      <c r="Q665" t="n">
        <v>0</v>
      </c>
      <c r="R665" s="2" t="inlineStr"/>
    </row>
    <row r="666" ht="15" customHeight="1">
      <c r="A666" t="inlineStr">
        <is>
          <t>A 53549-2023</t>
        </is>
      </c>
      <c r="B666" s="1" t="n">
        <v>45230</v>
      </c>
      <c r="C666" s="1" t="n">
        <v>45884</v>
      </c>
      <c r="D666" t="inlineStr">
        <is>
          <t>VÄSTERNORRLANDS LÄN</t>
        </is>
      </c>
      <c r="E666" t="inlineStr">
        <is>
          <t>ÅNGE</t>
        </is>
      </c>
      <c r="F666" t="inlineStr">
        <is>
          <t>Holmen skog AB</t>
        </is>
      </c>
      <c r="G666" t="n">
        <v>1.8</v>
      </c>
      <c r="H666" t="n">
        <v>0</v>
      </c>
      <c r="I666" t="n">
        <v>0</v>
      </c>
      <c r="J666" t="n">
        <v>0</v>
      </c>
      <c r="K666" t="n">
        <v>0</v>
      </c>
      <c r="L666" t="n">
        <v>0</v>
      </c>
      <c r="M666" t="n">
        <v>0</v>
      </c>
      <c r="N666" t="n">
        <v>0</v>
      </c>
      <c r="O666" t="n">
        <v>0</v>
      </c>
      <c r="P666" t="n">
        <v>0</v>
      </c>
      <c r="Q666" t="n">
        <v>0</v>
      </c>
      <c r="R666" s="2" t="inlineStr"/>
    </row>
    <row r="667" ht="15" customHeight="1">
      <c r="A667" t="inlineStr">
        <is>
          <t>A 55177-2024</t>
        </is>
      </c>
      <c r="B667" s="1" t="n">
        <v>45621.53179398148</v>
      </c>
      <c r="C667" s="1" t="n">
        <v>45884</v>
      </c>
      <c r="D667" t="inlineStr">
        <is>
          <t>VÄSTERNORRLANDS LÄN</t>
        </is>
      </c>
      <c r="E667" t="inlineStr">
        <is>
          <t>ÅNGE</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17749-2025</t>
        </is>
      </c>
      <c r="B668" s="1" t="n">
        <v>45758.48380787037</v>
      </c>
      <c r="C668" s="1" t="n">
        <v>45884</v>
      </c>
      <c r="D668" t="inlineStr">
        <is>
          <t>VÄSTERNORRLANDS LÄN</t>
        </is>
      </c>
      <c r="E668" t="inlineStr">
        <is>
          <t>ÅNGE</t>
        </is>
      </c>
      <c r="G668" t="n">
        <v>7.3</v>
      </c>
      <c r="H668" t="n">
        <v>0</v>
      </c>
      <c r="I668" t="n">
        <v>0</v>
      </c>
      <c r="J668" t="n">
        <v>0</v>
      </c>
      <c r="K668" t="n">
        <v>0</v>
      </c>
      <c r="L668" t="n">
        <v>0</v>
      </c>
      <c r="M668" t="n">
        <v>0</v>
      </c>
      <c r="N668" t="n">
        <v>0</v>
      </c>
      <c r="O668" t="n">
        <v>0</v>
      </c>
      <c r="P668" t="n">
        <v>0</v>
      </c>
      <c r="Q668" t="n">
        <v>0</v>
      </c>
      <c r="R668" s="2" t="inlineStr"/>
    </row>
    <row r="669" ht="15" customHeight="1">
      <c r="A669" t="inlineStr">
        <is>
          <t>A 33305-2024</t>
        </is>
      </c>
      <c r="B669" s="1" t="n">
        <v>45518</v>
      </c>
      <c r="C669" s="1" t="n">
        <v>45884</v>
      </c>
      <c r="D669" t="inlineStr">
        <is>
          <t>VÄSTERNORRLANDS LÄN</t>
        </is>
      </c>
      <c r="E669" t="inlineStr">
        <is>
          <t>ÅNGE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33306-2024</t>
        </is>
      </c>
      <c r="B670" s="1" t="n">
        <v>45518</v>
      </c>
      <c r="C670" s="1" t="n">
        <v>45884</v>
      </c>
      <c r="D670" t="inlineStr">
        <is>
          <t>VÄSTERNORRLANDS LÄN</t>
        </is>
      </c>
      <c r="E670" t="inlineStr">
        <is>
          <t>ÅNGE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34705-2023</t>
        </is>
      </c>
      <c r="B671" s="1" t="n">
        <v>45140.96452546296</v>
      </c>
      <c r="C671" s="1" t="n">
        <v>45884</v>
      </c>
      <c r="D671" t="inlineStr">
        <is>
          <t>VÄSTERNORRLANDS LÄN</t>
        </is>
      </c>
      <c r="E671" t="inlineStr">
        <is>
          <t>ÅNGE</t>
        </is>
      </c>
      <c r="F671" t="inlineStr">
        <is>
          <t>SCA</t>
        </is>
      </c>
      <c r="G671" t="n">
        <v>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45884</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35392-2024</t>
        </is>
      </c>
      <c r="B673" s="1" t="n">
        <v>45531.4025462963</v>
      </c>
      <c r="C673" s="1" t="n">
        <v>45884</v>
      </c>
      <c r="D673" t="inlineStr">
        <is>
          <t>VÄSTERNORRLANDS LÄN</t>
        </is>
      </c>
      <c r="E673" t="inlineStr">
        <is>
          <t>ÅNGE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27952-2024</t>
        </is>
      </c>
      <c r="B674" s="1" t="n">
        <v>45476.33063657407</v>
      </c>
      <c r="C674" s="1" t="n">
        <v>45884</v>
      </c>
      <c r="D674" t="inlineStr">
        <is>
          <t>VÄSTERNORRLANDS LÄN</t>
        </is>
      </c>
      <c r="E674" t="inlineStr">
        <is>
          <t>ÅNGE</t>
        </is>
      </c>
      <c r="G674" t="n">
        <v>12.2</v>
      </c>
      <c r="H674" t="n">
        <v>0</v>
      </c>
      <c r="I674" t="n">
        <v>0</v>
      </c>
      <c r="J674" t="n">
        <v>0</v>
      </c>
      <c r="K674" t="n">
        <v>0</v>
      </c>
      <c r="L674" t="n">
        <v>0</v>
      </c>
      <c r="M674" t="n">
        <v>0</v>
      </c>
      <c r="N674" t="n">
        <v>0</v>
      </c>
      <c r="O674" t="n">
        <v>0</v>
      </c>
      <c r="P674" t="n">
        <v>0</v>
      </c>
      <c r="Q674" t="n">
        <v>0</v>
      </c>
      <c r="R674" s="2" t="inlineStr"/>
    </row>
    <row r="675" ht="15" customHeight="1">
      <c r="A675" t="inlineStr">
        <is>
          <t>A 41781-2024</t>
        </is>
      </c>
      <c r="B675" s="1" t="n">
        <v>45561.34938657407</v>
      </c>
      <c r="C675" s="1" t="n">
        <v>45884</v>
      </c>
      <c r="D675" t="inlineStr">
        <is>
          <t>VÄSTERNORRLANDS LÄN</t>
        </is>
      </c>
      <c r="E675" t="inlineStr">
        <is>
          <t>ÅNGE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58634-2023</t>
        </is>
      </c>
      <c r="B676" s="1" t="n">
        <v>45251</v>
      </c>
      <c r="C676" s="1" t="n">
        <v>45884</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3330-2025</t>
        </is>
      </c>
      <c r="B677" s="1" t="n">
        <v>45679.70041666667</v>
      </c>
      <c r="C677" s="1" t="n">
        <v>45884</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41825-2022</t>
        </is>
      </c>
      <c r="B678" s="1" t="n">
        <v>44827</v>
      </c>
      <c r="C678" s="1" t="n">
        <v>45884</v>
      </c>
      <c r="D678" t="inlineStr">
        <is>
          <t>VÄSTERNORRLANDS LÄN</t>
        </is>
      </c>
      <c r="E678" t="inlineStr">
        <is>
          <t>ÅNGE</t>
        </is>
      </c>
      <c r="F678" t="inlineStr">
        <is>
          <t>SCA</t>
        </is>
      </c>
      <c r="G678" t="n">
        <v>3.3</v>
      </c>
      <c r="H678" t="n">
        <v>0</v>
      </c>
      <c r="I678" t="n">
        <v>0</v>
      </c>
      <c r="J678" t="n">
        <v>0</v>
      </c>
      <c r="K678" t="n">
        <v>0</v>
      </c>
      <c r="L678" t="n">
        <v>0</v>
      </c>
      <c r="M678" t="n">
        <v>0</v>
      </c>
      <c r="N678" t="n">
        <v>0</v>
      </c>
      <c r="O678" t="n">
        <v>0</v>
      </c>
      <c r="P678" t="n">
        <v>0</v>
      </c>
      <c r="Q678" t="n">
        <v>0</v>
      </c>
      <c r="R678" s="2" t="inlineStr"/>
      <c r="U678">
        <f>HYPERLINK("https://klasma.github.io/Logging_2260/knärot/A 41825-2022 karta knärot.png", "A 41825-2022")</f>
        <v/>
      </c>
      <c r="V678">
        <f>HYPERLINK("https://klasma.github.io/Logging_2260/klagomål/A 41825-2022 FSC-klagomål.docx", "A 41825-2022")</f>
        <v/>
      </c>
      <c r="W678">
        <f>HYPERLINK("https://klasma.github.io/Logging_2260/klagomålsmail/A 41825-2022 FSC-klagomål mail.docx", "A 41825-2022")</f>
        <v/>
      </c>
      <c r="X678">
        <f>HYPERLINK("https://klasma.github.io/Logging_2260/tillsyn/A 41825-2022 tillsynsbegäran.docx", "A 41825-2022")</f>
        <v/>
      </c>
      <c r="Y678">
        <f>HYPERLINK("https://klasma.github.io/Logging_2260/tillsynsmail/A 41825-2022 tillsynsbegäran mail.docx", "A 41825-2022")</f>
        <v/>
      </c>
    </row>
    <row r="679" ht="15" customHeight="1">
      <c r="A679" t="inlineStr">
        <is>
          <t>A 38272-2024</t>
        </is>
      </c>
      <c r="B679" s="1" t="n">
        <v>45545.60392361111</v>
      </c>
      <c r="C679" s="1" t="n">
        <v>45884</v>
      </c>
      <c r="D679" t="inlineStr">
        <is>
          <t>VÄSTERNORRLANDS LÄN</t>
        </is>
      </c>
      <c r="E679" t="inlineStr">
        <is>
          <t>ÅNGE</t>
        </is>
      </c>
      <c r="G679" t="n">
        <v>1.7</v>
      </c>
      <c r="H679" t="n">
        <v>0</v>
      </c>
      <c r="I679" t="n">
        <v>0</v>
      </c>
      <c r="J679" t="n">
        <v>0</v>
      </c>
      <c r="K679" t="n">
        <v>0</v>
      </c>
      <c r="L679" t="n">
        <v>0</v>
      </c>
      <c r="M679" t="n">
        <v>0</v>
      </c>
      <c r="N679" t="n">
        <v>0</v>
      </c>
      <c r="O679" t="n">
        <v>0</v>
      </c>
      <c r="P679" t="n">
        <v>0</v>
      </c>
      <c r="Q679" t="n">
        <v>0</v>
      </c>
      <c r="R679" s="2" t="inlineStr"/>
    </row>
    <row r="680" ht="15" customHeight="1">
      <c r="A680" t="inlineStr">
        <is>
          <t>A 35581-2024</t>
        </is>
      </c>
      <c r="B680" s="1" t="n">
        <v>45531</v>
      </c>
      <c r="C680" s="1" t="n">
        <v>45884</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35582-2024</t>
        </is>
      </c>
      <c r="B681" s="1" t="n">
        <v>45531.64800925926</v>
      </c>
      <c r="C681" s="1" t="n">
        <v>45884</v>
      </c>
      <c r="D681" t="inlineStr">
        <is>
          <t>VÄSTERNORRLANDS LÄN</t>
        </is>
      </c>
      <c r="E681" t="inlineStr">
        <is>
          <t>ÅNGE</t>
        </is>
      </c>
      <c r="G681" t="n">
        <v>4.1</v>
      </c>
      <c r="H681" t="n">
        <v>0</v>
      </c>
      <c r="I681" t="n">
        <v>0</v>
      </c>
      <c r="J681" t="n">
        <v>0</v>
      </c>
      <c r="K681" t="n">
        <v>0</v>
      </c>
      <c r="L681" t="n">
        <v>0</v>
      </c>
      <c r="M681" t="n">
        <v>0</v>
      </c>
      <c r="N681" t="n">
        <v>0</v>
      </c>
      <c r="O681" t="n">
        <v>0</v>
      </c>
      <c r="P681" t="n">
        <v>0</v>
      </c>
      <c r="Q681" t="n">
        <v>0</v>
      </c>
      <c r="R681" s="2" t="inlineStr"/>
    </row>
    <row r="682" ht="15" customHeight="1">
      <c r="A682" t="inlineStr">
        <is>
          <t>A 4904-2024</t>
        </is>
      </c>
      <c r="B682" s="1" t="n">
        <v>45329.47856481482</v>
      </c>
      <c r="C682" s="1" t="n">
        <v>45884</v>
      </c>
      <c r="D682" t="inlineStr">
        <is>
          <t>VÄSTERNORRLANDS LÄN</t>
        </is>
      </c>
      <c r="E682" t="inlineStr">
        <is>
          <t>ÅNGE</t>
        </is>
      </c>
      <c r="G682" t="n">
        <v>3.5</v>
      </c>
      <c r="H682" t="n">
        <v>0</v>
      </c>
      <c r="I682" t="n">
        <v>0</v>
      </c>
      <c r="J682" t="n">
        <v>0</v>
      </c>
      <c r="K682" t="n">
        <v>0</v>
      </c>
      <c r="L682" t="n">
        <v>0</v>
      </c>
      <c r="M682" t="n">
        <v>0</v>
      </c>
      <c r="N682" t="n">
        <v>0</v>
      </c>
      <c r="O682" t="n">
        <v>0</v>
      </c>
      <c r="P682" t="n">
        <v>0</v>
      </c>
      <c r="Q682" t="n">
        <v>0</v>
      </c>
      <c r="R682" s="2" t="inlineStr"/>
    </row>
    <row r="683" ht="15" customHeight="1">
      <c r="A683" t="inlineStr">
        <is>
          <t>A 57592-2022</t>
        </is>
      </c>
      <c r="B683" s="1" t="n">
        <v>44896.97841435186</v>
      </c>
      <c r="C683" s="1" t="n">
        <v>45884</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57602-2022</t>
        </is>
      </c>
      <c r="B684" s="1" t="n">
        <v>44896</v>
      </c>
      <c r="C684" s="1" t="n">
        <v>45884</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41831-2021</t>
        </is>
      </c>
      <c r="B685" s="1" t="n">
        <v>44425.92212962963</v>
      </c>
      <c r="C685" s="1" t="n">
        <v>45884</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32922-2024</t>
        </is>
      </c>
      <c r="B686" s="1" t="n">
        <v>45516.95263888889</v>
      </c>
      <c r="C686" s="1" t="n">
        <v>45884</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10282-2025</t>
        </is>
      </c>
      <c r="B687" s="1" t="n">
        <v>45720.40659722222</v>
      </c>
      <c r="C687" s="1" t="n">
        <v>45884</v>
      </c>
      <c r="D687" t="inlineStr">
        <is>
          <t>VÄSTERNORRLANDS LÄN</t>
        </is>
      </c>
      <c r="E687" t="inlineStr">
        <is>
          <t>ÅNGE</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22680-2024</t>
        </is>
      </c>
      <c r="B688" s="1" t="n">
        <v>45447.94548611111</v>
      </c>
      <c r="C688" s="1" t="n">
        <v>45884</v>
      </c>
      <c r="D688" t="inlineStr">
        <is>
          <t>VÄSTERNORRLANDS LÄN</t>
        </is>
      </c>
      <c r="E688" t="inlineStr">
        <is>
          <t>ÅNGE</t>
        </is>
      </c>
      <c r="G688" t="n">
        <v>0.7</v>
      </c>
      <c r="H688" t="n">
        <v>0</v>
      </c>
      <c r="I688" t="n">
        <v>0</v>
      </c>
      <c r="J688" t="n">
        <v>0</v>
      </c>
      <c r="K688" t="n">
        <v>0</v>
      </c>
      <c r="L688" t="n">
        <v>0</v>
      </c>
      <c r="M688" t="n">
        <v>0</v>
      </c>
      <c r="N688" t="n">
        <v>0</v>
      </c>
      <c r="O688" t="n">
        <v>0</v>
      </c>
      <c r="P688" t="n">
        <v>0</v>
      </c>
      <c r="Q688" t="n">
        <v>0</v>
      </c>
      <c r="R688" s="2" t="inlineStr"/>
    </row>
    <row r="689" ht="15" customHeight="1">
      <c r="A689" t="inlineStr">
        <is>
          <t>A 18430-2025</t>
        </is>
      </c>
      <c r="B689" s="1" t="n">
        <v>45762.63576388889</v>
      </c>
      <c r="C689" s="1" t="n">
        <v>45884</v>
      </c>
      <c r="D689" t="inlineStr">
        <is>
          <t>VÄSTERNORRLANDS LÄN</t>
        </is>
      </c>
      <c r="E689" t="inlineStr">
        <is>
          <t>ÅNGE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13501-2021</t>
        </is>
      </c>
      <c r="B690" s="1" t="n">
        <v>44273</v>
      </c>
      <c r="C690" s="1" t="n">
        <v>45884</v>
      </c>
      <c r="D690" t="inlineStr">
        <is>
          <t>VÄSTERNORRLANDS LÄN</t>
        </is>
      </c>
      <c r="E690" t="inlineStr">
        <is>
          <t>ÅNGE</t>
        </is>
      </c>
      <c r="G690" t="n">
        <v>0.4</v>
      </c>
      <c r="H690" t="n">
        <v>0</v>
      </c>
      <c r="I690" t="n">
        <v>0</v>
      </c>
      <c r="J690" t="n">
        <v>0</v>
      </c>
      <c r="K690" t="n">
        <v>0</v>
      </c>
      <c r="L690" t="n">
        <v>0</v>
      </c>
      <c r="M690" t="n">
        <v>0</v>
      </c>
      <c r="N690" t="n">
        <v>0</v>
      </c>
      <c r="O690" t="n">
        <v>0</v>
      </c>
      <c r="P690" t="n">
        <v>0</v>
      </c>
      <c r="Q690" t="n">
        <v>0</v>
      </c>
      <c r="R690" s="2" t="inlineStr"/>
    </row>
    <row r="691" ht="15" customHeight="1">
      <c r="A691" t="inlineStr">
        <is>
          <t>A 51055-2023</t>
        </is>
      </c>
      <c r="B691" s="1" t="n">
        <v>45218</v>
      </c>
      <c r="C691" s="1" t="n">
        <v>45884</v>
      </c>
      <c r="D691" t="inlineStr">
        <is>
          <t>VÄSTERNORRLANDS LÄN</t>
        </is>
      </c>
      <c r="E691" t="inlineStr">
        <is>
          <t>ÅNGE</t>
        </is>
      </c>
      <c r="G691" t="n">
        <v>1.3</v>
      </c>
      <c r="H691" t="n">
        <v>0</v>
      </c>
      <c r="I691" t="n">
        <v>0</v>
      </c>
      <c r="J691" t="n">
        <v>0</v>
      </c>
      <c r="K691" t="n">
        <v>0</v>
      </c>
      <c r="L691" t="n">
        <v>0</v>
      </c>
      <c r="M691" t="n">
        <v>0</v>
      </c>
      <c r="N691" t="n">
        <v>0</v>
      </c>
      <c r="O691" t="n">
        <v>0</v>
      </c>
      <c r="P691" t="n">
        <v>0</v>
      </c>
      <c r="Q691" t="n">
        <v>0</v>
      </c>
      <c r="R691" s="2" t="inlineStr"/>
    </row>
    <row r="692" ht="15" customHeight="1">
      <c r="A692" t="inlineStr">
        <is>
          <t>A 3624-2024</t>
        </is>
      </c>
      <c r="B692" s="1" t="n">
        <v>45320.95305555555</v>
      </c>
      <c r="C692" s="1" t="n">
        <v>45884</v>
      </c>
      <c r="D692" t="inlineStr">
        <is>
          <t>VÄSTERNORRLANDS LÄN</t>
        </is>
      </c>
      <c r="E692" t="inlineStr">
        <is>
          <t>ÅNGE</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10922-2024</t>
        </is>
      </c>
      <c r="B693" s="1" t="n">
        <v>45370</v>
      </c>
      <c r="C693" s="1" t="n">
        <v>45884</v>
      </c>
      <c r="D693" t="inlineStr">
        <is>
          <t>VÄSTERNORRLANDS LÄN</t>
        </is>
      </c>
      <c r="E693" t="inlineStr">
        <is>
          <t>ÅNGE</t>
        </is>
      </c>
      <c r="G693" t="n">
        <v>1.5</v>
      </c>
      <c r="H693" t="n">
        <v>0</v>
      </c>
      <c r="I693" t="n">
        <v>0</v>
      </c>
      <c r="J693" t="n">
        <v>0</v>
      </c>
      <c r="K693" t="n">
        <v>0</v>
      </c>
      <c r="L693" t="n">
        <v>0</v>
      </c>
      <c r="M693" t="n">
        <v>0</v>
      </c>
      <c r="N693" t="n">
        <v>0</v>
      </c>
      <c r="O693" t="n">
        <v>0</v>
      </c>
      <c r="P693" t="n">
        <v>0</v>
      </c>
      <c r="Q693" t="n">
        <v>0</v>
      </c>
      <c r="R693" s="2" t="inlineStr"/>
    </row>
    <row r="694" ht="15" customHeight="1">
      <c r="A694" t="inlineStr">
        <is>
          <t>A 5455-2023</t>
        </is>
      </c>
      <c r="B694" s="1" t="n">
        <v>44959.93983796296</v>
      </c>
      <c r="C694" s="1" t="n">
        <v>45884</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43775-2022</t>
        </is>
      </c>
      <c r="B695" s="1" t="n">
        <v>44837.95053240741</v>
      </c>
      <c r="C695" s="1" t="n">
        <v>45884</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15862-2025</t>
        </is>
      </c>
      <c r="B696" s="1" t="n">
        <v>45749.35247685185</v>
      </c>
      <c r="C696" s="1" t="n">
        <v>45884</v>
      </c>
      <c r="D696" t="inlineStr">
        <is>
          <t>VÄSTERNORRLANDS LÄN</t>
        </is>
      </c>
      <c r="E696" t="inlineStr">
        <is>
          <t>ÅNGE</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46681-2023</t>
        </is>
      </c>
      <c r="B697" s="1" t="n">
        <v>45198</v>
      </c>
      <c r="C697" s="1" t="n">
        <v>45884</v>
      </c>
      <c r="D697" t="inlineStr">
        <is>
          <t>VÄSTERNORRLANDS LÄN</t>
        </is>
      </c>
      <c r="E697" t="inlineStr">
        <is>
          <t>ÅNGE</t>
        </is>
      </c>
      <c r="G697" t="n">
        <v>0.8</v>
      </c>
      <c r="H697" t="n">
        <v>0</v>
      </c>
      <c r="I697" t="n">
        <v>0</v>
      </c>
      <c r="J697" t="n">
        <v>0</v>
      </c>
      <c r="K697" t="n">
        <v>0</v>
      </c>
      <c r="L697" t="n">
        <v>0</v>
      </c>
      <c r="M697" t="n">
        <v>0</v>
      </c>
      <c r="N697" t="n">
        <v>0</v>
      </c>
      <c r="O697" t="n">
        <v>0</v>
      </c>
      <c r="P697" t="n">
        <v>0</v>
      </c>
      <c r="Q697" t="n">
        <v>0</v>
      </c>
      <c r="R697" s="2" t="inlineStr"/>
    </row>
    <row r="698" ht="15" customHeight="1">
      <c r="A698" t="inlineStr">
        <is>
          <t>A 16915-2024</t>
        </is>
      </c>
      <c r="B698" s="1" t="n">
        <v>45411.65185185185</v>
      </c>
      <c r="C698" s="1" t="n">
        <v>45884</v>
      </c>
      <c r="D698" t="inlineStr">
        <is>
          <t>VÄSTERNORRLANDS LÄN</t>
        </is>
      </c>
      <c r="E698" t="inlineStr">
        <is>
          <t>ÅNGE</t>
        </is>
      </c>
      <c r="G698" t="n">
        <v>2.1</v>
      </c>
      <c r="H698" t="n">
        <v>0</v>
      </c>
      <c r="I698" t="n">
        <v>0</v>
      </c>
      <c r="J698" t="n">
        <v>0</v>
      </c>
      <c r="K698" t="n">
        <v>0</v>
      </c>
      <c r="L698" t="n">
        <v>0</v>
      </c>
      <c r="M698" t="n">
        <v>0</v>
      </c>
      <c r="N698" t="n">
        <v>0</v>
      </c>
      <c r="O698" t="n">
        <v>0</v>
      </c>
      <c r="P698" t="n">
        <v>0</v>
      </c>
      <c r="Q698" t="n">
        <v>0</v>
      </c>
      <c r="R698" s="2" t="inlineStr"/>
    </row>
    <row r="699" ht="15" customHeight="1">
      <c r="A699" t="inlineStr">
        <is>
          <t>A 46255-2023</t>
        </is>
      </c>
      <c r="B699" s="1" t="n">
        <v>45196</v>
      </c>
      <c r="C699" s="1" t="n">
        <v>45884</v>
      </c>
      <c r="D699" t="inlineStr">
        <is>
          <t>VÄSTERNORRLANDS LÄN</t>
        </is>
      </c>
      <c r="E699" t="inlineStr">
        <is>
          <t>ÅNGE</t>
        </is>
      </c>
      <c r="F699" t="inlineStr">
        <is>
          <t>SCA</t>
        </is>
      </c>
      <c r="G699" t="n">
        <v>0.4</v>
      </c>
      <c r="H699" t="n">
        <v>0</v>
      </c>
      <c r="I699" t="n">
        <v>0</v>
      </c>
      <c r="J699" t="n">
        <v>0</v>
      </c>
      <c r="K699" t="n">
        <v>0</v>
      </c>
      <c r="L699" t="n">
        <v>0</v>
      </c>
      <c r="M699" t="n">
        <v>0</v>
      </c>
      <c r="N699" t="n">
        <v>0</v>
      </c>
      <c r="O699" t="n">
        <v>0</v>
      </c>
      <c r="P699" t="n">
        <v>0</v>
      </c>
      <c r="Q699" t="n">
        <v>0</v>
      </c>
      <c r="R699" s="2" t="inlineStr"/>
    </row>
    <row r="700" ht="15" customHeight="1">
      <c r="A700" t="inlineStr">
        <is>
          <t>A 57560-2023</t>
        </is>
      </c>
      <c r="B700" s="1" t="n">
        <v>45243</v>
      </c>
      <c r="C700" s="1" t="n">
        <v>45884</v>
      </c>
      <c r="D700" t="inlineStr">
        <is>
          <t>VÄSTERNORRLANDS LÄN</t>
        </is>
      </c>
      <c r="E700" t="inlineStr">
        <is>
          <t>ÅNGE</t>
        </is>
      </c>
      <c r="G700" t="n">
        <v>7.4</v>
      </c>
      <c r="H700" t="n">
        <v>0</v>
      </c>
      <c r="I700" t="n">
        <v>0</v>
      </c>
      <c r="J700" t="n">
        <v>0</v>
      </c>
      <c r="K700" t="n">
        <v>0</v>
      </c>
      <c r="L700" t="n">
        <v>0</v>
      </c>
      <c r="M700" t="n">
        <v>0</v>
      </c>
      <c r="N700" t="n">
        <v>0</v>
      </c>
      <c r="O700" t="n">
        <v>0</v>
      </c>
      <c r="P700" t="n">
        <v>0</v>
      </c>
      <c r="Q700" t="n">
        <v>0</v>
      </c>
      <c r="R700" s="2" t="inlineStr"/>
    </row>
    <row r="701" ht="15" customHeight="1">
      <c r="A701" t="inlineStr">
        <is>
          <t>A 57568-2023</t>
        </is>
      </c>
      <c r="B701" s="1" t="n">
        <v>45246.50484953704</v>
      </c>
      <c r="C701" s="1" t="n">
        <v>45884</v>
      </c>
      <c r="D701" t="inlineStr">
        <is>
          <t>VÄSTERNORRLANDS LÄN</t>
        </is>
      </c>
      <c r="E701" t="inlineStr">
        <is>
          <t>ÅNGE</t>
        </is>
      </c>
      <c r="G701" t="n">
        <v>1.7</v>
      </c>
      <c r="H701" t="n">
        <v>0</v>
      </c>
      <c r="I701" t="n">
        <v>0</v>
      </c>
      <c r="J701" t="n">
        <v>0</v>
      </c>
      <c r="K701" t="n">
        <v>0</v>
      </c>
      <c r="L701" t="n">
        <v>0</v>
      </c>
      <c r="M701" t="n">
        <v>0</v>
      </c>
      <c r="N701" t="n">
        <v>0</v>
      </c>
      <c r="O701" t="n">
        <v>0</v>
      </c>
      <c r="P701" t="n">
        <v>0</v>
      </c>
      <c r="Q701" t="n">
        <v>0</v>
      </c>
      <c r="R701" s="2" t="inlineStr"/>
    </row>
    <row r="702" ht="15" customHeight="1">
      <c r="A702" t="inlineStr">
        <is>
          <t>A 16576-2023</t>
        </is>
      </c>
      <c r="B702" s="1" t="n">
        <v>45029.94251157407</v>
      </c>
      <c r="C702" s="1" t="n">
        <v>45884</v>
      </c>
      <c r="D702" t="inlineStr">
        <is>
          <t>VÄSTERNORRLANDS LÄN</t>
        </is>
      </c>
      <c r="E702" t="inlineStr">
        <is>
          <t>ÅNGE</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55197-2022</t>
        </is>
      </c>
      <c r="B703" s="1" t="n">
        <v>44886.93714120371</v>
      </c>
      <c r="C703" s="1" t="n">
        <v>45884</v>
      </c>
      <c r="D703" t="inlineStr">
        <is>
          <t>VÄSTERNORRLANDS LÄN</t>
        </is>
      </c>
      <c r="E703" t="inlineStr">
        <is>
          <t>ÅNGE</t>
        </is>
      </c>
      <c r="G703" t="n">
        <v>1.4</v>
      </c>
      <c r="H703" t="n">
        <v>0</v>
      </c>
      <c r="I703" t="n">
        <v>0</v>
      </c>
      <c r="J703" t="n">
        <v>0</v>
      </c>
      <c r="K703" t="n">
        <v>0</v>
      </c>
      <c r="L703" t="n">
        <v>0</v>
      </c>
      <c r="M703" t="n">
        <v>0</v>
      </c>
      <c r="N703" t="n">
        <v>0</v>
      </c>
      <c r="O703" t="n">
        <v>0</v>
      </c>
      <c r="P703" t="n">
        <v>0</v>
      </c>
      <c r="Q703" t="n">
        <v>0</v>
      </c>
      <c r="R703" s="2" t="inlineStr"/>
    </row>
    <row r="704" ht="15" customHeight="1">
      <c r="A704" t="inlineStr">
        <is>
          <t>A 18617-2024</t>
        </is>
      </c>
      <c r="B704" s="1" t="n">
        <v>45425</v>
      </c>
      <c r="C704" s="1" t="n">
        <v>45884</v>
      </c>
      <c r="D704" t="inlineStr">
        <is>
          <t>VÄSTERNORRLANDS LÄN</t>
        </is>
      </c>
      <c r="E704" t="inlineStr">
        <is>
          <t>ÅNGE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18869-2024</t>
        </is>
      </c>
      <c r="B705" s="1" t="n">
        <v>45426</v>
      </c>
      <c r="C705" s="1" t="n">
        <v>45884</v>
      </c>
      <c r="D705" t="inlineStr">
        <is>
          <t>VÄSTERNORRLANDS LÄN</t>
        </is>
      </c>
      <c r="E705" t="inlineStr">
        <is>
          <t>ÅNGE</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37540-2024</t>
        </is>
      </c>
      <c r="B706" s="1" t="n">
        <v>45541.42111111111</v>
      </c>
      <c r="C706" s="1" t="n">
        <v>45884</v>
      </c>
      <c r="D706" t="inlineStr">
        <is>
          <t>VÄSTERNORRLANDS LÄN</t>
        </is>
      </c>
      <c r="E706" t="inlineStr">
        <is>
          <t>ÅNGE</t>
        </is>
      </c>
      <c r="G706" t="n">
        <v>0.5</v>
      </c>
      <c r="H706" t="n">
        <v>0</v>
      </c>
      <c r="I706" t="n">
        <v>0</v>
      </c>
      <c r="J706" t="n">
        <v>0</v>
      </c>
      <c r="K706" t="n">
        <v>0</v>
      </c>
      <c r="L706" t="n">
        <v>0</v>
      </c>
      <c r="M706" t="n">
        <v>0</v>
      </c>
      <c r="N706" t="n">
        <v>0</v>
      </c>
      <c r="O706" t="n">
        <v>0</v>
      </c>
      <c r="P706" t="n">
        <v>0</v>
      </c>
      <c r="Q706" t="n">
        <v>0</v>
      </c>
      <c r="R706" s="2" t="inlineStr"/>
    </row>
    <row r="707" ht="15" customHeight="1">
      <c r="A707" t="inlineStr">
        <is>
          <t>A 4359-2025</t>
        </is>
      </c>
      <c r="B707" s="1" t="n">
        <v>45686.33072916666</v>
      </c>
      <c r="C707" s="1" t="n">
        <v>45884</v>
      </c>
      <c r="D707" t="inlineStr">
        <is>
          <t>VÄSTERNORRLANDS LÄN</t>
        </is>
      </c>
      <c r="E707" t="inlineStr">
        <is>
          <t>ÅNGE</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24797-2024</t>
        </is>
      </c>
      <c r="B708" s="1" t="n">
        <v>45460.95269675926</v>
      </c>
      <c r="C708" s="1" t="n">
        <v>45884</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24798-2024</t>
        </is>
      </c>
      <c r="B709" s="1" t="n">
        <v>45460.95277777778</v>
      </c>
      <c r="C709" s="1" t="n">
        <v>45884</v>
      </c>
      <c r="D709" t="inlineStr">
        <is>
          <t>VÄSTERNORRLANDS LÄN</t>
        </is>
      </c>
      <c r="E709" t="inlineStr">
        <is>
          <t>ÅNGE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42958-2024</t>
        </is>
      </c>
      <c r="B710" s="1" t="n">
        <v>45567.37131944444</v>
      </c>
      <c r="C710" s="1" t="n">
        <v>45884</v>
      </c>
      <c r="D710" t="inlineStr">
        <is>
          <t>VÄSTERNORRLANDS LÄN</t>
        </is>
      </c>
      <c r="E710" t="inlineStr">
        <is>
          <t>ÅNGE</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42969-2024</t>
        </is>
      </c>
      <c r="B711" s="1" t="n">
        <v>45567.37300925926</v>
      </c>
      <c r="C711" s="1" t="n">
        <v>45884</v>
      </c>
      <c r="D711" t="inlineStr">
        <is>
          <t>VÄSTERNORRLANDS LÄN</t>
        </is>
      </c>
      <c r="E711" t="inlineStr">
        <is>
          <t>ÅNGE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56189-2024</t>
        </is>
      </c>
      <c r="B712" s="1" t="n">
        <v>45624.57805555555</v>
      </c>
      <c r="C712" s="1" t="n">
        <v>45884</v>
      </c>
      <c r="D712" t="inlineStr">
        <is>
          <t>VÄSTERNORRLANDS LÄN</t>
        </is>
      </c>
      <c r="E712" t="inlineStr">
        <is>
          <t>ÅNGE</t>
        </is>
      </c>
      <c r="G712" t="n">
        <v>1.5</v>
      </c>
      <c r="H712" t="n">
        <v>0</v>
      </c>
      <c r="I712" t="n">
        <v>0</v>
      </c>
      <c r="J712" t="n">
        <v>0</v>
      </c>
      <c r="K712" t="n">
        <v>0</v>
      </c>
      <c r="L712" t="n">
        <v>0</v>
      </c>
      <c r="M712" t="n">
        <v>0</v>
      </c>
      <c r="N712" t="n">
        <v>0</v>
      </c>
      <c r="O712" t="n">
        <v>0</v>
      </c>
      <c r="P712" t="n">
        <v>0</v>
      </c>
      <c r="Q712" t="n">
        <v>0</v>
      </c>
      <c r="R712" s="2" t="inlineStr"/>
    </row>
    <row r="713" ht="15" customHeight="1">
      <c r="A713" t="inlineStr">
        <is>
          <t>A 56191-2024</t>
        </is>
      </c>
      <c r="B713" s="1" t="n">
        <v>45624.57814814815</v>
      </c>
      <c r="C713" s="1" t="n">
        <v>45884</v>
      </c>
      <c r="D713" t="inlineStr">
        <is>
          <t>VÄSTERNORRLANDS LÄN</t>
        </is>
      </c>
      <c r="E713" t="inlineStr">
        <is>
          <t>ÅNGE</t>
        </is>
      </c>
      <c r="G713" t="n">
        <v>1.7</v>
      </c>
      <c r="H713" t="n">
        <v>0</v>
      </c>
      <c r="I713" t="n">
        <v>0</v>
      </c>
      <c r="J713" t="n">
        <v>0</v>
      </c>
      <c r="K713" t="n">
        <v>0</v>
      </c>
      <c r="L713" t="n">
        <v>0</v>
      </c>
      <c r="M713" t="n">
        <v>0</v>
      </c>
      <c r="N713" t="n">
        <v>0</v>
      </c>
      <c r="O713" t="n">
        <v>0</v>
      </c>
      <c r="P713" t="n">
        <v>0</v>
      </c>
      <c r="Q713" t="n">
        <v>0</v>
      </c>
      <c r="R713" s="2" t="inlineStr"/>
    </row>
    <row r="714" ht="15" customHeight="1">
      <c r="A714" t="inlineStr">
        <is>
          <t>A 32069-2023</t>
        </is>
      </c>
      <c r="B714" s="1" t="n">
        <v>45107</v>
      </c>
      <c r="C714" s="1" t="n">
        <v>45884</v>
      </c>
      <c r="D714" t="inlineStr">
        <is>
          <t>VÄSTERNORRLANDS LÄN</t>
        </is>
      </c>
      <c r="E714" t="inlineStr">
        <is>
          <t>ÅNGE</t>
        </is>
      </c>
      <c r="G714" t="n">
        <v>4.4</v>
      </c>
      <c r="H714" t="n">
        <v>0</v>
      </c>
      <c r="I714" t="n">
        <v>0</v>
      </c>
      <c r="J714" t="n">
        <v>0</v>
      </c>
      <c r="K714" t="n">
        <v>0</v>
      </c>
      <c r="L714" t="n">
        <v>0</v>
      </c>
      <c r="M714" t="n">
        <v>0</v>
      </c>
      <c r="N714" t="n">
        <v>0</v>
      </c>
      <c r="O714" t="n">
        <v>0</v>
      </c>
      <c r="P714" t="n">
        <v>0</v>
      </c>
      <c r="Q714" t="n">
        <v>0</v>
      </c>
      <c r="R714" s="2" t="inlineStr"/>
    </row>
    <row r="715" ht="15" customHeight="1">
      <c r="A715" t="inlineStr">
        <is>
          <t>A 26013-2024</t>
        </is>
      </c>
      <c r="B715" s="1" t="n">
        <v>45467</v>
      </c>
      <c r="C715" s="1" t="n">
        <v>45884</v>
      </c>
      <c r="D715" t="inlineStr">
        <is>
          <t>VÄSTERNORRLANDS LÄN</t>
        </is>
      </c>
      <c r="E715" t="inlineStr">
        <is>
          <t>ÅNGE</t>
        </is>
      </c>
      <c r="F715" t="inlineStr">
        <is>
          <t>SCA</t>
        </is>
      </c>
      <c r="G715" t="n">
        <v>6.8</v>
      </c>
      <c r="H715" t="n">
        <v>0</v>
      </c>
      <c r="I715" t="n">
        <v>0</v>
      </c>
      <c r="J715" t="n">
        <v>0</v>
      </c>
      <c r="K715" t="n">
        <v>0</v>
      </c>
      <c r="L715" t="n">
        <v>0</v>
      </c>
      <c r="M715" t="n">
        <v>0</v>
      </c>
      <c r="N715" t="n">
        <v>0</v>
      </c>
      <c r="O715" t="n">
        <v>0</v>
      </c>
      <c r="P715" t="n">
        <v>0</v>
      </c>
      <c r="Q715" t="n">
        <v>0</v>
      </c>
      <c r="R715" s="2" t="inlineStr"/>
    </row>
    <row r="716" ht="15" customHeight="1">
      <c r="A716" t="inlineStr">
        <is>
          <t>A 49502-2022</t>
        </is>
      </c>
      <c r="B716" s="1" t="n">
        <v>44861.92613425926</v>
      </c>
      <c r="C716" s="1" t="n">
        <v>45884</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38795-2023</t>
        </is>
      </c>
      <c r="B717" s="1" t="n">
        <v>45162</v>
      </c>
      <c r="C717" s="1" t="n">
        <v>45884</v>
      </c>
      <c r="D717" t="inlineStr">
        <is>
          <t>VÄSTERNORRLANDS LÄN</t>
        </is>
      </c>
      <c r="E717" t="inlineStr">
        <is>
          <t>ÅNGE</t>
        </is>
      </c>
      <c r="G717" t="n">
        <v>0.7</v>
      </c>
      <c r="H717" t="n">
        <v>0</v>
      </c>
      <c r="I717" t="n">
        <v>0</v>
      </c>
      <c r="J717" t="n">
        <v>0</v>
      </c>
      <c r="K717" t="n">
        <v>0</v>
      </c>
      <c r="L717" t="n">
        <v>0</v>
      </c>
      <c r="M717" t="n">
        <v>0</v>
      </c>
      <c r="N717" t="n">
        <v>0</v>
      </c>
      <c r="O717" t="n">
        <v>0</v>
      </c>
      <c r="P717" t="n">
        <v>0</v>
      </c>
      <c r="Q717" t="n">
        <v>0</v>
      </c>
      <c r="R717" s="2" t="inlineStr"/>
    </row>
    <row r="718" ht="15" customHeight="1">
      <c r="A718" t="inlineStr">
        <is>
          <t>A 17601-2024</t>
        </is>
      </c>
      <c r="B718" s="1" t="n">
        <v>45415</v>
      </c>
      <c r="C718" s="1" t="n">
        <v>45884</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34649-2024</t>
        </is>
      </c>
      <c r="B719" s="1" t="n">
        <v>45526.48325231481</v>
      </c>
      <c r="C719" s="1" t="n">
        <v>45884</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13091-2024</t>
        </is>
      </c>
      <c r="B720" s="1" t="n">
        <v>45385</v>
      </c>
      <c r="C720" s="1" t="n">
        <v>45884</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16903-2024</t>
        </is>
      </c>
      <c r="B721" s="1" t="n">
        <v>45411.63106481481</v>
      </c>
      <c r="C721" s="1" t="n">
        <v>45884</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20108-2025</t>
        </is>
      </c>
      <c r="B722" s="1" t="n">
        <v>45772.47006944445</v>
      </c>
      <c r="C722" s="1" t="n">
        <v>45884</v>
      </c>
      <c r="D722" t="inlineStr">
        <is>
          <t>VÄSTERNORRLANDS LÄN</t>
        </is>
      </c>
      <c r="E722" t="inlineStr">
        <is>
          <t>ÅNGE</t>
        </is>
      </c>
      <c r="F722" t="inlineStr">
        <is>
          <t>Naturvårdsverket</t>
        </is>
      </c>
      <c r="G722" t="n">
        <v>2</v>
      </c>
      <c r="H722" t="n">
        <v>0</v>
      </c>
      <c r="I722" t="n">
        <v>0</v>
      </c>
      <c r="J722" t="n">
        <v>0</v>
      </c>
      <c r="K722" t="n">
        <v>0</v>
      </c>
      <c r="L722" t="n">
        <v>0</v>
      </c>
      <c r="M722" t="n">
        <v>0</v>
      </c>
      <c r="N722" t="n">
        <v>0</v>
      </c>
      <c r="O722" t="n">
        <v>0</v>
      </c>
      <c r="P722" t="n">
        <v>0</v>
      </c>
      <c r="Q722" t="n">
        <v>0</v>
      </c>
      <c r="R722" s="2" t="inlineStr"/>
    </row>
    <row r="723" ht="15" customHeight="1">
      <c r="A723" t="inlineStr">
        <is>
          <t>A 50419-2022</t>
        </is>
      </c>
      <c r="B723" s="1" t="n">
        <v>44861</v>
      </c>
      <c r="C723" s="1" t="n">
        <v>45884</v>
      </c>
      <c r="D723" t="inlineStr">
        <is>
          <t>VÄSTERNORRLANDS LÄN</t>
        </is>
      </c>
      <c r="E723" t="inlineStr">
        <is>
          <t>ÅNGE</t>
        </is>
      </c>
      <c r="G723" t="n">
        <v>1.3</v>
      </c>
      <c r="H723" t="n">
        <v>0</v>
      </c>
      <c r="I723" t="n">
        <v>0</v>
      </c>
      <c r="J723" t="n">
        <v>0</v>
      </c>
      <c r="K723" t="n">
        <v>0</v>
      </c>
      <c r="L723" t="n">
        <v>0</v>
      </c>
      <c r="M723" t="n">
        <v>0</v>
      </c>
      <c r="N723" t="n">
        <v>0</v>
      </c>
      <c r="O723" t="n">
        <v>0</v>
      </c>
      <c r="P723" t="n">
        <v>0</v>
      </c>
      <c r="Q723" t="n">
        <v>0</v>
      </c>
      <c r="R723" s="2" t="inlineStr"/>
    </row>
    <row r="724" ht="15" customHeight="1">
      <c r="A724" t="inlineStr">
        <is>
          <t>A 32439-2024</t>
        </is>
      </c>
      <c r="B724" s="1" t="n">
        <v>45512</v>
      </c>
      <c r="C724" s="1" t="n">
        <v>45884</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8627-2023</t>
        </is>
      </c>
      <c r="B725" s="1" t="n">
        <v>44977</v>
      </c>
      <c r="C725" s="1" t="n">
        <v>45884</v>
      </c>
      <c r="D725" t="inlineStr">
        <is>
          <t>VÄSTERNORRLANDS LÄN</t>
        </is>
      </c>
      <c r="E725" t="inlineStr">
        <is>
          <t>ÅNGE</t>
        </is>
      </c>
      <c r="G725" t="n">
        <v>3</v>
      </c>
      <c r="H725" t="n">
        <v>0</v>
      </c>
      <c r="I725" t="n">
        <v>0</v>
      </c>
      <c r="J725" t="n">
        <v>0</v>
      </c>
      <c r="K725" t="n">
        <v>0</v>
      </c>
      <c r="L725" t="n">
        <v>0</v>
      </c>
      <c r="M725" t="n">
        <v>0</v>
      </c>
      <c r="N725" t="n">
        <v>0</v>
      </c>
      <c r="O725" t="n">
        <v>0</v>
      </c>
      <c r="P725" t="n">
        <v>0</v>
      </c>
      <c r="Q725" t="n">
        <v>0</v>
      </c>
      <c r="R725" s="2" t="inlineStr"/>
    </row>
    <row r="726" ht="15" customHeight="1">
      <c r="A726" t="inlineStr">
        <is>
          <t>A 16572-2023</t>
        </is>
      </c>
      <c r="B726" s="1" t="n">
        <v>45029.94224537037</v>
      </c>
      <c r="C726" s="1" t="n">
        <v>45884</v>
      </c>
      <c r="D726" t="inlineStr">
        <is>
          <t>VÄSTERNORRLANDS LÄN</t>
        </is>
      </c>
      <c r="E726" t="inlineStr">
        <is>
          <t>ÅNGE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3256-2024</t>
        </is>
      </c>
      <c r="B727" s="1" t="n">
        <v>45316</v>
      </c>
      <c r="C727" s="1" t="n">
        <v>45884</v>
      </c>
      <c r="D727" t="inlineStr">
        <is>
          <t>VÄSTERNORRLANDS LÄN</t>
        </is>
      </c>
      <c r="E727" t="inlineStr">
        <is>
          <t>ÅNGE</t>
        </is>
      </c>
      <c r="G727" t="n">
        <v>3.7</v>
      </c>
      <c r="H727" t="n">
        <v>0</v>
      </c>
      <c r="I727" t="n">
        <v>0</v>
      </c>
      <c r="J727" t="n">
        <v>0</v>
      </c>
      <c r="K727" t="n">
        <v>0</v>
      </c>
      <c r="L727" t="n">
        <v>0</v>
      </c>
      <c r="M727" t="n">
        <v>0</v>
      </c>
      <c r="N727" t="n">
        <v>0</v>
      </c>
      <c r="O727" t="n">
        <v>0</v>
      </c>
      <c r="P727" t="n">
        <v>0</v>
      </c>
      <c r="Q727" t="n">
        <v>0</v>
      </c>
      <c r="R727" s="2" t="inlineStr"/>
    </row>
    <row r="728" ht="15" customHeight="1">
      <c r="A728" t="inlineStr">
        <is>
          <t>A 49487-2024</t>
        </is>
      </c>
      <c r="B728" s="1" t="n">
        <v>45596.35813657408</v>
      </c>
      <c r="C728" s="1" t="n">
        <v>45884</v>
      </c>
      <c r="D728" t="inlineStr">
        <is>
          <t>VÄSTERNORRLANDS LÄN</t>
        </is>
      </c>
      <c r="E728" t="inlineStr">
        <is>
          <t>ÅNGE</t>
        </is>
      </c>
      <c r="G728" t="n">
        <v>4.3</v>
      </c>
      <c r="H728" t="n">
        <v>0</v>
      </c>
      <c r="I728" t="n">
        <v>0</v>
      </c>
      <c r="J728" t="n">
        <v>0</v>
      </c>
      <c r="K728" t="n">
        <v>0</v>
      </c>
      <c r="L728" t="n">
        <v>0</v>
      </c>
      <c r="M728" t="n">
        <v>0</v>
      </c>
      <c r="N728" t="n">
        <v>0</v>
      </c>
      <c r="O728" t="n">
        <v>0</v>
      </c>
      <c r="P728" t="n">
        <v>0</v>
      </c>
      <c r="Q728" t="n">
        <v>0</v>
      </c>
      <c r="R728" s="2" t="inlineStr"/>
    </row>
    <row r="729" ht="15" customHeight="1">
      <c r="A729" t="inlineStr">
        <is>
          <t>A 49532-2024</t>
        </is>
      </c>
      <c r="B729" s="1" t="n">
        <v>45596.41797453703</v>
      </c>
      <c r="C729" s="1" t="n">
        <v>45884</v>
      </c>
      <c r="D729" t="inlineStr">
        <is>
          <t>VÄSTERNORRLANDS LÄN</t>
        </is>
      </c>
      <c r="E729" t="inlineStr">
        <is>
          <t>ÅNGE</t>
        </is>
      </c>
      <c r="G729" t="n">
        <v>3.3</v>
      </c>
      <c r="H729" t="n">
        <v>0</v>
      </c>
      <c r="I729" t="n">
        <v>0</v>
      </c>
      <c r="J729" t="n">
        <v>0</v>
      </c>
      <c r="K729" t="n">
        <v>0</v>
      </c>
      <c r="L729" t="n">
        <v>0</v>
      </c>
      <c r="M729" t="n">
        <v>0</v>
      </c>
      <c r="N729" t="n">
        <v>0</v>
      </c>
      <c r="O729" t="n">
        <v>0</v>
      </c>
      <c r="P729" t="n">
        <v>0</v>
      </c>
      <c r="Q729" t="n">
        <v>0</v>
      </c>
      <c r="R729" s="2" t="inlineStr"/>
    </row>
    <row r="730" ht="15" customHeight="1">
      <c r="A730" t="inlineStr">
        <is>
          <t>A 11088-2024</t>
        </is>
      </c>
      <c r="B730" s="1" t="n">
        <v>45370</v>
      </c>
      <c r="C730" s="1" t="n">
        <v>45884</v>
      </c>
      <c r="D730" t="inlineStr">
        <is>
          <t>VÄSTERNORRLANDS LÄN</t>
        </is>
      </c>
      <c r="E730" t="inlineStr">
        <is>
          <t>ÅNGE</t>
        </is>
      </c>
      <c r="F730" t="inlineStr">
        <is>
          <t>SCA</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13773-2024</t>
        </is>
      </c>
      <c r="B731" s="1" t="n">
        <v>45390.95297453704</v>
      </c>
      <c r="C731" s="1" t="n">
        <v>45884</v>
      </c>
      <c r="D731" t="inlineStr">
        <is>
          <t>VÄSTERNORRLANDS LÄN</t>
        </is>
      </c>
      <c r="E731" t="inlineStr">
        <is>
          <t>ÅNGE</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30348-2024</t>
        </is>
      </c>
      <c r="B732" s="1" t="n">
        <v>45490.95524305556</v>
      </c>
      <c r="C732" s="1" t="n">
        <v>45884</v>
      </c>
      <c r="D732" t="inlineStr">
        <is>
          <t>VÄSTERNORRLANDS LÄN</t>
        </is>
      </c>
      <c r="E732" t="inlineStr">
        <is>
          <t>ÅNGE</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57287-2022</t>
        </is>
      </c>
      <c r="B733" s="1" t="n">
        <v>44895.95</v>
      </c>
      <c r="C733" s="1" t="n">
        <v>45884</v>
      </c>
      <c r="D733" t="inlineStr">
        <is>
          <t>VÄSTERNORRLANDS LÄN</t>
        </is>
      </c>
      <c r="E733" t="inlineStr">
        <is>
          <t>ÅNGE</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20576-2021</t>
        </is>
      </c>
      <c r="B734" s="1" t="n">
        <v>44316.3290162037</v>
      </c>
      <c r="C734" s="1" t="n">
        <v>45884</v>
      </c>
      <c r="D734" t="inlineStr">
        <is>
          <t>VÄSTERNORRLANDS LÄN</t>
        </is>
      </c>
      <c r="E734" t="inlineStr">
        <is>
          <t>ÅNGE</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1090-2023</t>
        </is>
      </c>
      <c r="B735" s="1" t="n">
        <v>44929</v>
      </c>
      <c r="C735" s="1" t="n">
        <v>45884</v>
      </c>
      <c r="D735" t="inlineStr">
        <is>
          <t>VÄSTERNORRLANDS LÄN</t>
        </is>
      </c>
      <c r="E735" t="inlineStr">
        <is>
          <t>ÅNGE</t>
        </is>
      </c>
      <c r="G735" t="n">
        <v>0.7</v>
      </c>
      <c r="H735" t="n">
        <v>0</v>
      </c>
      <c r="I735" t="n">
        <v>0</v>
      </c>
      <c r="J735" t="n">
        <v>0</v>
      </c>
      <c r="K735" t="n">
        <v>0</v>
      </c>
      <c r="L735" t="n">
        <v>0</v>
      </c>
      <c r="M735" t="n">
        <v>0</v>
      </c>
      <c r="N735" t="n">
        <v>0</v>
      </c>
      <c r="O735" t="n">
        <v>0</v>
      </c>
      <c r="P735" t="n">
        <v>0</v>
      </c>
      <c r="Q735" t="n">
        <v>0</v>
      </c>
      <c r="R735" s="2" t="inlineStr"/>
    </row>
    <row r="736" ht="15" customHeight="1">
      <c r="A736" t="inlineStr">
        <is>
          <t>A 1116-2023</t>
        </is>
      </c>
      <c r="B736" s="1" t="n">
        <v>44929</v>
      </c>
      <c r="C736" s="1" t="n">
        <v>45884</v>
      </c>
      <c r="D736" t="inlineStr">
        <is>
          <t>VÄSTERNORRLANDS LÄN</t>
        </is>
      </c>
      <c r="E736" t="inlineStr">
        <is>
          <t>ÅNGE</t>
        </is>
      </c>
      <c r="G736" t="n">
        <v>17.2</v>
      </c>
      <c r="H736" t="n">
        <v>0</v>
      </c>
      <c r="I736" t="n">
        <v>0</v>
      </c>
      <c r="J736" t="n">
        <v>0</v>
      </c>
      <c r="K736" t="n">
        <v>0</v>
      </c>
      <c r="L736" t="n">
        <v>0</v>
      </c>
      <c r="M736" t="n">
        <v>0</v>
      </c>
      <c r="N736" t="n">
        <v>0</v>
      </c>
      <c r="O736" t="n">
        <v>0</v>
      </c>
      <c r="P736" t="n">
        <v>0</v>
      </c>
      <c r="Q736" t="n">
        <v>0</v>
      </c>
      <c r="R736" s="2" t="inlineStr"/>
    </row>
    <row r="737" ht="15" customHeight="1">
      <c r="A737" t="inlineStr">
        <is>
          <t>A 51609-2023</t>
        </is>
      </c>
      <c r="B737" s="1" t="n">
        <v>45215</v>
      </c>
      <c r="C737" s="1" t="n">
        <v>45884</v>
      </c>
      <c r="D737" t="inlineStr">
        <is>
          <t>VÄSTERNORRLANDS LÄN</t>
        </is>
      </c>
      <c r="E737" t="inlineStr">
        <is>
          <t>ÅNGE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27661-2024</t>
        </is>
      </c>
      <c r="B738" s="1" t="n">
        <v>45474.95365740741</v>
      </c>
      <c r="C738" s="1" t="n">
        <v>45884</v>
      </c>
      <c r="D738" t="inlineStr">
        <is>
          <t>VÄSTERNORRLANDS LÄN</t>
        </is>
      </c>
      <c r="E738" t="inlineStr">
        <is>
          <t>ÅNGE</t>
        </is>
      </c>
      <c r="F738" t="inlineStr">
        <is>
          <t>SCA</t>
        </is>
      </c>
      <c r="G738" t="n">
        <v>19.1</v>
      </c>
      <c r="H738" t="n">
        <v>0</v>
      </c>
      <c r="I738" t="n">
        <v>0</v>
      </c>
      <c r="J738" t="n">
        <v>0</v>
      </c>
      <c r="K738" t="n">
        <v>0</v>
      </c>
      <c r="L738" t="n">
        <v>0</v>
      </c>
      <c r="M738" t="n">
        <v>0</v>
      </c>
      <c r="N738" t="n">
        <v>0</v>
      </c>
      <c r="O738" t="n">
        <v>0</v>
      </c>
      <c r="P738" t="n">
        <v>0</v>
      </c>
      <c r="Q738" t="n">
        <v>0</v>
      </c>
      <c r="R738" s="2" t="inlineStr"/>
    </row>
    <row r="739" ht="15" customHeight="1">
      <c r="A739" t="inlineStr">
        <is>
          <t>A 27668-2024</t>
        </is>
      </c>
      <c r="B739" s="1" t="n">
        <v>45474.95435185185</v>
      </c>
      <c r="C739" s="1" t="n">
        <v>45884</v>
      </c>
      <c r="D739" t="inlineStr">
        <is>
          <t>VÄSTERNORRLANDS LÄN</t>
        </is>
      </c>
      <c r="E739" t="inlineStr">
        <is>
          <t>ÅNGE</t>
        </is>
      </c>
      <c r="F739" t="inlineStr">
        <is>
          <t>SCA</t>
        </is>
      </c>
      <c r="G739" t="n">
        <v>5.5</v>
      </c>
      <c r="H739" t="n">
        <v>0</v>
      </c>
      <c r="I739" t="n">
        <v>0</v>
      </c>
      <c r="J739" t="n">
        <v>0</v>
      </c>
      <c r="K739" t="n">
        <v>0</v>
      </c>
      <c r="L739" t="n">
        <v>0</v>
      </c>
      <c r="M739" t="n">
        <v>0</v>
      </c>
      <c r="N739" t="n">
        <v>0</v>
      </c>
      <c r="O739" t="n">
        <v>0</v>
      </c>
      <c r="P739" t="n">
        <v>0</v>
      </c>
      <c r="Q739" t="n">
        <v>0</v>
      </c>
      <c r="R739" s="2" t="inlineStr"/>
    </row>
    <row r="740" ht="15" customHeight="1">
      <c r="A740" t="inlineStr">
        <is>
          <t>A 12021-2022</t>
        </is>
      </c>
      <c r="B740" s="1" t="n">
        <v>44635</v>
      </c>
      <c r="C740" s="1" t="n">
        <v>45884</v>
      </c>
      <c r="D740" t="inlineStr">
        <is>
          <t>VÄSTERNORRLANDS LÄN</t>
        </is>
      </c>
      <c r="E740" t="inlineStr">
        <is>
          <t>ÅNGE</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54210-2024</t>
        </is>
      </c>
      <c r="B741" s="1" t="n">
        <v>45616.65662037037</v>
      </c>
      <c r="C741" s="1" t="n">
        <v>45884</v>
      </c>
      <c r="D741" t="inlineStr">
        <is>
          <t>VÄSTERNORRLANDS LÄN</t>
        </is>
      </c>
      <c r="E741" t="inlineStr">
        <is>
          <t>ÅNGE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35399-2024</t>
        </is>
      </c>
      <c r="B742" s="1" t="n">
        <v>45531.40438657408</v>
      </c>
      <c r="C742" s="1" t="n">
        <v>45884</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12807-2025</t>
        </is>
      </c>
      <c r="B743" s="1" t="n">
        <v>45733.61537037037</v>
      </c>
      <c r="C743" s="1" t="n">
        <v>45884</v>
      </c>
      <c r="D743" t="inlineStr">
        <is>
          <t>VÄSTERNORRLANDS LÄN</t>
        </is>
      </c>
      <c r="E743" t="inlineStr">
        <is>
          <t>ÅNGE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5035-2025</t>
        </is>
      </c>
      <c r="B744" s="1" t="n">
        <v>45691</v>
      </c>
      <c r="C744" s="1" t="n">
        <v>45884</v>
      </c>
      <c r="D744" t="inlineStr">
        <is>
          <t>VÄSTERNORRLANDS LÄN</t>
        </is>
      </c>
      <c r="E744" t="inlineStr">
        <is>
          <t>ÅNGE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5602-2025</t>
        </is>
      </c>
      <c r="B745" s="1" t="n">
        <v>45693</v>
      </c>
      <c r="C745" s="1" t="n">
        <v>45884</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60578-2024</t>
        </is>
      </c>
      <c r="B746" s="1" t="n">
        <v>45644.34434027778</v>
      </c>
      <c r="C746" s="1" t="n">
        <v>45884</v>
      </c>
      <c r="D746" t="inlineStr">
        <is>
          <t>VÄSTERNORRLANDS LÄN</t>
        </is>
      </c>
      <c r="E746" t="inlineStr">
        <is>
          <t>ÅNGE</t>
        </is>
      </c>
      <c r="F746" t="inlineStr">
        <is>
          <t>SCA</t>
        </is>
      </c>
      <c r="G746" t="n">
        <v>5.8</v>
      </c>
      <c r="H746" t="n">
        <v>0</v>
      </c>
      <c r="I746" t="n">
        <v>0</v>
      </c>
      <c r="J746" t="n">
        <v>0</v>
      </c>
      <c r="K746" t="n">
        <v>0</v>
      </c>
      <c r="L746" t="n">
        <v>0</v>
      </c>
      <c r="M746" t="n">
        <v>0</v>
      </c>
      <c r="N746" t="n">
        <v>0</v>
      </c>
      <c r="O746" t="n">
        <v>0</v>
      </c>
      <c r="P746" t="n">
        <v>0</v>
      </c>
      <c r="Q746" t="n">
        <v>0</v>
      </c>
      <c r="R746" s="2" t="inlineStr"/>
    </row>
    <row r="747" ht="15" customHeight="1">
      <c r="A747" t="inlineStr">
        <is>
          <t>A 33302-2024</t>
        </is>
      </c>
      <c r="B747" s="1" t="n">
        <v>45518.96967592592</v>
      </c>
      <c r="C747" s="1" t="n">
        <v>45884</v>
      </c>
      <c r="D747" t="inlineStr">
        <is>
          <t>VÄSTERNORRLANDS LÄN</t>
        </is>
      </c>
      <c r="E747" t="inlineStr">
        <is>
          <t>ÅNGE</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16593-2023</t>
        </is>
      </c>
      <c r="B748" s="1" t="n">
        <v>45030</v>
      </c>
      <c r="C748" s="1" t="n">
        <v>45884</v>
      </c>
      <c r="D748" t="inlineStr">
        <is>
          <t>VÄSTERNORRLANDS LÄN</t>
        </is>
      </c>
      <c r="E748" t="inlineStr">
        <is>
          <t>ÅNGE</t>
        </is>
      </c>
      <c r="G748" t="n">
        <v>0.7</v>
      </c>
      <c r="H748" t="n">
        <v>0</v>
      </c>
      <c r="I748" t="n">
        <v>0</v>
      </c>
      <c r="J748" t="n">
        <v>0</v>
      </c>
      <c r="K748" t="n">
        <v>0</v>
      </c>
      <c r="L748" t="n">
        <v>0</v>
      </c>
      <c r="M748" t="n">
        <v>0</v>
      </c>
      <c r="N748" t="n">
        <v>0</v>
      </c>
      <c r="O748" t="n">
        <v>0</v>
      </c>
      <c r="P748" t="n">
        <v>0</v>
      </c>
      <c r="Q748" t="n">
        <v>0</v>
      </c>
      <c r="R748" s="2" t="inlineStr"/>
    </row>
    <row r="749" ht="15" customHeight="1">
      <c r="A749" t="inlineStr">
        <is>
          <t>A 16600-2023</t>
        </is>
      </c>
      <c r="B749" s="1" t="n">
        <v>45030</v>
      </c>
      <c r="C749" s="1" t="n">
        <v>45884</v>
      </c>
      <c r="D749" t="inlineStr">
        <is>
          <t>VÄSTERNORRLANDS LÄN</t>
        </is>
      </c>
      <c r="E749" t="inlineStr">
        <is>
          <t>ÅNGE</t>
        </is>
      </c>
      <c r="G749" t="n">
        <v>0.1</v>
      </c>
      <c r="H749" t="n">
        <v>0</v>
      </c>
      <c r="I749" t="n">
        <v>0</v>
      </c>
      <c r="J749" t="n">
        <v>0</v>
      </c>
      <c r="K749" t="n">
        <v>0</v>
      </c>
      <c r="L749" t="n">
        <v>0</v>
      </c>
      <c r="M749" t="n">
        <v>0</v>
      </c>
      <c r="N749" t="n">
        <v>0</v>
      </c>
      <c r="O749" t="n">
        <v>0</v>
      </c>
      <c r="P749" t="n">
        <v>0</v>
      </c>
      <c r="Q749" t="n">
        <v>0</v>
      </c>
      <c r="R749" s="2" t="inlineStr"/>
    </row>
    <row r="750" ht="15" customHeight="1">
      <c r="A750" t="inlineStr">
        <is>
          <t>A 10917-2024</t>
        </is>
      </c>
      <c r="B750" s="1" t="n">
        <v>45370</v>
      </c>
      <c r="C750" s="1" t="n">
        <v>45884</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34815-2024</t>
        </is>
      </c>
      <c r="B751" s="1" t="n">
        <v>45526.70732638889</v>
      </c>
      <c r="C751" s="1" t="n">
        <v>45884</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3977-2025</t>
        </is>
      </c>
      <c r="B752" s="1" t="n">
        <v>45684</v>
      </c>
      <c r="C752" s="1" t="n">
        <v>45884</v>
      </c>
      <c r="D752" t="inlineStr">
        <is>
          <t>VÄSTERNORRLANDS LÄN</t>
        </is>
      </c>
      <c r="E752" t="inlineStr">
        <is>
          <t>ÅNGE</t>
        </is>
      </c>
      <c r="F752" t="inlineStr">
        <is>
          <t>Holmen skog AB</t>
        </is>
      </c>
      <c r="G752" t="n">
        <v>2.3</v>
      </c>
      <c r="H752" t="n">
        <v>0</v>
      </c>
      <c r="I752" t="n">
        <v>0</v>
      </c>
      <c r="J752" t="n">
        <v>0</v>
      </c>
      <c r="K752" t="n">
        <v>0</v>
      </c>
      <c r="L752" t="n">
        <v>0</v>
      </c>
      <c r="M752" t="n">
        <v>0</v>
      </c>
      <c r="N752" t="n">
        <v>0</v>
      </c>
      <c r="O752" t="n">
        <v>0</v>
      </c>
      <c r="P752" t="n">
        <v>0</v>
      </c>
      <c r="Q752" t="n">
        <v>0</v>
      </c>
      <c r="R752" s="2" t="inlineStr"/>
    </row>
    <row r="753" ht="15" customHeight="1">
      <c r="A753" t="inlineStr">
        <is>
          <t>A 26957-2024</t>
        </is>
      </c>
      <c r="B753" s="1" t="n">
        <v>45470</v>
      </c>
      <c r="C753" s="1" t="n">
        <v>45884</v>
      </c>
      <c r="D753" t="inlineStr">
        <is>
          <t>VÄSTERNORRLANDS LÄN</t>
        </is>
      </c>
      <c r="E753" t="inlineStr">
        <is>
          <t>ÅNGE</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3022-2023</t>
        </is>
      </c>
      <c r="B754" s="1" t="n">
        <v>44945</v>
      </c>
      <c r="C754" s="1" t="n">
        <v>45884</v>
      </c>
      <c r="D754" t="inlineStr">
        <is>
          <t>VÄSTERNORRLANDS LÄN</t>
        </is>
      </c>
      <c r="E754" t="inlineStr">
        <is>
          <t>ÅNGE</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31864-2024</t>
        </is>
      </c>
      <c r="B755" s="1" t="n">
        <v>45509.74791666667</v>
      </c>
      <c r="C755" s="1" t="n">
        <v>45884</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53512-2023</t>
        </is>
      </c>
      <c r="B756" s="1" t="n">
        <v>45230</v>
      </c>
      <c r="C756" s="1" t="n">
        <v>45884</v>
      </c>
      <c r="D756" t="inlineStr">
        <is>
          <t>VÄSTERNORRLANDS LÄN</t>
        </is>
      </c>
      <c r="E756" t="inlineStr">
        <is>
          <t>ÅNGE</t>
        </is>
      </c>
      <c r="F756" t="inlineStr">
        <is>
          <t>Holmen skog AB</t>
        </is>
      </c>
      <c r="G756" t="n">
        <v>3</v>
      </c>
      <c r="H756" t="n">
        <v>0</v>
      </c>
      <c r="I756" t="n">
        <v>0</v>
      </c>
      <c r="J756" t="n">
        <v>0</v>
      </c>
      <c r="K756" t="n">
        <v>0</v>
      </c>
      <c r="L756" t="n">
        <v>0</v>
      </c>
      <c r="M756" t="n">
        <v>0</v>
      </c>
      <c r="N756" t="n">
        <v>0</v>
      </c>
      <c r="O756" t="n">
        <v>0</v>
      </c>
      <c r="P756" t="n">
        <v>0</v>
      </c>
      <c r="Q756" t="n">
        <v>0</v>
      </c>
      <c r="R756" s="2" t="inlineStr"/>
    </row>
    <row r="757" ht="15" customHeight="1">
      <c r="A757" t="inlineStr">
        <is>
          <t>A 37558-2023</t>
        </is>
      </c>
      <c r="B757" s="1" t="n">
        <v>45159.34511574074</v>
      </c>
      <c r="C757" s="1" t="n">
        <v>45884</v>
      </c>
      <c r="D757" t="inlineStr">
        <is>
          <t>VÄSTERNORRLANDS LÄN</t>
        </is>
      </c>
      <c r="E757" t="inlineStr">
        <is>
          <t>ÅNGE</t>
        </is>
      </c>
      <c r="F757" t="inlineStr">
        <is>
          <t>Kyrkan</t>
        </is>
      </c>
      <c r="G757" t="n">
        <v>5.6</v>
      </c>
      <c r="H757" t="n">
        <v>0</v>
      </c>
      <c r="I757" t="n">
        <v>0</v>
      </c>
      <c r="J757" t="n">
        <v>0</v>
      </c>
      <c r="K757" t="n">
        <v>0</v>
      </c>
      <c r="L757" t="n">
        <v>0</v>
      </c>
      <c r="M757" t="n">
        <v>0</v>
      </c>
      <c r="N757" t="n">
        <v>0</v>
      </c>
      <c r="O757" t="n">
        <v>0</v>
      </c>
      <c r="P757" t="n">
        <v>0</v>
      </c>
      <c r="Q757" t="n">
        <v>0</v>
      </c>
      <c r="R757" s="2" t="inlineStr"/>
    </row>
    <row r="758" ht="15" customHeight="1">
      <c r="A758" t="inlineStr">
        <is>
          <t>A 34491-2023</t>
        </is>
      </c>
      <c r="B758" s="1" t="n">
        <v>45139.94775462963</v>
      </c>
      <c r="C758" s="1" t="n">
        <v>45884</v>
      </c>
      <c r="D758" t="inlineStr">
        <is>
          <t>VÄSTERNORRLANDS LÄN</t>
        </is>
      </c>
      <c r="E758" t="inlineStr">
        <is>
          <t>ÅNGE</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3947-2025</t>
        </is>
      </c>
      <c r="B759" s="1" t="n">
        <v>45684.49001157407</v>
      </c>
      <c r="C759" s="1" t="n">
        <v>45884</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58774-2023</t>
        </is>
      </c>
      <c r="B760" s="1" t="n">
        <v>45251</v>
      </c>
      <c r="C760" s="1" t="n">
        <v>45884</v>
      </c>
      <c r="D760" t="inlineStr">
        <is>
          <t>VÄSTERNORRLANDS LÄN</t>
        </is>
      </c>
      <c r="E760" t="inlineStr">
        <is>
          <t>ÅNGE</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21089-2024</t>
        </is>
      </c>
      <c r="B761" s="1" t="n">
        <v>45439.94987268518</v>
      </c>
      <c r="C761" s="1" t="n">
        <v>45884</v>
      </c>
      <c r="D761" t="inlineStr">
        <is>
          <t>VÄSTERNORRLANDS LÄN</t>
        </is>
      </c>
      <c r="E761" t="inlineStr">
        <is>
          <t>ÅNGE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21151-2024</t>
        </is>
      </c>
      <c r="B762" s="1" t="n">
        <v>45440</v>
      </c>
      <c r="C762" s="1" t="n">
        <v>45884</v>
      </c>
      <c r="D762" t="inlineStr">
        <is>
          <t>VÄSTERNORRLANDS LÄN</t>
        </is>
      </c>
      <c r="E762" t="inlineStr">
        <is>
          <t>ÅNGE</t>
        </is>
      </c>
      <c r="G762" t="n">
        <v>3.7</v>
      </c>
      <c r="H762" t="n">
        <v>0</v>
      </c>
      <c r="I762" t="n">
        <v>0</v>
      </c>
      <c r="J762" t="n">
        <v>0</v>
      </c>
      <c r="K762" t="n">
        <v>0</v>
      </c>
      <c r="L762" t="n">
        <v>0</v>
      </c>
      <c r="M762" t="n">
        <v>0</v>
      </c>
      <c r="N762" t="n">
        <v>0</v>
      </c>
      <c r="O762" t="n">
        <v>0</v>
      </c>
      <c r="P762" t="n">
        <v>0</v>
      </c>
      <c r="Q762" t="n">
        <v>0</v>
      </c>
      <c r="R762" s="2" t="inlineStr"/>
    </row>
    <row r="763" ht="15" customHeight="1">
      <c r="A763" t="inlineStr">
        <is>
          <t>A 65633-2021</t>
        </is>
      </c>
      <c r="B763" s="1" t="n">
        <v>44516.56181712963</v>
      </c>
      <c r="C763" s="1" t="n">
        <v>45884</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17923-2025</t>
        </is>
      </c>
      <c r="B764" s="1" t="n">
        <v>45759.34415509259</v>
      </c>
      <c r="C764" s="1" t="n">
        <v>45884</v>
      </c>
      <c r="D764" t="inlineStr">
        <is>
          <t>VÄSTERNORRLANDS LÄN</t>
        </is>
      </c>
      <c r="E764" t="inlineStr">
        <is>
          <t>ÅNGE</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13164-2022</t>
        </is>
      </c>
      <c r="B765" s="1" t="n">
        <v>44644</v>
      </c>
      <c r="C765" s="1" t="n">
        <v>45884</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20110-2023</t>
        </is>
      </c>
      <c r="B766" s="1" t="n">
        <v>45051</v>
      </c>
      <c r="C766" s="1" t="n">
        <v>45884</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36457-2021</t>
        </is>
      </c>
      <c r="B767" s="1" t="n">
        <v>44390.93858796296</v>
      </c>
      <c r="C767" s="1" t="n">
        <v>45884</v>
      </c>
      <c r="D767" t="inlineStr">
        <is>
          <t>VÄSTERNORRLANDS LÄN</t>
        </is>
      </c>
      <c r="E767" t="inlineStr">
        <is>
          <t>ÅNGE</t>
        </is>
      </c>
      <c r="G767" t="n">
        <v>1.6</v>
      </c>
      <c r="H767" t="n">
        <v>0</v>
      </c>
      <c r="I767" t="n">
        <v>0</v>
      </c>
      <c r="J767" t="n">
        <v>0</v>
      </c>
      <c r="K767" t="n">
        <v>0</v>
      </c>
      <c r="L767" t="n">
        <v>0</v>
      </c>
      <c r="M767" t="n">
        <v>0</v>
      </c>
      <c r="N767" t="n">
        <v>0</v>
      </c>
      <c r="O767" t="n">
        <v>0</v>
      </c>
      <c r="P767" t="n">
        <v>0</v>
      </c>
      <c r="Q767" t="n">
        <v>0</v>
      </c>
      <c r="R767" s="2" t="inlineStr"/>
    </row>
    <row r="768" ht="15" customHeight="1">
      <c r="A768" t="inlineStr">
        <is>
          <t>A 14927-2025</t>
        </is>
      </c>
      <c r="B768" s="1" t="n">
        <v>45743</v>
      </c>
      <c r="C768" s="1" t="n">
        <v>45884</v>
      </c>
      <c r="D768" t="inlineStr">
        <is>
          <t>VÄSTERNORRLANDS LÄN</t>
        </is>
      </c>
      <c r="E768" t="inlineStr">
        <is>
          <t>ÅNGE</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14933-2025</t>
        </is>
      </c>
      <c r="B769" s="1" t="n">
        <v>45743.55380787037</v>
      </c>
      <c r="C769" s="1" t="n">
        <v>45884</v>
      </c>
      <c r="D769" t="inlineStr">
        <is>
          <t>VÄSTERNORRLANDS LÄN</t>
        </is>
      </c>
      <c r="E769" t="inlineStr">
        <is>
          <t>ÅNGE</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15167-2025</t>
        </is>
      </c>
      <c r="B770" s="1" t="n">
        <v>45744.49009259259</v>
      </c>
      <c r="C770" s="1" t="n">
        <v>45884</v>
      </c>
      <c r="D770" t="inlineStr">
        <is>
          <t>VÄSTERNORRLANDS LÄN</t>
        </is>
      </c>
      <c r="E770" t="inlineStr">
        <is>
          <t>ÅNGE</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20231-2022</t>
        </is>
      </c>
      <c r="B771" s="1" t="n">
        <v>44698</v>
      </c>
      <c r="C771" s="1" t="n">
        <v>45884</v>
      </c>
      <c r="D771" t="inlineStr">
        <is>
          <t>VÄSTERNORRLANDS LÄN</t>
        </is>
      </c>
      <c r="E771" t="inlineStr">
        <is>
          <t>ÅNGE</t>
        </is>
      </c>
      <c r="G771" t="n">
        <v>4.2</v>
      </c>
      <c r="H771" t="n">
        <v>0</v>
      </c>
      <c r="I771" t="n">
        <v>0</v>
      </c>
      <c r="J771" t="n">
        <v>0</v>
      </c>
      <c r="K771" t="n">
        <v>0</v>
      </c>
      <c r="L771" t="n">
        <v>0</v>
      </c>
      <c r="M771" t="n">
        <v>0</v>
      </c>
      <c r="N771" t="n">
        <v>0</v>
      </c>
      <c r="O771" t="n">
        <v>0</v>
      </c>
      <c r="P771" t="n">
        <v>0</v>
      </c>
      <c r="Q771" t="n">
        <v>0</v>
      </c>
      <c r="R771" s="2" t="inlineStr"/>
    </row>
    <row r="772" ht="15" customHeight="1">
      <c r="A772" t="inlineStr">
        <is>
          <t>A 64950-2023</t>
        </is>
      </c>
      <c r="B772" s="1" t="n">
        <v>45282</v>
      </c>
      <c r="C772" s="1" t="n">
        <v>45884</v>
      </c>
      <c r="D772" t="inlineStr">
        <is>
          <t>VÄSTERNORRLANDS LÄN</t>
        </is>
      </c>
      <c r="E772" t="inlineStr">
        <is>
          <t>ÅNGE</t>
        </is>
      </c>
      <c r="F772" t="inlineStr">
        <is>
          <t>SCA</t>
        </is>
      </c>
      <c r="G772" t="n">
        <v>5.2</v>
      </c>
      <c r="H772" t="n">
        <v>0</v>
      </c>
      <c r="I772" t="n">
        <v>0</v>
      </c>
      <c r="J772" t="n">
        <v>0</v>
      </c>
      <c r="K772" t="n">
        <v>0</v>
      </c>
      <c r="L772" t="n">
        <v>0</v>
      </c>
      <c r="M772" t="n">
        <v>0</v>
      </c>
      <c r="N772" t="n">
        <v>0</v>
      </c>
      <c r="O772" t="n">
        <v>0</v>
      </c>
      <c r="P772" t="n">
        <v>0</v>
      </c>
      <c r="Q772" t="n">
        <v>0</v>
      </c>
      <c r="R772" s="2" t="inlineStr"/>
    </row>
    <row r="773" ht="15" customHeight="1">
      <c r="A773" t="inlineStr">
        <is>
          <t>A 60363-2024</t>
        </is>
      </c>
      <c r="B773" s="1" t="n">
        <v>45643</v>
      </c>
      <c r="C773" s="1" t="n">
        <v>45884</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15369-2024</t>
        </is>
      </c>
      <c r="B774" s="1" t="n">
        <v>45400.92290509259</v>
      </c>
      <c r="C774" s="1" t="n">
        <v>45884</v>
      </c>
      <c r="D774" t="inlineStr">
        <is>
          <t>VÄSTERNORRLANDS LÄN</t>
        </is>
      </c>
      <c r="E774" t="inlineStr">
        <is>
          <t>ÅNGE</t>
        </is>
      </c>
      <c r="G774" t="n">
        <v>0.4</v>
      </c>
      <c r="H774" t="n">
        <v>0</v>
      </c>
      <c r="I774" t="n">
        <v>0</v>
      </c>
      <c r="J774" t="n">
        <v>0</v>
      </c>
      <c r="K774" t="n">
        <v>0</v>
      </c>
      <c r="L774" t="n">
        <v>0</v>
      </c>
      <c r="M774" t="n">
        <v>0</v>
      </c>
      <c r="N774" t="n">
        <v>0</v>
      </c>
      <c r="O774" t="n">
        <v>0</v>
      </c>
      <c r="P774" t="n">
        <v>0</v>
      </c>
      <c r="Q774" t="n">
        <v>0</v>
      </c>
      <c r="R774" s="2" t="inlineStr"/>
    </row>
    <row r="775" ht="15" customHeight="1">
      <c r="A775" t="inlineStr">
        <is>
          <t>A 24063-2023</t>
        </is>
      </c>
      <c r="B775" s="1" t="n">
        <v>45078.94140046297</v>
      </c>
      <c r="C775" s="1" t="n">
        <v>45884</v>
      </c>
      <c r="D775" t="inlineStr">
        <is>
          <t>VÄSTERNORRLANDS LÄN</t>
        </is>
      </c>
      <c r="E775" t="inlineStr">
        <is>
          <t>ÅNGE</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26010-2024</t>
        </is>
      </c>
      <c r="B776" s="1" t="n">
        <v>45467.95819444444</v>
      </c>
      <c r="C776" s="1" t="n">
        <v>45884</v>
      </c>
      <c r="D776" t="inlineStr">
        <is>
          <t>VÄSTERNORRLANDS LÄN</t>
        </is>
      </c>
      <c r="E776" t="inlineStr">
        <is>
          <t>ÅNGE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52785-2024</t>
        </is>
      </c>
      <c r="B777" s="1" t="n">
        <v>45610.55273148148</v>
      </c>
      <c r="C777" s="1" t="n">
        <v>45884</v>
      </c>
      <c r="D777" t="inlineStr">
        <is>
          <t>VÄSTERNORRLANDS LÄN</t>
        </is>
      </c>
      <c r="E777" t="inlineStr">
        <is>
          <t>ÅNGE</t>
        </is>
      </c>
      <c r="F777" t="inlineStr">
        <is>
          <t>SCA</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52786-2024</t>
        </is>
      </c>
      <c r="B778" s="1" t="n">
        <v>45610.55283564814</v>
      </c>
      <c r="C778" s="1" t="n">
        <v>45884</v>
      </c>
      <c r="D778" t="inlineStr">
        <is>
          <t>VÄSTERNORRLANDS LÄN</t>
        </is>
      </c>
      <c r="E778" t="inlineStr">
        <is>
          <t>ÅNGE</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46254-2023</t>
        </is>
      </c>
      <c r="B779" s="1" t="n">
        <v>45196</v>
      </c>
      <c r="C779" s="1" t="n">
        <v>45884</v>
      </c>
      <c r="D779" t="inlineStr">
        <is>
          <t>VÄSTERNORRLANDS LÄN</t>
        </is>
      </c>
      <c r="E779" t="inlineStr">
        <is>
          <t>ÅNGE</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46262-2023</t>
        </is>
      </c>
      <c r="B780" s="1" t="n">
        <v>45196.93855324074</v>
      </c>
      <c r="C780" s="1" t="n">
        <v>45884</v>
      </c>
      <c r="D780" t="inlineStr">
        <is>
          <t>VÄSTERNORRLANDS LÄN</t>
        </is>
      </c>
      <c r="E780" t="inlineStr">
        <is>
          <t>ÅNGE</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49711-2024</t>
        </is>
      </c>
      <c r="B781" s="1" t="n">
        <v>45596.69891203703</v>
      </c>
      <c r="C781" s="1" t="n">
        <v>45884</v>
      </c>
      <c r="D781" t="inlineStr">
        <is>
          <t>VÄSTERNORRLANDS LÄN</t>
        </is>
      </c>
      <c r="E781" t="inlineStr">
        <is>
          <t>ÅNGE</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48725-2024</t>
        </is>
      </c>
      <c r="B782" s="1" t="n">
        <v>45593.55793981482</v>
      </c>
      <c r="C782" s="1" t="n">
        <v>45884</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3323-2023</t>
        </is>
      </c>
      <c r="B783" s="1" t="n">
        <v>44945</v>
      </c>
      <c r="C783" s="1" t="n">
        <v>45884</v>
      </c>
      <c r="D783" t="inlineStr">
        <is>
          <t>VÄSTERNORRLANDS LÄN</t>
        </is>
      </c>
      <c r="E783" t="inlineStr">
        <is>
          <t>ÅNGE</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1711-2025</t>
        </is>
      </c>
      <c r="B784" s="1" t="n">
        <v>45671.31184027778</v>
      </c>
      <c r="C784" s="1" t="n">
        <v>45884</v>
      </c>
      <c r="D784" t="inlineStr">
        <is>
          <t>VÄSTERNORRLANDS LÄN</t>
        </is>
      </c>
      <c r="E784" t="inlineStr">
        <is>
          <t>ÅNGE</t>
        </is>
      </c>
      <c r="G784" t="n">
        <v>2.8</v>
      </c>
      <c r="H784" t="n">
        <v>0</v>
      </c>
      <c r="I784" t="n">
        <v>0</v>
      </c>
      <c r="J784" t="n">
        <v>0</v>
      </c>
      <c r="K784" t="n">
        <v>0</v>
      </c>
      <c r="L784" t="n">
        <v>0</v>
      </c>
      <c r="M784" t="n">
        <v>0</v>
      </c>
      <c r="N784" t="n">
        <v>0</v>
      </c>
      <c r="O784" t="n">
        <v>0</v>
      </c>
      <c r="P784" t="n">
        <v>0</v>
      </c>
      <c r="Q784" t="n">
        <v>0</v>
      </c>
      <c r="R784" s="2" t="inlineStr"/>
    </row>
    <row r="785" ht="15" customHeight="1">
      <c r="A785" t="inlineStr">
        <is>
          <t>A 1714-2025</t>
        </is>
      </c>
      <c r="B785" s="1" t="n">
        <v>45671.32474537037</v>
      </c>
      <c r="C785" s="1" t="n">
        <v>45884</v>
      </c>
      <c r="D785" t="inlineStr">
        <is>
          <t>VÄSTERNORRLANDS LÄN</t>
        </is>
      </c>
      <c r="E785" t="inlineStr">
        <is>
          <t>ÅNGE</t>
        </is>
      </c>
      <c r="G785" t="n">
        <v>2</v>
      </c>
      <c r="H785" t="n">
        <v>0</v>
      </c>
      <c r="I785" t="n">
        <v>0</v>
      </c>
      <c r="J785" t="n">
        <v>0</v>
      </c>
      <c r="K785" t="n">
        <v>0</v>
      </c>
      <c r="L785" t="n">
        <v>0</v>
      </c>
      <c r="M785" t="n">
        <v>0</v>
      </c>
      <c r="N785" t="n">
        <v>0</v>
      </c>
      <c r="O785" t="n">
        <v>0</v>
      </c>
      <c r="P785" t="n">
        <v>0</v>
      </c>
      <c r="Q785" t="n">
        <v>0</v>
      </c>
      <c r="R785" s="2" t="inlineStr"/>
    </row>
    <row r="786" ht="15" customHeight="1">
      <c r="A786" t="inlineStr">
        <is>
          <t>A 52637-2020</t>
        </is>
      </c>
      <c r="B786" s="1" t="n">
        <v>44118</v>
      </c>
      <c r="C786" s="1" t="n">
        <v>45884</v>
      </c>
      <c r="D786" t="inlineStr">
        <is>
          <t>VÄSTERNORRLANDS LÄN</t>
        </is>
      </c>
      <c r="E786" t="inlineStr">
        <is>
          <t>ÅNGE</t>
        </is>
      </c>
      <c r="G786" t="n">
        <v>2.6</v>
      </c>
      <c r="H786" t="n">
        <v>0</v>
      </c>
      <c r="I786" t="n">
        <v>0</v>
      </c>
      <c r="J786" t="n">
        <v>0</v>
      </c>
      <c r="K786" t="n">
        <v>0</v>
      </c>
      <c r="L786" t="n">
        <v>0</v>
      </c>
      <c r="M786" t="n">
        <v>0</v>
      </c>
      <c r="N786" t="n">
        <v>0</v>
      </c>
      <c r="O786" t="n">
        <v>0</v>
      </c>
      <c r="P786" t="n">
        <v>0</v>
      </c>
      <c r="Q786" t="n">
        <v>0</v>
      </c>
      <c r="R786" s="2" t="inlineStr"/>
    </row>
    <row r="787" ht="15" customHeight="1">
      <c r="A787" t="inlineStr">
        <is>
          <t>A 31866-2024</t>
        </is>
      </c>
      <c r="B787" s="1" t="n">
        <v>45509</v>
      </c>
      <c r="C787" s="1" t="n">
        <v>45884</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31867-2024</t>
        </is>
      </c>
      <c r="B788" s="1" t="n">
        <v>45509</v>
      </c>
      <c r="C788" s="1" t="n">
        <v>45884</v>
      </c>
      <c r="D788" t="inlineStr">
        <is>
          <t>VÄSTERNORRLANDS LÄN</t>
        </is>
      </c>
      <c r="E788" t="inlineStr">
        <is>
          <t>ÅNGE</t>
        </is>
      </c>
      <c r="G788" t="n">
        <v>7.8</v>
      </c>
      <c r="H788" t="n">
        <v>0</v>
      </c>
      <c r="I788" t="n">
        <v>0</v>
      </c>
      <c r="J788" t="n">
        <v>0</v>
      </c>
      <c r="K788" t="n">
        <v>0</v>
      </c>
      <c r="L788" t="n">
        <v>0</v>
      </c>
      <c r="M788" t="n">
        <v>0</v>
      </c>
      <c r="N788" t="n">
        <v>0</v>
      </c>
      <c r="O788" t="n">
        <v>0</v>
      </c>
      <c r="P788" t="n">
        <v>0</v>
      </c>
      <c r="Q788" t="n">
        <v>0</v>
      </c>
      <c r="R788" s="2" t="inlineStr"/>
    </row>
    <row r="789" ht="15" customHeight="1">
      <c r="A789" t="inlineStr">
        <is>
          <t>A 33428-2023</t>
        </is>
      </c>
      <c r="B789" s="1" t="n">
        <v>45128.94976851852</v>
      </c>
      <c r="C789" s="1" t="n">
        <v>45884</v>
      </c>
      <c r="D789" t="inlineStr">
        <is>
          <t>VÄSTERNORRLANDS LÄN</t>
        </is>
      </c>
      <c r="E789" t="inlineStr">
        <is>
          <t>ÅNGE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10557-2023</t>
        </is>
      </c>
      <c r="B790" s="1" t="n">
        <v>44987</v>
      </c>
      <c r="C790" s="1" t="n">
        <v>45884</v>
      </c>
      <c r="D790" t="inlineStr">
        <is>
          <t>VÄSTERNORRLANDS LÄN</t>
        </is>
      </c>
      <c r="E790" t="inlineStr">
        <is>
          <t>ÅNGE</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19926-2025</t>
        </is>
      </c>
      <c r="B791" s="1" t="n">
        <v>45771.6357175926</v>
      </c>
      <c r="C791" s="1" t="n">
        <v>45884</v>
      </c>
      <c r="D791" t="inlineStr">
        <is>
          <t>VÄSTERNORRLANDS LÄN</t>
        </is>
      </c>
      <c r="E791" t="inlineStr">
        <is>
          <t>ÅNGE</t>
        </is>
      </c>
      <c r="G791" t="n">
        <v>1.8</v>
      </c>
      <c r="H791" t="n">
        <v>0</v>
      </c>
      <c r="I791" t="n">
        <v>0</v>
      </c>
      <c r="J791" t="n">
        <v>0</v>
      </c>
      <c r="K791" t="n">
        <v>0</v>
      </c>
      <c r="L791" t="n">
        <v>0</v>
      </c>
      <c r="M791" t="n">
        <v>0</v>
      </c>
      <c r="N791" t="n">
        <v>0</v>
      </c>
      <c r="O791" t="n">
        <v>0</v>
      </c>
      <c r="P791" t="n">
        <v>0</v>
      </c>
      <c r="Q791" t="n">
        <v>0</v>
      </c>
      <c r="R791" s="2" t="inlineStr"/>
    </row>
    <row r="792" ht="15" customHeight="1">
      <c r="A792" t="inlineStr">
        <is>
          <t>A 39619-2024</t>
        </is>
      </c>
      <c r="B792" s="1" t="n">
        <v>45552</v>
      </c>
      <c r="C792" s="1" t="n">
        <v>45884</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37051-2021</t>
        </is>
      </c>
      <c r="B793" s="1" t="n">
        <v>44393</v>
      </c>
      <c r="C793" s="1" t="n">
        <v>45884</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6610-2025</t>
        </is>
      </c>
      <c r="B794" s="1" t="n">
        <v>45700</v>
      </c>
      <c r="C794" s="1" t="n">
        <v>45884</v>
      </c>
      <c r="D794" t="inlineStr">
        <is>
          <t>VÄSTERNORRLANDS LÄN</t>
        </is>
      </c>
      <c r="E794" t="inlineStr">
        <is>
          <t>ÅNGE</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5613-2024</t>
        </is>
      </c>
      <c r="B795" s="1" t="n">
        <v>45334</v>
      </c>
      <c r="C795" s="1" t="n">
        <v>45884</v>
      </c>
      <c r="D795" t="inlineStr">
        <is>
          <t>VÄSTERNORRLANDS LÄN</t>
        </is>
      </c>
      <c r="E795" t="inlineStr">
        <is>
          <t>ÅNGE</t>
        </is>
      </c>
      <c r="G795" t="n">
        <v>0.4</v>
      </c>
      <c r="H795" t="n">
        <v>0</v>
      </c>
      <c r="I795" t="n">
        <v>0</v>
      </c>
      <c r="J795" t="n">
        <v>0</v>
      </c>
      <c r="K795" t="n">
        <v>0</v>
      </c>
      <c r="L795" t="n">
        <v>0</v>
      </c>
      <c r="M795" t="n">
        <v>0</v>
      </c>
      <c r="N795" t="n">
        <v>0</v>
      </c>
      <c r="O795" t="n">
        <v>0</v>
      </c>
      <c r="P795" t="n">
        <v>0</v>
      </c>
      <c r="Q795" t="n">
        <v>0</v>
      </c>
      <c r="R795" s="2" t="inlineStr"/>
    </row>
    <row r="796" ht="15" customHeight="1">
      <c r="A796" t="inlineStr">
        <is>
          <t>A 61928-2021</t>
        </is>
      </c>
      <c r="B796" s="1" t="n">
        <v>44502.38475694445</v>
      </c>
      <c r="C796" s="1" t="n">
        <v>45884</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5367-2022</t>
        </is>
      </c>
      <c r="B797" s="1" t="n">
        <v>44594.92111111111</v>
      </c>
      <c r="C797" s="1" t="n">
        <v>45884</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54429-2024</t>
        </is>
      </c>
      <c r="B798" s="1" t="n">
        <v>45617.49087962963</v>
      </c>
      <c r="C798" s="1" t="n">
        <v>45884</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24293-2023</t>
        </is>
      </c>
      <c r="B799" s="1" t="n">
        <v>45079.92756944444</v>
      </c>
      <c r="C799" s="1" t="n">
        <v>45884</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361-2025</t>
        </is>
      </c>
      <c r="B800" s="1" t="n">
        <v>45660</v>
      </c>
      <c r="C800" s="1" t="n">
        <v>45884</v>
      </c>
      <c r="D800" t="inlineStr">
        <is>
          <t>VÄSTERNORRLANDS LÄN</t>
        </is>
      </c>
      <c r="E800" t="inlineStr">
        <is>
          <t>ÅNGE</t>
        </is>
      </c>
      <c r="G800" t="n">
        <v>4.2</v>
      </c>
      <c r="H800" t="n">
        <v>0</v>
      </c>
      <c r="I800" t="n">
        <v>0</v>
      </c>
      <c r="J800" t="n">
        <v>0</v>
      </c>
      <c r="K800" t="n">
        <v>0</v>
      </c>
      <c r="L800" t="n">
        <v>0</v>
      </c>
      <c r="M800" t="n">
        <v>0</v>
      </c>
      <c r="N800" t="n">
        <v>0</v>
      </c>
      <c r="O800" t="n">
        <v>0</v>
      </c>
      <c r="P800" t="n">
        <v>0</v>
      </c>
      <c r="Q800" t="n">
        <v>0</v>
      </c>
      <c r="R800" s="2" t="inlineStr"/>
    </row>
    <row r="801" ht="15" customHeight="1">
      <c r="A801" t="inlineStr">
        <is>
          <t>A 39985-2023</t>
        </is>
      </c>
      <c r="B801" s="1" t="n">
        <v>45168</v>
      </c>
      <c r="C801" s="1" t="n">
        <v>45884</v>
      </c>
      <c r="D801" t="inlineStr">
        <is>
          <t>VÄSTERNORRLANDS LÄN</t>
        </is>
      </c>
      <c r="E801" t="inlineStr">
        <is>
          <t>ÅNGE</t>
        </is>
      </c>
      <c r="G801" t="n">
        <v>0.1</v>
      </c>
      <c r="H801" t="n">
        <v>0</v>
      </c>
      <c r="I801" t="n">
        <v>0</v>
      </c>
      <c r="J801" t="n">
        <v>0</v>
      </c>
      <c r="K801" t="n">
        <v>0</v>
      </c>
      <c r="L801" t="n">
        <v>0</v>
      </c>
      <c r="M801" t="n">
        <v>0</v>
      </c>
      <c r="N801" t="n">
        <v>0</v>
      </c>
      <c r="O801" t="n">
        <v>0</v>
      </c>
      <c r="P801" t="n">
        <v>0</v>
      </c>
      <c r="Q801" t="n">
        <v>0</v>
      </c>
      <c r="R801" s="2" t="inlineStr"/>
    </row>
    <row r="802" ht="15" customHeight="1">
      <c r="A802" t="inlineStr">
        <is>
          <t>A 49945-2023</t>
        </is>
      </c>
      <c r="B802" s="1" t="n">
        <v>45215.3625462963</v>
      </c>
      <c r="C802" s="1" t="n">
        <v>45884</v>
      </c>
      <c r="D802" t="inlineStr">
        <is>
          <t>VÄSTERNORRLANDS LÄN</t>
        </is>
      </c>
      <c r="E802" t="inlineStr">
        <is>
          <t>ÅNGE</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1420-2023</t>
        </is>
      </c>
      <c r="B803" s="1" t="n">
        <v>44936.92762731481</v>
      </c>
      <c r="C803" s="1" t="n">
        <v>45884</v>
      </c>
      <c r="D803" t="inlineStr">
        <is>
          <t>VÄSTERNORRLANDS LÄN</t>
        </is>
      </c>
      <c r="E803" t="inlineStr">
        <is>
          <t>ÅNGE</t>
        </is>
      </c>
      <c r="G803" t="n">
        <v>3.7</v>
      </c>
      <c r="H803" t="n">
        <v>0</v>
      </c>
      <c r="I803" t="n">
        <v>0</v>
      </c>
      <c r="J803" t="n">
        <v>0</v>
      </c>
      <c r="K803" t="n">
        <v>0</v>
      </c>
      <c r="L803" t="n">
        <v>0</v>
      </c>
      <c r="M803" t="n">
        <v>0</v>
      </c>
      <c r="N803" t="n">
        <v>0</v>
      </c>
      <c r="O803" t="n">
        <v>0</v>
      </c>
      <c r="P803" t="n">
        <v>0</v>
      </c>
      <c r="Q803" t="n">
        <v>0</v>
      </c>
      <c r="R803" s="2" t="inlineStr"/>
    </row>
    <row r="804" ht="15" customHeight="1">
      <c r="A804" t="inlineStr">
        <is>
          <t>A 34691-2024</t>
        </is>
      </c>
      <c r="B804" s="1" t="n">
        <v>45526.54516203704</v>
      </c>
      <c r="C804" s="1" t="n">
        <v>45884</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58997-2023</t>
        </is>
      </c>
      <c r="B805" s="1" t="n">
        <v>45252.6352662037</v>
      </c>
      <c r="C805" s="1" t="n">
        <v>45884</v>
      </c>
      <c r="D805" t="inlineStr">
        <is>
          <t>VÄSTERNORRLANDS LÄN</t>
        </is>
      </c>
      <c r="E805" t="inlineStr">
        <is>
          <t>ÅNGE</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44639-2023</t>
        </is>
      </c>
      <c r="B806" s="1" t="n">
        <v>45184</v>
      </c>
      <c r="C806" s="1" t="n">
        <v>45884</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15791-2025</t>
        </is>
      </c>
      <c r="B807" s="1" t="n">
        <v>45748.631875</v>
      </c>
      <c r="C807" s="1" t="n">
        <v>45884</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54585-2024</t>
        </is>
      </c>
      <c r="B808" s="1" t="n">
        <v>45617.65762731482</v>
      </c>
      <c r="C808" s="1" t="n">
        <v>45884</v>
      </c>
      <c r="D808" t="inlineStr">
        <is>
          <t>VÄSTERNORRLANDS LÄN</t>
        </is>
      </c>
      <c r="E808" t="inlineStr">
        <is>
          <t>ÅNGE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43552-2023</t>
        </is>
      </c>
      <c r="B809" s="1" t="n">
        <v>45181</v>
      </c>
      <c r="C809" s="1" t="n">
        <v>45884</v>
      </c>
      <c r="D809" t="inlineStr">
        <is>
          <t>VÄSTERNORRLANDS LÄN</t>
        </is>
      </c>
      <c r="E809" t="inlineStr">
        <is>
          <t>ÅNGE</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1735-2025</t>
        </is>
      </c>
      <c r="B810" s="1" t="n">
        <v>45671.38594907407</v>
      </c>
      <c r="C810" s="1" t="n">
        <v>45884</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17452-2025</t>
        </is>
      </c>
      <c r="B811" s="1" t="n">
        <v>45757.44842592593</v>
      </c>
      <c r="C811" s="1" t="n">
        <v>45884</v>
      </c>
      <c r="D811" t="inlineStr">
        <is>
          <t>VÄSTERNORRLANDS LÄN</t>
        </is>
      </c>
      <c r="E811" t="inlineStr">
        <is>
          <t>ÅNGE</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41366-2020</t>
        </is>
      </c>
      <c r="B812" s="1" t="n">
        <v>44071</v>
      </c>
      <c r="C812" s="1" t="n">
        <v>45884</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23018-2021</t>
        </is>
      </c>
      <c r="B813" s="1" t="n">
        <v>44328</v>
      </c>
      <c r="C813" s="1" t="n">
        <v>45884</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3966-2025</t>
        </is>
      </c>
      <c r="B814" s="1" t="n">
        <v>45684.51072916666</v>
      </c>
      <c r="C814" s="1" t="n">
        <v>45884</v>
      </c>
      <c r="D814" t="inlineStr">
        <is>
          <t>VÄSTERNORRLANDS LÄN</t>
        </is>
      </c>
      <c r="E814" t="inlineStr">
        <is>
          <t>ÅNGE</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57526-2024</t>
        </is>
      </c>
      <c r="B815" s="1" t="n">
        <v>45630</v>
      </c>
      <c r="C815" s="1" t="n">
        <v>45884</v>
      </c>
      <c r="D815" t="inlineStr">
        <is>
          <t>VÄSTERNORRLANDS LÄN</t>
        </is>
      </c>
      <c r="E815" t="inlineStr">
        <is>
          <t>ÅNGE</t>
        </is>
      </c>
      <c r="G815" t="n">
        <v>3.2</v>
      </c>
      <c r="H815" t="n">
        <v>0</v>
      </c>
      <c r="I815" t="n">
        <v>0</v>
      </c>
      <c r="J815" t="n">
        <v>0</v>
      </c>
      <c r="K815" t="n">
        <v>0</v>
      </c>
      <c r="L815" t="n">
        <v>0</v>
      </c>
      <c r="M815" t="n">
        <v>0</v>
      </c>
      <c r="N815" t="n">
        <v>0</v>
      </c>
      <c r="O815" t="n">
        <v>0</v>
      </c>
      <c r="P815" t="n">
        <v>0</v>
      </c>
      <c r="Q815" t="n">
        <v>0</v>
      </c>
      <c r="R815" s="2" t="inlineStr"/>
    </row>
    <row r="816" ht="15" customHeight="1">
      <c r="A816" t="inlineStr">
        <is>
          <t>A 5999-2025</t>
        </is>
      </c>
      <c r="B816" s="1" t="n">
        <v>45695</v>
      </c>
      <c r="C816" s="1" t="n">
        <v>45884</v>
      </c>
      <c r="D816" t="inlineStr">
        <is>
          <t>VÄSTERNORRLANDS LÄN</t>
        </is>
      </c>
      <c r="E816" t="inlineStr">
        <is>
          <t>ÅNGE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35593-2024</t>
        </is>
      </c>
      <c r="B817" s="1" t="n">
        <v>45531</v>
      </c>
      <c r="C817" s="1" t="n">
        <v>45884</v>
      </c>
      <c r="D817" t="inlineStr">
        <is>
          <t>VÄSTERNORRLANDS LÄN</t>
        </is>
      </c>
      <c r="E817" t="inlineStr">
        <is>
          <t>ÅNGE</t>
        </is>
      </c>
      <c r="G817" t="n">
        <v>17.6</v>
      </c>
      <c r="H817" t="n">
        <v>0</v>
      </c>
      <c r="I817" t="n">
        <v>0</v>
      </c>
      <c r="J817" t="n">
        <v>0</v>
      </c>
      <c r="K817" t="n">
        <v>0</v>
      </c>
      <c r="L817" t="n">
        <v>0</v>
      </c>
      <c r="M817" t="n">
        <v>0</v>
      </c>
      <c r="N817" t="n">
        <v>0</v>
      </c>
      <c r="O817" t="n">
        <v>0</v>
      </c>
      <c r="P817" t="n">
        <v>0</v>
      </c>
      <c r="Q817" t="n">
        <v>0</v>
      </c>
      <c r="R817" s="2" t="inlineStr"/>
    </row>
    <row r="818" ht="15" customHeight="1">
      <c r="A818" t="inlineStr">
        <is>
          <t>A 50231-2024</t>
        </is>
      </c>
      <c r="B818" s="1" t="n">
        <v>45600.55251157407</v>
      </c>
      <c r="C818" s="1" t="n">
        <v>45884</v>
      </c>
      <c r="D818" t="inlineStr">
        <is>
          <t>VÄSTERNORRLANDS LÄN</t>
        </is>
      </c>
      <c r="E818" t="inlineStr">
        <is>
          <t>ÅNGE</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60205-2023</t>
        </is>
      </c>
      <c r="B819" s="1" t="n">
        <v>45257</v>
      </c>
      <c r="C819" s="1" t="n">
        <v>45884</v>
      </c>
      <c r="D819" t="inlineStr">
        <is>
          <t>VÄSTERNORRLANDS LÄN</t>
        </is>
      </c>
      <c r="E819" t="inlineStr">
        <is>
          <t>ÅNGE</t>
        </is>
      </c>
      <c r="G819" t="n">
        <v>2.1</v>
      </c>
      <c r="H819" t="n">
        <v>0</v>
      </c>
      <c r="I819" t="n">
        <v>0</v>
      </c>
      <c r="J819" t="n">
        <v>0</v>
      </c>
      <c r="K819" t="n">
        <v>0</v>
      </c>
      <c r="L819" t="n">
        <v>0</v>
      </c>
      <c r="M819" t="n">
        <v>0</v>
      </c>
      <c r="N819" t="n">
        <v>0</v>
      </c>
      <c r="O819" t="n">
        <v>0</v>
      </c>
      <c r="P819" t="n">
        <v>0</v>
      </c>
      <c r="Q819" t="n">
        <v>0</v>
      </c>
      <c r="R819" s="2" t="inlineStr"/>
    </row>
    <row r="820" ht="15" customHeight="1">
      <c r="A820" t="inlineStr">
        <is>
          <t>A 15287-2025</t>
        </is>
      </c>
      <c r="B820" s="1" t="n">
        <v>45745</v>
      </c>
      <c r="C820" s="1" t="n">
        <v>45884</v>
      </c>
      <c r="D820" t="inlineStr">
        <is>
          <t>VÄSTERNORRLANDS LÄN</t>
        </is>
      </c>
      <c r="E820" t="inlineStr">
        <is>
          <t>ÅNGE</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36786-2024</t>
        </is>
      </c>
      <c r="B821" s="1" t="n">
        <v>45538</v>
      </c>
      <c r="C821" s="1" t="n">
        <v>45884</v>
      </c>
      <c r="D821" t="inlineStr">
        <is>
          <t>VÄSTERNORRLANDS LÄN</t>
        </is>
      </c>
      <c r="E821" t="inlineStr">
        <is>
          <t>ÅNGE</t>
        </is>
      </c>
      <c r="F821" t="inlineStr">
        <is>
          <t>SCA</t>
        </is>
      </c>
      <c r="G821" t="n">
        <v>5.2</v>
      </c>
      <c r="H821" t="n">
        <v>0</v>
      </c>
      <c r="I821" t="n">
        <v>0</v>
      </c>
      <c r="J821" t="n">
        <v>0</v>
      </c>
      <c r="K821" t="n">
        <v>0</v>
      </c>
      <c r="L821" t="n">
        <v>0</v>
      </c>
      <c r="M821" t="n">
        <v>0</v>
      </c>
      <c r="N821" t="n">
        <v>0</v>
      </c>
      <c r="O821" t="n">
        <v>0</v>
      </c>
      <c r="P821" t="n">
        <v>0</v>
      </c>
      <c r="Q821" t="n">
        <v>0</v>
      </c>
      <c r="R821" s="2" t="inlineStr"/>
    </row>
    <row r="822" ht="15" customHeight="1">
      <c r="A822" t="inlineStr">
        <is>
          <t>A 4186-2025</t>
        </is>
      </c>
      <c r="B822" s="1" t="n">
        <v>45685.44827546296</v>
      </c>
      <c r="C822" s="1" t="n">
        <v>45884</v>
      </c>
      <c r="D822" t="inlineStr">
        <is>
          <t>VÄSTERNORRLANDS LÄN</t>
        </is>
      </c>
      <c r="E822" t="inlineStr">
        <is>
          <t>ÅNGE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39991-2023</t>
        </is>
      </c>
      <c r="B823" s="1" t="n">
        <v>45168.6043287037</v>
      </c>
      <c r="C823" s="1" t="n">
        <v>45884</v>
      </c>
      <c r="D823" t="inlineStr">
        <is>
          <t>VÄSTERNORRLANDS LÄN</t>
        </is>
      </c>
      <c r="E823" t="inlineStr">
        <is>
          <t>ÅNGE</t>
        </is>
      </c>
      <c r="G823" t="n">
        <v>10.2</v>
      </c>
      <c r="H823" t="n">
        <v>0</v>
      </c>
      <c r="I823" t="n">
        <v>0</v>
      </c>
      <c r="J823" t="n">
        <v>0</v>
      </c>
      <c r="K823" t="n">
        <v>0</v>
      </c>
      <c r="L823" t="n">
        <v>0</v>
      </c>
      <c r="M823" t="n">
        <v>0</v>
      </c>
      <c r="N823" t="n">
        <v>0</v>
      </c>
      <c r="O823" t="n">
        <v>0</v>
      </c>
      <c r="P823" t="n">
        <v>0</v>
      </c>
      <c r="Q823" t="n">
        <v>0</v>
      </c>
      <c r="R823" s="2" t="inlineStr"/>
    </row>
    <row r="824" ht="15" customHeight="1">
      <c r="A824" t="inlineStr">
        <is>
          <t>A 1775-2023</t>
        </is>
      </c>
      <c r="B824" s="1" t="n">
        <v>44938</v>
      </c>
      <c r="C824" s="1" t="n">
        <v>45884</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31182-2024</t>
        </is>
      </c>
      <c r="B825" s="1" t="n">
        <v>45503</v>
      </c>
      <c r="C825" s="1" t="n">
        <v>45884</v>
      </c>
      <c r="D825" t="inlineStr">
        <is>
          <t>VÄSTERNORRLANDS LÄN</t>
        </is>
      </c>
      <c r="E825" t="inlineStr">
        <is>
          <t>ÅNGE</t>
        </is>
      </c>
      <c r="G825" t="n">
        <v>8.6</v>
      </c>
      <c r="H825" t="n">
        <v>0</v>
      </c>
      <c r="I825" t="n">
        <v>0</v>
      </c>
      <c r="J825" t="n">
        <v>0</v>
      </c>
      <c r="K825" t="n">
        <v>0</v>
      </c>
      <c r="L825" t="n">
        <v>0</v>
      </c>
      <c r="M825" t="n">
        <v>0</v>
      </c>
      <c r="N825" t="n">
        <v>0</v>
      </c>
      <c r="O825" t="n">
        <v>0</v>
      </c>
      <c r="P825" t="n">
        <v>0</v>
      </c>
      <c r="Q825" t="n">
        <v>0</v>
      </c>
      <c r="R825" s="2" t="inlineStr"/>
    </row>
    <row r="826" ht="15" customHeight="1">
      <c r="A826" t="inlineStr">
        <is>
          <t>A 6487-2021</t>
        </is>
      </c>
      <c r="B826" s="1" t="n">
        <v>44235</v>
      </c>
      <c r="C826" s="1" t="n">
        <v>45884</v>
      </c>
      <c r="D826" t="inlineStr">
        <is>
          <t>VÄSTERNORRLANDS LÄN</t>
        </is>
      </c>
      <c r="E826" t="inlineStr">
        <is>
          <t>ÅNGE</t>
        </is>
      </c>
      <c r="G826" t="n">
        <v>2.1</v>
      </c>
      <c r="H826" t="n">
        <v>0</v>
      </c>
      <c r="I826" t="n">
        <v>0</v>
      </c>
      <c r="J826" t="n">
        <v>0</v>
      </c>
      <c r="K826" t="n">
        <v>0</v>
      </c>
      <c r="L826" t="n">
        <v>0</v>
      </c>
      <c r="M826" t="n">
        <v>0</v>
      </c>
      <c r="N826" t="n">
        <v>0</v>
      </c>
      <c r="O826" t="n">
        <v>0</v>
      </c>
      <c r="P826" t="n">
        <v>0</v>
      </c>
      <c r="Q826" t="n">
        <v>0</v>
      </c>
      <c r="R826" s="2" t="inlineStr"/>
    </row>
    <row r="827" ht="15" customHeight="1">
      <c r="A827" t="inlineStr">
        <is>
          <t>A 54908-2021</t>
        </is>
      </c>
      <c r="B827" s="1" t="n">
        <v>44474.39769675926</v>
      </c>
      <c r="C827" s="1" t="n">
        <v>45884</v>
      </c>
      <c r="D827" t="inlineStr">
        <is>
          <t>VÄSTERNORRLANDS LÄN</t>
        </is>
      </c>
      <c r="E827" t="inlineStr">
        <is>
          <t>ÅNGE</t>
        </is>
      </c>
      <c r="G827" t="n">
        <v>7.8</v>
      </c>
      <c r="H827" t="n">
        <v>0</v>
      </c>
      <c r="I827" t="n">
        <v>0</v>
      </c>
      <c r="J827" t="n">
        <v>0</v>
      </c>
      <c r="K827" t="n">
        <v>0</v>
      </c>
      <c r="L827" t="n">
        <v>0</v>
      </c>
      <c r="M827" t="n">
        <v>0</v>
      </c>
      <c r="N827" t="n">
        <v>0</v>
      </c>
      <c r="O827" t="n">
        <v>0</v>
      </c>
      <c r="P827" t="n">
        <v>0</v>
      </c>
      <c r="Q827" t="n">
        <v>0</v>
      </c>
      <c r="R827" s="2" t="inlineStr"/>
    </row>
    <row r="828" ht="15" customHeight="1">
      <c r="A828" t="inlineStr">
        <is>
          <t>A 56956-2022</t>
        </is>
      </c>
      <c r="B828" s="1" t="n">
        <v>44894</v>
      </c>
      <c r="C828" s="1" t="n">
        <v>45884</v>
      </c>
      <c r="D828" t="inlineStr">
        <is>
          <t>VÄSTERNORRLANDS LÄN</t>
        </is>
      </c>
      <c r="E828" t="inlineStr">
        <is>
          <t>ÅNGE</t>
        </is>
      </c>
      <c r="G828" t="n">
        <v>1.1</v>
      </c>
      <c r="H828" t="n">
        <v>0</v>
      </c>
      <c r="I828" t="n">
        <v>0</v>
      </c>
      <c r="J828" t="n">
        <v>0</v>
      </c>
      <c r="K828" t="n">
        <v>0</v>
      </c>
      <c r="L828" t="n">
        <v>0</v>
      </c>
      <c r="M828" t="n">
        <v>0</v>
      </c>
      <c r="N828" t="n">
        <v>0</v>
      </c>
      <c r="O828" t="n">
        <v>0</v>
      </c>
      <c r="P828" t="n">
        <v>0</v>
      </c>
      <c r="Q828" t="n">
        <v>0</v>
      </c>
      <c r="R828" s="2" t="inlineStr"/>
    </row>
    <row r="829" ht="15" customHeight="1">
      <c r="A829" t="inlineStr">
        <is>
          <t>A 45933-2023</t>
        </is>
      </c>
      <c r="B829" s="1" t="n">
        <v>45195</v>
      </c>
      <c r="C829" s="1" t="n">
        <v>45884</v>
      </c>
      <c r="D829" t="inlineStr">
        <is>
          <t>VÄSTERNORRLANDS LÄN</t>
        </is>
      </c>
      <c r="E829" t="inlineStr">
        <is>
          <t>ÅNGE</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46015-2024</t>
        </is>
      </c>
      <c r="B830" s="1" t="n">
        <v>45580.67760416667</v>
      </c>
      <c r="C830" s="1" t="n">
        <v>45884</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44636-2024</t>
        </is>
      </c>
      <c r="B831" s="1" t="n">
        <v>45574.51491898148</v>
      </c>
      <c r="C831" s="1" t="n">
        <v>45884</v>
      </c>
      <c r="D831" t="inlineStr">
        <is>
          <t>VÄSTERNORRLANDS LÄN</t>
        </is>
      </c>
      <c r="E831" t="inlineStr">
        <is>
          <t>ÅNGE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44979-2023</t>
        </is>
      </c>
      <c r="B832" s="1" t="n">
        <v>45190.95752314815</v>
      </c>
      <c r="C832" s="1" t="n">
        <v>45884</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27321-2024</t>
        </is>
      </c>
      <c r="B833" s="1" t="n">
        <v>45471</v>
      </c>
      <c r="C833" s="1" t="n">
        <v>45884</v>
      </c>
      <c r="D833" t="inlineStr">
        <is>
          <t>VÄSTERNORRLANDS LÄN</t>
        </is>
      </c>
      <c r="E833" t="inlineStr">
        <is>
          <t>ÅNGE</t>
        </is>
      </c>
      <c r="F833" t="inlineStr">
        <is>
          <t>SCA</t>
        </is>
      </c>
      <c r="G833" t="n">
        <v>14.1</v>
      </c>
      <c r="H833" t="n">
        <v>0</v>
      </c>
      <c r="I833" t="n">
        <v>0</v>
      </c>
      <c r="J833" t="n">
        <v>0</v>
      </c>
      <c r="K833" t="n">
        <v>0</v>
      </c>
      <c r="L833" t="n">
        <v>0</v>
      </c>
      <c r="M833" t="n">
        <v>0</v>
      </c>
      <c r="N833" t="n">
        <v>0</v>
      </c>
      <c r="O833" t="n">
        <v>0</v>
      </c>
      <c r="P833" t="n">
        <v>0</v>
      </c>
      <c r="Q833" t="n">
        <v>0</v>
      </c>
      <c r="R833" s="2" t="inlineStr"/>
    </row>
    <row r="834" ht="15" customHeight="1">
      <c r="A834" t="inlineStr">
        <is>
          <t>A 1582-2025</t>
        </is>
      </c>
      <c r="B834" s="1" t="n">
        <v>45670</v>
      </c>
      <c r="C834" s="1" t="n">
        <v>45884</v>
      </c>
      <c r="D834" t="inlineStr">
        <is>
          <t>VÄSTERNORRLANDS LÄN</t>
        </is>
      </c>
      <c r="E834" t="inlineStr">
        <is>
          <t>ÅNGE</t>
        </is>
      </c>
      <c r="G834" t="n">
        <v>7.3</v>
      </c>
      <c r="H834" t="n">
        <v>0</v>
      </c>
      <c r="I834" t="n">
        <v>0</v>
      </c>
      <c r="J834" t="n">
        <v>0</v>
      </c>
      <c r="K834" t="n">
        <v>0</v>
      </c>
      <c r="L834" t="n">
        <v>0</v>
      </c>
      <c r="M834" t="n">
        <v>0</v>
      </c>
      <c r="N834" t="n">
        <v>0</v>
      </c>
      <c r="O834" t="n">
        <v>0</v>
      </c>
      <c r="P834" t="n">
        <v>0</v>
      </c>
      <c r="Q834" t="n">
        <v>0</v>
      </c>
      <c r="R834" s="2" t="inlineStr"/>
      <c r="U834">
        <f>HYPERLINK("https://klasma.github.io/Logging_2260/knärot/A 1582-2025 karta knärot.png", "A 1582-2025")</f>
        <v/>
      </c>
      <c r="V834">
        <f>HYPERLINK("https://klasma.github.io/Logging_2260/klagomål/A 1582-2025 FSC-klagomål.docx", "A 1582-2025")</f>
        <v/>
      </c>
      <c r="W834">
        <f>HYPERLINK("https://klasma.github.io/Logging_2260/klagomålsmail/A 1582-2025 FSC-klagomål mail.docx", "A 1582-2025")</f>
        <v/>
      </c>
      <c r="X834">
        <f>HYPERLINK("https://klasma.github.io/Logging_2260/tillsyn/A 1582-2025 tillsynsbegäran.docx", "A 1582-2025")</f>
        <v/>
      </c>
      <c r="Y834">
        <f>HYPERLINK("https://klasma.github.io/Logging_2260/tillsynsmail/A 1582-2025 tillsynsbegäran mail.docx", "A 1582-2025")</f>
        <v/>
      </c>
    </row>
    <row r="835" ht="15" customHeight="1">
      <c r="A835" t="inlineStr">
        <is>
          <t>A 25377-2024</t>
        </is>
      </c>
      <c r="B835" s="1" t="n">
        <v>45462.96211805556</v>
      </c>
      <c r="C835" s="1" t="n">
        <v>45884</v>
      </c>
      <c r="D835" t="inlineStr">
        <is>
          <t>VÄSTERNORRLANDS LÄN</t>
        </is>
      </c>
      <c r="E835" t="inlineStr">
        <is>
          <t>ÅNGE</t>
        </is>
      </c>
      <c r="F835" t="inlineStr">
        <is>
          <t>SCA</t>
        </is>
      </c>
      <c r="G835" t="n">
        <v>20.7</v>
      </c>
      <c r="H835" t="n">
        <v>0</v>
      </c>
      <c r="I835" t="n">
        <v>0</v>
      </c>
      <c r="J835" t="n">
        <v>0</v>
      </c>
      <c r="K835" t="n">
        <v>0</v>
      </c>
      <c r="L835" t="n">
        <v>0</v>
      </c>
      <c r="M835" t="n">
        <v>0</v>
      </c>
      <c r="N835" t="n">
        <v>0</v>
      </c>
      <c r="O835" t="n">
        <v>0</v>
      </c>
      <c r="P835" t="n">
        <v>0</v>
      </c>
      <c r="Q835" t="n">
        <v>0</v>
      </c>
      <c r="R835" s="2" t="inlineStr"/>
    </row>
    <row r="836" ht="15" customHeight="1">
      <c r="A836" t="inlineStr">
        <is>
          <t>A 29667-2024</t>
        </is>
      </c>
      <c r="B836" s="1" t="n">
        <v>45484.94041666666</v>
      </c>
      <c r="C836" s="1" t="n">
        <v>45884</v>
      </c>
      <c r="D836" t="inlineStr">
        <is>
          <t>VÄSTERNORRLANDS LÄN</t>
        </is>
      </c>
      <c r="E836" t="inlineStr">
        <is>
          <t>ÅNGE</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8418-2023</t>
        </is>
      </c>
      <c r="B837" s="1" t="n">
        <v>44971</v>
      </c>
      <c r="C837" s="1" t="n">
        <v>45884</v>
      </c>
      <c r="D837" t="inlineStr">
        <is>
          <t>VÄSTERNORRLANDS LÄN</t>
        </is>
      </c>
      <c r="E837" t="inlineStr">
        <is>
          <t>ÅNGE</t>
        </is>
      </c>
      <c r="G837" t="n">
        <v>8.6</v>
      </c>
      <c r="H837" t="n">
        <v>0</v>
      </c>
      <c r="I837" t="n">
        <v>0</v>
      </c>
      <c r="J837" t="n">
        <v>0</v>
      </c>
      <c r="K837" t="n">
        <v>0</v>
      </c>
      <c r="L837" t="n">
        <v>0</v>
      </c>
      <c r="M837" t="n">
        <v>0</v>
      </c>
      <c r="N837" t="n">
        <v>0</v>
      </c>
      <c r="O837" t="n">
        <v>0</v>
      </c>
      <c r="P837" t="n">
        <v>0</v>
      </c>
      <c r="Q837" t="n">
        <v>0</v>
      </c>
      <c r="R837" s="2" t="inlineStr"/>
    </row>
    <row r="838" ht="15" customHeight="1">
      <c r="A838" t="inlineStr">
        <is>
          <t>A 20024-2023</t>
        </is>
      </c>
      <c r="B838" s="1" t="n">
        <v>45051</v>
      </c>
      <c r="C838" s="1" t="n">
        <v>45884</v>
      </c>
      <c r="D838" t="inlineStr">
        <is>
          <t>VÄSTERNORRLANDS LÄN</t>
        </is>
      </c>
      <c r="E838" t="inlineStr">
        <is>
          <t>ÅNGE</t>
        </is>
      </c>
      <c r="G838" t="n">
        <v>0.8</v>
      </c>
      <c r="H838" t="n">
        <v>0</v>
      </c>
      <c r="I838" t="n">
        <v>0</v>
      </c>
      <c r="J838" t="n">
        <v>0</v>
      </c>
      <c r="K838" t="n">
        <v>0</v>
      </c>
      <c r="L838" t="n">
        <v>0</v>
      </c>
      <c r="M838" t="n">
        <v>0</v>
      </c>
      <c r="N838" t="n">
        <v>0</v>
      </c>
      <c r="O838" t="n">
        <v>0</v>
      </c>
      <c r="P838" t="n">
        <v>0</v>
      </c>
      <c r="Q838" t="n">
        <v>0</v>
      </c>
      <c r="R838" s="2" t="inlineStr"/>
    </row>
    <row r="839" ht="15" customHeight="1">
      <c r="A839" t="inlineStr">
        <is>
          <t>A 39975-2023</t>
        </is>
      </c>
      <c r="B839" s="1" t="n">
        <v>45168.58844907407</v>
      </c>
      <c r="C839" s="1" t="n">
        <v>45884</v>
      </c>
      <c r="D839" t="inlineStr">
        <is>
          <t>VÄSTERNORRLANDS LÄN</t>
        </is>
      </c>
      <c r="E839" t="inlineStr">
        <is>
          <t>ÅNGE</t>
        </is>
      </c>
      <c r="G839" t="n">
        <v>2.2</v>
      </c>
      <c r="H839" t="n">
        <v>0</v>
      </c>
      <c r="I839" t="n">
        <v>0</v>
      </c>
      <c r="J839" t="n">
        <v>0</v>
      </c>
      <c r="K839" t="n">
        <v>0</v>
      </c>
      <c r="L839" t="n">
        <v>0</v>
      </c>
      <c r="M839" t="n">
        <v>0</v>
      </c>
      <c r="N839" t="n">
        <v>0</v>
      </c>
      <c r="O839" t="n">
        <v>0</v>
      </c>
      <c r="P839" t="n">
        <v>0</v>
      </c>
      <c r="Q839" t="n">
        <v>0</v>
      </c>
      <c r="R839" s="2" t="inlineStr"/>
    </row>
    <row r="840" ht="15" customHeight="1">
      <c r="A840" t="inlineStr">
        <is>
          <t>A 54982-2023</t>
        </is>
      </c>
      <c r="B840" s="1" t="n">
        <v>45236</v>
      </c>
      <c r="C840" s="1" t="n">
        <v>45884</v>
      </c>
      <c r="D840" t="inlineStr">
        <is>
          <t>VÄSTERNORRLANDS LÄN</t>
        </is>
      </c>
      <c r="E840" t="inlineStr">
        <is>
          <t>ÅNGE</t>
        </is>
      </c>
      <c r="F840" t="inlineStr">
        <is>
          <t>SCA</t>
        </is>
      </c>
      <c r="G840" t="n">
        <v>26.2</v>
      </c>
      <c r="H840" t="n">
        <v>0</v>
      </c>
      <c r="I840" t="n">
        <v>0</v>
      </c>
      <c r="J840" t="n">
        <v>0</v>
      </c>
      <c r="K840" t="n">
        <v>0</v>
      </c>
      <c r="L840" t="n">
        <v>0</v>
      </c>
      <c r="M840" t="n">
        <v>0</v>
      </c>
      <c r="N840" t="n">
        <v>0</v>
      </c>
      <c r="O840" t="n">
        <v>0</v>
      </c>
      <c r="P840" t="n">
        <v>0</v>
      </c>
      <c r="Q840" t="n">
        <v>0</v>
      </c>
      <c r="R840" s="2" t="inlineStr"/>
    </row>
    <row r="841" ht="15" customHeight="1">
      <c r="A841" t="inlineStr">
        <is>
          <t>A 53970-2021</t>
        </is>
      </c>
      <c r="B841" s="1" t="n">
        <v>44469</v>
      </c>
      <c r="C841" s="1" t="n">
        <v>45884</v>
      </c>
      <c r="D841" t="inlineStr">
        <is>
          <t>VÄSTERNORRLANDS LÄN</t>
        </is>
      </c>
      <c r="E841" t="inlineStr">
        <is>
          <t>ÅNGE</t>
        </is>
      </c>
      <c r="G841" t="n">
        <v>3.4</v>
      </c>
      <c r="H841" t="n">
        <v>0</v>
      </c>
      <c r="I841" t="n">
        <v>0</v>
      </c>
      <c r="J841" t="n">
        <v>0</v>
      </c>
      <c r="K841" t="n">
        <v>0</v>
      </c>
      <c r="L841" t="n">
        <v>0</v>
      </c>
      <c r="M841" t="n">
        <v>0</v>
      </c>
      <c r="N841" t="n">
        <v>0</v>
      </c>
      <c r="O841" t="n">
        <v>0</v>
      </c>
      <c r="P841" t="n">
        <v>0</v>
      </c>
      <c r="Q841" t="n">
        <v>0</v>
      </c>
      <c r="R841" s="2" t="inlineStr"/>
    </row>
    <row r="842" ht="15" customHeight="1">
      <c r="A842" t="inlineStr">
        <is>
          <t>A 40208-2023</t>
        </is>
      </c>
      <c r="B842" s="1" t="n">
        <v>45168</v>
      </c>
      <c r="C842" s="1" t="n">
        <v>45884</v>
      </c>
      <c r="D842" t="inlineStr">
        <is>
          <t>VÄSTERNORRLANDS LÄN</t>
        </is>
      </c>
      <c r="E842" t="inlineStr">
        <is>
          <t>ÅNGE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45939-2023</t>
        </is>
      </c>
      <c r="B843" s="1" t="n">
        <v>45195.94578703704</v>
      </c>
      <c r="C843" s="1" t="n">
        <v>45884</v>
      </c>
      <c r="D843" t="inlineStr">
        <is>
          <t>VÄSTERNORRLANDS LÄN</t>
        </is>
      </c>
      <c r="E843" t="inlineStr">
        <is>
          <t>ÅNGE</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13491-2023</t>
        </is>
      </c>
      <c r="B844" s="1" t="n">
        <v>45005.93929398148</v>
      </c>
      <c r="C844" s="1" t="n">
        <v>45884</v>
      </c>
      <c r="D844" t="inlineStr">
        <is>
          <t>VÄSTERNORRLANDS LÄN</t>
        </is>
      </c>
      <c r="E844" t="inlineStr">
        <is>
          <t>ÅNGE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33062-2022</t>
        </is>
      </c>
      <c r="B845" s="1" t="n">
        <v>44785</v>
      </c>
      <c r="C845" s="1" t="n">
        <v>45884</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30347-2024</t>
        </is>
      </c>
      <c r="B846" s="1" t="n">
        <v>45490.95515046296</v>
      </c>
      <c r="C846" s="1" t="n">
        <v>45884</v>
      </c>
      <c r="D846" t="inlineStr">
        <is>
          <t>VÄSTERNORRLANDS LÄN</t>
        </is>
      </c>
      <c r="E846" t="inlineStr">
        <is>
          <t>ÅNGE</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51311-2022</t>
        </is>
      </c>
      <c r="B847" s="1" t="n">
        <v>44868</v>
      </c>
      <c r="C847" s="1" t="n">
        <v>45884</v>
      </c>
      <c r="D847" t="inlineStr">
        <is>
          <t>VÄSTERNORRLANDS LÄN</t>
        </is>
      </c>
      <c r="E847" t="inlineStr">
        <is>
          <t>ÅNGE</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63216-2023</t>
        </is>
      </c>
      <c r="B848" s="1" t="n">
        <v>45273.62721064815</v>
      </c>
      <c r="C848" s="1" t="n">
        <v>45884</v>
      </c>
      <c r="D848" t="inlineStr">
        <is>
          <t>VÄSTERNORRLANDS LÄN</t>
        </is>
      </c>
      <c r="E848" t="inlineStr">
        <is>
          <t>ÅNGE</t>
        </is>
      </c>
      <c r="F848" t="inlineStr">
        <is>
          <t>Holmen skog AB</t>
        </is>
      </c>
      <c r="G848" t="n">
        <v>2.9</v>
      </c>
      <c r="H848" t="n">
        <v>0</v>
      </c>
      <c r="I848" t="n">
        <v>0</v>
      </c>
      <c r="J848" t="n">
        <v>0</v>
      </c>
      <c r="K848" t="n">
        <v>0</v>
      </c>
      <c r="L848" t="n">
        <v>0</v>
      </c>
      <c r="M848" t="n">
        <v>0</v>
      </c>
      <c r="N848" t="n">
        <v>0</v>
      </c>
      <c r="O848" t="n">
        <v>0</v>
      </c>
      <c r="P848" t="n">
        <v>0</v>
      </c>
      <c r="Q848" t="n">
        <v>0</v>
      </c>
      <c r="R848" s="2" t="inlineStr"/>
    </row>
    <row r="849" ht="15" customHeight="1">
      <c r="A849" t="inlineStr">
        <is>
          <t>A 45128-2022</t>
        </is>
      </c>
      <c r="B849" s="1" t="n">
        <v>44844.3146412037</v>
      </c>
      <c r="C849" s="1" t="n">
        <v>45884</v>
      </c>
      <c r="D849" t="inlineStr">
        <is>
          <t>VÄSTERNORRLANDS LÄN</t>
        </is>
      </c>
      <c r="E849" t="inlineStr">
        <is>
          <t>ÅNGE</t>
        </is>
      </c>
      <c r="G849" t="n">
        <v>4.1</v>
      </c>
      <c r="H849" t="n">
        <v>0</v>
      </c>
      <c r="I849" t="n">
        <v>0</v>
      </c>
      <c r="J849" t="n">
        <v>0</v>
      </c>
      <c r="K849" t="n">
        <v>0</v>
      </c>
      <c r="L849" t="n">
        <v>0</v>
      </c>
      <c r="M849" t="n">
        <v>0</v>
      </c>
      <c r="N849" t="n">
        <v>0</v>
      </c>
      <c r="O849" t="n">
        <v>0</v>
      </c>
      <c r="P849" t="n">
        <v>0</v>
      </c>
      <c r="Q849" t="n">
        <v>0</v>
      </c>
      <c r="R849" s="2" t="inlineStr"/>
    </row>
    <row r="850" ht="15" customHeight="1">
      <c r="A850" t="inlineStr">
        <is>
          <t>A 42040-2024</t>
        </is>
      </c>
      <c r="B850" s="1" t="n">
        <v>45561.80983796297</v>
      </c>
      <c r="C850" s="1" t="n">
        <v>45884</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43916-2023</t>
        </is>
      </c>
      <c r="B851" s="1" t="n">
        <v>45187.72152777778</v>
      </c>
      <c r="C851" s="1" t="n">
        <v>45884</v>
      </c>
      <c r="D851" t="inlineStr">
        <is>
          <t>VÄSTERNORRLANDS LÄN</t>
        </is>
      </c>
      <c r="E851" t="inlineStr">
        <is>
          <t>ÅNGE</t>
        </is>
      </c>
      <c r="G851" t="n">
        <v>3.1</v>
      </c>
      <c r="H851" t="n">
        <v>0</v>
      </c>
      <c r="I851" t="n">
        <v>0</v>
      </c>
      <c r="J851" t="n">
        <v>0</v>
      </c>
      <c r="K851" t="n">
        <v>0</v>
      </c>
      <c r="L851" t="n">
        <v>0</v>
      </c>
      <c r="M851" t="n">
        <v>0</v>
      </c>
      <c r="N851" t="n">
        <v>0</v>
      </c>
      <c r="O851" t="n">
        <v>0</v>
      </c>
      <c r="P851" t="n">
        <v>0</v>
      </c>
      <c r="Q851" t="n">
        <v>0</v>
      </c>
      <c r="R851" s="2" t="inlineStr"/>
    </row>
    <row r="852" ht="15" customHeight="1">
      <c r="A852" t="inlineStr">
        <is>
          <t>A 19065-2025</t>
        </is>
      </c>
      <c r="B852" s="1" t="n">
        <v>45765</v>
      </c>
      <c r="C852" s="1" t="n">
        <v>45884</v>
      </c>
      <c r="D852" t="inlineStr">
        <is>
          <t>VÄSTERNORRLANDS LÄN</t>
        </is>
      </c>
      <c r="E852" t="inlineStr">
        <is>
          <t>ÅNGE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5433-2024</t>
        </is>
      </c>
      <c r="B853" s="1" t="n">
        <v>45331</v>
      </c>
      <c r="C853" s="1" t="n">
        <v>45884</v>
      </c>
      <c r="D853" t="inlineStr">
        <is>
          <t>VÄSTERNORRLANDS LÄN</t>
        </is>
      </c>
      <c r="E853" t="inlineStr">
        <is>
          <t>ÅNGE</t>
        </is>
      </c>
      <c r="G853" t="n">
        <v>2.1</v>
      </c>
      <c r="H853" t="n">
        <v>0</v>
      </c>
      <c r="I853" t="n">
        <v>0</v>
      </c>
      <c r="J853" t="n">
        <v>0</v>
      </c>
      <c r="K853" t="n">
        <v>0</v>
      </c>
      <c r="L853" t="n">
        <v>0</v>
      </c>
      <c r="M853" t="n">
        <v>0</v>
      </c>
      <c r="N853" t="n">
        <v>0</v>
      </c>
      <c r="O853" t="n">
        <v>0</v>
      </c>
      <c r="P853" t="n">
        <v>0</v>
      </c>
      <c r="Q853" t="n">
        <v>0</v>
      </c>
      <c r="R853" s="2" t="inlineStr"/>
    </row>
    <row r="854" ht="15" customHeight="1">
      <c r="A854" t="inlineStr">
        <is>
          <t>A 5456-2024</t>
        </is>
      </c>
      <c r="B854" s="1" t="n">
        <v>45331</v>
      </c>
      <c r="C854" s="1" t="n">
        <v>45884</v>
      </c>
      <c r="D854" t="inlineStr">
        <is>
          <t>VÄSTERNORRLANDS LÄN</t>
        </is>
      </c>
      <c r="E854" t="inlineStr">
        <is>
          <t>ÅNGE</t>
        </is>
      </c>
      <c r="G854" t="n">
        <v>13</v>
      </c>
      <c r="H854" t="n">
        <v>0</v>
      </c>
      <c r="I854" t="n">
        <v>0</v>
      </c>
      <c r="J854" t="n">
        <v>0</v>
      </c>
      <c r="K854" t="n">
        <v>0</v>
      </c>
      <c r="L854" t="n">
        <v>0</v>
      </c>
      <c r="M854" t="n">
        <v>0</v>
      </c>
      <c r="N854" t="n">
        <v>0</v>
      </c>
      <c r="O854" t="n">
        <v>0</v>
      </c>
      <c r="P854" t="n">
        <v>0</v>
      </c>
      <c r="Q854" t="n">
        <v>0</v>
      </c>
      <c r="R854" s="2" t="inlineStr"/>
    </row>
    <row r="855" ht="15" customHeight="1">
      <c r="A855" t="inlineStr">
        <is>
          <t>A 3357-2024</t>
        </is>
      </c>
      <c r="B855" s="1" t="n">
        <v>45317</v>
      </c>
      <c r="C855" s="1" t="n">
        <v>45884</v>
      </c>
      <c r="D855" t="inlineStr">
        <is>
          <t>VÄSTERNORRLANDS LÄN</t>
        </is>
      </c>
      <c r="E855" t="inlineStr">
        <is>
          <t>ÅNGE</t>
        </is>
      </c>
      <c r="G855" t="n">
        <v>8</v>
      </c>
      <c r="H855" t="n">
        <v>0</v>
      </c>
      <c r="I855" t="n">
        <v>0</v>
      </c>
      <c r="J855" t="n">
        <v>0</v>
      </c>
      <c r="K855" t="n">
        <v>0</v>
      </c>
      <c r="L855" t="n">
        <v>0</v>
      </c>
      <c r="M855" t="n">
        <v>0</v>
      </c>
      <c r="N855" t="n">
        <v>0</v>
      </c>
      <c r="O855" t="n">
        <v>0</v>
      </c>
      <c r="P855" t="n">
        <v>0</v>
      </c>
      <c r="Q855" t="n">
        <v>0</v>
      </c>
      <c r="R855" s="2" t="inlineStr"/>
    </row>
    <row r="856" ht="15" customHeight="1">
      <c r="A856" t="inlineStr">
        <is>
          <t>A 36492-2023</t>
        </is>
      </c>
      <c r="B856" s="1" t="n">
        <v>45152.92479166666</v>
      </c>
      <c r="C856" s="1" t="n">
        <v>45884</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4095-2023</t>
        </is>
      </c>
      <c r="B857" s="1" t="n">
        <v>44952</v>
      </c>
      <c r="C857" s="1" t="n">
        <v>45884</v>
      </c>
      <c r="D857" t="inlineStr">
        <is>
          <t>VÄSTERNORRLANDS LÄN</t>
        </is>
      </c>
      <c r="E857" t="inlineStr">
        <is>
          <t>ÅNGE</t>
        </is>
      </c>
      <c r="G857" t="n">
        <v>13.4</v>
      </c>
      <c r="H857" t="n">
        <v>0</v>
      </c>
      <c r="I857" t="n">
        <v>0</v>
      </c>
      <c r="J857" t="n">
        <v>0</v>
      </c>
      <c r="K857" t="n">
        <v>0</v>
      </c>
      <c r="L857" t="n">
        <v>0</v>
      </c>
      <c r="M857" t="n">
        <v>0</v>
      </c>
      <c r="N857" t="n">
        <v>0</v>
      </c>
      <c r="O857" t="n">
        <v>0</v>
      </c>
      <c r="P857" t="n">
        <v>0</v>
      </c>
      <c r="Q857" t="n">
        <v>0</v>
      </c>
      <c r="R857" s="2" t="inlineStr"/>
    </row>
    <row r="858" ht="15" customHeight="1">
      <c r="A858" t="inlineStr">
        <is>
          <t>A 46332-2023</t>
        </is>
      </c>
      <c r="B858" s="1" t="n">
        <v>45196</v>
      </c>
      <c r="C858" s="1" t="n">
        <v>45884</v>
      </c>
      <c r="D858" t="inlineStr">
        <is>
          <t>VÄSTERNORRLANDS LÄN</t>
        </is>
      </c>
      <c r="E858" t="inlineStr">
        <is>
          <t>ÅNGE</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26943-2024</t>
        </is>
      </c>
      <c r="B859" s="1" t="n">
        <v>45470</v>
      </c>
      <c r="C859" s="1" t="n">
        <v>45884</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55882-2022</t>
        </is>
      </c>
      <c r="B860" s="1" t="n">
        <v>44888</v>
      </c>
      <c r="C860" s="1" t="n">
        <v>45884</v>
      </c>
      <c r="D860" t="inlineStr">
        <is>
          <t>VÄSTERNORRLANDS LÄN</t>
        </is>
      </c>
      <c r="E860" t="inlineStr">
        <is>
          <t>ÅNGE</t>
        </is>
      </c>
      <c r="G860" t="n">
        <v>2.7</v>
      </c>
      <c r="H860" t="n">
        <v>0</v>
      </c>
      <c r="I860" t="n">
        <v>0</v>
      </c>
      <c r="J860" t="n">
        <v>0</v>
      </c>
      <c r="K860" t="n">
        <v>0</v>
      </c>
      <c r="L860" t="n">
        <v>0</v>
      </c>
      <c r="M860" t="n">
        <v>0</v>
      </c>
      <c r="N860" t="n">
        <v>0</v>
      </c>
      <c r="O860" t="n">
        <v>0</v>
      </c>
      <c r="P860" t="n">
        <v>0</v>
      </c>
      <c r="Q860" t="n">
        <v>0</v>
      </c>
      <c r="R860" s="2" t="inlineStr"/>
    </row>
    <row r="861" ht="15" customHeight="1">
      <c r="A861" t="inlineStr">
        <is>
          <t>A 22752-2023</t>
        </is>
      </c>
      <c r="B861" s="1" t="n">
        <v>45071.94104166667</v>
      </c>
      <c r="C861" s="1" t="n">
        <v>45884</v>
      </c>
      <c r="D861" t="inlineStr">
        <is>
          <t>VÄSTERNORRLANDS LÄN</t>
        </is>
      </c>
      <c r="E861" t="inlineStr">
        <is>
          <t>ÅNGE</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11032-2025</t>
        </is>
      </c>
      <c r="B862" s="1" t="n">
        <v>45723.47601851852</v>
      </c>
      <c r="C862" s="1" t="n">
        <v>45884</v>
      </c>
      <c r="D862" t="inlineStr">
        <is>
          <t>VÄSTERNORRLANDS LÄN</t>
        </is>
      </c>
      <c r="E862" t="inlineStr">
        <is>
          <t>ÅNGE</t>
        </is>
      </c>
      <c r="G862" t="n">
        <v>4.4</v>
      </c>
      <c r="H862" t="n">
        <v>0</v>
      </c>
      <c r="I862" t="n">
        <v>0</v>
      </c>
      <c r="J862" t="n">
        <v>0</v>
      </c>
      <c r="K862" t="n">
        <v>0</v>
      </c>
      <c r="L862" t="n">
        <v>0</v>
      </c>
      <c r="M862" t="n">
        <v>0</v>
      </c>
      <c r="N862" t="n">
        <v>0</v>
      </c>
      <c r="O862" t="n">
        <v>0</v>
      </c>
      <c r="P862" t="n">
        <v>0</v>
      </c>
      <c r="Q862" t="n">
        <v>0</v>
      </c>
      <c r="R862" s="2" t="inlineStr"/>
    </row>
    <row r="863" ht="15" customHeight="1">
      <c r="A863" t="inlineStr">
        <is>
          <t>A 6686-2024</t>
        </is>
      </c>
      <c r="B863" s="1" t="n">
        <v>45341</v>
      </c>
      <c r="C863" s="1" t="n">
        <v>45884</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63556-2021</t>
        </is>
      </c>
      <c r="B864" s="1" t="n">
        <v>44508.70231481481</v>
      </c>
      <c r="C864" s="1" t="n">
        <v>45884</v>
      </c>
      <c r="D864" t="inlineStr">
        <is>
          <t>VÄSTERNORRLANDS LÄN</t>
        </is>
      </c>
      <c r="E864" t="inlineStr">
        <is>
          <t>ÅNGE</t>
        </is>
      </c>
      <c r="G864" t="n">
        <v>4.2</v>
      </c>
      <c r="H864" t="n">
        <v>0</v>
      </c>
      <c r="I864" t="n">
        <v>0</v>
      </c>
      <c r="J864" t="n">
        <v>0</v>
      </c>
      <c r="K864" t="n">
        <v>0</v>
      </c>
      <c r="L864" t="n">
        <v>0</v>
      </c>
      <c r="M864" t="n">
        <v>0</v>
      </c>
      <c r="N864" t="n">
        <v>0</v>
      </c>
      <c r="O864" t="n">
        <v>0</v>
      </c>
      <c r="P864" t="n">
        <v>0</v>
      </c>
      <c r="Q864" t="n">
        <v>0</v>
      </c>
      <c r="R864" s="2" t="inlineStr"/>
    </row>
    <row r="865" ht="15" customHeight="1">
      <c r="A865" t="inlineStr">
        <is>
          <t>A 60779-2024</t>
        </is>
      </c>
      <c r="B865" s="1" t="n">
        <v>45644</v>
      </c>
      <c r="C865" s="1" t="n">
        <v>45884</v>
      </c>
      <c r="D865" t="inlineStr">
        <is>
          <t>VÄSTERNORRLANDS LÄN</t>
        </is>
      </c>
      <c r="E865" t="inlineStr">
        <is>
          <t>ÅNGE</t>
        </is>
      </c>
      <c r="G865" t="n">
        <v>3.1</v>
      </c>
      <c r="H865" t="n">
        <v>0</v>
      </c>
      <c r="I865" t="n">
        <v>0</v>
      </c>
      <c r="J865" t="n">
        <v>0</v>
      </c>
      <c r="K865" t="n">
        <v>0</v>
      </c>
      <c r="L865" t="n">
        <v>0</v>
      </c>
      <c r="M865" t="n">
        <v>0</v>
      </c>
      <c r="N865" t="n">
        <v>0</v>
      </c>
      <c r="O865" t="n">
        <v>0</v>
      </c>
      <c r="P865" t="n">
        <v>0</v>
      </c>
      <c r="Q865" t="n">
        <v>0</v>
      </c>
      <c r="R865" s="2" t="inlineStr"/>
    </row>
    <row r="866" ht="15" customHeight="1">
      <c r="A866" t="inlineStr">
        <is>
          <t>A 50651-2021</t>
        </is>
      </c>
      <c r="B866" s="1" t="n">
        <v>44459</v>
      </c>
      <c r="C866" s="1" t="n">
        <v>45884</v>
      </c>
      <c r="D866" t="inlineStr">
        <is>
          <t>VÄSTERNORRLANDS LÄN</t>
        </is>
      </c>
      <c r="E866" t="inlineStr">
        <is>
          <t>ÅNGE</t>
        </is>
      </c>
      <c r="G866" t="n">
        <v>20.6</v>
      </c>
      <c r="H866" t="n">
        <v>0</v>
      </c>
      <c r="I866" t="n">
        <v>0</v>
      </c>
      <c r="J866" t="n">
        <v>0</v>
      </c>
      <c r="K866" t="n">
        <v>0</v>
      </c>
      <c r="L866" t="n">
        <v>0</v>
      </c>
      <c r="M866" t="n">
        <v>0</v>
      </c>
      <c r="N866" t="n">
        <v>0</v>
      </c>
      <c r="O866" t="n">
        <v>0</v>
      </c>
      <c r="P866" t="n">
        <v>0</v>
      </c>
      <c r="Q866" t="n">
        <v>0</v>
      </c>
      <c r="R866" s="2" t="inlineStr"/>
    </row>
    <row r="867" ht="15" customHeight="1">
      <c r="A867" t="inlineStr">
        <is>
          <t>A 60003-2023</t>
        </is>
      </c>
      <c r="B867" s="1" t="n">
        <v>45257</v>
      </c>
      <c r="C867" s="1" t="n">
        <v>45884</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4876-2023</t>
        </is>
      </c>
      <c r="B868" s="1" t="n">
        <v>44957.94023148148</v>
      </c>
      <c r="C868" s="1" t="n">
        <v>45884</v>
      </c>
      <c r="D868" t="inlineStr">
        <is>
          <t>VÄSTERNORRLANDS LÄN</t>
        </is>
      </c>
      <c r="E868" t="inlineStr">
        <is>
          <t>ÅNGE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55751-2024</t>
        </is>
      </c>
      <c r="B869" s="1" t="n">
        <v>45623.34409722222</v>
      </c>
      <c r="C869" s="1" t="n">
        <v>45884</v>
      </c>
      <c r="D869" t="inlineStr">
        <is>
          <t>VÄSTERNORRLANDS LÄN</t>
        </is>
      </c>
      <c r="E869" t="inlineStr">
        <is>
          <t>ÅNGE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57591-2022</t>
        </is>
      </c>
      <c r="B870" s="1" t="n">
        <v>44896.97834490741</v>
      </c>
      <c r="C870" s="1" t="n">
        <v>45884</v>
      </c>
      <c r="D870" t="inlineStr">
        <is>
          <t>VÄSTERNORRLANDS LÄN</t>
        </is>
      </c>
      <c r="E870" t="inlineStr">
        <is>
          <t>ÅNGE</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25034-2023</t>
        </is>
      </c>
      <c r="B871" s="1" t="n">
        <v>45085</v>
      </c>
      <c r="C871" s="1" t="n">
        <v>45884</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13875-2022</t>
        </is>
      </c>
      <c r="B872" s="1" t="n">
        <v>44649</v>
      </c>
      <c r="C872" s="1" t="n">
        <v>45884</v>
      </c>
      <c r="D872" t="inlineStr">
        <is>
          <t>VÄSTERNORRLANDS LÄN</t>
        </is>
      </c>
      <c r="E872" t="inlineStr">
        <is>
          <t>ÅNGE</t>
        </is>
      </c>
      <c r="G872" t="n">
        <v>1.3</v>
      </c>
      <c r="H872" t="n">
        <v>0</v>
      </c>
      <c r="I872" t="n">
        <v>0</v>
      </c>
      <c r="J872" t="n">
        <v>0</v>
      </c>
      <c r="K872" t="n">
        <v>0</v>
      </c>
      <c r="L872" t="n">
        <v>0</v>
      </c>
      <c r="M872" t="n">
        <v>0</v>
      </c>
      <c r="N872" t="n">
        <v>0</v>
      </c>
      <c r="O872" t="n">
        <v>0</v>
      </c>
      <c r="P872" t="n">
        <v>0</v>
      </c>
      <c r="Q872" t="n">
        <v>0</v>
      </c>
      <c r="R872" s="2" t="inlineStr"/>
    </row>
    <row r="873" ht="15" customHeight="1">
      <c r="A873" t="inlineStr">
        <is>
          <t>A 9605-2025</t>
        </is>
      </c>
      <c r="B873" s="1" t="n">
        <v>45715.65657407408</v>
      </c>
      <c r="C873" s="1" t="n">
        <v>45884</v>
      </c>
      <c r="D873" t="inlineStr">
        <is>
          <t>VÄSTERNORRLANDS LÄN</t>
        </is>
      </c>
      <c r="E873" t="inlineStr">
        <is>
          <t>ÅNGE</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16563-2025</t>
        </is>
      </c>
      <c r="B874" s="1" t="n">
        <v>45752.34430555555</v>
      </c>
      <c r="C874" s="1" t="n">
        <v>45884</v>
      </c>
      <c r="D874" t="inlineStr">
        <is>
          <t>VÄSTERNORRLANDS LÄN</t>
        </is>
      </c>
      <c r="E874" t="inlineStr">
        <is>
          <t>ÅNGE</t>
        </is>
      </c>
      <c r="F874" t="inlineStr">
        <is>
          <t>SCA</t>
        </is>
      </c>
      <c r="G874" t="n">
        <v>24.7</v>
      </c>
      <c r="H874" t="n">
        <v>0</v>
      </c>
      <c r="I874" t="n">
        <v>0</v>
      </c>
      <c r="J874" t="n">
        <v>0</v>
      </c>
      <c r="K874" t="n">
        <v>0</v>
      </c>
      <c r="L874" t="n">
        <v>0</v>
      </c>
      <c r="M874" t="n">
        <v>0</v>
      </c>
      <c r="N874" t="n">
        <v>0</v>
      </c>
      <c r="O874" t="n">
        <v>0</v>
      </c>
      <c r="P874" t="n">
        <v>0</v>
      </c>
      <c r="Q874" t="n">
        <v>0</v>
      </c>
      <c r="R874" s="2" t="inlineStr"/>
    </row>
    <row r="875" ht="15" customHeight="1">
      <c r="A875" t="inlineStr">
        <is>
          <t>A 42881-2024</t>
        </is>
      </c>
      <c r="B875" s="1" t="n">
        <v>45566.70916666667</v>
      </c>
      <c r="C875" s="1" t="n">
        <v>45884</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54316-2024</t>
        </is>
      </c>
      <c r="B876" s="1" t="n">
        <v>45617.34443287037</v>
      </c>
      <c r="C876" s="1" t="n">
        <v>45884</v>
      </c>
      <c r="D876" t="inlineStr">
        <is>
          <t>VÄSTERNORRLANDS LÄN</t>
        </is>
      </c>
      <c r="E876" t="inlineStr">
        <is>
          <t>ÅNGE</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17718-2025</t>
        </is>
      </c>
      <c r="B877" s="1" t="n">
        <v>45758.44815972223</v>
      </c>
      <c r="C877" s="1" t="n">
        <v>45884</v>
      </c>
      <c r="D877" t="inlineStr">
        <is>
          <t>VÄSTERNORRLANDS LÄN</t>
        </is>
      </c>
      <c r="E877" t="inlineStr">
        <is>
          <t>ÅNGE</t>
        </is>
      </c>
      <c r="G877" t="n">
        <v>5.1</v>
      </c>
      <c r="H877" t="n">
        <v>0</v>
      </c>
      <c r="I877" t="n">
        <v>0</v>
      </c>
      <c r="J877" t="n">
        <v>0</v>
      </c>
      <c r="K877" t="n">
        <v>0</v>
      </c>
      <c r="L877" t="n">
        <v>0</v>
      </c>
      <c r="M877" t="n">
        <v>0</v>
      </c>
      <c r="N877" t="n">
        <v>0</v>
      </c>
      <c r="O877" t="n">
        <v>0</v>
      </c>
      <c r="P877" t="n">
        <v>0</v>
      </c>
      <c r="Q877" t="n">
        <v>0</v>
      </c>
      <c r="R877" s="2" t="inlineStr"/>
    </row>
    <row r="878" ht="15" customHeight="1">
      <c r="A878" t="inlineStr">
        <is>
          <t>A 8650-2024</t>
        </is>
      </c>
      <c r="B878" s="1" t="n">
        <v>45356</v>
      </c>
      <c r="C878" s="1" t="n">
        <v>45884</v>
      </c>
      <c r="D878" t="inlineStr">
        <is>
          <t>VÄSTERNORRLANDS LÄN</t>
        </is>
      </c>
      <c r="E878" t="inlineStr">
        <is>
          <t>ÅNGE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6608-2025</t>
        </is>
      </c>
      <c r="B879" s="1" t="n">
        <v>45700.34415509259</v>
      </c>
      <c r="C879" s="1" t="n">
        <v>45884</v>
      </c>
      <c r="D879" t="inlineStr">
        <is>
          <t>VÄSTERNORRLANDS LÄN</t>
        </is>
      </c>
      <c r="E879" t="inlineStr">
        <is>
          <t>ÅNGE</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30682-2024</t>
        </is>
      </c>
      <c r="B880" s="1" t="n">
        <v>45495.95109953704</v>
      </c>
      <c r="C880" s="1" t="n">
        <v>45884</v>
      </c>
      <c r="D880" t="inlineStr">
        <is>
          <t>VÄSTERNORRLANDS LÄN</t>
        </is>
      </c>
      <c r="E880" t="inlineStr">
        <is>
          <t>ÅNGE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2451-2024</t>
        </is>
      </c>
      <c r="B881" s="1" t="n">
        <v>45312.58627314815</v>
      </c>
      <c r="C881" s="1" t="n">
        <v>45884</v>
      </c>
      <c r="D881" t="inlineStr">
        <is>
          <t>VÄSTERNORRLANDS LÄN</t>
        </is>
      </c>
      <c r="E881" t="inlineStr">
        <is>
          <t>ÅNGE</t>
        </is>
      </c>
      <c r="G881" t="n">
        <v>3.5</v>
      </c>
      <c r="H881" t="n">
        <v>0</v>
      </c>
      <c r="I881" t="n">
        <v>0</v>
      </c>
      <c r="J881" t="n">
        <v>0</v>
      </c>
      <c r="K881" t="n">
        <v>0</v>
      </c>
      <c r="L881" t="n">
        <v>0</v>
      </c>
      <c r="M881" t="n">
        <v>0</v>
      </c>
      <c r="N881" t="n">
        <v>0</v>
      </c>
      <c r="O881" t="n">
        <v>0</v>
      </c>
      <c r="P881" t="n">
        <v>0</v>
      </c>
      <c r="Q881" t="n">
        <v>0</v>
      </c>
      <c r="R881" s="2" t="inlineStr"/>
    </row>
    <row r="882" ht="15" customHeight="1">
      <c r="A882" t="inlineStr">
        <is>
          <t>A 3352-2021</t>
        </is>
      </c>
      <c r="B882" s="1" t="n">
        <v>44217</v>
      </c>
      <c r="C882" s="1" t="n">
        <v>45884</v>
      </c>
      <c r="D882" t="inlineStr">
        <is>
          <t>VÄSTERNORRLANDS LÄN</t>
        </is>
      </c>
      <c r="E882" t="inlineStr">
        <is>
          <t>ÅNGE</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3253-2024</t>
        </is>
      </c>
      <c r="B883" s="1" t="n">
        <v>45316</v>
      </c>
      <c r="C883" s="1" t="n">
        <v>45884</v>
      </c>
      <c r="D883" t="inlineStr">
        <is>
          <t>VÄSTERNORRLANDS LÄN</t>
        </is>
      </c>
      <c r="E883" t="inlineStr">
        <is>
          <t>ÅNGE</t>
        </is>
      </c>
      <c r="G883" t="n">
        <v>1.2</v>
      </c>
      <c r="H883" t="n">
        <v>0</v>
      </c>
      <c r="I883" t="n">
        <v>0</v>
      </c>
      <c r="J883" t="n">
        <v>0</v>
      </c>
      <c r="K883" t="n">
        <v>0</v>
      </c>
      <c r="L883" t="n">
        <v>0</v>
      </c>
      <c r="M883" t="n">
        <v>0</v>
      </c>
      <c r="N883" t="n">
        <v>0</v>
      </c>
      <c r="O883" t="n">
        <v>0</v>
      </c>
      <c r="P883" t="n">
        <v>0</v>
      </c>
      <c r="Q883" t="n">
        <v>0</v>
      </c>
      <c r="R883" s="2" t="inlineStr"/>
    </row>
    <row r="884" ht="15" customHeight="1">
      <c r="A884" t="inlineStr">
        <is>
          <t>A 45631-2021</t>
        </is>
      </c>
      <c r="B884" s="1" t="n">
        <v>44440.98045138889</v>
      </c>
      <c r="C884" s="1" t="n">
        <v>45884</v>
      </c>
      <c r="D884" t="inlineStr">
        <is>
          <t>VÄSTERNORRLANDS LÄN</t>
        </is>
      </c>
      <c r="E884" t="inlineStr">
        <is>
          <t>ÅNGE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34783-2021</t>
        </is>
      </c>
      <c r="B885" s="1" t="n">
        <v>44382</v>
      </c>
      <c r="C885" s="1" t="n">
        <v>45884</v>
      </c>
      <c r="D885" t="inlineStr">
        <is>
          <t>VÄSTERNORRLANDS LÄN</t>
        </is>
      </c>
      <c r="E885" t="inlineStr">
        <is>
          <t>ÅNGE</t>
        </is>
      </c>
      <c r="F885" t="inlineStr">
        <is>
          <t>SCA</t>
        </is>
      </c>
      <c r="G885" t="n">
        <v>8.5</v>
      </c>
      <c r="H885" t="n">
        <v>0</v>
      </c>
      <c r="I885" t="n">
        <v>0</v>
      </c>
      <c r="J885" t="n">
        <v>0</v>
      </c>
      <c r="K885" t="n">
        <v>0</v>
      </c>
      <c r="L885" t="n">
        <v>0</v>
      </c>
      <c r="M885" t="n">
        <v>0</v>
      </c>
      <c r="N885" t="n">
        <v>0</v>
      </c>
      <c r="O885" t="n">
        <v>0</v>
      </c>
      <c r="P885" t="n">
        <v>0</v>
      </c>
      <c r="Q885" t="n">
        <v>0</v>
      </c>
      <c r="R885" s="2" t="inlineStr"/>
    </row>
    <row r="886" ht="15" customHeight="1">
      <c r="A886" t="inlineStr">
        <is>
          <t>A 58748-2023</t>
        </is>
      </c>
      <c r="B886" s="1" t="n">
        <v>45251.92936342592</v>
      </c>
      <c r="C886" s="1" t="n">
        <v>45884</v>
      </c>
      <c r="D886" t="inlineStr">
        <is>
          <t>VÄSTERNORRLANDS LÄN</t>
        </is>
      </c>
      <c r="E886" t="inlineStr">
        <is>
          <t>ÅNGE</t>
        </is>
      </c>
      <c r="G886" t="n">
        <v>2.7</v>
      </c>
      <c r="H886" t="n">
        <v>0</v>
      </c>
      <c r="I886" t="n">
        <v>0</v>
      </c>
      <c r="J886" t="n">
        <v>0</v>
      </c>
      <c r="K886" t="n">
        <v>0</v>
      </c>
      <c r="L886" t="n">
        <v>0</v>
      </c>
      <c r="M886" t="n">
        <v>0</v>
      </c>
      <c r="N886" t="n">
        <v>0</v>
      </c>
      <c r="O886" t="n">
        <v>0</v>
      </c>
      <c r="P886" t="n">
        <v>0</v>
      </c>
      <c r="Q886" t="n">
        <v>0</v>
      </c>
      <c r="R886" s="2" t="inlineStr"/>
    </row>
    <row r="887" ht="15" customHeight="1">
      <c r="A887" t="inlineStr">
        <is>
          <t>A 51070-2024</t>
        </is>
      </c>
      <c r="B887" s="1" t="n">
        <v>45603</v>
      </c>
      <c r="C887" s="1" t="n">
        <v>45884</v>
      </c>
      <c r="D887" t="inlineStr">
        <is>
          <t>VÄSTERNORRLANDS LÄN</t>
        </is>
      </c>
      <c r="E887" t="inlineStr">
        <is>
          <t>ÅNGE</t>
        </is>
      </c>
      <c r="G887" t="n">
        <v>11.1</v>
      </c>
      <c r="H887" t="n">
        <v>0</v>
      </c>
      <c r="I887" t="n">
        <v>0</v>
      </c>
      <c r="J887" t="n">
        <v>0</v>
      </c>
      <c r="K887" t="n">
        <v>0</v>
      </c>
      <c r="L887" t="n">
        <v>0</v>
      </c>
      <c r="M887" t="n">
        <v>0</v>
      </c>
      <c r="N887" t="n">
        <v>0</v>
      </c>
      <c r="O887" t="n">
        <v>0</v>
      </c>
      <c r="P887" t="n">
        <v>0</v>
      </c>
      <c r="Q887" t="n">
        <v>0</v>
      </c>
      <c r="R887" s="2" t="inlineStr"/>
    </row>
    <row r="888" ht="15" customHeight="1">
      <c r="A888" t="inlineStr">
        <is>
          <t>A 51871-2024</t>
        </is>
      </c>
      <c r="B888" s="1" t="n">
        <v>45607</v>
      </c>
      <c r="C888" s="1" t="n">
        <v>45884</v>
      </c>
      <c r="D888" t="inlineStr">
        <is>
          <t>VÄSTERNORRLANDS LÄN</t>
        </is>
      </c>
      <c r="E888" t="inlineStr">
        <is>
          <t>ÅNGE</t>
        </is>
      </c>
      <c r="F888" t="inlineStr">
        <is>
          <t>SCA</t>
        </is>
      </c>
      <c r="G888" t="n">
        <v>10.1</v>
      </c>
      <c r="H888" t="n">
        <v>0</v>
      </c>
      <c r="I888" t="n">
        <v>0</v>
      </c>
      <c r="J888" t="n">
        <v>0</v>
      </c>
      <c r="K888" t="n">
        <v>0</v>
      </c>
      <c r="L888" t="n">
        <v>0</v>
      </c>
      <c r="M888" t="n">
        <v>0</v>
      </c>
      <c r="N888" t="n">
        <v>0</v>
      </c>
      <c r="O888" t="n">
        <v>0</v>
      </c>
      <c r="P888" t="n">
        <v>0</v>
      </c>
      <c r="Q888" t="n">
        <v>0</v>
      </c>
      <c r="R888" s="2" t="inlineStr"/>
    </row>
    <row r="889" ht="15" customHeight="1">
      <c r="A889" t="inlineStr">
        <is>
          <t>A 10878-2024</t>
        </is>
      </c>
      <c r="B889" s="1" t="n">
        <v>45370</v>
      </c>
      <c r="C889" s="1" t="n">
        <v>45884</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57636-2022</t>
        </is>
      </c>
      <c r="B890" s="1" t="n">
        <v>44897</v>
      </c>
      <c r="C890" s="1" t="n">
        <v>45884</v>
      </c>
      <c r="D890" t="inlineStr">
        <is>
          <t>VÄSTERNORRLANDS LÄN</t>
        </is>
      </c>
      <c r="E890" t="inlineStr">
        <is>
          <t>ÅNGE</t>
        </is>
      </c>
      <c r="G890" t="n">
        <v>0.8</v>
      </c>
      <c r="H890" t="n">
        <v>0</v>
      </c>
      <c r="I890" t="n">
        <v>0</v>
      </c>
      <c r="J890" t="n">
        <v>0</v>
      </c>
      <c r="K890" t="n">
        <v>0</v>
      </c>
      <c r="L890" t="n">
        <v>0</v>
      </c>
      <c r="M890" t="n">
        <v>0</v>
      </c>
      <c r="N890" t="n">
        <v>0</v>
      </c>
      <c r="O890" t="n">
        <v>0</v>
      </c>
      <c r="P890" t="n">
        <v>0</v>
      </c>
      <c r="Q890" t="n">
        <v>0</v>
      </c>
      <c r="R890" s="2" t="inlineStr"/>
    </row>
    <row r="891" ht="15" customHeight="1">
      <c r="A891" t="inlineStr">
        <is>
          <t>A 34971-2023</t>
        </is>
      </c>
      <c r="B891" s="1" t="n">
        <v>45142.61635416667</v>
      </c>
      <c r="C891" s="1" t="n">
        <v>45884</v>
      </c>
      <c r="D891" t="inlineStr">
        <is>
          <t>VÄSTERNORRLANDS LÄN</t>
        </is>
      </c>
      <c r="E891" t="inlineStr">
        <is>
          <t>ÅNGE</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4006-2022</t>
        </is>
      </c>
      <c r="B892" s="1" t="n">
        <v>44587.92019675926</v>
      </c>
      <c r="C892" s="1" t="n">
        <v>45884</v>
      </c>
      <c r="D892" t="inlineStr">
        <is>
          <t>VÄSTERNORRLANDS LÄN</t>
        </is>
      </c>
      <c r="E892" t="inlineStr">
        <is>
          <t>ÅNGE</t>
        </is>
      </c>
      <c r="G892" t="n">
        <v>5</v>
      </c>
      <c r="H892" t="n">
        <v>0</v>
      </c>
      <c r="I892" t="n">
        <v>0</v>
      </c>
      <c r="J892" t="n">
        <v>0</v>
      </c>
      <c r="K892" t="n">
        <v>0</v>
      </c>
      <c r="L892" t="n">
        <v>0</v>
      </c>
      <c r="M892" t="n">
        <v>0</v>
      </c>
      <c r="N892" t="n">
        <v>0</v>
      </c>
      <c r="O892" t="n">
        <v>0</v>
      </c>
      <c r="P892" t="n">
        <v>0</v>
      </c>
      <c r="Q892" t="n">
        <v>0</v>
      </c>
      <c r="R892" s="2" t="inlineStr"/>
    </row>
    <row r="893" ht="15" customHeight="1">
      <c r="A893" t="inlineStr">
        <is>
          <t>A 61781-2023</t>
        </is>
      </c>
      <c r="B893" s="1" t="n">
        <v>45265.95708333333</v>
      </c>
      <c r="C893" s="1" t="n">
        <v>45884</v>
      </c>
      <c r="D893" t="inlineStr">
        <is>
          <t>VÄSTERNORRLANDS LÄN</t>
        </is>
      </c>
      <c r="E893" t="inlineStr">
        <is>
          <t>ÅNGE</t>
        </is>
      </c>
      <c r="F893" t="inlineStr">
        <is>
          <t>SCA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55329-2023</t>
        </is>
      </c>
      <c r="B894" s="1" t="n">
        <v>45237</v>
      </c>
      <c r="C894" s="1" t="n">
        <v>45884</v>
      </c>
      <c r="D894" t="inlineStr">
        <is>
          <t>VÄSTERNORRLANDS LÄN</t>
        </is>
      </c>
      <c r="E894" t="inlineStr">
        <is>
          <t>ÅNGE</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44178-2023</t>
        </is>
      </c>
      <c r="B895" s="1" t="n">
        <v>45183</v>
      </c>
      <c r="C895" s="1" t="n">
        <v>45884</v>
      </c>
      <c r="D895" t="inlineStr">
        <is>
          <t>VÄSTERNORRLANDS LÄN</t>
        </is>
      </c>
      <c r="E895" t="inlineStr">
        <is>
          <t>ÅNGE</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52804-2024</t>
        </is>
      </c>
      <c r="B896" s="1" t="n">
        <v>45610.57322916666</v>
      </c>
      <c r="C896" s="1" t="n">
        <v>45884</v>
      </c>
      <c r="D896" t="inlineStr">
        <is>
          <t>VÄSTERNORRLANDS LÄN</t>
        </is>
      </c>
      <c r="E896" t="inlineStr">
        <is>
          <t>ÅNGE</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30055-2024</t>
        </is>
      </c>
      <c r="B897" s="1" t="n">
        <v>45488.94767361111</v>
      </c>
      <c r="C897" s="1" t="n">
        <v>45884</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17744-2025</t>
        </is>
      </c>
      <c r="B898" s="1" t="n">
        <v>45758</v>
      </c>
      <c r="C898" s="1" t="n">
        <v>45884</v>
      </c>
      <c r="D898" t="inlineStr">
        <is>
          <t>VÄSTERNORRLANDS LÄN</t>
        </is>
      </c>
      <c r="E898" t="inlineStr">
        <is>
          <t>ÅNGE</t>
        </is>
      </c>
      <c r="G898" t="n">
        <v>5</v>
      </c>
      <c r="H898" t="n">
        <v>0</v>
      </c>
      <c r="I898" t="n">
        <v>0</v>
      </c>
      <c r="J898" t="n">
        <v>0</v>
      </c>
      <c r="K898" t="n">
        <v>0</v>
      </c>
      <c r="L898" t="n">
        <v>0</v>
      </c>
      <c r="M898" t="n">
        <v>0</v>
      </c>
      <c r="N898" t="n">
        <v>0</v>
      </c>
      <c r="O898" t="n">
        <v>0</v>
      </c>
      <c r="P898" t="n">
        <v>0</v>
      </c>
      <c r="Q898" t="n">
        <v>0</v>
      </c>
      <c r="R898" s="2" t="inlineStr"/>
    </row>
    <row r="899" ht="15" customHeight="1">
      <c r="A899" t="inlineStr">
        <is>
          <t>A 42346-2023</t>
        </is>
      </c>
      <c r="B899" s="1" t="n">
        <v>45180</v>
      </c>
      <c r="C899" s="1" t="n">
        <v>45884</v>
      </c>
      <c r="D899" t="inlineStr">
        <is>
          <t>VÄSTERNORRLANDS LÄN</t>
        </is>
      </c>
      <c r="E899" t="inlineStr">
        <is>
          <t>ÅNGE</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33783-2024</t>
        </is>
      </c>
      <c r="B900" s="1" t="n">
        <v>45520</v>
      </c>
      <c r="C900" s="1" t="n">
        <v>45884</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63170-2023</t>
        </is>
      </c>
      <c r="B901" s="1" t="n">
        <v>45273.57087962963</v>
      </c>
      <c r="C901" s="1" t="n">
        <v>45884</v>
      </c>
      <c r="D901" t="inlineStr">
        <is>
          <t>VÄSTERNORRLANDS LÄN</t>
        </is>
      </c>
      <c r="E901" t="inlineStr">
        <is>
          <t>ÅNGE</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51059-2024</t>
        </is>
      </c>
      <c r="B902" s="1" t="n">
        <v>45603</v>
      </c>
      <c r="C902" s="1" t="n">
        <v>45884</v>
      </c>
      <c r="D902" t="inlineStr">
        <is>
          <t>VÄSTERNORRLANDS LÄN</t>
        </is>
      </c>
      <c r="E902" t="inlineStr">
        <is>
          <t>ÅNGE</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47792-2022</t>
        </is>
      </c>
      <c r="B903" s="1" t="n">
        <v>44854.95238425926</v>
      </c>
      <c r="C903" s="1" t="n">
        <v>45884</v>
      </c>
      <c r="D903" t="inlineStr">
        <is>
          <t>VÄSTERNORRLANDS LÄN</t>
        </is>
      </c>
      <c r="E903" t="inlineStr">
        <is>
          <t>ÅNGE</t>
        </is>
      </c>
      <c r="F903" t="inlineStr">
        <is>
          <t>SCA</t>
        </is>
      </c>
      <c r="G903" t="n">
        <v>10.9</v>
      </c>
      <c r="H903" t="n">
        <v>0</v>
      </c>
      <c r="I903" t="n">
        <v>0</v>
      </c>
      <c r="J903" t="n">
        <v>0</v>
      </c>
      <c r="K903" t="n">
        <v>0</v>
      </c>
      <c r="L903" t="n">
        <v>0</v>
      </c>
      <c r="M903" t="n">
        <v>0</v>
      </c>
      <c r="N903" t="n">
        <v>0</v>
      </c>
      <c r="O903" t="n">
        <v>0</v>
      </c>
      <c r="P903" t="n">
        <v>0</v>
      </c>
      <c r="Q903" t="n">
        <v>0</v>
      </c>
      <c r="R903" s="2" t="inlineStr"/>
    </row>
    <row r="904" ht="15" customHeight="1">
      <c r="A904" t="inlineStr">
        <is>
          <t>A 137-2025</t>
        </is>
      </c>
      <c r="B904" s="1" t="n">
        <v>45659.57684027778</v>
      </c>
      <c r="C904" s="1" t="n">
        <v>45884</v>
      </c>
      <c r="D904" t="inlineStr">
        <is>
          <t>VÄSTERNORRLANDS LÄN</t>
        </is>
      </c>
      <c r="E904" t="inlineStr">
        <is>
          <t>ÅNGE</t>
        </is>
      </c>
      <c r="G904" t="n">
        <v>0.2</v>
      </c>
      <c r="H904" t="n">
        <v>0</v>
      </c>
      <c r="I904" t="n">
        <v>0</v>
      </c>
      <c r="J904" t="n">
        <v>0</v>
      </c>
      <c r="K904" t="n">
        <v>0</v>
      </c>
      <c r="L904" t="n">
        <v>0</v>
      </c>
      <c r="M904" t="n">
        <v>0</v>
      </c>
      <c r="N904" t="n">
        <v>0</v>
      </c>
      <c r="O904" t="n">
        <v>0</v>
      </c>
      <c r="P904" t="n">
        <v>0</v>
      </c>
      <c r="Q904" t="n">
        <v>0</v>
      </c>
      <c r="R904" s="2" t="inlineStr"/>
    </row>
    <row r="905" ht="15" customHeight="1">
      <c r="A905" t="inlineStr">
        <is>
          <t>A 1975-2025</t>
        </is>
      </c>
      <c r="B905" s="1" t="n">
        <v>45672.39332175926</v>
      </c>
      <c r="C905" s="1" t="n">
        <v>45884</v>
      </c>
      <c r="D905" t="inlineStr">
        <is>
          <t>VÄSTERNORRLANDS LÄN</t>
        </is>
      </c>
      <c r="E905" t="inlineStr">
        <is>
          <t>ÅNGE</t>
        </is>
      </c>
      <c r="G905" t="n">
        <v>6.2</v>
      </c>
      <c r="H905" t="n">
        <v>0</v>
      </c>
      <c r="I905" t="n">
        <v>0</v>
      </c>
      <c r="J905" t="n">
        <v>0</v>
      </c>
      <c r="K905" t="n">
        <v>0</v>
      </c>
      <c r="L905" t="n">
        <v>0</v>
      </c>
      <c r="M905" t="n">
        <v>0</v>
      </c>
      <c r="N905" t="n">
        <v>0</v>
      </c>
      <c r="O905" t="n">
        <v>0</v>
      </c>
      <c r="P905" t="n">
        <v>0</v>
      </c>
      <c r="Q905" t="n">
        <v>0</v>
      </c>
      <c r="R905" s="2" t="inlineStr"/>
    </row>
    <row r="906" ht="15" customHeight="1">
      <c r="A906" t="inlineStr">
        <is>
          <t>A 15404-2025</t>
        </is>
      </c>
      <c r="B906" s="1" t="n">
        <v>45747.44665509259</v>
      </c>
      <c r="C906" s="1" t="n">
        <v>45884</v>
      </c>
      <c r="D906" t="inlineStr">
        <is>
          <t>VÄSTERNORRLANDS LÄN</t>
        </is>
      </c>
      <c r="E906" t="inlineStr">
        <is>
          <t>ÅNGE</t>
        </is>
      </c>
      <c r="G906" t="n">
        <v>11.8</v>
      </c>
      <c r="H906" t="n">
        <v>0</v>
      </c>
      <c r="I906" t="n">
        <v>0</v>
      </c>
      <c r="J906" t="n">
        <v>0</v>
      </c>
      <c r="K906" t="n">
        <v>0</v>
      </c>
      <c r="L906" t="n">
        <v>0</v>
      </c>
      <c r="M906" t="n">
        <v>0</v>
      </c>
      <c r="N906" t="n">
        <v>0</v>
      </c>
      <c r="O906" t="n">
        <v>0</v>
      </c>
      <c r="P906" t="n">
        <v>0</v>
      </c>
      <c r="Q906" t="n">
        <v>0</v>
      </c>
      <c r="R906" s="2" t="inlineStr"/>
    </row>
    <row r="907" ht="15" customHeight="1">
      <c r="A907" t="inlineStr">
        <is>
          <t>A 55380-2024</t>
        </is>
      </c>
      <c r="B907" s="1" t="n">
        <v>45622.28810185185</v>
      </c>
      <c r="C907" s="1" t="n">
        <v>45884</v>
      </c>
      <c r="D907" t="inlineStr">
        <is>
          <t>VÄSTERNORRLANDS LÄN</t>
        </is>
      </c>
      <c r="E907" t="inlineStr">
        <is>
          <t>ÅNGE</t>
        </is>
      </c>
      <c r="G907" t="n">
        <v>1.1</v>
      </c>
      <c r="H907" t="n">
        <v>0</v>
      </c>
      <c r="I907" t="n">
        <v>0</v>
      </c>
      <c r="J907" t="n">
        <v>0</v>
      </c>
      <c r="K907" t="n">
        <v>0</v>
      </c>
      <c r="L907" t="n">
        <v>0</v>
      </c>
      <c r="M907" t="n">
        <v>0</v>
      </c>
      <c r="N907" t="n">
        <v>0</v>
      </c>
      <c r="O907" t="n">
        <v>0</v>
      </c>
      <c r="P907" t="n">
        <v>0</v>
      </c>
      <c r="Q907" t="n">
        <v>0</v>
      </c>
      <c r="R907" s="2" t="inlineStr"/>
    </row>
    <row r="908" ht="15" customHeight="1">
      <c r="A908" t="inlineStr">
        <is>
          <t>A 56615-2023</t>
        </is>
      </c>
      <c r="B908" s="1" t="n">
        <v>45243</v>
      </c>
      <c r="C908" s="1" t="n">
        <v>45884</v>
      </c>
      <c r="D908" t="inlineStr">
        <is>
          <t>VÄSTERNORRLANDS LÄN</t>
        </is>
      </c>
      <c r="E908" t="inlineStr">
        <is>
          <t>ÅNGE</t>
        </is>
      </c>
      <c r="G908" t="n">
        <v>7.4</v>
      </c>
      <c r="H908" t="n">
        <v>0</v>
      </c>
      <c r="I908" t="n">
        <v>0</v>
      </c>
      <c r="J908" t="n">
        <v>0</v>
      </c>
      <c r="K908" t="n">
        <v>0</v>
      </c>
      <c r="L908" t="n">
        <v>0</v>
      </c>
      <c r="M908" t="n">
        <v>0</v>
      </c>
      <c r="N908" t="n">
        <v>0</v>
      </c>
      <c r="O908" t="n">
        <v>0</v>
      </c>
      <c r="P908" t="n">
        <v>0</v>
      </c>
      <c r="Q908" t="n">
        <v>0</v>
      </c>
      <c r="R908" s="2" t="inlineStr"/>
    </row>
    <row r="909" ht="15" customHeight="1">
      <c r="A909" t="inlineStr">
        <is>
          <t>A 57601-2022</t>
        </is>
      </c>
      <c r="B909" s="1" t="n">
        <v>44896</v>
      </c>
      <c r="C909" s="1" t="n">
        <v>45884</v>
      </c>
      <c r="D909" t="inlineStr">
        <is>
          <t>VÄSTERNORRLANDS LÄN</t>
        </is>
      </c>
      <c r="E909" t="inlineStr">
        <is>
          <t>ÅNGE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22678-2024</t>
        </is>
      </c>
      <c r="B910" s="1" t="n">
        <v>45447.94533564815</v>
      </c>
      <c r="C910" s="1" t="n">
        <v>45884</v>
      </c>
      <c r="D910" t="inlineStr">
        <is>
          <t>VÄSTERNORRLANDS LÄN</t>
        </is>
      </c>
      <c r="E910" t="inlineStr">
        <is>
          <t>ÅNGE</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51054-2024</t>
        </is>
      </c>
      <c r="B911" s="1" t="n">
        <v>45603</v>
      </c>
      <c r="C911" s="1" t="n">
        <v>45884</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64121-2021</t>
        </is>
      </c>
      <c r="B912" s="1" t="n">
        <v>44510.4730787037</v>
      </c>
      <c r="C912" s="1" t="n">
        <v>45884</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71965-2021</t>
        </is>
      </c>
      <c r="B913" s="1" t="n">
        <v>44544.32483796297</v>
      </c>
      <c r="C913" s="1" t="n">
        <v>45884</v>
      </c>
      <c r="D913" t="inlineStr">
        <is>
          <t>VÄSTERNORRLANDS LÄN</t>
        </is>
      </c>
      <c r="E913" t="inlineStr">
        <is>
          <t>ÅNGE</t>
        </is>
      </c>
      <c r="G913" t="n">
        <v>0.8</v>
      </c>
      <c r="H913" t="n">
        <v>0</v>
      </c>
      <c r="I913" t="n">
        <v>0</v>
      </c>
      <c r="J913" t="n">
        <v>0</v>
      </c>
      <c r="K913" t="n">
        <v>0</v>
      </c>
      <c r="L913" t="n">
        <v>0</v>
      </c>
      <c r="M913" t="n">
        <v>0</v>
      </c>
      <c r="N913" t="n">
        <v>0</v>
      </c>
      <c r="O913" t="n">
        <v>0</v>
      </c>
      <c r="P913" t="n">
        <v>0</v>
      </c>
      <c r="Q913" t="n">
        <v>0</v>
      </c>
      <c r="R913" s="2" t="inlineStr"/>
    </row>
    <row r="914" ht="15" customHeight="1">
      <c r="A914" t="inlineStr">
        <is>
          <t>A 38099-2024</t>
        </is>
      </c>
      <c r="B914" s="1" t="n">
        <v>45545.35920138889</v>
      </c>
      <c r="C914" s="1" t="n">
        <v>45884</v>
      </c>
      <c r="D914" t="inlineStr">
        <is>
          <t>VÄSTERNORRLANDS LÄN</t>
        </is>
      </c>
      <c r="E914" t="inlineStr">
        <is>
          <t>ÅNGE</t>
        </is>
      </c>
      <c r="F914" t="inlineStr">
        <is>
          <t>Holmen skog AB</t>
        </is>
      </c>
      <c r="G914" t="n">
        <v>3.7</v>
      </c>
      <c r="H914" t="n">
        <v>0</v>
      </c>
      <c r="I914" t="n">
        <v>0</v>
      </c>
      <c r="J914" t="n">
        <v>0</v>
      </c>
      <c r="K914" t="n">
        <v>0</v>
      </c>
      <c r="L914" t="n">
        <v>0</v>
      </c>
      <c r="M914" t="n">
        <v>0</v>
      </c>
      <c r="N914" t="n">
        <v>0</v>
      </c>
      <c r="O914" t="n">
        <v>0</v>
      </c>
      <c r="P914" t="n">
        <v>0</v>
      </c>
      <c r="Q914" t="n">
        <v>0</v>
      </c>
      <c r="R914" s="2" t="inlineStr"/>
    </row>
    <row r="915" ht="15" customHeight="1">
      <c r="A915" t="inlineStr">
        <is>
          <t>A 62834-2021</t>
        </is>
      </c>
      <c r="B915" s="1" t="n">
        <v>44503</v>
      </c>
      <c r="C915" s="1" t="n">
        <v>45884</v>
      </c>
      <c r="D915" t="inlineStr">
        <is>
          <t>VÄSTERNORRLANDS LÄN</t>
        </is>
      </c>
      <c r="E915" t="inlineStr">
        <is>
          <t>ÅNGE</t>
        </is>
      </c>
      <c r="F915" t="inlineStr">
        <is>
          <t>Övriga statliga verk och myndigheter</t>
        </is>
      </c>
      <c r="G915" t="n">
        <v>2.6</v>
      </c>
      <c r="H915" t="n">
        <v>0</v>
      </c>
      <c r="I915" t="n">
        <v>0</v>
      </c>
      <c r="J915" t="n">
        <v>0</v>
      </c>
      <c r="K915" t="n">
        <v>0</v>
      </c>
      <c r="L915" t="n">
        <v>0</v>
      </c>
      <c r="M915" t="n">
        <v>0</v>
      </c>
      <c r="N915" t="n">
        <v>0</v>
      </c>
      <c r="O915" t="n">
        <v>0</v>
      </c>
      <c r="P915" t="n">
        <v>0</v>
      </c>
      <c r="Q915" t="n">
        <v>0</v>
      </c>
      <c r="R915" s="2" t="inlineStr"/>
    </row>
    <row r="916" ht="15" customHeight="1">
      <c r="A916" t="inlineStr">
        <is>
          <t>A 7535-2023</t>
        </is>
      </c>
      <c r="B916" s="1" t="n">
        <v>44971</v>
      </c>
      <c r="C916" s="1" t="n">
        <v>45884</v>
      </c>
      <c r="D916" t="inlineStr">
        <is>
          <t>VÄSTERNORRLANDS LÄN</t>
        </is>
      </c>
      <c r="E916" t="inlineStr">
        <is>
          <t>ÅNGE</t>
        </is>
      </c>
      <c r="F916" t="inlineStr">
        <is>
          <t>SCA</t>
        </is>
      </c>
      <c r="G916" t="n">
        <v>14.6</v>
      </c>
      <c r="H916" t="n">
        <v>0</v>
      </c>
      <c r="I916" t="n">
        <v>0</v>
      </c>
      <c r="J916" t="n">
        <v>0</v>
      </c>
      <c r="K916" t="n">
        <v>0</v>
      </c>
      <c r="L916" t="n">
        <v>0</v>
      </c>
      <c r="M916" t="n">
        <v>0</v>
      </c>
      <c r="N916" t="n">
        <v>0</v>
      </c>
      <c r="O916" t="n">
        <v>0</v>
      </c>
      <c r="P916" t="n">
        <v>0</v>
      </c>
      <c r="Q916" t="n">
        <v>0</v>
      </c>
      <c r="R916" s="2" t="inlineStr"/>
    </row>
    <row r="917" ht="15" customHeight="1">
      <c r="A917" t="inlineStr">
        <is>
          <t>A 41586-2024</t>
        </is>
      </c>
      <c r="B917" s="1" t="n">
        <v>45560.56089120371</v>
      </c>
      <c r="C917" s="1" t="n">
        <v>45884</v>
      </c>
      <c r="D917" t="inlineStr">
        <is>
          <t>VÄSTERNORRLANDS LÄN</t>
        </is>
      </c>
      <c r="E917" t="inlineStr">
        <is>
          <t>ÅNGE</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48946-2024</t>
        </is>
      </c>
      <c r="B918" s="1" t="n">
        <v>45594.42736111111</v>
      </c>
      <c r="C918" s="1" t="n">
        <v>45884</v>
      </c>
      <c r="D918" t="inlineStr">
        <is>
          <t>VÄSTERNORRLANDS LÄN</t>
        </is>
      </c>
      <c r="E918" t="inlineStr">
        <is>
          <t>ÅNGE</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33429-2023</t>
        </is>
      </c>
      <c r="B919" s="1" t="n">
        <v>45128.94983796297</v>
      </c>
      <c r="C919" s="1" t="n">
        <v>45884</v>
      </c>
      <c r="D919" t="inlineStr">
        <is>
          <t>VÄSTERNORRLANDS LÄN</t>
        </is>
      </c>
      <c r="E919" t="inlineStr">
        <is>
          <t>ÅNGE</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22597-2021</t>
        </is>
      </c>
      <c r="B920" s="1" t="n">
        <v>44326</v>
      </c>
      <c r="C920" s="1" t="n">
        <v>45884</v>
      </c>
      <c r="D920" t="inlineStr">
        <is>
          <t>VÄSTERNORRLANDS LÄN</t>
        </is>
      </c>
      <c r="E920" t="inlineStr">
        <is>
          <t>ÅNGE</t>
        </is>
      </c>
      <c r="G920" t="n">
        <v>0.9</v>
      </c>
      <c r="H920" t="n">
        <v>0</v>
      </c>
      <c r="I920" t="n">
        <v>0</v>
      </c>
      <c r="J920" t="n">
        <v>0</v>
      </c>
      <c r="K920" t="n">
        <v>0</v>
      </c>
      <c r="L920" t="n">
        <v>0</v>
      </c>
      <c r="M920" t="n">
        <v>0</v>
      </c>
      <c r="N920" t="n">
        <v>0</v>
      </c>
      <c r="O920" t="n">
        <v>0</v>
      </c>
      <c r="P920" t="n">
        <v>0</v>
      </c>
      <c r="Q920" t="n">
        <v>0</v>
      </c>
      <c r="R920" s="2" t="inlineStr"/>
    </row>
    <row r="921" ht="15" customHeight="1">
      <c r="A921" t="inlineStr">
        <is>
          <t>A 20255-2023</t>
        </is>
      </c>
      <c r="B921" s="1" t="n">
        <v>45055</v>
      </c>
      <c r="C921" s="1" t="n">
        <v>45884</v>
      </c>
      <c r="D921" t="inlineStr">
        <is>
          <t>VÄSTERNORRLANDS LÄN</t>
        </is>
      </c>
      <c r="E921" t="inlineStr">
        <is>
          <t>ÅNGE</t>
        </is>
      </c>
      <c r="G921" t="n">
        <v>1.4</v>
      </c>
      <c r="H921" t="n">
        <v>0</v>
      </c>
      <c r="I921" t="n">
        <v>0</v>
      </c>
      <c r="J921" t="n">
        <v>0</v>
      </c>
      <c r="K921" t="n">
        <v>0</v>
      </c>
      <c r="L921" t="n">
        <v>0</v>
      </c>
      <c r="M921" t="n">
        <v>0</v>
      </c>
      <c r="N921" t="n">
        <v>0</v>
      </c>
      <c r="O921" t="n">
        <v>0</v>
      </c>
      <c r="P921" t="n">
        <v>0</v>
      </c>
      <c r="Q921" t="n">
        <v>0</v>
      </c>
      <c r="R921" s="2" t="inlineStr"/>
    </row>
    <row r="922" ht="15" customHeight="1">
      <c r="A922" t="inlineStr">
        <is>
          <t>A 15866-2025</t>
        </is>
      </c>
      <c r="B922" s="1" t="n">
        <v>45749.36032407408</v>
      </c>
      <c r="C922" s="1" t="n">
        <v>45884</v>
      </c>
      <c r="D922" t="inlineStr">
        <is>
          <t>VÄSTERNORRLANDS LÄN</t>
        </is>
      </c>
      <c r="E922" t="inlineStr">
        <is>
          <t>ÅNGE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1403-2025</t>
        </is>
      </c>
      <c r="B923" s="1" t="n">
        <v>45667.70548611111</v>
      </c>
      <c r="C923" s="1" t="n">
        <v>45884</v>
      </c>
      <c r="D923" t="inlineStr">
        <is>
          <t>VÄSTERNORRLANDS LÄN</t>
        </is>
      </c>
      <c r="E923" t="inlineStr">
        <is>
          <t>ÅNGE</t>
        </is>
      </c>
      <c r="G923" t="n">
        <v>1.3</v>
      </c>
      <c r="H923" t="n">
        <v>0</v>
      </c>
      <c r="I923" t="n">
        <v>0</v>
      </c>
      <c r="J923" t="n">
        <v>0</v>
      </c>
      <c r="K923" t="n">
        <v>0</v>
      </c>
      <c r="L923" t="n">
        <v>0</v>
      </c>
      <c r="M923" t="n">
        <v>0</v>
      </c>
      <c r="N923" t="n">
        <v>0</v>
      </c>
      <c r="O923" t="n">
        <v>0</v>
      </c>
      <c r="P923" t="n">
        <v>0</v>
      </c>
      <c r="Q923" t="n">
        <v>0</v>
      </c>
      <c r="R923" s="2" t="inlineStr"/>
    </row>
    <row r="924" ht="15" customHeight="1">
      <c r="A924" t="inlineStr">
        <is>
          <t>A 11871-2025</t>
        </is>
      </c>
      <c r="B924" s="1" t="n">
        <v>45728.42740740741</v>
      </c>
      <c r="C924" s="1" t="n">
        <v>45884</v>
      </c>
      <c r="D924" t="inlineStr">
        <is>
          <t>VÄSTERNORRLANDS LÄN</t>
        </is>
      </c>
      <c r="E924" t="inlineStr">
        <is>
          <t>ÅNGE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60365-2024</t>
        </is>
      </c>
      <c r="B925" s="1" t="n">
        <v>45643</v>
      </c>
      <c r="C925" s="1" t="n">
        <v>45884</v>
      </c>
      <c r="D925" t="inlineStr">
        <is>
          <t>VÄSTERNORRLANDS LÄN</t>
        </is>
      </c>
      <c r="E925" t="inlineStr">
        <is>
          <t>ÅNGE</t>
        </is>
      </c>
      <c r="G925" t="n">
        <v>1</v>
      </c>
      <c r="H925" t="n">
        <v>0</v>
      </c>
      <c r="I925" t="n">
        <v>0</v>
      </c>
      <c r="J925" t="n">
        <v>0</v>
      </c>
      <c r="K925" t="n">
        <v>0</v>
      </c>
      <c r="L925" t="n">
        <v>0</v>
      </c>
      <c r="M925" t="n">
        <v>0</v>
      </c>
      <c r="N925" t="n">
        <v>0</v>
      </c>
      <c r="O925" t="n">
        <v>0</v>
      </c>
      <c r="P925" t="n">
        <v>0</v>
      </c>
      <c r="Q925" t="n">
        <v>0</v>
      </c>
      <c r="R925" s="2" t="inlineStr"/>
    </row>
    <row r="926" ht="15" customHeight="1">
      <c r="A926" t="inlineStr">
        <is>
          <t>A 20393-2022</t>
        </is>
      </c>
      <c r="B926" s="1" t="n">
        <v>44699</v>
      </c>
      <c r="C926" s="1" t="n">
        <v>45884</v>
      </c>
      <c r="D926" t="inlineStr">
        <is>
          <t>VÄSTERNORRLANDS LÄN</t>
        </is>
      </c>
      <c r="E926" t="inlineStr">
        <is>
          <t>ÅNGE</t>
        </is>
      </c>
      <c r="G926" t="n">
        <v>6.9</v>
      </c>
      <c r="H926" t="n">
        <v>0</v>
      </c>
      <c r="I926" t="n">
        <v>0</v>
      </c>
      <c r="J926" t="n">
        <v>0</v>
      </c>
      <c r="K926" t="n">
        <v>0</v>
      </c>
      <c r="L926" t="n">
        <v>0</v>
      </c>
      <c r="M926" t="n">
        <v>0</v>
      </c>
      <c r="N926" t="n">
        <v>0</v>
      </c>
      <c r="O926" t="n">
        <v>0</v>
      </c>
      <c r="P926" t="n">
        <v>0</v>
      </c>
      <c r="Q926" t="n">
        <v>0</v>
      </c>
      <c r="R926" s="2" t="inlineStr"/>
    </row>
    <row r="927" ht="15" customHeight="1">
      <c r="A927" t="inlineStr">
        <is>
          <t>A 16934-2025</t>
        </is>
      </c>
      <c r="B927" s="1" t="n">
        <v>45755.40671296296</v>
      </c>
      <c r="C927" s="1" t="n">
        <v>45884</v>
      </c>
      <c r="D927" t="inlineStr">
        <is>
          <t>VÄSTERNORRLANDS LÄN</t>
        </is>
      </c>
      <c r="E927" t="inlineStr">
        <is>
          <t>ÅNGE</t>
        </is>
      </c>
      <c r="G927" t="n">
        <v>3.9</v>
      </c>
      <c r="H927" t="n">
        <v>0</v>
      </c>
      <c r="I927" t="n">
        <v>0</v>
      </c>
      <c r="J927" t="n">
        <v>0</v>
      </c>
      <c r="K927" t="n">
        <v>0</v>
      </c>
      <c r="L927" t="n">
        <v>0</v>
      </c>
      <c r="M927" t="n">
        <v>0</v>
      </c>
      <c r="N927" t="n">
        <v>0</v>
      </c>
      <c r="O927" t="n">
        <v>0</v>
      </c>
      <c r="P927" t="n">
        <v>0</v>
      </c>
      <c r="Q927" t="n">
        <v>0</v>
      </c>
      <c r="R927" s="2" t="inlineStr"/>
    </row>
    <row r="928" ht="15" customHeight="1">
      <c r="A928" t="inlineStr">
        <is>
          <t>A 25320-2023</t>
        </is>
      </c>
      <c r="B928" s="1" t="n">
        <v>45086.93929398148</v>
      </c>
      <c r="C928" s="1" t="n">
        <v>45884</v>
      </c>
      <c r="D928" t="inlineStr">
        <is>
          <t>VÄSTERNORRLANDS LÄN</t>
        </is>
      </c>
      <c r="E928" t="inlineStr">
        <is>
          <t>ÅNGE</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59626-2022</t>
        </is>
      </c>
      <c r="B929" s="1" t="n">
        <v>44907.92354166666</v>
      </c>
      <c r="C929" s="1" t="n">
        <v>45884</v>
      </c>
      <c r="D929" t="inlineStr">
        <is>
          <t>VÄSTERNORRLANDS LÄN</t>
        </is>
      </c>
      <c r="E929" t="inlineStr">
        <is>
          <t>ÅNGE</t>
        </is>
      </c>
      <c r="G929" t="n">
        <v>1.4</v>
      </c>
      <c r="H929" t="n">
        <v>0</v>
      </c>
      <c r="I929" t="n">
        <v>0</v>
      </c>
      <c r="J929" t="n">
        <v>0</v>
      </c>
      <c r="K929" t="n">
        <v>0</v>
      </c>
      <c r="L929" t="n">
        <v>0</v>
      </c>
      <c r="M929" t="n">
        <v>0</v>
      </c>
      <c r="N929" t="n">
        <v>0</v>
      </c>
      <c r="O929" t="n">
        <v>0</v>
      </c>
      <c r="P929" t="n">
        <v>0</v>
      </c>
      <c r="Q929" t="n">
        <v>0</v>
      </c>
      <c r="R929" s="2" t="inlineStr"/>
    </row>
    <row r="930" ht="15" customHeight="1">
      <c r="A930" t="inlineStr">
        <is>
          <t>A 4873-2025</t>
        </is>
      </c>
      <c r="B930" s="1" t="n">
        <v>45688.67633101852</v>
      </c>
      <c r="C930" s="1" t="n">
        <v>45884</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16281-2023</t>
        </is>
      </c>
      <c r="B931" s="1" t="n">
        <v>45028</v>
      </c>
      <c r="C931" s="1" t="n">
        <v>45884</v>
      </c>
      <c r="D931" t="inlineStr">
        <is>
          <t>VÄSTERNORRLANDS LÄN</t>
        </is>
      </c>
      <c r="E931" t="inlineStr">
        <is>
          <t>ÅNGE</t>
        </is>
      </c>
      <c r="G931" t="n">
        <v>1.6</v>
      </c>
      <c r="H931" t="n">
        <v>0</v>
      </c>
      <c r="I931" t="n">
        <v>0</v>
      </c>
      <c r="J931" t="n">
        <v>0</v>
      </c>
      <c r="K931" t="n">
        <v>0</v>
      </c>
      <c r="L931" t="n">
        <v>0</v>
      </c>
      <c r="M931" t="n">
        <v>0</v>
      </c>
      <c r="N931" t="n">
        <v>0</v>
      </c>
      <c r="O931" t="n">
        <v>0</v>
      </c>
      <c r="P931" t="n">
        <v>0</v>
      </c>
      <c r="Q931" t="n">
        <v>0</v>
      </c>
      <c r="R931" s="2" t="inlineStr"/>
    </row>
    <row r="932" ht="15" customHeight="1">
      <c r="A932" t="inlineStr">
        <is>
          <t>A 34727-2024</t>
        </is>
      </c>
      <c r="B932" s="1" t="n">
        <v>45526.5734375</v>
      </c>
      <c r="C932" s="1" t="n">
        <v>45884</v>
      </c>
      <c r="D932" t="inlineStr">
        <is>
          <t>VÄSTERNORRLANDS LÄN</t>
        </is>
      </c>
      <c r="E932" t="inlineStr">
        <is>
          <t>ÅNGE</t>
        </is>
      </c>
      <c r="G932" t="n">
        <v>3.6</v>
      </c>
      <c r="H932" t="n">
        <v>0</v>
      </c>
      <c r="I932" t="n">
        <v>0</v>
      </c>
      <c r="J932" t="n">
        <v>0</v>
      </c>
      <c r="K932" t="n">
        <v>0</v>
      </c>
      <c r="L932" t="n">
        <v>0</v>
      </c>
      <c r="M932" t="n">
        <v>0</v>
      </c>
      <c r="N932" t="n">
        <v>0</v>
      </c>
      <c r="O932" t="n">
        <v>0</v>
      </c>
      <c r="P932" t="n">
        <v>0</v>
      </c>
      <c r="Q932" t="n">
        <v>0</v>
      </c>
      <c r="R932" s="2" t="inlineStr"/>
    </row>
    <row r="933" ht="15" customHeight="1">
      <c r="A933" t="inlineStr">
        <is>
          <t>A 3-2025</t>
        </is>
      </c>
      <c r="B933" s="1" t="n">
        <v>45658.49819444444</v>
      </c>
      <c r="C933" s="1" t="n">
        <v>45884</v>
      </c>
      <c r="D933" t="inlineStr">
        <is>
          <t>VÄSTERNORRLANDS LÄN</t>
        </is>
      </c>
      <c r="E933" t="inlineStr">
        <is>
          <t>ÅNGE</t>
        </is>
      </c>
      <c r="G933" t="n">
        <v>2</v>
      </c>
      <c r="H933" t="n">
        <v>0</v>
      </c>
      <c r="I933" t="n">
        <v>0</v>
      </c>
      <c r="J933" t="n">
        <v>0</v>
      </c>
      <c r="K933" t="n">
        <v>0</v>
      </c>
      <c r="L933" t="n">
        <v>0</v>
      </c>
      <c r="M933" t="n">
        <v>0</v>
      </c>
      <c r="N933" t="n">
        <v>0</v>
      </c>
      <c r="O933" t="n">
        <v>0</v>
      </c>
      <c r="P933" t="n">
        <v>0</v>
      </c>
      <c r="Q933" t="n">
        <v>0</v>
      </c>
      <c r="R933" s="2" t="inlineStr"/>
    </row>
    <row r="934" ht="15" customHeight="1">
      <c r="A934" t="inlineStr">
        <is>
          <t>A 34852-2023</t>
        </is>
      </c>
      <c r="B934" s="1" t="n">
        <v>45141</v>
      </c>
      <c r="C934" s="1" t="n">
        <v>45884</v>
      </c>
      <c r="D934" t="inlineStr">
        <is>
          <t>VÄSTERNORRLANDS LÄN</t>
        </is>
      </c>
      <c r="E934" t="inlineStr">
        <is>
          <t>ÅNGE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26012-2024</t>
        </is>
      </c>
      <c r="B935" s="1" t="n">
        <v>45467</v>
      </c>
      <c r="C935" s="1" t="n">
        <v>45884</v>
      </c>
      <c r="D935" t="inlineStr">
        <is>
          <t>VÄSTERNORRLANDS LÄN</t>
        </is>
      </c>
      <c r="E935" t="inlineStr">
        <is>
          <t>ÅNGE</t>
        </is>
      </c>
      <c r="F935" t="inlineStr">
        <is>
          <t>SCA</t>
        </is>
      </c>
      <c r="G935" t="n">
        <v>7.5</v>
      </c>
      <c r="H935" t="n">
        <v>0</v>
      </c>
      <c r="I935" t="n">
        <v>0</v>
      </c>
      <c r="J935" t="n">
        <v>0</v>
      </c>
      <c r="K935" t="n">
        <v>0</v>
      </c>
      <c r="L935" t="n">
        <v>0</v>
      </c>
      <c r="M935" t="n">
        <v>0</v>
      </c>
      <c r="N935" t="n">
        <v>0</v>
      </c>
      <c r="O935" t="n">
        <v>0</v>
      </c>
      <c r="P935" t="n">
        <v>0</v>
      </c>
      <c r="Q935" t="n">
        <v>0</v>
      </c>
      <c r="R935" s="2" t="inlineStr"/>
    </row>
    <row r="936" ht="15" customHeight="1">
      <c r="A936" t="inlineStr">
        <is>
          <t>A 26015-2024</t>
        </is>
      </c>
      <c r="B936" s="1" t="n">
        <v>45467.95872685185</v>
      </c>
      <c r="C936" s="1" t="n">
        <v>45884</v>
      </c>
      <c r="D936" t="inlineStr">
        <is>
          <t>VÄSTERNORRLANDS LÄN</t>
        </is>
      </c>
      <c r="E936" t="inlineStr">
        <is>
          <t>ÅNGE</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15032-2025</t>
        </is>
      </c>
      <c r="B937" s="1" t="n">
        <v>45743.67748842593</v>
      </c>
      <c r="C937" s="1" t="n">
        <v>45884</v>
      </c>
      <c r="D937" t="inlineStr">
        <is>
          <t>VÄSTERNORRLANDS LÄN</t>
        </is>
      </c>
      <c r="E937" t="inlineStr">
        <is>
          <t>ÅNGE</t>
        </is>
      </c>
      <c r="F937" t="inlineStr">
        <is>
          <t>SCA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44415-2021</t>
        </is>
      </c>
      <c r="B938" s="1" t="n">
        <v>44435</v>
      </c>
      <c r="C938" s="1" t="n">
        <v>45884</v>
      </c>
      <c r="D938" t="inlineStr">
        <is>
          <t>VÄSTERNORRLANDS LÄN</t>
        </is>
      </c>
      <c r="E938" t="inlineStr">
        <is>
          <t>ÅNGE</t>
        </is>
      </c>
      <c r="G938" t="n">
        <v>5.2</v>
      </c>
      <c r="H938" t="n">
        <v>0</v>
      </c>
      <c r="I938" t="n">
        <v>0</v>
      </c>
      <c r="J938" t="n">
        <v>0</v>
      </c>
      <c r="K938" t="n">
        <v>0</v>
      </c>
      <c r="L938" t="n">
        <v>0</v>
      </c>
      <c r="M938" t="n">
        <v>0</v>
      </c>
      <c r="N938" t="n">
        <v>0</v>
      </c>
      <c r="O938" t="n">
        <v>0</v>
      </c>
      <c r="P938" t="n">
        <v>0</v>
      </c>
      <c r="Q938" t="n">
        <v>0</v>
      </c>
      <c r="R938" s="2" t="inlineStr"/>
    </row>
    <row r="939" ht="15" customHeight="1">
      <c r="A939" t="inlineStr">
        <is>
          <t>A 48697-2024</t>
        </is>
      </c>
      <c r="B939" s="1" t="n">
        <v>45593.51136574074</v>
      </c>
      <c r="C939" s="1" t="n">
        <v>45884</v>
      </c>
      <c r="D939" t="inlineStr">
        <is>
          <t>VÄSTERNORRLANDS LÄN</t>
        </is>
      </c>
      <c r="E939" t="inlineStr">
        <is>
          <t>ÅNGE</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1095-2023</t>
        </is>
      </c>
      <c r="B940" s="1" t="n">
        <v>44929</v>
      </c>
      <c r="C940" s="1" t="n">
        <v>45884</v>
      </c>
      <c r="D940" t="inlineStr">
        <is>
          <t>VÄSTERNORRLANDS LÄN</t>
        </is>
      </c>
      <c r="E940" t="inlineStr">
        <is>
          <t>ÅNGE</t>
        </is>
      </c>
      <c r="G940" t="n">
        <v>3.2</v>
      </c>
      <c r="H940" t="n">
        <v>0</v>
      </c>
      <c r="I940" t="n">
        <v>0</v>
      </c>
      <c r="J940" t="n">
        <v>0</v>
      </c>
      <c r="K940" t="n">
        <v>0</v>
      </c>
      <c r="L940" t="n">
        <v>0</v>
      </c>
      <c r="M940" t="n">
        <v>0</v>
      </c>
      <c r="N940" t="n">
        <v>0</v>
      </c>
      <c r="O940" t="n">
        <v>0</v>
      </c>
      <c r="P940" t="n">
        <v>0</v>
      </c>
      <c r="Q940" t="n">
        <v>0</v>
      </c>
      <c r="R940" s="2" t="inlineStr"/>
    </row>
    <row r="941" ht="15" customHeight="1">
      <c r="A941" t="inlineStr">
        <is>
          <t>A 46795-2023</t>
        </is>
      </c>
      <c r="B941" s="1" t="n">
        <v>45198</v>
      </c>
      <c r="C941" s="1" t="n">
        <v>45884</v>
      </c>
      <c r="D941" t="inlineStr">
        <is>
          <t>VÄSTERNORRLANDS LÄN</t>
        </is>
      </c>
      <c r="E941" t="inlineStr">
        <is>
          <t>ÅNGE</t>
        </is>
      </c>
      <c r="F941" t="inlineStr">
        <is>
          <t>Holmen skog AB</t>
        </is>
      </c>
      <c r="G941" t="n">
        <v>2.5</v>
      </c>
      <c r="H941" t="n">
        <v>0</v>
      </c>
      <c r="I941" t="n">
        <v>0</v>
      </c>
      <c r="J941" t="n">
        <v>0</v>
      </c>
      <c r="K941" t="n">
        <v>0</v>
      </c>
      <c r="L941" t="n">
        <v>0</v>
      </c>
      <c r="M941" t="n">
        <v>0</v>
      </c>
      <c r="N941" t="n">
        <v>0</v>
      </c>
      <c r="O941" t="n">
        <v>0</v>
      </c>
      <c r="P941" t="n">
        <v>0</v>
      </c>
      <c r="Q941" t="n">
        <v>0</v>
      </c>
      <c r="R941" s="2" t="inlineStr"/>
    </row>
    <row r="942" ht="15" customHeight="1">
      <c r="A942" t="inlineStr">
        <is>
          <t>A 16657-2025</t>
        </is>
      </c>
      <c r="B942" s="1" t="n">
        <v>45754.40700231482</v>
      </c>
      <c r="C942" s="1" t="n">
        <v>45884</v>
      </c>
      <c r="D942" t="inlineStr">
        <is>
          <t>VÄSTERNORRLANDS LÄN</t>
        </is>
      </c>
      <c r="E942" t="inlineStr">
        <is>
          <t>ÅNGE</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63709-2023</t>
        </is>
      </c>
      <c r="B943" s="1" t="n">
        <v>45275.95069444444</v>
      </c>
      <c r="C943" s="1" t="n">
        <v>45884</v>
      </c>
      <c r="D943" t="inlineStr">
        <is>
          <t>VÄSTERNORRLANDS LÄN</t>
        </is>
      </c>
      <c r="E943" t="inlineStr">
        <is>
          <t>ÅNGE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30353-2024</t>
        </is>
      </c>
      <c r="B944" s="1" t="n">
        <v>45490.95567129629</v>
      </c>
      <c r="C944" s="1" t="n">
        <v>45884</v>
      </c>
      <c r="D944" t="inlineStr">
        <is>
          <t>VÄSTERNORRLANDS LÄN</t>
        </is>
      </c>
      <c r="E944" t="inlineStr">
        <is>
          <t>ÅNGE</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4187-2025</t>
        </is>
      </c>
      <c r="B945" s="1" t="n">
        <v>45685.44842592593</v>
      </c>
      <c r="C945" s="1" t="n">
        <v>45884</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58929-2024</t>
        </is>
      </c>
      <c r="B946" s="1" t="n">
        <v>45636.51090277778</v>
      </c>
      <c r="C946" s="1" t="n">
        <v>45884</v>
      </c>
      <c r="D946" t="inlineStr">
        <is>
          <t>VÄSTERNORRLANDS LÄN</t>
        </is>
      </c>
      <c r="E946" t="inlineStr">
        <is>
          <t>ÅNGE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42100-2023</t>
        </is>
      </c>
      <c r="B947" s="1" t="n">
        <v>45174</v>
      </c>
      <c r="C947" s="1" t="n">
        <v>45884</v>
      </c>
      <c r="D947" t="inlineStr">
        <is>
          <t>VÄSTERNORRLANDS LÄN</t>
        </is>
      </c>
      <c r="E947" t="inlineStr">
        <is>
          <t>ÅNGE</t>
        </is>
      </c>
      <c r="G947" t="n">
        <v>0.6</v>
      </c>
      <c r="H947" t="n">
        <v>0</v>
      </c>
      <c r="I947" t="n">
        <v>0</v>
      </c>
      <c r="J947" t="n">
        <v>0</v>
      </c>
      <c r="K947" t="n">
        <v>0</v>
      </c>
      <c r="L947" t="n">
        <v>0</v>
      </c>
      <c r="M947" t="n">
        <v>0</v>
      </c>
      <c r="N947" t="n">
        <v>0</v>
      </c>
      <c r="O947" t="n">
        <v>0</v>
      </c>
      <c r="P947" t="n">
        <v>0</v>
      </c>
      <c r="Q947" t="n">
        <v>0</v>
      </c>
      <c r="R947" s="2" t="inlineStr"/>
    </row>
    <row r="948" ht="15" customHeight="1">
      <c r="A948" t="inlineStr">
        <is>
          <t>A 40788-2024</t>
        </is>
      </c>
      <c r="B948" s="1" t="n">
        <v>45558.50974537037</v>
      </c>
      <c r="C948" s="1" t="n">
        <v>45884</v>
      </c>
      <c r="D948" t="inlineStr">
        <is>
          <t>VÄSTERNORRLANDS LÄN</t>
        </is>
      </c>
      <c r="E948" t="inlineStr">
        <is>
          <t>ÅNGE</t>
        </is>
      </c>
      <c r="G948" t="n">
        <v>4.2</v>
      </c>
      <c r="H948" t="n">
        <v>0</v>
      </c>
      <c r="I948" t="n">
        <v>0</v>
      </c>
      <c r="J948" t="n">
        <v>0</v>
      </c>
      <c r="K948" t="n">
        <v>0</v>
      </c>
      <c r="L948" t="n">
        <v>0</v>
      </c>
      <c r="M948" t="n">
        <v>0</v>
      </c>
      <c r="N948" t="n">
        <v>0</v>
      </c>
      <c r="O948" t="n">
        <v>0</v>
      </c>
      <c r="P948" t="n">
        <v>0</v>
      </c>
      <c r="Q948" t="n">
        <v>0</v>
      </c>
      <c r="R948" s="2" t="inlineStr"/>
    </row>
    <row r="949" ht="15" customHeight="1">
      <c r="A949" t="inlineStr">
        <is>
          <t>A 2365-2024</t>
        </is>
      </c>
      <c r="B949" s="1" t="n">
        <v>45310.59778935185</v>
      </c>
      <c r="C949" s="1" t="n">
        <v>45884</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2372-2024</t>
        </is>
      </c>
      <c r="B950" s="1" t="n">
        <v>45310.6115625</v>
      </c>
      <c r="C950" s="1" t="n">
        <v>45884</v>
      </c>
      <c r="D950" t="inlineStr">
        <is>
          <t>VÄSTERNORRLANDS LÄN</t>
        </is>
      </c>
      <c r="E950" t="inlineStr">
        <is>
          <t>ÅNGE</t>
        </is>
      </c>
      <c r="G950" t="n">
        <v>5.6</v>
      </c>
      <c r="H950" t="n">
        <v>0</v>
      </c>
      <c r="I950" t="n">
        <v>0</v>
      </c>
      <c r="J950" t="n">
        <v>0</v>
      </c>
      <c r="K950" t="n">
        <v>0</v>
      </c>
      <c r="L950" t="n">
        <v>0</v>
      </c>
      <c r="M950" t="n">
        <v>0</v>
      </c>
      <c r="N950" t="n">
        <v>0</v>
      </c>
      <c r="O950" t="n">
        <v>0</v>
      </c>
      <c r="P950" t="n">
        <v>0</v>
      </c>
      <c r="Q950" t="n">
        <v>0</v>
      </c>
      <c r="R950" s="2" t="inlineStr"/>
    </row>
    <row r="951" ht="15" customHeight="1">
      <c r="A951" t="inlineStr">
        <is>
          <t>A 27306-2024</t>
        </is>
      </c>
      <c r="B951" s="1" t="n">
        <v>45471.94454861111</v>
      </c>
      <c r="C951" s="1" t="n">
        <v>45884</v>
      </c>
      <c r="D951" t="inlineStr">
        <is>
          <t>VÄSTERNORRLANDS LÄN</t>
        </is>
      </c>
      <c r="E951" t="inlineStr">
        <is>
          <t>ÅNGE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59818-2024</t>
        </is>
      </c>
      <c r="B952" s="1" t="n">
        <v>45639.63572916666</v>
      </c>
      <c r="C952" s="1" t="n">
        <v>45884</v>
      </c>
      <c r="D952" t="inlineStr">
        <is>
          <t>VÄSTERNORRLANDS LÄN</t>
        </is>
      </c>
      <c r="E952" t="inlineStr">
        <is>
          <t>ÅNGE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16978-2024</t>
        </is>
      </c>
      <c r="B953" s="1" t="n">
        <v>45412.02416666667</v>
      </c>
      <c r="C953" s="1" t="n">
        <v>45884</v>
      </c>
      <c r="D953" t="inlineStr">
        <is>
          <t>VÄSTERNORRLANDS LÄN</t>
        </is>
      </c>
      <c r="E953" t="inlineStr">
        <is>
          <t>ÅNGE</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57286-2022</t>
        </is>
      </c>
      <c r="B954" s="1" t="n">
        <v>44895.94991898148</v>
      </c>
      <c r="C954" s="1" t="n">
        <v>45884</v>
      </c>
      <c r="D954" t="inlineStr">
        <is>
          <t>VÄSTERNORRLANDS LÄN</t>
        </is>
      </c>
      <c r="E954" t="inlineStr">
        <is>
          <t>ÅNGE</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20696-2025</t>
        </is>
      </c>
      <c r="B955" s="1" t="n">
        <v>45776.46969907408</v>
      </c>
      <c r="C955" s="1" t="n">
        <v>45884</v>
      </c>
      <c r="D955" t="inlineStr">
        <is>
          <t>VÄSTERNORRLANDS LÄN</t>
        </is>
      </c>
      <c r="E955" t="inlineStr">
        <is>
          <t>ÅNGE</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20717-2025</t>
        </is>
      </c>
      <c r="B956" s="1" t="n">
        <v>45776.49040509259</v>
      </c>
      <c r="C956" s="1" t="n">
        <v>45884</v>
      </c>
      <c r="D956" t="inlineStr">
        <is>
          <t>VÄSTERNORRLANDS LÄN</t>
        </is>
      </c>
      <c r="E956" t="inlineStr">
        <is>
          <t>ÅNGE</t>
        </is>
      </c>
      <c r="F956" t="inlineStr">
        <is>
          <t>SCA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21068-2025</t>
        </is>
      </c>
      <c r="B957" s="1" t="n">
        <v>45777.59413194445</v>
      </c>
      <c r="C957" s="1" t="n">
        <v>45884</v>
      </c>
      <c r="D957" t="inlineStr">
        <is>
          <t>VÄSTERNORRLANDS LÄN</t>
        </is>
      </c>
      <c r="E957" t="inlineStr">
        <is>
          <t>ÅNGE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65149-2020</t>
        </is>
      </c>
      <c r="B958" s="1" t="n">
        <v>44172</v>
      </c>
      <c r="C958" s="1" t="n">
        <v>45884</v>
      </c>
      <c r="D958" t="inlineStr">
        <is>
          <t>VÄSTERNORRLANDS LÄN</t>
        </is>
      </c>
      <c r="E958" t="inlineStr">
        <is>
          <t>ÅNGE</t>
        </is>
      </c>
      <c r="G958" t="n">
        <v>9.5</v>
      </c>
      <c r="H958" t="n">
        <v>0</v>
      </c>
      <c r="I958" t="n">
        <v>0</v>
      </c>
      <c r="J958" t="n">
        <v>0</v>
      </c>
      <c r="K958" t="n">
        <v>0</v>
      </c>
      <c r="L958" t="n">
        <v>0</v>
      </c>
      <c r="M958" t="n">
        <v>0</v>
      </c>
      <c r="N958" t="n">
        <v>0</v>
      </c>
      <c r="O958" t="n">
        <v>0</v>
      </c>
      <c r="P958" t="n">
        <v>0</v>
      </c>
      <c r="Q958" t="n">
        <v>0</v>
      </c>
      <c r="R958" s="2" t="inlineStr"/>
    </row>
    <row r="959" ht="15" customHeight="1">
      <c r="A959" t="inlineStr">
        <is>
          <t>A 20864-2025</t>
        </is>
      </c>
      <c r="B959" s="1" t="n">
        <v>45777.34417824074</v>
      </c>
      <c r="C959" s="1" t="n">
        <v>45884</v>
      </c>
      <c r="D959" t="inlineStr">
        <is>
          <t>VÄSTERNORRLANDS LÄN</t>
        </is>
      </c>
      <c r="E959" t="inlineStr">
        <is>
          <t>ÅNGE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20868-2025</t>
        </is>
      </c>
      <c r="B960" s="1" t="n">
        <v>45777.34483796296</v>
      </c>
      <c r="C960" s="1" t="n">
        <v>45884</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20718-2025</t>
        </is>
      </c>
      <c r="B961" s="1" t="n">
        <v>45776.49047453704</v>
      </c>
      <c r="C961" s="1" t="n">
        <v>45884</v>
      </c>
      <c r="D961" t="inlineStr">
        <is>
          <t>VÄSTERNORRLANDS LÄN</t>
        </is>
      </c>
      <c r="E961" t="inlineStr">
        <is>
          <t>ÅNGE</t>
        </is>
      </c>
      <c r="G961" t="n">
        <v>4.7</v>
      </c>
      <c r="H961" t="n">
        <v>0</v>
      </c>
      <c r="I961" t="n">
        <v>0</v>
      </c>
      <c r="J961" t="n">
        <v>0</v>
      </c>
      <c r="K961" t="n">
        <v>0</v>
      </c>
      <c r="L961" t="n">
        <v>0</v>
      </c>
      <c r="M961" t="n">
        <v>0</v>
      </c>
      <c r="N961" t="n">
        <v>0</v>
      </c>
      <c r="O961" t="n">
        <v>0</v>
      </c>
      <c r="P961" t="n">
        <v>0</v>
      </c>
      <c r="Q961" t="n">
        <v>0</v>
      </c>
      <c r="R961" s="2" t="inlineStr"/>
    </row>
    <row r="962" ht="15" customHeight="1">
      <c r="A962" t="inlineStr">
        <is>
          <t>A 20776-2025</t>
        </is>
      </c>
      <c r="B962" s="1" t="n">
        <v>45776.59410879629</v>
      </c>
      <c r="C962" s="1" t="n">
        <v>45884</v>
      </c>
      <c r="D962" t="inlineStr">
        <is>
          <t>VÄSTERNORRLANDS LÄN</t>
        </is>
      </c>
      <c r="E962" t="inlineStr">
        <is>
          <t>ÅNGE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20716-2025</t>
        </is>
      </c>
      <c r="B963" s="1" t="n">
        <v>45776.49026620371</v>
      </c>
      <c r="C963" s="1" t="n">
        <v>45884</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21174-2025</t>
        </is>
      </c>
      <c r="B964" s="1" t="n">
        <v>45779.42746527777</v>
      </c>
      <c r="C964" s="1" t="n">
        <v>45884</v>
      </c>
      <c r="D964" t="inlineStr">
        <is>
          <t>VÄSTERNORRLANDS LÄN</t>
        </is>
      </c>
      <c r="E964" t="inlineStr">
        <is>
          <t>ÅNGE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21197-2025</t>
        </is>
      </c>
      <c r="B965" s="1" t="n">
        <v>45779.46949074074</v>
      </c>
      <c r="C965" s="1" t="n">
        <v>45884</v>
      </c>
      <c r="D965" t="inlineStr">
        <is>
          <t>VÄSTERNORRLANDS LÄN</t>
        </is>
      </c>
      <c r="E965" t="inlineStr">
        <is>
          <t>ÅNGE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45030-2024</t>
        </is>
      </c>
      <c r="B966" s="1" t="n">
        <v>45575.52089120371</v>
      </c>
      <c r="C966" s="1" t="n">
        <v>45884</v>
      </c>
      <c r="D966" t="inlineStr">
        <is>
          <t>VÄSTERNORRLANDS LÄN</t>
        </is>
      </c>
      <c r="E966" t="inlineStr">
        <is>
          <t>ÅNGE</t>
        </is>
      </c>
      <c r="G966" t="n">
        <v>1.7</v>
      </c>
      <c r="H966" t="n">
        <v>0</v>
      </c>
      <c r="I966" t="n">
        <v>0</v>
      </c>
      <c r="J966" t="n">
        <v>0</v>
      </c>
      <c r="K966" t="n">
        <v>0</v>
      </c>
      <c r="L966" t="n">
        <v>0</v>
      </c>
      <c r="M966" t="n">
        <v>0</v>
      </c>
      <c r="N966" t="n">
        <v>0</v>
      </c>
      <c r="O966" t="n">
        <v>0</v>
      </c>
      <c r="P966" t="n">
        <v>0</v>
      </c>
      <c r="Q966" t="n">
        <v>0</v>
      </c>
      <c r="R966" s="2" t="inlineStr"/>
    </row>
    <row r="967" ht="15" customHeight="1">
      <c r="A967" t="inlineStr">
        <is>
          <t>A 21263-2025</t>
        </is>
      </c>
      <c r="B967" s="1" t="n">
        <v>45779.61233796296</v>
      </c>
      <c r="C967" s="1" t="n">
        <v>45884</v>
      </c>
      <c r="D967" t="inlineStr">
        <is>
          <t>VÄSTERNORRLANDS LÄN</t>
        </is>
      </c>
      <c r="E967" t="inlineStr">
        <is>
          <t>ÅNGE</t>
        </is>
      </c>
      <c r="F967" t="inlineStr">
        <is>
          <t>Sveaskog</t>
        </is>
      </c>
      <c r="G967" t="n">
        <v>14.9</v>
      </c>
      <c r="H967" t="n">
        <v>0</v>
      </c>
      <c r="I967" t="n">
        <v>0</v>
      </c>
      <c r="J967" t="n">
        <v>0</v>
      </c>
      <c r="K967" t="n">
        <v>0</v>
      </c>
      <c r="L967" t="n">
        <v>0</v>
      </c>
      <c r="M967" t="n">
        <v>0</v>
      </c>
      <c r="N967" t="n">
        <v>0</v>
      </c>
      <c r="O967" t="n">
        <v>0</v>
      </c>
      <c r="P967" t="n">
        <v>0</v>
      </c>
      <c r="Q967" t="n">
        <v>0</v>
      </c>
      <c r="R967" s="2" t="inlineStr"/>
    </row>
    <row r="968" ht="15" customHeight="1">
      <c r="A968" t="inlineStr">
        <is>
          <t>A 21251-2025</t>
        </is>
      </c>
      <c r="B968" s="1" t="n">
        <v>45779.57417824074</v>
      </c>
      <c r="C968" s="1" t="n">
        <v>45884</v>
      </c>
      <c r="D968" t="inlineStr">
        <is>
          <t>VÄSTERNORRLANDS LÄN</t>
        </is>
      </c>
      <c r="E968" t="inlineStr">
        <is>
          <t>ÅNGE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21176-2025</t>
        </is>
      </c>
      <c r="B969" s="1" t="n">
        <v>45779.42798611111</v>
      </c>
      <c r="C969" s="1" t="n">
        <v>45884</v>
      </c>
      <c r="D969" t="inlineStr">
        <is>
          <t>VÄSTERNORRLANDS LÄN</t>
        </is>
      </c>
      <c r="E969" t="inlineStr">
        <is>
          <t>ÅNGE</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21741-2025</t>
        </is>
      </c>
      <c r="B970" s="1" t="n">
        <v>45783.59415509259</v>
      </c>
      <c r="C970" s="1" t="n">
        <v>45884</v>
      </c>
      <c r="D970" t="inlineStr">
        <is>
          <t>VÄSTERNORRLANDS LÄN</t>
        </is>
      </c>
      <c r="E970" t="inlineStr">
        <is>
          <t>ÅNGE</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21792-2025</t>
        </is>
      </c>
      <c r="B971" s="1" t="n">
        <v>45783.6778587963</v>
      </c>
      <c r="C971" s="1" t="n">
        <v>45884</v>
      </c>
      <c r="D971" t="inlineStr">
        <is>
          <t>VÄSTERNORRLANDS LÄN</t>
        </is>
      </c>
      <c r="E971" t="inlineStr">
        <is>
          <t>ÅNGE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21685-2025</t>
        </is>
      </c>
      <c r="B972" s="1" t="n">
        <v>45783.49050925926</v>
      </c>
      <c r="C972" s="1" t="n">
        <v>45884</v>
      </c>
      <c r="D972" t="inlineStr">
        <is>
          <t>VÄSTERNORRLANDS LÄN</t>
        </is>
      </c>
      <c r="E972" t="inlineStr">
        <is>
          <t>ÅNGE</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41766-2024</t>
        </is>
      </c>
      <c r="B973" s="1" t="n">
        <v>45561.34594907407</v>
      </c>
      <c r="C973" s="1" t="n">
        <v>45884</v>
      </c>
      <c r="D973" t="inlineStr">
        <is>
          <t>VÄSTERNORRLANDS LÄN</t>
        </is>
      </c>
      <c r="E973" t="inlineStr">
        <is>
          <t>ÅNGE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21597-2025</t>
        </is>
      </c>
      <c r="B974" s="1" t="n">
        <v>45783.34493055556</v>
      </c>
      <c r="C974" s="1" t="n">
        <v>45884</v>
      </c>
      <c r="D974" t="inlineStr">
        <is>
          <t>VÄSTERNORRLANDS LÄN</t>
        </is>
      </c>
      <c r="E974" t="inlineStr">
        <is>
          <t>ÅNGE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17669-2023</t>
        </is>
      </c>
      <c r="B975" s="1" t="n">
        <v>45036.94457175926</v>
      </c>
      <c r="C975" s="1" t="n">
        <v>45884</v>
      </c>
      <c r="D975" t="inlineStr">
        <is>
          <t>VÄSTERNORRLANDS LÄN</t>
        </is>
      </c>
      <c r="E975" t="inlineStr">
        <is>
          <t>ÅNGE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21791-2025</t>
        </is>
      </c>
      <c r="B976" s="1" t="n">
        <v>45783.67771990741</v>
      </c>
      <c r="C976" s="1" t="n">
        <v>45884</v>
      </c>
      <c r="D976" t="inlineStr">
        <is>
          <t>VÄSTERNORRLANDS LÄN</t>
        </is>
      </c>
      <c r="E976" t="inlineStr">
        <is>
          <t>ÅNGE</t>
        </is>
      </c>
      <c r="F976" t="inlineStr">
        <is>
          <t>SCA</t>
        </is>
      </c>
      <c r="G976" t="n">
        <v>5.9</v>
      </c>
      <c r="H976" t="n">
        <v>0</v>
      </c>
      <c r="I976" t="n">
        <v>0</v>
      </c>
      <c r="J976" t="n">
        <v>0</v>
      </c>
      <c r="K976" t="n">
        <v>0</v>
      </c>
      <c r="L976" t="n">
        <v>0</v>
      </c>
      <c r="M976" t="n">
        <v>0</v>
      </c>
      <c r="N976" t="n">
        <v>0</v>
      </c>
      <c r="O976" t="n">
        <v>0</v>
      </c>
      <c r="P976" t="n">
        <v>0</v>
      </c>
      <c r="Q976" t="n">
        <v>0</v>
      </c>
      <c r="R976" s="2" t="inlineStr"/>
    </row>
    <row r="977" ht="15" customHeight="1">
      <c r="A977" t="inlineStr">
        <is>
          <t>A 39178-2024</t>
        </is>
      </c>
      <c r="B977" s="1" t="n">
        <v>45548.65692129629</v>
      </c>
      <c r="C977" s="1" t="n">
        <v>45884</v>
      </c>
      <c r="D977" t="inlineStr">
        <is>
          <t>VÄSTERNORRLANDS LÄN</t>
        </is>
      </c>
      <c r="E977" t="inlineStr">
        <is>
          <t>ÅNGE</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25867-2024</t>
        </is>
      </c>
      <c r="B978" s="1" t="n">
        <v>45463</v>
      </c>
      <c r="C978" s="1" t="n">
        <v>45884</v>
      </c>
      <c r="D978" t="inlineStr">
        <is>
          <t>VÄSTERNORRLANDS LÄN</t>
        </is>
      </c>
      <c r="E978" t="inlineStr">
        <is>
          <t>ÅNGE</t>
        </is>
      </c>
      <c r="G978" t="n">
        <v>2.7</v>
      </c>
      <c r="H978" t="n">
        <v>0</v>
      </c>
      <c r="I978" t="n">
        <v>0</v>
      </c>
      <c r="J978" t="n">
        <v>0</v>
      </c>
      <c r="K978" t="n">
        <v>0</v>
      </c>
      <c r="L978" t="n">
        <v>0</v>
      </c>
      <c r="M978" t="n">
        <v>0</v>
      </c>
      <c r="N978" t="n">
        <v>0</v>
      </c>
      <c r="O978" t="n">
        <v>0</v>
      </c>
      <c r="P978" t="n">
        <v>0</v>
      </c>
      <c r="Q978" t="n">
        <v>0</v>
      </c>
      <c r="R978" s="2" t="inlineStr"/>
    </row>
    <row r="979" ht="15" customHeight="1">
      <c r="A979" t="inlineStr">
        <is>
          <t>A 2539-2025</t>
        </is>
      </c>
      <c r="B979" s="1" t="n">
        <v>45674.61581018518</v>
      </c>
      <c r="C979" s="1" t="n">
        <v>45884</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21454-2025</t>
        </is>
      </c>
      <c r="B980" s="1" t="n">
        <v>45782.55322916667</v>
      </c>
      <c r="C980" s="1" t="n">
        <v>45884</v>
      </c>
      <c r="D980" t="inlineStr">
        <is>
          <t>VÄSTERNORRLANDS LÄN</t>
        </is>
      </c>
      <c r="E980" t="inlineStr">
        <is>
          <t>ÅNGE</t>
        </is>
      </c>
      <c r="F980" t="inlineStr">
        <is>
          <t>SCA</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21686-2025</t>
        </is>
      </c>
      <c r="B981" s="1" t="n">
        <v>45783.490625</v>
      </c>
      <c r="C981" s="1" t="n">
        <v>45884</v>
      </c>
      <c r="D981" t="inlineStr">
        <is>
          <t>VÄSTERNORRLANDS LÄN</t>
        </is>
      </c>
      <c r="E981" t="inlineStr">
        <is>
          <t>ÅNGE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51383-2022</t>
        </is>
      </c>
      <c r="B982" s="1" t="n">
        <v>44866</v>
      </c>
      <c r="C982" s="1" t="n">
        <v>45884</v>
      </c>
      <c r="D982" t="inlineStr">
        <is>
          <t>VÄSTERNORRLANDS LÄN</t>
        </is>
      </c>
      <c r="E982" t="inlineStr">
        <is>
          <t>ÅNGE</t>
        </is>
      </c>
      <c r="G982" t="n">
        <v>1.5</v>
      </c>
      <c r="H982" t="n">
        <v>0</v>
      </c>
      <c r="I982" t="n">
        <v>0</v>
      </c>
      <c r="J982" t="n">
        <v>0</v>
      </c>
      <c r="K982" t="n">
        <v>0</v>
      </c>
      <c r="L982" t="n">
        <v>0</v>
      </c>
      <c r="M982" t="n">
        <v>0</v>
      </c>
      <c r="N982" t="n">
        <v>0</v>
      </c>
      <c r="O982" t="n">
        <v>0</v>
      </c>
      <c r="P982" t="n">
        <v>0</v>
      </c>
      <c r="Q982" t="n">
        <v>0</v>
      </c>
      <c r="R982" s="2" t="inlineStr"/>
    </row>
    <row r="983" ht="15" customHeight="1">
      <c r="A983" t="inlineStr">
        <is>
          <t>A 51393-2022</t>
        </is>
      </c>
      <c r="B983" s="1" t="n">
        <v>44869.43277777778</v>
      </c>
      <c r="C983" s="1" t="n">
        <v>45884</v>
      </c>
      <c r="D983" t="inlineStr">
        <is>
          <t>VÄSTERNORRLANDS LÄN</t>
        </is>
      </c>
      <c r="E983" t="inlineStr">
        <is>
          <t>ÅNGE</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54295-2024</t>
        </is>
      </c>
      <c r="B984" s="1" t="n">
        <v>45617</v>
      </c>
      <c r="C984" s="1" t="n">
        <v>45884</v>
      </c>
      <c r="D984" t="inlineStr">
        <is>
          <t>VÄSTERNORRLANDS LÄN</t>
        </is>
      </c>
      <c r="E984" t="inlineStr">
        <is>
          <t>ÅNGE</t>
        </is>
      </c>
      <c r="G984" t="n">
        <v>1.2</v>
      </c>
      <c r="H984" t="n">
        <v>0</v>
      </c>
      <c r="I984" t="n">
        <v>0</v>
      </c>
      <c r="J984" t="n">
        <v>0</v>
      </c>
      <c r="K984" t="n">
        <v>0</v>
      </c>
      <c r="L984" t="n">
        <v>0</v>
      </c>
      <c r="M984" t="n">
        <v>0</v>
      </c>
      <c r="N984" t="n">
        <v>0</v>
      </c>
      <c r="O984" t="n">
        <v>0</v>
      </c>
      <c r="P984" t="n">
        <v>0</v>
      </c>
      <c r="Q984" t="n">
        <v>0</v>
      </c>
      <c r="R984" s="2" t="inlineStr"/>
    </row>
    <row r="985" ht="15" customHeight="1">
      <c r="A985" t="inlineStr">
        <is>
          <t>A 4236-2025</t>
        </is>
      </c>
      <c r="B985" s="1" t="n">
        <v>45685.56534722223</v>
      </c>
      <c r="C985" s="1" t="n">
        <v>45884</v>
      </c>
      <c r="D985" t="inlineStr">
        <is>
          <t>VÄSTERNORRLANDS LÄN</t>
        </is>
      </c>
      <c r="E985" t="inlineStr">
        <is>
          <t>ÅNGE</t>
        </is>
      </c>
      <c r="G985" t="n">
        <v>2.4</v>
      </c>
      <c r="H985" t="n">
        <v>0</v>
      </c>
      <c r="I985" t="n">
        <v>0</v>
      </c>
      <c r="J985" t="n">
        <v>0</v>
      </c>
      <c r="K985" t="n">
        <v>0</v>
      </c>
      <c r="L985" t="n">
        <v>0</v>
      </c>
      <c r="M985" t="n">
        <v>0</v>
      </c>
      <c r="N985" t="n">
        <v>0</v>
      </c>
      <c r="O985" t="n">
        <v>0</v>
      </c>
      <c r="P985" t="n">
        <v>0</v>
      </c>
      <c r="Q985" t="n">
        <v>0</v>
      </c>
      <c r="R985" s="2" t="inlineStr"/>
    </row>
    <row r="986" ht="15" customHeight="1">
      <c r="A986" t="inlineStr">
        <is>
          <t>A 2415-2024</t>
        </is>
      </c>
      <c r="B986" s="1" t="n">
        <v>45310</v>
      </c>
      <c r="C986" s="1" t="n">
        <v>45884</v>
      </c>
      <c r="D986" t="inlineStr">
        <is>
          <t>VÄSTERNORRLANDS LÄN</t>
        </is>
      </c>
      <c r="E986" t="inlineStr">
        <is>
          <t>ÅNGE</t>
        </is>
      </c>
      <c r="F986" t="inlineStr">
        <is>
          <t>Kyrkan</t>
        </is>
      </c>
      <c r="G986" t="n">
        <v>0.2</v>
      </c>
      <c r="H986" t="n">
        <v>0</v>
      </c>
      <c r="I986" t="n">
        <v>0</v>
      </c>
      <c r="J986" t="n">
        <v>0</v>
      </c>
      <c r="K986" t="n">
        <v>0</v>
      </c>
      <c r="L986" t="n">
        <v>0</v>
      </c>
      <c r="M986" t="n">
        <v>0</v>
      </c>
      <c r="N986" t="n">
        <v>0</v>
      </c>
      <c r="O986" t="n">
        <v>0</v>
      </c>
      <c r="P986" t="n">
        <v>0</v>
      </c>
      <c r="Q986" t="n">
        <v>0</v>
      </c>
      <c r="R986" s="2" t="inlineStr"/>
    </row>
    <row r="987" ht="15" customHeight="1">
      <c r="A987" t="inlineStr">
        <is>
          <t>A 4361-2024</t>
        </is>
      </c>
      <c r="B987" s="1" t="n">
        <v>45325.65047453704</v>
      </c>
      <c r="C987" s="1" t="n">
        <v>45884</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26490-2024</t>
        </is>
      </c>
      <c r="B988" s="1" t="n">
        <v>45469</v>
      </c>
      <c r="C988" s="1" t="n">
        <v>45884</v>
      </c>
      <c r="D988" t="inlineStr">
        <is>
          <t>VÄSTERNORRLANDS LÄN</t>
        </is>
      </c>
      <c r="E988" t="inlineStr">
        <is>
          <t>ÅNGE</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47779-2023</t>
        </is>
      </c>
      <c r="B989" s="1" t="n">
        <v>45203.92232638889</v>
      </c>
      <c r="C989" s="1" t="n">
        <v>45884</v>
      </c>
      <c r="D989" t="inlineStr">
        <is>
          <t>VÄSTERNORRLANDS LÄN</t>
        </is>
      </c>
      <c r="E989" t="inlineStr">
        <is>
          <t>ÅNGE</t>
        </is>
      </c>
      <c r="G989" t="n">
        <v>9.6</v>
      </c>
      <c r="H989" t="n">
        <v>0</v>
      </c>
      <c r="I989" t="n">
        <v>0</v>
      </c>
      <c r="J989" t="n">
        <v>0</v>
      </c>
      <c r="K989" t="n">
        <v>0</v>
      </c>
      <c r="L989" t="n">
        <v>0</v>
      </c>
      <c r="M989" t="n">
        <v>0</v>
      </c>
      <c r="N989" t="n">
        <v>0</v>
      </c>
      <c r="O989" t="n">
        <v>0</v>
      </c>
      <c r="P989" t="n">
        <v>0</v>
      </c>
      <c r="Q989" t="n">
        <v>0</v>
      </c>
      <c r="R989" s="2" t="inlineStr"/>
    </row>
    <row r="990" ht="15" customHeight="1">
      <c r="A990" t="inlineStr">
        <is>
          <t>A 38246-2024</t>
        </is>
      </c>
      <c r="B990" s="1" t="n">
        <v>45545.57327546296</v>
      </c>
      <c r="C990" s="1" t="n">
        <v>45884</v>
      </c>
      <c r="D990" t="inlineStr">
        <is>
          <t>VÄSTERNORRLANDS LÄN</t>
        </is>
      </c>
      <c r="E990" t="inlineStr">
        <is>
          <t>ÅNGE</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64946-2023</t>
        </is>
      </c>
      <c r="B991" s="1" t="n">
        <v>45282.94678240741</v>
      </c>
      <c r="C991" s="1" t="n">
        <v>45884</v>
      </c>
      <c r="D991" t="inlineStr">
        <is>
          <t>VÄSTERNORRLANDS LÄN</t>
        </is>
      </c>
      <c r="E991" t="inlineStr">
        <is>
          <t>ÅNGE</t>
        </is>
      </c>
      <c r="F991" t="inlineStr">
        <is>
          <t>SCA</t>
        </is>
      </c>
      <c r="G991" t="n">
        <v>6.4</v>
      </c>
      <c r="H991" t="n">
        <v>0</v>
      </c>
      <c r="I991" t="n">
        <v>0</v>
      </c>
      <c r="J991" t="n">
        <v>0</v>
      </c>
      <c r="K991" t="n">
        <v>0</v>
      </c>
      <c r="L991" t="n">
        <v>0</v>
      </c>
      <c r="M991" t="n">
        <v>0</v>
      </c>
      <c r="N991" t="n">
        <v>0</v>
      </c>
      <c r="O991" t="n">
        <v>0</v>
      </c>
      <c r="P991" t="n">
        <v>0</v>
      </c>
      <c r="Q991" t="n">
        <v>0</v>
      </c>
      <c r="R991" s="2" t="inlineStr"/>
    </row>
    <row r="992" ht="15" customHeight="1">
      <c r="A992" t="inlineStr">
        <is>
          <t>A 21563-2025</t>
        </is>
      </c>
      <c r="B992" s="1" t="n">
        <v>45782.69822916666</v>
      </c>
      <c r="C992" s="1" t="n">
        <v>45884</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21456-2025</t>
        </is>
      </c>
      <c r="B993" s="1" t="n">
        <v>45782.55342592593</v>
      </c>
      <c r="C993" s="1" t="n">
        <v>45884</v>
      </c>
      <c r="D993" t="inlineStr">
        <is>
          <t>VÄSTERNORRLANDS LÄN</t>
        </is>
      </c>
      <c r="E993" t="inlineStr">
        <is>
          <t>ÅNGE</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21712-2025</t>
        </is>
      </c>
      <c r="B994" s="1" t="n">
        <v>45783.53210648148</v>
      </c>
      <c r="C994" s="1" t="n">
        <v>45884</v>
      </c>
      <c r="D994" t="inlineStr">
        <is>
          <t>VÄSTERNORRLANDS LÄN</t>
        </is>
      </c>
      <c r="E994" t="inlineStr">
        <is>
          <t>ÅNGE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26640-2024</t>
        </is>
      </c>
      <c r="B995" s="1" t="n">
        <v>45469.92831018518</v>
      </c>
      <c r="C995" s="1" t="n">
        <v>45884</v>
      </c>
      <c r="D995" t="inlineStr">
        <is>
          <t>VÄSTERNORRLANDS LÄN</t>
        </is>
      </c>
      <c r="E995" t="inlineStr">
        <is>
          <t>ÅNGE</t>
        </is>
      </c>
      <c r="G995" t="n">
        <v>9.9</v>
      </c>
      <c r="H995" t="n">
        <v>0</v>
      </c>
      <c r="I995" t="n">
        <v>0</v>
      </c>
      <c r="J995" t="n">
        <v>0</v>
      </c>
      <c r="K995" t="n">
        <v>0</v>
      </c>
      <c r="L995" t="n">
        <v>0</v>
      </c>
      <c r="M995" t="n">
        <v>0</v>
      </c>
      <c r="N995" t="n">
        <v>0</v>
      </c>
      <c r="O995" t="n">
        <v>0</v>
      </c>
      <c r="P995" t="n">
        <v>0</v>
      </c>
      <c r="Q995" t="n">
        <v>0</v>
      </c>
      <c r="R995" s="2" t="inlineStr"/>
    </row>
    <row r="996" ht="15" customHeight="1">
      <c r="A996" t="inlineStr">
        <is>
          <t>A 61585-2022</t>
        </is>
      </c>
      <c r="B996" s="1" t="n">
        <v>44916.63380787037</v>
      </c>
      <c r="C996" s="1" t="n">
        <v>45884</v>
      </c>
      <c r="D996" t="inlineStr">
        <is>
          <t>VÄSTERNORRLANDS LÄN</t>
        </is>
      </c>
      <c r="E996" t="inlineStr">
        <is>
          <t>ÅNGE</t>
        </is>
      </c>
      <c r="G996" t="n">
        <v>1</v>
      </c>
      <c r="H996" t="n">
        <v>0</v>
      </c>
      <c r="I996" t="n">
        <v>0</v>
      </c>
      <c r="J996" t="n">
        <v>0</v>
      </c>
      <c r="K996" t="n">
        <v>0</v>
      </c>
      <c r="L996" t="n">
        <v>0</v>
      </c>
      <c r="M996" t="n">
        <v>0</v>
      </c>
      <c r="N996" t="n">
        <v>0</v>
      </c>
      <c r="O996" t="n">
        <v>0</v>
      </c>
      <c r="P996" t="n">
        <v>0</v>
      </c>
      <c r="Q996" t="n">
        <v>0</v>
      </c>
      <c r="R996" s="2" t="inlineStr"/>
    </row>
    <row r="997" ht="15" customHeight="1">
      <c r="A997" t="inlineStr">
        <is>
          <t>A 39119-2024</t>
        </is>
      </c>
      <c r="B997" s="1" t="n">
        <v>45548.58939814815</v>
      </c>
      <c r="C997" s="1" t="n">
        <v>45884</v>
      </c>
      <c r="D997" t="inlineStr">
        <is>
          <t>VÄSTERNORRLANDS LÄN</t>
        </is>
      </c>
      <c r="E997" t="inlineStr">
        <is>
          <t>ÅNGE</t>
        </is>
      </c>
      <c r="G997" t="n">
        <v>8</v>
      </c>
      <c r="H997" t="n">
        <v>0</v>
      </c>
      <c r="I997" t="n">
        <v>0</v>
      </c>
      <c r="J997" t="n">
        <v>0</v>
      </c>
      <c r="K997" t="n">
        <v>0</v>
      </c>
      <c r="L997" t="n">
        <v>0</v>
      </c>
      <c r="M997" t="n">
        <v>0</v>
      </c>
      <c r="N997" t="n">
        <v>0</v>
      </c>
      <c r="O997" t="n">
        <v>0</v>
      </c>
      <c r="P997" t="n">
        <v>0</v>
      </c>
      <c r="Q997" t="n">
        <v>0</v>
      </c>
      <c r="R997" s="2" t="inlineStr"/>
    </row>
    <row r="998" ht="15" customHeight="1">
      <c r="A998" t="inlineStr">
        <is>
          <t>A 32257-2024</t>
        </is>
      </c>
      <c r="B998" s="1" t="n">
        <v>45511</v>
      </c>
      <c r="C998" s="1" t="n">
        <v>45884</v>
      </c>
      <c r="D998" t="inlineStr">
        <is>
          <t>VÄSTERNORRLANDS LÄN</t>
        </is>
      </c>
      <c r="E998" t="inlineStr">
        <is>
          <t>ÅNGE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20880-2025</t>
        </is>
      </c>
      <c r="B999" s="1" t="n">
        <v>45777</v>
      </c>
      <c r="C999" s="1" t="n">
        <v>45884</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22219-2025</t>
        </is>
      </c>
      <c r="B1000" s="1" t="n">
        <v>45785.65849537037</v>
      </c>
      <c r="C1000" s="1" t="n">
        <v>45884</v>
      </c>
      <c r="D1000" t="inlineStr">
        <is>
          <t>VÄSTERNORRLANDS LÄN</t>
        </is>
      </c>
      <c r="E1000" t="inlineStr">
        <is>
          <t>ÅNGE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21862-2025</t>
        </is>
      </c>
      <c r="B1001" s="1" t="n">
        <v>45784.36519675926</v>
      </c>
      <c r="C1001" s="1" t="n">
        <v>45884</v>
      </c>
      <c r="D1001" t="inlineStr">
        <is>
          <t>VÄSTERNORRLANDS LÄN</t>
        </is>
      </c>
      <c r="E1001" t="inlineStr">
        <is>
          <t>ÅNGE</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22206-2025</t>
        </is>
      </c>
      <c r="B1002" s="1" t="n">
        <v>45785.65699074074</v>
      </c>
      <c r="C1002" s="1" t="n">
        <v>45884</v>
      </c>
      <c r="D1002" t="inlineStr">
        <is>
          <t>VÄSTERNORRLANDS LÄN</t>
        </is>
      </c>
      <c r="E1002" t="inlineStr">
        <is>
          <t>ÅNGE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16365-2023</t>
        </is>
      </c>
      <c r="B1003" s="1" t="n">
        <v>45028</v>
      </c>
      <c r="C1003" s="1" t="n">
        <v>45884</v>
      </c>
      <c r="D1003" t="inlineStr">
        <is>
          <t>VÄSTERNORRLANDS LÄN</t>
        </is>
      </c>
      <c r="E1003" t="inlineStr">
        <is>
          <t>ÅNGE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29395-2023</t>
        </is>
      </c>
      <c r="B1004" s="1" t="n">
        <v>45106.4359837963</v>
      </c>
      <c r="C1004" s="1" t="n">
        <v>45884</v>
      </c>
      <c r="D1004" t="inlineStr">
        <is>
          <t>VÄSTERNORRLANDS LÄN</t>
        </is>
      </c>
      <c r="E1004" t="inlineStr">
        <is>
          <t>ÅNGE</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38800-2024</t>
        </is>
      </c>
      <c r="B1005" s="1" t="n">
        <v>45547</v>
      </c>
      <c r="C1005" s="1" t="n">
        <v>45884</v>
      </c>
      <c r="D1005" t="inlineStr">
        <is>
          <t>VÄSTERNORRLANDS LÄN</t>
        </is>
      </c>
      <c r="E1005" t="inlineStr">
        <is>
          <t>ÅNGE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69790-2021</t>
        </is>
      </c>
      <c r="B1006" s="1" t="n">
        <v>44532.605625</v>
      </c>
      <c r="C1006" s="1" t="n">
        <v>45884</v>
      </c>
      <c r="D1006" t="inlineStr">
        <is>
          <t>VÄSTERNORRLANDS LÄN</t>
        </is>
      </c>
      <c r="E1006" t="inlineStr">
        <is>
          <t>ÅNGE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21883-2025</t>
        </is>
      </c>
      <c r="B1007" s="1" t="n">
        <v>45784.41361111111</v>
      </c>
      <c r="C1007" s="1" t="n">
        <v>45884</v>
      </c>
      <c r="D1007" t="inlineStr">
        <is>
          <t>VÄSTERNORRLANDS LÄN</t>
        </is>
      </c>
      <c r="E1007" t="inlineStr">
        <is>
          <t>ÅNGE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31492-2024</t>
        </is>
      </c>
      <c r="B1008" s="1" t="n">
        <v>45505</v>
      </c>
      <c r="C1008" s="1" t="n">
        <v>45884</v>
      </c>
      <c r="D1008" t="inlineStr">
        <is>
          <t>VÄSTERNORRLANDS LÄN</t>
        </is>
      </c>
      <c r="E1008" t="inlineStr">
        <is>
          <t>ÅNGE</t>
        </is>
      </c>
      <c r="F1008" t="inlineStr">
        <is>
          <t>SCA</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53209-2024</t>
        </is>
      </c>
      <c r="B1009" s="1" t="n">
        <v>45612.51079861111</v>
      </c>
      <c r="C1009" s="1" t="n">
        <v>45884</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3574-2025</t>
        </is>
      </c>
      <c r="B1010" s="1" t="n">
        <v>45680.71916666667</v>
      </c>
      <c r="C1010" s="1" t="n">
        <v>45884</v>
      </c>
      <c r="D1010" t="inlineStr">
        <is>
          <t>VÄSTERNORRLANDS LÄN</t>
        </is>
      </c>
      <c r="E1010" t="inlineStr">
        <is>
          <t>ÅNGE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30803-2022</t>
        </is>
      </c>
      <c r="B1011" s="1" t="n">
        <v>44764</v>
      </c>
      <c r="C1011" s="1" t="n">
        <v>45884</v>
      </c>
      <c r="D1011" t="inlineStr">
        <is>
          <t>VÄSTERNORRLANDS LÄN</t>
        </is>
      </c>
      <c r="E1011" t="inlineStr">
        <is>
          <t>ÅNGE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21982-2025</t>
        </is>
      </c>
      <c r="B1012" s="1" t="n">
        <v>45784.65660879629</v>
      </c>
      <c r="C1012" s="1" t="n">
        <v>45884</v>
      </c>
      <c r="D1012" t="inlineStr">
        <is>
          <t>VÄSTERNORRLANDS LÄN</t>
        </is>
      </c>
      <c r="E1012" t="inlineStr">
        <is>
          <t>ÅNGE</t>
        </is>
      </c>
      <c r="F1012" t="inlineStr">
        <is>
          <t>SCA</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22187-2024</t>
        </is>
      </c>
      <c r="B1013" s="1" t="n">
        <v>45446.35222222222</v>
      </c>
      <c r="C1013" s="1" t="n">
        <v>45884</v>
      </c>
      <c r="D1013" t="inlineStr">
        <is>
          <t>VÄSTERNORRLANDS LÄN</t>
        </is>
      </c>
      <c r="E1013" t="inlineStr">
        <is>
          <t>ÅNGE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34750-2023</t>
        </is>
      </c>
      <c r="B1014" s="1" t="n">
        <v>45139</v>
      </c>
      <c r="C1014" s="1" t="n">
        <v>45884</v>
      </c>
      <c r="D1014" t="inlineStr">
        <is>
          <t>VÄSTERNORRLANDS LÄN</t>
        </is>
      </c>
      <c r="E1014" t="inlineStr">
        <is>
          <t>ÅNGE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44180-2023</t>
        </is>
      </c>
      <c r="B1015" s="1" t="n">
        <v>45183</v>
      </c>
      <c r="C1015" s="1" t="n">
        <v>45884</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14888-2022</t>
        </is>
      </c>
      <c r="B1016" s="1" t="n">
        <v>44656</v>
      </c>
      <c r="C1016" s="1" t="n">
        <v>45884</v>
      </c>
      <c r="D1016" t="inlineStr">
        <is>
          <t>VÄSTERNORRLANDS LÄN</t>
        </is>
      </c>
      <c r="E1016" t="inlineStr">
        <is>
          <t>ÅNGE</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22990-2024</t>
        </is>
      </c>
      <c r="B1017" s="1" t="n">
        <v>45449.94548611111</v>
      </c>
      <c r="C1017" s="1" t="n">
        <v>45884</v>
      </c>
      <c r="D1017" t="inlineStr">
        <is>
          <t>VÄSTERNORRLANDS LÄN</t>
        </is>
      </c>
      <c r="E1017" t="inlineStr">
        <is>
          <t>ÅNGE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27260-2023</t>
        </is>
      </c>
      <c r="B1018" s="1" t="n">
        <v>45092</v>
      </c>
      <c r="C1018" s="1" t="n">
        <v>45884</v>
      </c>
      <c r="D1018" t="inlineStr">
        <is>
          <t>VÄSTERNORRLANDS LÄN</t>
        </is>
      </c>
      <c r="E1018" t="inlineStr">
        <is>
          <t>ÅNGE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58637-2023</t>
        </is>
      </c>
      <c r="B1019" s="1" t="n">
        <v>45251</v>
      </c>
      <c r="C1019" s="1" t="n">
        <v>45884</v>
      </c>
      <c r="D1019" t="inlineStr">
        <is>
          <t>VÄSTERNORRLANDS LÄN</t>
        </is>
      </c>
      <c r="E1019" t="inlineStr">
        <is>
          <t>ÅNGE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30753-2024</t>
        </is>
      </c>
      <c r="B1020" s="1" t="n">
        <v>45496</v>
      </c>
      <c r="C1020" s="1" t="n">
        <v>45884</v>
      </c>
      <c r="D1020" t="inlineStr">
        <is>
          <t>VÄSTERNORRLANDS LÄN</t>
        </is>
      </c>
      <c r="E1020" t="inlineStr">
        <is>
          <t>ÅNGE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30754-2024</t>
        </is>
      </c>
      <c r="B1021" s="1" t="n">
        <v>45496</v>
      </c>
      <c r="C1021" s="1" t="n">
        <v>45884</v>
      </c>
      <c r="D1021" t="inlineStr">
        <is>
          <t>VÄSTERNORRLANDS LÄN</t>
        </is>
      </c>
      <c r="E1021" t="inlineStr">
        <is>
          <t>ÅNGE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57271-2024</t>
        </is>
      </c>
      <c r="B1022" s="1" t="n">
        <v>45629.57364583333</v>
      </c>
      <c r="C1022" s="1" t="n">
        <v>45884</v>
      </c>
      <c r="D1022" t="inlineStr">
        <is>
          <t>VÄSTERNORRLANDS LÄN</t>
        </is>
      </c>
      <c r="E1022" t="inlineStr">
        <is>
          <t>ÅNGE</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9480-2022</t>
        </is>
      </c>
      <c r="B1023" s="1" t="n">
        <v>44616</v>
      </c>
      <c r="C1023" s="1" t="n">
        <v>45884</v>
      </c>
      <c r="D1023" t="inlineStr">
        <is>
          <t>VÄSTERNORRLANDS LÄN</t>
        </is>
      </c>
      <c r="E1023" t="inlineStr">
        <is>
          <t>ÅNGE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37503-2023</t>
        </is>
      </c>
      <c r="B1024" s="1" t="n">
        <v>45157.5796875</v>
      </c>
      <c r="C1024" s="1" t="n">
        <v>45884</v>
      </c>
      <c r="D1024" t="inlineStr">
        <is>
          <t>VÄSTERNORRLANDS LÄN</t>
        </is>
      </c>
      <c r="E1024" t="inlineStr">
        <is>
          <t>ÅNGE</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51124-2024</t>
        </is>
      </c>
      <c r="B1025" s="1" t="n">
        <v>45603.50716435185</v>
      </c>
      <c r="C1025" s="1" t="n">
        <v>45884</v>
      </c>
      <c r="D1025" t="inlineStr">
        <is>
          <t>VÄSTERNORRLANDS LÄN</t>
        </is>
      </c>
      <c r="E1025" t="inlineStr">
        <is>
          <t>ÅNGE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22489-2025</t>
        </is>
      </c>
      <c r="B1026" s="1" t="n">
        <v>45786.64946759259</v>
      </c>
      <c r="C1026" s="1" t="n">
        <v>45884</v>
      </c>
      <c r="D1026" t="inlineStr">
        <is>
          <t>VÄSTERNORRLANDS LÄN</t>
        </is>
      </c>
      <c r="E1026" t="inlineStr">
        <is>
          <t>ÅNGE</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51377-2024</t>
        </is>
      </c>
      <c r="B1027" s="1" t="n">
        <v>45604.38142361111</v>
      </c>
      <c r="C1027" s="1" t="n">
        <v>45884</v>
      </c>
      <c r="D1027" t="inlineStr">
        <is>
          <t>VÄSTERNORRLANDS LÄN</t>
        </is>
      </c>
      <c r="E1027" t="inlineStr">
        <is>
          <t>ÅNGE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44876-2024</t>
        </is>
      </c>
      <c r="B1028" s="1" t="n">
        <v>45575.34474537037</v>
      </c>
      <c r="C1028" s="1" t="n">
        <v>45884</v>
      </c>
      <c r="D1028" t="inlineStr">
        <is>
          <t>VÄSTERNORRLANDS LÄN</t>
        </is>
      </c>
      <c r="E1028" t="inlineStr">
        <is>
          <t>ÅNGE</t>
        </is>
      </c>
      <c r="F1028" t="inlineStr">
        <is>
          <t>SCA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22791-2025</t>
        </is>
      </c>
      <c r="B1029" s="1" t="n">
        <v>45789.65663194445</v>
      </c>
      <c r="C1029" s="1" t="n">
        <v>45884</v>
      </c>
      <c r="D1029" t="inlineStr">
        <is>
          <t>VÄSTERNORRLANDS LÄN</t>
        </is>
      </c>
      <c r="E1029" t="inlineStr">
        <is>
          <t>ÅNGE</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20229-2022</t>
        </is>
      </c>
      <c r="B1030" s="1" t="n">
        <v>44698.61150462963</v>
      </c>
      <c r="C1030" s="1" t="n">
        <v>45884</v>
      </c>
      <c r="D1030" t="inlineStr">
        <is>
          <t>VÄSTERNORRLANDS LÄN</t>
        </is>
      </c>
      <c r="E1030" t="inlineStr">
        <is>
          <t>ÅNGE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14097-2022</t>
        </is>
      </c>
      <c r="B1031" s="1" t="n">
        <v>44651</v>
      </c>
      <c r="C1031" s="1" t="n">
        <v>45884</v>
      </c>
      <c r="D1031" t="inlineStr">
        <is>
          <t>VÄSTERNORRLANDS LÄN</t>
        </is>
      </c>
      <c r="E1031" t="inlineStr">
        <is>
          <t>ÅNGE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32901-2023</t>
        </is>
      </c>
      <c r="B1032" s="1" t="n">
        <v>45124.95063657407</v>
      </c>
      <c r="C1032" s="1" t="n">
        <v>45884</v>
      </c>
      <c r="D1032" t="inlineStr">
        <is>
          <t>VÄSTERNORRLANDS LÄN</t>
        </is>
      </c>
      <c r="E1032" t="inlineStr">
        <is>
          <t>ÅNGE</t>
        </is>
      </c>
      <c r="F1032" t="inlineStr">
        <is>
          <t>SCA</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15603-2024</t>
        </is>
      </c>
      <c r="B1033" s="1" t="n">
        <v>45401.92501157407</v>
      </c>
      <c r="C1033" s="1" t="n">
        <v>45884</v>
      </c>
      <c r="D1033" t="inlineStr">
        <is>
          <t>VÄSTERNORRLANDS LÄN</t>
        </is>
      </c>
      <c r="E1033" t="inlineStr">
        <is>
          <t>ÅNGE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22549-2025</t>
        </is>
      </c>
      <c r="B1034" s="1" t="n">
        <v>45788.48113425926</v>
      </c>
      <c r="C1034" s="1" t="n">
        <v>45884</v>
      </c>
      <c r="D1034" t="inlineStr">
        <is>
          <t>VÄSTERNORRLANDS LÄN</t>
        </is>
      </c>
      <c r="E1034" t="inlineStr">
        <is>
          <t>ÅNGE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23091-2025</t>
        </is>
      </c>
      <c r="B1035" s="1" t="n">
        <v>45791.34456018519</v>
      </c>
      <c r="C1035" s="1" t="n">
        <v>45884</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23343-2025</t>
        </is>
      </c>
      <c r="B1036" s="1" t="n">
        <v>45791.65702546296</v>
      </c>
      <c r="C1036" s="1" t="n">
        <v>45884</v>
      </c>
      <c r="D1036" t="inlineStr">
        <is>
          <t>VÄSTERNORRLANDS LÄN</t>
        </is>
      </c>
      <c r="E1036" t="inlineStr">
        <is>
          <t>ÅNGE</t>
        </is>
      </c>
      <c r="F1036" t="inlineStr">
        <is>
          <t>SCA</t>
        </is>
      </c>
      <c r="G1036" t="n">
        <v>12.6</v>
      </c>
      <c r="H1036" t="n">
        <v>0</v>
      </c>
      <c r="I1036" t="n">
        <v>0</v>
      </c>
      <c r="J1036" t="n">
        <v>0</v>
      </c>
      <c r="K1036" t="n">
        <v>0</v>
      </c>
      <c r="L1036" t="n">
        <v>0</v>
      </c>
      <c r="M1036" t="n">
        <v>0</v>
      </c>
      <c r="N1036" t="n">
        <v>0</v>
      </c>
      <c r="O1036" t="n">
        <v>0</v>
      </c>
      <c r="P1036" t="n">
        <v>0</v>
      </c>
      <c r="Q1036" t="n">
        <v>0</v>
      </c>
      <c r="R1036" s="2" t="inlineStr"/>
    </row>
    <row r="1037" ht="15" customHeight="1">
      <c r="A1037" t="inlineStr">
        <is>
          <t>A 11310-2023</t>
        </is>
      </c>
      <c r="B1037" s="1" t="n">
        <v>44993.01190972222</v>
      </c>
      <c r="C1037" s="1" t="n">
        <v>45884</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21409-2022</t>
        </is>
      </c>
      <c r="B1038" s="1" t="n">
        <v>44705.9406712963</v>
      </c>
      <c r="C1038" s="1" t="n">
        <v>45884</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22997-2023</t>
        </is>
      </c>
      <c r="B1039" s="1" t="n">
        <v>45072.94211805556</v>
      </c>
      <c r="C1039" s="1" t="n">
        <v>45884</v>
      </c>
      <c r="D1039" t="inlineStr">
        <is>
          <t>VÄSTERNORRLANDS LÄN</t>
        </is>
      </c>
      <c r="E1039" t="inlineStr">
        <is>
          <t>ÅNGE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48632-2023</t>
        </is>
      </c>
      <c r="B1040" s="1" t="n">
        <v>45208.57944444445</v>
      </c>
      <c r="C1040" s="1" t="n">
        <v>45884</v>
      </c>
      <c r="D1040" t="inlineStr">
        <is>
          <t>VÄSTERNORRLANDS LÄN</t>
        </is>
      </c>
      <c r="E1040" t="inlineStr">
        <is>
          <t>ÅNGE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23252-2025</t>
        </is>
      </c>
      <c r="B1041" s="1" t="n">
        <v>45791.53157407408</v>
      </c>
      <c r="C1041" s="1" t="n">
        <v>45884</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20761-2024</t>
        </is>
      </c>
      <c r="B1042" s="1" t="n">
        <v>45436</v>
      </c>
      <c r="C1042" s="1" t="n">
        <v>45884</v>
      </c>
      <c r="D1042" t="inlineStr">
        <is>
          <t>VÄSTERNORRLANDS LÄN</t>
        </is>
      </c>
      <c r="E1042" t="inlineStr">
        <is>
          <t>ÅNGE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6619-2025</t>
        </is>
      </c>
      <c r="B1043" s="1" t="n">
        <v>45700.36541666667</v>
      </c>
      <c r="C1043" s="1" t="n">
        <v>45884</v>
      </c>
      <c r="D1043" t="inlineStr">
        <is>
          <t>VÄSTERNORRLANDS LÄN</t>
        </is>
      </c>
      <c r="E1043" t="inlineStr">
        <is>
          <t>ÅNGE</t>
        </is>
      </c>
      <c r="F1043" t="inlineStr">
        <is>
          <t>SCA</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23048-2025</t>
        </is>
      </c>
      <c r="B1044" s="1" t="n">
        <v>45790.69825231482</v>
      </c>
      <c r="C1044" s="1" t="n">
        <v>45884</v>
      </c>
      <c r="D1044" t="inlineStr">
        <is>
          <t>VÄSTERNORRLANDS LÄN</t>
        </is>
      </c>
      <c r="E1044" t="inlineStr">
        <is>
          <t>ÅNGE</t>
        </is>
      </c>
      <c r="F1044" t="inlineStr">
        <is>
          <t>SCA</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10339-2025</t>
        </is>
      </c>
      <c r="B1045" s="1" t="n">
        <v>45720</v>
      </c>
      <c r="C1045" s="1" t="n">
        <v>45884</v>
      </c>
      <c r="D1045" t="inlineStr">
        <is>
          <t>VÄSTERNORRLANDS LÄN</t>
        </is>
      </c>
      <c r="E1045" t="inlineStr">
        <is>
          <t>ÅNGE</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22926-2025</t>
        </is>
      </c>
      <c r="B1046" s="1" t="n">
        <v>45790</v>
      </c>
      <c r="C1046" s="1" t="n">
        <v>45884</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22928-2025</t>
        </is>
      </c>
      <c r="B1047" s="1" t="n">
        <v>45790.44825231482</v>
      </c>
      <c r="C1047" s="1" t="n">
        <v>45884</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12581-2024</t>
        </is>
      </c>
      <c r="B1048" s="1" t="n">
        <v>45379</v>
      </c>
      <c r="C1048" s="1" t="n">
        <v>45884</v>
      </c>
      <c r="D1048" t="inlineStr">
        <is>
          <t>VÄSTERNORRLANDS LÄN</t>
        </is>
      </c>
      <c r="E1048" t="inlineStr">
        <is>
          <t>ÅNGE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23748-2025</t>
        </is>
      </c>
      <c r="B1049" s="1" t="n">
        <v>45793.44755787037</v>
      </c>
      <c r="C1049" s="1" t="n">
        <v>45884</v>
      </c>
      <c r="D1049" t="inlineStr">
        <is>
          <t>VÄSTERNORRLANDS LÄN</t>
        </is>
      </c>
      <c r="E1049" t="inlineStr">
        <is>
          <t>ÅNGE</t>
        </is>
      </c>
      <c r="F1049" t="inlineStr">
        <is>
          <t>Sveaskog</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23589-2025</t>
        </is>
      </c>
      <c r="B1050" s="1" t="n">
        <v>45792.63618055556</v>
      </c>
      <c r="C1050" s="1" t="n">
        <v>45884</v>
      </c>
      <c r="D1050" t="inlineStr">
        <is>
          <t>VÄSTERNORRLANDS LÄN</t>
        </is>
      </c>
      <c r="E1050" t="inlineStr">
        <is>
          <t>ÅNGE</t>
        </is>
      </c>
      <c r="F1050" t="inlineStr">
        <is>
          <t>SCA</t>
        </is>
      </c>
      <c r="G1050" t="n">
        <v>10.7</v>
      </c>
      <c r="H1050" t="n">
        <v>0</v>
      </c>
      <c r="I1050" t="n">
        <v>0</v>
      </c>
      <c r="J1050" t="n">
        <v>0</v>
      </c>
      <c r="K1050" t="n">
        <v>0</v>
      </c>
      <c r="L1050" t="n">
        <v>0</v>
      </c>
      <c r="M1050" t="n">
        <v>0</v>
      </c>
      <c r="N1050" t="n">
        <v>0</v>
      </c>
      <c r="O1050" t="n">
        <v>0</v>
      </c>
      <c r="P1050" t="n">
        <v>0</v>
      </c>
      <c r="Q1050" t="n">
        <v>0</v>
      </c>
      <c r="R1050" s="2" t="inlineStr"/>
    </row>
    <row r="1051" ht="15" customHeight="1">
      <c r="A1051" t="inlineStr">
        <is>
          <t>A 23490-2025</t>
        </is>
      </c>
      <c r="B1051" s="1" t="n">
        <v>45792.46907407408</v>
      </c>
      <c r="C1051" s="1" t="n">
        <v>45884</v>
      </c>
      <c r="D1051" t="inlineStr">
        <is>
          <t>VÄSTERNORRLANDS LÄN</t>
        </is>
      </c>
      <c r="E1051" t="inlineStr">
        <is>
          <t>ÅNGE</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23495-2025</t>
        </is>
      </c>
      <c r="B1052" s="1" t="n">
        <v>45792.46967592592</v>
      </c>
      <c r="C1052" s="1" t="n">
        <v>45884</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23580-2025</t>
        </is>
      </c>
      <c r="B1053" s="1" t="n">
        <v>45792.62555555555</v>
      </c>
      <c r="C1053" s="1" t="n">
        <v>45884</v>
      </c>
      <c r="D1053" t="inlineStr">
        <is>
          <t>VÄSTERNORRLANDS LÄN</t>
        </is>
      </c>
      <c r="E1053" t="inlineStr">
        <is>
          <t>ÅNGE</t>
        </is>
      </c>
      <c r="F1053" t="inlineStr">
        <is>
          <t>Kyrkan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23590-2025</t>
        </is>
      </c>
      <c r="B1054" s="1" t="n">
        <v>45792.63627314815</v>
      </c>
      <c r="C1054" s="1" t="n">
        <v>45884</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23548-2025</t>
        </is>
      </c>
      <c r="B1055" s="1" t="n">
        <v>45792.57333333333</v>
      </c>
      <c r="C1055" s="1" t="n">
        <v>45884</v>
      </c>
      <c r="D1055" t="inlineStr">
        <is>
          <t>VÄSTERNORRLANDS LÄN</t>
        </is>
      </c>
      <c r="E1055" t="inlineStr">
        <is>
          <t>ÅNGE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23573-2025</t>
        </is>
      </c>
      <c r="B1056" s="1" t="n">
        <v>45792.61497685185</v>
      </c>
      <c r="C1056" s="1" t="n">
        <v>45884</v>
      </c>
      <c r="D1056" t="inlineStr">
        <is>
          <t>VÄSTERNORRLANDS LÄN</t>
        </is>
      </c>
      <c r="E1056" t="inlineStr">
        <is>
          <t>ÅNGE</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23552-2025</t>
        </is>
      </c>
      <c r="B1057" s="1" t="n">
        <v>45792.5738425926</v>
      </c>
      <c r="C1057" s="1" t="n">
        <v>45884</v>
      </c>
      <c r="D1057" t="inlineStr">
        <is>
          <t>VÄSTERNORRLANDS LÄN</t>
        </is>
      </c>
      <c r="E1057" t="inlineStr">
        <is>
          <t>ÅNGE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55558-2024</t>
        </is>
      </c>
      <c r="B1058" s="1" t="n">
        <v>45622.52586805556</v>
      </c>
      <c r="C1058" s="1" t="n">
        <v>45884</v>
      </c>
      <c r="D1058" t="inlineStr">
        <is>
          <t>VÄSTERNORRLANDS LÄN</t>
        </is>
      </c>
      <c r="E1058" t="inlineStr">
        <is>
          <t>ÅNGE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23550-2025</t>
        </is>
      </c>
      <c r="B1059" s="1" t="n">
        <v>45792.57361111111</v>
      </c>
      <c r="C1059" s="1" t="n">
        <v>45884</v>
      </c>
      <c r="D1059" t="inlineStr">
        <is>
          <t>VÄSTERNORRLANDS LÄN</t>
        </is>
      </c>
      <c r="E1059" t="inlineStr">
        <is>
          <t>ÅNGE</t>
        </is>
      </c>
      <c r="F1059" t="inlineStr">
        <is>
          <t>SCA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23407-2025</t>
        </is>
      </c>
      <c r="B1060" s="1" t="n">
        <v>45792.34549768519</v>
      </c>
      <c r="C1060" s="1" t="n">
        <v>45884</v>
      </c>
      <c r="D1060" t="inlineStr">
        <is>
          <t>VÄSTERNORRLANDS LÄN</t>
        </is>
      </c>
      <c r="E1060" t="inlineStr">
        <is>
          <t>ÅNGE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52665-2024</t>
        </is>
      </c>
      <c r="B1061" s="1" t="n">
        <v>45610.36549768518</v>
      </c>
      <c r="C1061" s="1" t="n">
        <v>45884</v>
      </c>
      <c r="D1061" t="inlineStr">
        <is>
          <t>VÄSTERNORRLANDS LÄN</t>
        </is>
      </c>
      <c r="E1061" t="inlineStr">
        <is>
          <t>ÅNGE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20338-2025</t>
        </is>
      </c>
      <c r="B1062" s="1" t="n">
        <v>45775</v>
      </c>
      <c r="C1062" s="1" t="n">
        <v>45884</v>
      </c>
      <c r="D1062" t="inlineStr">
        <is>
          <t>VÄSTERNORRLANDS LÄN</t>
        </is>
      </c>
      <c r="E1062" t="inlineStr">
        <is>
          <t>ÅNGE</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23529-2025</t>
        </is>
      </c>
      <c r="B1063" s="1" t="n">
        <v>45792.53158564815</v>
      </c>
      <c r="C1063" s="1" t="n">
        <v>45884</v>
      </c>
      <c r="D1063" t="inlineStr">
        <is>
          <t>VÄSTERNORRLANDS LÄN</t>
        </is>
      </c>
      <c r="E1063" t="inlineStr">
        <is>
          <t>ÅNGE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60004-2023</t>
        </is>
      </c>
      <c r="B1064" s="1" t="n">
        <v>45257</v>
      </c>
      <c r="C1064" s="1" t="n">
        <v>45884</v>
      </c>
      <c r="D1064" t="inlineStr">
        <is>
          <t>VÄSTERNORRLANDS LÄN</t>
        </is>
      </c>
      <c r="E1064" t="inlineStr">
        <is>
          <t>ÅNGE</t>
        </is>
      </c>
      <c r="F1064" t="inlineStr">
        <is>
          <t>SCA</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4142-2024</t>
        </is>
      </c>
      <c r="B1065" s="1" t="n">
        <v>45323</v>
      </c>
      <c r="C1065" s="1" t="n">
        <v>45884</v>
      </c>
      <c r="D1065" t="inlineStr">
        <is>
          <t>VÄSTERNORRLANDS LÄN</t>
        </is>
      </c>
      <c r="E1065" t="inlineStr">
        <is>
          <t>ÅNGE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14751-2025</t>
        </is>
      </c>
      <c r="B1066" s="1" t="n">
        <v>45742.65863425926</v>
      </c>
      <c r="C1066" s="1" t="n">
        <v>45884</v>
      </c>
      <c r="D1066" t="inlineStr">
        <is>
          <t>VÄSTERNORRLANDS LÄN</t>
        </is>
      </c>
      <c r="E1066" t="inlineStr">
        <is>
          <t>ÅNGE</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39843-2023</t>
        </is>
      </c>
      <c r="B1067" s="1" t="n">
        <v>45168</v>
      </c>
      <c r="C1067" s="1" t="n">
        <v>45884</v>
      </c>
      <c r="D1067" t="inlineStr">
        <is>
          <t>VÄSTERNORRLANDS LÄN</t>
        </is>
      </c>
      <c r="E1067" t="inlineStr">
        <is>
          <t>ÅNGE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54342-2023</t>
        </is>
      </c>
      <c r="B1068" s="1" t="n">
        <v>45232</v>
      </c>
      <c r="C1068" s="1" t="n">
        <v>45884</v>
      </c>
      <c r="D1068" t="inlineStr">
        <is>
          <t>VÄSTERNORRLANDS LÄN</t>
        </is>
      </c>
      <c r="E1068" t="inlineStr">
        <is>
          <t>ÅNGE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34091-2022</t>
        </is>
      </c>
      <c r="B1069" s="1" t="n">
        <v>44791</v>
      </c>
      <c r="C1069" s="1" t="n">
        <v>45884</v>
      </c>
      <c r="D1069" t="inlineStr">
        <is>
          <t>VÄSTERNORRLANDS LÄN</t>
        </is>
      </c>
      <c r="E1069" t="inlineStr">
        <is>
          <t>ÅNGE</t>
        </is>
      </c>
      <c r="G1069" t="n">
        <v>10.1</v>
      </c>
      <c r="H1069" t="n">
        <v>0</v>
      </c>
      <c r="I1069" t="n">
        <v>0</v>
      </c>
      <c r="J1069" t="n">
        <v>0</v>
      </c>
      <c r="K1069" t="n">
        <v>0</v>
      </c>
      <c r="L1069" t="n">
        <v>0</v>
      </c>
      <c r="M1069" t="n">
        <v>0</v>
      </c>
      <c r="N1069" t="n">
        <v>0</v>
      </c>
      <c r="O1069" t="n">
        <v>0</v>
      </c>
      <c r="P1069" t="n">
        <v>0</v>
      </c>
      <c r="Q1069" t="n">
        <v>0</v>
      </c>
      <c r="R1069" s="2" t="inlineStr"/>
    </row>
    <row r="1070" ht="15" customHeight="1">
      <c r="A1070" t="inlineStr">
        <is>
          <t>A 23899-2025</t>
        </is>
      </c>
      <c r="B1070" s="1" t="n">
        <v>45794.34414351852</v>
      </c>
      <c r="C1070" s="1" t="n">
        <v>45884</v>
      </c>
      <c r="D1070" t="inlineStr">
        <is>
          <t>VÄSTERNORRLANDS LÄN</t>
        </is>
      </c>
      <c r="E1070" t="inlineStr">
        <is>
          <t>ÅNGE</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54079-2023</t>
        </is>
      </c>
      <c r="B1071" s="1" t="n">
        <v>45231</v>
      </c>
      <c r="C1071" s="1" t="n">
        <v>45884</v>
      </c>
      <c r="D1071" t="inlineStr">
        <is>
          <t>VÄSTERNORRLANDS LÄN</t>
        </is>
      </c>
      <c r="E1071" t="inlineStr">
        <is>
          <t>ÅNGE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24357-2025</t>
        </is>
      </c>
      <c r="B1072" s="1" t="n">
        <v>45797.59467592592</v>
      </c>
      <c r="C1072" s="1" t="n">
        <v>45884</v>
      </c>
      <c r="D1072" t="inlineStr">
        <is>
          <t>VÄSTERNORRLANDS LÄN</t>
        </is>
      </c>
      <c r="E1072" t="inlineStr">
        <is>
          <t>ÅNGE</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19066-2024</t>
        </is>
      </c>
      <c r="B1073" s="1" t="n">
        <v>45427</v>
      </c>
      <c r="C1073" s="1" t="n">
        <v>45884</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14976-2025</t>
        </is>
      </c>
      <c r="B1074" s="1" t="n">
        <v>45743</v>
      </c>
      <c r="C1074" s="1" t="n">
        <v>45884</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8070-2022</t>
        </is>
      </c>
      <c r="B1075" s="1" t="n">
        <v>44609.48665509259</v>
      </c>
      <c r="C1075" s="1" t="n">
        <v>45884</v>
      </c>
      <c r="D1075" t="inlineStr">
        <is>
          <t>VÄSTERNORRLANDS LÄN</t>
        </is>
      </c>
      <c r="E1075" t="inlineStr">
        <is>
          <t>ÅNGE</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24292-2025</t>
        </is>
      </c>
      <c r="B1076" s="1" t="n">
        <v>45797.46657407407</v>
      </c>
      <c r="C1076" s="1" t="n">
        <v>45884</v>
      </c>
      <c r="D1076" t="inlineStr">
        <is>
          <t>VÄSTERNORRLANDS LÄN</t>
        </is>
      </c>
      <c r="E1076" t="inlineStr">
        <is>
          <t>ÅNGE</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52805-2024</t>
        </is>
      </c>
      <c r="B1077" s="1" t="n">
        <v>45610.57344907407</v>
      </c>
      <c r="C1077" s="1" t="n">
        <v>45884</v>
      </c>
      <c r="D1077" t="inlineStr">
        <is>
          <t>VÄSTERNORRLANDS LÄN</t>
        </is>
      </c>
      <c r="E1077" t="inlineStr">
        <is>
          <t>ÅNGE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24008-2025</t>
        </is>
      </c>
      <c r="B1078" s="1" t="n">
        <v>45796.43841435185</v>
      </c>
      <c r="C1078" s="1" t="n">
        <v>45884</v>
      </c>
      <c r="D1078" t="inlineStr">
        <is>
          <t>VÄSTERNORRLANDS LÄN</t>
        </is>
      </c>
      <c r="E1078" t="inlineStr">
        <is>
          <t>ÅNGE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4651-2022</t>
        </is>
      </c>
      <c r="B1079" s="1" t="n">
        <v>44592</v>
      </c>
      <c r="C1079" s="1" t="n">
        <v>45884</v>
      </c>
      <c r="D1079" t="inlineStr">
        <is>
          <t>VÄSTERNORRLANDS LÄN</t>
        </is>
      </c>
      <c r="E1079" t="inlineStr">
        <is>
          <t>ÅNGE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19342-2024</t>
        </is>
      </c>
      <c r="B1080" s="1" t="n">
        <v>45428</v>
      </c>
      <c r="C1080" s="1" t="n">
        <v>45884</v>
      </c>
      <c r="D1080" t="inlineStr">
        <is>
          <t>VÄSTERNORRLANDS LÄN</t>
        </is>
      </c>
      <c r="E1080" t="inlineStr">
        <is>
          <t>ÅNGE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24977-2021</t>
        </is>
      </c>
      <c r="B1081" s="1" t="n">
        <v>44341.51386574074</v>
      </c>
      <c r="C1081" s="1" t="n">
        <v>45884</v>
      </c>
      <c r="D1081" t="inlineStr">
        <is>
          <t>VÄSTERNORRLANDS LÄN</t>
        </is>
      </c>
      <c r="E1081" t="inlineStr">
        <is>
          <t>ÅNGE</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41575-2024</t>
        </is>
      </c>
      <c r="B1082" s="1" t="n">
        <v>45560.55106481481</v>
      </c>
      <c r="C1082" s="1" t="n">
        <v>45884</v>
      </c>
      <c r="D1082" t="inlineStr">
        <is>
          <t>VÄSTERNORRLANDS LÄN</t>
        </is>
      </c>
      <c r="E1082" t="inlineStr">
        <is>
          <t>ÅNGE</t>
        </is>
      </c>
      <c r="F1082" t="inlineStr">
        <is>
          <t>Holmen skog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19007-2025</t>
        </is>
      </c>
      <c r="B1083" s="1" t="n">
        <v>45764.58515046296</v>
      </c>
      <c r="C1083" s="1" t="n">
        <v>45884</v>
      </c>
      <c r="D1083" t="inlineStr">
        <is>
          <t>VÄSTERNORRLANDS LÄN</t>
        </is>
      </c>
      <c r="E1083" t="inlineStr">
        <is>
          <t>ÅNGE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5246-2025</t>
        </is>
      </c>
      <c r="B1084" s="1" t="n">
        <v>45692.34427083333</v>
      </c>
      <c r="C1084" s="1" t="n">
        <v>45884</v>
      </c>
      <c r="D1084" t="inlineStr">
        <is>
          <t>VÄSTERNORRLANDS LÄN</t>
        </is>
      </c>
      <c r="E1084" t="inlineStr">
        <is>
          <t>ÅNGE</t>
        </is>
      </c>
      <c r="F1084" t="inlineStr">
        <is>
          <t>SCA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16973-2025</t>
        </is>
      </c>
      <c r="B1085" s="1" t="n">
        <v>45755.46967592592</v>
      </c>
      <c r="C1085" s="1" t="n">
        <v>45884</v>
      </c>
      <c r="D1085" t="inlineStr">
        <is>
          <t>VÄSTERNORRLANDS LÄN</t>
        </is>
      </c>
      <c r="E1085" t="inlineStr">
        <is>
          <t>ÅNGE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41741-2023</t>
        </is>
      </c>
      <c r="B1086" s="1" t="n">
        <v>45176.42164351852</v>
      </c>
      <c r="C1086" s="1" t="n">
        <v>45884</v>
      </c>
      <c r="D1086" t="inlineStr">
        <is>
          <t>VÄSTERNORRLANDS LÄN</t>
        </is>
      </c>
      <c r="E1086" t="inlineStr">
        <is>
          <t>ÅNGE</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29702-2024</t>
        </is>
      </c>
      <c r="B1087" s="1" t="n">
        <v>45485.31525462963</v>
      </c>
      <c r="C1087" s="1" t="n">
        <v>45884</v>
      </c>
      <c r="D1087" t="inlineStr">
        <is>
          <t>VÄSTERNORRLANDS LÄN</t>
        </is>
      </c>
      <c r="E1087" t="inlineStr">
        <is>
          <t>ÅNGE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23069-2024</t>
        </is>
      </c>
      <c r="B1088" s="1" t="n">
        <v>45450</v>
      </c>
      <c r="C1088" s="1" t="n">
        <v>45884</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24209-2025</t>
        </is>
      </c>
      <c r="B1089" s="1" t="n">
        <v>45797.3446875</v>
      </c>
      <c r="C1089" s="1" t="n">
        <v>45884</v>
      </c>
      <c r="D1089" t="inlineStr">
        <is>
          <t>VÄSTERNORRLANDS LÄN</t>
        </is>
      </c>
      <c r="E1089" t="inlineStr">
        <is>
          <t>ÅNGE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10781-2024</t>
        </is>
      </c>
      <c r="B1090" s="1" t="n">
        <v>45369.59635416666</v>
      </c>
      <c r="C1090" s="1" t="n">
        <v>45884</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34679-2024</t>
        </is>
      </c>
      <c r="B1091" s="1" t="n">
        <v>45526</v>
      </c>
      <c r="C1091" s="1" t="n">
        <v>45884</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43096-2023</t>
        </is>
      </c>
      <c r="B1092" s="1" t="n">
        <v>45182</v>
      </c>
      <c r="C1092" s="1" t="n">
        <v>45884</v>
      </c>
      <c r="D1092" t="inlineStr">
        <is>
          <t>VÄSTERNORRLANDS LÄN</t>
        </is>
      </c>
      <c r="E1092" t="inlineStr">
        <is>
          <t>ÅNGE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23975-2025</t>
        </is>
      </c>
      <c r="B1093" s="1" t="n">
        <v>45796.38614583333</v>
      </c>
      <c r="C1093" s="1" t="n">
        <v>45884</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23976-2025</t>
        </is>
      </c>
      <c r="B1094" s="1" t="n">
        <v>45796.38625</v>
      </c>
      <c r="C1094" s="1" t="n">
        <v>45884</v>
      </c>
      <c r="D1094" t="inlineStr">
        <is>
          <t>VÄSTERNORRLANDS LÄN</t>
        </is>
      </c>
      <c r="E1094" t="inlineStr">
        <is>
          <t>ÅNGE</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57516-2023</t>
        </is>
      </c>
      <c r="B1095" s="1" t="n">
        <v>45246.44665509259</v>
      </c>
      <c r="C1095" s="1" t="n">
        <v>45884</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26641-2024</t>
        </is>
      </c>
      <c r="B1096" s="1" t="n">
        <v>45469.92836805555</v>
      </c>
      <c r="C1096" s="1" t="n">
        <v>45884</v>
      </c>
      <c r="D1096" t="inlineStr">
        <is>
          <t>VÄSTERNORRLANDS LÄN</t>
        </is>
      </c>
      <c r="E1096" t="inlineStr">
        <is>
          <t>ÅNGE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60296-2021</t>
        </is>
      </c>
      <c r="B1097" s="1" t="n">
        <v>44495</v>
      </c>
      <c r="C1097" s="1" t="n">
        <v>45884</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37992-2024</t>
        </is>
      </c>
      <c r="B1098" s="1" t="n">
        <v>45544.59524305556</v>
      </c>
      <c r="C1098" s="1" t="n">
        <v>45884</v>
      </c>
      <c r="D1098" t="inlineStr">
        <is>
          <t>VÄSTERNORRLANDS LÄN</t>
        </is>
      </c>
      <c r="E1098" t="inlineStr">
        <is>
          <t>ÅNGE</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24014-2025</t>
        </is>
      </c>
      <c r="B1099" s="1" t="n">
        <v>45796</v>
      </c>
      <c r="C1099" s="1" t="n">
        <v>45884</v>
      </c>
      <c r="D1099" t="inlineStr">
        <is>
          <t>VÄSTERNORRLANDS LÄN</t>
        </is>
      </c>
      <c r="E1099" t="inlineStr">
        <is>
          <t>ÅNGE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24207-2025</t>
        </is>
      </c>
      <c r="B1100" s="1" t="n">
        <v>45797.34439814815</v>
      </c>
      <c r="C1100" s="1" t="n">
        <v>45884</v>
      </c>
      <c r="D1100" t="inlineStr">
        <is>
          <t>VÄSTERNORRLANDS LÄN</t>
        </is>
      </c>
      <c r="E1100" t="inlineStr">
        <is>
          <t>ÅNGE</t>
        </is>
      </c>
      <c r="F1100" t="inlineStr">
        <is>
          <t>SCA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25023-2022</t>
        </is>
      </c>
      <c r="B1101" s="1" t="n">
        <v>44728</v>
      </c>
      <c r="C1101" s="1" t="n">
        <v>45884</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31545-2024</t>
        </is>
      </c>
      <c r="B1102" s="1" t="n">
        <v>45505</v>
      </c>
      <c r="C1102" s="1" t="n">
        <v>45884</v>
      </c>
      <c r="D1102" t="inlineStr">
        <is>
          <t>VÄSTERNORRLANDS LÄN</t>
        </is>
      </c>
      <c r="E1102" t="inlineStr">
        <is>
          <t>ÅNGE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43145-2024</t>
        </is>
      </c>
      <c r="B1103" s="1" t="n">
        <v>45567.63030092593</v>
      </c>
      <c r="C1103" s="1" t="n">
        <v>45884</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23917-2025</t>
        </is>
      </c>
      <c r="B1104" s="1" t="n">
        <v>45795.34481481482</v>
      </c>
      <c r="C1104" s="1" t="n">
        <v>45884</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23921-2025</t>
        </is>
      </c>
      <c r="B1105" s="1" t="n">
        <v>45795.34513888889</v>
      </c>
      <c r="C1105" s="1" t="n">
        <v>45884</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24116-2025</t>
        </is>
      </c>
      <c r="B1106" s="1" t="n">
        <v>45796.61498842593</v>
      </c>
      <c r="C1106" s="1" t="n">
        <v>45884</v>
      </c>
      <c r="D1106" t="inlineStr">
        <is>
          <t>VÄSTERNORRLANDS LÄN</t>
        </is>
      </c>
      <c r="E1106" t="inlineStr">
        <is>
          <t>ÅNGE</t>
        </is>
      </c>
      <c r="F1106" t="inlineStr">
        <is>
          <t>SCA</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24232-2025</t>
        </is>
      </c>
      <c r="B1107" s="1" t="n">
        <v>45797.37846064815</v>
      </c>
      <c r="C1107" s="1" t="n">
        <v>45884</v>
      </c>
      <c r="D1107" t="inlineStr">
        <is>
          <t>VÄSTERNORRLANDS LÄN</t>
        </is>
      </c>
      <c r="E1107" t="inlineStr">
        <is>
          <t>ÅNGE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5197-2025</t>
        </is>
      </c>
      <c r="B1108" s="1" t="n">
        <v>45691.65701388889</v>
      </c>
      <c r="C1108" s="1" t="n">
        <v>45884</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50179-2024</t>
        </is>
      </c>
      <c r="B1109" s="1" t="n">
        <v>45600</v>
      </c>
      <c r="C1109" s="1" t="n">
        <v>45884</v>
      </c>
      <c r="D1109" t="inlineStr">
        <is>
          <t>VÄSTERNORRLANDS LÄN</t>
        </is>
      </c>
      <c r="E1109" t="inlineStr">
        <is>
          <t>ÅNGE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56188-2024</t>
        </is>
      </c>
      <c r="B1110" s="1" t="n">
        <v>45624.57800925926</v>
      </c>
      <c r="C1110" s="1" t="n">
        <v>45884</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23958-2025</t>
        </is>
      </c>
      <c r="B1111" s="1" t="n">
        <v>45796</v>
      </c>
      <c r="C1111" s="1" t="n">
        <v>45884</v>
      </c>
      <c r="D1111" t="inlineStr">
        <is>
          <t>VÄSTERNORRLANDS LÄN</t>
        </is>
      </c>
      <c r="E1111" t="inlineStr">
        <is>
          <t>ÅNGE</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24458-2025</t>
        </is>
      </c>
      <c r="B1112" s="1" t="n">
        <v>45798.34476851852</v>
      </c>
      <c r="C1112" s="1" t="n">
        <v>45884</v>
      </c>
      <c r="D1112" t="inlineStr">
        <is>
          <t>VÄSTERNORRLANDS LÄN</t>
        </is>
      </c>
      <c r="E1112" t="inlineStr">
        <is>
          <t>ÅNGE</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24627-2025</t>
        </is>
      </c>
      <c r="B1113" s="1" t="n">
        <v>45798.59471064815</v>
      </c>
      <c r="C1113" s="1" t="n">
        <v>45884</v>
      </c>
      <c r="D1113" t="inlineStr">
        <is>
          <t>VÄSTERNORRLANDS LÄN</t>
        </is>
      </c>
      <c r="E1113" t="inlineStr">
        <is>
          <t>ÅNGE</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4-2025</t>
        </is>
      </c>
      <c r="B1114" s="1" t="n">
        <v>45658.50107638889</v>
      </c>
      <c r="C1114" s="1" t="n">
        <v>45884</v>
      </c>
      <c r="D1114" t="inlineStr">
        <is>
          <t>VÄSTERNORRLANDS LÄN</t>
        </is>
      </c>
      <c r="E1114" t="inlineStr">
        <is>
          <t>ÅNGE</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33717-2025</t>
        </is>
      </c>
      <c r="B1115" s="1" t="n">
        <v>45841.89357638889</v>
      </c>
      <c r="C1115" s="1" t="n">
        <v>45884</v>
      </c>
      <c r="D1115" t="inlineStr">
        <is>
          <t>VÄSTERNORRLANDS LÄN</t>
        </is>
      </c>
      <c r="E1115" t="inlineStr">
        <is>
          <t>ÅNGE</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27853-2024</t>
        </is>
      </c>
      <c r="B1116" s="1" t="n">
        <v>45475</v>
      </c>
      <c r="C1116" s="1" t="n">
        <v>45884</v>
      </c>
      <c r="D1116" t="inlineStr">
        <is>
          <t>VÄSTERNORRLANDS LÄN</t>
        </is>
      </c>
      <c r="E1116" t="inlineStr">
        <is>
          <t>ÅNGE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33719-2025</t>
        </is>
      </c>
      <c r="B1117" s="1" t="n">
        <v>45841.90143518519</v>
      </c>
      <c r="C1117" s="1" t="n">
        <v>45884</v>
      </c>
      <c r="D1117" t="inlineStr">
        <is>
          <t>VÄSTERNORRLANDS LÄN</t>
        </is>
      </c>
      <c r="E1117" t="inlineStr">
        <is>
          <t>ÅNGE</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33720-2025</t>
        </is>
      </c>
      <c r="B1118" s="1" t="n">
        <v>45841.90605324074</v>
      </c>
      <c r="C1118" s="1" t="n">
        <v>45884</v>
      </c>
      <c r="D1118" t="inlineStr">
        <is>
          <t>VÄSTERNORRLANDS LÄN</t>
        </is>
      </c>
      <c r="E1118" t="inlineStr">
        <is>
          <t>ÅNGE</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24847-2025</t>
        </is>
      </c>
      <c r="B1119" s="1" t="n">
        <v>45799.46907407408</v>
      </c>
      <c r="C1119" s="1" t="n">
        <v>45884</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25017-2025</t>
        </is>
      </c>
      <c r="B1120" s="1" t="n">
        <v>45799.63791666667</v>
      </c>
      <c r="C1120" s="1" t="n">
        <v>45884</v>
      </c>
      <c r="D1120" t="inlineStr">
        <is>
          <t>VÄSTERNORRLANDS LÄN</t>
        </is>
      </c>
      <c r="E1120" t="inlineStr">
        <is>
          <t>ÅNGE</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44565-2024</t>
        </is>
      </c>
      <c r="B1121" s="1" t="n">
        <v>45574.47518518518</v>
      </c>
      <c r="C1121" s="1" t="n">
        <v>45884</v>
      </c>
      <c r="D1121" t="inlineStr">
        <is>
          <t>VÄSTERNORRLANDS LÄN</t>
        </is>
      </c>
      <c r="E1121" t="inlineStr">
        <is>
          <t>ÅNGE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47041-2020</t>
        </is>
      </c>
      <c r="B1122" s="1" t="n">
        <v>44091</v>
      </c>
      <c r="C1122" s="1" t="n">
        <v>45884</v>
      </c>
      <c r="D1122" t="inlineStr">
        <is>
          <t>VÄSTERNORRLANDS LÄN</t>
        </is>
      </c>
      <c r="E1122" t="inlineStr">
        <is>
          <t>ÅNGE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30054-2024</t>
        </is>
      </c>
      <c r="B1123" s="1" t="n">
        <v>45488.94758101852</v>
      </c>
      <c r="C1123" s="1" t="n">
        <v>45884</v>
      </c>
      <c r="D1123" t="inlineStr">
        <is>
          <t>VÄSTERNORRLANDS LÄN</t>
        </is>
      </c>
      <c r="E1123" t="inlineStr">
        <is>
          <t>ÅNGE</t>
        </is>
      </c>
      <c r="F1123" t="inlineStr">
        <is>
          <t>SCA</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40755-2023</t>
        </is>
      </c>
      <c r="B1124" s="1" t="n">
        <v>45170</v>
      </c>
      <c r="C1124" s="1" t="n">
        <v>45884</v>
      </c>
      <c r="D1124" t="inlineStr">
        <is>
          <t>VÄSTERNORRLANDS LÄN</t>
        </is>
      </c>
      <c r="E1124" t="inlineStr">
        <is>
          <t>ÅNGE</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31696-2022</t>
        </is>
      </c>
      <c r="B1125" s="1" t="n">
        <v>44776</v>
      </c>
      <c r="C1125" s="1" t="n">
        <v>45884</v>
      </c>
      <c r="D1125" t="inlineStr">
        <is>
          <t>VÄSTERNORRLANDS LÄN</t>
        </is>
      </c>
      <c r="E1125" t="inlineStr">
        <is>
          <t>ÅNGE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24852-2025</t>
        </is>
      </c>
      <c r="B1126" s="1" t="n">
        <v>45799.46975694445</v>
      </c>
      <c r="C1126" s="1" t="n">
        <v>45884</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43622-2023</t>
        </is>
      </c>
      <c r="B1127" s="1" t="n">
        <v>45184.70777777778</v>
      </c>
      <c r="C1127" s="1" t="n">
        <v>45884</v>
      </c>
      <c r="D1127" t="inlineStr">
        <is>
          <t>VÄSTERNORRLANDS LÄN</t>
        </is>
      </c>
      <c r="E1127" t="inlineStr">
        <is>
          <t>ÅNGE</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25067-2025</t>
        </is>
      </c>
      <c r="B1128" s="1" t="n">
        <v>45799.71908564815</v>
      </c>
      <c r="C1128" s="1" t="n">
        <v>45884</v>
      </c>
      <c r="D1128" t="inlineStr">
        <is>
          <t>VÄSTERNORRLANDS LÄN</t>
        </is>
      </c>
      <c r="E1128" t="inlineStr">
        <is>
          <t>ÅNGE</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10084-2023</t>
        </is>
      </c>
      <c r="B1129" s="1" t="n">
        <v>44985.94465277778</v>
      </c>
      <c r="C1129" s="1" t="n">
        <v>45884</v>
      </c>
      <c r="D1129" t="inlineStr">
        <is>
          <t>VÄSTERNORRLANDS LÄN</t>
        </is>
      </c>
      <c r="E1129" t="inlineStr">
        <is>
          <t>ÅNGE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29390-2021</t>
        </is>
      </c>
      <c r="B1130" s="1" t="n">
        <v>44361</v>
      </c>
      <c r="C1130" s="1" t="n">
        <v>45884</v>
      </c>
      <c r="D1130" t="inlineStr">
        <is>
          <t>VÄSTERNORRLANDS LÄN</t>
        </is>
      </c>
      <c r="E1130" t="inlineStr">
        <is>
          <t>ÅNGE</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37038-2024</t>
        </is>
      </c>
      <c r="B1131" s="1" t="n">
        <v>45539.40881944444</v>
      </c>
      <c r="C1131" s="1" t="n">
        <v>45884</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36877-2024</t>
        </is>
      </c>
      <c r="B1132" s="1" t="n">
        <v>45538.59418981482</v>
      </c>
      <c r="C1132" s="1" t="n">
        <v>45884</v>
      </c>
      <c r="D1132" t="inlineStr">
        <is>
          <t>VÄSTERNORRLANDS LÄN</t>
        </is>
      </c>
      <c r="E1132" t="inlineStr">
        <is>
          <t>ÅNGE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16450-2025</t>
        </is>
      </c>
      <c r="B1133" s="1" t="n">
        <v>45751.51081018519</v>
      </c>
      <c r="C1133" s="1" t="n">
        <v>45884</v>
      </c>
      <c r="D1133" t="inlineStr">
        <is>
          <t>VÄSTERNORRLANDS LÄN</t>
        </is>
      </c>
      <c r="E1133" t="inlineStr">
        <is>
          <t>ÅNGE</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33738-2025</t>
        </is>
      </c>
      <c r="B1134" s="1" t="n">
        <v>45842.33795138889</v>
      </c>
      <c r="C1134" s="1" t="n">
        <v>45884</v>
      </c>
      <c r="D1134" t="inlineStr">
        <is>
          <t>VÄSTERNORRLANDS LÄN</t>
        </is>
      </c>
      <c r="E1134" t="inlineStr">
        <is>
          <t>ÅNGE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34031-2025</t>
        </is>
      </c>
      <c r="B1135" s="1" t="n">
        <v>45845.36508101852</v>
      </c>
      <c r="C1135" s="1" t="n">
        <v>45884</v>
      </c>
      <c r="D1135" t="inlineStr">
        <is>
          <t>VÄSTERNORRLANDS LÄN</t>
        </is>
      </c>
      <c r="E1135" t="inlineStr">
        <is>
          <t>ÅNGE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25352-2025</t>
        </is>
      </c>
      <c r="B1136" s="1" t="n">
        <v>45800.61552083334</v>
      </c>
      <c r="C1136" s="1" t="n">
        <v>45884</v>
      </c>
      <c r="D1136" t="inlineStr">
        <is>
          <t>VÄSTERNORRLANDS LÄN</t>
        </is>
      </c>
      <c r="E1136" t="inlineStr">
        <is>
          <t>ÅNGE</t>
        </is>
      </c>
      <c r="F1136" t="inlineStr">
        <is>
          <t>SCA</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34019-2025</t>
        </is>
      </c>
      <c r="B1137" s="1" t="n">
        <v>45845.34416666667</v>
      </c>
      <c r="C1137" s="1" t="n">
        <v>45884</v>
      </c>
      <c r="D1137" t="inlineStr">
        <is>
          <t>VÄSTERNORRLANDS LÄN</t>
        </is>
      </c>
      <c r="E1137" t="inlineStr">
        <is>
          <t>ÅNGE</t>
        </is>
      </c>
      <c r="F1137" t="inlineStr">
        <is>
          <t>SCA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60860-2022</t>
        </is>
      </c>
      <c r="B1138" s="1" t="n">
        <v>44914</v>
      </c>
      <c r="C1138" s="1" t="n">
        <v>45884</v>
      </c>
      <c r="D1138" t="inlineStr">
        <is>
          <t>VÄSTERNORRLANDS LÄN</t>
        </is>
      </c>
      <c r="E1138" t="inlineStr">
        <is>
          <t>ÅNGE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17668-2023</t>
        </is>
      </c>
      <c r="B1139" s="1" t="n">
        <v>45036</v>
      </c>
      <c r="C1139" s="1" t="n">
        <v>45884</v>
      </c>
      <c r="D1139" t="inlineStr">
        <is>
          <t>VÄSTERNORRLANDS LÄN</t>
        </is>
      </c>
      <c r="E1139" t="inlineStr">
        <is>
          <t>ÅNGE</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53651-2023</t>
        </is>
      </c>
      <c r="B1140" s="1" t="n">
        <v>45230.60815972222</v>
      </c>
      <c r="C1140" s="1" t="n">
        <v>45884</v>
      </c>
      <c r="D1140" t="inlineStr">
        <is>
          <t>VÄSTERNORRLANDS LÄN</t>
        </is>
      </c>
      <c r="E1140" t="inlineStr">
        <is>
          <t>ÅNGE</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33782-2025</t>
        </is>
      </c>
      <c r="B1141" s="1" t="n">
        <v>45842.40678240741</v>
      </c>
      <c r="C1141" s="1" t="n">
        <v>45884</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25340-2025</t>
        </is>
      </c>
      <c r="B1142" s="1" t="n">
        <v>45800.60074074074</v>
      </c>
      <c r="C1142" s="1" t="n">
        <v>45884</v>
      </c>
      <c r="D1142" t="inlineStr">
        <is>
          <t>VÄSTERNORRLANDS LÄN</t>
        </is>
      </c>
      <c r="E1142" t="inlineStr">
        <is>
          <t>ÅNGE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41284-2024</t>
        </is>
      </c>
      <c r="B1143" s="1" t="n">
        <v>45559.59520833333</v>
      </c>
      <c r="C1143" s="1" t="n">
        <v>45884</v>
      </c>
      <c r="D1143" t="inlineStr">
        <is>
          <t>VÄSTERNORRLANDS LÄN</t>
        </is>
      </c>
      <c r="E1143" t="inlineStr">
        <is>
          <t>ÅNGE</t>
        </is>
      </c>
      <c r="F1143" t="inlineStr">
        <is>
          <t>SCA</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25532-2025</t>
        </is>
      </c>
      <c r="B1144" s="1" t="n">
        <v>45803.4065162037</v>
      </c>
      <c r="C1144" s="1" t="n">
        <v>45884</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25717-2025</t>
        </is>
      </c>
      <c r="B1145" s="1" t="n">
        <v>45803.6985300926</v>
      </c>
      <c r="C1145" s="1" t="n">
        <v>45884</v>
      </c>
      <c r="D1145" t="inlineStr">
        <is>
          <t>VÄSTERNORRLANDS LÄN</t>
        </is>
      </c>
      <c r="E1145" t="inlineStr">
        <is>
          <t>ÅNGE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25499-2025</t>
        </is>
      </c>
      <c r="B1146" s="1" t="n">
        <v>45803.344375</v>
      </c>
      <c r="C1146" s="1" t="n">
        <v>45884</v>
      </c>
      <c r="D1146" t="inlineStr">
        <is>
          <t>VÄSTERNORRLANDS LÄN</t>
        </is>
      </c>
      <c r="E1146" t="inlineStr">
        <is>
          <t>ÅNGE</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25274-2025</t>
        </is>
      </c>
      <c r="B1147" s="1" t="n">
        <v>45800.55276620371</v>
      </c>
      <c r="C1147" s="1" t="n">
        <v>45884</v>
      </c>
      <c r="D1147" t="inlineStr">
        <is>
          <t>VÄSTERNORRLANDS LÄN</t>
        </is>
      </c>
      <c r="E1147" t="inlineStr">
        <is>
          <t>ÅNGE</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25706-2025</t>
        </is>
      </c>
      <c r="B1148" s="1" t="n">
        <v>45803.67788194444</v>
      </c>
      <c r="C1148" s="1" t="n">
        <v>45884</v>
      </c>
      <c r="D1148" t="inlineStr">
        <is>
          <t>VÄSTERNORRLANDS LÄN</t>
        </is>
      </c>
      <c r="E1148" t="inlineStr">
        <is>
          <t>ÅNGE</t>
        </is>
      </c>
      <c r="F1148" t="inlineStr">
        <is>
          <t>SCA</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39682-2024</t>
        </is>
      </c>
      <c r="B1149" s="1" t="n">
        <v>45552</v>
      </c>
      <c r="C1149" s="1" t="n">
        <v>45884</v>
      </c>
      <c r="D1149" t="inlineStr">
        <is>
          <t>VÄSTERNORRLANDS LÄN</t>
        </is>
      </c>
      <c r="E1149" t="inlineStr">
        <is>
          <t>ÅNGE</t>
        </is>
      </c>
      <c r="G1149" t="n">
        <v>35.4</v>
      </c>
      <c r="H1149" t="n">
        <v>0</v>
      </c>
      <c r="I1149" t="n">
        <v>0</v>
      </c>
      <c r="J1149" t="n">
        <v>0</v>
      </c>
      <c r="K1149" t="n">
        <v>0</v>
      </c>
      <c r="L1149" t="n">
        <v>0</v>
      </c>
      <c r="M1149" t="n">
        <v>0</v>
      </c>
      <c r="N1149" t="n">
        <v>0</v>
      </c>
      <c r="O1149" t="n">
        <v>0</v>
      </c>
      <c r="P1149" t="n">
        <v>0</v>
      </c>
      <c r="Q1149" t="n">
        <v>0</v>
      </c>
      <c r="R1149" s="2" t="inlineStr"/>
    </row>
    <row r="1150" ht="15" customHeight="1">
      <c r="A1150" t="inlineStr">
        <is>
          <t>A 10025-2025</t>
        </is>
      </c>
      <c r="B1150" s="1" t="n">
        <v>45719.49002314815</v>
      </c>
      <c r="C1150" s="1" t="n">
        <v>45884</v>
      </c>
      <c r="D1150" t="inlineStr">
        <is>
          <t>VÄSTERNORRLANDS LÄN</t>
        </is>
      </c>
      <c r="E1150" t="inlineStr">
        <is>
          <t>ÅNGE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25241-2025</t>
        </is>
      </c>
      <c r="B1151" s="1" t="n">
        <v>45800.49053240741</v>
      </c>
      <c r="C1151" s="1" t="n">
        <v>45884</v>
      </c>
      <c r="D1151" t="inlineStr">
        <is>
          <t>VÄSTERNORRLANDS LÄN</t>
        </is>
      </c>
      <c r="E1151" t="inlineStr">
        <is>
          <t>ÅNGE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19798-2025</t>
        </is>
      </c>
      <c r="B1152" s="1" t="n">
        <v>45771.44824074074</v>
      </c>
      <c r="C1152" s="1" t="n">
        <v>45884</v>
      </c>
      <c r="D1152" t="inlineStr">
        <is>
          <t>VÄSTERNORRLANDS LÄN</t>
        </is>
      </c>
      <c r="E1152" t="inlineStr">
        <is>
          <t>ÅNGE</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2984-2025</t>
        </is>
      </c>
      <c r="B1153" s="1" t="n">
        <v>45678.51094907407</v>
      </c>
      <c r="C1153" s="1" t="n">
        <v>45884</v>
      </c>
      <c r="D1153" t="inlineStr">
        <is>
          <t>VÄSTERNORRLANDS LÄN</t>
        </is>
      </c>
      <c r="E1153" t="inlineStr">
        <is>
          <t>ÅNGE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31863-2024</t>
        </is>
      </c>
      <c r="B1154" s="1" t="n">
        <v>45509.74121527778</v>
      </c>
      <c r="C1154" s="1" t="n">
        <v>45884</v>
      </c>
      <c r="D1154" t="inlineStr">
        <is>
          <t>VÄSTERNORRLANDS LÄN</t>
        </is>
      </c>
      <c r="E1154" t="inlineStr">
        <is>
          <t>ÅNGE</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25273-2025</t>
        </is>
      </c>
      <c r="B1155" s="1" t="n">
        <v>45800.55253472222</v>
      </c>
      <c r="C1155" s="1" t="n">
        <v>45884</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25332-2025</t>
        </is>
      </c>
      <c r="B1156" s="1" t="n">
        <v>45800.59418981482</v>
      </c>
      <c r="C1156" s="1" t="n">
        <v>45884</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3133-2024</t>
        </is>
      </c>
      <c r="B1157" s="1" t="n">
        <v>45316.55885416667</v>
      </c>
      <c r="C1157" s="1" t="n">
        <v>45884</v>
      </c>
      <c r="D1157" t="inlineStr">
        <is>
          <t>VÄSTERNORRLANDS LÄN</t>
        </is>
      </c>
      <c r="E1157" t="inlineStr">
        <is>
          <t>ÅNGE</t>
        </is>
      </c>
      <c r="F1157" t="inlineStr">
        <is>
          <t>Holmen skog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33806-2025</t>
        </is>
      </c>
      <c r="B1158" s="1" t="n">
        <v>45842.44865740741</v>
      </c>
      <c r="C1158" s="1" t="n">
        <v>45884</v>
      </c>
      <c r="D1158" t="inlineStr">
        <is>
          <t>VÄSTERNORRLANDS LÄN</t>
        </is>
      </c>
      <c r="E1158" t="inlineStr">
        <is>
          <t>ÅNGE</t>
        </is>
      </c>
      <c r="F1158" t="inlineStr">
        <is>
          <t>SCA</t>
        </is>
      </c>
      <c r="G1158" t="n">
        <v>24.6</v>
      </c>
      <c r="H1158" t="n">
        <v>0</v>
      </c>
      <c r="I1158" t="n">
        <v>0</v>
      </c>
      <c r="J1158" t="n">
        <v>0</v>
      </c>
      <c r="K1158" t="n">
        <v>0</v>
      </c>
      <c r="L1158" t="n">
        <v>0</v>
      </c>
      <c r="M1158" t="n">
        <v>0</v>
      </c>
      <c r="N1158" t="n">
        <v>0</v>
      </c>
      <c r="O1158" t="n">
        <v>0</v>
      </c>
      <c r="P1158" t="n">
        <v>0</v>
      </c>
      <c r="Q1158" t="n">
        <v>0</v>
      </c>
      <c r="R1158" s="2" t="inlineStr"/>
    </row>
    <row r="1159" ht="15" customHeight="1">
      <c r="A1159" t="inlineStr">
        <is>
          <t>A 25772-2025</t>
        </is>
      </c>
      <c r="B1159" s="1" t="n">
        <v>45804.34520833333</v>
      </c>
      <c r="C1159" s="1" t="n">
        <v>45884</v>
      </c>
      <c r="D1159" t="inlineStr">
        <is>
          <t>VÄSTERNORRLANDS LÄN</t>
        </is>
      </c>
      <c r="E1159" t="inlineStr">
        <is>
          <t>ÅNGE</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21262-2025</t>
        </is>
      </c>
      <c r="B1160" s="1" t="n">
        <v>45779</v>
      </c>
      <c r="C1160" s="1" t="n">
        <v>45884</v>
      </c>
      <c r="D1160" t="inlineStr">
        <is>
          <t>VÄSTERNORRLANDS LÄN</t>
        </is>
      </c>
      <c r="E1160" t="inlineStr">
        <is>
          <t>ÅNGE</t>
        </is>
      </c>
      <c r="F1160" t="inlineStr">
        <is>
          <t>Sveaskog</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34593-2025</t>
        </is>
      </c>
      <c r="B1161" s="1" t="n">
        <v>45847.6316087963</v>
      </c>
      <c r="C1161" s="1" t="n">
        <v>45884</v>
      </c>
      <c r="D1161" t="inlineStr">
        <is>
          <t>VÄSTERNORRLANDS LÄN</t>
        </is>
      </c>
      <c r="E1161" t="inlineStr">
        <is>
          <t>ÅNGE</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56569-2024</t>
        </is>
      </c>
      <c r="B1162" s="1" t="n">
        <v>45625</v>
      </c>
      <c r="C1162" s="1" t="n">
        <v>45884</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15863-2022</t>
        </is>
      </c>
      <c r="B1163" s="1" t="n">
        <v>44664</v>
      </c>
      <c r="C1163" s="1" t="n">
        <v>45884</v>
      </c>
      <c r="D1163" t="inlineStr">
        <is>
          <t>VÄSTERNORRLANDS LÄN</t>
        </is>
      </c>
      <c r="E1163" t="inlineStr">
        <is>
          <t>ÅNGE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25810-2025</t>
        </is>
      </c>
      <c r="B1164" s="1" t="n">
        <v>45804.42083333333</v>
      </c>
      <c r="C1164" s="1" t="n">
        <v>45884</v>
      </c>
      <c r="D1164" t="inlineStr">
        <is>
          <t>VÄSTERNORRLANDS LÄN</t>
        </is>
      </c>
      <c r="E1164" t="inlineStr">
        <is>
          <t>ÅNGE</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45703-2022</t>
        </is>
      </c>
      <c r="B1165" s="1" t="n">
        <v>44845</v>
      </c>
      <c r="C1165" s="1" t="n">
        <v>45884</v>
      </c>
      <c r="D1165" t="inlineStr">
        <is>
          <t>VÄSTERNORRLANDS LÄN</t>
        </is>
      </c>
      <c r="E1165" t="inlineStr">
        <is>
          <t>ÅNGE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26193-2025</t>
        </is>
      </c>
      <c r="B1166" s="1" t="n">
        <v>45805.48922453704</v>
      </c>
      <c r="C1166" s="1" t="n">
        <v>45884</v>
      </c>
      <c r="D1166" t="inlineStr">
        <is>
          <t>VÄSTERNORRLANDS LÄN</t>
        </is>
      </c>
      <c r="E1166" t="inlineStr">
        <is>
          <t>ÅNGE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34591-2025</t>
        </is>
      </c>
      <c r="B1167" s="1" t="n">
        <v>45847.62920138889</v>
      </c>
      <c r="C1167" s="1" t="n">
        <v>45884</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53663-2022</t>
        </is>
      </c>
      <c r="B1168" s="1" t="n">
        <v>44879</v>
      </c>
      <c r="C1168" s="1" t="n">
        <v>45884</v>
      </c>
      <c r="D1168" t="inlineStr">
        <is>
          <t>VÄSTERNORRLANDS LÄN</t>
        </is>
      </c>
      <c r="E1168" t="inlineStr">
        <is>
          <t>ÅNGE</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10089-2023</t>
        </is>
      </c>
      <c r="B1169" s="1" t="n">
        <v>44985</v>
      </c>
      <c r="C1169" s="1" t="n">
        <v>45884</v>
      </c>
      <c r="D1169" t="inlineStr">
        <is>
          <t>VÄSTERNORRLANDS LÄN</t>
        </is>
      </c>
      <c r="E1169" t="inlineStr">
        <is>
          <t>ÅNGE</t>
        </is>
      </c>
      <c r="F1169" t="inlineStr">
        <is>
          <t>SCA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10090-2023</t>
        </is>
      </c>
      <c r="B1170" s="1" t="n">
        <v>44985.94511574074</v>
      </c>
      <c r="C1170" s="1" t="n">
        <v>45884</v>
      </c>
      <c r="D1170" t="inlineStr">
        <is>
          <t>VÄSTERNORRLANDS LÄN</t>
        </is>
      </c>
      <c r="E1170" t="inlineStr">
        <is>
          <t>ÅNGE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26365-2025</t>
        </is>
      </c>
      <c r="B1171" s="1" t="n">
        <v>45806.34412037037</v>
      </c>
      <c r="C1171" s="1" t="n">
        <v>45884</v>
      </c>
      <c r="D1171" t="inlineStr">
        <is>
          <t>VÄSTERNORRLANDS LÄN</t>
        </is>
      </c>
      <c r="E1171" t="inlineStr">
        <is>
          <t>ÅNGE</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19997-2023</t>
        </is>
      </c>
      <c r="B1172" s="1" t="n">
        <v>45054</v>
      </c>
      <c r="C1172" s="1" t="n">
        <v>45884</v>
      </c>
      <c r="D1172" t="inlineStr">
        <is>
          <t>VÄSTERNORRLANDS LÄN</t>
        </is>
      </c>
      <c r="E1172" t="inlineStr">
        <is>
          <t>ÅNGE</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26389-2025</t>
        </is>
      </c>
      <c r="B1173" s="1" t="n">
        <v>45806.51078703703</v>
      </c>
      <c r="C1173" s="1" t="n">
        <v>45884</v>
      </c>
      <c r="D1173" t="inlineStr">
        <is>
          <t>VÄSTERNORRLANDS LÄN</t>
        </is>
      </c>
      <c r="E1173" t="inlineStr">
        <is>
          <t>ÅNGE</t>
        </is>
      </c>
      <c r="F1173" t="inlineStr">
        <is>
          <t>SCA</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38284-2022</t>
        </is>
      </c>
      <c r="B1174" s="1" t="n">
        <v>44812.55149305556</v>
      </c>
      <c r="C1174" s="1" t="n">
        <v>45884</v>
      </c>
      <c r="D1174" t="inlineStr">
        <is>
          <t>VÄSTERNORRLANDS LÄN</t>
        </is>
      </c>
      <c r="E1174" t="inlineStr">
        <is>
          <t>ÅNGE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26388-2025</t>
        </is>
      </c>
      <c r="B1175" s="1" t="n">
        <v>45806.51069444444</v>
      </c>
      <c r="C1175" s="1" t="n">
        <v>45884</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34785-2025</t>
        </is>
      </c>
      <c r="B1176" s="1" t="n">
        <v>45848.67771990741</v>
      </c>
      <c r="C1176" s="1" t="n">
        <v>45884</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5393-2025</t>
        </is>
      </c>
      <c r="B1177" s="1" t="n">
        <v>45692.63574074074</v>
      </c>
      <c r="C1177" s="1" t="n">
        <v>45884</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26366-2025</t>
        </is>
      </c>
      <c r="B1178" s="1" t="n">
        <v>45806.34424768519</v>
      </c>
      <c r="C1178" s="1" t="n">
        <v>45884</v>
      </c>
      <c r="D1178" t="inlineStr">
        <is>
          <t>VÄSTERNORRLANDS LÄN</t>
        </is>
      </c>
      <c r="E1178" t="inlineStr">
        <is>
          <t>ÅNGE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35143-2025</t>
        </is>
      </c>
      <c r="B1179" s="1" t="n">
        <v>45852.65660879629</v>
      </c>
      <c r="C1179" s="1" t="n">
        <v>45884</v>
      </c>
      <c r="D1179" t="inlineStr">
        <is>
          <t>VÄSTERNORRLANDS LÄN</t>
        </is>
      </c>
      <c r="E1179" t="inlineStr">
        <is>
          <t>ÅNGE</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43184-2024</t>
        </is>
      </c>
      <c r="B1180" s="1" t="n">
        <v>45567</v>
      </c>
      <c r="C1180" s="1" t="n">
        <v>45884</v>
      </c>
      <c r="D1180" t="inlineStr">
        <is>
          <t>VÄSTERNORRLANDS LÄN</t>
        </is>
      </c>
      <c r="E1180" t="inlineStr">
        <is>
          <t>ÅNGE</t>
        </is>
      </c>
      <c r="G1180" t="n">
        <v>15.3</v>
      </c>
      <c r="H1180" t="n">
        <v>0</v>
      </c>
      <c r="I1180" t="n">
        <v>0</v>
      </c>
      <c r="J1180" t="n">
        <v>0</v>
      </c>
      <c r="K1180" t="n">
        <v>0</v>
      </c>
      <c r="L1180" t="n">
        <v>0</v>
      </c>
      <c r="M1180" t="n">
        <v>0</v>
      </c>
      <c r="N1180" t="n">
        <v>0</v>
      </c>
      <c r="O1180" t="n">
        <v>0</v>
      </c>
      <c r="P1180" t="n">
        <v>0</v>
      </c>
      <c r="Q1180" t="n">
        <v>0</v>
      </c>
      <c r="R1180" s="2" t="inlineStr"/>
    </row>
    <row r="1181" ht="15" customHeight="1">
      <c r="A1181" t="inlineStr">
        <is>
          <t>A 57529-2024</t>
        </is>
      </c>
      <c r="B1181" s="1" t="n">
        <v>45630</v>
      </c>
      <c r="C1181" s="1" t="n">
        <v>45884</v>
      </c>
      <c r="D1181" t="inlineStr">
        <is>
          <t>VÄSTERNORRLANDS LÄN</t>
        </is>
      </c>
      <c r="E1181" t="inlineStr">
        <is>
          <t>ÅNGE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26734-2025</t>
        </is>
      </c>
      <c r="B1182" s="1" t="n">
        <v>45810.51087962963</v>
      </c>
      <c r="C1182" s="1" t="n">
        <v>45884</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34726-2024</t>
        </is>
      </c>
      <c r="B1183" s="1" t="n">
        <v>45526.5733912037</v>
      </c>
      <c r="C1183" s="1" t="n">
        <v>45884</v>
      </c>
      <c r="D1183" t="inlineStr">
        <is>
          <t>VÄSTERNORRLANDS LÄN</t>
        </is>
      </c>
      <c r="E1183" t="inlineStr">
        <is>
          <t>ÅNGE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1769-2023</t>
        </is>
      </c>
      <c r="B1184" s="1" t="n">
        <v>44938.58025462963</v>
      </c>
      <c r="C1184" s="1" t="n">
        <v>45884</v>
      </c>
      <c r="D1184" t="inlineStr">
        <is>
          <t>VÄSTERNORRLANDS LÄN</t>
        </is>
      </c>
      <c r="E1184" t="inlineStr">
        <is>
          <t>ÅNGE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32776-2022</t>
        </is>
      </c>
      <c r="B1185" s="1" t="n">
        <v>44783.94607638889</v>
      </c>
      <c r="C1185" s="1" t="n">
        <v>45884</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26901-2025</t>
        </is>
      </c>
      <c r="B1186" s="1" t="n">
        <v>45811.34457175926</v>
      </c>
      <c r="C1186" s="1" t="n">
        <v>45884</v>
      </c>
      <c r="D1186" t="inlineStr">
        <is>
          <t>VÄSTERNORRLANDS LÄN</t>
        </is>
      </c>
      <c r="E1186" t="inlineStr">
        <is>
          <t>ÅNGE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39919-2020</t>
        </is>
      </c>
      <c r="B1187" s="1" t="n">
        <v>44063</v>
      </c>
      <c r="C1187" s="1" t="n">
        <v>45884</v>
      </c>
      <c r="D1187" t="inlineStr">
        <is>
          <t>VÄSTERNORRLANDS LÄN</t>
        </is>
      </c>
      <c r="E1187" t="inlineStr">
        <is>
          <t>ÅNGE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25779-2023</t>
        </is>
      </c>
      <c r="B1188" s="1" t="n">
        <v>45090.47439814815</v>
      </c>
      <c r="C1188" s="1" t="n">
        <v>45884</v>
      </c>
      <c r="D1188" t="inlineStr">
        <is>
          <t>VÄSTERNORRLANDS LÄN</t>
        </is>
      </c>
      <c r="E1188" t="inlineStr">
        <is>
          <t>ÅNGE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23225-2024</t>
        </is>
      </c>
      <c r="B1189" s="1" t="n">
        <v>45452.9490162037</v>
      </c>
      <c r="C1189" s="1" t="n">
        <v>45884</v>
      </c>
      <c r="D1189" t="inlineStr">
        <is>
          <t>VÄSTERNORRLANDS LÄN</t>
        </is>
      </c>
      <c r="E1189" t="inlineStr">
        <is>
          <t>ÅNGE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29696-2024</t>
        </is>
      </c>
      <c r="B1190" s="1" t="n">
        <v>45484.94524305555</v>
      </c>
      <c r="C1190" s="1" t="n">
        <v>45884</v>
      </c>
      <c r="D1190" t="inlineStr">
        <is>
          <t>VÄSTERNORRLANDS LÄN</t>
        </is>
      </c>
      <c r="E1190" t="inlineStr">
        <is>
          <t>ÅNGE</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26655-2025</t>
        </is>
      </c>
      <c r="B1191" s="1" t="n">
        <v>45810.39047453704</v>
      </c>
      <c r="C1191" s="1" t="n">
        <v>45884</v>
      </c>
      <c r="D1191" t="inlineStr">
        <is>
          <t>VÄSTERNORRLANDS LÄN</t>
        </is>
      </c>
      <c r="E1191" t="inlineStr">
        <is>
          <t>ÅNGE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6462-2024</t>
        </is>
      </c>
      <c r="B1192" s="1" t="n">
        <v>45338</v>
      </c>
      <c r="C1192" s="1" t="n">
        <v>45884</v>
      </c>
      <c r="D1192" t="inlineStr">
        <is>
          <t>VÄSTERNORRLANDS LÄN</t>
        </is>
      </c>
      <c r="E1192" t="inlineStr">
        <is>
          <t>ÅNGE</t>
        </is>
      </c>
      <c r="F1192" t="inlineStr">
        <is>
          <t>Kyrkan</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5931-2025</t>
        </is>
      </c>
      <c r="B1193" s="1" t="n">
        <v>45695.44827546296</v>
      </c>
      <c r="C1193" s="1" t="n">
        <v>45884</v>
      </c>
      <c r="D1193" t="inlineStr">
        <is>
          <t>VÄSTERNORRLANDS LÄN</t>
        </is>
      </c>
      <c r="E1193" t="inlineStr">
        <is>
          <t>ÅNGE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35061-2025</t>
        </is>
      </c>
      <c r="B1194" s="1" t="n">
        <v>45852</v>
      </c>
      <c r="C1194" s="1" t="n">
        <v>45884</v>
      </c>
      <c r="D1194" t="inlineStr">
        <is>
          <t>VÄSTERNORRLANDS LÄN</t>
        </is>
      </c>
      <c r="E1194" t="inlineStr">
        <is>
          <t>ÅNGE</t>
        </is>
      </c>
      <c r="F1194" t="inlineStr">
        <is>
          <t>SCA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59222-2020</t>
        </is>
      </c>
      <c r="B1195" s="1" t="n">
        <v>44147</v>
      </c>
      <c r="C1195" s="1" t="n">
        <v>45884</v>
      </c>
      <c r="D1195" t="inlineStr">
        <is>
          <t>VÄSTERNORRLANDS LÄN</t>
        </is>
      </c>
      <c r="E1195" t="inlineStr">
        <is>
          <t>ÅNGE</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26608-2025</t>
        </is>
      </c>
      <c r="B1196" s="1" t="n">
        <v>45809.98600694445</v>
      </c>
      <c r="C1196" s="1" t="n">
        <v>45884</v>
      </c>
      <c r="D1196" t="inlineStr">
        <is>
          <t>VÄSTERNORRLANDS LÄN</t>
        </is>
      </c>
      <c r="E1196" t="inlineStr">
        <is>
          <t>ÅNGE</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26018-2024</t>
        </is>
      </c>
      <c r="B1197" s="1" t="n">
        <v>45467.95998842592</v>
      </c>
      <c r="C1197" s="1" t="n">
        <v>45884</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26021-2024</t>
        </is>
      </c>
      <c r="B1198" s="1" t="n">
        <v>45467</v>
      </c>
      <c r="C1198" s="1" t="n">
        <v>45884</v>
      </c>
      <c r="D1198" t="inlineStr">
        <is>
          <t>VÄSTERNORRLANDS LÄN</t>
        </is>
      </c>
      <c r="E1198" t="inlineStr">
        <is>
          <t>ÅNGE</t>
        </is>
      </c>
      <c r="F1198" t="inlineStr">
        <is>
          <t>SCA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29673-2024</t>
        </is>
      </c>
      <c r="B1199" s="1" t="n">
        <v>45484.94210648148</v>
      </c>
      <c r="C1199" s="1" t="n">
        <v>45884</v>
      </c>
      <c r="D1199" t="inlineStr">
        <is>
          <t>VÄSTERNORRLANDS LÄN</t>
        </is>
      </c>
      <c r="E1199" t="inlineStr">
        <is>
          <t>ÅNGE</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48690-2024</t>
        </is>
      </c>
      <c r="B1200" s="1" t="n">
        <v>45593.50704861111</v>
      </c>
      <c r="C1200" s="1" t="n">
        <v>45884</v>
      </c>
      <c r="D1200" t="inlineStr">
        <is>
          <t>VÄSTERNORRLANDS LÄN</t>
        </is>
      </c>
      <c r="E1200" t="inlineStr">
        <is>
          <t>ÅNGE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11399-2025</t>
        </is>
      </c>
      <c r="B1201" s="1" t="n">
        <v>45726.57364583333</v>
      </c>
      <c r="C1201" s="1" t="n">
        <v>45884</v>
      </c>
      <c r="D1201" t="inlineStr">
        <is>
          <t>VÄSTERNORRLANDS LÄN</t>
        </is>
      </c>
      <c r="E1201" t="inlineStr">
        <is>
          <t>ÅNGE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39021-2024</t>
        </is>
      </c>
      <c r="B1202" s="1" t="n">
        <v>45548</v>
      </c>
      <c r="C1202" s="1" t="n">
        <v>45884</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27915-2024</t>
        </is>
      </c>
      <c r="B1203" s="1" t="n">
        <v>45475</v>
      </c>
      <c r="C1203" s="1" t="n">
        <v>45884</v>
      </c>
      <c r="D1203" t="inlineStr">
        <is>
          <t>VÄSTERNORRLANDS LÄN</t>
        </is>
      </c>
      <c r="E1203" t="inlineStr">
        <is>
          <t>ÅNGE</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27023-2025</t>
        </is>
      </c>
      <c r="B1204" s="1" t="n">
        <v>45811.57342592593</v>
      </c>
      <c r="C1204" s="1" t="n">
        <v>45884</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36790-2023</t>
        </is>
      </c>
      <c r="B1205" s="1" t="n">
        <v>45154.36418981481</v>
      </c>
      <c r="C1205" s="1" t="n">
        <v>45884</v>
      </c>
      <c r="D1205" t="inlineStr">
        <is>
          <t>VÄSTERNORRLANDS LÄN</t>
        </is>
      </c>
      <c r="E1205" t="inlineStr">
        <is>
          <t>ÅNGE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2433-2024</t>
        </is>
      </c>
      <c r="B1206" s="1" t="n">
        <v>45310</v>
      </c>
      <c r="C1206" s="1" t="n">
        <v>45884</v>
      </c>
      <c r="D1206" t="inlineStr">
        <is>
          <t>VÄSTERNORRLANDS LÄN</t>
        </is>
      </c>
      <c r="E1206" t="inlineStr">
        <is>
          <t>ÅNGE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42242-2023</t>
        </is>
      </c>
      <c r="B1207" s="1" t="n">
        <v>45180.35025462963</v>
      </c>
      <c r="C1207" s="1" t="n">
        <v>45884</v>
      </c>
      <c r="D1207" t="inlineStr">
        <is>
          <t>VÄSTERNORRLANDS LÄN</t>
        </is>
      </c>
      <c r="E1207" t="inlineStr">
        <is>
          <t>ÅNGE</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57846-2022</t>
        </is>
      </c>
      <c r="B1208" s="1" t="n">
        <v>44897.95008101852</v>
      </c>
      <c r="C1208" s="1" t="n">
        <v>45884</v>
      </c>
      <c r="D1208" t="inlineStr">
        <is>
          <t>VÄSTERNORRLANDS LÄN</t>
        </is>
      </c>
      <c r="E1208" t="inlineStr">
        <is>
          <t>ÅNGE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46249-2024</t>
        </is>
      </c>
      <c r="B1209" s="1" t="n">
        <v>45581.59409722222</v>
      </c>
      <c r="C1209" s="1" t="n">
        <v>45884</v>
      </c>
      <c r="D1209" t="inlineStr">
        <is>
          <t>VÄSTERNORRLANDS LÄN</t>
        </is>
      </c>
      <c r="E1209" t="inlineStr">
        <is>
          <t>ÅNGE</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8868-2023</t>
        </is>
      </c>
      <c r="B1210" s="1" t="n">
        <v>44978</v>
      </c>
      <c r="C1210" s="1" t="n">
        <v>45884</v>
      </c>
      <c r="D1210" t="inlineStr">
        <is>
          <t>VÄSTERNORRLANDS LÄN</t>
        </is>
      </c>
      <c r="E1210" t="inlineStr">
        <is>
          <t>ÅNGE</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65229-2021</t>
        </is>
      </c>
      <c r="B1211" s="1" t="n">
        <v>44515</v>
      </c>
      <c r="C1211" s="1" t="n">
        <v>45884</v>
      </c>
      <c r="D1211" t="inlineStr">
        <is>
          <t>VÄSTERNORRLANDS LÄN</t>
        </is>
      </c>
      <c r="E1211" t="inlineStr">
        <is>
          <t>ÅNGE</t>
        </is>
      </c>
      <c r="G1211" t="n">
        <v>12.1</v>
      </c>
      <c r="H1211" t="n">
        <v>0</v>
      </c>
      <c r="I1211" t="n">
        <v>0</v>
      </c>
      <c r="J1211" t="n">
        <v>0</v>
      </c>
      <c r="K1211" t="n">
        <v>0</v>
      </c>
      <c r="L1211" t="n">
        <v>0</v>
      </c>
      <c r="M1211" t="n">
        <v>0</v>
      </c>
      <c r="N1211" t="n">
        <v>0</v>
      </c>
      <c r="O1211" t="n">
        <v>0</v>
      </c>
      <c r="P1211" t="n">
        <v>0</v>
      </c>
      <c r="Q1211" t="n">
        <v>0</v>
      </c>
      <c r="R1211" s="2" t="inlineStr"/>
    </row>
    <row r="1212" ht="15" customHeight="1">
      <c r="A1212" t="inlineStr">
        <is>
          <t>A 25973-2022</t>
        </is>
      </c>
      <c r="B1212" s="1" t="n">
        <v>44734</v>
      </c>
      <c r="C1212" s="1" t="n">
        <v>45884</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27164-2025</t>
        </is>
      </c>
      <c r="B1213" s="1" t="n">
        <v>45812.34430555555</v>
      </c>
      <c r="C1213" s="1" t="n">
        <v>45884</v>
      </c>
      <c r="D1213" t="inlineStr">
        <is>
          <t>VÄSTERNORRLANDS LÄN</t>
        </is>
      </c>
      <c r="E1213" t="inlineStr">
        <is>
          <t>ÅNGE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27606-2025</t>
        </is>
      </c>
      <c r="B1214" s="1" t="n">
        <v>45813.53200231482</v>
      </c>
      <c r="C1214" s="1" t="n">
        <v>45884</v>
      </c>
      <c r="D1214" t="inlineStr">
        <is>
          <t>VÄSTERNORRLANDS LÄN</t>
        </is>
      </c>
      <c r="E1214" t="inlineStr">
        <is>
          <t>ÅNGE</t>
        </is>
      </c>
      <c r="F1214" t="inlineStr">
        <is>
          <t>SCA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57291-2022</t>
        </is>
      </c>
      <c r="B1215" s="1" t="n">
        <v>44895</v>
      </c>
      <c r="C1215" s="1" t="n">
        <v>45884</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4883-2023</t>
        </is>
      </c>
      <c r="B1216" s="1" t="n">
        <v>44957</v>
      </c>
      <c r="C1216" s="1" t="n">
        <v>45884</v>
      </c>
      <c r="D1216" t="inlineStr">
        <is>
          <t>VÄSTERNORRLANDS LÄN</t>
        </is>
      </c>
      <c r="E1216" t="inlineStr">
        <is>
          <t>ÅNGE</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64945-2023</t>
        </is>
      </c>
      <c r="B1217" s="1" t="n">
        <v>45282.94668981482</v>
      </c>
      <c r="C1217" s="1" t="n">
        <v>45884</v>
      </c>
      <c r="D1217" t="inlineStr">
        <is>
          <t>VÄSTERNORRLANDS LÄN</t>
        </is>
      </c>
      <c r="E1217" t="inlineStr">
        <is>
          <t>ÅNGE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26951-2024</t>
        </is>
      </c>
      <c r="B1218" s="1" t="n">
        <v>45470.96991898148</v>
      </c>
      <c r="C1218" s="1" t="n">
        <v>45884</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26952-2024</t>
        </is>
      </c>
      <c r="B1219" s="1" t="n">
        <v>45470</v>
      </c>
      <c r="C1219" s="1" t="n">
        <v>45884</v>
      </c>
      <c r="D1219" t="inlineStr">
        <is>
          <t>VÄSTERNORRLANDS LÄN</t>
        </is>
      </c>
      <c r="E1219" t="inlineStr">
        <is>
          <t>ÅNGE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35432-2025</t>
        </is>
      </c>
      <c r="B1220" s="1" t="n">
        <v>45855.44831018519</v>
      </c>
      <c r="C1220" s="1" t="n">
        <v>45884</v>
      </c>
      <c r="D1220" t="inlineStr">
        <is>
          <t>VÄSTERNORRLANDS LÄN</t>
        </is>
      </c>
      <c r="E1220" t="inlineStr">
        <is>
          <t>ÅNGE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33750-2024</t>
        </is>
      </c>
      <c r="B1221" s="1" t="n">
        <v>45520.56475694444</v>
      </c>
      <c r="C1221" s="1" t="n">
        <v>45884</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56399-2022</t>
        </is>
      </c>
      <c r="B1222" s="1" t="n">
        <v>44890</v>
      </c>
      <c r="C1222" s="1" t="n">
        <v>45884</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27639-2025</t>
        </is>
      </c>
      <c r="B1223" s="1" t="n">
        <v>45813</v>
      </c>
      <c r="C1223" s="1" t="n">
        <v>45884</v>
      </c>
      <c r="D1223" t="inlineStr">
        <is>
          <t>VÄSTERNORRLANDS LÄN</t>
        </is>
      </c>
      <c r="E1223" t="inlineStr">
        <is>
          <t>ÅNGE</t>
        </is>
      </c>
      <c r="G1223" t="n">
        <v>22.9</v>
      </c>
      <c r="H1223" t="n">
        <v>0</v>
      </c>
      <c r="I1223" t="n">
        <v>0</v>
      </c>
      <c r="J1223" t="n">
        <v>0</v>
      </c>
      <c r="K1223" t="n">
        <v>0</v>
      </c>
      <c r="L1223" t="n">
        <v>0</v>
      </c>
      <c r="M1223" t="n">
        <v>0</v>
      </c>
      <c r="N1223" t="n">
        <v>0</v>
      </c>
      <c r="O1223" t="n">
        <v>0</v>
      </c>
      <c r="P1223" t="n">
        <v>0</v>
      </c>
      <c r="Q1223" t="n">
        <v>0</v>
      </c>
      <c r="R1223" s="2" t="inlineStr"/>
    </row>
    <row r="1224" ht="15" customHeight="1">
      <c r="A1224" t="inlineStr">
        <is>
          <t>A 27572-2025</t>
        </is>
      </c>
      <c r="B1224" s="1" t="n">
        <v>45813.49049768518</v>
      </c>
      <c r="C1224" s="1" t="n">
        <v>45884</v>
      </c>
      <c r="D1224" t="inlineStr">
        <is>
          <t>VÄSTERNORRLANDS LÄN</t>
        </is>
      </c>
      <c r="E1224" t="inlineStr">
        <is>
          <t>ÅNGE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27165-2025</t>
        </is>
      </c>
      <c r="B1225" s="1" t="n">
        <v>45812.34440972222</v>
      </c>
      <c r="C1225" s="1" t="n">
        <v>45884</v>
      </c>
      <c r="D1225" t="inlineStr">
        <is>
          <t>VÄSTERNORRLANDS LÄN</t>
        </is>
      </c>
      <c r="E1225" t="inlineStr">
        <is>
          <t>ÅNGE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27545-2025</t>
        </is>
      </c>
      <c r="B1226" s="1" t="n">
        <v>45813.46942129629</v>
      </c>
      <c r="C1226" s="1" t="n">
        <v>45884</v>
      </c>
      <c r="D1226" t="inlineStr">
        <is>
          <t>VÄSTERNORRLANDS LÄN</t>
        </is>
      </c>
      <c r="E1226" t="inlineStr">
        <is>
          <t>ÅNGE</t>
        </is>
      </c>
      <c r="F1226" t="inlineStr">
        <is>
          <t>SCA</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23058-2024</t>
        </is>
      </c>
      <c r="B1227" s="1" t="n">
        <v>45450.44020833333</v>
      </c>
      <c r="C1227" s="1" t="n">
        <v>45884</v>
      </c>
      <c r="D1227" t="inlineStr">
        <is>
          <t>VÄSTERNORRLANDS LÄN</t>
        </is>
      </c>
      <c r="E1227" t="inlineStr">
        <is>
          <t>ÅNGE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34629-2025</t>
        </is>
      </c>
      <c r="B1228" s="1" t="n">
        <v>45847.93006944445</v>
      </c>
      <c r="C1228" s="1" t="n">
        <v>45884</v>
      </c>
      <c r="D1228" t="inlineStr">
        <is>
          <t>VÄSTERNORRLANDS LÄN</t>
        </is>
      </c>
      <c r="E1228" t="inlineStr">
        <is>
          <t>ÅNGE</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35979-2023</t>
        </is>
      </c>
      <c r="B1229" s="1" t="n">
        <v>45148</v>
      </c>
      <c r="C1229" s="1" t="n">
        <v>45884</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3986-2025</t>
        </is>
      </c>
      <c r="B1230" s="1" t="n">
        <v>45684.55262731481</v>
      </c>
      <c r="C1230" s="1" t="n">
        <v>45884</v>
      </c>
      <c r="D1230" t="inlineStr">
        <is>
          <t>VÄSTERNORRLANDS LÄN</t>
        </is>
      </c>
      <c r="E1230" t="inlineStr">
        <is>
          <t>ÅNGE</t>
        </is>
      </c>
      <c r="F1230" t="inlineStr">
        <is>
          <t>SCA</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50674-2024</t>
        </is>
      </c>
      <c r="B1231" s="1" t="n">
        <v>45601.85402777778</v>
      </c>
      <c r="C1231" s="1" t="n">
        <v>45884</v>
      </c>
      <c r="D1231" t="inlineStr">
        <is>
          <t>VÄSTERNORRLANDS LÄN</t>
        </is>
      </c>
      <c r="E1231" t="inlineStr">
        <is>
          <t>ÅNGE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35497-2025</t>
        </is>
      </c>
      <c r="B1232" s="1" t="n">
        <v>45856.29752314815</v>
      </c>
      <c r="C1232" s="1" t="n">
        <v>45884</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14979-2025</t>
        </is>
      </c>
      <c r="B1233" s="1" t="n">
        <v>45743.59520833333</v>
      </c>
      <c r="C1233" s="1" t="n">
        <v>45884</v>
      </c>
      <c r="D1233" t="inlineStr">
        <is>
          <t>VÄSTERNORRLANDS LÄN</t>
        </is>
      </c>
      <c r="E1233" t="inlineStr">
        <is>
          <t>ÅNGE</t>
        </is>
      </c>
      <c r="F1233" t="inlineStr">
        <is>
          <t>SCA</t>
        </is>
      </c>
      <c r="G1233" t="n">
        <v>22.9</v>
      </c>
      <c r="H1233" t="n">
        <v>0</v>
      </c>
      <c r="I1233" t="n">
        <v>0</v>
      </c>
      <c r="J1233" t="n">
        <v>0</v>
      </c>
      <c r="K1233" t="n">
        <v>0</v>
      </c>
      <c r="L1233" t="n">
        <v>0</v>
      </c>
      <c r="M1233" t="n">
        <v>0</v>
      </c>
      <c r="N1233" t="n">
        <v>0</v>
      </c>
      <c r="O1233" t="n">
        <v>0</v>
      </c>
      <c r="P1233" t="n">
        <v>0</v>
      </c>
      <c r="Q1233" t="n">
        <v>0</v>
      </c>
      <c r="R1233" s="2" t="inlineStr"/>
    </row>
    <row r="1234" ht="15" customHeight="1">
      <c r="A1234" t="inlineStr">
        <is>
          <t>A 35577-2025</t>
        </is>
      </c>
      <c r="B1234" s="1" t="n">
        <v>45856.67762731481</v>
      </c>
      <c r="C1234" s="1" t="n">
        <v>45884</v>
      </c>
      <c r="D1234" t="inlineStr">
        <is>
          <t>VÄSTERNORRLANDS LÄN</t>
        </is>
      </c>
      <c r="E1234" t="inlineStr">
        <is>
          <t>ÅNGE</t>
        </is>
      </c>
      <c r="F1234" t="inlineStr">
        <is>
          <t>SCA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35578-2025</t>
        </is>
      </c>
      <c r="B1235" s="1" t="n">
        <v>45856.67797453704</v>
      </c>
      <c r="C1235" s="1" t="n">
        <v>45884</v>
      </c>
      <c r="D1235" t="inlineStr">
        <is>
          <t>VÄSTERNORRLANDS LÄN</t>
        </is>
      </c>
      <c r="E1235" t="inlineStr">
        <is>
          <t>ÅNGE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28085-2025</t>
        </is>
      </c>
      <c r="B1236" s="1" t="n">
        <v>45817.71924768519</v>
      </c>
      <c r="C1236" s="1" t="n">
        <v>45884</v>
      </c>
      <c r="D1236" t="inlineStr">
        <is>
          <t>VÄSTERNORRLANDS LÄN</t>
        </is>
      </c>
      <c r="E1236" t="inlineStr">
        <is>
          <t>ÅNGE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35540-2025</t>
        </is>
      </c>
      <c r="B1237" s="1" t="n">
        <v>45856.46912037037</v>
      </c>
      <c r="C1237" s="1" t="n">
        <v>45884</v>
      </c>
      <c r="D1237" t="inlineStr">
        <is>
          <t>VÄSTERNORRLANDS LÄN</t>
        </is>
      </c>
      <c r="E1237" t="inlineStr">
        <is>
          <t>ÅNGE</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28070-2025</t>
        </is>
      </c>
      <c r="B1238" s="1" t="n">
        <v>45817.67739583334</v>
      </c>
      <c r="C1238" s="1" t="n">
        <v>45884</v>
      </c>
      <c r="D1238" t="inlineStr">
        <is>
          <t>VÄSTERNORRLANDS LÄN</t>
        </is>
      </c>
      <c r="E1238" t="inlineStr">
        <is>
          <t>ÅNGE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35575-2025</t>
        </is>
      </c>
      <c r="B1239" s="1" t="n">
        <v>45856.63591435185</v>
      </c>
      <c r="C1239" s="1" t="n">
        <v>45884</v>
      </c>
      <c r="D1239" t="inlineStr">
        <is>
          <t>VÄSTERNORRLANDS LÄN</t>
        </is>
      </c>
      <c r="E1239" t="inlineStr">
        <is>
          <t>ÅNGE</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3322-2025</t>
        </is>
      </c>
      <c r="B1240" s="1" t="n">
        <v>45679.6989699074</v>
      </c>
      <c r="C1240" s="1" t="n">
        <v>45884</v>
      </c>
      <c r="D1240" t="inlineStr">
        <is>
          <t>VÄSTERNORRLANDS LÄN</t>
        </is>
      </c>
      <c r="E1240" t="inlineStr">
        <is>
          <t>ÅNGE</t>
        </is>
      </c>
      <c r="F1240" t="inlineStr">
        <is>
          <t>SCA</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3327-2025</t>
        </is>
      </c>
      <c r="B1241" s="1" t="n">
        <v>45679.69967592593</v>
      </c>
      <c r="C1241" s="1" t="n">
        <v>45884</v>
      </c>
      <c r="D1241" t="inlineStr">
        <is>
          <t>VÄSTERNORRLANDS LÄN</t>
        </is>
      </c>
      <c r="E1241" t="inlineStr">
        <is>
          <t>ÅNGE</t>
        </is>
      </c>
      <c r="F1241" t="inlineStr">
        <is>
          <t>SCA</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35548-2025</t>
        </is>
      </c>
      <c r="B1242" s="1" t="n">
        <v>45856.48995370371</v>
      </c>
      <c r="C1242" s="1" t="n">
        <v>45884</v>
      </c>
      <c r="D1242" t="inlineStr">
        <is>
          <t>VÄSTERNORRLANDS LÄN</t>
        </is>
      </c>
      <c r="E1242" t="inlineStr">
        <is>
          <t>ÅNGE</t>
        </is>
      </c>
      <c r="F1242" t="inlineStr">
        <is>
          <t>SCA</t>
        </is>
      </c>
      <c r="G1242" t="n">
        <v>14.6</v>
      </c>
      <c r="H1242" t="n">
        <v>0</v>
      </c>
      <c r="I1242" t="n">
        <v>0</v>
      </c>
      <c r="J1242" t="n">
        <v>0</v>
      </c>
      <c r="K1242" t="n">
        <v>0</v>
      </c>
      <c r="L1242" t="n">
        <v>0</v>
      </c>
      <c r="M1242" t="n">
        <v>0</v>
      </c>
      <c r="N1242" t="n">
        <v>0</v>
      </c>
      <c r="O1242" t="n">
        <v>0</v>
      </c>
      <c r="P1242" t="n">
        <v>0</v>
      </c>
      <c r="Q1242" t="n">
        <v>0</v>
      </c>
      <c r="R1242" s="2" t="inlineStr"/>
    </row>
    <row r="1243" ht="15" customHeight="1">
      <c r="A1243" t="inlineStr">
        <is>
          <t>A 35690-2025</t>
        </is>
      </c>
      <c r="B1243" s="1" t="n">
        <v>45860.34421296296</v>
      </c>
      <c r="C1243" s="1" t="n">
        <v>45884</v>
      </c>
      <c r="D1243" t="inlineStr">
        <is>
          <t>VÄSTERNORRLANDS LÄN</t>
        </is>
      </c>
      <c r="E1243" t="inlineStr">
        <is>
          <t>ÅNGE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35781-2025</t>
        </is>
      </c>
      <c r="B1244" s="1" t="n">
        <v>45860.70613425926</v>
      </c>
      <c r="C1244" s="1" t="n">
        <v>45884</v>
      </c>
      <c r="D1244" t="inlineStr">
        <is>
          <t>VÄSTERNORRLANDS LÄN</t>
        </is>
      </c>
      <c r="E1244" t="inlineStr">
        <is>
          <t>ÅNGE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35827-2025</t>
        </is>
      </c>
      <c r="B1245" s="1" t="n">
        <v>45861.49017361111</v>
      </c>
      <c r="C1245" s="1" t="n">
        <v>45884</v>
      </c>
      <c r="D1245" t="inlineStr">
        <is>
          <t>VÄSTERNORRLANDS LÄN</t>
        </is>
      </c>
      <c r="E1245" t="inlineStr">
        <is>
          <t>ÅNGE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31729-2024</t>
        </is>
      </c>
      <c r="B1246" s="1" t="n">
        <v>45509.35844907408</v>
      </c>
      <c r="C1246" s="1" t="n">
        <v>45884</v>
      </c>
      <c r="D1246" t="inlineStr">
        <is>
          <t>VÄSTERNORRLANDS LÄN</t>
        </is>
      </c>
      <c r="E1246" t="inlineStr">
        <is>
          <t>ÅNGE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4071-2025</t>
        </is>
      </c>
      <c r="B1247" s="1" t="n">
        <v>45684.63579861111</v>
      </c>
      <c r="C1247" s="1" t="n">
        <v>45884</v>
      </c>
      <c r="D1247" t="inlineStr">
        <is>
          <t>VÄSTERNORRLANDS LÄN</t>
        </is>
      </c>
      <c r="E1247" t="inlineStr">
        <is>
          <t>ÅNGE</t>
        </is>
      </c>
      <c r="F1247" t="inlineStr">
        <is>
          <t>SCA</t>
        </is>
      </c>
      <c r="G1247" t="n">
        <v>13.7</v>
      </c>
      <c r="H1247" t="n">
        <v>0</v>
      </c>
      <c r="I1247" t="n">
        <v>0</v>
      </c>
      <c r="J1247" t="n">
        <v>0</v>
      </c>
      <c r="K1247" t="n">
        <v>0</v>
      </c>
      <c r="L1247" t="n">
        <v>0</v>
      </c>
      <c r="M1247" t="n">
        <v>0</v>
      </c>
      <c r="N1247" t="n">
        <v>0</v>
      </c>
      <c r="O1247" t="n">
        <v>0</v>
      </c>
      <c r="P1247" t="n">
        <v>0</v>
      </c>
      <c r="Q1247" t="n">
        <v>0</v>
      </c>
      <c r="R1247" s="2" t="inlineStr"/>
    </row>
    <row r="1248" ht="15" customHeight="1">
      <c r="A1248" t="inlineStr">
        <is>
          <t>A 44606-2024</t>
        </is>
      </c>
      <c r="B1248" s="1" t="n">
        <v>45574.51195601852</v>
      </c>
      <c r="C1248" s="1" t="n">
        <v>45884</v>
      </c>
      <c r="D1248" t="inlineStr">
        <is>
          <t>VÄSTERNORRLANDS LÄN</t>
        </is>
      </c>
      <c r="E1248" t="inlineStr">
        <is>
          <t>ÅNGE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44626-2024</t>
        </is>
      </c>
      <c r="B1249" s="1" t="n">
        <v>45574.51378472222</v>
      </c>
      <c r="C1249" s="1" t="n">
        <v>45884</v>
      </c>
      <c r="D1249" t="inlineStr">
        <is>
          <t>VÄSTERNORRLANDS LÄN</t>
        </is>
      </c>
      <c r="E1249" t="inlineStr">
        <is>
          <t>ÅNGE</t>
        </is>
      </c>
      <c r="F1249" t="inlineStr">
        <is>
          <t>SCA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35826-2025</t>
        </is>
      </c>
      <c r="B1250" s="1" t="n">
        <v>45861.48997685185</v>
      </c>
      <c r="C1250" s="1" t="n">
        <v>45884</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22165-2025</t>
        </is>
      </c>
      <c r="B1251" s="1" t="n">
        <v>45785.59451388889</v>
      </c>
      <c r="C1251" s="1" t="n">
        <v>45884</v>
      </c>
      <c r="D1251" t="inlineStr">
        <is>
          <t>VÄSTERNORRLANDS LÄN</t>
        </is>
      </c>
      <c r="E1251" t="inlineStr">
        <is>
          <t>ÅNGE</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28143-2025</t>
        </is>
      </c>
      <c r="B1252" s="1" t="n">
        <v>45818.34546296296</v>
      </c>
      <c r="C1252" s="1" t="n">
        <v>45884</v>
      </c>
      <c r="D1252" t="inlineStr">
        <is>
          <t>VÄSTERNORRLANDS LÄN</t>
        </is>
      </c>
      <c r="E1252" t="inlineStr">
        <is>
          <t>ÅNGE</t>
        </is>
      </c>
      <c r="F1252" t="inlineStr">
        <is>
          <t>SCA</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28404-2025</t>
        </is>
      </c>
      <c r="B1253" s="1" t="n">
        <v>45819.34532407407</v>
      </c>
      <c r="C1253" s="1" t="n">
        <v>45884</v>
      </c>
      <c r="D1253" t="inlineStr">
        <is>
          <t>VÄSTERNORRLANDS LÄN</t>
        </is>
      </c>
      <c r="E1253" t="inlineStr">
        <is>
          <t>ÅNGE</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35766-2025</t>
        </is>
      </c>
      <c r="B1254" s="1" t="n">
        <v>45860.63077546296</v>
      </c>
      <c r="C1254" s="1" t="n">
        <v>45884</v>
      </c>
      <c r="D1254" t="inlineStr">
        <is>
          <t>VÄSTERNORRLANDS LÄN</t>
        </is>
      </c>
      <c r="E1254" t="inlineStr">
        <is>
          <t>ÅNGE</t>
        </is>
      </c>
      <c r="G1254" t="n">
        <v>10.7</v>
      </c>
      <c r="H1254" t="n">
        <v>0</v>
      </c>
      <c r="I1254" t="n">
        <v>0</v>
      </c>
      <c r="J1254" t="n">
        <v>0</v>
      </c>
      <c r="K1254" t="n">
        <v>0</v>
      </c>
      <c r="L1254" t="n">
        <v>0</v>
      </c>
      <c r="M1254" t="n">
        <v>0</v>
      </c>
      <c r="N1254" t="n">
        <v>0</v>
      </c>
      <c r="O1254" t="n">
        <v>0</v>
      </c>
      <c r="P1254" t="n">
        <v>0</v>
      </c>
      <c r="Q1254" t="n">
        <v>0</v>
      </c>
      <c r="R1254" s="2" t="inlineStr"/>
    </row>
    <row r="1255" ht="15" customHeight="1">
      <c r="A1255" t="inlineStr">
        <is>
          <t>A 35838-2025</t>
        </is>
      </c>
      <c r="B1255" s="1" t="n">
        <v>45861.53829861111</v>
      </c>
      <c r="C1255" s="1" t="n">
        <v>45884</v>
      </c>
      <c r="D1255" t="inlineStr">
        <is>
          <t>VÄSTERNORRLANDS LÄN</t>
        </is>
      </c>
      <c r="E1255" t="inlineStr">
        <is>
          <t>ÅNGE</t>
        </is>
      </c>
      <c r="F1255" t="inlineStr">
        <is>
          <t>Sveaskog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29153-2025</t>
        </is>
      </c>
      <c r="B1256" s="1" t="n">
        <v>45821.63574074074</v>
      </c>
      <c r="C1256" s="1" t="n">
        <v>45884</v>
      </c>
      <c r="D1256" t="inlineStr">
        <is>
          <t>VÄSTERNORRLANDS LÄN</t>
        </is>
      </c>
      <c r="E1256" t="inlineStr">
        <is>
          <t>ÅNGE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28895-2025</t>
        </is>
      </c>
      <c r="B1257" s="1" t="n">
        <v>45820.63572916666</v>
      </c>
      <c r="C1257" s="1" t="n">
        <v>45884</v>
      </c>
      <c r="D1257" t="inlineStr">
        <is>
          <t>VÄSTERNORRLANDS LÄN</t>
        </is>
      </c>
      <c r="E1257" t="inlineStr">
        <is>
          <t>ÅNGE</t>
        </is>
      </c>
      <c r="F1257" t="inlineStr">
        <is>
          <t>SCA</t>
        </is>
      </c>
      <c r="G1257" t="n">
        <v>25.5</v>
      </c>
      <c r="H1257" t="n">
        <v>0</v>
      </c>
      <c r="I1257" t="n">
        <v>0</v>
      </c>
      <c r="J1257" t="n">
        <v>0</v>
      </c>
      <c r="K1257" t="n">
        <v>0</v>
      </c>
      <c r="L1257" t="n">
        <v>0</v>
      </c>
      <c r="M1257" t="n">
        <v>0</v>
      </c>
      <c r="N1257" t="n">
        <v>0</v>
      </c>
      <c r="O1257" t="n">
        <v>0</v>
      </c>
      <c r="P1257" t="n">
        <v>0</v>
      </c>
      <c r="Q1257" t="n">
        <v>0</v>
      </c>
      <c r="R1257" s="2" t="inlineStr"/>
    </row>
    <row r="1258" ht="15" customHeight="1">
      <c r="A1258" t="inlineStr">
        <is>
          <t>A 28896-2025</t>
        </is>
      </c>
      <c r="B1258" s="1" t="n">
        <v>45820.63584490741</v>
      </c>
      <c r="C1258" s="1" t="n">
        <v>45884</v>
      </c>
      <c r="D1258" t="inlineStr">
        <is>
          <t>VÄSTERNORRLANDS LÄN</t>
        </is>
      </c>
      <c r="E1258" t="inlineStr">
        <is>
          <t>ÅNGE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28814-2025</t>
        </is>
      </c>
      <c r="B1259" s="1" t="n">
        <v>45820.52846064815</v>
      </c>
      <c r="C1259" s="1" t="n">
        <v>45884</v>
      </c>
      <c r="D1259" t="inlineStr">
        <is>
          <t>VÄSTERNORRLANDS LÄN</t>
        </is>
      </c>
      <c r="E1259" t="inlineStr">
        <is>
          <t>ÅNGE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28717-2025</t>
        </is>
      </c>
      <c r="B1260" s="1" t="n">
        <v>45820</v>
      </c>
      <c r="C1260" s="1" t="n">
        <v>45884</v>
      </c>
      <c r="D1260" t="inlineStr">
        <is>
          <t>VÄSTERNORRLANDS LÄN</t>
        </is>
      </c>
      <c r="E1260" t="inlineStr">
        <is>
          <t>ÅNGE</t>
        </is>
      </c>
      <c r="F1260" t="inlineStr">
        <is>
          <t>SCA</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28819-2025</t>
        </is>
      </c>
      <c r="B1261" s="1" t="n">
        <v>45820.53758101852</v>
      </c>
      <c r="C1261" s="1" t="n">
        <v>45884</v>
      </c>
      <c r="D1261" t="inlineStr">
        <is>
          <t>VÄSTERNORRLANDS LÄN</t>
        </is>
      </c>
      <c r="E1261" t="inlineStr">
        <is>
          <t>ÅNGE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28845-2025</t>
        </is>
      </c>
      <c r="B1262" s="1" t="n">
        <v>45820.57324074074</v>
      </c>
      <c r="C1262" s="1" t="n">
        <v>45884</v>
      </c>
      <c r="D1262" t="inlineStr">
        <is>
          <t>VÄSTERNORRLANDS LÄN</t>
        </is>
      </c>
      <c r="E1262" t="inlineStr">
        <is>
          <t>ÅNGE</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29786-2025</t>
        </is>
      </c>
      <c r="B1263" s="1" t="n">
        <v>45825.65663194445</v>
      </c>
      <c r="C1263" s="1" t="n">
        <v>45884</v>
      </c>
      <c r="D1263" t="inlineStr">
        <is>
          <t>VÄSTERNORRLANDS LÄN</t>
        </is>
      </c>
      <c r="E1263" t="inlineStr">
        <is>
          <t>ÅNGE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29350-2025</t>
        </is>
      </c>
      <c r="B1264" s="1" t="n">
        <v>45824.53206018519</v>
      </c>
      <c r="C1264" s="1" t="n">
        <v>45884</v>
      </c>
      <c r="D1264" t="inlineStr">
        <is>
          <t>VÄSTERNORRLANDS LÄN</t>
        </is>
      </c>
      <c r="E1264" t="inlineStr">
        <is>
          <t>ÅNGE</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36248-2025</t>
        </is>
      </c>
      <c r="B1265" s="1" t="n">
        <v>45867.57326388889</v>
      </c>
      <c r="C1265" s="1" t="n">
        <v>45884</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36205-2025</t>
        </is>
      </c>
      <c r="B1266" s="1" t="n">
        <v>45867.44855324074</v>
      </c>
      <c r="C1266" s="1" t="n">
        <v>45884</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36210-2025</t>
        </is>
      </c>
      <c r="B1267" s="1" t="n">
        <v>45867.46930555555</v>
      </c>
      <c r="C1267" s="1" t="n">
        <v>45884</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36237-2025</t>
        </is>
      </c>
      <c r="B1268" s="1" t="n">
        <v>45867.55263888889</v>
      </c>
      <c r="C1268" s="1" t="n">
        <v>45884</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36240-2025</t>
        </is>
      </c>
      <c r="B1269" s="1" t="n">
        <v>45867.55298611111</v>
      </c>
      <c r="C1269" s="1" t="n">
        <v>45884</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36236-2025</t>
        </is>
      </c>
      <c r="B1270" s="1" t="n">
        <v>45867.55245370371</v>
      </c>
      <c r="C1270" s="1" t="n">
        <v>45884</v>
      </c>
      <c r="D1270" t="inlineStr">
        <is>
          <t>VÄSTERNORRLANDS LÄN</t>
        </is>
      </c>
      <c r="E1270" t="inlineStr">
        <is>
          <t>ÅNGE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36193-2025</t>
        </is>
      </c>
      <c r="B1271" s="1" t="n">
        <v>45867.42741898148</v>
      </c>
      <c r="C1271" s="1" t="n">
        <v>45884</v>
      </c>
      <c r="D1271" t="inlineStr">
        <is>
          <t>VÄSTERNORRLANDS LÄN</t>
        </is>
      </c>
      <c r="E1271" t="inlineStr">
        <is>
          <t>ÅNGE</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36249-2025</t>
        </is>
      </c>
      <c r="B1272" s="1" t="n">
        <v>45867.5734375</v>
      </c>
      <c r="C1272" s="1" t="n">
        <v>45884</v>
      </c>
      <c r="D1272" t="inlineStr">
        <is>
          <t>VÄSTERNORRLANDS LÄN</t>
        </is>
      </c>
      <c r="E1272" t="inlineStr">
        <is>
          <t>ÅNGE</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29377-2025</t>
        </is>
      </c>
      <c r="B1273" s="1" t="n">
        <v>45824.58719907407</v>
      </c>
      <c r="C1273" s="1" t="n">
        <v>45884</v>
      </c>
      <c r="D1273" t="inlineStr">
        <is>
          <t>VÄSTERNORRLANDS LÄN</t>
        </is>
      </c>
      <c r="E1273" t="inlineStr">
        <is>
          <t>ÅNGE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29560-2025</t>
        </is>
      </c>
      <c r="B1274" s="1" t="n">
        <v>45825.36497685185</v>
      </c>
      <c r="C1274" s="1" t="n">
        <v>45884</v>
      </c>
      <c r="D1274" t="inlineStr">
        <is>
          <t>VÄSTERNORRLANDS LÄN</t>
        </is>
      </c>
      <c r="E1274" t="inlineStr">
        <is>
          <t>ÅNGE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36336-2025</t>
        </is>
      </c>
      <c r="B1275" s="1" t="n">
        <v>45868.44751157407</v>
      </c>
      <c r="C1275" s="1" t="n">
        <v>45884</v>
      </c>
      <c r="D1275" t="inlineStr">
        <is>
          <t>VÄSTERNORRLANDS LÄN</t>
        </is>
      </c>
      <c r="E1275" t="inlineStr">
        <is>
          <t>ÅNGE</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36457-2025</t>
        </is>
      </c>
      <c r="B1276" s="1" t="n">
        <v>45869.44842592593</v>
      </c>
      <c r="C1276" s="1" t="n">
        <v>45884</v>
      </c>
      <c r="D1276" t="inlineStr">
        <is>
          <t>VÄSTERNORRLANDS LÄN</t>
        </is>
      </c>
      <c r="E1276" t="inlineStr">
        <is>
          <t>ÅNGE</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36456-2025</t>
        </is>
      </c>
      <c r="B1277" s="1" t="n">
        <v>45869.44827546296</v>
      </c>
      <c r="C1277" s="1" t="n">
        <v>45884</v>
      </c>
      <c r="D1277" t="inlineStr">
        <is>
          <t>VÄSTERNORRLANDS LÄN</t>
        </is>
      </c>
      <c r="E1277" t="inlineStr">
        <is>
          <t>ÅNGE</t>
        </is>
      </c>
      <c r="F1277" t="inlineStr">
        <is>
          <t>SCA</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35503-2025</t>
        </is>
      </c>
      <c r="B1278" s="1" t="n">
        <v>45856</v>
      </c>
      <c r="C1278" s="1" t="n">
        <v>45884</v>
      </c>
      <c r="D1278" t="inlineStr">
        <is>
          <t>VÄSTERNORRLANDS LÄN</t>
        </is>
      </c>
      <c r="E1278" t="inlineStr">
        <is>
          <t>ÅNGE</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29862-2025</t>
        </is>
      </c>
      <c r="B1279" s="1" t="n">
        <v>45826.3465625</v>
      </c>
      <c r="C1279" s="1" t="n">
        <v>45884</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29880-2025</t>
        </is>
      </c>
      <c r="B1280" s="1" t="n">
        <v>45826.36510416667</v>
      </c>
      <c r="C1280" s="1" t="n">
        <v>45884</v>
      </c>
      <c r="D1280" t="inlineStr">
        <is>
          <t>VÄSTERNORRLANDS LÄN</t>
        </is>
      </c>
      <c r="E1280" t="inlineStr">
        <is>
          <t>ÅNGE</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29882-2025</t>
        </is>
      </c>
      <c r="B1281" s="1" t="n">
        <v>45826.36548611111</v>
      </c>
      <c r="C1281" s="1" t="n">
        <v>45884</v>
      </c>
      <c r="D1281" t="inlineStr">
        <is>
          <t>VÄSTERNORRLANDS LÄN</t>
        </is>
      </c>
      <c r="E1281" t="inlineStr">
        <is>
          <t>ÅNGE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29916-2025</t>
        </is>
      </c>
      <c r="B1282" s="1" t="n">
        <v>45826.41822916667</v>
      </c>
      <c r="C1282" s="1" t="n">
        <v>45884</v>
      </c>
      <c r="D1282" t="inlineStr">
        <is>
          <t>VÄSTERNORRLANDS LÄN</t>
        </is>
      </c>
      <c r="E1282" t="inlineStr">
        <is>
          <t>ÅNGE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36491-2025</t>
        </is>
      </c>
      <c r="B1283" s="1" t="n">
        <v>45869.53173611111</v>
      </c>
      <c r="C1283" s="1" t="n">
        <v>45884</v>
      </c>
      <c r="D1283" t="inlineStr">
        <is>
          <t>VÄSTERNORRLANDS LÄN</t>
        </is>
      </c>
      <c r="E1283" t="inlineStr">
        <is>
          <t>ÅNGE</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36735-2025</t>
        </is>
      </c>
      <c r="B1284" s="1" t="n">
        <v>45873.52310185185</v>
      </c>
      <c r="C1284" s="1" t="n">
        <v>45884</v>
      </c>
      <c r="D1284" t="inlineStr">
        <is>
          <t>VÄSTERNORRLANDS LÄN</t>
        </is>
      </c>
      <c r="E1284" t="inlineStr">
        <is>
          <t>ÅNGE</t>
        </is>
      </c>
      <c r="F1284" t="inlineStr">
        <is>
          <t>Övriga Aktiebolag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30475-2025</t>
        </is>
      </c>
      <c r="B1285" s="1" t="n">
        <v>45828.34444444445</v>
      </c>
      <c r="C1285" s="1" t="n">
        <v>45884</v>
      </c>
      <c r="D1285" t="inlineStr">
        <is>
          <t>VÄSTERNORRLANDS LÄN</t>
        </is>
      </c>
      <c r="E1285" t="inlineStr">
        <is>
          <t>ÅNGE</t>
        </is>
      </c>
      <c r="F1285" t="inlineStr">
        <is>
          <t>SCA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36674-2025</t>
        </is>
      </c>
      <c r="B1286" s="1" t="n">
        <v>45873.3930787037</v>
      </c>
      <c r="C1286" s="1" t="n">
        <v>45884</v>
      </c>
      <c r="D1286" t="inlineStr">
        <is>
          <t>VÄSTERNORRLANDS LÄN</t>
        </is>
      </c>
      <c r="E1286" t="inlineStr">
        <is>
          <t>ÅNGE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36723-2025</t>
        </is>
      </c>
      <c r="B1287" s="1" t="n">
        <v>45873.47770833333</v>
      </c>
      <c r="C1287" s="1" t="n">
        <v>45884</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30618-2025</t>
        </is>
      </c>
      <c r="B1288" s="1" t="n">
        <v>45831.46909722222</v>
      </c>
      <c r="C1288" s="1" t="n">
        <v>45884</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30598-2025</t>
        </is>
      </c>
      <c r="B1289" s="1" t="n">
        <v>45831.44834490741</v>
      </c>
      <c r="C1289" s="1" t="n">
        <v>45884</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36740-2025</t>
        </is>
      </c>
      <c r="B1290" s="1" t="n">
        <v>45873.53237268519</v>
      </c>
      <c r="C1290" s="1" t="n">
        <v>45884</v>
      </c>
      <c r="D1290" t="inlineStr">
        <is>
          <t>VÄSTERNORRLANDS LÄN</t>
        </is>
      </c>
      <c r="E1290" t="inlineStr">
        <is>
          <t>ÅNGE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30892-2025</t>
        </is>
      </c>
      <c r="B1291" s="1" t="n">
        <v>45832.34663194444</v>
      </c>
      <c r="C1291" s="1" t="n">
        <v>45884</v>
      </c>
      <c r="D1291" t="inlineStr">
        <is>
          <t>VÄSTERNORRLANDS LÄN</t>
        </is>
      </c>
      <c r="E1291" t="inlineStr">
        <is>
          <t>ÅNGE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37047-2025</t>
        </is>
      </c>
      <c r="B1292" s="1" t="n">
        <v>45875.34489583333</v>
      </c>
      <c r="C1292" s="1" t="n">
        <v>45884</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31188-2025</t>
        </is>
      </c>
      <c r="B1293" s="1" t="n">
        <v>45832.67842592593</v>
      </c>
      <c r="C1293" s="1" t="n">
        <v>45884</v>
      </c>
      <c r="D1293" t="inlineStr">
        <is>
          <t>VÄSTERNORRLANDS LÄN</t>
        </is>
      </c>
      <c r="E1293" t="inlineStr">
        <is>
          <t>ÅNGE</t>
        </is>
      </c>
      <c r="F1293" t="inlineStr">
        <is>
          <t>SCA</t>
        </is>
      </c>
      <c r="G1293" t="n">
        <v>14.9</v>
      </c>
      <c r="H1293" t="n">
        <v>0</v>
      </c>
      <c r="I1293" t="n">
        <v>0</v>
      </c>
      <c r="J1293" t="n">
        <v>0</v>
      </c>
      <c r="K1293" t="n">
        <v>0</v>
      </c>
      <c r="L1293" t="n">
        <v>0</v>
      </c>
      <c r="M1293" t="n">
        <v>0</v>
      </c>
      <c r="N1293" t="n">
        <v>0</v>
      </c>
      <c r="O1293" t="n">
        <v>0</v>
      </c>
      <c r="P1293" t="n">
        <v>0</v>
      </c>
      <c r="Q1293" t="n">
        <v>0</v>
      </c>
      <c r="R1293" s="2" t="inlineStr"/>
    </row>
    <row r="1294" ht="15" customHeight="1">
      <c r="A1294" t="inlineStr">
        <is>
          <t>A 31452-2025</t>
        </is>
      </c>
      <c r="B1294" s="1" t="n">
        <v>45833.53179398148</v>
      </c>
      <c r="C1294" s="1" t="n">
        <v>45884</v>
      </c>
      <c r="D1294" t="inlineStr">
        <is>
          <t>VÄSTERNORRLANDS LÄN</t>
        </is>
      </c>
      <c r="E1294" t="inlineStr">
        <is>
          <t>ÅNGE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31544-2025</t>
        </is>
      </c>
      <c r="B1295" s="1" t="n">
        <v>45833.63597222222</v>
      </c>
      <c r="C1295" s="1" t="n">
        <v>45884</v>
      </c>
      <c r="D1295" t="inlineStr">
        <is>
          <t>VÄSTERNORRLANDS LÄN</t>
        </is>
      </c>
      <c r="E1295" t="inlineStr">
        <is>
          <t>ÅNGE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31042-2025</t>
        </is>
      </c>
      <c r="B1296" s="1" t="n">
        <v>45832.55267361111</v>
      </c>
      <c r="C1296" s="1" t="n">
        <v>45884</v>
      </c>
      <c r="D1296" t="inlineStr">
        <is>
          <t>VÄSTERNORRLANDS LÄN</t>
        </is>
      </c>
      <c r="E1296" t="inlineStr">
        <is>
          <t>ÅNGE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31275-2025</t>
        </is>
      </c>
      <c r="B1297" s="1" t="n">
        <v>45833.34459490741</v>
      </c>
      <c r="C1297" s="1" t="n">
        <v>45884</v>
      </c>
      <c r="D1297" t="inlineStr">
        <is>
          <t>VÄSTERNORRLANDS LÄN</t>
        </is>
      </c>
      <c r="E1297" t="inlineStr">
        <is>
          <t>ÅNGE</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31135-2025</t>
        </is>
      </c>
      <c r="B1298" s="1" t="n">
        <v>45832.63581018519</v>
      </c>
      <c r="C1298" s="1" t="n">
        <v>45884</v>
      </c>
      <c r="D1298" t="inlineStr">
        <is>
          <t>VÄSTERNORRLANDS LÄN</t>
        </is>
      </c>
      <c r="E1298" t="inlineStr">
        <is>
          <t>ÅNGE</t>
        </is>
      </c>
      <c r="F1298" t="inlineStr">
        <is>
          <t>SCA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30888-2025</t>
        </is>
      </c>
      <c r="B1299" s="1" t="n">
        <v>45832.34606481482</v>
      </c>
      <c r="C1299" s="1" t="n">
        <v>45884</v>
      </c>
      <c r="D1299" t="inlineStr">
        <is>
          <t>VÄSTERNORRLANDS LÄN</t>
        </is>
      </c>
      <c r="E1299" t="inlineStr">
        <is>
          <t>ÅNGE</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30875-2025</t>
        </is>
      </c>
      <c r="B1300" s="1" t="n">
        <v>45832.34447916667</v>
      </c>
      <c r="C1300" s="1" t="n">
        <v>45884</v>
      </c>
      <c r="D1300" t="inlineStr">
        <is>
          <t>VÄSTERNORRLANDS LÄN</t>
        </is>
      </c>
      <c r="E1300" t="inlineStr">
        <is>
          <t>ÅNGE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37045-2025</t>
        </is>
      </c>
      <c r="B1301" s="1" t="n">
        <v>45875.34451388889</v>
      </c>
      <c r="C1301" s="1" t="n">
        <v>45884</v>
      </c>
      <c r="D1301" t="inlineStr">
        <is>
          <t>VÄSTERNORRLANDS LÄN</t>
        </is>
      </c>
      <c r="E1301" t="inlineStr">
        <is>
          <t>ÅNGE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31211-2025</t>
        </is>
      </c>
      <c r="B1302" s="1" t="n">
        <v>45832.71938657408</v>
      </c>
      <c r="C1302" s="1" t="n">
        <v>45884</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36873-2025</t>
        </is>
      </c>
      <c r="B1303" s="1" t="n">
        <v>45874.42935185185</v>
      </c>
      <c r="C1303" s="1" t="n">
        <v>45884</v>
      </c>
      <c r="D1303" t="inlineStr">
        <is>
          <t>VÄSTERNORRLANDS LÄN</t>
        </is>
      </c>
      <c r="E1303" t="inlineStr">
        <is>
          <t>ÅNGE</t>
        </is>
      </c>
      <c r="F1303" t="inlineStr">
        <is>
          <t>SCA</t>
        </is>
      </c>
      <c r="G1303" t="n">
        <v>16.9</v>
      </c>
      <c r="H1303" t="n">
        <v>0</v>
      </c>
      <c r="I1303" t="n">
        <v>0</v>
      </c>
      <c r="J1303" t="n">
        <v>0</v>
      </c>
      <c r="K1303" t="n">
        <v>0</v>
      </c>
      <c r="L1303" t="n">
        <v>0</v>
      </c>
      <c r="M1303" t="n">
        <v>0</v>
      </c>
      <c r="N1303" t="n">
        <v>0</v>
      </c>
      <c r="O1303" t="n">
        <v>0</v>
      </c>
      <c r="P1303" t="n">
        <v>0</v>
      </c>
      <c r="Q1303" t="n">
        <v>0</v>
      </c>
      <c r="R1303" s="2" t="inlineStr"/>
    </row>
    <row r="1304" ht="15" customHeight="1">
      <c r="A1304" t="inlineStr">
        <is>
          <t>A 37108-2025</t>
        </is>
      </c>
      <c r="B1304" s="1" t="n">
        <v>45875.48835648148</v>
      </c>
      <c r="C1304" s="1" t="n">
        <v>45884</v>
      </c>
      <c r="D1304" t="inlineStr">
        <is>
          <t>VÄSTERNORRLANDS LÄN</t>
        </is>
      </c>
      <c r="E1304" t="inlineStr">
        <is>
          <t>ÅNGE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37177-2025</t>
        </is>
      </c>
      <c r="B1305" s="1" t="n">
        <v>45875.61539351852</v>
      </c>
      <c r="C1305" s="1" t="n">
        <v>45884</v>
      </c>
      <c r="D1305" t="inlineStr">
        <is>
          <t>VÄSTERNORRLANDS LÄN</t>
        </is>
      </c>
      <c r="E1305" t="inlineStr">
        <is>
          <t>ÅNGE</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31484-2025</t>
        </is>
      </c>
      <c r="B1306" s="1" t="n">
        <v>45833.57418981481</v>
      </c>
      <c r="C1306" s="1" t="n">
        <v>45884</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30877-2025</t>
        </is>
      </c>
      <c r="B1307" s="1" t="n">
        <v>45832.34478009259</v>
      </c>
      <c r="C1307" s="1" t="n">
        <v>45884</v>
      </c>
      <c r="D1307" t="inlineStr">
        <is>
          <t>VÄSTERNORRLANDS LÄN</t>
        </is>
      </c>
      <c r="E1307" t="inlineStr">
        <is>
          <t>ÅNGE</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31139-2025</t>
        </is>
      </c>
      <c r="B1308" s="1" t="n">
        <v>45832.63633101852</v>
      </c>
      <c r="C1308" s="1" t="n">
        <v>45884</v>
      </c>
      <c r="D1308" t="inlineStr">
        <is>
          <t>VÄSTERNORRLANDS LÄN</t>
        </is>
      </c>
      <c r="E1308" t="inlineStr">
        <is>
          <t>ÅNGE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31041-2025</t>
        </is>
      </c>
      <c r="B1309" s="1" t="n">
        <v>45832.55247685185</v>
      </c>
      <c r="C1309" s="1" t="n">
        <v>45884</v>
      </c>
      <c r="D1309" t="inlineStr">
        <is>
          <t>VÄSTERNORRLANDS LÄN</t>
        </is>
      </c>
      <c r="E1309" t="inlineStr">
        <is>
          <t>ÅNGE</t>
        </is>
      </c>
      <c r="F1309" t="inlineStr">
        <is>
          <t>SCA</t>
        </is>
      </c>
      <c r="G1309" t="n">
        <v>15.1</v>
      </c>
      <c r="H1309" t="n">
        <v>0</v>
      </c>
      <c r="I1309" t="n">
        <v>0</v>
      </c>
      <c r="J1309" t="n">
        <v>0</v>
      </c>
      <c r="K1309" t="n">
        <v>0</v>
      </c>
      <c r="L1309" t="n">
        <v>0</v>
      </c>
      <c r="M1309" t="n">
        <v>0</v>
      </c>
      <c r="N1309" t="n">
        <v>0</v>
      </c>
      <c r="O1309" t="n">
        <v>0</v>
      </c>
      <c r="P1309" t="n">
        <v>0</v>
      </c>
      <c r="Q1309" t="n">
        <v>0</v>
      </c>
      <c r="R1309" s="2" t="inlineStr"/>
    </row>
    <row r="1310" ht="15" customHeight="1">
      <c r="A1310" t="inlineStr">
        <is>
          <t>A 34228-2025</t>
        </is>
      </c>
      <c r="B1310" s="1" t="n">
        <v>45845.65704861111</v>
      </c>
      <c r="C1310" s="1" t="n">
        <v>45884</v>
      </c>
      <c r="D1310" t="inlineStr">
        <is>
          <t>VÄSTERNORRLANDS LÄN</t>
        </is>
      </c>
      <c r="E1310" t="inlineStr">
        <is>
          <t>ÅNGE</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37384-2025</t>
        </is>
      </c>
      <c r="B1311" s="1" t="n">
        <v>45877.3859837963</v>
      </c>
      <c r="C1311" s="1" t="n">
        <v>45884</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31646-2025</t>
        </is>
      </c>
      <c r="B1312" s="1" t="n">
        <v>45834.34563657407</v>
      </c>
      <c r="C1312" s="1" t="n">
        <v>45884</v>
      </c>
      <c r="D1312" t="inlineStr">
        <is>
          <t>VÄSTERNORRLANDS LÄN</t>
        </is>
      </c>
      <c r="E1312" t="inlineStr">
        <is>
          <t>ÅNGE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31642-2025</t>
        </is>
      </c>
      <c r="B1313" s="1" t="n">
        <v>45834.34474537037</v>
      </c>
      <c r="C1313" s="1" t="n">
        <v>45884</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32025-2025</t>
        </is>
      </c>
      <c r="B1314" s="1" t="n">
        <v>45835.40721064815</v>
      </c>
      <c r="C1314" s="1" t="n">
        <v>45884</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32024-2025</t>
        </is>
      </c>
      <c r="B1315" s="1" t="n">
        <v>45835.40706018519</v>
      </c>
      <c r="C1315" s="1" t="n">
        <v>45884</v>
      </c>
      <c r="D1315" t="inlineStr">
        <is>
          <t>VÄSTERNORRLANDS LÄN</t>
        </is>
      </c>
      <c r="E1315" t="inlineStr">
        <is>
          <t>ÅNGE</t>
        </is>
      </c>
      <c r="F1315" t="inlineStr">
        <is>
          <t>SCA</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26092-2025</t>
        </is>
      </c>
      <c r="B1316" s="1" t="n">
        <v>45805</v>
      </c>
      <c r="C1316" s="1" t="n">
        <v>45884</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37371-2025</t>
        </is>
      </c>
      <c r="B1317" s="1" t="n">
        <v>45877.34472222222</v>
      </c>
      <c r="C1317" s="1" t="n">
        <v>45884</v>
      </c>
      <c r="D1317" t="inlineStr">
        <is>
          <t>VÄSTERNORRLANDS LÄN</t>
        </is>
      </c>
      <c r="E1317" t="inlineStr">
        <is>
          <t>ÅNGE</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37383-2025</t>
        </is>
      </c>
      <c r="B1318" s="1" t="n">
        <v>45877.38581018519</v>
      </c>
      <c r="C1318" s="1" t="n">
        <v>45884</v>
      </c>
      <c r="D1318" t="inlineStr">
        <is>
          <t>VÄSTERNORRLANDS LÄN</t>
        </is>
      </c>
      <c r="E1318" t="inlineStr">
        <is>
          <t>ÅNGE</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31666-2025</t>
        </is>
      </c>
      <c r="B1319" s="1" t="n">
        <v>45834.36519675926</v>
      </c>
      <c r="C1319" s="1" t="n">
        <v>45884</v>
      </c>
      <c r="D1319" t="inlineStr">
        <is>
          <t>VÄSTERNORRLANDS LÄN</t>
        </is>
      </c>
      <c r="E1319" t="inlineStr">
        <is>
          <t>ÅNGE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37303-2025</t>
        </is>
      </c>
      <c r="B1320" s="1" t="n">
        <v>45876.59445601852</v>
      </c>
      <c r="C1320" s="1" t="n">
        <v>45884</v>
      </c>
      <c r="D1320" t="inlineStr">
        <is>
          <t>VÄSTERNORRLANDS LÄN</t>
        </is>
      </c>
      <c r="E1320" t="inlineStr">
        <is>
          <t>ÅNGE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37275-2025</t>
        </is>
      </c>
      <c r="B1321" s="1" t="n">
        <v>45876.49003472222</v>
      </c>
      <c r="C1321" s="1" t="n">
        <v>45884</v>
      </c>
      <c r="D1321" t="inlineStr">
        <is>
          <t>VÄSTERNORRLANDS LÄN</t>
        </is>
      </c>
      <c r="E1321" t="inlineStr">
        <is>
          <t>ÅNGE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37233-2025</t>
        </is>
      </c>
      <c r="B1322" s="1" t="n">
        <v>45876.34474537037</v>
      </c>
      <c r="C1322" s="1" t="n">
        <v>45884</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37450-2025</t>
        </is>
      </c>
      <c r="B1323" s="1" t="n">
        <v>45877.55261574074</v>
      </c>
      <c r="C1323" s="1" t="n">
        <v>45884</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32051-2025</t>
        </is>
      </c>
      <c r="B1324" s="1" t="n">
        <v>45835.44185185185</v>
      </c>
      <c r="C1324" s="1" t="n">
        <v>45884</v>
      </c>
      <c r="D1324" t="inlineStr">
        <is>
          <t>VÄSTERNORRLANDS LÄN</t>
        </is>
      </c>
      <c r="E1324" t="inlineStr">
        <is>
          <t>ÅNGE</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37919-2025</t>
        </is>
      </c>
      <c r="B1325" s="1" t="n">
        <v>45881.57478009259</v>
      </c>
      <c r="C1325" s="1" t="n">
        <v>45884</v>
      </c>
      <c r="D1325" t="inlineStr">
        <is>
          <t>VÄSTERNORRLANDS LÄN</t>
        </is>
      </c>
      <c r="E1325" t="inlineStr">
        <is>
          <t>ÅNGE</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37663-2025</t>
        </is>
      </c>
      <c r="B1326" s="1" t="n">
        <v>45880.51079861111</v>
      </c>
      <c r="C1326" s="1" t="n">
        <v>45884</v>
      </c>
      <c r="D1326" t="inlineStr">
        <is>
          <t>VÄSTERNORRLANDS LÄN</t>
        </is>
      </c>
      <c r="E1326" t="inlineStr">
        <is>
          <t>ÅNGE</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37719-2025</t>
        </is>
      </c>
      <c r="B1327" s="1" t="n">
        <v>45880.61505787037</v>
      </c>
      <c r="C1327" s="1" t="n">
        <v>45884</v>
      </c>
      <c r="D1327" t="inlineStr">
        <is>
          <t>VÄSTERNORRLANDS LÄN</t>
        </is>
      </c>
      <c r="E1327" t="inlineStr">
        <is>
          <t>ÅNGE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37723-2025</t>
        </is>
      </c>
      <c r="B1328" s="1" t="n">
        <v>45880.61528935185</v>
      </c>
      <c r="C1328" s="1" t="n">
        <v>45884</v>
      </c>
      <c r="D1328" t="inlineStr">
        <is>
          <t>VÄSTERNORRLANDS LÄN</t>
        </is>
      </c>
      <c r="E1328" t="inlineStr">
        <is>
          <t>ÅNGE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37802-2025</t>
        </is>
      </c>
      <c r="B1329" s="1" t="n">
        <v>45881.34447916667</v>
      </c>
      <c r="C1329" s="1" t="n">
        <v>45884</v>
      </c>
      <c r="D1329" t="inlineStr">
        <is>
          <t>VÄSTERNORRLANDS LÄN</t>
        </is>
      </c>
      <c r="E1329" t="inlineStr">
        <is>
          <t>ÅNGE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32847-2025</t>
        </is>
      </c>
      <c r="B1330" s="1" t="n">
        <v>45839.57354166666</v>
      </c>
      <c r="C1330" s="1" t="n">
        <v>45884</v>
      </c>
      <c r="D1330" t="inlineStr">
        <is>
          <t>VÄSTERNORRLANDS LÄN</t>
        </is>
      </c>
      <c r="E1330" t="inlineStr">
        <is>
          <t>ÅNGE</t>
        </is>
      </c>
      <c r="F1330" t="inlineStr">
        <is>
          <t>SCA</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38078-2025</t>
        </is>
      </c>
      <c r="B1331" s="1" t="n">
        <v>45882.46918981482</v>
      </c>
      <c r="C1331" s="1" t="n">
        <v>45884</v>
      </c>
      <c r="D1331" t="inlineStr">
        <is>
          <t>VÄSTERNORRLANDS LÄN</t>
        </is>
      </c>
      <c r="E1331" t="inlineStr">
        <is>
          <t>ÅNGE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38273-2025</t>
        </is>
      </c>
      <c r="B1332" s="1" t="n">
        <v>45883.40740740741</v>
      </c>
      <c r="C1332" s="1" t="n">
        <v>45884</v>
      </c>
      <c r="D1332" t="inlineStr">
        <is>
          <t>VÄSTERNORRLANDS LÄN</t>
        </is>
      </c>
      <c r="E1332" t="inlineStr">
        <is>
          <t>ÅNGE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38386-2025</t>
        </is>
      </c>
      <c r="B1333" s="1" t="n">
        <v>45883.57430555556</v>
      </c>
      <c r="C1333" s="1" t="n">
        <v>45884</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38283-2025</t>
        </is>
      </c>
      <c r="B1334" s="1" t="n">
        <v>45883.42740740741</v>
      </c>
      <c r="C1334" s="1" t="n">
        <v>45884</v>
      </c>
      <c r="D1334" t="inlineStr">
        <is>
          <t>VÄSTERNORRLANDS LÄN</t>
        </is>
      </c>
      <c r="E1334" t="inlineStr">
        <is>
          <t>ÅNGE</t>
        </is>
      </c>
      <c r="F1334" t="inlineStr">
        <is>
          <t>SCA</t>
        </is>
      </c>
      <c r="G1334" t="n">
        <v>0.6</v>
      </c>
      <c r="H1334" t="n">
        <v>0</v>
      </c>
      <c r="I1334" t="n">
        <v>0</v>
      </c>
      <c r="J1334" t="n">
        <v>0</v>
      </c>
      <c r="K1334" t="n">
        <v>0</v>
      </c>
      <c r="L1334" t="n">
        <v>0</v>
      </c>
      <c r="M1334" t="n">
        <v>0</v>
      </c>
      <c r="N1334" t="n">
        <v>0</v>
      </c>
      <c r="O1334" t="n">
        <v>0</v>
      </c>
      <c r="P1334" t="n">
        <v>0</v>
      </c>
      <c r="Q1334" t="n">
        <v>0</v>
      </c>
      <c r="R1334" s="2" t="inlineStr"/>
    </row>
    <row r="1335">
      <c r="A1335" t="inlineStr">
        <is>
          <t>A 38332-2025</t>
        </is>
      </c>
      <c r="B1335" s="1" t="n">
        <v>45883.49151620371</v>
      </c>
      <c r="C1335" s="1" t="n">
        <v>45884</v>
      </c>
      <c r="D1335" t="inlineStr">
        <is>
          <t>VÄSTERNORRLANDS LÄN</t>
        </is>
      </c>
      <c r="E1335" t="inlineStr">
        <is>
          <t>ÅNGE</t>
        </is>
      </c>
      <c r="F1335" t="inlineStr">
        <is>
          <t>SCA</t>
        </is>
      </c>
      <c r="G1335" t="n">
        <v>5.9</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2025-08-15T08:28:33Z</dcterms:created>
  <dcterms:modified xmlns:dcterms="http://purl.org/dc/terms/" xmlns:xsi="http://www.w3.org/2001/XMLSchema-instance" xsi:type="dcterms:W3CDTF">2025-08-15T08:28:34Z</dcterms:modified>
</cp:coreProperties>
</file>