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45965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45965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45965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45965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45965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45965</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45965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45965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45965</v>
      </c>
      <c r="D24" t="inlineStr">
        <is>
          <t>VÄSTERNORRLANDS LÄN</t>
        </is>
      </c>
      <c r="E24" t="inlineStr">
        <is>
          <t>ÅNGE</t>
        </is>
      </c>
      <c r="G24" t="n">
        <v>8.1</v>
      </c>
      <c r="H24" t="n">
        <v>5</v>
      </c>
      <c r="I24" t="n">
        <v>4</v>
      </c>
      <c r="J24" t="n">
        <v>8</v>
      </c>
      <c r="K24" t="n">
        <v>3</v>
      </c>
      <c r="L24" t="n">
        <v>0</v>
      </c>
      <c r="M24" t="n">
        <v>0</v>
      </c>
      <c r="N24" t="n">
        <v>0</v>
      </c>
      <c r="O24" t="n">
        <v>11</v>
      </c>
      <c r="P24" t="n">
        <v>3</v>
      </c>
      <c r="Q24" t="n">
        <v>16</v>
      </c>
      <c r="R24" s="2" t="inlineStr">
        <is>
          <t>Knärot
Lappticka
Rynkskinn
Doftskinn
Garnlav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45965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45965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45965</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45965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45965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45965</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45965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45965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45965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45965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45965</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45965</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45965</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41874-2025</t>
        </is>
      </c>
      <c r="B39" s="1" t="n">
        <v>45903.3452662037</v>
      </c>
      <c r="C39" s="1" t="n">
        <v>45965</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6429-2022</t>
        </is>
      </c>
      <c r="B40" s="1" t="n">
        <v>44600</v>
      </c>
      <c r="C40" s="1" t="n">
        <v>45965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30840-2023</t>
        </is>
      </c>
      <c r="B41" s="1" t="n">
        <v>45112</v>
      </c>
      <c r="C41" s="1" t="n">
        <v>45965</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39496-2024</t>
        </is>
      </c>
      <c r="B42" s="1" t="n">
        <v>45551</v>
      </c>
      <c r="C42" s="1" t="n">
        <v>45965</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25323-2023</t>
        </is>
      </c>
      <c r="B43" s="1" t="n">
        <v>45086</v>
      </c>
      <c r="C43" s="1" t="n">
        <v>45965</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45965</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45965</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45965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45965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45965</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45965</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45965</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45965</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20694-2022</t>
        </is>
      </c>
      <c r="B52" s="1" t="n">
        <v>44700</v>
      </c>
      <c r="C52" s="1" t="n">
        <v>45965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45965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39065-2023</t>
        </is>
      </c>
      <c r="B54" s="1" t="n">
        <v>45163</v>
      </c>
      <c r="C54" s="1" t="n">
        <v>45965</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40545-2024</t>
        </is>
      </c>
      <c r="B55" s="1" t="n">
        <v>45555</v>
      </c>
      <c r="C55" s="1" t="n">
        <v>45965</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26957-2024</t>
        </is>
      </c>
      <c r="B56" s="1" t="n">
        <v>45470</v>
      </c>
      <c r="C56" s="1" t="n">
        <v>45965</v>
      </c>
      <c r="D56" t="inlineStr">
        <is>
          <t>VÄSTERNORRLANDS LÄN</t>
        </is>
      </c>
      <c r="E56" t="inlineStr">
        <is>
          <t>ÅNGE</t>
        </is>
      </c>
      <c r="F56" t="inlineStr">
        <is>
          <t>SCA</t>
        </is>
      </c>
      <c r="G56" t="n">
        <v>4</v>
      </c>
      <c r="H56" t="n">
        <v>1</v>
      </c>
      <c r="I56" t="n">
        <v>1</v>
      </c>
      <c r="J56" t="n">
        <v>7</v>
      </c>
      <c r="K56" t="n">
        <v>0</v>
      </c>
      <c r="L56" t="n">
        <v>0</v>
      </c>
      <c r="M56" t="n">
        <v>0</v>
      </c>
      <c r="N56" t="n">
        <v>0</v>
      </c>
      <c r="O56" t="n">
        <v>7</v>
      </c>
      <c r="P56" t="n">
        <v>0</v>
      </c>
      <c r="Q56" t="n">
        <v>8</v>
      </c>
      <c r="R56" s="2" t="inlineStr">
        <is>
          <t>Gammelgransskål
Garnlav
Granticka
Harticka
Lunglav
Skrovellav
Tretåig hackspett
Bronshjon</t>
        </is>
      </c>
      <c r="S56">
        <f>HYPERLINK("https://klasma.github.io/Logging_2260/artfynd/A 26957-2024 artfynd.xlsx", "A 26957-2024")</f>
        <v/>
      </c>
      <c r="T56">
        <f>HYPERLINK("https://klasma.github.io/Logging_2260/kartor/A 26957-2024 karta.png", "A 26957-2024")</f>
        <v/>
      </c>
      <c r="V56">
        <f>HYPERLINK("https://klasma.github.io/Logging_2260/klagomål/A 26957-2024 FSC-klagomål.docx", "A 26957-2024")</f>
        <v/>
      </c>
      <c r="W56">
        <f>HYPERLINK("https://klasma.github.io/Logging_2260/klagomålsmail/A 26957-2024 FSC-klagomål mail.docx", "A 26957-2024")</f>
        <v/>
      </c>
      <c r="X56">
        <f>HYPERLINK("https://klasma.github.io/Logging_2260/tillsyn/A 26957-2024 tillsynsbegäran.docx", "A 26957-2024")</f>
        <v/>
      </c>
      <c r="Y56">
        <f>HYPERLINK("https://klasma.github.io/Logging_2260/tillsynsmail/A 26957-2024 tillsynsbegäran mail.docx", "A 26957-2024")</f>
        <v/>
      </c>
      <c r="Z56">
        <f>HYPERLINK("https://klasma.github.io/Logging_2260/fåglar/A 26957-2024 prioriterade fågelarter.docx", "A 26957-2024")</f>
        <v/>
      </c>
    </row>
    <row r="57" ht="15" customHeight="1">
      <c r="A57" t="inlineStr">
        <is>
          <t>A 57843-2024</t>
        </is>
      </c>
      <c r="B57" s="1" t="n">
        <v>45631</v>
      </c>
      <c r="C57" s="1" t="n">
        <v>45965</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45965</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45965</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45965</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45965</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45965</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45965</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45965</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45965</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45965</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45965</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53456-2023</t>
        </is>
      </c>
      <c r="B68" s="1" t="n">
        <v>45229</v>
      </c>
      <c r="C68" s="1" t="n">
        <v>45965</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27955-2021</t>
        </is>
      </c>
      <c r="B69" s="1" t="n">
        <v>44354</v>
      </c>
      <c r="C69" s="1" t="n">
        <v>45965</v>
      </c>
      <c r="D69" t="inlineStr">
        <is>
          <t>VÄSTERNORRLANDS LÄN</t>
        </is>
      </c>
      <c r="E69" t="inlineStr">
        <is>
          <t>ÅNGE</t>
        </is>
      </c>
      <c r="G69" t="n">
        <v>12.3</v>
      </c>
      <c r="H69" t="n">
        <v>0</v>
      </c>
      <c r="I69" t="n">
        <v>2</v>
      </c>
      <c r="J69" t="n">
        <v>4</v>
      </c>
      <c r="K69" t="n">
        <v>0</v>
      </c>
      <c r="L69" t="n">
        <v>0</v>
      </c>
      <c r="M69" t="n">
        <v>0</v>
      </c>
      <c r="N69" t="n">
        <v>0</v>
      </c>
      <c r="O69" t="n">
        <v>4</v>
      </c>
      <c r="P69" t="n">
        <v>0</v>
      </c>
      <c r="Q69" t="n">
        <v>6</v>
      </c>
      <c r="R69" s="2" t="inlineStr">
        <is>
          <t>Garnlav
Kolflarnlav
Mörk kolflarnlav
Skrovlig taggsvamp
Dropptaggsvamp
Skarp dropptaggsvamp</t>
        </is>
      </c>
      <c r="S69">
        <f>HYPERLINK("https://klasma.github.io/Logging_2260/artfynd/A 27955-2021 artfynd.xlsx", "A 27955-2021")</f>
        <v/>
      </c>
      <c r="T69">
        <f>HYPERLINK("https://klasma.github.io/Logging_2260/kartor/A 27955-2021 karta.png", "A 27955-2021")</f>
        <v/>
      </c>
      <c r="V69">
        <f>HYPERLINK("https://klasma.github.io/Logging_2260/klagomål/A 27955-2021 FSC-klagomål.docx", "A 27955-2021")</f>
        <v/>
      </c>
      <c r="W69">
        <f>HYPERLINK("https://klasma.github.io/Logging_2260/klagomålsmail/A 27955-2021 FSC-klagomål mail.docx", "A 27955-2021")</f>
        <v/>
      </c>
      <c r="X69">
        <f>HYPERLINK("https://klasma.github.io/Logging_2260/tillsyn/A 27955-2021 tillsynsbegäran.docx", "A 27955-2021")</f>
        <v/>
      </c>
      <c r="Y69">
        <f>HYPERLINK("https://klasma.github.io/Logging_2260/tillsynsmail/A 27955-2021 tillsynsbegäran mail.docx", "A 27955-2021")</f>
        <v/>
      </c>
    </row>
    <row r="70" ht="15" customHeight="1">
      <c r="A70" t="inlineStr">
        <is>
          <t>A 31509-2024</t>
        </is>
      </c>
      <c r="B70" s="1" t="n">
        <v>45505</v>
      </c>
      <c r="C70" s="1" t="n">
        <v>45965</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45965</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10085-2023</t>
        </is>
      </c>
      <c r="B72" s="1" t="n">
        <v>44985.9447337963</v>
      </c>
      <c r="C72" s="1" t="n">
        <v>45965</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4130-2023</t>
        </is>
      </c>
      <c r="B73" s="1" t="n">
        <v>44952</v>
      </c>
      <c r="C73" s="1" t="n">
        <v>45965</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U73">
        <f>HYPERLINK("https://klasma.github.io/Logging_2260/knärot/A 4130-2023 karta knärot.png",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39570-2025</t>
        </is>
      </c>
      <c r="B74" s="1" t="n">
        <v>45890.49009259259</v>
      </c>
      <c r="C74" s="1" t="n">
        <v>45965</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48191-2025</t>
        </is>
      </c>
      <c r="B75" s="1" t="n">
        <v>45933.46956018519</v>
      </c>
      <c r="C75" s="1" t="n">
        <v>45965</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45965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45965</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45965</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19010-2025</t>
        </is>
      </c>
      <c r="B79" s="1" t="n">
        <v>45764</v>
      </c>
      <c r="C79" s="1" t="n">
        <v>45965</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26363-2023</t>
        </is>
      </c>
      <c r="B80" s="1" t="n">
        <v>45091</v>
      </c>
      <c r="C80" s="1" t="n">
        <v>45965</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45402-2025</t>
        </is>
      </c>
      <c r="B81" s="1" t="n">
        <v>45922.4278587963</v>
      </c>
      <c r="C81" s="1" t="n">
        <v>45965</v>
      </c>
      <c r="D81" t="inlineStr">
        <is>
          <t>VÄSTERNORRLANDS LÄN</t>
        </is>
      </c>
      <c r="E81" t="inlineStr">
        <is>
          <t>ÅNGE</t>
        </is>
      </c>
      <c r="F81" t="inlineStr">
        <is>
          <t>SCA</t>
        </is>
      </c>
      <c r="G81" t="n">
        <v>2.9</v>
      </c>
      <c r="H81" t="n">
        <v>0</v>
      </c>
      <c r="I81" t="n">
        <v>2</v>
      </c>
      <c r="J81" t="n">
        <v>4</v>
      </c>
      <c r="K81" t="n">
        <v>0</v>
      </c>
      <c r="L81" t="n">
        <v>0</v>
      </c>
      <c r="M81" t="n">
        <v>0</v>
      </c>
      <c r="N81" t="n">
        <v>0</v>
      </c>
      <c r="O81" t="n">
        <v>4</v>
      </c>
      <c r="P81" t="n">
        <v>0</v>
      </c>
      <c r="Q81" t="n">
        <v>6</v>
      </c>
      <c r="R81" s="2" t="inlineStr">
        <is>
          <t>Garnlav
Kolflarnlav
Lunglav
Ullticka
Dropptaggsvamp
Vedticka</t>
        </is>
      </c>
      <c r="S81">
        <f>HYPERLINK("https://klasma.github.io/Logging_2260/artfynd/A 45402-2025 artfynd.xlsx", "A 45402-2025")</f>
        <v/>
      </c>
      <c r="T81">
        <f>HYPERLINK("https://klasma.github.io/Logging_2260/kartor/A 45402-2025 karta.png", "A 45402-2025")</f>
        <v/>
      </c>
      <c r="V81">
        <f>HYPERLINK("https://klasma.github.io/Logging_2260/klagomål/A 45402-2025 FSC-klagomål.docx", "A 45402-2025")</f>
        <v/>
      </c>
      <c r="W81">
        <f>HYPERLINK("https://klasma.github.io/Logging_2260/klagomålsmail/A 45402-2025 FSC-klagomål mail.docx", "A 45402-2025")</f>
        <v/>
      </c>
      <c r="X81">
        <f>HYPERLINK("https://klasma.github.io/Logging_2260/tillsyn/A 45402-2025 tillsynsbegäran.docx", "A 45402-2025")</f>
        <v/>
      </c>
      <c r="Y81">
        <f>HYPERLINK("https://klasma.github.io/Logging_2260/tillsynsmail/A 45402-2025 tillsynsbegäran mail.docx", "A 45402-2025")</f>
        <v/>
      </c>
    </row>
    <row r="82" ht="15" customHeight="1">
      <c r="A82" t="inlineStr">
        <is>
          <t>A 31364-2022</t>
        </is>
      </c>
      <c r="B82" s="1" t="n">
        <v>44774</v>
      </c>
      <c r="C82" s="1" t="n">
        <v>45965</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13696-2023</t>
        </is>
      </c>
      <c r="B83" s="1" t="n">
        <v>45006</v>
      </c>
      <c r="C83" s="1" t="n">
        <v>45965</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32911-2024</t>
        </is>
      </c>
      <c r="B84" s="1" t="n">
        <v>45516</v>
      </c>
      <c r="C84" s="1" t="n">
        <v>45965</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46375-2025</t>
        </is>
      </c>
      <c r="B85" s="1" t="n">
        <v>45925.51097222222</v>
      </c>
      <c r="C85" s="1" t="n">
        <v>45965</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38327-2025</t>
        </is>
      </c>
      <c r="B86" s="1" t="n">
        <v>45883.49084490741</v>
      </c>
      <c r="C86" s="1" t="n">
        <v>45965</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27914-2024</t>
        </is>
      </c>
      <c r="B87" s="1" t="n">
        <v>45475</v>
      </c>
      <c r="C87" s="1" t="n">
        <v>45965</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45965</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38322-2025</t>
        </is>
      </c>
      <c r="B89" s="1" t="n">
        <v>45883.49003472222</v>
      </c>
      <c r="C89" s="1" t="n">
        <v>45965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52269-2024</t>
        </is>
      </c>
      <c r="B90" s="1" t="n">
        <v>45608.65660879629</v>
      </c>
      <c r="C90" s="1" t="n">
        <v>45965</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62640-2020</t>
        </is>
      </c>
      <c r="B91" s="1" t="n">
        <v>44161</v>
      </c>
      <c r="C91" s="1" t="n">
        <v>45965</v>
      </c>
      <c r="D91" t="inlineStr">
        <is>
          <t>VÄSTERNORRLANDS LÄN</t>
        </is>
      </c>
      <c r="E91" t="inlineStr">
        <is>
          <t>ÅNGE</t>
        </is>
      </c>
      <c r="F91" t="inlineStr">
        <is>
          <t>Sveaskog</t>
        </is>
      </c>
      <c r="G91" t="n">
        <v>2</v>
      </c>
      <c r="H91" t="n">
        <v>1</v>
      </c>
      <c r="I91" t="n">
        <v>2</v>
      </c>
      <c r="J91" t="n">
        <v>0</v>
      </c>
      <c r="K91" t="n">
        <v>2</v>
      </c>
      <c r="L91" t="n">
        <v>0</v>
      </c>
      <c r="M91" t="n">
        <v>0</v>
      </c>
      <c r="N91" t="n">
        <v>0</v>
      </c>
      <c r="O91" t="n">
        <v>2</v>
      </c>
      <c r="P91" t="n">
        <v>2</v>
      </c>
      <c r="Q91" t="n">
        <v>5</v>
      </c>
      <c r="R91" s="2" t="inlineStr">
        <is>
          <t>Bitter taggsvamp
Rynkskinn
Kransrams
Svart trolldruva
Blåsippa</t>
        </is>
      </c>
      <c r="S91">
        <f>HYPERLINK("https://klasma.github.io/Logging_2260/artfynd/A 62640-2020 artfynd.xlsx", "A 62640-2020")</f>
        <v/>
      </c>
      <c r="T91">
        <f>HYPERLINK("https://klasma.github.io/Logging_2260/kartor/A 62640-2020 karta.png", "A 62640-2020")</f>
        <v/>
      </c>
      <c r="V91">
        <f>HYPERLINK("https://klasma.github.io/Logging_2260/klagomål/A 62640-2020 FSC-klagomål.docx", "A 62640-2020")</f>
        <v/>
      </c>
      <c r="W91">
        <f>HYPERLINK("https://klasma.github.io/Logging_2260/klagomålsmail/A 62640-2020 FSC-klagomål mail.docx", "A 62640-2020")</f>
        <v/>
      </c>
      <c r="X91">
        <f>HYPERLINK("https://klasma.github.io/Logging_2260/tillsyn/A 62640-2020 tillsynsbegäran.docx", "A 62640-2020")</f>
        <v/>
      </c>
      <c r="Y91">
        <f>HYPERLINK("https://klasma.github.io/Logging_2260/tillsynsmail/A 62640-2020 tillsynsbegäran mail.docx", "A 62640-2020")</f>
        <v/>
      </c>
    </row>
    <row r="92" ht="15" customHeight="1">
      <c r="A92" t="inlineStr">
        <is>
          <t>A 47102-2025</t>
        </is>
      </c>
      <c r="B92" s="1" t="n">
        <v>45929</v>
      </c>
      <c r="C92" s="1" t="n">
        <v>45965</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23601-2025</t>
        </is>
      </c>
      <c r="B93" s="1" t="n">
        <v>45792</v>
      </c>
      <c r="C93" s="1" t="n">
        <v>45965</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55004-2023</t>
        </is>
      </c>
      <c r="B94" s="1" t="n">
        <v>45236</v>
      </c>
      <c r="C94" s="1" t="n">
        <v>45965</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29880-2025</t>
        </is>
      </c>
      <c r="B95" s="1" t="n">
        <v>45826.36510416667</v>
      </c>
      <c r="C95" s="1" t="n">
        <v>45965</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52601-2025</t>
        </is>
      </c>
      <c r="B96" s="1" t="n">
        <v>45954.65677083333</v>
      </c>
      <c r="C96" s="1" t="n">
        <v>45965</v>
      </c>
      <c r="D96" t="inlineStr">
        <is>
          <t>VÄSTERNORRLANDS LÄN</t>
        </is>
      </c>
      <c r="E96" t="inlineStr">
        <is>
          <t>ÅNGE</t>
        </is>
      </c>
      <c r="F96" t="inlineStr">
        <is>
          <t>SCA</t>
        </is>
      </c>
      <c r="G96" t="n">
        <v>3.1</v>
      </c>
      <c r="H96" t="n">
        <v>4</v>
      </c>
      <c r="I96" t="n">
        <v>4</v>
      </c>
      <c r="J96" t="n">
        <v>0</v>
      </c>
      <c r="K96" t="n">
        <v>1</v>
      </c>
      <c r="L96" t="n">
        <v>0</v>
      </c>
      <c r="M96" t="n">
        <v>0</v>
      </c>
      <c r="N96" t="n">
        <v>0</v>
      </c>
      <c r="O96" t="n">
        <v>1</v>
      </c>
      <c r="P96" t="n">
        <v>1</v>
      </c>
      <c r="Q96" t="n">
        <v>5</v>
      </c>
      <c r="R96" s="2" t="inlineStr">
        <is>
          <t>Knärot
Bågpraktmossa
Korallrot
Spindelblomster
Tvåblad</t>
        </is>
      </c>
      <c r="S96">
        <f>HYPERLINK("https://klasma.github.io/Logging_2260/artfynd/A 52601-2025 artfynd.xlsx", "A 52601-2025")</f>
        <v/>
      </c>
      <c r="T96">
        <f>HYPERLINK("https://klasma.github.io/Logging_2260/kartor/A 52601-2025 karta.png", "A 52601-2025")</f>
        <v/>
      </c>
      <c r="U96">
        <f>HYPERLINK("https://klasma.github.io/Logging_2260/knärot/A 52601-2025 karta knärot.png", "A 52601-2025")</f>
        <v/>
      </c>
      <c r="V96">
        <f>HYPERLINK("https://klasma.github.io/Logging_2260/klagomål/A 52601-2025 FSC-klagomål.docx", "A 52601-2025")</f>
        <v/>
      </c>
      <c r="W96">
        <f>HYPERLINK("https://klasma.github.io/Logging_2260/klagomålsmail/A 52601-2025 FSC-klagomål mail.docx", "A 52601-2025")</f>
        <v/>
      </c>
      <c r="X96">
        <f>HYPERLINK("https://klasma.github.io/Logging_2260/tillsyn/A 52601-2025 tillsynsbegäran.docx", "A 52601-2025")</f>
        <v/>
      </c>
      <c r="Y96">
        <f>HYPERLINK("https://klasma.github.io/Logging_2260/tillsynsmail/A 52601-2025 tillsynsbegäran mail.docx", "A 52601-2025")</f>
        <v/>
      </c>
    </row>
    <row r="97" ht="15" customHeight="1">
      <c r="A97" t="inlineStr">
        <is>
          <t>A 43520-2025</t>
        </is>
      </c>
      <c r="B97" s="1" t="n">
        <v>45911.57364583333</v>
      </c>
      <c r="C97" s="1" t="n">
        <v>45965</v>
      </c>
      <c r="D97" t="inlineStr">
        <is>
          <t>VÄSTERNORRLANDS LÄN</t>
        </is>
      </c>
      <c r="E97" t="inlineStr">
        <is>
          <t>ÅNGE</t>
        </is>
      </c>
      <c r="F97" t="inlineStr">
        <is>
          <t>SCA</t>
        </is>
      </c>
      <c r="G97" t="n">
        <v>2.5</v>
      </c>
      <c r="H97" t="n">
        <v>0</v>
      </c>
      <c r="I97" t="n">
        <v>2</v>
      </c>
      <c r="J97" t="n">
        <v>3</v>
      </c>
      <c r="K97" t="n">
        <v>0</v>
      </c>
      <c r="L97" t="n">
        <v>0</v>
      </c>
      <c r="M97" t="n">
        <v>0</v>
      </c>
      <c r="N97" t="n">
        <v>0</v>
      </c>
      <c r="O97" t="n">
        <v>3</v>
      </c>
      <c r="P97" t="n">
        <v>0</v>
      </c>
      <c r="Q97" t="n">
        <v>5</v>
      </c>
      <c r="R97" s="2" t="inlineStr">
        <is>
          <t>Garnlav
Lunglav
Vedtrappmossa
Bårdlav
Stuplav</t>
        </is>
      </c>
      <c r="S97">
        <f>HYPERLINK("https://klasma.github.io/Logging_2260/artfynd/A 43520-2025 artfynd.xlsx", "A 43520-2025")</f>
        <v/>
      </c>
      <c r="T97">
        <f>HYPERLINK("https://klasma.github.io/Logging_2260/kartor/A 43520-2025 karta.png", "A 43520-2025")</f>
        <v/>
      </c>
      <c r="V97">
        <f>HYPERLINK("https://klasma.github.io/Logging_2260/klagomål/A 43520-2025 FSC-klagomål.docx", "A 43520-2025")</f>
        <v/>
      </c>
      <c r="W97">
        <f>HYPERLINK("https://klasma.github.io/Logging_2260/klagomålsmail/A 43520-2025 FSC-klagomål mail.docx", "A 43520-2025")</f>
        <v/>
      </c>
      <c r="X97">
        <f>HYPERLINK("https://klasma.github.io/Logging_2260/tillsyn/A 43520-2025 tillsynsbegäran.docx", "A 43520-2025")</f>
        <v/>
      </c>
      <c r="Y97">
        <f>HYPERLINK("https://klasma.github.io/Logging_2260/tillsynsmail/A 43520-2025 tillsynsbegäran mail.docx", "A 43520-2025")</f>
        <v/>
      </c>
    </row>
    <row r="98" ht="15" customHeight="1">
      <c r="A98" t="inlineStr">
        <is>
          <t>A 51065-2024</t>
        </is>
      </c>
      <c r="B98" s="1" t="n">
        <v>45603</v>
      </c>
      <c r="C98" s="1" t="n">
        <v>45965</v>
      </c>
      <c r="D98" t="inlineStr">
        <is>
          <t>VÄSTERNORRLANDS LÄN</t>
        </is>
      </c>
      <c r="E98" t="inlineStr">
        <is>
          <t>ÅNGE</t>
        </is>
      </c>
      <c r="F98" t="inlineStr">
        <is>
          <t>SCA</t>
        </is>
      </c>
      <c r="G98" t="n">
        <v>4.1</v>
      </c>
      <c r="H98" t="n">
        <v>2</v>
      </c>
      <c r="I98" t="n">
        <v>0</v>
      </c>
      <c r="J98" t="n">
        <v>4</v>
      </c>
      <c r="K98" t="n">
        <v>1</v>
      </c>
      <c r="L98" t="n">
        <v>0</v>
      </c>
      <c r="M98" t="n">
        <v>0</v>
      </c>
      <c r="N98" t="n">
        <v>0</v>
      </c>
      <c r="O98" t="n">
        <v>5</v>
      </c>
      <c r="P98" t="n">
        <v>1</v>
      </c>
      <c r="Q98" t="n">
        <v>5</v>
      </c>
      <c r="R98" s="2" t="inlineStr">
        <is>
          <t>Knärot
Garnlav
Granticka
Järpe
Lunglav</t>
        </is>
      </c>
      <c r="S98">
        <f>HYPERLINK("https://klasma.github.io/Logging_2260/artfynd/A 51065-2024 artfynd.xlsx", "A 51065-2024")</f>
        <v/>
      </c>
      <c r="T98">
        <f>HYPERLINK("https://klasma.github.io/Logging_2260/kartor/A 51065-2024 karta.png", "A 51065-2024")</f>
        <v/>
      </c>
      <c r="U98">
        <f>HYPERLINK("https://klasma.github.io/Logging_2260/knärot/A 51065-2024 karta knärot.png", "A 51065-2024")</f>
        <v/>
      </c>
      <c r="V98">
        <f>HYPERLINK("https://klasma.github.io/Logging_2260/klagomål/A 51065-2024 FSC-klagomål.docx", "A 51065-2024")</f>
        <v/>
      </c>
      <c r="W98">
        <f>HYPERLINK("https://klasma.github.io/Logging_2260/klagomålsmail/A 51065-2024 FSC-klagomål mail.docx", "A 51065-2024")</f>
        <v/>
      </c>
      <c r="X98">
        <f>HYPERLINK("https://klasma.github.io/Logging_2260/tillsyn/A 51065-2024 tillsynsbegäran.docx", "A 51065-2024")</f>
        <v/>
      </c>
      <c r="Y98">
        <f>HYPERLINK("https://klasma.github.io/Logging_2260/tillsynsmail/A 51065-2024 tillsynsbegäran mail.docx", "A 51065-2024")</f>
        <v/>
      </c>
      <c r="Z98">
        <f>HYPERLINK("https://klasma.github.io/Logging_2260/fåglar/A 51065-2024 prioriterade fågelarter.docx", "A 51065-2024")</f>
        <v/>
      </c>
    </row>
    <row r="99" ht="15" customHeight="1">
      <c r="A99" t="inlineStr">
        <is>
          <t>A 46548-2023</t>
        </is>
      </c>
      <c r="B99" s="1" t="n">
        <v>45197</v>
      </c>
      <c r="C99" s="1" t="n">
        <v>45965</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55179-2024</t>
        </is>
      </c>
      <c r="B100" s="1" t="n">
        <v>45621.53204861111</v>
      </c>
      <c r="C100" s="1" t="n">
        <v>45965</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38326-2024</t>
        </is>
      </c>
      <c r="B101" s="1" t="n">
        <v>45545.67741898148</v>
      </c>
      <c r="C101" s="1" t="n">
        <v>45965</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26953-2024</t>
        </is>
      </c>
      <c r="B102" s="1" t="n">
        <v>45470</v>
      </c>
      <c r="C102" s="1" t="n">
        <v>45965</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39176-2024</t>
        </is>
      </c>
      <c r="B103" s="1" t="n">
        <v>45548</v>
      </c>
      <c r="C103" s="1" t="n">
        <v>45965</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57299-2022</t>
        </is>
      </c>
      <c r="B104" s="1" t="n">
        <v>44895.95090277777</v>
      </c>
      <c r="C104" s="1" t="n">
        <v>45965</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44558-2024</t>
        </is>
      </c>
      <c r="B105" s="1" t="n">
        <v>45574.47001157407</v>
      </c>
      <c r="C105" s="1" t="n">
        <v>45965</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723-2025</t>
        </is>
      </c>
      <c r="B106" s="1" t="n">
        <v>45665.38576388889</v>
      </c>
      <c r="C106" s="1" t="n">
        <v>45965</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38713-2025</t>
        </is>
      </c>
      <c r="B107" s="1" t="n">
        <v>45886.34479166667</v>
      </c>
      <c r="C107" s="1" t="n">
        <v>45965</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11029-2025</t>
        </is>
      </c>
      <c r="B108" s="1" t="n">
        <v>45723</v>
      </c>
      <c r="C108" s="1" t="n">
        <v>45965</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24796-2024</t>
        </is>
      </c>
      <c r="B109" s="1" t="n">
        <v>45460</v>
      </c>
      <c r="C109" s="1" t="n">
        <v>45965</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45965</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45965</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45965</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39181-2024</t>
        </is>
      </c>
      <c r="B113" s="1" t="n">
        <v>45548</v>
      </c>
      <c r="C113" s="1" t="n">
        <v>45965</v>
      </c>
      <c r="D113" t="inlineStr">
        <is>
          <t>VÄSTERNORRLANDS LÄN</t>
        </is>
      </c>
      <c r="E113" t="inlineStr">
        <is>
          <t>ÅNGE</t>
        </is>
      </c>
      <c r="F113" t="inlineStr">
        <is>
          <t>SCA</t>
        </is>
      </c>
      <c r="G113" t="n">
        <v>21.1</v>
      </c>
      <c r="H113" t="n">
        <v>1</v>
      </c>
      <c r="I113" t="n">
        <v>1</v>
      </c>
      <c r="J113" t="n">
        <v>1</v>
      </c>
      <c r="K113" t="n">
        <v>1</v>
      </c>
      <c r="L113" t="n">
        <v>0</v>
      </c>
      <c r="M113" t="n">
        <v>0</v>
      </c>
      <c r="N113" t="n">
        <v>0</v>
      </c>
      <c r="O113" t="n">
        <v>2</v>
      </c>
      <c r="P113" t="n">
        <v>1</v>
      </c>
      <c r="Q113" t="n">
        <v>3</v>
      </c>
      <c r="R113" s="2" t="inlineStr">
        <is>
          <t>Knärot
Granticka
Kransrams</t>
        </is>
      </c>
      <c r="S113">
        <f>HYPERLINK("https://klasma.github.io/Logging_2260/artfynd/A 39181-2024 artfynd.xlsx", "A 39181-2024")</f>
        <v/>
      </c>
      <c r="T113">
        <f>HYPERLINK("https://klasma.github.io/Logging_2260/kartor/A 39181-2024 karta.png", "A 39181-2024")</f>
        <v/>
      </c>
      <c r="U113">
        <f>HYPERLINK("https://klasma.github.io/Logging_2260/knärot/A 39181-2024 karta knärot.png", "A 39181-2024")</f>
        <v/>
      </c>
      <c r="V113">
        <f>HYPERLINK("https://klasma.github.io/Logging_2260/klagomål/A 39181-2024 FSC-klagomål.docx", "A 39181-2024")</f>
        <v/>
      </c>
      <c r="W113">
        <f>HYPERLINK("https://klasma.github.io/Logging_2260/klagomålsmail/A 39181-2024 FSC-klagomål mail.docx", "A 39181-2024")</f>
        <v/>
      </c>
      <c r="X113">
        <f>HYPERLINK("https://klasma.github.io/Logging_2260/tillsyn/A 39181-2024 tillsynsbegäran.docx", "A 39181-2024")</f>
        <v/>
      </c>
      <c r="Y113">
        <f>HYPERLINK("https://klasma.github.io/Logging_2260/tillsynsmail/A 39181-2024 tillsynsbegäran mail.docx", "A 39181-2024")</f>
        <v/>
      </c>
    </row>
    <row r="114" ht="15" customHeight="1">
      <c r="A114" t="inlineStr">
        <is>
          <t>A 38664-2025</t>
        </is>
      </c>
      <c r="B114" s="1" t="n">
        <v>45884.61503472222</v>
      </c>
      <c r="C114" s="1" t="n">
        <v>45965</v>
      </c>
      <c r="D114" t="inlineStr">
        <is>
          <t>VÄSTERNORRLANDS LÄN</t>
        </is>
      </c>
      <c r="E114" t="inlineStr">
        <is>
          <t>ÅNGE</t>
        </is>
      </c>
      <c r="F114" t="inlineStr">
        <is>
          <t>SCA</t>
        </is>
      </c>
      <c r="G114" t="n">
        <v>6.4</v>
      </c>
      <c r="H114" t="n">
        <v>1</v>
      </c>
      <c r="I114" t="n">
        <v>0</v>
      </c>
      <c r="J114" t="n">
        <v>2</v>
      </c>
      <c r="K114" t="n">
        <v>1</v>
      </c>
      <c r="L114" t="n">
        <v>0</v>
      </c>
      <c r="M114" t="n">
        <v>0</v>
      </c>
      <c r="N114" t="n">
        <v>0</v>
      </c>
      <c r="O114" t="n">
        <v>3</v>
      </c>
      <c r="P114" t="n">
        <v>1</v>
      </c>
      <c r="Q114" t="n">
        <v>3</v>
      </c>
      <c r="R114" s="2" t="inlineStr">
        <is>
          <t>Knärot
Kolflarnlav
Mörk kolflarnlav</t>
        </is>
      </c>
      <c r="S114">
        <f>HYPERLINK("https://klasma.github.io/Logging_2260/artfynd/A 38664-2025 artfynd.xlsx", "A 38664-2025")</f>
        <v/>
      </c>
      <c r="T114">
        <f>HYPERLINK("https://klasma.github.io/Logging_2260/kartor/A 38664-2025 karta.png", "A 38664-2025")</f>
        <v/>
      </c>
      <c r="U114">
        <f>HYPERLINK("https://klasma.github.io/Logging_2260/knärot/A 38664-2025 karta knärot.png", "A 38664-2025")</f>
        <v/>
      </c>
      <c r="V114">
        <f>HYPERLINK("https://klasma.github.io/Logging_2260/klagomål/A 38664-2025 FSC-klagomål.docx", "A 38664-2025")</f>
        <v/>
      </c>
      <c r="W114">
        <f>HYPERLINK("https://klasma.github.io/Logging_2260/klagomålsmail/A 38664-2025 FSC-klagomål mail.docx", "A 38664-2025")</f>
        <v/>
      </c>
      <c r="X114">
        <f>HYPERLINK("https://klasma.github.io/Logging_2260/tillsyn/A 38664-2025 tillsynsbegäran.docx", "A 38664-2025")</f>
        <v/>
      </c>
      <c r="Y114">
        <f>HYPERLINK("https://klasma.github.io/Logging_2260/tillsynsmail/A 38664-2025 tillsynsbegäran mail.docx", "A 38664-2025")</f>
        <v/>
      </c>
    </row>
    <row r="115" ht="15" customHeight="1">
      <c r="A115" t="inlineStr">
        <is>
          <t>A 38238-2025</t>
        </is>
      </c>
      <c r="B115" s="1" t="n">
        <v>45883.36497685185</v>
      </c>
      <c r="C115" s="1" t="n">
        <v>45965</v>
      </c>
      <c r="D115" t="inlineStr">
        <is>
          <t>VÄSTERNORRLANDS LÄN</t>
        </is>
      </c>
      <c r="E115" t="inlineStr">
        <is>
          <t>ÅNGE</t>
        </is>
      </c>
      <c r="F115" t="inlineStr">
        <is>
          <t>SCA</t>
        </is>
      </c>
      <c r="G115" t="n">
        <v>5.6</v>
      </c>
      <c r="H115" t="n">
        <v>0</v>
      </c>
      <c r="I115" t="n">
        <v>1</v>
      </c>
      <c r="J115" t="n">
        <v>1</v>
      </c>
      <c r="K115" t="n">
        <v>1</v>
      </c>
      <c r="L115" t="n">
        <v>0</v>
      </c>
      <c r="M115" t="n">
        <v>0</v>
      </c>
      <c r="N115" t="n">
        <v>0</v>
      </c>
      <c r="O115" t="n">
        <v>2</v>
      </c>
      <c r="P115" t="n">
        <v>1</v>
      </c>
      <c r="Q115" t="n">
        <v>3</v>
      </c>
      <c r="R115" s="2" t="inlineStr">
        <is>
          <t>Tajgataggsvamp
Vitplätt
Grönpyrola</t>
        </is>
      </c>
      <c r="S115">
        <f>HYPERLINK("https://klasma.github.io/Logging_2260/artfynd/A 38238-2025 artfynd.xlsx", "A 38238-2025")</f>
        <v/>
      </c>
      <c r="T115">
        <f>HYPERLINK("https://klasma.github.io/Logging_2260/kartor/A 38238-2025 karta.png", "A 38238-2025")</f>
        <v/>
      </c>
      <c r="U115">
        <f>HYPERLINK("https://klasma.github.io/Logging_2260/knärot/A 38238-2025 karta knärot.png", "A 38238-2025")</f>
        <v/>
      </c>
      <c r="V115">
        <f>HYPERLINK("https://klasma.github.io/Logging_2260/klagomål/A 38238-2025 FSC-klagomål.docx", "A 38238-2025")</f>
        <v/>
      </c>
      <c r="W115">
        <f>HYPERLINK("https://klasma.github.io/Logging_2260/klagomålsmail/A 38238-2025 FSC-klagomål mail.docx", "A 38238-2025")</f>
        <v/>
      </c>
      <c r="X115">
        <f>HYPERLINK("https://klasma.github.io/Logging_2260/tillsyn/A 38238-2025 tillsynsbegäran.docx", "A 38238-2025")</f>
        <v/>
      </c>
      <c r="Y115">
        <f>HYPERLINK("https://klasma.github.io/Logging_2260/tillsynsmail/A 38238-2025 tillsynsbegäran mail.docx", "A 38238-2025")</f>
        <v/>
      </c>
    </row>
    <row r="116" ht="15" customHeight="1">
      <c r="A116" t="inlineStr">
        <is>
          <t>A 46417-2025</t>
        </is>
      </c>
      <c r="B116" s="1" t="n">
        <v>45925.59454861111</v>
      </c>
      <c r="C116" s="1" t="n">
        <v>45965</v>
      </c>
      <c r="D116" t="inlineStr">
        <is>
          <t>VÄSTERNORRLANDS LÄN</t>
        </is>
      </c>
      <c r="E116" t="inlineStr">
        <is>
          <t>ÅNGE</t>
        </is>
      </c>
      <c r="F116" t="inlineStr">
        <is>
          <t>SCA</t>
        </is>
      </c>
      <c r="G116" t="n">
        <v>6.6</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HYPERLINK("https://klasma.github.io/Logging_2260/artfynd/A 46417-2025 artfynd.xlsx", "A 46417-2025")</f>
        <v/>
      </c>
      <c r="T116">
        <f>HYPERLINK("https://klasma.github.io/Logging_2260/kartor/A 46417-2025 karta.png", "A 46417-2025")</f>
        <v/>
      </c>
      <c r="V116">
        <f>HYPERLINK("https://klasma.github.io/Logging_2260/klagomål/A 46417-2025 FSC-klagomål.docx", "A 46417-2025")</f>
        <v/>
      </c>
      <c r="W116">
        <f>HYPERLINK("https://klasma.github.io/Logging_2260/klagomålsmail/A 46417-2025 FSC-klagomål mail.docx", "A 46417-2025")</f>
        <v/>
      </c>
      <c r="X116">
        <f>HYPERLINK("https://klasma.github.io/Logging_2260/tillsyn/A 46417-2025 tillsynsbegäran.docx", "A 46417-2025")</f>
        <v/>
      </c>
      <c r="Y116">
        <f>HYPERLINK("https://klasma.github.io/Logging_2260/tillsynsmail/A 46417-2025 tillsynsbegäran mail.docx", "A 46417-2025")</f>
        <v/>
      </c>
    </row>
    <row r="117" ht="15" customHeight="1">
      <c r="A117" t="inlineStr">
        <is>
          <t>A 29665-2024</t>
        </is>
      </c>
      <c r="B117" s="1" t="n">
        <v>45484</v>
      </c>
      <c r="C117" s="1" t="n">
        <v>45965</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29691-2024</t>
        </is>
      </c>
      <c r="B118" s="1" t="n">
        <v>45484.9446875</v>
      </c>
      <c r="C118" s="1" t="n">
        <v>45965</v>
      </c>
      <c r="D118" t="inlineStr">
        <is>
          <t>VÄSTERNORRLANDS LÄN</t>
        </is>
      </c>
      <c r="E118" t="inlineStr">
        <is>
          <t>ÅNGE</t>
        </is>
      </c>
      <c r="F118" t="inlineStr">
        <is>
          <t>SCA</t>
        </is>
      </c>
      <c r="G118" t="n">
        <v>6.8</v>
      </c>
      <c r="H118" t="n">
        <v>0</v>
      </c>
      <c r="I118" t="n">
        <v>1</v>
      </c>
      <c r="J118" t="n">
        <v>2</v>
      </c>
      <c r="K118" t="n">
        <v>0</v>
      </c>
      <c r="L118" t="n">
        <v>0</v>
      </c>
      <c r="M118" t="n">
        <v>0</v>
      </c>
      <c r="N118" t="n">
        <v>0</v>
      </c>
      <c r="O118" t="n">
        <v>2</v>
      </c>
      <c r="P118" t="n">
        <v>0</v>
      </c>
      <c r="Q118" t="n">
        <v>3</v>
      </c>
      <c r="R118" s="2" t="inlineStr">
        <is>
          <t>Lunglav
Rosenticka
Vedticka</t>
        </is>
      </c>
      <c r="S118">
        <f>HYPERLINK("https://klasma.github.io/Logging_2260/artfynd/A 29691-2024 artfynd.xlsx", "A 29691-2024")</f>
        <v/>
      </c>
      <c r="T118">
        <f>HYPERLINK("https://klasma.github.io/Logging_2260/kartor/A 29691-2024 karta.png", "A 29691-2024")</f>
        <v/>
      </c>
      <c r="V118">
        <f>HYPERLINK("https://klasma.github.io/Logging_2260/klagomål/A 29691-2024 FSC-klagomål.docx", "A 29691-2024")</f>
        <v/>
      </c>
      <c r="W118">
        <f>HYPERLINK("https://klasma.github.io/Logging_2260/klagomålsmail/A 29691-2024 FSC-klagomål mail.docx", "A 29691-2024")</f>
        <v/>
      </c>
      <c r="X118">
        <f>HYPERLINK("https://klasma.github.io/Logging_2260/tillsyn/A 29691-2024 tillsynsbegäran.docx", "A 29691-2024")</f>
        <v/>
      </c>
      <c r="Y118">
        <f>HYPERLINK("https://klasma.github.io/Logging_2260/tillsynsmail/A 29691-2024 tillsynsbegäran mail.docx", "A 29691-2024")</f>
        <v/>
      </c>
    </row>
    <row r="119" ht="15" customHeight="1">
      <c r="A119" t="inlineStr">
        <is>
          <t>A 28274-2023</t>
        </is>
      </c>
      <c r="B119" s="1" t="n">
        <v>45099</v>
      </c>
      <c r="C119" s="1" t="n">
        <v>45965</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39179-2024</t>
        </is>
      </c>
      <c r="B120" s="1" t="n">
        <v>45548.65703703704</v>
      </c>
      <c r="C120" s="1" t="n">
        <v>45965</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45965</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21267-2025</t>
        </is>
      </c>
      <c r="B122" s="1" t="n">
        <v>45779</v>
      </c>
      <c r="C122" s="1" t="n">
        <v>45965</v>
      </c>
      <c r="D122" t="inlineStr">
        <is>
          <t>VÄSTERNORRLANDS LÄN</t>
        </is>
      </c>
      <c r="E122" t="inlineStr">
        <is>
          <t>ÅNGE</t>
        </is>
      </c>
      <c r="F122" t="inlineStr">
        <is>
          <t>Sveaskog</t>
        </is>
      </c>
      <c r="G122" t="n">
        <v>3.7</v>
      </c>
      <c r="H122" t="n">
        <v>2</v>
      </c>
      <c r="I122" t="n">
        <v>2</v>
      </c>
      <c r="J122" t="n">
        <v>1</v>
      </c>
      <c r="K122" t="n">
        <v>0</v>
      </c>
      <c r="L122" t="n">
        <v>0</v>
      </c>
      <c r="M122" t="n">
        <v>0</v>
      </c>
      <c r="N122" t="n">
        <v>0</v>
      </c>
      <c r="O122" t="n">
        <v>1</v>
      </c>
      <c r="P122" t="n">
        <v>0</v>
      </c>
      <c r="Q122" t="n">
        <v>3</v>
      </c>
      <c r="R122" s="2" t="inlineStr">
        <is>
          <t>Lunglav
Korallrot
Spindelblomster</t>
        </is>
      </c>
      <c r="S122">
        <f>HYPERLINK("https://klasma.github.io/Logging_2260/artfynd/A 21267-2025 artfynd.xlsx", "A 21267-2025")</f>
        <v/>
      </c>
      <c r="T122">
        <f>HYPERLINK("https://klasma.github.io/Logging_2260/kartor/A 21267-2025 karta.png", "A 21267-2025")</f>
        <v/>
      </c>
      <c r="V122">
        <f>HYPERLINK("https://klasma.github.io/Logging_2260/klagomål/A 21267-2025 FSC-klagomål.docx", "A 21267-2025")</f>
        <v/>
      </c>
      <c r="W122">
        <f>HYPERLINK("https://klasma.github.io/Logging_2260/klagomålsmail/A 21267-2025 FSC-klagomål mail.docx", "A 21267-2025")</f>
        <v/>
      </c>
      <c r="X122">
        <f>HYPERLINK("https://klasma.github.io/Logging_2260/tillsyn/A 21267-2025 tillsynsbegäran.docx", "A 21267-2025")</f>
        <v/>
      </c>
      <c r="Y122">
        <f>HYPERLINK("https://klasma.github.io/Logging_2260/tillsynsmail/A 21267-2025 tillsynsbegäran mail.docx", "A 21267-2025")</f>
        <v/>
      </c>
    </row>
    <row r="123" ht="15" customHeight="1">
      <c r="A123" t="inlineStr">
        <is>
          <t>A 24795-2024</t>
        </is>
      </c>
      <c r="B123" s="1" t="n">
        <v>45460.95252314815</v>
      </c>
      <c r="C123" s="1" t="n">
        <v>45965</v>
      </c>
      <c r="D123" t="inlineStr">
        <is>
          <t>VÄSTERNORRLANDS LÄN</t>
        </is>
      </c>
      <c r="E123" t="inlineStr">
        <is>
          <t>ÅNGE</t>
        </is>
      </c>
      <c r="F123" t="inlineStr">
        <is>
          <t>SCA</t>
        </is>
      </c>
      <c r="G123" t="n">
        <v>2.2</v>
      </c>
      <c r="H123" t="n">
        <v>1</v>
      </c>
      <c r="I123" t="n">
        <v>2</v>
      </c>
      <c r="J123" t="n">
        <v>1</v>
      </c>
      <c r="K123" t="n">
        <v>0</v>
      </c>
      <c r="L123" t="n">
        <v>0</v>
      </c>
      <c r="M123" t="n">
        <v>0</v>
      </c>
      <c r="N123" t="n">
        <v>0</v>
      </c>
      <c r="O123" t="n">
        <v>1</v>
      </c>
      <c r="P123" t="n">
        <v>0</v>
      </c>
      <c r="Q123" t="n">
        <v>3</v>
      </c>
      <c r="R123" s="2" t="inlineStr">
        <is>
          <t>Lunglav
Plattlummer
Skinnlav</t>
        </is>
      </c>
      <c r="S123">
        <f>HYPERLINK("https://klasma.github.io/Logging_2260/artfynd/A 24795-2024 artfynd.xlsx", "A 24795-2024")</f>
        <v/>
      </c>
      <c r="T123">
        <f>HYPERLINK("https://klasma.github.io/Logging_2260/kartor/A 24795-2024 karta.png", "A 24795-2024")</f>
        <v/>
      </c>
      <c r="V123">
        <f>HYPERLINK("https://klasma.github.io/Logging_2260/klagomål/A 24795-2024 FSC-klagomål.docx", "A 24795-2024")</f>
        <v/>
      </c>
      <c r="W123">
        <f>HYPERLINK("https://klasma.github.io/Logging_2260/klagomålsmail/A 24795-2024 FSC-klagomål mail.docx", "A 24795-2024")</f>
        <v/>
      </c>
      <c r="X123">
        <f>HYPERLINK("https://klasma.github.io/Logging_2260/tillsyn/A 24795-2024 tillsynsbegäran.docx", "A 24795-2024")</f>
        <v/>
      </c>
      <c r="Y123">
        <f>HYPERLINK("https://klasma.github.io/Logging_2260/tillsynsmail/A 24795-2024 tillsynsbegäran mail.docx", "A 24795-2024")</f>
        <v/>
      </c>
    </row>
    <row r="124" ht="15" customHeight="1">
      <c r="A124" t="inlineStr">
        <is>
          <t>A 39029-2025</t>
        </is>
      </c>
      <c r="B124" s="1" t="n">
        <v>45888.40684027778</v>
      </c>
      <c r="C124" s="1" t="n">
        <v>45965</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47617-2024</t>
        </is>
      </c>
      <c r="B125" s="1" t="n">
        <v>45588.32125</v>
      </c>
      <c r="C125" s="1" t="n">
        <v>45965</v>
      </c>
      <c r="D125" t="inlineStr">
        <is>
          <t>VÄSTERNORRLANDS LÄN</t>
        </is>
      </c>
      <c r="E125" t="inlineStr">
        <is>
          <t>ÅNGE</t>
        </is>
      </c>
      <c r="F125" t="inlineStr">
        <is>
          <t>Holmen skog AB</t>
        </is>
      </c>
      <c r="G125" t="n">
        <v>8.300000000000001</v>
      </c>
      <c r="H125" t="n">
        <v>0</v>
      </c>
      <c r="I125" t="n">
        <v>0</v>
      </c>
      <c r="J125" t="n">
        <v>3</v>
      </c>
      <c r="K125" t="n">
        <v>0</v>
      </c>
      <c r="L125" t="n">
        <v>0</v>
      </c>
      <c r="M125" t="n">
        <v>0</v>
      </c>
      <c r="N125" t="n">
        <v>0</v>
      </c>
      <c r="O125" t="n">
        <v>3</v>
      </c>
      <c r="P125" t="n">
        <v>0</v>
      </c>
      <c r="Q125" t="n">
        <v>3</v>
      </c>
      <c r="R125" s="2" t="inlineStr">
        <is>
          <t>Granticka
Gränsticka
Lunglav</t>
        </is>
      </c>
      <c r="S125">
        <f>HYPERLINK("https://klasma.github.io/Logging_2260/artfynd/A 47617-2024 artfynd.xlsx", "A 47617-2024")</f>
        <v/>
      </c>
      <c r="T125">
        <f>HYPERLINK("https://klasma.github.io/Logging_2260/kartor/A 47617-2024 karta.png", "A 47617-2024")</f>
        <v/>
      </c>
      <c r="V125">
        <f>HYPERLINK("https://klasma.github.io/Logging_2260/klagomål/A 47617-2024 FSC-klagomål.docx", "A 47617-2024")</f>
        <v/>
      </c>
      <c r="W125">
        <f>HYPERLINK("https://klasma.github.io/Logging_2260/klagomålsmail/A 47617-2024 FSC-klagomål mail.docx", "A 47617-2024")</f>
        <v/>
      </c>
      <c r="X125">
        <f>HYPERLINK("https://klasma.github.io/Logging_2260/tillsyn/A 47617-2024 tillsynsbegäran.docx", "A 47617-2024")</f>
        <v/>
      </c>
      <c r="Y125">
        <f>HYPERLINK("https://klasma.github.io/Logging_2260/tillsynsmail/A 47617-2024 tillsynsbegäran mail.docx", "A 47617-2024")</f>
        <v/>
      </c>
    </row>
    <row r="126" ht="15" customHeight="1">
      <c r="A126" t="inlineStr">
        <is>
          <t>A 23754-2025</t>
        </is>
      </c>
      <c r="B126" s="1" t="n">
        <v>45793.45782407407</v>
      </c>
      <c r="C126" s="1" t="n">
        <v>45965</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23759-2025</t>
        </is>
      </c>
      <c r="B127" s="1" t="n">
        <v>45793.46409722222</v>
      </c>
      <c r="C127" s="1" t="n">
        <v>45965</v>
      </c>
      <c r="D127" t="inlineStr">
        <is>
          <t>VÄSTERNORRLANDS LÄN</t>
        </is>
      </c>
      <c r="E127" t="inlineStr">
        <is>
          <t>ÅNGE</t>
        </is>
      </c>
      <c r="F127" t="inlineStr">
        <is>
          <t>Sveaskog</t>
        </is>
      </c>
      <c r="G127" t="n">
        <v>5.2</v>
      </c>
      <c r="H127" t="n">
        <v>0</v>
      </c>
      <c r="I127" t="n">
        <v>1</v>
      </c>
      <c r="J127" t="n">
        <v>2</v>
      </c>
      <c r="K127" t="n">
        <v>0</v>
      </c>
      <c r="L127" t="n">
        <v>0</v>
      </c>
      <c r="M127" t="n">
        <v>0</v>
      </c>
      <c r="N127" t="n">
        <v>0</v>
      </c>
      <c r="O127" t="n">
        <v>2</v>
      </c>
      <c r="P127" t="n">
        <v>0</v>
      </c>
      <c r="Q127" t="n">
        <v>3</v>
      </c>
      <c r="R127" s="2" t="inlineStr">
        <is>
          <t>Lunglav
Skrovellav
Korallblylav</t>
        </is>
      </c>
      <c r="S127">
        <f>HYPERLINK("https://klasma.github.io/Logging_2260/artfynd/A 23759-2025 artfynd.xlsx", "A 23759-2025")</f>
        <v/>
      </c>
      <c r="T127">
        <f>HYPERLINK("https://klasma.github.io/Logging_2260/kartor/A 23759-2025 karta.png", "A 23759-2025")</f>
        <v/>
      </c>
      <c r="V127">
        <f>HYPERLINK("https://klasma.github.io/Logging_2260/klagomål/A 23759-2025 FSC-klagomål.docx", "A 23759-2025")</f>
        <v/>
      </c>
      <c r="W127">
        <f>HYPERLINK("https://klasma.github.io/Logging_2260/klagomålsmail/A 23759-2025 FSC-klagomål mail.docx", "A 23759-2025")</f>
        <v/>
      </c>
      <c r="X127">
        <f>HYPERLINK("https://klasma.github.io/Logging_2260/tillsyn/A 23759-2025 tillsynsbegäran.docx", "A 23759-2025")</f>
        <v/>
      </c>
      <c r="Y127">
        <f>HYPERLINK("https://klasma.github.io/Logging_2260/tillsynsmail/A 23759-2025 tillsynsbegäran mail.docx", "A 23759-2025")</f>
        <v/>
      </c>
    </row>
    <row r="128" ht="15" customHeight="1">
      <c r="A128" t="inlineStr">
        <is>
          <t>A 22996-2023</t>
        </is>
      </c>
      <c r="B128" s="1" t="n">
        <v>45072</v>
      </c>
      <c r="C128" s="1" t="n">
        <v>45965</v>
      </c>
      <c r="D128" t="inlineStr">
        <is>
          <t>VÄSTERNORRLANDS LÄN</t>
        </is>
      </c>
      <c r="E128" t="inlineStr">
        <is>
          <t>ÅNGE</t>
        </is>
      </c>
      <c r="F128" t="inlineStr">
        <is>
          <t>SCA</t>
        </is>
      </c>
      <c r="G128" t="n">
        <v>2.2</v>
      </c>
      <c r="H128" t="n">
        <v>1</v>
      </c>
      <c r="I128" t="n">
        <v>0</v>
      </c>
      <c r="J128" t="n">
        <v>2</v>
      </c>
      <c r="K128" t="n">
        <v>1</v>
      </c>
      <c r="L128" t="n">
        <v>0</v>
      </c>
      <c r="M128" t="n">
        <v>0</v>
      </c>
      <c r="N128" t="n">
        <v>0</v>
      </c>
      <c r="O128" t="n">
        <v>3</v>
      </c>
      <c r="P128" t="n">
        <v>1</v>
      </c>
      <c r="Q128" t="n">
        <v>3</v>
      </c>
      <c r="R128" s="2" t="inlineStr">
        <is>
          <t>Knärot
Garnlav
Vedtrappmossa</t>
        </is>
      </c>
      <c r="S128">
        <f>HYPERLINK("https://klasma.github.io/Logging_2260/artfynd/A 22996-2023 artfynd.xlsx", "A 22996-2023")</f>
        <v/>
      </c>
      <c r="T128">
        <f>HYPERLINK("https://klasma.github.io/Logging_2260/kartor/A 22996-2023 karta.png", "A 22996-2023")</f>
        <v/>
      </c>
      <c r="U128">
        <f>HYPERLINK("https://klasma.github.io/Logging_2260/knärot/A 22996-2023 karta knärot.png", "A 22996-2023")</f>
        <v/>
      </c>
      <c r="V128">
        <f>HYPERLINK("https://klasma.github.io/Logging_2260/klagomål/A 22996-2023 FSC-klagomål.docx", "A 22996-2023")</f>
        <v/>
      </c>
      <c r="W128">
        <f>HYPERLINK("https://klasma.github.io/Logging_2260/klagomålsmail/A 22996-2023 FSC-klagomål mail.docx", "A 22996-2023")</f>
        <v/>
      </c>
      <c r="X128">
        <f>HYPERLINK("https://klasma.github.io/Logging_2260/tillsyn/A 22996-2023 tillsynsbegäran.docx", "A 22996-2023")</f>
        <v/>
      </c>
      <c r="Y128">
        <f>HYPERLINK("https://klasma.github.io/Logging_2260/tillsynsmail/A 22996-2023 tillsynsbegäran mail.docx", "A 22996-2023")</f>
        <v/>
      </c>
    </row>
    <row r="129" ht="15" customHeight="1">
      <c r="A129" t="inlineStr">
        <is>
          <t>A 26679-2025</t>
        </is>
      </c>
      <c r="B129" s="1" t="n">
        <v>45810</v>
      </c>
      <c r="C129" s="1" t="n">
        <v>45965</v>
      </c>
      <c r="D129" t="inlineStr">
        <is>
          <t>VÄSTERNORRLANDS LÄN</t>
        </is>
      </c>
      <c r="E129" t="inlineStr">
        <is>
          <t>ÅNGE</t>
        </is>
      </c>
      <c r="F129" t="inlineStr">
        <is>
          <t>SCA</t>
        </is>
      </c>
      <c r="G129" t="n">
        <v>5.9</v>
      </c>
      <c r="H129" t="n">
        <v>0</v>
      </c>
      <c r="I129" t="n">
        <v>1</v>
      </c>
      <c r="J129" t="n">
        <v>2</v>
      </c>
      <c r="K129" t="n">
        <v>0</v>
      </c>
      <c r="L129" t="n">
        <v>0</v>
      </c>
      <c r="M129" t="n">
        <v>0</v>
      </c>
      <c r="N129" t="n">
        <v>0</v>
      </c>
      <c r="O129" t="n">
        <v>2</v>
      </c>
      <c r="P129" t="n">
        <v>0</v>
      </c>
      <c r="Q129" t="n">
        <v>3</v>
      </c>
      <c r="R129" s="2" t="inlineStr">
        <is>
          <t>Garnlav
Lunglav
Rödgul trumpetsvamp</t>
        </is>
      </c>
      <c r="S129">
        <f>HYPERLINK("https://klasma.github.io/Logging_2260/artfynd/A 26679-2025 artfynd.xlsx", "A 26679-2025")</f>
        <v/>
      </c>
      <c r="T129">
        <f>HYPERLINK("https://klasma.github.io/Logging_2260/kartor/A 26679-2025 karta.png", "A 26679-2025")</f>
        <v/>
      </c>
      <c r="V129">
        <f>HYPERLINK("https://klasma.github.io/Logging_2260/klagomål/A 26679-2025 FSC-klagomål.docx", "A 26679-2025")</f>
        <v/>
      </c>
      <c r="W129">
        <f>HYPERLINK("https://klasma.github.io/Logging_2260/klagomålsmail/A 26679-2025 FSC-klagomål mail.docx", "A 26679-2025")</f>
        <v/>
      </c>
      <c r="X129">
        <f>HYPERLINK("https://klasma.github.io/Logging_2260/tillsyn/A 26679-2025 tillsynsbegäran.docx", "A 26679-2025")</f>
        <v/>
      </c>
      <c r="Y129">
        <f>HYPERLINK("https://klasma.github.io/Logging_2260/tillsynsmail/A 26679-2025 tillsynsbegäran mail.docx", "A 26679-2025")</f>
        <v/>
      </c>
    </row>
    <row r="130" ht="15" customHeight="1">
      <c r="A130" t="inlineStr">
        <is>
          <t>A 16307-2025</t>
        </is>
      </c>
      <c r="B130" s="1" t="n">
        <v>45751.34686342593</v>
      </c>
      <c r="C130" s="1" t="n">
        <v>45965</v>
      </c>
      <c r="D130" t="inlineStr">
        <is>
          <t>VÄSTERNORRLANDS LÄN</t>
        </is>
      </c>
      <c r="E130" t="inlineStr">
        <is>
          <t>ÅNGE</t>
        </is>
      </c>
      <c r="F130" t="inlineStr">
        <is>
          <t>SCA</t>
        </is>
      </c>
      <c r="G130" t="n">
        <v>12.3</v>
      </c>
      <c r="H130" t="n">
        <v>1</v>
      </c>
      <c r="I130" t="n">
        <v>2</v>
      </c>
      <c r="J130" t="n">
        <v>0</v>
      </c>
      <c r="K130" t="n">
        <v>0</v>
      </c>
      <c r="L130" t="n">
        <v>0</v>
      </c>
      <c r="M130" t="n">
        <v>0</v>
      </c>
      <c r="N130" t="n">
        <v>0</v>
      </c>
      <c r="O130" t="n">
        <v>0</v>
      </c>
      <c r="P130" t="n">
        <v>0</v>
      </c>
      <c r="Q130" t="n">
        <v>3</v>
      </c>
      <c r="R130" s="2" t="inlineStr">
        <is>
          <t>Stor aspticka
Vårärt
Blåsippa</t>
        </is>
      </c>
      <c r="S130">
        <f>HYPERLINK("https://klasma.github.io/Logging_2260/artfynd/A 16307-2025 artfynd.xlsx", "A 16307-2025")</f>
        <v/>
      </c>
      <c r="T130">
        <f>HYPERLINK("https://klasma.github.io/Logging_2260/kartor/A 16307-2025 karta.png", "A 16307-2025")</f>
        <v/>
      </c>
      <c r="V130">
        <f>HYPERLINK("https://klasma.github.io/Logging_2260/klagomål/A 16307-2025 FSC-klagomål.docx", "A 16307-2025")</f>
        <v/>
      </c>
      <c r="W130">
        <f>HYPERLINK("https://klasma.github.io/Logging_2260/klagomålsmail/A 16307-2025 FSC-klagomål mail.docx", "A 16307-2025")</f>
        <v/>
      </c>
      <c r="X130">
        <f>HYPERLINK("https://klasma.github.io/Logging_2260/tillsyn/A 16307-2025 tillsynsbegäran.docx", "A 16307-2025")</f>
        <v/>
      </c>
      <c r="Y130">
        <f>HYPERLINK("https://klasma.github.io/Logging_2260/tillsynsmail/A 16307-2025 tillsynsbegäran mail.docx", "A 16307-2025")</f>
        <v/>
      </c>
    </row>
    <row r="131" ht="15" customHeight="1">
      <c r="A131" t="inlineStr">
        <is>
          <t>A 31212-2025</t>
        </is>
      </c>
      <c r="B131" s="1" t="n">
        <v>45832.71978009259</v>
      </c>
      <c r="C131" s="1" t="n">
        <v>45965</v>
      </c>
      <c r="D131" t="inlineStr">
        <is>
          <t>VÄSTERNORRLANDS LÄN</t>
        </is>
      </c>
      <c r="E131" t="inlineStr">
        <is>
          <t>ÅNGE</t>
        </is>
      </c>
      <c r="F131" t="inlineStr">
        <is>
          <t>SCA</t>
        </is>
      </c>
      <c r="G131" t="n">
        <v>1.6</v>
      </c>
      <c r="H131" t="n">
        <v>0</v>
      </c>
      <c r="I131" t="n">
        <v>2</v>
      </c>
      <c r="J131" t="n">
        <v>1</v>
      </c>
      <c r="K131" t="n">
        <v>0</v>
      </c>
      <c r="L131" t="n">
        <v>0</v>
      </c>
      <c r="M131" t="n">
        <v>0</v>
      </c>
      <c r="N131" t="n">
        <v>0</v>
      </c>
      <c r="O131" t="n">
        <v>1</v>
      </c>
      <c r="P131" t="n">
        <v>0</v>
      </c>
      <c r="Q131" t="n">
        <v>3</v>
      </c>
      <c r="R131" s="2" t="inlineStr">
        <is>
          <t>Ullticka
Barkticka
Korallblylav</t>
        </is>
      </c>
      <c r="S131">
        <f>HYPERLINK("https://klasma.github.io/Logging_2260/artfynd/A 31212-2025 artfynd.xlsx", "A 31212-2025")</f>
        <v/>
      </c>
      <c r="T131">
        <f>HYPERLINK("https://klasma.github.io/Logging_2260/kartor/A 31212-2025 karta.png", "A 31212-2025")</f>
        <v/>
      </c>
      <c r="V131">
        <f>HYPERLINK("https://klasma.github.io/Logging_2260/klagomål/A 31212-2025 FSC-klagomål.docx", "A 31212-2025")</f>
        <v/>
      </c>
      <c r="W131">
        <f>HYPERLINK("https://klasma.github.io/Logging_2260/klagomålsmail/A 31212-2025 FSC-klagomål mail.docx", "A 31212-2025")</f>
        <v/>
      </c>
      <c r="X131">
        <f>HYPERLINK("https://klasma.github.io/Logging_2260/tillsyn/A 31212-2025 tillsynsbegäran.docx", "A 31212-2025")</f>
        <v/>
      </c>
      <c r="Y131">
        <f>HYPERLINK("https://klasma.github.io/Logging_2260/tillsynsmail/A 31212-2025 tillsynsbegäran mail.docx", "A 31212-2025")</f>
        <v/>
      </c>
    </row>
    <row r="132" ht="15" customHeight="1">
      <c r="A132" t="inlineStr">
        <is>
          <t>A 49530-2025</t>
        </is>
      </c>
      <c r="B132" s="1" t="n">
        <v>45939.40700231482</v>
      </c>
      <c r="C132" s="1" t="n">
        <v>45965</v>
      </c>
      <c r="D132" t="inlineStr">
        <is>
          <t>VÄSTERNORRLANDS LÄN</t>
        </is>
      </c>
      <c r="E132" t="inlineStr">
        <is>
          <t>ÅNGE</t>
        </is>
      </c>
      <c r="F132" t="inlineStr">
        <is>
          <t>SCA</t>
        </is>
      </c>
      <c r="G132" t="n">
        <v>5.1</v>
      </c>
      <c r="H132" t="n">
        <v>1</v>
      </c>
      <c r="I132" t="n">
        <v>1</v>
      </c>
      <c r="J132" t="n">
        <v>1</v>
      </c>
      <c r="K132" t="n">
        <v>0</v>
      </c>
      <c r="L132" t="n">
        <v>0</v>
      </c>
      <c r="M132" t="n">
        <v>0</v>
      </c>
      <c r="N132" t="n">
        <v>0</v>
      </c>
      <c r="O132" t="n">
        <v>1</v>
      </c>
      <c r="P132" t="n">
        <v>0</v>
      </c>
      <c r="Q132" t="n">
        <v>3</v>
      </c>
      <c r="R132" s="2" t="inlineStr">
        <is>
          <t>Lunglav
Strutbräken
Revlummer</t>
        </is>
      </c>
      <c r="S132">
        <f>HYPERLINK("https://klasma.github.io/Logging_2260/artfynd/A 49530-2025 artfynd.xlsx", "A 49530-2025")</f>
        <v/>
      </c>
      <c r="T132">
        <f>HYPERLINK("https://klasma.github.io/Logging_2260/kartor/A 49530-2025 karta.png", "A 49530-2025")</f>
        <v/>
      </c>
      <c r="V132">
        <f>HYPERLINK("https://klasma.github.io/Logging_2260/klagomål/A 49530-2025 FSC-klagomål.docx", "A 49530-2025")</f>
        <v/>
      </c>
      <c r="W132">
        <f>HYPERLINK("https://klasma.github.io/Logging_2260/klagomålsmail/A 49530-2025 FSC-klagomål mail.docx", "A 49530-2025")</f>
        <v/>
      </c>
      <c r="X132">
        <f>HYPERLINK("https://klasma.github.io/Logging_2260/tillsyn/A 49530-2025 tillsynsbegäran.docx", "A 49530-2025")</f>
        <v/>
      </c>
      <c r="Y132">
        <f>HYPERLINK("https://klasma.github.io/Logging_2260/tillsynsmail/A 49530-2025 tillsynsbegäran mail.docx", "A 49530-2025")</f>
        <v/>
      </c>
    </row>
    <row r="133" ht="15" customHeight="1">
      <c r="A133" t="inlineStr">
        <is>
          <t>A 33806-2025</t>
        </is>
      </c>
      <c r="B133" s="1" t="n">
        <v>45842.44865740741</v>
      </c>
      <c r="C133" s="1" t="n">
        <v>45965</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50259-2025</t>
        </is>
      </c>
      <c r="B134" s="1" t="n">
        <v>45944.34498842592</v>
      </c>
      <c r="C134" s="1" t="n">
        <v>45965</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7533-2023</t>
        </is>
      </c>
      <c r="B135" s="1" t="n">
        <v>44971</v>
      </c>
      <c r="C135" s="1" t="n">
        <v>45965</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37184-2025</t>
        </is>
      </c>
      <c r="B136" s="1" t="n">
        <v>45875.63591435185</v>
      </c>
      <c r="C136" s="1" t="n">
        <v>45965</v>
      </c>
      <c r="D136" t="inlineStr">
        <is>
          <t>VÄSTERNORRLANDS LÄN</t>
        </is>
      </c>
      <c r="E136" t="inlineStr">
        <is>
          <t>ÅNGE</t>
        </is>
      </c>
      <c r="F136" t="inlineStr">
        <is>
          <t>SCA</t>
        </is>
      </c>
      <c r="G136" t="n">
        <v>2.5</v>
      </c>
      <c r="H136" t="n">
        <v>0</v>
      </c>
      <c r="I136" t="n">
        <v>0</v>
      </c>
      <c r="J136" t="n">
        <v>3</v>
      </c>
      <c r="K136" t="n">
        <v>0</v>
      </c>
      <c r="L136" t="n">
        <v>0</v>
      </c>
      <c r="M136" t="n">
        <v>0</v>
      </c>
      <c r="N136" t="n">
        <v>0</v>
      </c>
      <c r="O136" t="n">
        <v>3</v>
      </c>
      <c r="P136" t="n">
        <v>0</v>
      </c>
      <c r="Q136" t="n">
        <v>3</v>
      </c>
      <c r="R136" s="2" t="inlineStr">
        <is>
          <t>Granticka
Lunglav
Rosenticka</t>
        </is>
      </c>
      <c r="S136">
        <f>HYPERLINK("https://klasma.github.io/Logging_2260/artfynd/A 37184-2025 artfynd.xlsx", "A 37184-2025")</f>
        <v/>
      </c>
      <c r="T136">
        <f>HYPERLINK("https://klasma.github.io/Logging_2260/kartor/A 37184-2025 karta.png", "A 37184-2025")</f>
        <v/>
      </c>
      <c r="V136">
        <f>HYPERLINK("https://klasma.github.io/Logging_2260/klagomål/A 37184-2025 FSC-klagomål.docx", "A 37184-2025")</f>
        <v/>
      </c>
      <c r="W136">
        <f>HYPERLINK("https://klasma.github.io/Logging_2260/klagomålsmail/A 37184-2025 FSC-klagomål mail.docx", "A 37184-2025")</f>
        <v/>
      </c>
      <c r="X136">
        <f>HYPERLINK("https://klasma.github.io/Logging_2260/tillsyn/A 37184-2025 tillsynsbegäran.docx", "A 37184-2025")</f>
        <v/>
      </c>
      <c r="Y136">
        <f>HYPERLINK("https://klasma.github.io/Logging_2260/tillsynsmail/A 37184-2025 tillsynsbegäran mail.docx", "A 37184-2025")</f>
        <v/>
      </c>
    </row>
    <row r="137" ht="15" customHeight="1">
      <c r="A137" t="inlineStr">
        <is>
          <t>A 41868-2025</t>
        </is>
      </c>
      <c r="B137" s="1" t="n">
        <v>45903.34429398148</v>
      </c>
      <c r="C137" s="1" t="n">
        <v>45965</v>
      </c>
      <c r="D137" t="inlineStr">
        <is>
          <t>VÄSTERNORRLANDS LÄN</t>
        </is>
      </c>
      <c r="E137" t="inlineStr">
        <is>
          <t>ÅNGE</t>
        </is>
      </c>
      <c r="F137" t="inlineStr">
        <is>
          <t>SCA</t>
        </is>
      </c>
      <c r="G137" t="n">
        <v>5.4</v>
      </c>
      <c r="H137" t="n">
        <v>2</v>
      </c>
      <c r="I137" t="n">
        <v>1</v>
      </c>
      <c r="J137" t="n">
        <v>1</v>
      </c>
      <c r="K137" t="n">
        <v>0</v>
      </c>
      <c r="L137" t="n">
        <v>0</v>
      </c>
      <c r="M137" t="n">
        <v>0</v>
      </c>
      <c r="N137" t="n">
        <v>0</v>
      </c>
      <c r="O137" t="n">
        <v>1</v>
      </c>
      <c r="P137" t="n">
        <v>0</v>
      </c>
      <c r="Q137" t="n">
        <v>3</v>
      </c>
      <c r="R137" s="2" t="inlineStr">
        <is>
          <t>Garnlav
Spindelblomster
Revlummer</t>
        </is>
      </c>
      <c r="S137">
        <f>HYPERLINK("https://klasma.github.io/Logging_2260/artfynd/A 41868-2025 artfynd.xlsx", "A 41868-2025")</f>
        <v/>
      </c>
      <c r="T137">
        <f>HYPERLINK("https://klasma.github.io/Logging_2260/kartor/A 41868-2025 karta.png", "A 41868-2025")</f>
        <v/>
      </c>
      <c r="V137">
        <f>HYPERLINK("https://klasma.github.io/Logging_2260/klagomål/A 41868-2025 FSC-klagomål.docx", "A 41868-2025")</f>
        <v/>
      </c>
      <c r="W137">
        <f>HYPERLINK("https://klasma.github.io/Logging_2260/klagomålsmail/A 41868-2025 FSC-klagomål mail.docx", "A 41868-2025")</f>
        <v/>
      </c>
      <c r="X137">
        <f>HYPERLINK("https://klasma.github.io/Logging_2260/tillsyn/A 41868-2025 tillsynsbegäran.docx", "A 41868-2025")</f>
        <v/>
      </c>
      <c r="Y137">
        <f>HYPERLINK("https://klasma.github.io/Logging_2260/tillsynsmail/A 41868-2025 tillsynsbegäran mail.docx", "A 41868-2025")</f>
        <v/>
      </c>
    </row>
    <row r="138" ht="15" customHeight="1">
      <c r="A138" t="inlineStr">
        <is>
          <t>A 43319-2025</t>
        </is>
      </c>
      <c r="B138" s="1" t="n">
        <v>45910.65681712963</v>
      </c>
      <c r="C138" s="1" t="n">
        <v>45965</v>
      </c>
      <c r="D138" t="inlineStr">
        <is>
          <t>VÄSTERNORRLANDS LÄN</t>
        </is>
      </c>
      <c r="E138" t="inlineStr">
        <is>
          <t>ÅNGE</t>
        </is>
      </c>
      <c r="F138" t="inlineStr">
        <is>
          <t>SCA</t>
        </is>
      </c>
      <c r="G138" t="n">
        <v>6.6</v>
      </c>
      <c r="H138" t="n">
        <v>0</v>
      </c>
      <c r="I138" t="n">
        <v>1</v>
      </c>
      <c r="J138" t="n">
        <v>2</v>
      </c>
      <c r="K138" t="n">
        <v>0</v>
      </c>
      <c r="L138" t="n">
        <v>0</v>
      </c>
      <c r="M138" t="n">
        <v>0</v>
      </c>
      <c r="N138" t="n">
        <v>0</v>
      </c>
      <c r="O138" t="n">
        <v>2</v>
      </c>
      <c r="P138" t="n">
        <v>0</v>
      </c>
      <c r="Q138" t="n">
        <v>3</v>
      </c>
      <c r="R138" s="2" t="inlineStr">
        <is>
          <t>Ullticka
Violettgrå tagellav
Korallblylav</t>
        </is>
      </c>
      <c r="S138">
        <f>HYPERLINK("https://klasma.github.io/Logging_2260/artfynd/A 43319-2025 artfynd.xlsx", "A 43319-2025")</f>
        <v/>
      </c>
      <c r="T138">
        <f>HYPERLINK("https://klasma.github.io/Logging_2260/kartor/A 43319-2025 karta.png", "A 43319-2025")</f>
        <v/>
      </c>
      <c r="V138">
        <f>HYPERLINK("https://klasma.github.io/Logging_2260/klagomål/A 43319-2025 FSC-klagomål.docx", "A 43319-2025")</f>
        <v/>
      </c>
      <c r="W138">
        <f>HYPERLINK("https://klasma.github.io/Logging_2260/klagomålsmail/A 43319-2025 FSC-klagomål mail.docx", "A 43319-2025")</f>
        <v/>
      </c>
      <c r="X138">
        <f>HYPERLINK("https://klasma.github.io/Logging_2260/tillsyn/A 43319-2025 tillsynsbegäran.docx", "A 43319-2025")</f>
        <v/>
      </c>
      <c r="Y138">
        <f>HYPERLINK("https://klasma.github.io/Logging_2260/tillsynsmail/A 43319-2025 tillsynsbegäran mail.docx", "A 43319-2025")</f>
        <v/>
      </c>
    </row>
    <row r="139" ht="15" customHeight="1">
      <c r="A139" t="inlineStr">
        <is>
          <t>A 53710-2025</t>
        </is>
      </c>
      <c r="B139" s="1" t="n">
        <v>45960.6153125</v>
      </c>
      <c r="C139" s="1" t="n">
        <v>45965</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43880-2025</t>
        </is>
      </c>
      <c r="B140" s="1" t="n">
        <v>45912</v>
      </c>
      <c r="C140" s="1" t="n">
        <v>45965</v>
      </c>
      <c r="D140" t="inlineStr">
        <is>
          <t>VÄSTERNORRLANDS LÄN</t>
        </is>
      </c>
      <c r="E140" t="inlineStr">
        <is>
          <t>ÅNGE</t>
        </is>
      </c>
      <c r="F140" t="inlineStr">
        <is>
          <t>SCA</t>
        </is>
      </c>
      <c r="G140" t="n">
        <v>3.5</v>
      </c>
      <c r="H140" t="n">
        <v>1</v>
      </c>
      <c r="I140" t="n">
        <v>0</v>
      </c>
      <c r="J140" t="n">
        <v>3</v>
      </c>
      <c r="K140" t="n">
        <v>0</v>
      </c>
      <c r="L140" t="n">
        <v>0</v>
      </c>
      <c r="M140" t="n">
        <v>0</v>
      </c>
      <c r="N140" t="n">
        <v>0</v>
      </c>
      <c r="O140" t="n">
        <v>3</v>
      </c>
      <c r="P140" t="n">
        <v>0</v>
      </c>
      <c r="Q140" t="n">
        <v>3</v>
      </c>
      <c r="R140" s="2" t="inlineStr">
        <is>
          <t>Granticka
Tretåig hackspett
Vitgrynig nållav</t>
        </is>
      </c>
      <c r="S140">
        <f>HYPERLINK("https://klasma.github.io/Logging_2260/artfynd/A 43880-2025 artfynd.xlsx", "A 43880-2025")</f>
        <v/>
      </c>
      <c r="T140">
        <f>HYPERLINK("https://klasma.github.io/Logging_2260/kartor/A 43880-2025 karta.png", "A 43880-2025")</f>
        <v/>
      </c>
      <c r="V140">
        <f>HYPERLINK("https://klasma.github.io/Logging_2260/klagomål/A 43880-2025 FSC-klagomål.docx", "A 43880-2025")</f>
        <v/>
      </c>
      <c r="W140">
        <f>HYPERLINK("https://klasma.github.io/Logging_2260/klagomålsmail/A 43880-2025 FSC-klagomål mail.docx", "A 43880-2025")</f>
        <v/>
      </c>
      <c r="X140">
        <f>HYPERLINK("https://klasma.github.io/Logging_2260/tillsyn/A 43880-2025 tillsynsbegäran.docx", "A 43880-2025")</f>
        <v/>
      </c>
      <c r="Y140">
        <f>HYPERLINK("https://klasma.github.io/Logging_2260/tillsynsmail/A 43880-2025 tillsynsbegäran mail.docx", "A 43880-2025")</f>
        <v/>
      </c>
      <c r="Z140">
        <f>HYPERLINK("https://klasma.github.io/Logging_2260/fåglar/A 43880-2025 prioriterade fågelarter.docx", "A 43880-2025")</f>
        <v/>
      </c>
    </row>
    <row r="141" ht="15" customHeight="1">
      <c r="A141" t="inlineStr">
        <is>
          <t>A 36635-2021</t>
        </is>
      </c>
      <c r="B141" s="1" t="n">
        <v>44391</v>
      </c>
      <c r="C141" s="1" t="n">
        <v>45965</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45965</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45965</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45965</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45965</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45965</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45965</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4873-2025</t>
        </is>
      </c>
      <c r="B148" s="1" t="n">
        <v>45688.67633101852</v>
      </c>
      <c r="C148" s="1" t="n">
        <v>45965</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4873-2025 artfynd.xlsx", "A 4873-2025")</f>
        <v/>
      </c>
      <c r="T148">
        <f>HYPERLINK("https://klasma.github.io/Logging_2260/kartor/A 4873-2025 karta.png", "A 4873-2025")</f>
        <v/>
      </c>
      <c r="V148">
        <f>HYPERLINK("https://klasma.github.io/Logging_2260/klagomål/A 4873-2025 FSC-klagomål.docx", "A 4873-2025")</f>
        <v/>
      </c>
      <c r="W148">
        <f>HYPERLINK("https://klasma.github.io/Logging_2260/klagomålsmail/A 4873-2025 FSC-klagomål mail.docx", "A 4873-2025")</f>
        <v/>
      </c>
      <c r="X148">
        <f>HYPERLINK("https://klasma.github.io/Logging_2260/tillsyn/A 4873-2025 tillsynsbegäran.docx", "A 4873-2025")</f>
        <v/>
      </c>
      <c r="Y148">
        <f>HYPERLINK("https://klasma.github.io/Logging_2260/tillsynsmail/A 4873-2025 tillsynsbegäran mail.docx", "A 4873-2025")</f>
        <v/>
      </c>
    </row>
    <row r="149" ht="15" customHeight="1">
      <c r="A149" t="inlineStr">
        <is>
          <t>A 38298-2025</t>
        </is>
      </c>
      <c r="B149" s="1" t="n">
        <v>45883.4568287037</v>
      </c>
      <c r="C149" s="1" t="n">
        <v>45965</v>
      </c>
      <c r="D149" t="inlineStr">
        <is>
          <t>VÄSTERNORRLANDS LÄN</t>
        </is>
      </c>
      <c r="E149" t="inlineStr">
        <is>
          <t>ÅNGE</t>
        </is>
      </c>
      <c r="G149" t="n">
        <v>4.5</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38298-2025 artfynd.xlsx", "A 38298-2025")</f>
        <v/>
      </c>
      <c r="T149">
        <f>HYPERLINK("https://klasma.github.io/Logging_2260/kartor/A 38298-2025 karta.png", "A 38298-2025")</f>
        <v/>
      </c>
      <c r="V149">
        <f>HYPERLINK("https://klasma.github.io/Logging_2260/klagomål/A 38298-2025 FSC-klagomål.docx", "A 38298-2025")</f>
        <v/>
      </c>
      <c r="W149">
        <f>HYPERLINK("https://klasma.github.io/Logging_2260/klagomålsmail/A 38298-2025 FSC-klagomål mail.docx", "A 38298-2025")</f>
        <v/>
      </c>
      <c r="X149">
        <f>HYPERLINK("https://klasma.github.io/Logging_2260/tillsyn/A 38298-2025 tillsynsbegäran.docx", "A 38298-2025")</f>
        <v/>
      </c>
      <c r="Y149">
        <f>HYPERLINK("https://klasma.github.io/Logging_2260/tillsynsmail/A 38298-2025 tillsynsbegäran mail.docx", "A 38298-2025")</f>
        <v/>
      </c>
    </row>
    <row r="150" ht="15" customHeight="1">
      <c r="A150" t="inlineStr">
        <is>
          <t>A 18081-2025</t>
        </is>
      </c>
      <c r="B150" s="1" t="n">
        <v>45761.51086805556</v>
      </c>
      <c r="C150" s="1" t="n">
        <v>45965</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48374-2024</t>
        </is>
      </c>
      <c r="B151" s="1" t="n">
        <v>45590.58028935185</v>
      </c>
      <c r="C151" s="1" t="n">
        <v>45965</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29325-2023</t>
        </is>
      </c>
      <c r="B152" s="1" t="n">
        <v>45105</v>
      </c>
      <c r="C152" s="1" t="n">
        <v>45965</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48695-2024</t>
        </is>
      </c>
      <c r="B153" s="1" t="n">
        <v>45593.5109837963</v>
      </c>
      <c r="C153" s="1" t="n">
        <v>45965</v>
      </c>
      <c r="D153" t="inlineStr">
        <is>
          <t>VÄSTERNORRLANDS LÄN</t>
        </is>
      </c>
      <c r="E153" t="inlineStr">
        <is>
          <t>ÅNGE</t>
        </is>
      </c>
      <c r="F153" t="inlineStr">
        <is>
          <t>SCA</t>
        </is>
      </c>
      <c r="G153" t="n">
        <v>1.2</v>
      </c>
      <c r="H153" t="n">
        <v>0</v>
      </c>
      <c r="I153" t="n">
        <v>0</v>
      </c>
      <c r="J153" t="n">
        <v>2</v>
      </c>
      <c r="K153" t="n">
        <v>0</v>
      </c>
      <c r="L153" t="n">
        <v>0</v>
      </c>
      <c r="M153" t="n">
        <v>0</v>
      </c>
      <c r="N153" t="n">
        <v>0</v>
      </c>
      <c r="O153" t="n">
        <v>2</v>
      </c>
      <c r="P153" t="n">
        <v>0</v>
      </c>
      <c r="Q153" t="n">
        <v>2</v>
      </c>
      <c r="R153" s="2" t="inlineStr">
        <is>
          <t>Lunglav
Ullticka</t>
        </is>
      </c>
      <c r="S153">
        <f>HYPERLINK("https://klasma.github.io/Logging_2260/artfynd/A 48695-2024 artfynd.xlsx", "A 48695-2024")</f>
        <v/>
      </c>
      <c r="T153">
        <f>HYPERLINK("https://klasma.github.io/Logging_2260/kartor/A 48695-2024 karta.png", "A 48695-2024")</f>
        <v/>
      </c>
      <c r="V153">
        <f>HYPERLINK("https://klasma.github.io/Logging_2260/klagomål/A 48695-2024 FSC-klagomål.docx", "A 48695-2024")</f>
        <v/>
      </c>
      <c r="W153">
        <f>HYPERLINK("https://klasma.github.io/Logging_2260/klagomålsmail/A 48695-2024 FSC-klagomål mail.docx", "A 48695-2024")</f>
        <v/>
      </c>
      <c r="X153">
        <f>HYPERLINK("https://klasma.github.io/Logging_2260/tillsyn/A 48695-2024 tillsynsbegäran.docx", "A 48695-2024")</f>
        <v/>
      </c>
      <c r="Y153">
        <f>HYPERLINK("https://klasma.github.io/Logging_2260/tillsynsmail/A 48695-2024 tillsynsbegäran mail.docx", "A 48695-2024")</f>
        <v/>
      </c>
    </row>
    <row r="154" ht="15" customHeight="1">
      <c r="A154" t="inlineStr">
        <is>
          <t>A 49871-2024</t>
        </is>
      </c>
      <c r="B154" s="1" t="n">
        <v>45597.4903125</v>
      </c>
      <c r="C154" s="1" t="n">
        <v>45965</v>
      </c>
      <c r="D154" t="inlineStr">
        <is>
          <t>VÄSTERNORRLANDS LÄN</t>
        </is>
      </c>
      <c r="E154" t="inlineStr">
        <is>
          <t>ÅNGE</t>
        </is>
      </c>
      <c r="F154" t="inlineStr">
        <is>
          <t>SCA</t>
        </is>
      </c>
      <c r="G154" t="n">
        <v>6.3</v>
      </c>
      <c r="H154" t="n">
        <v>1</v>
      </c>
      <c r="I154" t="n">
        <v>0</v>
      </c>
      <c r="J154" t="n">
        <v>1</v>
      </c>
      <c r="K154" t="n">
        <v>1</v>
      </c>
      <c r="L154" t="n">
        <v>0</v>
      </c>
      <c r="M154" t="n">
        <v>0</v>
      </c>
      <c r="N154" t="n">
        <v>0</v>
      </c>
      <c r="O154" t="n">
        <v>2</v>
      </c>
      <c r="P154" t="n">
        <v>1</v>
      </c>
      <c r="Q154" t="n">
        <v>2</v>
      </c>
      <c r="R154" s="2" t="inlineStr">
        <is>
          <t>Knärot
Garnlav</t>
        </is>
      </c>
      <c r="S154">
        <f>HYPERLINK("https://klasma.github.io/Logging_2260/artfynd/A 49871-2024 artfynd.xlsx", "A 49871-2024")</f>
        <v/>
      </c>
      <c r="T154">
        <f>HYPERLINK("https://klasma.github.io/Logging_2260/kartor/A 49871-2024 karta.png", "A 49871-2024")</f>
        <v/>
      </c>
      <c r="U154">
        <f>HYPERLINK("https://klasma.github.io/Logging_2260/knärot/A 49871-2024 karta knärot.png", "A 49871-2024")</f>
        <v/>
      </c>
      <c r="V154">
        <f>HYPERLINK("https://klasma.github.io/Logging_2260/klagomål/A 49871-2024 FSC-klagomål.docx", "A 49871-2024")</f>
        <v/>
      </c>
      <c r="W154">
        <f>HYPERLINK("https://klasma.github.io/Logging_2260/klagomålsmail/A 49871-2024 FSC-klagomål mail.docx", "A 49871-2024")</f>
        <v/>
      </c>
      <c r="X154">
        <f>HYPERLINK("https://klasma.github.io/Logging_2260/tillsyn/A 49871-2024 tillsynsbegäran.docx", "A 49871-2024")</f>
        <v/>
      </c>
      <c r="Y154">
        <f>HYPERLINK("https://klasma.github.io/Logging_2260/tillsynsmail/A 49871-2024 tillsynsbegäran mail.docx", "A 49871-2024")</f>
        <v/>
      </c>
    </row>
    <row r="155" ht="15" customHeight="1">
      <c r="A155" t="inlineStr">
        <is>
          <t>A 4093-2025</t>
        </is>
      </c>
      <c r="B155" s="1" t="n">
        <v>45684.67762731481</v>
      </c>
      <c r="C155" s="1" t="n">
        <v>45965</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8324-2025</t>
        </is>
      </c>
      <c r="B156" s="1" t="n">
        <v>45708.63621527778</v>
      </c>
      <c r="C156" s="1" t="n">
        <v>45965</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25034-2024</t>
        </is>
      </c>
      <c r="B157" s="1" t="n">
        <v>45461.96458333333</v>
      </c>
      <c r="C157" s="1" t="n">
        <v>45965</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21453-2025</t>
        </is>
      </c>
      <c r="B158" s="1" t="n">
        <v>45782.55311342593</v>
      </c>
      <c r="C158" s="1" t="n">
        <v>45965</v>
      </c>
      <c r="D158" t="inlineStr">
        <is>
          <t>VÄSTERNORRLANDS LÄN</t>
        </is>
      </c>
      <c r="E158" t="inlineStr">
        <is>
          <t>ÅNGE</t>
        </is>
      </c>
      <c r="F158" t="inlineStr">
        <is>
          <t>SCA</t>
        </is>
      </c>
      <c r="G158" t="n">
        <v>1</v>
      </c>
      <c r="H158" t="n">
        <v>0</v>
      </c>
      <c r="I158" t="n">
        <v>2</v>
      </c>
      <c r="J158" t="n">
        <v>0</v>
      </c>
      <c r="K158" t="n">
        <v>0</v>
      </c>
      <c r="L158" t="n">
        <v>0</v>
      </c>
      <c r="M158" t="n">
        <v>0</v>
      </c>
      <c r="N158" t="n">
        <v>0</v>
      </c>
      <c r="O158" t="n">
        <v>0</v>
      </c>
      <c r="P158" t="n">
        <v>0</v>
      </c>
      <c r="Q158" t="n">
        <v>2</v>
      </c>
      <c r="R158" s="2" t="inlineStr">
        <is>
          <t>Svart trolldruva
Tibast</t>
        </is>
      </c>
      <c r="S158">
        <f>HYPERLINK("https://klasma.github.io/Logging_2260/artfynd/A 21453-2025 artfynd.xlsx", "A 21453-2025")</f>
        <v/>
      </c>
      <c r="T158">
        <f>HYPERLINK("https://klasma.github.io/Logging_2260/kartor/A 21453-2025 karta.png", "A 21453-2025")</f>
        <v/>
      </c>
      <c r="V158">
        <f>HYPERLINK("https://klasma.github.io/Logging_2260/klagomål/A 21453-2025 FSC-klagomål.docx", "A 21453-2025")</f>
        <v/>
      </c>
      <c r="W158">
        <f>HYPERLINK("https://klasma.github.io/Logging_2260/klagomålsmail/A 21453-2025 FSC-klagomål mail.docx", "A 21453-2025")</f>
        <v/>
      </c>
      <c r="X158">
        <f>HYPERLINK("https://klasma.github.io/Logging_2260/tillsyn/A 21453-2025 tillsynsbegäran.docx", "A 21453-2025")</f>
        <v/>
      </c>
      <c r="Y158">
        <f>HYPERLINK("https://klasma.github.io/Logging_2260/tillsynsmail/A 21453-2025 tillsynsbegäran mail.docx", "A 21453-2025")</f>
        <v/>
      </c>
    </row>
    <row r="159" ht="15" customHeight="1">
      <c r="A159" t="inlineStr">
        <is>
          <t>A 57089-2024</t>
        </is>
      </c>
      <c r="B159" s="1" t="n">
        <v>45629.35665509259</v>
      </c>
      <c r="C159" s="1" t="n">
        <v>45965</v>
      </c>
      <c r="D159" t="inlineStr">
        <is>
          <t>VÄSTERNORRLANDS LÄN</t>
        </is>
      </c>
      <c r="E159" t="inlineStr">
        <is>
          <t>ÅNGE</t>
        </is>
      </c>
      <c r="F159" t="inlineStr">
        <is>
          <t>SCA</t>
        </is>
      </c>
      <c r="G159" t="n">
        <v>1.5</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57089-2024 artfynd.xlsx", "A 57089-2024")</f>
        <v/>
      </c>
      <c r="T159">
        <f>HYPERLINK("https://klasma.github.io/Logging_2260/kartor/A 57089-2024 karta.png", "A 57089-2024")</f>
        <v/>
      </c>
      <c r="V159">
        <f>HYPERLINK("https://klasma.github.io/Logging_2260/klagomål/A 57089-2024 FSC-klagomål.docx", "A 57089-2024")</f>
        <v/>
      </c>
      <c r="W159">
        <f>HYPERLINK("https://klasma.github.io/Logging_2260/klagomålsmail/A 57089-2024 FSC-klagomål mail.docx", "A 57089-2024")</f>
        <v/>
      </c>
      <c r="X159">
        <f>HYPERLINK("https://klasma.github.io/Logging_2260/tillsyn/A 57089-2024 tillsynsbegäran.docx", "A 57089-2024")</f>
        <v/>
      </c>
      <c r="Y159">
        <f>HYPERLINK("https://klasma.github.io/Logging_2260/tillsynsmail/A 57089-2024 tillsynsbegäran mail.docx", "A 57089-2024")</f>
        <v/>
      </c>
    </row>
    <row r="160" ht="15" customHeight="1">
      <c r="A160" t="inlineStr">
        <is>
          <t>A 47719-2024</t>
        </is>
      </c>
      <c r="B160" s="1" t="n">
        <v>45588.48996527777</v>
      </c>
      <c r="C160" s="1" t="n">
        <v>45965</v>
      </c>
      <c r="D160" t="inlineStr">
        <is>
          <t>VÄSTERNORRLANDS LÄN</t>
        </is>
      </c>
      <c r="E160" t="inlineStr">
        <is>
          <t>ÅNGE</t>
        </is>
      </c>
      <c r="F160" t="inlineStr">
        <is>
          <t>SCA</t>
        </is>
      </c>
      <c r="G160" t="n">
        <v>1.4</v>
      </c>
      <c r="H160" t="n">
        <v>0</v>
      </c>
      <c r="I160" t="n">
        <v>0</v>
      </c>
      <c r="J160" t="n">
        <v>2</v>
      </c>
      <c r="K160" t="n">
        <v>0</v>
      </c>
      <c r="L160" t="n">
        <v>0</v>
      </c>
      <c r="M160" t="n">
        <v>0</v>
      </c>
      <c r="N160" t="n">
        <v>0</v>
      </c>
      <c r="O160" t="n">
        <v>2</v>
      </c>
      <c r="P160" t="n">
        <v>0</v>
      </c>
      <c r="Q160" t="n">
        <v>2</v>
      </c>
      <c r="R160" s="2" t="inlineStr">
        <is>
          <t>Dvärgbägarlav
Vedskivlav</t>
        </is>
      </c>
      <c r="S160">
        <f>HYPERLINK("https://klasma.github.io/Logging_2260/artfynd/A 47719-2024 artfynd.xlsx", "A 47719-2024")</f>
        <v/>
      </c>
      <c r="T160">
        <f>HYPERLINK("https://klasma.github.io/Logging_2260/kartor/A 47719-2024 karta.png", "A 47719-2024")</f>
        <v/>
      </c>
      <c r="V160">
        <f>HYPERLINK("https://klasma.github.io/Logging_2260/klagomål/A 47719-2024 FSC-klagomål.docx", "A 47719-2024")</f>
        <v/>
      </c>
      <c r="W160">
        <f>HYPERLINK("https://klasma.github.io/Logging_2260/klagomålsmail/A 47719-2024 FSC-klagomål mail.docx", "A 47719-2024")</f>
        <v/>
      </c>
      <c r="X160">
        <f>HYPERLINK("https://klasma.github.io/Logging_2260/tillsyn/A 47719-2024 tillsynsbegäran.docx", "A 47719-2024")</f>
        <v/>
      </c>
      <c r="Y160">
        <f>HYPERLINK("https://klasma.github.io/Logging_2260/tillsynsmail/A 47719-2024 tillsynsbegäran mail.docx", "A 47719-2024")</f>
        <v/>
      </c>
    </row>
    <row r="161" ht="15" customHeight="1">
      <c r="A161" t="inlineStr">
        <is>
          <t>A 165-2025</t>
        </is>
      </c>
      <c r="B161" s="1" t="n">
        <v>45659</v>
      </c>
      <c r="C161" s="1" t="n">
        <v>45965</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57594-2022</t>
        </is>
      </c>
      <c r="B162" s="1" t="n">
        <v>44896.97854166666</v>
      </c>
      <c r="C162" s="1" t="n">
        <v>45965</v>
      </c>
      <c r="D162" t="inlineStr">
        <is>
          <t>VÄSTERNORRLANDS LÄN</t>
        </is>
      </c>
      <c r="E162" t="inlineStr">
        <is>
          <t>ÅNGE</t>
        </is>
      </c>
      <c r="F162" t="inlineStr">
        <is>
          <t>SCA</t>
        </is>
      </c>
      <c r="G162" t="n">
        <v>5.3</v>
      </c>
      <c r="H162" t="n">
        <v>0</v>
      </c>
      <c r="I162" t="n">
        <v>0</v>
      </c>
      <c r="J162" t="n">
        <v>2</v>
      </c>
      <c r="K162" t="n">
        <v>0</v>
      </c>
      <c r="L162" t="n">
        <v>0</v>
      </c>
      <c r="M162" t="n">
        <v>0</v>
      </c>
      <c r="N162" t="n">
        <v>0</v>
      </c>
      <c r="O162" t="n">
        <v>2</v>
      </c>
      <c r="P162" t="n">
        <v>0</v>
      </c>
      <c r="Q162" t="n">
        <v>2</v>
      </c>
      <c r="R162" s="2" t="inlineStr">
        <is>
          <t>Granticka
Lunglav</t>
        </is>
      </c>
      <c r="S162">
        <f>HYPERLINK("https://klasma.github.io/Logging_2260/artfynd/A 57594-2022 artfynd.xlsx", "A 57594-2022")</f>
        <v/>
      </c>
      <c r="T162">
        <f>HYPERLINK("https://klasma.github.io/Logging_2260/kartor/A 57594-2022 karta.png", "A 57594-2022")</f>
        <v/>
      </c>
      <c r="V162">
        <f>HYPERLINK("https://klasma.github.io/Logging_2260/klagomål/A 57594-2022 FSC-klagomål.docx", "A 57594-2022")</f>
        <v/>
      </c>
      <c r="W162">
        <f>HYPERLINK("https://klasma.github.io/Logging_2260/klagomålsmail/A 57594-2022 FSC-klagomål mail.docx", "A 57594-2022")</f>
        <v/>
      </c>
      <c r="X162">
        <f>HYPERLINK("https://klasma.github.io/Logging_2260/tillsyn/A 57594-2022 tillsynsbegäran.docx", "A 57594-2022")</f>
        <v/>
      </c>
      <c r="Y162">
        <f>HYPERLINK("https://klasma.github.io/Logging_2260/tillsynsmail/A 57594-2022 tillsynsbegäran mail.docx", "A 57594-2022")</f>
        <v/>
      </c>
    </row>
    <row r="163" ht="15" customHeight="1">
      <c r="A163" t="inlineStr">
        <is>
          <t>A 24176-2025</t>
        </is>
      </c>
      <c r="B163" s="1" t="n">
        <v>45796.69832175926</v>
      </c>
      <c r="C163" s="1" t="n">
        <v>45965</v>
      </c>
      <c r="D163" t="inlineStr">
        <is>
          <t>VÄSTERNORRLANDS LÄN</t>
        </is>
      </c>
      <c r="E163" t="inlineStr">
        <is>
          <t>ÅNGE</t>
        </is>
      </c>
      <c r="F163" t="inlineStr">
        <is>
          <t>SCA</t>
        </is>
      </c>
      <c r="G163" t="n">
        <v>3.9</v>
      </c>
      <c r="H163" t="n">
        <v>0</v>
      </c>
      <c r="I163" t="n">
        <v>1</v>
      </c>
      <c r="J163" t="n">
        <v>1</v>
      </c>
      <c r="K163" t="n">
        <v>0</v>
      </c>
      <c r="L163" t="n">
        <v>0</v>
      </c>
      <c r="M163" t="n">
        <v>0</v>
      </c>
      <c r="N163" t="n">
        <v>0</v>
      </c>
      <c r="O163" t="n">
        <v>1</v>
      </c>
      <c r="P163" t="n">
        <v>0</v>
      </c>
      <c r="Q163" t="n">
        <v>2</v>
      </c>
      <c r="R163" s="2" t="inlineStr">
        <is>
          <t>Vitgrynig nållav
Vedticka</t>
        </is>
      </c>
      <c r="S163">
        <f>HYPERLINK("https://klasma.github.io/Logging_2260/artfynd/A 24176-2025 artfynd.xlsx", "A 24176-2025")</f>
        <v/>
      </c>
      <c r="T163">
        <f>HYPERLINK("https://klasma.github.io/Logging_2260/kartor/A 24176-2025 karta.png", "A 24176-2025")</f>
        <v/>
      </c>
      <c r="V163">
        <f>HYPERLINK("https://klasma.github.io/Logging_2260/klagomål/A 24176-2025 FSC-klagomål.docx", "A 24176-2025")</f>
        <v/>
      </c>
      <c r="W163">
        <f>HYPERLINK("https://klasma.github.io/Logging_2260/klagomålsmail/A 24176-2025 FSC-klagomål mail.docx", "A 24176-2025")</f>
        <v/>
      </c>
      <c r="X163">
        <f>HYPERLINK("https://klasma.github.io/Logging_2260/tillsyn/A 24176-2025 tillsynsbegäran.docx", "A 24176-2025")</f>
        <v/>
      </c>
      <c r="Y163">
        <f>HYPERLINK("https://klasma.github.io/Logging_2260/tillsynsmail/A 24176-2025 tillsynsbegäran mail.docx", "A 24176-2025")</f>
        <v/>
      </c>
    </row>
    <row r="164" ht="15" customHeight="1">
      <c r="A164" t="inlineStr">
        <is>
          <t>A 57597-2022</t>
        </is>
      </c>
      <c r="B164" s="1" t="n">
        <v>44896.97878472223</v>
      </c>
      <c r="C164" s="1" t="n">
        <v>45965</v>
      </c>
      <c r="D164" t="inlineStr">
        <is>
          <t>VÄSTERNORRLANDS LÄN</t>
        </is>
      </c>
      <c r="E164" t="inlineStr">
        <is>
          <t>ÅNGE</t>
        </is>
      </c>
      <c r="F164" t="inlineStr">
        <is>
          <t>SCA</t>
        </is>
      </c>
      <c r="G164" t="n">
        <v>6.2</v>
      </c>
      <c r="H164" t="n">
        <v>0</v>
      </c>
      <c r="I164" t="n">
        <v>0</v>
      </c>
      <c r="J164" t="n">
        <v>2</v>
      </c>
      <c r="K164" t="n">
        <v>0</v>
      </c>
      <c r="L164" t="n">
        <v>0</v>
      </c>
      <c r="M164" t="n">
        <v>0</v>
      </c>
      <c r="N164" t="n">
        <v>0</v>
      </c>
      <c r="O164" t="n">
        <v>2</v>
      </c>
      <c r="P164" t="n">
        <v>0</v>
      </c>
      <c r="Q164" t="n">
        <v>2</v>
      </c>
      <c r="R164" s="2" t="inlineStr">
        <is>
          <t>Garnlav
Lunglav</t>
        </is>
      </c>
      <c r="S164">
        <f>HYPERLINK("https://klasma.github.io/Logging_2260/artfynd/A 57597-2022 artfynd.xlsx", "A 57597-2022")</f>
        <v/>
      </c>
      <c r="T164">
        <f>HYPERLINK("https://klasma.github.io/Logging_2260/kartor/A 57597-2022 karta.png", "A 57597-2022")</f>
        <v/>
      </c>
      <c r="V164">
        <f>HYPERLINK("https://klasma.github.io/Logging_2260/klagomål/A 57597-2022 FSC-klagomål.docx", "A 57597-2022")</f>
        <v/>
      </c>
      <c r="W164">
        <f>HYPERLINK("https://klasma.github.io/Logging_2260/klagomålsmail/A 57597-2022 FSC-klagomål mail.docx", "A 57597-2022")</f>
        <v/>
      </c>
      <c r="X164">
        <f>HYPERLINK("https://klasma.github.io/Logging_2260/tillsyn/A 57597-2022 tillsynsbegäran.docx", "A 57597-2022")</f>
        <v/>
      </c>
      <c r="Y164">
        <f>HYPERLINK("https://klasma.github.io/Logging_2260/tillsynsmail/A 57597-2022 tillsynsbegäran mail.docx", "A 57597-2022")</f>
        <v/>
      </c>
    </row>
    <row r="165" ht="15" customHeight="1">
      <c r="A165" t="inlineStr">
        <is>
          <t>A 32659-2024</t>
        </is>
      </c>
      <c r="B165" s="1" t="n">
        <v>45513</v>
      </c>
      <c r="C165" s="1" t="n">
        <v>45965</v>
      </c>
      <c r="D165" t="inlineStr">
        <is>
          <t>VÄSTERNORRLANDS LÄN</t>
        </is>
      </c>
      <c r="E165" t="inlineStr">
        <is>
          <t>ÅNGE</t>
        </is>
      </c>
      <c r="F165" t="inlineStr">
        <is>
          <t>SCA</t>
        </is>
      </c>
      <c r="G165" t="n">
        <v>6.9</v>
      </c>
      <c r="H165" t="n">
        <v>0</v>
      </c>
      <c r="I165" t="n">
        <v>0</v>
      </c>
      <c r="J165" t="n">
        <v>2</v>
      </c>
      <c r="K165" t="n">
        <v>0</v>
      </c>
      <c r="L165" t="n">
        <v>0</v>
      </c>
      <c r="M165" t="n">
        <v>0</v>
      </c>
      <c r="N165" t="n">
        <v>0</v>
      </c>
      <c r="O165" t="n">
        <v>2</v>
      </c>
      <c r="P165" t="n">
        <v>0</v>
      </c>
      <c r="Q165" t="n">
        <v>2</v>
      </c>
      <c r="R165" s="2" t="inlineStr">
        <is>
          <t>Lunglav
Stjärntagging</t>
        </is>
      </c>
      <c r="S165">
        <f>HYPERLINK("https://klasma.github.io/Logging_2260/artfynd/A 32659-2024 artfynd.xlsx", "A 32659-2024")</f>
        <v/>
      </c>
      <c r="T165">
        <f>HYPERLINK("https://klasma.github.io/Logging_2260/kartor/A 32659-2024 karta.png", "A 32659-2024")</f>
        <v/>
      </c>
      <c r="V165">
        <f>HYPERLINK("https://klasma.github.io/Logging_2260/klagomål/A 32659-2024 FSC-klagomål.docx", "A 32659-2024")</f>
        <v/>
      </c>
      <c r="W165">
        <f>HYPERLINK("https://klasma.github.io/Logging_2260/klagomålsmail/A 32659-2024 FSC-klagomål mail.docx", "A 32659-2024")</f>
        <v/>
      </c>
      <c r="X165">
        <f>HYPERLINK("https://klasma.github.io/Logging_2260/tillsyn/A 32659-2024 tillsynsbegäran.docx", "A 32659-2024")</f>
        <v/>
      </c>
      <c r="Y165">
        <f>HYPERLINK("https://klasma.github.io/Logging_2260/tillsynsmail/A 32659-2024 tillsynsbegäran mail.docx", "A 32659-2024")</f>
        <v/>
      </c>
    </row>
    <row r="166" ht="15" customHeight="1">
      <c r="A166" t="inlineStr">
        <is>
          <t>A 31493-2024</t>
        </is>
      </c>
      <c r="B166" s="1" t="n">
        <v>45505</v>
      </c>
      <c r="C166" s="1" t="n">
        <v>45965</v>
      </c>
      <c r="D166" t="inlineStr">
        <is>
          <t>VÄSTERNORRLANDS LÄN</t>
        </is>
      </c>
      <c r="E166" t="inlineStr">
        <is>
          <t>ÅNGE</t>
        </is>
      </c>
      <c r="F166" t="inlineStr">
        <is>
          <t>SCA</t>
        </is>
      </c>
      <c r="G166" t="n">
        <v>4.4</v>
      </c>
      <c r="H166" t="n">
        <v>1</v>
      </c>
      <c r="I166" t="n">
        <v>1</v>
      </c>
      <c r="J166" t="n">
        <v>0</v>
      </c>
      <c r="K166" t="n">
        <v>1</v>
      </c>
      <c r="L166" t="n">
        <v>0</v>
      </c>
      <c r="M166" t="n">
        <v>0</v>
      </c>
      <c r="N166" t="n">
        <v>0</v>
      </c>
      <c r="O166" t="n">
        <v>1</v>
      </c>
      <c r="P166" t="n">
        <v>1</v>
      </c>
      <c r="Q166" t="n">
        <v>2</v>
      </c>
      <c r="R166" s="2" t="inlineStr">
        <is>
          <t>Knärot
Korallblylav</t>
        </is>
      </c>
      <c r="S166">
        <f>HYPERLINK("https://klasma.github.io/Logging_2260/artfynd/A 31493-2024 artfynd.xlsx", "A 31493-2024")</f>
        <v/>
      </c>
      <c r="T166">
        <f>HYPERLINK("https://klasma.github.io/Logging_2260/kartor/A 31493-2024 karta.png", "A 31493-2024")</f>
        <v/>
      </c>
      <c r="U166">
        <f>HYPERLINK("https://klasma.github.io/Logging_2260/knärot/A 31493-2024 karta knärot.png", "A 31493-2024")</f>
        <v/>
      </c>
      <c r="V166">
        <f>HYPERLINK("https://klasma.github.io/Logging_2260/klagomål/A 31493-2024 FSC-klagomål.docx", "A 31493-2024")</f>
        <v/>
      </c>
      <c r="W166">
        <f>HYPERLINK("https://klasma.github.io/Logging_2260/klagomålsmail/A 31493-2024 FSC-klagomål mail.docx", "A 31493-2024")</f>
        <v/>
      </c>
      <c r="X166">
        <f>HYPERLINK("https://klasma.github.io/Logging_2260/tillsyn/A 31493-2024 tillsynsbegäran.docx", "A 31493-2024")</f>
        <v/>
      </c>
      <c r="Y166">
        <f>HYPERLINK("https://klasma.github.io/Logging_2260/tillsynsmail/A 31493-2024 tillsynsbegäran mail.docx", "A 31493-2024")</f>
        <v/>
      </c>
    </row>
    <row r="167" ht="15" customHeight="1">
      <c r="A167" t="inlineStr">
        <is>
          <t>A 26906-2025</t>
        </is>
      </c>
      <c r="B167" s="1" t="n">
        <v>45811.34552083333</v>
      </c>
      <c r="C167" s="1" t="n">
        <v>45965</v>
      </c>
      <c r="D167" t="inlineStr">
        <is>
          <t>VÄSTERNORRLANDS LÄN</t>
        </is>
      </c>
      <c r="E167" t="inlineStr">
        <is>
          <t>ÅNGE</t>
        </is>
      </c>
      <c r="F167" t="inlineStr">
        <is>
          <t>SCA</t>
        </is>
      </c>
      <c r="G167" t="n">
        <v>7</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26906-2025 artfynd.xlsx", "A 26906-2025")</f>
        <v/>
      </c>
      <c r="T167">
        <f>HYPERLINK("https://klasma.github.io/Logging_2260/kartor/A 26906-2025 karta.png", "A 26906-2025")</f>
        <v/>
      </c>
      <c r="V167">
        <f>HYPERLINK("https://klasma.github.io/Logging_2260/klagomål/A 26906-2025 FSC-klagomål.docx", "A 26906-2025")</f>
        <v/>
      </c>
      <c r="W167">
        <f>HYPERLINK("https://klasma.github.io/Logging_2260/klagomålsmail/A 26906-2025 FSC-klagomål mail.docx", "A 26906-2025")</f>
        <v/>
      </c>
      <c r="X167">
        <f>HYPERLINK("https://klasma.github.io/Logging_2260/tillsyn/A 26906-2025 tillsynsbegäran.docx", "A 26906-2025")</f>
        <v/>
      </c>
      <c r="Y167">
        <f>HYPERLINK("https://klasma.github.io/Logging_2260/tillsynsmail/A 26906-2025 tillsynsbegäran mail.docx", "A 26906-2025")</f>
        <v/>
      </c>
    </row>
    <row r="168" ht="15" customHeight="1">
      <c r="A168" t="inlineStr">
        <is>
          <t>A 17861-2023</t>
        </is>
      </c>
      <c r="B168" s="1" t="n">
        <v>45037.94171296297</v>
      </c>
      <c r="C168" s="1" t="n">
        <v>45965</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45965</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45965</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45965</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58902-2020</t>
        </is>
      </c>
      <c r="B172" s="1" t="n">
        <v>44146</v>
      </c>
      <c r="C172" s="1" t="n">
        <v>45965</v>
      </c>
      <c r="D172" t="inlineStr">
        <is>
          <t>VÄSTERNORRLANDS LÄN</t>
        </is>
      </c>
      <c r="E172" t="inlineStr">
        <is>
          <t>ÅNGE</t>
        </is>
      </c>
      <c r="G172" t="n">
        <v>8.199999999999999</v>
      </c>
      <c r="H172" t="n">
        <v>0</v>
      </c>
      <c r="I172" t="n">
        <v>1</v>
      </c>
      <c r="J172" t="n">
        <v>1</v>
      </c>
      <c r="K172" t="n">
        <v>0</v>
      </c>
      <c r="L172" t="n">
        <v>0</v>
      </c>
      <c r="M172" t="n">
        <v>0</v>
      </c>
      <c r="N172" t="n">
        <v>0</v>
      </c>
      <c r="O172" t="n">
        <v>1</v>
      </c>
      <c r="P172" t="n">
        <v>0</v>
      </c>
      <c r="Q172" t="n">
        <v>2</v>
      </c>
      <c r="R172" s="2" t="inlineStr">
        <is>
          <t>Ullticka
Vedticka</t>
        </is>
      </c>
      <c r="S172">
        <f>HYPERLINK("https://klasma.github.io/Logging_2260/artfynd/A 58902-2020 artfynd.xlsx", "A 58902-2020")</f>
        <v/>
      </c>
      <c r="T172">
        <f>HYPERLINK("https://klasma.github.io/Logging_2260/kartor/A 58902-2020 karta.png", "A 58902-2020")</f>
        <v/>
      </c>
      <c r="V172">
        <f>HYPERLINK("https://klasma.github.io/Logging_2260/klagomål/A 58902-2020 FSC-klagomål.docx", "A 58902-2020")</f>
        <v/>
      </c>
      <c r="W172">
        <f>HYPERLINK("https://klasma.github.io/Logging_2260/klagomålsmail/A 58902-2020 FSC-klagomål mail.docx", "A 58902-2020")</f>
        <v/>
      </c>
      <c r="X172">
        <f>HYPERLINK("https://klasma.github.io/Logging_2260/tillsyn/A 58902-2020 tillsynsbegäran.docx", "A 58902-2020")</f>
        <v/>
      </c>
      <c r="Y172">
        <f>HYPERLINK("https://klasma.github.io/Logging_2260/tillsynsmail/A 58902-2020 tillsynsbegäran mail.docx", "A 58902-2020")</f>
        <v/>
      </c>
    </row>
    <row r="173" ht="15" customHeight="1">
      <c r="A173" t="inlineStr">
        <is>
          <t>A 36414-2025</t>
        </is>
      </c>
      <c r="B173" s="1" t="n">
        <v>45868.69246527777</v>
      </c>
      <c r="C173" s="1" t="n">
        <v>45965</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26020-2024</t>
        </is>
      </c>
      <c r="B174" s="1" t="n">
        <v>45467.9603125</v>
      </c>
      <c r="C174" s="1" t="n">
        <v>45965</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37800-2025</t>
        </is>
      </c>
      <c r="B175" s="1" t="n">
        <v>45881.34420138889</v>
      </c>
      <c r="C175" s="1" t="n">
        <v>45965</v>
      </c>
      <c r="D175" t="inlineStr">
        <is>
          <t>VÄSTERNORRLANDS LÄN</t>
        </is>
      </c>
      <c r="E175" t="inlineStr">
        <is>
          <t>ÅNGE</t>
        </is>
      </c>
      <c r="F175" t="inlineStr">
        <is>
          <t>SCA</t>
        </is>
      </c>
      <c r="G175" t="n">
        <v>4</v>
      </c>
      <c r="H175" t="n">
        <v>1</v>
      </c>
      <c r="I175" t="n">
        <v>0</v>
      </c>
      <c r="J175" t="n">
        <v>1</v>
      </c>
      <c r="K175" t="n">
        <v>0</v>
      </c>
      <c r="L175" t="n">
        <v>0</v>
      </c>
      <c r="M175" t="n">
        <v>0</v>
      </c>
      <c r="N175" t="n">
        <v>0</v>
      </c>
      <c r="O175" t="n">
        <v>1</v>
      </c>
      <c r="P175" t="n">
        <v>0</v>
      </c>
      <c r="Q175" t="n">
        <v>2</v>
      </c>
      <c r="R175" s="2" t="inlineStr">
        <is>
          <t>Garnlav
Revlummer</t>
        </is>
      </c>
      <c r="S175">
        <f>HYPERLINK("https://klasma.github.io/Logging_2260/artfynd/A 37800-2025 artfynd.xlsx", "A 37800-2025")</f>
        <v/>
      </c>
      <c r="T175">
        <f>HYPERLINK("https://klasma.github.io/Logging_2260/kartor/A 37800-2025 karta.png", "A 37800-2025")</f>
        <v/>
      </c>
      <c r="V175">
        <f>HYPERLINK("https://klasma.github.io/Logging_2260/klagomål/A 37800-2025 FSC-klagomål.docx", "A 37800-2025")</f>
        <v/>
      </c>
      <c r="W175">
        <f>HYPERLINK("https://klasma.github.io/Logging_2260/klagomålsmail/A 37800-2025 FSC-klagomål mail.docx", "A 37800-2025")</f>
        <v/>
      </c>
      <c r="X175">
        <f>HYPERLINK("https://klasma.github.io/Logging_2260/tillsyn/A 37800-2025 tillsynsbegäran.docx", "A 37800-2025")</f>
        <v/>
      </c>
      <c r="Y175">
        <f>HYPERLINK("https://klasma.github.io/Logging_2260/tillsynsmail/A 37800-2025 tillsynsbegäran mail.docx", "A 37800-2025")</f>
        <v/>
      </c>
    </row>
    <row r="176" ht="15" customHeight="1">
      <c r="A176" t="inlineStr">
        <is>
          <t>A 42864-2025</t>
        </is>
      </c>
      <c r="B176" s="1" t="n">
        <v>45908</v>
      </c>
      <c r="C176" s="1" t="n">
        <v>45965</v>
      </c>
      <c r="D176" t="inlineStr">
        <is>
          <t>VÄSTERNORRLANDS LÄN</t>
        </is>
      </c>
      <c r="E176" t="inlineStr">
        <is>
          <t>ÅNGE</t>
        </is>
      </c>
      <c r="G176" t="n">
        <v>2.9</v>
      </c>
      <c r="H176" t="n">
        <v>0</v>
      </c>
      <c r="I176" t="n">
        <v>0</v>
      </c>
      <c r="J176" t="n">
        <v>2</v>
      </c>
      <c r="K176" t="n">
        <v>0</v>
      </c>
      <c r="L176" t="n">
        <v>0</v>
      </c>
      <c r="M176" t="n">
        <v>0</v>
      </c>
      <c r="N176" t="n">
        <v>0</v>
      </c>
      <c r="O176" t="n">
        <v>2</v>
      </c>
      <c r="P176" t="n">
        <v>0</v>
      </c>
      <c r="Q176" t="n">
        <v>2</v>
      </c>
      <c r="R176" s="2" t="inlineStr">
        <is>
          <t>Mörk kolflarnlav
Vedflamlav</t>
        </is>
      </c>
      <c r="S176">
        <f>HYPERLINK("https://klasma.github.io/Logging_2260/artfynd/A 42864-2025 artfynd.xlsx", "A 42864-2025")</f>
        <v/>
      </c>
      <c r="T176">
        <f>HYPERLINK("https://klasma.github.io/Logging_2260/kartor/A 42864-2025 karta.png", "A 42864-2025")</f>
        <v/>
      </c>
      <c r="V176">
        <f>HYPERLINK("https://klasma.github.io/Logging_2260/klagomål/A 42864-2025 FSC-klagomål.docx", "A 42864-2025")</f>
        <v/>
      </c>
      <c r="W176">
        <f>HYPERLINK("https://klasma.github.io/Logging_2260/klagomålsmail/A 42864-2025 FSC-klagomål mail.docx", "A 42864-2025")</f>
        <v/>
      </c>
      <c r="X176">
        <f>HYPERLINK("https://klasma.github.io/Logging_2260/tillsyn/A 42864-2025 tillsynsbegäran.docx", "A 42864-2025")</f>
        <v/>
      </c>
      <c r="Y176">
        <f>HYPERLINK("https://klasma.github.io/Logging_2260/tillsynsmail/A 42864-2025 tillsynsbegäran mail.docx", "A 42864-2025")</f>
        <v/>
      </c>
    </row>
    <row r="177" ht="15" customHeight="1">
      <c r="A177" t="inlineStr">
        <is>
          <t>A 43721-2025</t>
        </is>
      </c>
      <c r="B177" s="1" t="n">
        <v>45912.42800925926</v>
      </c>
      <c r="C177" s="1" t="n">
        <v>45965</v>
      </c>
      <c r="D177" t="inlineStr">
        <is>
          <t>VÄSTERNORRLANDS LÄN</t>
        </is>
      </c>
      <c r="E177" t="inlineStr">
        <is>
          <t>ÅNGE</t>
        </is>
      </c>
      <c r="F177" t="inlineStr">
        <is>
          <t>SCA</t>
        </is>
      </c>
      <c r="G177" t="n">
        <v>9.9</v>
      </c>
      <c r="H177" t="n">
        <v>1</v>
      </c>
      <c r="I177" t="n">
        <v>1</v>
      </c>
      <c r="J177" t="n">
        <v>0</v>
      </c>
      <c r="K177" t="n">
        <v>1</v>
      </c>
      <c r="L177" t="n">
        <v>0</v>
      </c>
      <c r="M177" t="n">
        <v>0</v>
      </c>
      <c r="N177" t="n">
        <v>0</v>
      </c>
      <c r="O177" t="n">
        <v>1</v>
      </c>
      <c r="P177" t="n">
        <v>1</v>
      </c>
      <c r="Q177" t="n">
        <v>2</v>
      </c>
      <c r="R177" s="2" t="inlineStr">
        <is>
          <t>Knärot
Svavelriska</t>
        </is>
      </c>
      <c r="S177">
        <f>HYPERLINK("https://klasma.github.io/Logging_2260/artfynd/A 43721-2025 artfynd.xlsx", "A 43721-2025")</f>
        <v/>
      </c>
      <c r="T177">
        <f>HYPERLINK("https://klasma.github.io/Logging_2260/kartor/A 43721-2025 karta.png", "A 43721-2025")</f>
        <v/>
      </c>
      <c r="U177">
        <f>HYPERLINK("https://klasma.github.io/Logging_2260/knärot/A 43721-2025 karta knärot.png", "A 43721-2025")</f>
        <v/>
      </c>
      <c r="V177">
        <f>HYPERLINK("https://klasma.github.io/Logging_2260/klagomål/A 43721-2025 FSC-klagomål.docx", "A 43721-2025")</f>
        <v/>
      </c>
      <c r="W177">
        <f>HYPERLINK("https://klasma.github.io/Logging_2260/klagomålsmail/A 43721-2025 FSC-klagomål mail.docx", "A 43721-2025")</f>
        <v/>
      </c>
      <c r="X177">
        <f>HYPERLINK("https://klasma.github.io/Logging_2260/tillsyn/A 43721-2025 tillsynsbegäran.docx", "A 43721-2025")</f>
        <v/>
      </c>
      <c r="Y177">
        <f>HYPERLINK("https://klasma.github.io/Logging_2260/tillsynsmail/A 43721-2025 tillsynsbegäran mail.docx", "A 43721-2025")</f>
        <v/>
      </c>
    </row>
    <row r="178" ht="15" customHeight="1">
      <c r="A178" t="inlineStr">
        <is>
          <t>A 20367-2022</t>
        </is>
      </c>
      <c r="B178" s="1" t="n">
        <v>44699</v>
      </c>
      <c r="C178" s="1" t="n">
        <v>45965</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45965</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45965</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45965</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45965</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45965</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45965</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52424-2023</t>
        </is>
      </c>
      <c r="B185" s="1" t="n">
        <v>45217</v>
      </c>
      <c r="C185" s="1" t="n">
        <v>45965</v>
      </c>
      <c r="D185" t="inlineStr">
        <is>
          <t>VÄSTERNORRLANDS LÄN</t>
        </is>
      </c>
      <c r="E185" t="inlineStr">
        <is>
          <t>ÅNGE</t>
        </is>
      </c>
      <c r="F185" t="inlineStr">
        <is>
          <t>SCA</t>
        </is>
      </c>
      <c r="G185" t="n">
        <v>3.8</v>
      </c>
      <c r="H185" t="n">
        <v>1</v>
      </c>
      <c r="I185" t="n">
        <v>0</v>
      </c>
      <c r="J185" t="n">
        <v>0</v>
      </c>
      <c r="K185" t="n">
        <v>0</v>
      </c>
      <c r="L185" t="n">
        <v>0</v>
      </c>
      <c r="M185" t="n">
        <v>0</v>
      </c>
      <c r="N185" t="n">
        <v>0</v>
      </c>
      <c r="O185" t="n">
        <v>0</v>
      </c>
      <c r="P185" t="n">
        <v>0</v>
      </c>
      <c r="Q185" t="n">
        <v>1</v>
      </c>
      <c r="R185" s="2" t="inlineStr">
        <is>
          <t>Revlummer</t>
        </is>
      </c>
      <c r="S185">
        <f>HYPERLINK("https://klasma.github.io/Logging_2260/artfynd/A 52424-2023 artfynd.xlsx", "A 52424-2023")</f>
        <v/>
      </c>
      <c r="T185">
        <f>HYPERLINK("https://klasma.github.io/Logging_2260/kartor/A 52424-2023 karta.png", "A 52424-2023")</f>
        <v/>
      </c>
      <c r="V185">
        <f>HYPERLINK("https://klasma.github.io/Logging_2260/klagomål/A 52424-2023 FSC-klagomål.docx", "A 52424-2023")</f>
        <v/>
      </c>
      <c r="W185">
        <f>HYPERLINK("https://klasma.github.io/Logging_2260/klagomålsmail/A 52424-2023 FSC-klagomål mail.docx", "A 52424-2023")</f>
        <v/>
      </c>
      <c r="X185">
        <f>HYPERLINK("https://klasma.github.io/Logging_2260/tillsyn/A 52424-2023 tillsynsbegäran.docx", "A 52424-2023")</f>
        <v/>
      </c>
      <c r="Y185">
        <f>HYPERLINK("https://klasma.github.io/Logging_2260/tillsynsmail/A 52424-2023 tillsynsbegäran mail.docx", "A 52424-2023")</f>
        <v/>
      </c>
    </row>
    <row r="186" ht="15" customHeight="1">
      <c r="A186" t="inlineStr">
        <is>
          <t>A 43171-2024</t>
        </is>
      </c>
      <c r="B186" s="1" t="n">
        <v>45567</v>
      </c>
      <c r="C186" s="1" t="n">
        <v>45965</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39638-2024</t>
        </is>
      </c>
      <c r="B187" s="1" t="n">
        <v>45552</v>
      </c>
      <c r="C187" s="1" t="n">
        <v>45965</v>
      </c>
      <c r="D187" t="inlineStr">
        <is>
          <t>VÄSTERNORRLANDS LÄN</t>
        </is>
      </c>
      <c r="E187" t="inlineStr">
        <is>
          <t>ÅNGE</t>
        </is>
      </c>
      <c r="G187" t="n">
        <v>3</v>
      </c>
      <c r="H187" t="n">
        <v>1</v>
      </c>
      <c r="I187" t="n">
        <v>0</v>
      </c>
      <c r="J187" t="n">
        <v>0</v>
      </c>
      <c r="K187" t="n">
        <v>0</v>
      </c>
      <c r="L187" t="n">
        <v>0</v>
      </c>
      <c r="M187" t="n">
        <v>0</v>
      </c>
      <c r="N187" t="n">
        <v>0</v>
      </c>
      <c r="O187" t="n">
        <v>0</v>
      </c>
      <c r="P187" t="n">
        <v>0</v>
      </c>
      <c r="Q187" t="n">
        <v>1</v>
      </c>
      <c r="R187" s="2" t="inlineStr">
        <is>
          <t>Tjäder</t>
        </is>
      </c>
      <c r="S187">
        <f>HYPERLINK("https://klasma.github.io/Logging_2260/artfynd/A 39638-2024 artfynd.xlsx", "A 39638-2024")</f>
        <v/>
      </c>
      <c r="T187">
        <f>HYPERLINK("https://klasma.github.io/Logging_2260/kartor/A 39638-2024 karta.png", "A 39638-2024")</f>
        <v/>
      </c>
      <c r="V187">
        <f>HYPERLINK("https://klasma.github.io/Logging_2260/klagomål/A 39638-2024 FSC-klagomål.docx", "A 39638-2024")</f>
        <v/>
      </c>
      <c r="W187">
        <f>HYPERLINK("https://klasma.github.io/Logging_2260/klagomålsmail/A 39638-2024 FSC-klagomål mail.docx", "A 39638-2024")</f>
        <v/>
      </c>
      <c r="X187">
        <f>HYPERLINK("https://klasma.github.io/Logging_2260/tillsyn/A 39638-2024 tillsynsbegäran.docx", "A 39638-2024")</f>
        <v/>
      </c>
      <c r="Y187">
        <f>HYPERLINK("https://klasma.github.io/Logging_2260/tillsynsmail/A 39638-2024 tillsynsbegäran mail.docx", "A 39638-2024")</f>
        <v/>
      </c>
      <c r="Z187">
        <f>HYPERLINK("https://klasma.github.io/Logging_2260/fåglar/A 39638-2024 prioriterade fågelarter.docx", "A 39638-2024")</f>
        <v/>
      </c>
    </row>
    <row r="188" ht="15" customHeight="1">
      <c r="A188" t="inlineStr">
        <is>
          <t>A 54751-2021</t>
        </is>
      </c>
      <c r="B188" s="1" t="n">
        <v>44473</v>
      </c>
      <c r="C188" s="1" t="n">
        <v>45965</v>
      </c>
      <c r="D188" t="inlineStr">
        <is>
          <t>VÄSTERNORRLANDS LÄN</t>
        </is>
      </c>
      <c r="E188" t="inlineStr">
        <is>
          <t>ÅNGE</t>
        </is>
      </c>
      <c r="G188" t="n">
        <v>6.5</v>
      </c>
      <c r="H188" t="n">
        <v>0</v>
      </c>
      <c r="I188" t="n">
        <v>0</v>
      </c>
      <c r="J188" t="n">
        <v>0</v>
      </c>
      <c r="K188" t="n">
        <v>1</v>
      </c>
      <c r="L188" t="n">
        <v>0</v>
      </c>
      <c r="M188" t="n">
        <v>0</v>
      </c>
      <c r="N188" t="n">
        <v>0</v>
      </c>
      <c r="O188" t="n">
        <v>1</v>
      </c>
      <c r="P188" t="n">
        <v>1</v>
      </c>
      <c r="Q188" t="n">
        <v>1</v>
      </c>
      <c r="R188" s="2" t="inlineStr">
        <is>
          <t>Gräddporing</t>
        </is>
      </c>
      <c r="S188">
        <f>HYPERLINK("https://klasma.github.io/Logging_2260/artfynd/A 54751-2021 artfynd.xlsx", "A 54751-2021")</f>
        <v/>
      </c>
      <c r="T188">
        <f>HYPERLINK("https://klasma.github.io/Logging_2260/kartor/A 54751-2021 karta.png", "A 54751-2021")</f>
        <v/>
      </c>
      <c r="V188">
        <f>HYPERLINK("https://klasma.github.io/Logging_2260/klagomål/A 54751-2021 FSC-klagomål.docx", "A 54751-2021")</f>
        <v/>
      </c>
      <c r="W188">
        <f>HYPERLINK("https://klasma.github.io/Logging_2260/klagomålsmail/A 54751-2021 FSC-klagomål mail.docx", "A 54751-2021")</f>
        <v/>
      </c>
      <c r="X188">
        <f>HYPERLINK("https://klasma.github.io/Logging_2260/tillsyn/A 54751-2021 tillsynsbegäran.docx", "A 54751-2021")</f>
        <v/>
      </c>
      <c r="Y188">
        <f>HYPERLINK("https://klasma.github.io/Logging_2260/tillsynsmail/A 54751-2021 tillsynsbegäran mail.docx", "A 54751-2021")</f>
        <v/>
      </c>
    </row>
    <row r="189" ht="15" customHeight="1">
      <c r="A189" t="inlineStr">
        <is>
          <t>A 40214-2024</t>
        </is>
      </c>
      <c r="B189" s="1" t="n">
        <v>45554.59460648148</v>
      </c>
      <c r="C189" s="1" t="n">
        <v>45965</v>
      </c>
      <c r="D189" t="inlineStr">
        <is>
          <t>VÄSTERNORRLANDS LÄN</t>
        </is>
      </c>
      <c r="E189" t="inlineStr">
        <is>
          <t>ÅNGE</t>
        </is>
      </c>
      <c r="F189" t="inlineStr">
        <is>
          <t>SCA</t>
        </is>
      </c>
      <c r="G189" t="n">
        <v>7.7</v>
      </c>
      <c r="H189" t="n">
        <v>0</v>
      </c>
      <c r="I189" t="n">
        <v>0</v>
      </c>
      <c r="J189" t="n">
        <v>1</v>
      </c>
      <c r="K189" t="n">
        <v>0</v>
      </c>
      <c r="L189" t="n">
        <v>0</v>
      </c>
      <c r="M189" t="n">
        <v>0</v>
      </c>
      <c r="N189" t="n">
        <v>0</v>
      </c>
      <c r="O189" t="n">
        <v>1</v>
      </c>
      <c r="P189" t="n">
        <v>0</v>
      </c>
      <c r="Q189" t="n">
        <v>1</v>
      </c>
      <c r="R189" s="2" t="inlineStr">
        <is>
          <t>Lunglav</t>
        </is>
      </c>
      <c r="S189">
        <f>HYPERLINK("https://klasma.github.io/Logging_2260/artfynd/A 40214-2024 artfynd.xlsx", "A 40214-2024")</f>
        <v/>
      </c>
      <c r="T189">
        <f>HYPERLINK("https://klasma.github.io/Logging_2260/kartor/A 40214-2024 karta.png", "A 40214-2024")</f>
        <v/>
      </c>
      <c r="V189">
        <f>HYPERLINK("https://klasma.github.io/Logging_2260/klagomål/A 40214-2024 FSC-klagomål.docx", "A 40214-2024")</f>
        <v/>
      </c>
      <c r="W189">
        <f>HYPERLINK("https://klasma.github.io/Logging_2260/klagomålsmail/A 40214-2024 FSC-klagomål mail.docx", "A 40214-2024")</f>
        <v/>
      </c>
      <c r="X189">
        <f>HYPERLINK("https://klasma.github.io/Logging_2260/tillsyn/A 40214-2024 tillsynsbegäran.docx", "A 40214-2024")</f>
        <v/>
      </c>
      <c r="Y189">
        <f>HYPERLINK("https://klasma.github.io/Logging_2260/tillsynsmail/A 40214-2024 tillsynsbegäran mail.docx", "A 40214-2024")</f>
        <v/>
      </c>
    </row>
    <row r="190" ht="15" customHeight="1">
      <c r="A190" t="inlineStr">
        <is>
          <t>A 29327-2023</t>
        </is>
      </c>
      <c r="B190" s="1" t="n">
        <v>45105.94349537037</v>
      </c>
      <c r="C190" s="1" t="n">
        <v>45965</v>
      </c>
      <c r="D190" t="inlineStr">
        <is>
          <t>VÄSTERNORRLANDS LÄN</t>
        </is>
      </c>
      <c r="E190" t="inlineStr">
        <is>
          <t>ÅNGE</t>
        </is>
      </c>
      <c r="G190" t="n">
        <v>7.8</v>
      </c>
      <c r="H190" t="n">
        <v>0</v>
      </c>
      <c r="I190" t="n">
        <v>0</v>
      </c>
      <c r="J190" t="n">
        <v>1</v>
      </c>
      <c r="K190" t="n">
        <v>0</v>
      </c>
      <c r="L190" t="n">
        <v>0</v>
      </c>
      <c r="M190" t="n">
        <v>0</v>
      </c>
      <c r="N190" t="n">
        <v>0</v>
      </c>
      <c r="O190" t="n">
        <v>1</v>
      </c>
      <c r="P190" t="n">
        <v>0</v>
      </c>
      <c r="Q190" t="n">
        <v>1</v>
      </c>
      <c r="R190" s="2" t="inlineStr">
        <is>
          <t>Mörk kolflarnlav</t>
        </is>
      </c>
      <c r="S190">
        <f>HYPERLINK("https://klasma.github.io/Logging_2260/artfynd/A 29327-2023 artfynd.xlsx", "A 29327-2023")</f>
        <v/>
      </c>
      <c r="T190">
        <f>HYPERLINK("https://klasma.github.io/Logging_2260/kartor/A 29327-2023 karta.png", "A 29327-2023")</f>
        <v/>
      </c>
      <c r="V190">
        <f>HYPERLINK("https://klasma.github.io/Logging_2260/klagomål/A 29327-2023 FSC-klagomål.docx", "A 29327-2023")</f>
        <v/>
      </c>
      <c r="W190">
        <f>HYPERLINK("https://klasma.github.io/Logging_2260/klagomålsmail/A 29327-2023 FSC-klagomål mail.docx", "A 29327-2023")</f>
        <v/>
      </c>
      <c r="X190">
        <f>HYPERLINK("https://klasma.github.io/Logging_2260/tillsyn/A 29327-2023 tillsynsbegäran.docx", "A 29327-2023")</f>
        <v/>
      </c>
      <c r="Y190">
        <f>HYPERLINK("https://klasma.github.io/Logging_2260/tillsynsmail/A 29327-2023 tillsynsbegäran mail.docx", "A 29327-2023")</f>
        <v/>
      </c>
    </row>
    <row r="191" ht="15" customHeight="1">
      <c r="A191" t="inlineStr">
        <is>
          <t>A 24798-2024</t>
        </is>
      </c>
      <c r="B191" s="1" t="n">
        <v>45460.95277777778</v>
      </c>
      <c r="C191" s="1" t="n">
        <v>45965</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45965</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13934-2024</t>
        </is>
      </c>
      <c r="B193" s="1" t="n">
        <v>45391</v>
      </c>
      <c r="C193" s="1" t="n">
        <v>45965</v>
      </c>
      <c r="D193" t="inlineStr">
        <is>
          <t>VÄSTERNORRLANDS LÄN</t>
        </is>
      </c>
      <c r="E193" t="inlineStr">
        <is>
          <t>ÅNGE</t>
        </is>
      </c>
      <c r="F193" t="inlineStr">
        <is>
          <t>SCA</t>
        </is>
      </c>
      <c r="G193" t="n">
        <v>5.8</v>
      </c>
      <c r="H193" t="n">
        <v>0</v>
      </c>
      <c r="I193" t="n">
        <v>0</v>
      </c>
      <c r="J193" t="n">
        <v>1</v>
      </c>
      <c r="K193" t="n">
        <v>0</v>
      </c>
      <c r="L193" t="n">
        <v>0</v>
      </c>
      <c r="M193" t="n">
        <v>0</v>
      </c>
      <c r="N193" t="n">
        <v>0</v>
      </c>
      <c r="O193" t="n">
        <v>1</v>
      </c>
      <c r="P193" t="n">
        <v>0</v>
      </c>
      <c r="Q193" t="n">
        <v>1</v>
      </c>
      <c r="R193" s="2" t="inlineStr">
        <is>
          <t>Ullticka</t>
        </is>
      </c>
      <c r="S193">
        <f>HYPERLINK("https://klasma.github.io/Logging_2260/artfynd/A 13934-2024 artfynd.xlsx", "A 13934-2024")</f>
        <v/>
      </c>
      <c r="T193">
        <f>HYPERLINK("https://klasma.github.io/Logging_2260/kartor/A 13934-2024 karta.png", "A 13934-2024")</f>
        <v/>
      </c>
      <c r="V193">
        <f>HYPERLINK("https://klasma.github.io/Logging_2260/klagomål/A 13934-2024 FSC-klagomål.docx", "A 13934-2024")</f>
        <v/>
      </c>
      <c r="W193">
        <f>HYPERLINK("https://klasma.github.io/Logging_2260/klagomålsmail/A 13934-2024 FSC-klagomål mail.docx", "A 13934-2024")</f>
        <v/>
      </c>
      <c r="X193">
        <f>HYPERLINK("https://klasma.github.io/Logging_2260/tillsyn/A 13934-2024 tillsynsbegäran.docx", "A 13934-2024")</f>
        <v/>
      </c>
      <c r="Y193">
        <f>HYPERLINK("https://klasma.github.io/Logging_2260/tillsynsmail/A 13934-2024 tillsynsbegäran mail.docx", "A 13934-2024")</f>
        <v/>
      </c>
    </row>
    <row r="194" ht="15" customHeight="1">
      <c r="A194" t="inlineStr">
        <is>
          <t>A 39180-2024</t>
        </is>
      </c>
      <c r="B194" s="1" t="n">
        <v>45548.6571412037</v>
      </c>
      <c r="C194" s="1" t="n">
        <v>45965</v>
      </c>
      <c r="D194" t="inlineStr">
        <is>
          <t>VÄSTERNORRLANDS LÄN</t>
        </is>
      </c>
      <c r="E194" t="inlineStr">
        <is>
          <t>ÅNGE</t>
        </is>
      </c>
      <c r="F194" t="inlineStr">
        <is>
          <t>SCA</t>
        </is>
      </c>
      <c r="G194" t="n">
        <v>8.699999999999999</v>
      </c>
      <c r="H194" t="n">
        <v>0</v>
      </c>
      <c r="I194" t="n">
        <v>0</v>
      </c>
      <c r="J194" t="n">
        <v>1</v>
      </c>
      <c r="K194" t="n">
        <v>0</v>
      </c>
      <c r="L194" t="n">
        <v>0</v>
      </c>
      <c r="M194" t="n">
        <v>0</v>
      </c>
      <c r="N194" t="n">
        <v>0</v>
      </c>
      <c r="O194" t="n">
        <v>1</v>
      </c>
      <c r="P194" t="n">
        <v>0</v>
      </c>
      <c r="Q194" t="n">
        <v>1</v>
      </c>
      <c r="R194" s="2" t="inlineStr">
        <is>
          <t>Lunglav</t>
        </is>
      </c>
      <c r="S194">
        <f>HYPERLINK("https://klasma.github.io/Logging_2260/artfynd/A 39180-2024 artfynd.xlsx", "A 39180-2024")</f>
        <v/>
      </c>
      <c r="T194">
        <f>HYPERLINK("https://klasma.github.io/Logging_2260/kartor/A 39180-2024 karta.png", "A 39180-2024")</f>
        <v/>
      </c>
      <c r="V194">
        <f>HYPERLINK("https://klasma.github.io/Logging_2260/klagomål/A 39180-2024 FSC-klagomål.docx", "A 39180-2024")</f>
        <v/>
      </c>
      <c r="W194">
        <f>HYPERLINK("https://klasma.github.io/Logging_2260/klagomålsmail/A 39180-2024 FSC-klagomål mail.docx", "A 39180-2024")</f>
        <v/>
      </c>
      <c r="X194">
        <f>HYPERLINK("https://klasma.github.io/Logging_2260/tillsyn/A 39180-2024 tillsynsbegäran.docx", "A 39180-2024")</f>
        <v/>
      </c>
      <c r="Y194">
        <f>HYPERLINK("https://klasma.github.io/Logging_2260/tillsynsmail/A 39180-2024 tillsynsbegäran mail.docx", "A 39180-2024")</f>
        <v/>
      </c>
    </row>
    <row r="195" ht="15" customHeight="1">
      <c r="A195" t="inlineStr">
        <is>
          <t>A 39933-2022</t>
        </is>
      </c>
      <c r="B195" s="1" t="n">
        <v>44819</v>
      </c>
      <c r="C195" s="1" t="n">
        <v>45965</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30774-2024</t>
        </is>
      </c>
      <c r="B196" s="1" t="n">
        <v>45496.949375</v>
      </c>
      <c r="C196" s="1" t="n">
        <v>45965</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32457-2024</t>
        </is>
      </c>
      <c r="B197" s="1" t="n">
        <v>45512</v>
      </c>
      <c r="C197" s="1" t="n">
        <v>45965</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31544-2024</t>
        </is>
      </c>
      <c r="B198" s="1" t="n">
        <v>45505</v>
      </c>
      <c r="C198" s="1" t="n">
        <v>45965</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64510-2023</t>
        </is>
      </c>
      <c r="B199" s="1" t="n">
        <v>45281</v>
      </c>
      <c r="C199" s="1" t="n">
        <v>45965</v>
      </c>
      <c r="D199" t="inlineStr">
        <is>
          <t>VÄSTERNORRLANDS LÄN</t>
        </is>
      </c>
      <c r="E199" t="inlineStr">
        <is>
          <t>ÅNGE</t>
        </is>
      </c>
      <c r="G199" t="n">
        <v>3.7</v>
      </c>
      <c r="H199" t="n">
        <v>0</v>
      </c>
      <c r="I199" t="n">
        <v>1</v>
      </c>
      <c r="J199" t="n">
        <v>0</v>
      </c>
      <c r="K199" t="n">
        <v>0</v>
      </c>
      <c r="L199" t="n">
        <v>0</v>
      </c>
      <c r="M199" t="n">
        <v>0</v>
      </c>
      <c r="N199" t="n">
        <v>0</v>
      </c>
      <c r="O199" t="n">
        <v>0</v>
      </c>
      <c r="P199" t="n">
        <v>0</v>
      </c>
      <c r="Q199" t="n">
        <v>1</v>
      </c>
      <c r="R199" s="2" t="inlineStr">
        <is>
          <t>Dropptaggsvamp</t>
        </is>
      </c>
      <c r="S199">
        <f>HYPERLINK("https://klasma.github.io/Logging_2260/artfynd/A 64510-2023 artfynd.xlsx", "A 64510-2023")</f>
        <v/>
      </c>
      <c r="T199">
        <f>HYPERLINK("https://klasma.github.io/Logging_2260/kartor/A 64510-2023 karta.png", "A 64510-2023")</f>
        <v/>
      </c>
      <c r="V199">
        <f>HYPERLINK("https://klasma.github.io/Logging_2260/klagomål/A 64510-2023 FSC-klagomål.docx", "A 64510-2023")</f>
        <v/>
      </c>
      <c r="W199">
        <f>HYPERLINK("https://klasma.github.io/Logging_2260/klagomålsmail/A 64510-2023 FSC-klagomål mail.docx", "A 64510-2023")</f>
        <v/>
      </c>
      <c r="X199">
        <f>HYPERLINK("https://klasma.github.io/Logging_2260/tillsyn/A 64510-2023 tillsynsbegäran.docx", "A 64510-2023")</f>
        <v/>
      </c>
      <c r="Y199">
        <f>HYPERLINK("https://klasma.github.io/Logging_2260/tillsynsmail/A 64510-2023 tillsynsbegäran mail.docx", "A 64510-2023")</f>
        <v/>
      </c>
    </row>
    <row r="200" ht="15" customHeight="1">
      <c r="A200" t="inlineStr">
        <is>
          <t>A 38603-2024</t>
        </is>
      </c>
      <c r="B200" s="1" t="n">
        <v>45546</v>
      </c>
      <c r="C200" s="1" t="n">
        <v>45965</v>
      </c>
      <c r="D200" t="inlineStr">
        <is>
          <t>VÄSTERNORRLANDS LÄN</t>
        </is>
      </c>
      <c r="E200" t="inlineStr">
        <is>
          <t>ÅNGE</t>
        </is>
      </c>
      <c r="F200" t="inlineStr">
        <is>
          <t>SCA</t>
        </is>
      </c>
      <c r="G200" t="n">
        <v>5.6</v>
      </c>
      <c r="H200" t="n">
        <v>0</v>
      </c>
      <c r="I200" t="n">
        <v>0</v>
      </c>
      <c r="J200" t="n">
        <v>0</v>
      </c>
      <c r="K200" t="n">
        <v>1</v>
      </c>
      <c r="L200" t="n">
        <v>0</v>
      </c>
      <c r="M200" t="n">
        <v>0</v>
      </c>
      <c r="N200" t="n">
        <v>0</v>
      </c>
      <c r="O200" t="n">
        <v>1</v>
      </c>
      <c r="P200" t="n">
        <v>1</v>
      </c>
      <c r="Q200" t="n">
        <v>1</v>
      </c>
      <c r="R200" s="2" t="inlineStr">
        <is>
          <t>Rynkskinn</t>
        </is>
      </c>
      <c r="S200">
        <f>HYPERLINK("https://klasma.github.io/Logging_2260/artfynd/A 38603-2024 artfynd.xlsx", "A 38603-2024")</f>
        <v/>
      </c>
      <c r="T200">
        <f>HYPERLINK("https://klasma.github.io/Logging_2260/kartor/A 38603-2024 karta.png", "A 38603-2024")</f>
        <v/>
      </c>
      <c r="V200">
        <f>HYPERLINK("https://klasma.github.io/Logging_2260/klagomål/A 38603-2024 FSC-klagomål.docx", "A 38603-2024")</f>
        <v/>
      </c>
      <c r="W200">
        <f>HYPERLINK("https://klasma.github.io/Logging_2260/klagomålsmail/A 38603-2024 FSC-klagomål mail.docx", "A 38603-2024")</f>
        <v/>
      </c>
      <c r="X200">
        <f>HYPERLINK("https://klasma.github.io/Logging_2260/tillsyn/A 38603-2024 tillsynsbegäran.docx", "A 38603-2024")</f>
        <v/>
      </c>
      <c r="Y200">
        <f>HYPERLINK("https://klasma.github.io/Logging_2260/tillsynsmail/A 38603-2024 tillsynsbegäran mail.docx", "A 38603-2024")</f>
        <v/>
      </c>
    </row>
    <row r="201" ht="15" customHeight="1">
      <c r="A201" t="inlineStr">
        <is>
          <t>A 20192-2025</t>
        </is>
      </c>
      <c r="B201" s="1" t="n">
        <v>45772.60177083333</v>
      </c>
      <c r="C201" s="1" t="n">
        <v>45965</v>
      </c>
      <c r="D201" t="inlineStr">
        <is>
          <t>VÄSTERNORRLANDS LÄN</t>
        </is>
      </c>
      <c r="E201" t="inlineStr">
        <is>
          <t>ÅNGE</t>
        </is>
      </c>
      <c r="F201" t="inlineStr">
        <is>
          <t>Sveaskog</t>
        </is>
      </c>
      <c r="G201" t="n">
        <v>8.800000000000001</v>
      </c>
      <c r="H201" t="n">
        <v>1</v>
      </c>
      <c r="I201" t="n">
        <v>0</v>
      </c>
      <c r="J201" t="n">
        <v>0</v>
      </c>
      <c r="K201" t="n">
        <v>0</v>
      </c>
      <c r="L201" t="n">
        <v>0</v>
      </c>
      <c r="M201" t="n">
        <v>0</v>
      </c>
      <c r="N201" t="n">
        <v>0</v>
      </c>
      <c r="O201" t="n">
        <v>0</v>
      </c>
      <c r="P201" t="n">
        <v>0</v>
      </c>
      <c r="Q201" t="n">
        <v>1</v>
      </c>
      <c r="R201" s="2" t="inlineStr">
        <is>
          <t>Blåsippa</t>
        </is>
      </c>
      <c r="S201">
        <f>HYPERLINK("https://klasma.github.io/Logging_2260/artfynd/A 20192-2025 artfynd.xlsx", "A 20192-2025")</f>
        <v/>
      </c>
      <c r="T201">
        <f>HYPERLINK("https://klasma.github.io/Logging_2260/kartor/A 20192-2025 karta.png", "A 20192-2025")</f>
        <v/>
      </c>
      <c r="V201">
        <f>HYPERLINK("https://klasma.github.io/Logging_2260/klagomål/A 20192-2025 FSC-klagomål.docx", "A 20192-2025")</f>
        <v/>
      </c>
      <c r="W201">
        <f>HYPERLINK("https://klasma.github.io/Logging_2260/klagomålsmail/A 20192-2025 FSC-klagomål mail.docx", "A 20192-2025")</f>
        <v/>
      </c>
      <c r="X201">
        <f>HYPERLINK("https://klasma.github.io/Logging_2260/tillsyn/A 20192-2025 tillsynsbegäran.docx", "A 20192-2025")</f>
        <v/>
      </c>
      <c r="Y201">
        <f>HYPERLINK("https://klasma.github.io/Logging_2260/tillsynsmail/A 20192-2025 tillsynsbegäran mail.docx", "A 20192-2025")</f>
        <v/>
      </c>
    </row>
    <row r="202" ht="15" customHeight="1">
      <c r="A202" t="inlineStr">
        <is>
          <t>A 71366-2021</t>
        </is>
      </c>
      <c r="B202" s="1" t="n">
        <v>44539</v>
      </c>
      <c r="C202" s="1" t="n">
        <v>45965</v>
      </c>
      <c r="D202" t="inlineStr">
        <is>
          <t>VÄSTERNORRLANDS LÄN</t>
        </is>
      </c>
      <c r="E202" t="inlineStr">
        <is>
          <t>ÅNGE</t>
        </is>
      </c>
      <c r="F202" t="inlineStr">
        <is>
          <t>SCA</t>
        </is>
      </c>
      <c r="G202" t="n">
        <v>2.3</v>
      </c>
      <c r="H202" t="n">
        <v>1</v>
      </c>
      <c r="I202" t="n">
        <v>0</v>
      </c>
      <c r="J202" t="n">
        <v>0</v>
      </c>
      <c r="K202" t="n">
        <v>1</v>
      </c>
      <c r="L202" t="n">
        <v>0</v>
      </c>
      <c r="M202" t="n">
        <v>0</v>
      </c>
      <c r="N202" t="n">
        <v>0</v>
      </c>
      <c r="O202" t="n">
        <v>1</v>
      </c>
      <c r="P202" t="n">
        <v>1</v>
      </c>
      <c r="Q202" t="n">
        <v>1</v>
      </c>
      <c r="R202" s="2" t="inlineStr">
        <is>
          <t>Knärot</t>
        </is>
      </c>
      <c r="S202">
        <f>HYPERLINK("https://klasma.github.io/Logging_2260/artfynd/A 71366-2021 artfynd.xlsx", "A 71366-2021")</f>
        <v/>
      </c>
      <c r="T202">
        <f>HYPERLINK("https://klasma.github.io/Logging_2260/kartor/A 71366-2021 karta.png", "A 71366-2021")</f>
        <v/>
      </c>
      <c r="U202">
        <f>HYPERLINK("https://klasma.github.io/Logging_2260/knärot/A 71366-2021 karta knärot.png", "A 71366-2021")</f>
        <v/>
      </c>
      <c r="V202">
        <f>HYPERLINK("https://klasma.github.io/Logging_2260/klagomål/A 71366-2021 FSC-klagomål.docx", "A 71366-2021")</f>
        <v/>
      </c>
      <c r="W202">
        <f>HYPERLINK("https://klasma.github.io/Logging_2260/klagomålsmail/A 71366-2021 FSC-klagomål mail.docx", "A 71366-2021")</f>
        <v/>
      </c>
      <c r="X202">
        <f>HYPERLINK("https://klasma.github.io/Logging_2260/tillsyn/A 71366-2021 tillsynsbegäran.docx", "A 71366-2021")</f>
        <v/>
      </c>
      <c r="Y202">
        <f>HYPERLINK("https://klasma.github.io/Logging_2260/tillsynsmail/A 71366-2021 tillsynsbegäran mail.docx", "A 71366-2021")</f>
        <v/>
      </c>
    </row>
    <row r="203" ht="15" customHeight="1">
      <c r="A203" t="inlineStr">
        <is>
          <t>A 37914-2024</t>
        </is>
      </c>
      <c r="B203" s="1" t="n">
        <v>45544</v>
      </c>
      <c r="C203" s="1" t="n">
        <v>45965</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4351-2024</t>
        </is>
      </c>
      <c r="B204" s="1" t="n">
        <v>45324</v>
      </c>
      <c r="C204" s="1" t="n">
        <v>45965</v>
      </c>
      <c r="D204" t="inlineStr">
        <is>
          <t>VÄSTERNORRLANDS LÄN</t>
        </is>
      </c>
      <c r="E204" t="inlineStr">
        <is>
          <t>ÅNGE</t>
        </is>
      </c>
      <c r="F204" t="inlineStr">
        <is>
          <t>SCA</t>
        </is>
      </c>
      <c r="G204" t="n">
        <v>0.5</v>
      </c>
      <c r="H204" t="n">
        <v>0</v>
      </c>
      <c r="I204" t="n">
        <v>0</v>
      </c>
      <c r="J204" t="n">
        <v>1</v>
      </c>
      <c r="K204" t="n">
        <v>0</v>
      </c>
      <c r="L204" t="n">
        <v>0</v>
      </c>
      <c r="M204" t="n">
        <v>0</v>
      </c>
      <c r="N204" t="n">
        <v>0</v>
      </c>
      <c r="O204" t="n">
        <v>1</v>
      </c>
      <c r="P204" t="n">
        <v>0</v>
      </c>
      <c r="Q204" t="n">
        <v>1</v>
      </c>
      <c r="R204" s="2" t="inlineStr">
        <is>
          <t>Garnlav</t>
        </is>
      </c>
      <c r="S204">
        <f>HYPERLINK("https://klasma.github.io/Logging_2260/artfynd/A 4351-2024 artfynd.xlsx", "A 4351-2024")</f>
        <v/>
      </c>
      <c r="T204">
        <f>HYPERLINK("https://klasma.github.io/Logging_2260/kartor/A 4351-2024 karta.png", "A 4351-2024")</f>
        <v/>
      </c>
      <c r="V204">
        <f>HYPERLINK("https://klasma.github.io/Logging_2260/klagomål/A 4351-2024 FSC-klagomål.docx", "A 4351-2024")</f>
        <v/>
      </c>
      <c r="W204">
        <f>HYPERLINK("https://klasma.github.io/Logging_2260/klagomålsmail/A 4351-2024 FSC-klagomål mail.docx", "A 4351-2024")</f>
        <v/>
      </c>
      <c r="X204">
        <f>HYPERLINK("https://klasma.github.io/Logging_2260/tillsyn/A 4351-2024 tillsynsbegäran.docx", "A 4351-2024")</f>
        <v/>
      </c>
      <c r="Y204">
        <f>HYPERLINK("https://klasma.github.io/Logging_2260/tillsynsmail/A 4351-2024 tillsynsbegäran mail.docx", "A 4351-2024")</f>
        <v/>
      </c>
    </row>
    <row r="205" ht="15" customHeight="1">
      <c r="A205" t="inlineStr">
        <is>
          <t>A 27308-2024</t>
        </is>
      </c>
      <c r="B205" s="1" t="n">
        <v>45471</v>
      </c>
      <c r="C205" s="1" t="n">
        <v>45965</v>
      </c>
      <c r="D205" t="inlineStr">
        <is>
          <t>VÄSTERNORRLANDS LÄN</t>
        </is>
      </c>
      <c r="E205" t="inlineStr">
        <is>
          <t>ÅNGE</t>
        </is>
      </c>
      <c r="F205" t="inlineStr">
        <is>
          <t>SCA</t>
        </is>
      </c>
      <c r="G205" t="n">
        <v>15.9</v>
      </c>
      <c r="H205" t="n">
        <v>0</v>
      </c>
      <c r="I205" t="n">
        <v>0</v>
      </c>
      <c r="J205" t="n">
        <v>1</v>
      </c>
      <c r="K205" t="n">
        <v>0</v>
      </c>
      <c r="L205" t="n">
        <v>0</v>
      </c>
      <c r="M205" t="n">
        <v>0</v>
      </c>
      <c r="N205" t="n">
        <v>0</v>
      </c>
      <c r="O205" t="n">
        <v>1</v>
      </c>
      <c r="P205" t="n">
        <v>0</v>
      </c>
      <c r="Q205" t="n">
        <v>1</v>
      </c>
      <c r="R205" s="2" t="inlineStr">
        <is>
          <t>Lunglav</t>
        </is>
      </c>
      <c r="S205">
        <f>HYPERLINK("https://klasma.github.io/Logging_2260/artfynd/A 27308-2024 artfynd.xlsx", "A 27308-2024")</f>
        <v/>
      </c>
      <c r="T205">
        <f>HYPERLINK("https://klasma.github.io/Logging_2260/kartor/A 27308-2024 karta.png", "A 27308-2024")</f>
        <v/>
      </c>
      <c r="V205">
        <f>HYPERLINK("https://klasma.github.io/Logging_2260/klagomål/A 27308-2024 FSC-klagomål.docx", "A 27308-2024")</f>
        <v/>
      </c>
      <c r="W205">
        <f>HYPERLINK("https://klasma.github.io/Logging_2260/klagomålsmail/A 27308-2024 FSC-klagomål mail.docx", "A 27308-2024")</f>
        <v/>
      </c>
      <c r="X205">
        <f>HYPERLINK("https://klasma.github.io/Logging_2260/tillsyn/A 27308-2024 tillsynsbegäran.docx", "A 27308-2024")</f>
        <v/>
      </c>
      <c r="Y205">
        <f>HYPERLINK("https://klasma.github.io/Logging_2260/tillsynsmail/A 27308-2024 tillsynsbegäran mail.docx", "A 27308-2024")</f>
        <v/>
      </c>
    </row>
    <row r="206" ht="15" customHeight="1">
      <c r="A206" t="inlineStr">
        <is>
          <t>A 56091-2024</t>
        </is>
      </c>
      <c r="B206" s="1" t="n">
        <v>45624.40678240741</v>
      </c>
      <c r="C206" s="1" t="n">
        <v>45965</v>
      </c>
      <c r="D206" t="inlineStr">
        <is>
          <t>VÄSTERNORRLANDS LÄN</t>
        </is>
      </c>
      <c r="E206" t="inlineStr">
        <is>
          <t>ÅNGE</t>
        </is>
      </c>
      <c r="F206" t="inlineStr">
        <is>
          <t>SCA</t>
        </is>
      </c>
      <c r="G206" t="n">
        <v>2.5</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56091-2024 artfynd.xlsx", "A 56091-2024")</f>
        <v/>
      </c>
      <c r="T206">
        <f>HYPERLINK("https://klasma.github.io/Logging_2260/kartor/A 56091-2024 karta.png", "A 56091-2024")</f>
        <v/>
      </c>
      <c r="V206">
        <f>HYPERLINK("https://klasma.github.io/Logging_2260/klagomål/A 56091-2024 FSC-klagomål.docx", "A 56091-2024")</f>
        <v/>
      </c>
      <c r="W206">
        <f>HYPERLINK("https://klasma.github.io/Logging_2260/klagomålsmail/A 56091-2024 FSC-klagomål mail.docx", "A 56091-2024")</f>
        <v/>
      </c>
      <c r="X206">
        <f>HYPERLINK("https://klasma.github.io/Logging_2260/tillsyn/A 56091-2024 tillsynsbegäran.docx", "A 56091-2024")</f>
        <v/>
      </c>
      <c r="Y206">
        <f>HYPERLINK("https://klasma.github.io/Logging_2260/tillsynsmail/A 56091-2024 tillsynsbegäran mail.docx", "A 56091-2024")</f>
        <v/>
      </c>
    </row>
    <row r="207" ht="15" customHeight="1">
      <c r="A207" t="inlineStr">
        <is>
          <t>A 31878-2024</t>
        </is>
      </c>
      <c r="B207" s="1" t="n">
        <v>45509</v>
      </c>
      <c r="C207" s="1" t="n">
        <v>45965</v>
      </c>
      <c r="D207" t="inlineStr">
        <is>
          <t>VÄSTERNORRLANDS LÄN</t>
        </is>
      </c>
      <c r="E207" t="inlineStr">
        <is>
          <t>ÅNGE</t>
        </is>
      </c>
      <c r="F207" t="inlineStr">
        <is>
          <t>SCA</t>
        </is>
      </c>
      <c r="G207" t="n">
        <v>5.1</v>
      </c>
      <c r="H207" t="n">
        <v>0</v>
      </c>
      <c r="I207" t="n">
        <v>1</v>
      </c>
      <c r="J207" t="n">
        <v>0</v>
      </c>
      <c r="K207" t="n">
        <v>0</v>
      </c>
      <c r="L207" t="n">
        <v>0</v>
      </c>
      <c r="M207" t="n">
        <v>0</v>
      </c>
      <c r="N207" t="n">
        <v>0</v>
      </c>
      <c r="O207" t="n">
        <v>0</v>
      </c>
      <c r="P207" t="n">
        <v>0</v>
      </c>
      <c r="Q207" t="n">
        <v>1</v>
      </c>
      <c r="R207" s="2" t="inlineStr">
        <is>
          <t>Grönpyrola</t>
        </is>
      </c>
      <c r="S207">
        <f>HYPERLINK("https://klasma.github.io/Logging_2260/artfynd/A 31878-2024 artfynd.xlsx", "A 31878-2024")</f>
        <v/>
      </c>
      <c r="T207">
        <f>HYPERLINK("https://klasma.github.io/Logging_2260/kartor/A 31878-2024 karta.png", "A 31878-2024")</f>
        <v/>
      </c>
      <c r="V207">
        <f>HYPERLINK("https://klasma.github.io/Logging_2260/klagomål/A 31878-2024 FSC-klagomål.docx", "A 31878-2024")</f>
        <v/>
      </c>
      <c r="W207">
        <f>HYPERLINK("https://klasma.github.io/Logging_2260/klagomålsmail/A 31878-2024 FSC-klagomål mail.docx", "A 31878-2024")</f>
        <v/>
      </c>
      <c r="X207">
        <f>HYPERLINK("https://klasma.github.io/Logging_2260/tillsyn/A 31878-2024 tillsynsbegäran.docx", "A 31878-2024")</f>
        <v/>
      </c>
      <c r="Y207">
        <f>HYPERLINK("https://klasma.github.io/Logging_2260/tillsynsmail/A 31878-2024 tillsynsbegäran mail.docx", "A 31878-2024")</f>
        <v/>
      </c>
    </row>
    <row r="208" ht="15" customHeight="1">
      <c r="A208" t="inlineStr">
        <is>
          <t>A 47857-2025</t>
        </is>
      </c>
      <c r="B208" s="1" t="n">
        <v>45932.4068287037</v>
      </c>
      <c r="C208" s="1" t="n">
        <v>45965</v>
      </c>
      <c r="D208" t="inlineStr">
        <is>
          <t>VÄSTERNORRLANDS LÄN</t>
        </is>
      </c>
      <c r="E208" t="inlineStr">
        <is>
          <t>ÅNGE</t>
        </is>
      </c>
      <c r="G208" t="n">
        <v>2.5</v>
      </c>
      <c r="H208" t="n">
        <v>1</v>
      </c>
      <c r="I208" t="n">
        <v>0</v>
      </c>
      <c r="J208" t="n">
        <v>1</v>
      </c>
      <c r="K208" t="n">
        <v>0</v>
      </c>
      <c r="L208" t="n">
        <v>0</v>
      </c>
      <c r="M208" t="n">
        <v>0</v>
      </c>
      <c r="N208" t="n">
        <v>0</v>
      </c>
      <c r="O208" t="n">
        <v>1</v>
      </c>
      <c r="P208" t="n">
        <v>0</v>
      </c>
      <c r="Q208" t="n">
        <v>1</v>
      </c>
      <c r="R208" s="2" t="inlineStr">
        <is>
          <t>Kungsörn</t>
        </is>
      </c>
      <c r="S208">
        <f>HYPERLINK("https://klasma.github.io/Logging_2260/artfynd/A 47857-2025 artfynd.xlsx", "A 47857-2025")</f>
        <v/>
      </c>
      <c r="T208">
        <f>HYPERLINK("https://klasma.github.io/Logging_2260/kartor/A 47857-2025 karta.png", "A 47857-2025")</f>
        <v/>
      </c>
      <c r="V208">
        <f>HYPERLINK("https://klasma.github.io/Logging_2260/klagomål/A 47857-2025 FSC-klagomål.docx", "A 47857-2025")</f>
        <v/>
      </c>
      <c r="W208">
        <f>HYPERLINK("https://klasma.github.io/Logging_2260/klagomålsmail/A 47857-2025 FSC-klagomål mail.docx", "A 47857-2025")</f>
        <v/>
      </c>
      <c r="X208">
        <f>HYPERLINK("https://klasma.github.io/Logging_2260/tillsyn/A 47857-2025 tillsynsbegäran.docx", "A 47857-2025")</f>
        <v/>
      </c>
      <c r="Y208">
        <f>HYPERLINK("https://klasma.github.io/Logging_2260/tillsynsmail/A 47857-2025 tillsynsbegäran mail.docx", "A 47857-2025")</f>
        <v/>
      </c>
      <c r="Z208">
        <f>HYPERLINK("https://klasma.github.io/Logging_2260/fåglar/A 47857-2025 prioriterade fågelarter.docx", "A 47857-2025")</f>
        <v/>
      </c>
    </row>
    <row r="209" ht="15" customHeight="1">
      <c r="A209" t="inlineStr">
        <is>
          <t>A 23490-2025</t>
        </is>
      </c>
      <c r="B209" s="1" t="n">
        <v>45792.46907407408</v>
      </c>
      <c r="C209" s="1" t="n">
        <v>45965</v>
      </c>
      <c r="D209" t="inlineStr">
        <is>
          <t>VÄSTERNORRLANDS LÄN</t>
        </is>
      </c>
      <c r="E209" t="inlineStr">
        <is>
          <t>ÅNGE</t>
        </is>
      </c>
      <c r="F209" t="inlineStr">
        <is>
          <t>SCA</t>
        </is>
      </c>
      <c r="G209" t="n">
        <v>3.3</v>
      </c>
      <c r="H209" t="n">
        <v>0</v>
      </c>
      <c r="I209" t="n">
        <v>0</v>
      </c>
      <c r="J209" t="n">
        <v>1</v>
      </c>
      <c r="K209" t="n">
        <v>0</v>
      </c>
      <c r="L209" t="n">
        <v>0</v>
      </c>
      <c r="M209" t="n">
        <v>0</v>
      </c>
      <c r="N209" t="n">
        <v>0</v>
      </c>
      <c r="O209" t="n">
        <v>1</v>
      </c>
      <c r="P209" t="n">
        <v>0</v>
      </c>
      <c r="Q209" t="n">
        <v>1</v>
      </c>
      <c r="R209" s="2" t="inlineStr">
        <is>
          <t>Garnlav</t>
        </is>
      </c>
      <c r="S209">
        <f>HYPERLINK("https://klasma.github.io/Logging_2260/artfynd/A 23490-2025 artfynd.xlsx", "A 23490-2025")</f>
        <v/>
      </c>
      <c r="T209">
        <f>HYPERLINK("https://klasma.github.io/Logging_2260/kartor/A 23490-2025 karta.png", "A 23490-2025")</f>
        <v/>
      </c>
      <c r="V209">
        <f>HYPERLINK("https://klasma.github.io/Logging_2260/klagomål/A 23490-2025 FSC-klagomål.docx", "A 23490-2025")</f>
        <v/>
      </c>
      <c r="W209">
        <f>HYPERLINK("https://klasma.github.io/Logging_2260/klagomålsmail/A 23490-2025 FSC-klagomål mail.docx", "A 23490-2025")</f>
        <v/>
      </c>
      <c r="X209">
        <f>HYPERLINK("https://klasma.github.io/Logging_2260/tillsyn/A 23490-2025 tillsynsbegäran.docx", "A 23490-2025")</f>
        <v/>
      </c>
      <c r="Y209">
        <f>HYPERLINK("https://klasma.github.io/Logging_2260/tillsynsmail/A 23490-2025 tillsynsbegäran mail.docx", "A 23490-2025")</f>
        <v/>
      </c>
    </row>
    <row r="210" ht="15" customHeight="1">
      <c r="A210" t="inlineStr">
        <is>
          <t>A 57272-2024</t>
        </is>
      </c>
      <c r="B210" s="1" t="n">
        <v>45629.57380787037</v>
      </c>
      <c r="C210" s="1" t="n">
        <v>45965</v>
      </c>
      <c r="D210" t="inlineStr">
        <is>
          <t>VÄSTERNORRLANDS LÄN</t>
        </is>
      </c>
      <c r="E210" t="inlineStr">
        <is>
          <t>ÅNGE</t>
        </is>
      </c>
      <c r="F210" t="inlineStr">
        <is>
          <t>SCA</t>
        </is>
      </c>
      <c r="G210" t="n">
        <v>5.4</v>
      </c>
      <c r="H210" t="n">
        <v>0</v>
      </c>
      <c r="I210" t="n">
        <v>0</v>
      </c>
      <c r="J210" t="n">
        <v>1</v>
      </c>
      <c r="K210" t="n">
        <v>0</v>
      </c>
      <c r="L210" t="n">
        <v>0</v>
      </c>
      <c r="M210" t="n">
        <v>0</v>
      </c>
      <c r="N210" t="n">
        <v>0</v>
      </c>
      <c r="O210" t="n">
        <v>1</v>
      </c>
      <c r="P210" t="n">
        <v>0</v>
      </c>
      <c r="Q210" t="n">
        <v>1</v>
      </c>
      <c r="R210" s="2" t="inlineStr">
        <is>
          <t>Orange taggsvamp</t>
        </is>
      </c>
      <c r="S210">
        <f>HYPERLINK("https://klasma.github.io/Logging_2260/artfynd/A 57272-2024 artfynd.xlsx", "A 57272-2024")</f>
        <v/>
      </c>
      <c r="T210">
        <f>HYPERLINK("https://klasma.github.io/Logging_2260/kartor/A 57272-2024 karta.png", "A 57272-2024")</f>
        <v/>
      </c>
      <c r="V210">
        <f>HYPERLINK("https://klasma.github.io/Logging_2260/klagomål/A 57272-2024 FSC-klagomål.docx", "A 57272-2024")</f>
        <v/>
      </c>
      <c r="W210">
        <f>HYPERLINK("https://klasma.github.io/Logging_2260/klagomålsmail/A 57272-2024 FSC-klagomål mail.docx", "A 57272-2024")</f>
        <v/>
      </c>
      <c r="X210">
        <f>HYPERLINK("https://klasma.github.io/Logging_2260/tillsyn/A 57272-2024 tillsynsbegäran.docx", "A 57272-2024")</f>
        <v/>
      </c>
      <c r="Y210">
        <f>HYPERLINK("https://klasma.github.io/Logging_2260/tillsynsmail/A 57272-2024 tillsynsbegäran mail.docx", "A 57272-2024")</f>
        <v/>
      </c>
    </row>
    <row r="211" ht="15" customHeight="1">
      <c r="A211" t="inlineStr">
        <is>
          <t>A 31510-2024</t>
        </is>
      </c>
      <c r="B211" s="1" t="n">
        <v>45505</v>
      </c>
      <c r="C211" s="1" t="n">
        <v>45965</v>
      </c>
      <c r="D211" t="inlineStr">
        <is>
          <t>VÄSTERNORRLANDS LÄN</t>
        </is>
      </c>
      <c r="E211" t="inlineStr">
        <is>
          <t>ÅNGE</t>
        </is>
      </c>
      <c r="F211" t="inlineStr">
        <is>
          <t>SCA</t>
        </is>
      </c>
      <c r="G211" t="n">
        <v>6</v>
      </c>
      <c r="H211" t="n">
        <v>1</v>
      </c>
      <c r="I211" t="n">
        <v>0</v>
      </c>
      <c r="J211" t="n">
        <v>0</v>
      </c>
      <c r="K211" t="n">
        <v>1</v>
      </c>
      <c r="L211" t="n">
        <v>0</v>
      </c>
      <c r="M211" t="n">
        <v>0</v>
      </c>
      <c r="N211" t="n">
        <v>0</v>
      </c>
      <c r="O211" t="n">
        <v>1</v>
      </c>
      <c r="P211" t="n">
        <v>1</v>
      </c>
      <c r="Q211" t="n">
        <v>1</v>
      </c>
      <c r="R211" s="2" t="inlineStr">
        <is>
          <t>Doftticka</t>
        </is>
      </c>
      <c r="S211">
        <f>HYPERLINK("https://klasma.github.io/Logging_2260/artfynd/A 31510-2024 artfynd.xlsx", "A 31510-2024")</f>
        <v/>
      </c>
      <c r="T211">
        <f>HYPERLINK("https://klasma.github.io/Logging_2260/kartor/A 31510-2024 karta.png", "A 31510-2024")</f>
        <v/>
      </c>
      <c r="V211">
        <f>HYPERLINK("https://klasma.github.io/Logging_2260/klagomål/A 31510-2024 FSC-klagomål.docx", "A 31510-2024")</f>
        <v/>
      </c>
      <c r="W211">
        <f>HYPERLINK("https://klasma.github.io/Logging_2260/klagomålsmail/A 31510-2024 FSC-klagomål mail.docx", "A 31510-2024")</f>
        <v/>
      </c>
      <c r="X211">
        <f>HYPERLINK("https://klasma.github.io/Logging_2260/tillsyn/A 31510-2024 tillsynsbegäran.docx", "A 31510-2024")</f>
        <v/>
      </c>
      <c r="Y211">
        <f>HYPERLINK("https://klasma.github.io/Logging_2260/tillsynsmail/A 31510-2024 tillsynsbegäran mail.docx", "A 31510-2024")</f>
        <v/>
      </c>
    </row>
    <row r="212" ht="15" customHeight="1">
      <c r="A212" t="inlineStr">
        <is>
          <t>A 54386-2024</t>
        </is>
      </c>
      <c r="B212" s="1" t="n">
        <v>45617.44822916666</v>
      </c>
      <c r="C212" s="1" t="n">
        <v>45965</v>
      </c>
      <c r="D212" t="inlineStr">
        <is>
          <t>VÄSTERNORRLANDS LÄN</t>
        </is>
      </c>
      <c r="E212" t="inlineStr">
        <is>
          <t>ÅNGE</t>
        </is>
      </c>
      <c r="F212" t="inlineStr">
        <is>
          <t>SCA</t>
        </is>
      </c>
      <c r="G212" t="n">
        <v>1.9</v>
      </c>
      <c r="H212" t="n">
        <v>0</v>
      </c>
      <c r="I212" t="n">
        <v>0</v>
      </c>
      <c r="J212" t="n">
        <v>1</v>
      </c>
      <c r="K212" t="n">
        <v>0</v>
      </c>
      <c r="L212" t="n">
        <v>0</v>
      </c>
      <c r="M212" t="n">
        <v>0</v>
      </c>
      <c r="N212" t="n">
        <v>0</v>
      </c>
      <c r="O212" t="n">
        <v>1</v>
      </c>
      <c r="P212" t="n">
        <v>0</v>
      </c>
      <c r="Q212" t="n">
        <v>1</v>
      </c>
      <c r="R212" s="2" t="inlineStr">
        <is>
          <t>Reliktbock</t>
        </is>
      </c>
      <c r="S212">
        <f>HYPERLINK("https://klasma.github.io/Logging_2260/artfynd/A 54386-2024 artfynd.xlsx", "A 54386-2024")</f>
        <v/>
      </c>
      <c r="T212">
        <f>HYPERLINK("https://klasma.github.io/Logging_2260/kartor/A 54386-2024 karta.png", "A 54386-2024")</f>
        <v/>
      </c>
      <c r="V212">
        <f>HYPERLINK("https://klasma.github.io/Logging_2260/klagomål/A 54386-2024 FSC-klagomål.docx", "A 54386-2024")</f>
        <v/>
      </c>
      <c r="W212">
        <f>HYPERLINK("https://klasma.github.io/Logging_2260/klagomålsmail/A 54386-2024 FSC-klagomål mail.docx", "A 54386-2024")</f>
        <v/>
      </c>
      <c r="X212">
        <f>HYPERLINK("https://klasma.github.io/Logging_2260/tillsyn/A 54386-2024 tillsynsbegäran.docx", "A 54386-2024")</f>
        <v/>
      </c>
      <c r="Y212">
        <f>HYPERLINK("https://klasma.github.io/Logging_2260/tillsynsmail/A 54386-2024 tillsynsbegäran mail.docx", "A 54386-2024")</f>
        <v/>
      </c>
    </row>
    <row r="213" ht="15" customHeight="1">
      <c r="A213" t="inlineStr">
        <is>
          <t>A 1449-2025</t>
        </is>
      </c>
      <c r="B213" s="1" t="n">
        <v>45670.27537037037</v>
      </c>
      <c r="C213" s="1" t="n">
        <v>45965</v>
      </c>
      <c r="D213" t="inlineStr">
        <is>
          <t>VÄSTERNORRLANDS LÄN</t>
        </is>
      </c>
      <c r="E213" t="inlineStr">
        <is>
          <t>ÅNGE</t>
        </is>
      </c>
      <c r="G213" t="n">
        <v>6.3</v>
      </c>
      <c r="H213" t="n">
        <v>0</v>
      </c>
      <c r="I213" t="n">
        <v>1</v>
      </c>
      <c r="J213" t="n">
        <v>0</v>
      </c>
      <c r="K213" t="n">
        <v>0</v>
      </c>
      <c r="L213" t="n">
        <v>0</v>
      </c>
      <c r="M213" t="n">
        <v>0</v>
      </c>
      <c r="N213" t="n">
        <v>0</v>
      </c>
      <c r="O213" t="n">
        <v>0</v>
      </c>
      <c r="P213" t="n">
        <v>0</v>
      </c>
      <c r="Q213" t="n">
        <v>1</v>
      </c>
      <c r="R213" s="2" t="inlineStr">
        <is>
          <t>Korallblylav</t>
        </is>
      </c>
      <c r="S213">
        <f>HYPERLINK("https://klasma.github.io/Logging_2260/artfynd/A 1449-2025 artfynd.xlsx", "A 1449-2025")</f>
        <v/>
      </c>
      <c r="T213">
        <f>HYPERLINK("https://klasma.github.io/Logging_2260/kartor/A 1449-2025 karta.png", "A 1449-2025")</f>
        <v/>
      </c>
      <c r="V213">
        <f>HYPERLINK("https://klasma.github.io/Logging_2260/klagomål/A 1449-2025 FSC-klagomål.docx", "A 1449-2025")</f>
        <v/>
      </c>
      <c r="W213">
        <f>HYPERLINK("https://klasma.github.io/Logging_2260/klagomålsmail/A 1449-2025 FSC-klagomål mail.docx", "A 1449-2025")</f>
        <v/>
      </c>
      <c r="X213">
        <f>HYPERLINK("https://klasma.github.io/Logging_2260/tillsyn/A 1449-2025 tillsynsbegäran.docx", "A 1449-2025")</f>
        <v/>
      </c>
      <c r="Y213">
        <f>HYPERLINK("https://klasma.github.io/Logging_2260/tillsynsmail/A 1449-2025 tillsynsbegäran mail.docx", "A 1449-2025")</f>
        <v/>
      </c>
    </row>
    <row r="214" ht="15" customHeight="1">
      <c r="A214" t="inlineStr">
        <is>
          <t>A 55015-2023</t>
        </is>
      </c>
      <c r="B214" s="1" t="n">
        <v>45237.32185185186</v>
      </c>
      <c r="C214" s="1" t="n">
        <v>45965</v>
      </c>
      <c r="D214" t="inlineStr">
        <is>
          <t>VÄSTERNORRLANDS LÄN</t>
        </is>
      </c>
      <c r="E214" t="inlineStr">
        <is>
          <t>ÅNGE</t>
        </is>
      </c>
      <c r="F214" t="inlineStr">
        <is>
          <t>Sveaskog</t>
        </is>
      </c>
      <c r="G214" t="n">
        <v>2.7</v>
      </c>
      <c r="H214" t="n">
        <v>0</v>
      </c>
      <c r="I214" t="n">
        <v>0</v>
      </c>
      <c r="J214" t="n">
        <v>1</v>
      </c>
      <c r="K214" t="n">
        <v>0</v>
      </c>
      <c r="L214" t="n">
        <v>0</v>
      </c>
      <c r="M214" t="n">
        <v>0</v>
      </c>
      <c r="N214" t="n">
        <v>0</v>
      </c>
      <c r="O214" t="n">
        <v>1</v>
      </c>
      <c r="P214" t="n">
        <v>0</v>
      </c>
      <c r="Q214" t="n">
        <v>1</v>
      </c>
      <c r="R214" s="2" t="inlineStr">
        <is>
          <t>Lunglav</t>
        </is>
      </c>
      <c r="S214">
        <f>HYPERLINK("https://klasma.github.io/Logging_2260/artfynd/A 55015-2023 artfynd.xlsx", "A 55015-2023")</f>
        <v/>
      </c>
      <c r="T214">
        <f>HYPERLINK("https://klasma.github.io/Logging_2260/kartor/A 55015-2023 karta.png", "A 55015-2023")</f>
        <v/>
      </c>
      <c r="V214">
        <f>HYPERLINK("https://klasma.github.io/Logging_2260/klagomål/A 55015-2023 FSC-klagomål.docx", "A 55015-2023")</f>
        <v/>
      </c>
      <c r="W214">
        <f>HYPERLINK("https://klasma.github.io/Logging_2260/klagomålsmail/A 55015-2023 FSC-klagomål mail.docx", "A 55015-2023")</f>
        <v/>
      </c>
      <c r="X214">
        <f>HYPERLINK("https://klasma.github.io/Logging_2260/tillsyn/A 55015-2023 tillsynsbegäran.docx", "A 55015-2023")</f>
        <v/>
      </c>
      <c r="Y214">
        <f>HYPERLINK("https://klasma.github.io/Logging_2260/tillsynsmail/A 55015-2023 tillsynsbegäran mail.docx", "A 55015-2023")</f>
        <v/>
      </c>
    </row>
    <row r="215" ht="15" customHeight="1">
      <c r="A215" t="inlineStr">
        <is>
          <t>A 27025-2025</t>
        </is>
      </c>
      <c r="B215" s="1" t="n">
        <v>45811</v>
      </c>
      <c r="C215" s="1" t="n">
        <v>45965</v>
      </c>
      <c r="D215" t="inlineStr">
        <is>
          <t>VÄSTERNORRLANDS LÄN</t>
        </is>
      </c>
      <c r="E215" t="inlineStr">
        <is>
          <t>ÅNGE</t>
        </is>
      </c>
      <c r="G215" t="n">
        <v>25.5</v>
      </c>
      <c r="H215" t="n">
        <v>0</v>
      </c>
      <c r="I215" t="n">
        <v>0</v>
      </c>
      <c r="J215" t="n">
        <v>1</v>
      </c>
      <c r="K215" t="n">
        <v>0</v>
      </c>
      <c r="L215" t="n">
        <v>0</v>
      </c>
      <c r="M215" t="n">
        <v>0</v>
      </c>
      <c r="N215" t="n">
        <v>0</v>
      </c>
      <c r="O215" t="n">
        <v>1</v>
      </c>
      <c r="P215" t="n">
        <v>0</v>
      </c>
      <c r="Q215" t="n">
        <v>1</v>
      </c>
      <c r="R215" s="2" t="inlineStr">
        <is>
          <t>Garnlav</t>
        </is>
      </c>
      <c r="S215">
        <f>HYPERLINK("https://klasma.github.io/Logging_2260/artfynd/A 27025-2025 artfynd.xlsx", "A 27025-2025")</f>
        <v/>
      </c>
      <c r="T215">
        <f>HYPERLINK("https://klasma.github.io/Logging_2260/kartor/A 27025-2025 karta.png", "A 27025-2025")</f>
        <v/>
      </c>
      <c r="U215">
        <f>HYPERLINK("https://klasma.github.io/Logging_2260/knärot/A 27025-2025 karta knärot.png", "A 27025-2025")</f>
        <v/>
      </c>
      <c r="V215">
        <f>HYPERLINK("https://klasma.github.io/Logging_2260/klagomål/A 27025-2025 FSC-klagomål.docx", "A 27025-2025")</f>
        <v/>
      </c>
      <c r="W215">
        <f>HYPERLINK("https://klasma.github.io/Logging_2260/klagomålsmail/A 27025-2025 FSC-klagomål mail.docx", "A 27025-2025")</f>
        <v/>
      </c>
      <c r="X215">
        <f>HYPERLINK("https://klasma.github.io/Logging_2260/tillsyn/A 27025-2025 tillsynsbegäran.docx", "A 27025-2025")</f>
        <v/>
      </c>
      <c r="Y215">
        <f>HYPERLINK("https://klasma.github.io/Logging_2260/tillsynsmail/A 27025-2025 tillsynsbegäran mail.docx", "A 27025-2025")</f>
        <v/>
      </c>
    </row>
    <row r="216" ht="15" customHeight="1">
      <c r="A216" t="inlineStr">
        <is>
          <t>A 34696-2024</t>
        </is>
      </c>
      <c r="B216" s="1" t="n">
        <v>45526</v>
      </c>
      <c r="C216" s="1" t="n">
        <v>45965</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41493-2021</t>
        </is>
      </c>
      <c r="B217" s="1" t="n">
        <v>44424</v>
      </c>
      <c r="C217" s="1" t="n">
        <v>45965</v>
      </c>
      <c r="D217" t="inlineStr">
        <is>
          <t>VÄSTERNORRLANDS LÄN</t>
        </is>
      </c>
      <c r="E217" t="inlineStr">
        <is>
          <t>ÅNGE</t>
        </is>
      </c>
      <c r="F217" t="inlineStr">
        <is>
          <t>SCA</t>
        </is>
      </c>
      <c r="G217" t="n">
        <v>8</v>
      </c>
      <c r="H217" t="n">
        <v>1</v>
      </c>
      <c r="I217" t="n">
        <v>0</v>
      </c>
      <c r="J217" t="n">
        <v>0</v>
      </c>
      <c r="K217" t="n">
        <v>1</v>
      </c>
      <c r="L217" t="n">
        <v>0</v>
      </c>
      <c r="M217" t="n">
        <v>0</v>
      </c>
      <c r="N217" t="n">
        <v>0</v>
      </c>
      <c r="O217" t="n">
        <v>1</v>
      </c>
      <c r="P217" t="n">
        <v>1</v>
      </c>
      <c r="Q217" t="n">
        <v>1</v>
      </c>
      <c r="R217" s="2" t="inlineStr">
        <is>
          <t>Knärot</t>
        </is>
      </c>
      <c r="S217">
        <f>HYPERLINK("https://klasma.github.io/Logging_2260/artfynd/A 41493-2021 artfynd.xlsx", "A 41493-2021")</f>
        <v/>
      </c>
      <c r="T217">
        <f>HYPERLINK("https://klasma.github.io/Logging_2260/kartor/A 41493-2021 karta.png", "A 41493-2021")</f>
        <v/>
      </c>
      <c r="U217">
        <f>HYPERLINK("https://klasma.github.io/Logging_2260/knärot/A 41493-2021 karta knärot.png", "A 41493-2021")</f>
        <v/>
      </c>
      <c r="V217">
        <f>HYPERLINK("https://klasma.github.io/Logging_2260/klagomål/A 41493-2021 FSC-klagomål.docx", "A 41493-2021")</f>
        <v/>
      </c>
      <c r="W217">
        <f>HYPERLINK("https://klasma.github.io/Logging_2260/klagomålsmail/A 41493-2021 FSC-klagomål mail.docx", "A 41493-2021")</f>
        <v/>
      </c>
      <c r="X217">
        <f>HYPERLINK("https://klasma.github.io/Logging_2260/tillsyn/A 41493-2021 tillsynsbegäran.docx", "A 41493-2021")</f>
        <v/>
      </c>
      <c r="Y217">
        <f>HYPERLINK("https://klasma.github.io/Logging_2260/tillsynsmail/A 41493-2021 tillsynsbegäran mail.docx", "A 41493-2021")</f>
        <v/>
      </c>
    </row>
    <row r="218" ht="15" customHeight="1">
      <c r="A218" t="inlineStr">
        <is>
          <t>A 35648-2025</t>
        </is>
      </c>
      <c r="B218" s="1" t="n">
        <v>45859.51670138889</v>
      </c>
      <c r="C218" s="1" t="n">
        <v>45965</v>
      </c>
      <c r="D218" t="inlineStr">
        <is>
          <t>VÄSTERNORRLANDS LÄN</t>
        </is>
      </c>
      <c r="E218" t="inlineStr">
        <is>
          <t>ÅNGE</t>
        </is>
      </c>
      <c r="F218" t="inlineStr">
        <is>
          <t>Sveaskog</t>
        </is>
      </c>
      <c r="G218" t="n">
        <v>9.1</v>
      </c>
      <c r="H218" t="n">
        <v>0</v>
      </c>
      <c r="I218" t="n">
        <v>0</v>
      </c>
      <c r="J218" t="n">
        <v>1</v>
      </c>
      <c r="K218" t="n">
        <v>0</v>
      </c>
      <c r="L218" t="n">
        <v>0</v>
      </c>
      <c r="M218" t="n">
        <v>0</v>
      </c>
      <c r="N218" t="n">
        <v>0</v>
      </c>
      <c r="O218" t="n">
        <v>1</v>
      </c>
      <c r="P218" t="n">
        <v>0</v>
      </c>
      <c r="Q218" t="n">
        <v>1</v>
      </c>
      <c r="R218" s="2" t="inlineStr">
        <is>
          <t>Lunglav</t>
        </is>
      </c>
      <c r="S218">
        <f>HYPERLINK("https://klasma.github.io/Logging_2260/artfynd/A 35648-2025 artfynd.xlsx", "A 35648-2025")</f>
        <v/>
      </c>
      <c r="T218">
        <f>HYPERLINK("https://klasma.github.io/Logging_2260/kartor/A 35648-2025 karta.png", "A 35648-2025")</f>
        <v/>
      </c>
      <c r="V218">
        <f>HYPERLINK("https://klasma.github.io/Logging_2260/klagomål/A 35648-2025 FSC-klagomål.docx", "A 35648-2025")</f>
        <v/>
      </c>
      <c r="W218">
        <f>HYPERLINK("https://klasma.github.io/Logging_2260/klagomålsmail/A 35648-2025 FSC-klagomål mail.docx", "A 35648-2025")</f>
        <v/>
      </c>
      <c r="X218">
        <f>HYPERLINK("https://klasma.github.io/Logging_2260/tillsyn/A 35648-2025 tillsynsbegäran.docx", "A 35648-2025")</f>
        <v/>
      </c>
      <c r="Y218">
        <f>HYPERLINK("https://klasma.github.io/Logging_2260/tillsynsmail/A 35648-2025 tillsynsbegäran mail.docx", "A 35648-2025")</f>
        <v/>
      </c>
    </row>
    <row r="219" ht="15" customHeight="1">
      <c r="A219" t="inlineStr">
        <is>
          <t>A 35839-2025</t>
        </is>
      </c>
      <c r="B219" s="1" t="n">
        <v>45861.53943287037</v>
      </c>
      <c r="C219" s="1" t="n">
        <v>45965</v>
      </c>
      <c r="D219" t="inlineStr">
        <is>
          <t>VÄSTERNORRLANDS LÄN</t>
        </is>
      </c>
      <c r="E219" t="inlineStr">
        <is>
          <t>ÅNGE</t>
        </is>
      </c>
      <c r="F219" t="inlineStr">
        <is>
          <t>Sveaskog</t>
        </is>
      </c>
      <c r="G219" t="n">
        <v>7.9</v>
      </c>
      <c r="H219" t="n">
        <v>0</v>
      </c>
      <c r="I219" t="n">
        <v>0</v>
      </c>
      <c r="J219" t="n">
        <v>1</v>
      </c>
      <c r="K219" t="n">
        <v>0</v>
      </c>
      <c r="L219" t="n">
        <v>0</v>
      </c>
      <c r="M219" t="n">
        <v>0</v>
      </c>
      <c r="N219" t="n">
        <v>0</v>
      </c>
      <c r="O219" t="n">
        <v>1</v>
      </c>
      <c r="P219" t="n">
        <v>0</v>
      </c>
      <c r="Q219" t="n">
        <v>1</v>
      </c>
      <c r="R219" s="2" t="inlineStr">
        <is>
          <t>Lunglav</t>
        </is>
      </c>
      <c r="S219">
        <f>HYPERLINK("https://klasma.github.io/Logging_2260/artfynd/A 35839-2025 artfynd.xlsx", "A 35839-2025")</f>
        <v/>
      </c>
      <c r="T219">
        <f>HYPERLINK("https://klasma.github.io/Logging_2260/kartor/A 35839-2025 karta.png", "A 35839-2025")</f>
        <v/>
      </c>
      <c r="V219">
        <f>HYPERLINK("https://klasma.github.io/Logging_2260/klagomål/A 35839-2025 FSC-klagomål.docx", "A 35839-2025")</f>
        <v/>
      </c>
      <c r="W219">
        <f>HYPERLINK("https://klasma.github.io/Logging_2260/klagomålsmail/A 35839-2025 FSC-klagomål mail.docx", "A 35839-2025")</f>
        <v/>
      </c>
      <c r="X219">
        <f>HYPERLINK("https://klasma.github.io/Logging_2260/tillsyn/A 35839-2025 tillsynsbegäran.docx", "A 35839-2025")</f>
        <v/>
      </c>
      <c r="Y219">
        <f>HYPERLINK("https://klasma.github.io/Logging_2260/tillsynsmail/A 35839-2025 tillsynsbegäran mail.docx", "A 35839-2025")</f>
        <v/>
      </c>
    </row>
    <row r="220" ht="15" customHeight="1">
      <c r="A220" t="inlineStr">
        <is>
          <t>A 25705-2024</t>
        </is>
      </c>
      <c r="B220" s="1" t="n">
        <v>45463.9428587963</v>
      </c>
      <c r="C220" s="1" t="n">
        <v>45965</v>
      </c>
      <c r="D220" t="inlineStr">
        <is>
          <t>VÄSTERNORRLANDS LÄN</t>
        </is>
      </c>
      <c r="E220" t="inlineStr">
        <is>
          <t>ÅNGE</t>
        </is>
      </c>
      <c r="F220" t="inlineStr">
        <is>
          <t>SCA</t>
        </is>
      </c>
      <c r="G220" t="n">
        <v>10.6</v>
      </c>
      <c r="H220" t="n">
        <v>1</v>
      </c>
      <c r="I220" t="n">
        <v>1</v>
      </c>
      <c r="J220" t="n">
        <v>0</v>
      </c>
      <c r="K220" t="n">
        <v>0</v>
      </c>
      <c r="L220" t="n">
        <v>0</v>
      </c>
      <c r="M220" t="n">
        <v>0</v>
      </c>
      <c r="N220" t="n">
        <v>0</v>
      </c>
      <c r="O220" t="n">
        <v>0</v>
      </c>
      <c r="P220" t="n">
        <v>0</v>
      </c>
      <c r="Q220" t="n">
        <v>1</v>
      </c>
      <c r="R220" s="2" t="inlineStr">
        <is>
          <t>Korallrot</t>
        </is>
      </c>
      <c r="S220">
        <f>HYPERLINK("https://klasma.github.io/Logging_2260/artfynd/A 25705-2024 artfynd.xlsx", "A 25705-2024")</f>
        <v/>
      </c>
      <c r="T220">
        <f>HYPERLINK("https://klasma.github.io/Logging_2260/kartor/A 25705-2024 karta.png", "A 25705-2024")</f>
        <v/>
      </c>
      <c r="V220">
        <f>HYPERLINK("https://klasma.github.io/Logging_2260/klagomål/A 25705-2024 FSC-klagomål.docx", "A 25705-2024")</f>
        <v/>
      </c>
      <c r="W220">
        <f>HYPERLINK("https://klasma.github.io/Logging_2260/klagomålsmail/A 25705-2024 FSC-klagomål mail.docx", "A 25705-2024")</f>
        <v/>
      </c>
      <c r="X220">
        <f>HYPERLINK("https://klasma.github.io/Logging_2260/tillsyn/A 25705-2024 tillsynsbegäran.docx", "A 25705-2024")</f>
        <v/>
      </c>
      <c r="Y220">
        <f>HYPERLINK("https://klasma.github.io/Logging_2260/tillsynsmail/A 25705-2024 tillsynsbegäran mail.docx", "A 25705-2024")</f>
        <v/>
      </c>
    </row>
    <row r="221" ht="15" customHeight="1">
      <c r="A221" t="inlineStr">
        <is>
          <t>A 63983-2020</t>
        </is>
      </c>
      <c r="B221" s="1" t="n">
        <v>44167</v>
      </c>
      <c r="C221" s="1" t="n">
        <v>45965</v>
      </c>
      <c r="D221" t="inlineStr">
        <is>
          <t>VÄSTERNORRLANDS LÄN</t>
        </is>
      </c>
      <c r="E221" t="inlineStr">
        <is>
          <t>ÅNGE</t>
        </is>
      </c>
      <c r="F221" t="inlineStr">
        <is>
          <t>Kommuner</t>
        </is>
      </c>
      <c r="G221" t="n">
        <v>27.1</v>
      </c>
      <c r="H221" t="n">
        <v>1</v>
      </c>
      <c r="I221" t="n">
        <v>0</v>
      </c>
      <c r="J221" t="n">
        <v>0</v>
      </c>
      <c r="K221" t="n">
        <v>1</v>
      </c>
      <c r="L221" t="n">
        <v>0</v>
      </c>
      <c r="M221" t="n">
        <v>0</v>
      </c>
      <c r="N221" t="n">
        <v>0</v>
      </c>
      <c r="O221" t="n">
        <v>1</v>
      </c>
      <c r="P221" t="n">
        <v>1</v>
      </c>
      <c r="Q221" t="n">
        <v>1</v>
      </c>
      <c r="R221" s="2" t="inlineStr">
        <is>
          <t>Knärot</t>
        </is>
      </c>
      <c r="S221">
        <f>HYPERLINK("https://klasma.github.io/Logging_2260/artfynd/A 63983-2020 artfynd.xlsx", "A 63983-2020")</f>
        <v/>
      </c>
      <c r="T221">
        <f>HYPERLINK("https://klasma.github.io/Logging_2260/kartor/A 63983-2020 karta.png", "A 63983-2020")</f>
        <v/>
      </c>
      <c r="U221">
        <f>HYPERLINK("https://klasma.github.io/Logging_2260/knärot/A 63983-2020 karta knärot.png", "A 63983-2020")</f>
        <v/>
      </c>
      <c r="V221">
        <f>HYPERLINK("https://klasma.github.io/Logging_2260/klagomål/A 63983-2020 FSC-klagomål.docx", "A 63983-2020")</f>
        <v/>
      </c>
      <c r="W221">
        <f>HYPERLINK("https://klasma.github.io/Logging_2260/klagomålsmail/A 63983-2020 FSC-klagomål mail.docx", "A 63983-2020")</f>
        <v/>
      </c>
      <c r="X221">
        <f>HYPERLINK("https://klasma.github.io/Logging_2260/tillsyn/A 63983-2020 tillsynsbegäran.docx", "A 63983-2020")</f>
        <v/>
      </c>
      <c r="Y221">
        <f>HYPERLINK("https://klasma.github.io/Logging_2260/tillsynsmail/A 63983-2020 tillsynsbegäran mail.docx", "A 63983-2020")</f>
        <v/>
      </c>
    </row>
    <row r="222" ht="15" customHeight="1">
      <c r="A222" t="inlineStr">
        <is>
          <t>A 37432-2025</t>
        </is>
      </c>
      <c r="B222" s="1" t="n">
        <v>45877.51106481482</v>
      </c>
      <c r="C222" s="1" t="n">
        <v>45965</v>
      </c>
      <c r="D222" t="inlineStr">
        <is>
          <t>VÄSTERNORRLANDS LÄN</t>
        </is>
      </c>
      <c r="E222" t="inlineStr">
        <is>
          <t>ÅNGE</t>
        </is>
      </c>
      <c r="F222" t="inlineStr">
        <is>
          <t>SCA</t>
        </is>
      </c>
      <c r="G222" t="n">
        <v>1.2</v>
      </c>
      <c r="H222" t="n">
        <v>1</v>
      </c>
      <c r="I222" t="n">
        <v>1</v>
      </c>
      <c r="J222" t="n">
        <v>0</v>
      </c>
      <c r="K222" t="n">
        <v>0</v>
      </c>
      <c r="L222" t="n">
        <v>0</v>
      </c>
      <c r="M222" t="n">
        <v>0</v>
      </c>
      <c r="N222" t="n">
        <v>0</v>
      </c>
      <c r="O222" t="n">
        <v>0</v>
      </c>
      <c r="P222" t="n">
        <v>0</v>
      </c>
      <c r="Q222" t="n">
        <v>1</v>
      </c>
      <c r="R222" s="2" t="inlineStr">
        <is>
          <t>Spindelblomster</t>
        </is>
      </c>
      <c r="S222">
        <f>HYPERLINK("https://klasma.github.io/Logging_2260/artfynd/A 37432-2025 artfynd.xlsx", "A 37432-2025")</f>
        <v/>
      </c>
      <c r="T222">
        <f>HYPERLINK("https://klasma.github.io/Logging_2260/kartor/A 37432-2025 karta.png", "A 37432-2025")</f>
        <v/>
      </c>
      <c r="V222">
        <f>HYPERLINK("https://klasma.github.io/Logging_2260/klagomål/A 37432-2025 FSC-klagomål.docx", "A 37432-2025")</f>
        <v/>
      </c>
      <c r="W222">
        <f>HYPERLINK("https://klasma.github.io/Logging_2260/klagomålsmail/A 37432-2025 FSC-klagomål mail.docx", "A 37432-2025")</f>
        <v/>
      </c>
      <c r="X222">
        <f>HYPERLINK("https://klasma.github.io/Logging_2260/tillsyn/A 37432-2025 tillsynsbegäran.docx", "A 37432-2025")</f>
        <v/>
      </c>
      <c r="Y222">
        <f>HYPERLINK("https://klasma.github.io/Logging_2260/tillsynsmail/A 37432-2025 tillsynsbegäran mail.docx", "A 37432-2025")</f>
        <v/>
      </c>
    </row>
    <row r="223" ht="15" customHeight="1">
      <c r="A223" t="inlineStr">
        <is>
          <t>A 42524-2025</t>
        </is>
      </c>
      <c r="B223" s="1" t="n">
        <v>45905.55262731481</v>
      </c>
      <c r="C223" s="1" t="n">
        <v>45965</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Lunglav</t>
        </is>
      </c>
      <c r="S223">
        <f>HYPERLINK("https://klasma.github.io/Logging_2260/artfynd/A 42524-2025 artfynd.xlsx", "A 42524-2025")</f>
        <v/>
      </c>
      <c r="T223">
        <f>HYPERLINK("https://klasma.github.io/Logging_2260/kartor/A 42524-2025 karta.png", "A 42524-2025")</f>
        <v/>
      </c>
      <c r="V223">
        <f>HYPERLINK("https://klasma.github.io/Logging_2260/klagomål/A 42524-2025 FSC-klagomål.docx", "A 42524-2025")</f>
        <v/>
      </c>
      <c r="W223">
        <f>HYPERLINK("https://klasma.github.io/Logging_2260/klagomålsmail/A 42524-2025 FSC-klagomål mail.docx", "A 42524-2025")</f>
        <v/>
      </c>
      <c r="X223">
        <f>HYPERLINK("https://klasma.github.io/Logging_2260/tillsyn/A 42524-2025 tillsynsbegäran.docx", "A 42524-2025")</f>
        <v/>
      </c>
      <c r="Y223">
        <f>HYPERLINK("https://klasma.github.io/Logging_2260/tillsynsmail/A 42524-2025 tillsynsbegäran mail.docx", "A 42524-2025")</f>
        <v/>
      </c>
    </row>
    <row r="224" ht="15" customHeight="1">
      <c r="A224" t="inlineStr">
        <is>
          <t>A 43590-2025</t>
        </is>
      </c>
      <c r="B224" s="1" t="n">
        <v>45911.65665509259</v>
      </c>
      <c r="C224" s="1" t="n">
        <v>45965</v>
      </c>
      <c r="D224" t="inlineStr">
        <is>
          <t>VÄSTERNORRLANDS LÄN</t>
        </is>
      </c>
      <c r="E224" t="inlineStr">
        <is>
          <t>ÅNGE</t>
        </is>
      </c>
      <c r="F224" t="inlineStr">
        <is>
          <t>SCA</t>
        </is>
      </c>
      <c r="G224" t="n">
        <v>2.9</v>
      </c>
      <c r="H224" t="n">
        <v>0</v>
      </c>
      <c r="I224" t="n">
        <v>0</v>
      </c>
      <c r="J224" t="n">
        <v>1</v>
      </c>
      <c r="K224" t="n">
        <v>0</v>
      </c>
      <c r="L224" t="n">
        <v>0</v>
      </c>
      <c r="M224" t="n">
        <v>0</v>
      </c>
      <c r="N224" t="n">
        <v>0</v>
      </c>
      <c r="O224" t="n">
        <v>1</v>
      </c>
      <c r="P224" t="n">
        <v>0</v>
      </c>
      <c r="Q224" t="n">
        <v>1</v>
      </c>
      <c r="R224" s="2" t="inlineStr">
        <is>
          <t>Granticka</t>
        </is>
      </c>
      <c r="S224">
        <f>HYPERLINK("https://klasma.github.io/Logging_2260/artfynd/A 43590-2025 artfynd.xlsx", "A 43590-2025")</f>
        <v/>
      </c>
      <c r="T224">
        <f>HYPERLINK("https://klasma.github.io/Logging_2260/kartor/A 43590-2025 karta.png", "A 43590-2025")</f>
        <v/>
      </c>
      <c r="V224">
        <f>HYPERLINK("https://klasma.github.io/Logging_2260/klagomål/A 43590-2025 FSC-klagomål.docx", "A 43590-2025")</f>
        <v/>
      </c>
      <c r="W224">
        <f>HYPERLINK("https://klasma.github.io/Logging_2260/klagomålsmail/A 43590-2025 FSC-klagomål mail.docx", "A 43590-2025")</f>
        <v/>
      </c>
      <c r="X224">
        <f>HYPERLINK("https://klasma.github.io/Logging_2260/tillsyn/A 43590-2025 tillsynsbegäran.docx", "A 43590-2025")</f>
        <v/>
      </c>
      <c r="Y224">
        <f>HYPERLINK("https://klasma.github.io/Logging_2260/tillsynsmail/A 43590-2025 tillsynsbegäran mail.docx", "A 43590-2025")</f>
        <v/>
      </c>
    </row>
    <row r="225" ht="15" customHeight="1">
      <c r="A225" t="inlineStr">
        <is>
          <t>A 53683-2025</t>
        </is>
      </c>
      <c r="B225" s="1" t="n">
        <v>45960.57456018519</v>
      </c>
      <c r="C225" s="1" t="n">
        <v>45965</v>
      </c>
      <c r="D225" t="inlineStr">
        <is>
          <t>VÄSTERNORRLANDS LÄN</t>
        </is>
      </c>
      <c r="E225" t="inlineStr">
        <is>
          <t>ÅNGE</t>
        </is>
      </c>
      <c r="F225" t="inlineStr">
        <is>
          <t>SCA</t>
        </is>
      </c>
      <c r="G225" t="n">
        <v>3.6</v>
      </c>
      <c r="H225" t="n">
        <v>0</v>
      </c>
      <c r="I225" t="n">
        <v>1</v>
      </c>
      <c r="J225" t="n">
        <v>0</v>
      </c>
      <c r="K225" t="n">
        <v>0</v>
      </c>
      <c r="L225" t="n">
        <v>0</v>
      </c>
      <c r="M225" t="n">
        <v>0</v>
      </c>
      <c r="N225" t="n">
        <v>0</v>
      </c>
      <c r="O225" t="n">
        <v>0</v>
      </c>
      <c r="P225" t="n">
        <v>0</v>
      </c>
      <c r="Q225" t="n">
        <v>1</v>
      </c>
      <c r="R225" s="2" t="inlineStr">
        <is>
          <t>Ögonpyrola</t>
        </is>
      </c>
      <c r="S225">
        <f>HYPERLINK("https://klasma.github.io/Logging_2260/artfynd/A 53683-2025 artfynd.xlsx", "A 53683-2025")</f>
        <v/>
      </c>
      <c r="T225">
        <f>HYPERLINK("https://klasma.github.io/Logging_2260/kartor/A 53683-2025 karta.png", "A 53683-2025")</f>
        <v/>
      </c>
      <c r="U225">
        <f>HYPERLINK("https://klasma.github.io/Logging_2260/knärot/A 53683-2025 karta knärot.png", "A 53683-2025")</f>
        <v/>
      </c>
      <c r="V225">
        <f>HYPERLINK("https://klasma.github.io/Logging_2260/klagomål/A 53683-2025 FSC-klagomål.docx", "A 53683-2025")</f>
        <v/>
      </c>
      <c r="W225">
        <f>HYPERLINK("https://klasma.github.io/Logging_2260/klagomålsmail/A 53683-2025 FSC-klagomål mail.docx", "A 53683-2025")</f>
        <v/>
      </c>
      <c r="X225">
        <f>HYPERLINK("https://klasma.github.io/Logging_2260/tillsyn/A 53683-2025 tillsynsbegäran.docx", "A 53683-2025")</f>
        <v/>
      </c>
      <c r="Y225">
        <f>HYPERLINK("https://klasma.github.io/Logging_2260/tillsynsmail/A 53683-2025 tillsynsbegäran mail.docx", "A 53683-2025")</f>
        <v/>
      </c>
    </row>
    <row r="226" ht="15" customHeight="1">
      <c r="A226" t="inlineStr">
        <is>
          <t>A 48237-2025</t>
        </is>
      </c>
      <c r="B226" s="1" t="n">
        <v>45933</v>
      </c>
      <c r="C226" s="1" t="n">
        <v>45965</v>
      </c>
      <c r="D226" t="inlineStr">
        <is>
          <t>VÄSTERNORRLANDS LÄN</t>
        </is>
      </c>
      <c r="E226" t="inlineStr">
        <is>
          <t>ÅNGE</t>
        </is>
      </c>
      <c r="F226" t="inlineStr">
        <is>
          <t>SCA</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HYPERLINK("https://klasma.github.io/Logging_2260/artfynd/A 48237-2025 artfynd.xlsx", "A 48237-2025")</f>
        <v/>
      </c>
      <c r="T226">
        <f>HYPERLINK("https://klasma.github.io/Logging_2260/kartor/A 48237-2025 karta.png", "A 48237-2025")</f>
        <v/>
      </c>
      <c r="U226">
        <f>HYPERLINK("https://klasma.github.io/Logging_2260/knärot/A 48237-2025 karta knärot.png", "A 48237-2025")</f>
        <v/>
      </c>
      <c r="V226">
        <f>HYPERLINK("https://klasma.github.io/Logging_2260/klagomål/A 48237-2025 FSC-klagomål.docx", "A 48237-2025")</f>
        <v/>
      </c>
      <c r="W226">
        <f>HYPERLINK("https://klasma.github.io/Logging_2260/klagomålsmail/A 48237-2025 FSC-klagomål mail.docx", "A 48237-2025")</f>
        <v/>
      </c>
      <c r="X226">
        <f>HYPERLINK("https://klasma.github.io/Logging_2260/tillsyn/A 48237-2025 tillsynsbegäran.docx", "A 48237-2025")</f>
        <v/>
      </c>
      <c r="Y226">
        <f>HYPERLINK("https://klasma.github.io/Logging_2260/tillsynsmail/A 48237-2025 tillsynsbegäran mail.docx", "A 48237-2025")</f>
        <v/>
      </c>
    </row>
    <row r="227" ht="15" customHeight="1">
      <c r="A227" t="inlineStr">
        <is>
          <t>A 46094-2025</t>
        </is>
      </c>
      <c r="B227" s="1" t="n">
        <v>45924</v>
      </c>
      <c r="C227" s="1" t="n">
        <v>45965</v>
      </c>
      <c r="D227" t="inlineStr">
        <is>
          <t>VÄSTERNORRLANDS LÄN</t>
        </is>
      </c>
      <c r="E227" t="inlineStr">
        <is>
          <t>ÅNGE</t>
        </is>
      </c>
      <c r="F227" t="inlineStr">
        <is>
          <t>SCA</t>
        </is>
      </c>
      <c r="G227" t="n">
        <v>1.1</v>
      </c>
      <c r="H227" t="n">
        <v>1</v>
      </c>
      <c r="I227" t="n">
        <v>0</v>
      </c>
      <c r="J227" t="n">
        <v>1</v>
      </c>
      <c r="K227" t="n">
        <v>0</v>
      </c>
      <c r="L227" t="n">
        <v>0</v>
      </c>
      <c r="M227" t="n">
        <v>0</v>
      </c>
      <c r="N227" t="n">
        <v>0</v>
      </c>
      <c r="O227" t="n">
        <v>1</v>
      </c>
      <c r="P227" t="n">
        <v>0</v>
      </c>
      <c r="Q227" t="n">
        <v>1</v>
      </c>
      <c r="R227" s="2" t="inlineStr">
        <is>
          <t>Utter</t>
        </is>
      </c>
      <c r="S227">
        <f>HYPERLINK("https://klasma.github.io/Logging_2260/artfynd/A 46094-2025 artfynd.xlsx", "A 46094-2025")</f>
        <v/>
      </c>
      <c r="T227">
        <f>HYPERLINK("https://klasma.github.io/Logging_2260/kartor/A 46094-2025 karta.png", "A 46094-2025")</f>
        <v/>
      </c>
      <c r="V227">
        <f>HYPERLINK("https://klasma.github.io/Logging_2260/klagomål/A 46094-2025 FSC-klagomål.docx", "A 46094-2025")</f>
        <v/>
      </c>
      <c r="W227">
        <f>HYPERLINK("https://klasma.github.io/Logging_2260/klagomålsmail/A 46094-2025 FSC-klagomål mail.docx", "A 46094-2025")</f>
        <v/>
      </c>
      <c r="X227">
        <f>HYPERLINK("https://klasma.github.io/Logging_2260/tillsyn/A 46094-2025 tillsynsbegäran.docx", "A 46094-2025")</f>
        <v/>
      </c>
      <c r="Y227">
        <f>HYPERLINK("https://klasma.github.io/Logging_2260/tillsynsmail/A 46094-2025 tillsynsbegäran mail.docx", "A 46094-2025")</f>
        <v/>
      </c>
    </row>
    <row r="228" ht="15" customHeight="1">
      <c r="A228" t="inlineStr">
        <is>
          <t>A 8057-2021</t>
        </is>
      </c>
      <c r="B228" s="1" t="n">
        <v>44238</v>
      </c>
      <c r="C228" s="1" t="n">
        <v>45965</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45965</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45965</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45965</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45965</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45965</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45965</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45965</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45965</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45965</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45965</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45965</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45965</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45965</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45965</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45965</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45965</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45965</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45965</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45965</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45965</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45965</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45965</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45965</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45965</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45965</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45965</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45965</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45965</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45965</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45965</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45965</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45965</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45965</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45965</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45965</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45965</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45965</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45965</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45965</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45965</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45965</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45965</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45965</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45965</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45965</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45965</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45965</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45965</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45965</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45965</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45965</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45965</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45965</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45965</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45965</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45965</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45965</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45965</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45965</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45965</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45965</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45965</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45965</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45965</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45965</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45965</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45965</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45965</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45965</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45965</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45965</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45965</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45965</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57111-2020</t>
        </is>
      </c>
      <c r="B302" s="1" t="n">
        <v>44139</v>
      </c>
      <c r="C302" s="1" t="n">
        <v>45965</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45965</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45965</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45965</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45965</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45145-2021</t>
        </is>
      </c>
      <c r="B307" s="1" t="n">
        <v>44439</v>
      </c>
      <c r="C307" s="1" t="n">
        <v>45965</v>
      </c>
      <c r="D307" t="inlineStr">
        <is>
          <t>VÄSTERNORRLANDS LÄN</t>
        </is>
      </c>
      <c r="E307" t="inlineStr">
        <is>
          <t>ÅNGE</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45965</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20807-2021</t>
        </is>
      </c>
      <c r="B309" s="1" t="n">
        <v>44316.93965277778</v>
      </c>
      <c r="C309" s="1" t="n">
        <v>45965</v>
      </c>
      <c r="D309" t="inlineStr">
        <is>
          <t>VÄSTERNORRLANDS LÄN</t>
        </is>
      </c>
      <c r="E309" t="inlineStr">
        <is>
          <t>ÅNGE</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71302-2021</t>
        </is>
      </c>
      <c r="B310" s="1" t="n">
        <v>44539.63871527778</v>
      </c>
      <c r="C310" s="1" t="n">
        <v>45965</v>
      </c>
      <c r="D310" t="inlineStr">
        <is>
          <t>VÄSTERNORRLANDS LÄN</t>
        </is>
      </c>
      <c r="E310" t="inlineStr">
        <is>
          <t>ÅNGE</t>
        </is>
      </c>
      <c r="G310" t="n">
        <v>0.5</v>
      </c>
      <c r="H310" t="n">
        <v>0</v>
      </c>
      <c r="I310" t="n">
        <v>0</v>
      </c>
      <c r="J310" t="n">
        <v>0</v>
      </c>
      <c r="K310" t="n">
        <v>0</v>
      </c>
      <c r="L310" t="n">
        <v>0</v>
      </c>
      <c r="M310" t="n">
        <v>0</v>
      </c>
      <c r="N310" t="n">
        <v>0</v>
      </c>
      <c r="O310" t="n">
        <v>0</v>
      </c>
      <c r="P310" t="n">
        <v>0</v>
      </c>
      <c r="Q310" t="n">
        <v>0</v>
      </c>
      <c r="R310" s="2" t="inlineStr"/>
    </row>
    <row r="311" ht="15" customHeight="1">
      <c r="A311" t="inlineStr">
        <is>
          <t>A 37605-2021</t>
        </is>
      </c>
      <c r="B311" s="1" t="n">
        <v>44399</v>
      </c>
      <c r="C311" s="1" t="n">
        <v>45965</v>
      </c>
      <c r="D311" t="inlineStr">
        <is>
          <t>VÄSTERNORRLANDS LÄN</t>
        </is>
      </c>
      <c r="E311" t="inlineStr">
        <is>
          <t>ÅNGE</t>
        </is>
      </c>
      <c r="G311" t="n">
        <v>0.5</v>
      </c>
      <c r="H311" t="n">
        <v>0</v>
      </c>
      <c r="I311" t="n">
        <v>0</v>
      </c>
      <c r="J311" t="n">
        <v>0</v>
      </c>
      <c r="K311" t="n">
        <v>0</v>
      </c>
      <c r="L311" t="n">
        <v>0</v>
      </c>
      <c r="M311" t="n">
        <v>0</v>
      </c>
      <c r="N311" t="n">
        <v>0</v>
      </c>
      <c r="O311" t="n">
        <v>0</v>
      </c>
      <c r="P311" t="n">
        <v>0</v>
      </c>
      <c r="Q311" t="n">
        <v>0</v>
      </c>
      <c r="R311" s="2" t="inlineStr"/>
    </row>
    <row r="312" ht="15" customHeight="1">
      <c r="A312" t="inlineStr">
        <is>
          <t>A 37620-2021</t>
        </is>
      </c>
      <c r="B312" s="1" t="n">
        <v>44399</v>
      </c>
      <c r="C312" s="1" t="n">
        <v>45965</v>
      </c>
      <c r="D312" t="inlineStr">
        <is>
          <t>VÄSTERNORRLANDS LÄN</t>
        </is>
      </c>
      <c r="E312" t="inlineStr">
        <is>
          <t>ÅNGE</t>
        </is>
      </c>
      <c r="G312" t="n">
        <v>4.3</v>
      </c>
      <c r="H312" t="n">
        <v>0</v>
      </c>
      <c r="I312" t="n">
        <v>0</v>
      </c>
      <c r="J312" t="n">
        <v>0</v>
      </c>
      <c r="K312" t="n">
        <v>0</v>
      </c>
      <c r="L312" t="n">
        <v>0</v>
      </c>
      <c r="M312" t="n">
        <v>0</v>
      </c>
      <c r="N312" t="n">
        <v>0</v>
      </c>
      <c r="O312" t="n">
        <v>0</v>
      </c>
      <c r="P312" t="n">
        <v>0</v>
      </c>
      <c r="Q312" t="n">
        <v>0</v>
      </c>
      <c r="R312" s="2" t="inlineStr"/>
    </row>
    <row r="313" ht="15" customHeight="1">
      <c r="A313" t="inlineStr">
        <is>
          <t>A 17594-2021</t>
        </is>
      </c>
      <c r="B313" s="1" t="n">
        <v>44299</v>
      </c>
      <c r="C313" s="1" t="n">
        <v>45965</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6732-2022</t>
        </is>
      </c>
      <c r="B314" s="1" t="n">
        <v>44602.46072916667</v>
      </c>
      <c r="C314" s="1" t="n">
        <v>45965</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6898-2022</t>
        </is>
      </c>
      <c r="B315" s="1" t="n">
        <v>44602.92141203704</v>
      </c>
      <c r="C315" s="1" t="n">
        <v>45965</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70893-2021</t>
        </is>
      </c>
      <c r="B316" s="1" t="n">
        <v>44538</v>
      </c>
      <c r="C316" s="1" t="n">
        <v>45965</v>
      </c>
      <c r="D316" t="inlineStr">
        <is>
          <t>VÄSTERNORRLANDS LÄN</t>
        </is>
      </c>
      <c r="E316" t="inlineStr">
        <is>
          <t>ÅNGE</t>
        </is>
      </c>
      <c r="G316" t="n">
        <v>6.2</v>
      </c>
      <c r="H316" t="n">
        <v>0</v>
      </c>
      <c r="I316" t="n">
        <v>0</v>
      </c>
      <c r="J316" t="n">
        <v>0</v>
      </c>
      <c r="K316" t="n">
        <v>0</v>
      </c>
      <c r="L316" t="n">
        <v>0</v>
      </c>
      <c r="M316" t="n">
        <v>0</v>
      </c>
      <c r="N316" t="n">
        <v>0</v>
      </c>
      <c r="O316" t="n">
        <v>0</v>
      </c>
      <c r="P316" t="n">
        <v>0</v>
      </c>
      <c r="Q316" t="n">
        <v>0</v>
      </c>
      <c r="R316" s="2" t="inlineStr"/>
    </row>
    <row r="317" ht="15" customHeight="1">
      <c r="A317" t="inlineStr">
        <is>
          <t>A 69736-2021</t>
        </is>
      </c>
      <c r="B317" s="1" t="n">
        <v>44532</v>
      </c>
      <c r="C317" s="1" t="n">
        <v>45965</v>
      </c>
      <c r="D317" t="inlineStr">
        <is>
          <t>VÄSTERNORRLANDS LÄN</t>
        </is>
      </c>
      <c r="E317" t="inlineStr">
        <is>
          <t>ÅNGE</t>
        </is>
      </c>
      <c r="G317" t="n">
        <v>5</v>
      </c>
      <c r="H317" t="n">
        <v>0</v>
      </c>
      <c r="I317" t="n">
        <v>0</v>
      </c>
      <c r="J317" t="n">
        <v>0</v>
      </c>
      <c r="K317" t="n">
        <v>0</v>
      </c>
      <c r="L317" t="n">
        <v>0</v>
      </c>
      <c r="M317" t="n">
        <v>0</v>
      </c>
      <c r="N317" t="n">
        <v>0</v>
      </c>
      <c r="O317" t="n">
        <v>0</v>
      </c>
      <c r="P317" t="n">
        <v>0</v>
      </c>
      <c r="Q317" t="n">
        <v>0</v>
      </c>
      <c r="R317" s="2" t="inlineStr"/>
    </row>
    <row r="318" ht="15" customHeight="1">
      <c r="A318" t="inlineStr">
        <is>
          <t>A 5279-2022</t>
        </is>
      </c>
      <c r="B318" s="1" t="n">
        <v>44594</v>
      </c>
      <c r="C318" s="1" t="n">
        <v>45965</v>
      </c>
      <c r="D318" t="inlineStr">
        <is>
          <t>VÄSTERNORRLANDS LÄN</t>
        </is>
      </c>
      <c r="E318" t="inlineStr">
        <is>
          <t>ÅNGE</t>
        </is>
      </c>
      <c r="G318" t="n">
        <v>0.9</v>
      </c>
      <c r="H318" t="n">
        <v>0</v>
      </c>
      <c r="I318" t="n">
        <v>0</v>
      </c>
      <c r="J318" t="n">
        <v>0</v>
      </c>
      <c r="K318" t="n">
        <v>0</v>
      </c>
      <c r="L318" t="n">
        <v>0</v>
      </c>
      <c r="M318" t="n">
        <v>0</v>
      </c>
      <c r="N318" t="n">
        <v>0</v>
      </c>
      <c r="O318" t="n">
        <v>0</v>
      </c>
      <c r="P318" t="n">
        <v>0</v>
      </c>
      <c r="Q318" t="n">
        <v>0</v>
      </c>
      <c r="R318" s="2" t="inlineStr"/>
    </row>
    <row r="319" ht="15" customHeight="1">
      <c r="A319" t="inlineStr">
        <is>
          <t>A 20369-2022</t>
        </is>
      </c>
      <c r="B319" s="1" t="n">
        <v>44699.41140046297</v>
      </c>
      <c r="C319" s="1" t="n">
        <v>45965</v>
      </c>
      <c r="D319" t="inlineStr">
        <is>
          <t>VÄSTERNORRLANDS LÄN</t>
        </is>
      </c>
      <c r="E319" t="inlineStr">
        <is>
          <t>ÅNGE</t>
        </is>
      </c>
      <c r="G319" t="n">
        <v>5.5</v>
      </c>
      <c r="H319" t="n">
        <v>0</v>
      </c>
      <c r="I319" t="n">
        <v>0</v>
      </c>
      <c r="J319" t="n">
        <v>0</v>
      </c>
      <c r="K319" t="n">
        <v>0</v>
      </c>
      <c r="L319" t="n">
        <v>0</v>
      </c>
      <c r="M319" t="n">
        <v>0</v>
      </c>
      <c r="N319" t="n">
        <v>0</v>
      </c>
      <c r="O319" t="n">
        <v>0</v>
      </c>
      <c r="P319" t="n">
        <v>0</v>
      </c>
      <c r="Q319" t="n">
        <v>0</v>
      </c>
      <c r="R319" s="2" t="inlineStr"/>
    </row>
    <row r="320" ht="15" customHeight="1">
      <c r="A320" t="inlineStr">
        <is>
          <t>A 33408-2021</t>
        </is>
      </c>
      <c r="B320" s="1" t="n">
        <v>44377</v>
      </c>
      <c r="C320" s="1" t="n">
        <v>45965</v>
      </c>
      <c r="D320" t="inlineStr">
        <is>
          <t>VÄSTERNORRLANDS LÄN</t>
        </is>
      </c>
      <c r="E320" t="inlineStr">
        <is>
          <t>ÅNGE</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44412-2022</t>
        </is>
      </c>
      <c r="B321" s="1" t="n">
        <v>44839.92626157407</v>
      </c>
      <c r="C321" s="1" t="n">
        <v>45965</v>
      </c>
      <c r="D321" t="inlineStr">
        <is>
          <t>VÄSTERNORRLANDS LÄN</t>
        </is>
      </c>
      <c r="E321" t="inlineStr">
        <is>
          <t>ÅNGE</t>
        </is>
      </c>
      <c r="G321" t="n">
        <v>1.6</v>
      </c>
      <c r="H321" t="n">
        <v>0</v>
      </c>
      <c r="I321" t="n">
        <v>0</v>
      </c>
      <c r="J321" t="n">
        <v>0</v>
      </c>
      <c r="K321" t="n">
        <v>0</v>
      </c>
      <c r="L321" t="n">
        <v>0</v>
      </c>
      <c r="M321" t="n">
        <v>0</v>
      </c>
      <c r="N321" t="n">
        <v>0</v>
      </c>
      <c r="O321" t="n">
        <v>0</v>
      </c>
      <c r="P321" t="n">
        <v>0</v>
      </c>
      <c r="Q321" t="n">
        <v>0</v>
      </c>
      <c r="R321" s="2" t="inlineStr"/>
    </row>
    <row r="322" ht="15" customHeight="1">
      <c r="A322" t="inlineStr">
        <is>
          <t>A 57162-2021</t>
        </is>
      </c>
      <c r="B322" s="1" t="n">
        <v>44482</v>
      </c>
      <c r="C322" s="1" t="n">
        <v>45965</v>
      </c>
      <c r="D322" t="inlineStr">
        <is>
          <t>VÄSTERNORRLANDS LÄN</t>
        </is>
      </c>
      <c r="E322" t="inlineStr">
        <is>
          <t>ÅNGE</t>
        </is>
      </c>
      <c r="G322" t="n">
        <v>2.5</v>
      </c>
      <c r="H322" t="n">
        <v>0</v>
      </c>
      <c r="I322" t="n">
        <v>0</v>
      </c>
      <c r="J322" t="n">
        <v>0</v>
      </c>
      <c r="K322" t="n">
        <v>0</v>
      </c>
      <c r="L322" t="n">
        <v>0</v>
      </c>
      <c r="M322" t="n">
        <v>0</v>
      </c>
      <c r="N322" t="n">
        <v>0</v>
      </c>
      <c r="O322" t="n">
        <v>0</v>
      </c>
      <c r="P322" t="n">
        <v>0</v>
      </c>
      <c r="Q322" t="n">
        <v>0</v>
      </c>
      <c r="R322" s="2" t="inlineStr"/>
    </row>
    <row r="323" ht="15" customHeight="1">
      <c r="A323" t="inlineStr">
        <is>
          <t>A 5113-2022</t>
        </is>
      </c>
      <c r="B323" s="1" t="n">
        <v>44593.93362268519</v>
      </c>
      <c r="C323" s="1" t="n">
        <v>45965</v>
      </c>
      <c r="D323" t="inlineStr">
        <is>
          <t>VÄSTERNORRLANDS LÄN</t>
        </is>
      </c>
      <c r="E323" t="inlineStr">
        <is>
          <t>ÅNGE</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31668-2021</t>
        </is>
      </c>
      <c r="B324" s="1" t="n">
        <v>44369</v>
      </c>
      <c r="C324" s="1" t="n">
        <v>45965</v>
      </c>
      <c r="D324" t="inlineStr">
        <is>
          <t>VÄSTERNORRLANDS LÄN</t>
        </is>
      </c>
      <c r="E324" t="inlineStr">
        <is>
          <t>ÅNGE</t>
        </is>
      </c>
      <c r="F324" t="inlineStr">
        <is>
          <t>Kyrkan</t>
        </is>
      </c>
      <c r="G324" t="n">
        <v>3.6</v>
      </c>
      <c r="H324" t="n">
        <v>0</v>
      </c>
      <c r="I324" t="n">
        <v>0</v>
      </c>
      <c r="J324" t="n">
        <v>0</v>
      </c>
      <c r="K324" t="n">
        <v>0</v>
      </c>
      <c r="L324" t="n">
        <v>0</v>
      </c>
      <c r="M324" t="n">
        <v>0</v>
      </c>
      <c r="N324" t="n">
        <v>0</v>
      </c>
      <c r="O324" t="n">
        <v>0</v>
      </c>
      <c r="P324" t="n">
        <v>0</v>
      </c>
      <c r="Q324" t="n">
        <v>0</v>
      </c>
      <c r="R324" s="2" t="inlineStr"/>
    </row>
    <row r="325" ht="15" customHeight="1">
      <c r="A325" t="inlineStr">
        <is>
          <t>A 6263-2022</t>
        </is>
      </c>
      <c r="B325" s="1" t="n">
        <v>44600</v>
      </c>
      <c r="C325" s="1" t="n">
        <v>45965</v>
      </c>
      <c r="D325" t="inlineStr">
        <is>
          <t>VÄSTERNORRLANDS LÄN</t>
        </is>
      </c>
      <c r="E325" t="inlineStr">
        <is>
          <t>ÅNGE</t>
        </is>
      </c>
      <c r="G325" t="n">
        <v>1.4</v>
      </c>
      <c r="H325" t="n">
        <v>0</v>
      </c>
      <c r="I325" t="n">
        <v>0</v>
      </c>
      <c r="J325" t="n">
        <v>0</v>
      </c>
      <c r="K325" t="n">
        <v>0</v>
      </c>
      <c r="L325" t="n">
        <v>0</v>
      </c>
      <c r="M325" t="n">
        <v>0</v>
      </c>
      <c r="N325" t="n">
        <v>0</v>
      </c>
      <c r="O325" t="n">
        <v>0</v>
      </c>
      <c r="P325" t="n">
        <v>0</v>
      </c>
      <c r="Q325" t="n">
        <v>0</v>
      </c>
      <c r="R325" s="2" t="inlineStr"/>
    </row>
    <row r="326" ht="15" customHeight="1">
      <c r="A326" t="inlineStr">
        <is>
          <t>A 32328-2021</t>
        </is>
      </c>
      <c r="B326" s="1" t="n">
        <v>44371.55924768518</v>
      </c>
      <c r="C326" s="1" t="n">
        <v>45965</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55907-2022</t>
        </is>
      </c>
      <c r="B327" s="1" t="n">
        <v>44888.95457175926</v>
      </c>
      <c r="C327" s="1" t="n">
        <v>45965</v>
      </c>
      <c r="D327" t="inlineStr">
        <is>
          <t>VÄSTERNORRLANDS LÄN</t>
        </is>
      </c>
      <c r="E327" t="inlineStr">
        <is>
          <t>ÅNGE</t>
        </is>
      </c>
      <c r="F327" t="inlineStr">
        <is>
          <t>SCA</t>
        </is>
      </c>
      <c r="G327" t="n">
        <v>8.4</v>
      </c>
      <c r="H327" t="n">
        <v>0</v>
      </c>
      <c r="I327" t="n">
        <v>0</v>
      </c>
      <c r="J327" t="n">
        <v>0</v>
      </c>
      <c r="K327" t="n">
        <v>0</v>
      </c>
      <c r="L327" t="n">
        <v>0</v>
      </c>
      <c r="M327" t="n">
        <v>0</v>
      </c>
      <c r="N327" t="n">
        <v>0</v>
      </c>
      <c r="O327" t="n">
        <v>0</v>
      </c>
      <c r="P327" t="n">
        <v>0</v>
      </c>
      <c r="Q327" t="n">
        <v>0</v>
      </c>
      <c r="R327" s="2" t="inlineStr"/>
    </row>
    <row r="328" ht="15" customHeight="1">
      <c r="A328" t="inlineStr">
        <is>
          <t>A 61761-2021</t>
        </is>
      </c>
      <c r="B328" s="1" t="n">
        <v>44501</v>
      </c>
      <c r="C328" s="1" t="n">
        <v>45965</v>
      </c>
      <c r="D328" t="inlineStr">
        <is>
          <t>VÄSTERNORRLANDS LÄN</t>
        </is>
      </c>
      <c r="E328" t="inlineStr">
        <is>
          <t>ÅNGE</t>
        </is>
      </c>
      <c r="G328" t="n">
        <v>0.3</v>
      </c>
      <c r="H328" t="n">
        <v>0</v>
      </c>
      <c r="I328" t="n">
        <v>0</v>
      </c>
      <c r="J328" t="n">
        <v>0</v>
      </c>
      <c r="K328" t="n">
        <v>0</v>
      </c>
      <c r="L328" t="n">
        <v>0</v>
      </c>
      <c r="M328" t="n">
        <v>0</v>
      </c>
      <c r="N328" t="n">
        <v>0</v>
      </c>
      <c r="O328" t="n">
        <v>0</v>
      </c>
      <c r="P328" t="n">
        <v>0</v>
      </c>
      <c r="Q328" t="n">
        <v>0</v>
      </c>
      <c r="R328" s="2" t="inlineStr"/>
    </row>
    <row r="329" ht="15" customHeight="1">
      <c r="A329" t="inlineStr">
        <is>
          <t>A 31647-2022</t>
        </is>
      </c>
      <c r="B329" s="1" t="n">
        <v>44775.94328703704</v>
      </c>
      <c r="C329" s="1" t="n">
        <v>45965</v>
      </c>
      <c r="D329" t="inlineStr">
        <is>
          <t>VÄSTERNORRLANDS LÄN</t>
        </is>
      </c>
      <c r="E329" t="inlineStr">
        <is>
          <t>ÅNGE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45965</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66560-2021</t>
        </is>
      </c>
      <c r="B331" s="1" t="n">
        <v>44519</v>
      </c>
      <c r="C331" s="1" t="n">
        <v>45965</v>
      </c>
      <c r="D331" t="inlineStr">
        <is>
          <t>VÄSTERNORRLANDS LÄN</t>
        </is>
      </c>
      <c r="E331" t="inlineStr">
        <is>
          <t>ÅNGE</t>
        </is>
      </c>
      <c r="G331" t="n">
        <v>2.6</v>
      </c>
      <c r="H331" t="n">
        <v>0</v>
      </c>
      <c r="I331" t="n">
        <v>0</v>
      </c>
      <c r="J331" t="n">
        <v>0</v>
      </c>
      <c r="K331" t="n">
        <v>0</v>
      </c>
      <c r="L331" t="n">
        <v>0</v>
      </c>
      <c r="M331" t="n">
        <v>0</v>
      </c>
      <c r="N331" t="n">
        <v>0</v>
      </c>
      <c r="O331" t="n">
        <v>0</v>
      </c>
      <c r="P331" t="n">
        <v>0</v>
      </c>
      <c r="Q331" t="n">
        <v>0</v>
      </c>
      <c r="R331" s="2" t="inlineStr"/>
    </row>
    <row r="332" ht="15" customHeight="1">
      <c r="A332" t="inlineStr">
        <is>
          <t>A 74194-2021</t>
        </is>
      </c>
      <c r="B332" s="1" t="n">
        <v>44558.47333333334</v>
      </c>
      <c r="C332" s="1" t="n">
        <v>45965</v>
      </c>
      <c r="D332" t="inlineStr">
        <is>
          <t>VÄSTERNORRLANDS LÄN</t>
        </is>
      </c>
      <c r="E332" t="inlineStr">
        <is>
          <t>ÅNGE</t>
        </is>
      </c>
      <c r="G332" t="n">
        <v>1.9</v>
      </c>
      <c r="H332" t="n">
        <v>0</v>
      </c>
      <c r="I332" t="n">
        <v>0</v>
      </c>
      <c r="J332" t="n">
        <v>0</v>
      </c>
      <c r="K332" t="n">
        <v>0</v>
      </c>
      <c r="L332" t="n">
        <v>0</v>
      </c>
      <c r="M332" t="n">
        <v>0</v>
      </c>
      <c r="N332" t="n">
        <v>0</v>
      </c>
      <c r="O332" t="n">
        <v>0</v>
      </c>
      <c r="P332" t="n">
        <v>0</v>
      </c>
      <c r="Q332" t="n">
        <v>0</v>
      </c>
      <c r="R332" s="2" t="inlineStr"/>
    </row>
    <row r="333" ht="15" customHeight="1">
      <c r="A333" t="inlineStr">
        <is>
          <t>A 13641-2022</t>
        </is>
      </c>
      <c r="B333" s="1" t="n">
        <v>44648</v>
      </c>
      <c r="C333" s="1" t="n">
        <v>45965</v>
      </c>
      <c r="D333" t="inlineStr">
        <is>
          <t>VÄSTERNORRLANDS LÄN</t>
        </is>
      </c>
      <c r="E333" t="inlineStr">
        <is>
          <t>ÅNGE</t>
        </is>
      </c>
      <c r="G333" t="n">
        <v>4.9</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45965</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45965</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24355-2022</t>
        </is>
      </c>
      <c r="B336" s="1" t="n">
        <v>44726.3816087963</v>
      </c>
      <c r="C336" s="1" t="n">
        <v>45965</v>
      </c>
      <c r="D336" t="inlineStr">
        <is>
          <t>VÄSTERNORRLANDS LÄN</t>
        </is>
      </c>
      <c r="E336" t="inlineStr">
        <is>
          <t>ÅNGE</t>
        </is>
      </c>
      <c r="G336" t="n">
        <v>0.7</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45965</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45965</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35507-2022</t>
        </is>
      </c>
      <c r="B339" s="1" t="n">
        <v>44798</v>
      </c>
      <c r="C339" s="1" t="n">
        <v>45965</v>
      </c>
      <c r="D339" t="inlineStr">
        <is>
          <t>VÄSTERNORRLANDS LÄN</t>
        </is>
      </c>
      <c r="E339" t="inlineStr">
        <is>
          <t>ÅNGE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10680-2022</t>
        </is>
      </c>
      <c r="B340" s="1" t="n">
        <v>44624</v>
      </c>
      <c r="C340" s="1" t="n">
        <v>45965</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10686-2022</t>
        </is>
      </c>
      <c r="B341" s="1" t="n">
        <v>44624.92680555556</v>
      </c>
      <c r="C341" s="1" t="n">
        <v>45965</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45965</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62870-2021</t>
        </is>
      </c>
      <c r="B343" s="1" t="n">
        <v>44503</v>
      </c>
      <c r="C343" s="1" t="n">
        <v>45965</v>
      </c>
      <c r="D343" t="inlineStr">
        <is>
          <t>VÄSTERNORRLANDS LÄN</t>
        </is>
      </c>
      <c r="E343" t="inlineStr">
        <is>
          <t>ÅNGE</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14084-2022</t>
        </is>
      </c>
      <c r="B344" s="1" t="n">
        <v>44651</v>
      </c>
      <c r="C344" s="1" t="n">
        <v>45965</v>
      </c>
      <c r="D344" t="inlineStr">
        <is>
          <t>VÄSTERNORRLANDS LÄN</t>
        </is>
      </c>
      <c r="E344" t="inlineStr">
        <is>
          <t>ÅNGE</t>
        </is>
      </c>
      <c r="G344" t="n">
        <v>1</v>
      </c>
      <c r="H344" t="n">
        <v>0</v>
      </c>
      <c r="I344" t="n">
        <v>0</v>
      </c>
      <c r="J344" t="n">
        <v>0</v>
      </c>
      <c r="K344" t="n">
        <v>0</v>
      </c>
      <c r="L344" t="n">
        <v>0</v>
      </c>
      <c r="M344" t="n">
        <v>0</v>
      </c>
      <c r="N344" t="n">
        <v>0</v>
      </c>
      <c r="O344" t="n">
        <v>0</v>
      </c>
      <c r="P344" t="n">
        <v>0</v>
      </c>
      <c r="Q344" t="n">
        <v>0</v>
      </c>
      <c r="R344" s="2" t="inlineStr"/>
    </row>
    <row r="345" ht="15" customHeight="1">
      <c r="A345" t="inlineStr">
        <is>
          <t>A 14091-2022</t>
        </is>
      </c>
      <c r="B345" s="1" t="n">
        <v>44651</v>
      </c>
      <c r="C345" s="1" t="n">
        <v>45965</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21189-2021</t>
        </is>
      </c>
      <c r="B346" s="1" t="n">
        <v>44320</v>
      </c>
      <c r="C346" s="1" t="n">
        <v>45965</v>
      </c>
      <c r="D346" t="inlineStr">
        <is>
          <t>VÄSTERNORRLANDS LÄN</t>
        </is>
      </c>
      <c r="E346" t="inlineStr">
        <is>
          <t>ÅNGE</t>
        </is>
      </c>
      <c r="G346" t="n">
        <v>2.4</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45965</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27953-2021</t>
        </is>
      </c>
      <c r="B348" s="1" t="n">
        <v>44354.9209375</v>
      </c>
      <c r="C348" s="1" t="n">
        <v>45965</v>
      </c>
      <c r="D348" t="inlineStr">
        <is>
          <t>VÄSTERNORRLANDS LÄN</t>
        </is>
      </c>
      <c r="E348" t="inlineStr">
        <is>
          <t>ÅNGE</t>
        </is>
      </c>
      <c r="G348" t="n">
        <v>2.9</v>
      </c>
      <c r="H348" t="n">
        <v>0</v>
      </c>
      <c r="I348" t="n">
        <v>0</v>
      </c>
      <c r="J348" t="n">
        <v>0</v>
      </c>
      <c r="K348" t="n">
        <v>0</v>
      </c>
      <c r="L348" t="n">
        <v>0</v>
      </c>
      <c r="M348" t="n">
        <v>0</v>
      </c>
      <c r="N348" t="n">
        <v>0</v>
      </c>
      <c r="O348" t="n">
        <v>0</v>
      </c>
      <c r="P348" t="n">
        <v>0</v>
      </c>
      <c r="Q348" t="n">
        <v>0</v>
      </c>
      <c r="R348" s="2" t="inlineStr"/>
    </row>
    <row r="349" ht="15" customHeight="1">
      <c r="A349" t="inlineStr">
        <is>
          <t>A 60064-2020</t>
        </is>
      </c>
      <c r="B349" s="1" t="n">
        <v>44151</v>
      </c>
      <c r="C349" s="1" t="n">
        <v>45965</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61909-2021</t>
        </is>
      </c>
      <c r="B350" s="1" t="n">
        <v>44502.35310185186</v>
      </c>
      <c r="C350" s="1" t="n">
        <v>45965</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5366-2022</t>
        </is>
      </c>
      <c r="B351" s="1" t="n">
        <v>44594.92107638889</v>
      </c>
      <c r="C351" s="1" t="n">
        <v>45965</v>
      </c>
      <c r="D351" t="inlineStr">
        <is>
          <t>VÄSTERNORRLANDS LÄN</t>
        </is>
      </c>
      <c r="E351" t="inlineStr">
        <is>
          <t>ÅNGE</t>
        </is>
      </c>
      <c r="G351" t="n">
        <v>0.6</v>
      </c>
      <c r="H351" t="n">
        <v>0</v>
      </c>
      <c r="I351" t="n">
        <v>0</v>
      </c>
      <c r="J351" t="n">
        <v>0</v>
      </c>
      <c r="K351" t="n">
        <v>0</v>
      </c>
      <c r="L351" t="n">
        <v>0</v>
      </c>
      <c r="M351" t="n">
        <v>0</v>
      </c>
      <c r="N351" t="n">
        <v>0</v>
      </c>
      <c r="O351" t="n">
        <v>0</v>
      </c>
      <c r="P351" t="n">
        <v>0</v>
      </c>
      <c r="Q351" t="n">
        <v>0</v>
      </c>
      <c r="R351" s="2" t="inlineStr"/>
    </row>
    <row r="352" ht="15" customHeight="1">
      <c r="A352" t="inlineStr">
        <is>
          <t>A 25020-2021</t>
        </is>
      </c>
      <c r="B352" s="1" t="n">
        <v>44341</v>
      </c>
      <c r="C352" s="1" t="n">
        <v>45965</v>
      </c>
      <c r="D352" t="inlineStr">
        <is>
          <t>VÄSTERNORRLANDS LÄN</t>
        </is>
      </c>
      <c r="E352" t="inlineStr">
        <is>
          <t>ÅNGE</t>
        </is>
      </c>
      <c r="G352" t="n">
        <v>3.4</v>
      </c>
      <c r="H352" t="n">
        <v>0</v>
      </c>
      <c r="I352" t="n">
        <v>0</v>
      </c>
      <c r="J352" t="n">
        <v>0</v>
      </c>
      <c r="K352" t="n">
        <v>0</v>
      </c>
      <c r="L352" t="n">
        <v>0</v>
      </c>
      <c r="M352" t="n">
        <v>0</v>
      </c>
      <c r="N352" t="n">
        <v>0</v>
      </c>
      <c r="O352" t="n">
        <v>0</v>
      </c>
      <c r="P352" t="n">
        <v>0</v>
      </c>
      <c r="Q352" t="n">
        <v>0</v>
      </c>
      <c r="R352" s="2" t="inlineStr"/>
    </row>
    <row r="353" ht="15" customHeight="1">
      <c r="A353" t="inlineStr">
        <is>
          <t>A 35276-2022</t>
        </is>
      </c>
      <c r="B353" s="1" t="n">
        <v>44798</v>
      </c>
      <c r="C353" s="1" t="n">
        <v>45965</v>
      </c>
      <c r="D353" t="inlineStr">
        <is>
          <t>VÄSTERNORRLANDS LÄN</t>
        </is>
      </c>
      <c r="E353" t="inlineStr">
        <is>
          <t>ÅNGE</t>
        </is>
      </c>
      <c r="G353" t="n">
        <v>15.2</v>
      </c>
      <c r="H353" t="n">
        <v>0</v>
      </c>
      <c r="I353" t="n">
        <v>0</v>
      </c>
      <c r="J353" t="n">
        <v>0</v>
      </c>
      <c r="K353" t="n">
        <v>0</v>
      </c>
      <c r="L353" t="n">
        <v>0</v>
      </c>
      <c r="M353" t="n">
        <v>0</v>
      </c>
      <c r="N353" t="n">
        <v>0</v>
      </c>
      <c r="O353" t="n">
        <v>0</v>
      </c>
      <c r="P353" t="n">
        <v>0</v>
      </c>
      <c r="Q353" t="n">
        <v>0</v>
      </c>
      <c r="R353" s="2" t="inlineStr"/>
    </row>
    <row r="354" ht="15" customHeight="1">
      <c r="A354" t="inlineStr">
        <is>
          <t>A 13149-2021</t>
        </is>
      </c>
      <c r="B354" s="1" t="n">
        <v>44272</v>
      </c>
      <c r="C354" s="1" t="n">
        <v>45965</v>
      </c>
      <c r="D354" t="inlineStr">
        <is>
          <t>VÄSTERNORRLANDS LÄN</t>
        </is>
      </c>
      <c r="E354" t="inlineStr">
        <is>
          <t>ÅNGE</t>
        </is>
      </c>
      <c r="G354" t="n">
        <v>3.4</v>
      </c>
      <c r="H354" t="n">
        <v>0</v>
      </c>
      <c r="I354" t="n">
        <v>0</v>
      </c>
      <c r="J354" t="n">
        <v>0</v>
      </c>
      <c r="K354" t="n">
        <v>0</v>
      </c>
      <c r="L354" t="n">
        <v>0</v>
      </c>
      <c r="M354" t="n">
        <v>0</v>
      </c>
      <c r="N354" t="n">
        <v>0</v>
      </c>
      <c r="O354" t="n">
        <v>0</v>
      </c>
      <c r="P354" t="n">
        <v>0</v>
      </c>
      <c r="Q354" t="n">
        <v>0</v>
      </c>
      <c r="R354" s="2" t="inlineStr"/>
    </row>
    <row r="355" ht="15" customHeight="1">
      <c r="A355" t="inlineStr">
        <is>
          <t>A 11098-2022</t>
        </is>
      </c>
      <c r="B355" s="1" t="n">
        <v>44628</v>
      </c>
      <c r="C355" s="1" t="n">
        <v>45965</v>
      </c>
      <c r="D355" t="inlineStr">
        <is>
          <t>VÄSTERNORRLANDS LÄN</t>
        </is>
      </c>
      <c r="E355" t="inlineStr">
        <is>
          <t>ÅNGE</t>
        </is>
      </c>
      <c r="G355" t="n">
        <v>8.9</v>
      </c>
      <c r="H355" t="n">
        <v>0</v>
      </c>
      <c r="I355" t="n">
        <v>0</v>
      </c>
      <c r="J355" t="n">
        <v>0</v>
      </c>
      <c r="K355" t="n">
        <v>0</v>
      </c>
      <c r="L355" t="n">
        <v>0</v>
      </c>
      <c r="M355" t="n">
        <v>0</v>
      </c>
      <c r="N355" t="n">
        <v>0</v>
      </c>
      <c r="O355" t="n">
        <v>0</v>
      </c>
      <c r="P355" t="n">
        <v>0</v>
      </c>
      <c r="Q355" t="n">
        <v>0</v>
      </c>
      <c r="R355" s="2" t="inlineStr"/>
    </row>
    <row r="356" ht="15" customHeight="1">
      <c r="A356" t="inlineStr">
        <is>
          <t>A 65280-2020</t>
        </is>
      </c>
      <c r="B356" s="1" t="n">
        <v>44172</v>
      </c>
      <c r="C356" s="1" t="n">
        <v>45965</v>
      </c>
      <c r="D356" t="inlineStr">
        <is>
          <t>VÄSTERNORRLANDS LÄN</t>
        </is>
      </c>
      <c r="E356" t="inlineStr">
        <is>
          <t>ÅNGE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45965</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46351-2022</t>
        </is>
      </c>
      <c r="B358" s="1" t="n">
        <v>44847</v>
      </c>
      <c r="C358" s="1" t="n">
        <v>45965</v>
      </c>
      <c r="D358" t="inlineStr">
        <is>
          <t>VÄSTERNORRLANDS LÄN</t>
        </is>
      </c>
      <c r="E358" t="inlineStr">
        <is>
          <t>ÅNGE</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29509-2021</t>
        </is>
      </c>
      <c r="B359" s="1" t="n">
        <v>44361</v>
      </c>
      <c r="C359" s="1" t="n">
        <v>45965</v>
      </c>
      <c r="D359" t="inlineStr">
        <is>
          <t>VÄSTERNORRLANDS LÄN</t>
        </is>
      </c>
      <c r="E359" t="inlineStr">
        <is>
          <t>ÅNGE</t>
        </is>
      </c>
      <c r="G359" t="n">
        <v>3.6</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45965</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33274-2022</t>
        </is>
      </c>
      <c r="B361" s="1" t="n">
        <v>44788</v>
      </c>
      <c r="C361" s="1" t="n">
        <v>45965</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44413-2022</t>
        </is>
      </c>
      <c r="B362" s="1" t="n">
        <v>44839.92630787037</v>
      </c>
      <c r="C362" s="1" t="n">
        <v>45965</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7633-2022</t>
        </is>
      </c>
      <c r="B363" s="1" t="n">
        <v>44607.71378472223</v>
      </c>
      <c r="C363" s="1" t="n">
        <v>45965</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14587-2021</t>
        </is>
      </c>
      <c r="B364" s="1" t="n">
        <v>44279.91825231481</v>
      </c>
      <c r="C364" s="1" t="n">
        <v>45965</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47660-2022</t>
        </is>
      </c>
      <c r="B365" s="1" t="n">
        <v>44854.45766203704</v>
      </c>
      <c r="C365" s="1" t="n">
        <v>45965</v>
      </c>
      <c r="D365" t="inlineStr">
        <is>
          <t>VÄSTERNORRLANDS LÄN</t>
        </is>
      </c>
      <c r="E365" t="inlineStr">
        <is>
          <t>ÅNGE</t>
        </is>
      </c>
      <c r="F365" t="inlineStr">
        <is>
          <t>Holmen skog AB</t>
        </is>
      </c>
      <c r="G365" t="n">
        <v>0.5</v>
      </c>
      <c r="H365" t="n">
        <v>0</v>
      </c>
      <c r="I365" t="n">
        <v>0</v>
      </c>
      <c r="J365" t="n">
        <v>0</v>
      </c>
      <c r="K365" t="n">
        <v>0</v>
      </c>
      <c r="L365" t="n">
        <v>0</v>
      </c>
      <c r="M365" t="n">
        <v>0</v>
      </c>
      <c r="N365" t="n">
        <v>0</v>
      </c>
      <c r="O365" t="n">
        <v>0</v>
      </c>
      <c r="P365" t="n">
        <v>0</v>
      </c>
      <c r="Q365" t="n">
        <v>0</v>
      </c>
      <c r="R365" s="2" t="inlineStr"/>
    </row>
    <row r="366" ht="15" customHeight="1">
      <c r="A366" t="inlineStr">
        <is>
          <t>A 50710-2021</t>
        </is>
      </c>
      <c r="B366" s="1" t="n">
        <v>44460.366875</v>
      </c>
      <c r="C366" s="1" t="n">
        <v>45965</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45965</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51542-2022</t>
        </is>
      </c>
      <c r="B368" s="1" t="n">
        <v>44869.94850694444</v>
      </c>
      <c r="C368" s="1" t="n">
        <v>45965</v>
      </c>
      <c r="D368" t="inlineStr">
        <is>
          <t>VÄSTERNORRLANDS LÄN</t>
        </is>
      </c>
      <c r="E368" t="inlineStr">
        <is>
          <t>ÅNGE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40476-2022</t>
        </is>
      </c>
      <c r="B369" s="1" t="n">
        <v>44823.54685185185</v>
      </c>
      <c r="C369" s="1" t="n">
        <v>45965</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14813-2022</t>
        </is>
      </c>
      <c r="B370" s="1" t="n">
        <v>44656</v>
      </c>
      <c r="C370" s="1" t="n">
        <v>45965</v>
      </c>
      <c r="D370" t="inlineStr">
        <is>
          <t>VÄSTERNORRLANDS LÄN</t>
        </is>
      </c>
      <c r="E370" t="inlineStr">
        <is>
          <t>ÅNGE</t>
        </is>
      </c>
      <c r="G370" t="n">
        <v>2.2</v>
      </c>
      <c r="H370" t="n">
        <v>0</v>
      </c>
      <c r="I370" t="n">
        <v>0</v>
      </c>
      <c r="J370" t="n">
        <v>0</v>
      </c>
      <c r="K370" t="n">
        <v>0</v>
      </c>
      <c r="L370" t="n">
        <v>0</v>
      </c>
      <c r="M370" t="n">
        <v>0</v>
      </c>
      <c r="N370" t="n">
        <v>0</v>
      </c>
      <c r="O370" t="n">
        <v>0</v>
      </c>
      <c r="P370" t="n">
        <v>0</v>
      </c>
      <c r="Q370" t="n">
        <v>0</v>
      </c>
      <c r="R370" s="2" t="inlineStr"/>
    </row>
    <row r="371" ht="15" customHeight="1">
      <c r="A371" t="inlineStr">
        <is>
          <t>A 5552-2022</t>
        </is>
      </c>
      <c r="B371" s="1" t="n">
        <v>44595.62966435185</v>
      </c>
      <c r="C371" s="1" t="n">
        <v>45965</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57418-2021</t>
        </is>
      </c>
      <c r="B372" s="1" t="n">
        <v>44483</v>
      </c>
      <c r="C372" s="1" t="n">
        <v>45965</v>
      </c>
      <c r="D372" t="inlineStr">
        <is>
          <t>VÄSTERNORRLANDS LÄN</t>
        </is>
      </c>
      <c r="E372" t="inlineStr">
        <is>
          <t>ÅNGE</t>
        </is>
      </c>
      <c r="G372" t="n">
        <v>4.4</v>
      </c>
      <c r="H372" t="n">
        <v>0</v>
      </c>
      <c r="I372" t="n">
        <v>0</v>
      </c>
      <c r="J372" t="n">
        <v>0</v>
      </c>
      <c r="K372" t="n">
        <v>0</v>
      </c>
      <c r="L372" t="n">
        <v>0</v>
      </c>
      <c r="M372" t="n">
        <v>0</v>
      </c>
      <c r="N372" t="n">
        <v>0</v>
      </c>
      <c r="O372" t="n">
        <v>0</v>
      </c>
      <c r="P372" t="n">
        <v>0</v>
      </c>
      <c r="Q372" t="n">
        <v>0</v>
      </c>
      <c r="R372" s="2" t="inlineStr"/>
    </row>
    <row r="373" ht="15" customHeight="1">
      <c r="A373" t="inlineStr">
        <is>
          <t>A 35026-2022</t>
        </is>
      </c>
      <c r="B373" s="1" t="n">
        <v>44796</v>
      </c>
      <c r="C373" s="1" t="n">
        <v>45965</v>
      </c>
      <c r="D373" t="inlineStr">
        <is>
          <t>VÄSTERNORRLANDS LÄN</t>
        </is>
      </c>
      <c r="E373" t="inlineStr">
        <is>
          <t>ÅNGE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56907-2021</t>
        </is>
      </c>
      <c r="B374" s="1" t="n">
        <v>44481.93837962963</v>
      </c>
      <c r="C374" s="1" t="n">
        <v>45965</v>
      </c>
      <c r="D374" t="inlineStr">
        <is>
          <t>VÄSTERNORRLANDS LÄN</t>
        </is>
      </c>
      <c r="E374" t="inlineStr">
        <is>
          <t>ÅNGE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12800-2021</t>
        </is>
      </c>
      <c r="B375" s="1" t="n">
        <v>44270.92056712963</v>
      </c>
      <c r="C375" s="1" t="n">
        <v>45965</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32535-2022</t>
        </is>
      </c>
      <c r="B376" s="1" t="n">
        <v>44783.29856481482</v>
      </c>
      <c r="C376" s="1" t="n">
        <v>45965</v>
      </c>
      <c r="D376" t="inlineStr">
        <is>
          <t>VÄSTERNORRLANDS LÄN</t>
        </is>
      </c>
      <c r="E376" t="inlineStr">
        <is>
          <t>ÅNGE</t>
        </is>
      </c>
      <c r="G376" t="n">
        <v>10.3</v>
      </c>
      <c r="H376" t="n">
        <v>0</v>
      </c>
      <c r="I376" t="n">
        <v>0</v>
      </c>
      <c r="J376" t="n">
        <v>0</v>
      </c>
      <c r="K376" t="n">
        <v>0</v>
      </c>
      <c r="L376" t="n">
        <v>0</v>
      </c>
      <c r="M376" t="n">
        <v>0</v>
      </c>
      <c r="N376" t="n">
        <v>0</v>
      </c>
      <c r="O376" t="n">
        <v>0</v>
      </c>
      <c r="P376" t="n">
        <v>0</v>
      </c>
      <c r="Q376" t="n">
        <v>0</v>
      </c>
      <c r="R376" s="2" t="inlineStr"/>
    </row>
    <row r="377" ht="15" customHeight="1">
      <c r="A377" t="inlineStr">
        <is>
          <t>A 39594-2022</t>
        </is>
      </c>
      <c r="B377" s="1" t="n">
        <v>44818</v>
      </c>
      <c r="C377" s="1" t="n">
        <v>45965</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45965</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53664-2022</t>
        </is>
      </c>
      <c r="B379" s="1" t="n">
        <v>44879.95643518519</v>
      </c>
      <c r="C379" s="1" t="n">
        <v>45965</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53010-2022</t>
        </is>
      </c>
      <c r="B380" s="1" t="n">
        <v>44875</v>
      </c>
      <c r="C380" s="1" t="n">
        <v>45965</v>
      </c>
      <c r="D380" t="inlineStr">
        <is>
          <t>VÄSTERNORRLANDS LÄN</t>
        </is>
      </c>
      <c r="E380" t="inlineStr">
        <is>
          <t>ÅNGE</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1297-2022</t>
        </is>
      </c>
      <c r="B381" s="1" t="n">
        <v>44572.69135416667</v>
      </c>
      <c r="C381" s="1" t="n">
        <v>45965</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10342-2021</t>
        </is>
      </c>
      <c r="B382" s="1" t="n">
        <v>44257</v>
      </c>
      <c r="C382" s="1" t="n">
        <v>45965</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21642-2021</t>
        </is>
      </c>
      <c r="B383" s="1" t="n">
        <v>44321.94239583334</v>
      </c>
      <c r="C383" s="1" t="n">
        <v>45965</v>
      </c>
      <c r="D383" t="inlineStr">
        <is>
          <t>VÄSTERNORRLANDS LÄN</t>
        </is>
      </c>
      <c r="E383" t="inlineStr">
        <is>
          <t>ÅNGE</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16362-2023</t>
        </is>
      </c>
      <c r="B384" s="1" t="n">
        <v>45028.9250462963</v>
      </c>
      <c r="C384" s="1" t="n">
        <v>45965</v>
      </c>
      <c r="D384" t="inlineStr">
        <is>
          <t>VÄSTERNORRLANDS LÄN</t>
        </is>
      </c>
      <c r="E384" t="inlineStr">
        <is>
          <t>ÅNGE</t>
        </is>
      </c>
      <c r="G384" t="n">
        <v>4.8</v>
      </c>
      <c r="H384" t="n">
        <v>0</v>
      </c>
      <c r="I384" t="n">
        <v>0</v>
      </c>
      <c r="J384" t="n">
        <v>0</v>
      </c>
      <c r="K384" t="n">
        <v>0</v>
      </c>
      <c r="L384" t="n">
        <v>0</v>
      </c>
      <c r="M384" t="n">
        <v>0</v>
      </c>
      <c r="N384" t="n">
        <v>0</v>
      </c>
      <c r="O384" t="n">
        <v>0</v>
      </c>
      <c r="P384" t="n">
        <v>0</v>
      </c>
      <c r="Q384" t="n">
        <v>0</v>
      </c>
      <c r="R384" s="2" t="inlineStr"/>
    </row>
    <row r="385" ht="15" customHeight="1">
      <c r="A385" t="inlineStr">
        <is>
          <t>A 16978-2024</t>
        </is>
      </c>
      <c r="B385" s="1" t="n">
        <v>45412.02416666667</v>
      </c>
      <c r="C385" s="1" t="n">
        <v>45965</v>
      </c>
      <c r="D385" t="inlineStr">
        <is>
          <t>VÄSTERNORRLANDS LÄN</t>
        </is>
      </c>
      <c r="E385" t="inlineStr">
        <is>
          <t>ÅNGE</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28779-2023</t>
        </is>
      </c>
      <c r="B386" s="1" t="n">
        <v>45104.34314814815</v>
      </c>
      <c r="C386" s="1" t="n">
        <v>45965</v>
      </c>
      <c r="D386" t="inlineStr">
        <is>
          <t>VÄSTERNORRLANDS LÄN</t>
        </is>
      </c>
      <c r="E386" t="inlineStr">
        <is>
          <t>ÅNGE</t>
        </is>
      </c>
      <c r="G386" t="n">
        <v>1.3</v>
      </c>
      <c r="H386" t="n">
        <v>0</v>
      </c>
      <c r="I386" t="n">
        <v>0</v>
      </c>
      <c r="J386" t="n">
        <v>0</v>
      </c>
      <c r="K386" t="n">
        <v>0</v>
      </c>
      <c r="L386" t="n">
        <v>0</v>
      </c>
      <c r="M386" t="n">
        <v>0</v>
      </c>
      <c r="N386" t="n">
        <v>0</v>
      </c>
      <c r="O386" t="n">
        <v>0</v>
      </c>
      <c r="P386" t="n">
        <v>0</v>
      </c>
      <c r="Q386" t="n">
        <v>0</v>
      </c>
      <c r="R386" s="2" t="inlineStr"/>
    </row>
    <row r="387" ht="15" customHeight="1">
      <c r="A387" t="inlineStr">
        <is>
          <t>A 63607-2021</t>
        </is>
      </c>
      <c r="B387" s="1" t="n">
        <v>44508.94650462963</v>
      </c>
      <c r="C387" s="1" t="n">
        <v>45965</v>
      </c>
      <c r="D387" t="inlineStr">
        <is>
          <t>VÄSTERNORRLANDS LÄN</t>
        </is>
      </c>
      <c r="E387" t="inlineStr">
        <is>
          <t>ÅNGE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45965</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30235-2024</t>
        </is>
      </c>
      <c r="B389" s="1" t="n">
        <v>45490.49040509259</v>
      </c>
      <c r="C389" s="1" t="n">
        <v>45965</v>
      </c>
      <c r="D389" t="inlineStr">
        <is>
          <t>VÄSTERNORRLANDS LÄN</t>
        </is>
      </c>
      <c r="E389" t="inlineStr">
        <is>
          <t>ÅNGE</t>
        </is>
      </c>
      <c r="G389" t="n">
        <v>3.7</v>
      </c>
      <c r="H389" t="n">
        <v>0</v>
      </c>
      <c r="I389" t="n">
        <v>0</v>
      </c>
      <c r="J389" t="n">
        <v>0</v>
      </c>
      <c r="K389" t="n">
        <v>0</v>
      </c>
      <c r="L389" t="n">
        <v>0</v>
      </c>
      <c r="M389" t="n">
        <v>0</v>
      </c>
      <c r="N389" t="n">
        <v>0</v>
      </c>
      <c r="O389" t="n">
        <v>0</v>
      </c>
      <c r="P389" t="n">
        <v>0</v>
      </c>
      <c r="Q389" t="n">
        <v>0</v>
      </c>
      <c r="R389" s="2" t="inlineStr"/>
    </row>
    <row r="390" ht="15" customHeight="1">
      <c r="A390" t="inlineStr">
        <is>
          <t>A 17580-2022</t>
        </is>
      </c>
      <c r="B390" s="1" t="n">
        <v>44679</v>
      </c>
      <c r="C390" s="1" t="n">
        <v>45965</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53549-2023</t>
        </is>
      </c>
      <c r="B391" s="1" t="n">
        <v>45230</v>
      </c>
      <c r="C391" s="1" t="n">
        <v>45965</v>
      </c>
      <c r="D391" t="inlineStr">
        <is>
          <t>VÄSTERNORRLANDS LÄN</t>
        </is>
      </c>
      <c r="E391" t="inlineStr">
        <is>
          <t>ÅNGE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30365-2021</t>
        </is>
      </c>
      <c r="B392" s="1" t="n">
        <v>44364.45164351852</v>
      </c>
      <c r="C392" s="1" t="n">
        <v>45965</v>
      </c>
      <c r="D392" t="inlineStr">
        <is>
          <t>VÄSTERNORRLANDS LÄN</t>
        </is>
      </c>
      <c r="E392" t="inlineStr">
        <is>
          <t>ÅNGE</t>
        </is>
      </c>
      <c r="G392" t="n">
        <v>3.9</v>
      </c>
      <c r="H392" t="n">
        <v>0</v>
      </c>
      <c r="I392" t="n">
        <v>0</v>
      </c>
      <c r="J392" t="n">
        <v>0</v>
      </c>
      <c r="K392" t="n">
        <v>0</v>
      </c>
      <c r="L392" t="n">
        <v>0</v>
      </c>
      <c r="M392" t="n">
        <v>0</v>
      </c>
      <c r="N392" t="n">
        <v>0</v>
      </c>
      <c r="O392" t="n">
        <v>0</v>
      </c>
      <c r="P392" t="n">
        <v>0</v>
      </c>
      <c r="Q392" t="n">
        <v>0</v>
      </c>
      <c r="R392" s="2" t="inlineStr"/>
    </row>
    <row r="393" ht="15" customHeight="1">
      <c r="A393" t="inlineStr">
        <is>
          <t>A 17044-2022</t>
        </is>
      </c>
      <c r="B393" s="1" t="n">
        <v>44676</v>
      </c>
      <c r="C393" s="1" t="n">
        <v>45965</v>
      </c>
      <c r="D393" t="inlineStr">
        <is>
          <t>VÄSTERNORRLANDS LÄN</t>
        </is>
      </c>
      <c r="E393" t="inlineStr">
        <is>
          <t>ÅNGE</t>
        </is>
      </c>
      <c r="F393" t="inlineStr">
        <is>
          <t>Övriga Aktiebolag</t>
        </is>
      </c>
      <c r="G393" t="n">
        <v>0.8</v>
      </c>
      <c r="H393" t="n">
        <v>0</v>
      </c>
      <c r="I393" t="n">
        <v>0</v>
      </c>
      <c r="J393" t="n">
        <v>0</v>
      </c>
      <c r="K393" t="n">
        <v>0</v>
      </c>
      <c r="L393" t="n">
        <v>0</v>
      </c>
      <c r="M393" t="n">
        <v>0</v>
      </c>
      <c r="N393" t="n">
        <v>0</v>
      </c>
      <c r="O393" t="n">
        <v>0</v>
      </c>
      <c r="P393" t="n">
        <v>0</v>
      </c>
      <c r="Q393" t="n">
        <v>0</v>
      </c>
      <c r="R393" s="2" t="inlineStr"/>
    </row>
    <row r="394" ht="15" customHeight="1">
      <c r="A394" t="inlineStr">
        <is>
          <t>A 31325-2022</t>
        </is>
      </c>
      <c r="B394" s="1" t="n">
        <v>44774.41421296296</v>
      </c>
      <c r="C394" s="1" t="n">
        <v>45965</v>
      </c>
      <c r="D394" t="inlineStr">
        <is>
          <t>VÄSTERNORRLANDS LÄN</t>
        </is>
      </c>
      <c r="E394" t="inlineStr">
        <is>
          <t>ÅNGE</t>
        </is>
      </c>
      <c r="G394" t="n">
        <v>6.3</v>
      </c>
      <c r="H394" t="n">
        <v>0</v>
      </c>
      <c r="I394" t="n">
        <v>0</v>
      </c>
      <c r="J394" t="n">
        <v>0</v>
      </c>
      <c r="K394" t="n">
        <v>0</v>
      </c>
      <c r="L394" t="n">
        <v>0</v>
      </c>
      <c r="M394" t="n">
        <v>0</v>
      </c>
      <c r="N394" t="n">
        <v>0</v>
      </c>
      <c r="O394" t="n">
        <v>0</v>
      </c>
      <c r="P394" t="n">
        <v>0</v>
      </c>
      <c r="Q394" t="n">
        <v>0</v>
      </c>
      <c r="R394" s="2" t="inlineStr"/>
    </row>
    <row r="395" ht="15" customHeight="1">
      <c r="A395" t="inlineStr">
        <is>
          <t>A 41370-2023</t>
        </is>
      </c>
      <c r="B395" s="1" t="n">
        <v>45174.85951388889</v>
      </c>
      <c r="C395" s="1" t="n">
        <v>45965</v>
      </c>
      <c r="D395" t="inlineStr">
        <is>
          <t>VÄSTERNORRLANDS LÄN</t>
        </is>
      </c>
      <c r="E395" t="inlineStr">
        <is>
          <t>ÅNGE</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56956-2022</t>
        </is>
      </c>
      <c r="B396" s="1" t="n">
        <v>44894</v>
      </c>
      <c r="C396" s="1" t="n">
        <v>45965</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14927-2025</t>
        </is>
      </c>
      <c r="B397" s="1" t="n">
        <v>45743</v>
      </c>
      <c r="C397" s="1" t="n">
        <v>45965</v>
      </c>
      <c r="D397" t="inlineStr">
        <is>
          <t>VÄSTERNORRLANDS LÄN</t>
        </is>
      </c>
      <c r="E397" t="inlineStr">
        <is>
          <t>ÅNGE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38284-2022</t>
        </is>
      </c>
      <c r="B398" s="1" t="n">
        <v>44812.55149305556</v>
      </c>
      <c r="C398" s="1" t="n">
        <v>45965</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51810-2023</t>
        </is>
      </c>
      <c r="B399" s="1" t="n">
        <v>45222.96583333334</v>
      </c>
      <c r="C399" s="1" t="n">
        <v>45965</v>
      </c>
      <c r="D399" t="inlineStr">
        <is>
          <t>VÄSTERNORRLANDS LÄN</t>
        </is>
      </c>
      <c r="E399" t="inlineStr">
        <is>
          <t>ÅNGE</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30353-2024</t>
        </is>
      </c>
      <c r="B400" s="1" t="n">
        <v>45490.95567129629</v>
      </c>
      <c r="C400" s="1" t="n">
        <v>45965</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25023-2022</t>
        </is>
      </c>
      <c r="B401" s="1" t="n">
        <v>44728</v>
      </c>
      <c r="C401" s="1" t="n">
        <v>45965</v>
      </c>
      <c r="D401" t="inlineStr">
        <is>
          <t>VÄSTERNORRLANDS LÄN</t>
        </is>
      </c>
      <c r="E401" t="inlineStr">
        <is>
          <t>ÅNGE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16606-2023</t>
        </is>
      </c>
      <c r="B402" s="1" t="n">
        <v>45030.3990625</v>
      </c>
      <c r="C402" s="1" t="n">
        <v>45965</v>
      </c>
      <c r="D402" t="inlineStr">
        <is>
          <t>VÄSTERNORRLANDS LÄN</t>
        </is>
      </c>
      <c r="E402" t="inlineStr">
        <is>
          <t>ÅNGE</t>
        </is>
      </c>
      <c r="G402" t="n">
        <v>0.9</v>
      </c>
      <c r="H402" t="n">
        <v>0</v>
      </c>
      <c r="I402" t="n">
        <v>0</v>
      </c>
      <c r="J402" t="n">
        <v>0</v>
      </c>
      <c r="K402" t="n">
        <v>0</v>
      </c>
      <c r="L402" t="n">
        <v>0</v>
      </c>
      <c r="M402" t="n">
        <v>0</v>
      </c>
      <c r="N402" t="n">
        <v>0</v>
      </c>
      <c r="O402" t="n">
        <v>0</v>
      </c>
      <c r="P402" t="n">
        <v>0</v>
      </c>
      <c r="Q402" t="n">
        <v>0</v>
      </c>
      <c r="R402" s="2" t="inlineStr"/>
    </row>
    <row r="403" ht="15" customHeight="1">
      <c r="A403" t="inlineStr">
        <is>
          <t>A 31696-2022</t>
        </is>
      </c>
      <c r="B403" s="1" t="n">
        <v>44776</v>
      </c>
      <c r="C403" s="1" t="n">
        <v>45965</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58634-2023</t>
        </is>
      </c>
      <c r="B404" s="1" t="n">
        <v>45251</v>
      </c>
      <c r="C404" s="1" t="n">
        <v>45965</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4883-2023</t>
        </is>
      </c>
      <c r="B405" s="1" t="n">
        <v>44957</v>
      </c>
      <c r="C405" s="1" t="n">
        <v>45965</v>
      </c>
      <c r="D405" t="inlineStr">
        <is>
          <t>VÄSTERNORRLANDS LÄN</t>
        </is>
      </c>
      <c r="E405" t="inlineStr">
        <is>
          <t>ÅNGE</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25047-2023</t>
        </is>
      </c>
      <c r="B406" s="1" t="n">
        <v>45085.94569444445</v>
      </c>
      <c r="C406" s="1" t="n">
        <v>45965</v>
      </c>
      <c r="D406" t="inlineStr">
        <is>
          <t>VÄSTERNORRLANDS LÄN</t>
        </is>
      </c>
      <c r="E406" t="inlineStr">
        <is>
          <t>ÅNGE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8755-2022</t>
        </is>
      </c>
      <c r="B407" s="1" t="n">
        <v>44614</v>
      </c>
      <c r="C407" s="1" t="n">
        <v>45965</v>
      </c>
      <c r="D407" t="inlineStr">
        <is>
          <t>VÄSTERNORRLANDS LÄN</t>
        </is>
      </c>
      <c r="E407" t="inlineStr">
        <is>
          <t>ÅNGE</t>
        </is>
      </c>
      <c r="G407" t="n">
        <v>2</v>
      </c>
      <c r="H407" t="n">
        <v>0</v>
      </c>
      <c r="I407" t="n">
        <v>0</v>
      </c>
      <c r="J407" t="n">
        <v>0</v>
      </c>
      <c r="K407" t="n">
        <v>0</v>
      </c>
      <c r="L407" t="n">
        <v>0</v>
      </c>
      <c r="M407" t="n">
        <v>0</v>
      </c>
      <c r="N407" t="n">
        <v>0</v>
      </c>
      <c r="O407" t="n">
        <v>0</v>
      </c>
      <c r="P407" t="n">
        <v>0</v>
      </c>
      <c r="Q407" t="n">
        <v>0</v>
      </c>
      <c r="R407" s="2" t="inlineStr"/>
    </row>
    <row r="408" ht="15" customHeight="1">
      <c r="A408" t="inlineStr">
        <is>
          <t>A 15369-2024</t>
        </is>
      </c>
      <c r="B408" s="1" t="n">
        <v>45400.92290509259</v>
      </c>
      <c r="C408" s="1" t="n">
        <v>45965</v>
      </c>
      <c r="D408" t="inlineStr">
        <is>
          <t>VÄSTERNORRLANDS LÄN</t>
        </is>
      </c>
      <c r="E408" t="inlineStr">
        <is>
          <t>ÅNGE</t>
        </is>
      </c>
      <c r="G408" t="n">
        <v>0.4</v>
      </c>
      <c r="H408" t="n">
        <v>0</v>
      </c>
      <c r="I408" t="n">
        <v>0</v>
      </c>
      <c r="J408" t="n">
        <v>0</v>
      </c>
      <c r="K408" t="n">
        <v>0</v>
      </c>
      <c r="L408" t="n">
        <v>0</v>
      </c>
      <c r="M408" t="n">
        <v>0</v>
      </c>
      <c r="N408" t="n">
        <v>0</v>
      </c>
      <c r="O408" t="n">
        <v>0</v>
      </c>
      <c r="P408" t="n">
        <v>0</v>
      </c>
      <c r="Q408" t="n">
        <v>0</v>
      </c>
      <c r="R408" s="2" t="inlineStr"/>
    </row>
    <row r="409" ht="15" customHeight="1">
      <c r="A409" t="inlineStr">
        <is>
          <t>A 30747-2024</t>
        </is>
      </c>
      <c r="B409" s="1" t="n">
        <v>45496</v>
      </c>
      <c r="C409" s="1" t="n">
        <v>45965</v>
      </c>
      <c r="D409" t="inlineStr">
        <is>
          <t>VÄSTERNORRLANDS LÄN</t>
        </is>
      </c>
      <c r="E409" t="inlineStr">
        <is>
          <t>ÅNGE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15791-2025</t>
        </is>
      </c>
      <c r="B410" s="1" t="n">
        <v>45748.631875</v>
      </c>
      <c r="C410" s="1" t="n">
        <v>45965</v>
      </c>
      <c r="D410" t="inlineStr">
        <is>
          <t>VÄSTERNORRLANDS LÄN</t>
        </is>
      </c>
      <c r="E410" t="inlineStr">
        <is>
          <t>ÅNGE</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9605-2025</t>
        </is>
      </c>
      <c r="B411" s="1" t="n">
        <v>45715.65657407408</v>
      </c>
      <c r="C411" s="1" t="n">
        <v>45965</v>
      </c>
      <c r="D411" t="inlineStr">
        <is>
          <t>VÄSTERNORRLANDS LÄN</t>
        </is>
      </c>
      <c r="E411" t="inlineStr">
        <is>
          <t>ÅNGE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20108-2025</t>
        </is>
      </c>
      <c r="B412" s="1" t="n">
        <v>45772.47006944445</v>
      </c>
      <c r="C412" s="1" t="n">
        <v>45965</v>
      </c>
      <c r="D412" t="inlineStr">
        <is>
          <t>VÄSTERNORRLANDS LÄN</t>
        </is>
      </c>
      <c r="E412" t="inlineStr">
        <is>
          <t>ÅNGE</t>
        </is>
      </c>
      <c r="F412" t="inlineStr">
        <is>
          <t>Naturvårdsverket</t>
        </is>
      </c>
      <c r="G412" t="n">
        <v>2</v>
      </c>
      <c r="H412" t="n">
        <v>0</v>
      </c>
      <c r="I412" t="n">
        <v>0</v>
      </c>
      <c r="J412" t="n">
        <v>0</v>
      </c>
      <c r="K412" t="n">
        <v>0</v>
      </c>
      <c r="L412" t="n">
        <v>0</v>
      </c>
      <c r="M412" t="n">
        <v>0</v>
      </c>
      <c r="N412" t="n">
        <v>0</v>
      </c>
      <c r="O412" t="n">
        <v>0</v>
      </c>
      <c r="P412" t="n">
        <v>0</v>
      </c>
      <c r="Q412" t="n">
        <v>0</v>
      </c>
      <c r="R412" s="2" t="inlineStr"/>
    </row>
    <row r="413" ht="15" customHeight="1">
      <c r="A413" t="inlineStr">
        <is>
          <t>A 58929-2024</t>
        </is>
      </c>
      <c r="B413" s="1" t="n">
        <v>45636.51090277778</v>
      </c>
      <c r="C413" s="1" t="n">
        <v>45965</v>
      </c>
      <c r="D413" t="inlineStr">
        <is>
          <t>VÄSTERNORRLANDS LÄN</t>
        </is>
      </c>
      <c r="E413" t="inlineStr">
        <is>
          <t>ÅNGE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6610-2025</t>
        </is>
      </c>
      <c r="B414" s="1" t="n">
        <v>45700</v>
      </c>
      <c r="C414" s="1" t="n">
        <v>45965</v>
      </c>
      <c r="D414" t="inlineStr">
        <is>
          <t>VÄSTERNORRLANDS LÄN</t>
        </is>
      </c>
      <c r="E414" t="inlineStr">
        <is>
          <t>ÅNGE</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55007-2022</t>
        </is>
      </c>
      <c r="B415" s="1" t="n">
        <v>44881</v>
      </c>
      <c r="C415" s="1" t="n">
        <v>45965</v>
      </c>
      <c r="D415" t="inlineStr">
        <is>
          <t>VÄSTERNORRLANDS LÄN</t>
        </is>
      </c>
      <c r="E415" t="inlineStr">
        <is>
          <t>ÅNGE</t>
        </is>
      </c>
      <c r="G415" t="n">
        <v>2</v>
      </c>
      <c r="H415" t="n">
        <v>0</v>
      </c>
      <c r="I415" t="n">
        <v>0</v>
      </c>
      <c r="J415" t="n">
        <v>0</v>
      </c>
      <c r="K415" t="n">
        <v>0</v>
      </c>
      <c r="L415" t="n">
        <v>0</v>
      </c>
      <c r="M415" t="n">
        <v>0</v>
      </c>
      <c r="N415" t="n">
        <v>0</v>
      </c>
      <c r="O415" t="n">
        <v>0</v>
      </c>
      <c r="P415" t="n">
        <v>0</v>
      </c>
      <c r="Q415" t="n">
        <v>0</v>
      </c>
      <c r="R415" s="2" t="inlineStr"/>
    </row>
    <row r="416" ht="15" customHeight="1">
      <c r="A416" t="inlineStr">
        <is>
          <t>A 16281-2023</t>
        </is>
      </c>
      <c r="B416" s="1" t="n">
        <v>45028</v>
      </c>
      <c r="C416" s="1" t="n">
        <v>45965</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16853-2023</t>
        </is>
      </c>
      <c r="B417" s="1" t="n">
        <v>45033</v>
      </c>
      <c r="C417" s="1" t="n">
        <v>45965</v>
      </c>
      <c r="D417" t="inlineStr">
        <is>
          <t>VÄSTERNORRLANDS LÄN</t>
        </is>
      </c>
      <c r="E417" t="inlineStr">
        <is>
          <t>ÅNGE</t>
        </is>
      </c>
      <c r="G417" t="n">
        <v>0.7</v>
      </c>
      <c r="H417" t="n">
        <v>0</v>
      </c>
      <c r="I417" t="n">
        <v>0</v>
      </c>
      <c r="J417" t="n">
        <v>0</v>
      </c>
      <c r="K417" t="n">
        <v>0</v>
      </c>
      <c r="L417" t="n">
        <v>0</v>
      </c>
      <c r="M417" t="n">
        <v>0</v>
      </c>
      <c r="N417" t="n">
        <v>0</v>
      </c>
      <c r="O417" t="n">
        <v>0</v>
      </c>
      <c r="P417" t="n">
        <v>0</v>
      </c>
      <c r="Q417" t="n">
        <v>0</v>
      </c>
      <c r="R417" s="2" t="inlineStr"/>
    </row>
    <row r="418" ht="15" customHeight="1">
      <c r="A418" t="inlineStr">
        <is>
          <t>A 45459-2022</t>
        </is>
      </c>
      <c r="B418" s="1" t="n">
        <v>44845</v>
      </c>
      <c r="C418" s="1" t="n">
        <v>45965</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46254-2023</t>
        </is>
      </c>
      <c r="B419" s="1" t="n">
        <v>45196</v>
      </c>
      <c r="C419" s="1" t="n">
        <v>45965</v>
      </c>
      <c r="D419" t="inlineStr">
        <is>
          <t>VÄSTERNORRLANDS LÄN</t>
        </is>
      </c>
      <c r="E419" t="inlineStr">
        <is>
          <t>ÅNGE</t>
        </is>
      </c>
      <c r="F419" t="inlineStr">
        <is>
          <t>SCA</t>
        </is>
      </c>
      <c r="G419" t="n">
        <v>0.1</v>
      </c>
      <c r="H419" t="n">
        <v>0</v>
      </c>
      <c r="I419" t="n">
        <v>0</v>
      </c>
      <c r="J419" t="n">
        <v>0</v>
      </c>
      <c r="K419" t="n">
        <v>0</v>
      </c>
      <c r="L419" t="n">
        <v>0</v>
      </c>
      <c r="M419" t="n">
        <v>0</v>
      </c>
      <c r="N419" t="n">
        <v>0</v>
      </c>
      <c r="O419" t="n">
        <v>0</v>
      </c>
      <c r="P419" t="n">
        <v>0</v>
      </c>
      <c r="Q419" t="n">
        <v>0</v>
      </c>
      <c r="R419" s="2" t="inlineStr"/>
    </row>
    <row r="420" ht="15" customHeight="1">
      <c r="A420" t="inlineStr">
        <is>
          <t>A 46262-2023</t>
        </is>
      </c>
      <c r="B420" s="1" t="n">
        <v>45196.93855324074</v>
      </c>
      <c r="C420" s="1" t="n">
        <v>45965</v>
      </c>
      <c r="D420" t="inlineStr">
        <is>
          <t>VÄSTERNORRLANDS LÄN</t>
        </is>
      </c>
      <c r="E420" t="inlineStr">
        <is>
          <t>ÅNGE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45027-2023</t>
        </is>
      </c>
      <c r="B421" s="1" t="n">
        <v>45190.96303240741</v>
      </c>
      <c r="C421" s="1" t="n">
        <v>45965</v>
      </c>
      <c r="D421" t="inlineStr">
        <is>
          <t>VÄSTERNORRLANDS LÄN</t>
        </is>
      </c>
      <c r="E421" t="inlineStr">
        <is>
          <t>ÅNGE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21409-2022</t>
        </is>
      </c>
      <c r="B422" s="1" t="n">
        <v>44705.9406712963</v>
      </c>
      <c r="C422" s="1" t="n">
        <v>45965</v>
      </c>
      <c r="D422" t="inlineStr">
        <is>
          <t>VÄSTERNORRLANDS LÄN</t>
        </is>
      </c>
      <c r="E422" t="inlineStr">
        <is>
          <t>ÅNGE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55380-2024</t>
        </is>
      </c>
      <c r="B423" s="1" t="n">
        <v>45622.28810185185</v>
      </c>
      <c r="C423" s="1" t="n">
        <v>45965</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2984-2025</t>
        </is>
      </c>
      <c r="B424" s="1" t="n">
        <v>45678.51094907407</v>
      </c>
      <c r="C424" s="1" t="n">
        <v>45965</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63709-2023</t>
        </is>
      </c>
      <c r="B425" s="1" t="n">
        <v>45275.95069444444</v>
      </c>
      <c r="C425" s="1" t="n">
        <v>45965</v>
      </c>
      <c r="D425" t="inlineStr">
        <is>
          <t>VÄSTERNORRLANDS LÄN</t>
        </is>
      </c>
      <c r="E425" t="inlineStr">
        <is>
          <t>ÅNGE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34091-2022</t>
        </is>
      </c>
      <c r="B426" s="1" t="n">
        <v>44791</v>
      </c>
      <c r="C426" s="1" t="n">
        <v>45965</v>
      </c>
      <c r="D426" t="inlineStr">
        <is>
          <t>VÄSTERNORRLANDS LÄN</t>
        </is>
      </c>
      <c r="E426" t="inlineStr">
        <is>
          <t>ÅNGE</t>
        </is>
      </c>
      <c r="G426" t="n">
        <v>10.1</v>
      </c>
      <c r="H426" t="n">
        <v>0</v>
      </c>
      <c r="I426" t="n">
        <v>0</v>
      </c>
      <c r="J426" t="n">
        <v>0</v>
      </c>
      <c r="K426" t="n">
        <v>0</v>
      </c>
      <c r="L426" t="n">
        <v>0</v>
      </c>
      <c r="M426" t="n">
        <v>0</v>
      </c>
      <c r="N426" t="n">
        <v>0</v>
      </c>
      <c r="O426" t="n">
        <v>0</v>
      </c>
      <c r="P426" t="n">
        <v>0</v>
      </c>
      <c r="Q426" t="n">
        <v>0</v>
      </c>
      <c r="R426" s="2" t="inlineStr"/>
    </row>
    <row r="427" ht="15" customHeight="1">
      <c r="A427" t="inlineStr">
        <is>
          <t>A 22678-2024</t>
        </is>
      </c>
      <c r="B427" s="1" t="n">
        <v>45447.94533564815</v>
      </c>
      <c r="C427" s="1" t="n">
        <v>45965</v>
      </c>
      <c r="D427" t="inlineStr">
        <is>
          <t>VÄSTERNORRLANDS LÄN</t>
        </is>
      </c>
      <c r="E427" t="inlineStr">
        <is>
          <t>ÅNGE</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10084-2023</t>
        </is>
      </c>
      <c r="B428" s="1" t="n">
        <v>44985.94465277778</v>
      </c>
      <c r="C428" s="1" t="n">
        <v>45965</v>
      </c>
      <c r="D428" t="inlineStr">
        <is>
          <t>VÄSTERNORRLANDS LÄN</t>
        </is>
      </c>
      <c r="E428" t="inlineStr">
        <is>
          <t>ÅNGE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10017-2025</t>
        </is>
      </c>
      <c r="B429" s="1" t="n">
        <v>45719.46957175926</v>
      </c>
      <c r="C429" s="1" t="n">
        <v>45965</v>
      </c>
      <c r="D429" t="inlineStr">
        <is>
          <t>VÄSTERNORRLANDS LÄN</t>
        </is>
      </c>
      <c r="E429" t="inlineStr">
        <is>
          <t>ÅNGE</t>
        </is>
      </c>
      <c r="F429" t="inlineStr">
        <is>
          <t>SCA</t>
        </is>
      </c>
      <c r="G429" t="n">
        <v>9.9</v>
      </c>
      <c r="H429" t="n">
        <v>0</v>
      </c>
      <c r="I429" t="n">
        <v>0</v>
      </c>
      <c r="J429" t="n">
        <v>0</v>
      </c>
      <c r="K429" t="n">
        <v>0</v>
      </c>
      <c r="L429" t="n">
        <v>0</v>
      </c>
      <c r="M429" t="n">
        <v>0</v>
      </c>
      <c r="N429" t="n">
        <v>0</v>
      </c>
      <c r="O429" t="n">
        <v>0</v>
      </c>
      <c r="P429" t="n">
        <v>0</v>
      </c>
      <c r="Q429" t="n">
        <v>0</v>
      </c>
      <c r="R429" s="2" t="inlineStr"/>
    </row>
    <row r="430" ht="15" customHeight="1">
      <c r="A430" t="inlineStr">
        <is>
          <t>A 39991-2023</t>
        </is>
      </c>
      <c r="B430" s="1" t="n">
        <v>45168.6043287037</v>
      </c>
      <c r="C430" s="1" t="n">
        <v>45965</v>
      </c>
      <c r="D430" t="inlineStr">
        <is>
          <t>VÄSTERNORRLANDS LÄN</t>
        </is>
      </c>
      <c r="E430" t="inlineStr">
        <is>
          <t>ÅNGE</t>
        </is>
      </c>
      <c r="G430" t="n">
        <v>10.2</v>
      </c>
      <c r="H430" t="n">
        <v>0</v>
      </c>
      <c r="I430" t="n">
        <v>0</v>
      </c>
      <c r="J430" t="n">
        <v>0</v>
      </c>
      <c r="K430" t="n">
        <v>0</v>
      </c>
      <c r="L430" t="n">
        <v>0</v>
      </c>
      <c r="M430" t="n">
        <v>0</v>
      </c>
      <c r="N430" t="n">
        <v>0</v>
      </c>
      <c r="O430" t="n">
        <v>0</v>
      </c>
      <c r="P430" t="n">
        <v>0</v>
      </c>
      <c r="Q430" t="n">
        <v>0</v>
      </c>
      <c r="R430" s="2" t="inlineStr"/>
    </row>
    <row r="431" ht="15" customHeight="1">
      <c r="A431" t="inlineStr">
        <is>
          <t>A 29270-2024</t>
        </is>
      </c>
      <c r="B431" s="1" t="n">
        <v>45482.94979166667</v>
      </c>
      <c r="C431" s="1" t="n">
        <v>45965</v>
      </c>
      <c r="D431" t="inlineStr">
        <is>
          <t>VÄSTERNORRLANDS LÄN</t>
        </is>
      </c>
      <c r="E431" t="inlineStr">
        <is>
          <t>ÅNGE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29696-2024</t>
        </is>
      </c>
      <c r="B432" s="1" t="n">
        <v>45484.94524305555</v>
      </c>
      <c r="C432" s="1" t="n">
        <v>45965</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35577-2024</t>
        </is>
      </c>
      <c r="B433" s="1" t="n">
        <v>45531</v>
      </c>
      <c r="C433" s="1" t="n">
        <v>45965</v>
      </c>
      <c r="D433" t="inlineStr">
        <is>
          <t>VÄSTERNORRLANDS LÄN</t>
        </is>
      </c>
      <c r="E433" t="inlineStr">
        <is>
          <t>ÅNGE</t>
        </is>
      </c>
      <c r="F433" t="inlineStr">
        <is>
          <t>SCA</t>
        </is>
      </c>
      <c r="G433" t="n">
        <v>0.1</v>
      </c>
      <c r="H433" t="n">
        <v>0</v>
      </c>
      <c r="I433" t="n">
        <v>0</v>
      </c>
      <c r="J433" t="n">
        <v>0</v>
      </c>
      <c r="K433" t="n">
        <v>0</v>
      </c>
      <c r="L433" t="n">
        <v>0</v>
      </c>
      <c r="M433" t="n">
        <v>0</v>
      </c>
      <c r="N433" t="n">
        <v>0</v>
      </c>
      <c r="O433" t="n">
        <v>0</v>
      </c>
      <c r="P433" t="n">
        <v>0</v>
      </c>
      <c r="Q433" t="n">
        <v>0</v>
      </c>
      <c r="R433" s="2" t="inlineStr"/>
    </row>
    <row r="434" ht="15" customHeight="1">
      <c r="A434" t="inlineStr">
        <is>
          <t>A 35580-2024</t>
        </is>
      </c>
      <c r="B434" s="1" t="n">
        <v>45531</v>
      </c>
      <c r="C434" s="1" t="n">
        <v>45965</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15167-2025</t>
        </is>
      </c>
      <c r="B435" s="1" t="n">
        <v>45744.49009259259</v>
      </c>
      <c r="C435" s="1" t="n">
        <v>45965</v>
      </c>
      <c r="D435" t="inlineStr">
        <is>
          <t>VÄSTERNORRLANDS LÄN</t>
        </is>
      </c>
      <c r="E435" t="inlineStr">
        <is>
          <t>ÅNGE</t>
        </is>
      </c>
      <c r="F435" t="inlineStr">
        <is>
          <t>SCA</t>
        </is>
      </c>
      <c r="G435" t="n">
        <v>6.4</v>
      </c>
      <c r="H435" t="n">
        <v>0</v>
      </c>
      <c r="I435" t="n">
        <v>0</v>
      </c>
      <c r="J435" t="n">
        <v>0</v>
      </c>
      <c r="K435" t="n">
        <v>0</v>
      </c>
      <c r="L435" t="n">
        <v>0</v>
      </c>
      <c r="M435" t="n">
        <v>0</v>
      </c>
      <c r="N435" t="n">
        <v>0</v>
      </c>
      <c r="O435" t="n">
        <v>0</v>
      </c>
      <c r="P435" t="n">
        <v>0</v>
      </c>
      <c r="Q435" t="n">
        <v>0</v>
      </c>
      <c r="R435" s="2" t="inlineStr"/>
    </row>
    <row r="436" ht="15" customHeight="1">
      <c r="A436" t="inlineStr">
        <is>
          <t>A 30556-2023</t>
        </is>
      </c>
      <c r="B436" s="1" t="n">
        <v>45111.87935185185</v>
      </c>
      <c r="C436" s="1" t="n">
        <v>45965</v>
      </c>
      <c r="D436" t="inlineStr">
        <is>
          <t>VÄSTERNORRLANDS LÄN</t>
        </is>
      </c>
      <c r="E436" t="inlineStr">
        <is>
          <t>ÅNGE</t>
        </is>
      </c>
      <c r="G436" t="n">
        <v>3.7</v>
      </c>
      <c r="H436" t="n">
        <v>0</v>
      </c>
      <c r="I436" t="n">
        <v>0</v>
      </c>
      <c r="J436" t="n">
        <v>0</v>
      </c>
      <c r="K436" t="n">
        <v>0</v>
      </c>
      <c r="L436" t="n">
        <v>0</v>
      </c>
      <c r="M436" t="n">
        <v>0</v>
      </c>
      <c r="N436" t="n">
        <v>0</v>
      </c>
      <c r="O436" t="n">
        <v>0</v>
      </c>
      <c r="P436" t="n">
        <v>0</v>
      </c>
      <c r="Q436" t="n">
        <v>0</v>
      </c>
      <c r="R436" s="2" t="inlineStr"/>
    </row>
    <row r="437" ht="15" customHeight="1">
      <c r="A437" t="inlineStr">
        <is>
          <t>A 54342-2023</t>
        </is>
      </c>
      <c r="B437" s="1" t="n">
        <v>45232</v>
      </c>
      <c r="C437" s="1" t="n">
        <v>45965</v>
      </c>
      <c r="D437" t="inlineStr">
        <is>
          <t>VÄSTERNORRLANDS LÄN</t>
        </is>
      </c>
      <c r="E437" t="inlineStr">
        <is>
          <t>ÅNGE</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33062-2022</t>
        </is>
      </c>
      <c r="B438" s="1" t="n">
        <v>44785</v>
      </c>
      <c r="C438" s="1" t="n">
        <v>45965</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46255-2023</t>
        </is>
      </c>
      <c r="B439" s="1" t="n">
        <v>45196</v>
      </c>
      <c r="C439" s="1" t="n">
        <v>45965</v>
      </c>
      <c r="D439" t="inlineStr">
        <is>
          <t>VÄSTERNORRLANDS LÄN</t>
        </is>
      </c>
      <c r="E439" t="inlineStr">
        <is>
          <t>ÅNGE</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2365-2024</t>
        </is>
      </c>
      <c r="B440" s="1" t="n">
        <v>45310.59778935185</v>
      </c>
      <c r="C440" s="1" t="n">
        <v>45965</v>
      </c>
      <c r="D440" t="inlineStr">
        <is>
          <t>VÄSTERNORRLANDS LÄN</t>
        </is>
      </c>
      <c r="E440" t="inlineStr">
        <is>
          <t>ÅNGE</t>
        </is>
      </c>
      <c r="G440" t="n">
        <v>0.5</v>
      </c>
      <c r="H440" t="n">
        <v>0</v>
      </c>
      <c r="I440" t="n">
        <v>0</v>
      </c>
      <c r="J440" t="n">
        <v>0</v>
      </c>
      <c r="K440" t="n">
        <v>0</v>
      </c>
      <c r="L440" t="n">
        <v>0</v>
      </c>
      <c r="M440" t="n">
        <v>0</v>
      </c>
      <c r="N440" t="n">
        <v>0</v>
      </c>
      <c r="O440" t="n">
        <v>0</v>
      </c>
      <c r="P440" t="n">
        <v>0</v>
      </c>
      <c r="Q440" t="n">
        <v>0</v>
      </c>
      <c r="R440" s="2" t="inlineStr"/>
    </row>
    <row r="441" ht="15" customHeight="1">
      <c r="A441" t="inlineStr">
        <is>
          <t>A 2372-2024</t>
        </is>
      </c>
      <c r="B441" s="1" t="n">
        <v>45310.6115625</v>
      </c>
      <c r="C441" s="1" t="n">
        <v>45965</v>
      </c>
      <c r="D441" t="inlineStr">
        <is>
          <t>VÄSTERNORRLANDS LÄN</t>
        </is>
      </c>
      <c r="E441" t="inlineStr">
        <is>
          <t>ÅNGE</t>
        </is>
      </c>
      <c r="G441" t="n">
        <v>5.6</v>
      </c>
      <c r="H441" t="n">
        <v>0</v>
      </c>
      <c r="I441" t="n">
        <v>0</v>
      </c>
      <c r="J441" t="n">
        <v>0</v>
      </c>
      <c r="K441" t="n">
        <v>0</v>
      </c>
      <c r="L441" t="n">
        <v>0</v>
      </c>
      <c r="M441" t="n">
        <v>0</v>
      </c>
      <c r="N441" t="n">
        <v>0</v>
      </c>
      <c r="O441" t="n">
        <v>0</v>
      </c>
      <c r="P441" t="n">
        <v>0</v>
      </c>
      <c r="Q441" t="n">
        <v>0</v>
      </c>
      <c r="R441" s="2" t="inlineStr"/>
    </row>
    <row r="442" ht="15" customHeight="1">
      <c r="A442" t="inlineStr">
        <is>
          <t>A 17452-2025</t>
        </is>
      </c>
      <c r="B442" s="1" t="n">
        <v>45757.44842592593</v>
      </c>
      <c r="C442" s="1" t="n">
        <v>45965</v>
      </c>
      <c r="D442" t="inlineStr">
        <is>
          <t>VÄSTERNORRLANDS LÄN</t>
        </is>
      </c>
      <c r="E442" t="inlineStr">
        <is>
          <t>ÅNGE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5393-2025</t>
        </is>
      </c>
      <c r="B443" s="1" t="n">
        <v>45692.63574074074</v>
      </c>
      <c r="C443" s="1" t="n">
        <v>45965</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34971-2023</t>
        </is>
      </c>
      <c r="B444" s="1" t="n">
        <v>45142.61635416667</v>
      </c>
      <c r="C444" s="1" t="n">
        <v>45965</v>
      </c>
      <c r="D444" t="inlineStr">
        <is>
          <t>VÄSTERNORRLANDS LÄN</t>
        </is>
      </c>
      <c r="E444" t="inlineStr">
        <is>
          <t>ÅNGE</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27002-2023</t>
        </is>
      </c>
      <c r="B445" s="1" t="n">
        <v>45093</v>
      </c>
      <c r="C445" s="1" t="n">
        <v>45965</v>
      </c>
      <c r="D445" t="inlineStr">
        <is>
          <t>VÄSTERNORRLANDS LÄN</t>
        </is>
      </c>
      <c r="E445" t="inlineStr">
        <is>
          <t>ÅNGE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9480-2022</t>
        </is>
      </c>
      <c r="B446" s="1" t="n">
        <v>44616</v>
      </c>
      <c r="C446" s="1" t="n">
        <v>45965</v>
      </c>
      <c r="D446" t="inlineStr">
        <is>
          <t>VÄSTERNORRLANDS LÄN</t>
        </is>
      </c>
      <c r="E446" t="inlineStr">
        <is>
          <t>ÅNGE</t>
        </is>
      </c>
      <c r="G446" t="n">
        <v>0.3</v>
      </c>
      <c r="H446" t="n">
        <v>0</v>
      </c>
      <c r="I446" t="n">
        <v>0</v>
      </c>
      <c r="J446" t="n">
        <v>0</v>
      </c>
      <c r="K446" t="n">
        <v>0</v>
      </c>
      <c r="L446" t="n">
        <v>0</v>
      </c>
      <c r="M446" t="n">
        <v>0</v>
      </c>
      <c r="N446" t="n">
        <v>0</v>
      </c>
      <c r="O446" t="n">
        <v>0</v>
      </c>
      <c r="P446" t="n">
        <v>0</v>
      </c>
      <c r="Q446" t="n">
        <v>0</v>
      </c>
      <c r="R446" s="2" t="inlineStr"/>
    </row>
    <row r="447" ht="15" customHeight="1">
      <c r="A447" t="inlineStr">
        <is>
          <t>A 18617-2024</t>
        </is>
      </c>
      <c r="B447" s="1" t="n">
        <v>45425</v>
      </c>
      <c r="C447" s="1" t="n">
        <v>45965</v>
      </c>
      <c r="D447" t="inlineStr">
        <is>
          <t>VÄSTERNORRLANDS LÄN</t>
        </is>
      </c>
      <c r="E447" t="inlineStr">
        <is>
          <t>ÅNGE</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63170-2023</t>
        </is>
      </c>
      <c r="B448" s="1" t="n">
        <v>45273.57087962963</v>
      </c>
      <c r="C448" s="1" t="n">
        <v>45965</v>
      </c>
      <c r="D448" t="inlineStr">
        <is>
          <t>VÄSTERNORRLANDS LÄN</t>
        </is>
      </c>
      <c r="E448" t="inlineStr">
        <is>
          <t>ÅNGE</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30273-2023</t>
        </is>
      </c>
      <c r="B449" s="1" t="n">
        <v>45099</v>
      </c>
      <c r="C449" s="1" t="n">
        <v>45965</v>
      </c>
      <c r="D449" t="inlineStr">
        <is>
          <t>VÄSTERNORRLANDS LÄN</t>
        </is>
      </c>
      <c r="E449" t="inlineStr">
        <is>
          <t>ÅNGE</t>
        </is>
      </c>
      <c r="G449" t="n">
        <v>3.9</v>
      </c>
      <c r="H449" t="n">
        <v>0</v>
      </c>
      <c r="I449" t="n">
        <v>0</v>
      </c>
      <c r="J449" t="n">
        <v>0</v>
      </c>
      <c r="K449" t="n">
        <v>0</v>
      </c>
      <c r="L449" t="n">
        <v>0</v>
      </c>
      <c r="M449" t="n">
        <v>0</v>
      </c>
      <c r="N449" t="n">
        <v>0</v>
      </c>
      <c r="O449" t="n">
        <v>0</v>
      </c>
      <c r="P449" t="n">
        <v>0</v>
      </c>
      <c r="Q449" t="n">
        <v>0</v>
      </c>
      <c r="R449" s="2" t="inlineStr"/>
    </row>
    <row r="450" ht="15" customHeight="1">
      <c r="A450" t="inlineStr">
        <is>
          <t>A 60368-2024</t>
        </is>
      </c>
      <c r="B450" s="1" t="n">
        <v>45643</v>
      </c>
      <c r="C450" s="1" t="n">
        <v>45965</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21200-2024</t>
        </is>
      </c>
      <c r="B451" s="1" t="n">
        <v>45440</v>
      </c>
      <c r="C451" s="1" t="n">
        <v>45965</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51383-2022</t>
        </is>
      </c>
      <c r="B452" s="1" t="n">
        <v>44866</v>
      </c>
      <c r="C452" s="1" t="n">
        <v>45965</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51393-2022</t>
        </is>
      </c>
      <c r="B453" s="1" t="n">
        <v>44869.43277777778</v>
      </c>
      <c r="C453" s="1" t="n">
        <v>45965</v>
      </c>
      <c r="D453" t="inlineStr">
        <is>
          <t>VÄSTERNORRLANDS LÄN</t>
        </is>
      </c>
      <c r="E453" t="inlineStr">
        <is>
          <t>ÅNGE</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31729-2024</t>
        </is>
      </c>
      <c r="B454" s="1" t="n">
        <v>45509.35844907408</v>
      </c>
      <c r="C454" s="1" t="n">
        <v>45965</v>
      </c>
      <c r="D454" t="inlineStr">
        <is>
          <t>VÄSTERNORRLANDS LÄN</t>
        </is>
      </c>
      <c r="E454" t="inlineStr">
        <is>
          <t>ÅNGE</t>
        </is>
      </c>
      <c r="G454" t="n">
        <v>1.9</v>
      </c>
      <c r="H454" t="n">
        <v>0</v>
      </c>
      <c r="I454" t="n">
        <v>0</v>
      </c>
      <c r="J454" t="n">
        <v>0</v>
      </c>
      <c r="K454" t="n">
        <v>0</v>
      </c>
      <c r="L454" t="n">
        <v>0</v>
      </c>
      <c r="M454" t="n">
        <v>0</v>
      </c>
      <c r="N454" t="n">
        <v>0</v>
      </c>
      <c r="O454" t="n">
        <v>0</v>
      </c>
      <c r="P454" t="n">
        <v>0</v>
      </c>
      <c r="Q454" t="n">
        <v>0</v>
      </c>
      <c r="R454" s="2" t="inlineStr"/>
    </row>
    <row r="455" ht="15" customHeight="1">
      <c r="A455" t="inlineStr">
        <is>
          <t>A 8868-2023</t>
        </is>
      </c>
      <c r="B455" s="1" t="n">
        <v>44978</v>
      </c>
      <c r="C455" s="1" t="n">
        <v>45965</v>
      </c>
      <c r="D455" t="inlineStr">
        <is>
          <t>VÄSTERNORRLANDS LÄN</t>
        </is>
      </c>
      <c r="E455" t="inlineStr">
        <is>
          <t>ÅNGE</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20761-2024</t>
        </is>
      </c>
      <c r="B456" s="1" t="n">
        <v>45436</v>
      </c>
      <c r="C456" s="1" t="n">
        <v>45965</v>
      </c>
      <c r="D456" t="inlineStr">
        <is>
          <t>VÄSTERNORRLANDS LÄN</t>
        </is>
      </c>
      <c r="E456" t="inlineStr">
        <is>
          <t>ÅNGE</t>
        </is>
      </c>
      <c r="G456" t="n">
        <v>1.1</v>
      </c>
      <c r="H456" t="n">
        <v>0</v>
      </c>
      <c r="I456" t="n">
        <v>0</v>
      </c>
      <c r="J456" t="n">
        <v>0</v>
      </c>
      <c r="K456" t="n">
        <v>0</v>
      </c>
      <c r="L456" t="n">
        <v>0</v>
      </c>
      <c r="M456" t="n">
        <v>0</v>
      </c>
      <c r="N456" t="n">
        <v>0</v>
      </c>
      <c r="O456" t="n">
        <v>0</v>
      </c>
      <c r="P456" t="n">
        <v>0</v>
      </c>
      <c r="Q456" t="n">
        <v>0</v>
      </c>
      <c r="R456" s="2" t="inlineStr"/>
    </row>
    <row r="457" ht="15" customHeight="1">
      <c r="A457" t="inlineStr">
        <is>
          <t>A 34783-2021</t>
        </is>
      </c>
      <c r="B457" s="1" t="n">
        <v>44382</v>
      </c>
      <c r="C457" s="1" t="n">
        <v>45965</v>
      </c>
      <c r="D457" t="inlineStr">
        <is>
          <t>VÄSTERNORRLANDS LÄN</t>
        </is>
      </c>
      <c r="E457" t="inlineStr">
        <is>
          <t>ÅNGE</t>
        </is>
      </c>
      <c r="F457" t="inlineStr">
        <is>
          <t>SCA</t>
        </is>
      </c>
      <c r="G457" t="n">
        <v>8.5</v>
      </c>
      <c r="H457" t="n">
        <v>0</v>
      </c>
      <c r="I457" t="n">
        <v>0</v>
      </c>
      <c r="J457" t="n">
        <v>0</v>
      </c>
      <c r="K457" t="n">
        <v>0</v>
      </c>
      <c r="L457" t="n">
        <v>0</v>
      </c>
      <c r="M457" t="n">
        <v>0</v>
      </c>
      <c r="N457" t="n">
        <v>0</v>
      </c>
      <c r="O457" t="n">
        <v>0</v>
      </c>
      <c r="P457" t="n">
        <v>0</v>
      </c>
      <c r="Q457" t="n">
        <v>0</v>
      </c>
      <c r="R457" s="2" t="inlineStr"/>
    </row>
    <row r="458" ht="15" customHeight="1">
      <c r="A458" t="inlineStr">
        <is>
          <t>A 10917-2024</t>
        </is>
      </c>
      <c r="B458" s="1" t="n">
        <v>45370</v>
      </c>
      <c r="C458" s="1" t="n">
        <v>45965</v>
      </c>
      <c r="D458" t="inlineStr">
        <is>
          <t>VÄSTERNORRLANDS LÄN</t>
        </is>
      </c>
      <c r="E458" t="inlineStr">
        <is>
          <t>ÅNGE</t>
        </is>
      </c>
      <c r="G458" t="n">
        <v>2.2</v>
      </c>
      <c r="H458" t="n">
        <v>0</v>
      </c>
      <c r="I458" t="n">
        <v>0</v>
      </c>
      <c r="J458" t="n">
        <v>0</v>
      </c>
      <c r="K458" t="n">
        <v>0</v>
      </c>
      <c r="L458" t="n">
        <v>0</v>
      </c>
      <c r="M458" t="n">
        <v>0</v>
      </c>
      <c r="N458" t="n">
        <v>0</v>
      </c>
      <c r="O458" t="n">
        <v>0</v>
      </c>
      <c r="P458" t="n">
        <v>0</v>
      </c>
      <c r="Q458" t="n">
        <v>0</v>
      </c>
      <c r="R458" s="2" t="inlineStr"/>
    </row>
    <row r="459" ht="15" customHeight="1">
      <c r="A459" t="inlineStr">
        <is>
          <t>A 42857-2022</t>
        </is>
      </c>
      <c r="B459" s="1" t="n">
        <v>44832</v>
      </c>
      <c r="C459" s="1" t="n">
        <v>45965</v>
      </c>
      <c r="D459" t="inlineStr">
        <is>
          <t>VÄSTERNORRLANDS LÄN</t>
        </is>
      </c>
      <c r="E459" t="inlineStr">
        <is>
          <t>ÅNGE</t>
        </is>
      </c>
      <c r="G459" t="n">
        <v>3.4</v>
      </c>
      <c r="H459" t="n">
        <v>0</v>
      </c>
      <c r="I459" t="n">
        <v>0</v>
      </c>
      <c r="J459" t="n">
        <v>0</v>
      </c>
      <c r="K459" t="n">
        <v>0</v>
      </c>
      <c r="L459" t="n">
        <v>0</v>
      </c>
      <c r="M459" t="n">
        <v>0</v>
      </c>
      <c r="N459" t="n">
        <v>0</v>
      </c>
      <c r="O459" t="n">
        <v>0</v>
      </c>
      <c r="P459" t="n">
        <v>0</v>
      </c>
      <c r="Q459" t="n">
        <v>0</v>
      </c>
      <c r="R459" s="2" t="inlineStr"/>
    </row>
    <row r="460" ht="15" customHeight="1">
      <c r="A460" t="inlineStr">
        <is>
          <t>A 4187-2025</t>
        </is>
      </c>
      <c r="B460" s="1" t="n">
        <v>45685.44842592593</v>
      </c>
      <c r="C460" s="1" t="n">
        <v>45965</v>
      </c>
      <c r="D460" t="inlineStr">
        <is>
          <t>VÄSTERNORRLANDS LÄN</t>
        </is>
      </c>
      <c r="E460" t="inlineStr">
        <is>
          <t>ÅNGE</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15287-2025</t>
        </is>
      </c>
      <c r="B461" s="1" t="n">
        <v>45745</v>
      </c>
      <c r="C461" s="1" t="n">
        <v>45965</v>
      </c>
      <c r="D461" t="inlineStr">
        <is>
          <t>VÄSTERNORRLANDS LÄN</t>
        </is>
      </c>
      <c r="E461" t="inlineStr">
        <is>
          <t>ÅNGE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15288-2025</t>
        </is>
      </c>
      <c r="B462" s="1" t="n">
        <v>45745.34423611111</v>
      </c>
      <c r="C462" s="1" t="n">
        <v>45965</v>
      </c>
      <c r="D462" t="inlineStr">
        <is>
          <t>VÄSTERNORRLANDS LÄN</t>
        </is>
      </c>
      <c r="E462" t="inlineStr">
        <is>
          <t>ÅNGE</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50640-2022</t>
        </is>
      </c>
      <c r="B463" s="1" t="n">
        <v>44866.94734953704</v>
      </c>
      <c r="C463" s="1" t="n">
        <v>45965</v>
      </c>
      <c r="D463" t="inlineStr">
        <is>
          <t>VÄSTERNORRLANDS LÄN</t>
        </is>
      </c>
      <c r="E463" t="inlineStr">
        <is>
          <t>ÅNGE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43775-2022</t>
        </is>
      </c>
      <c r="B464" s="1" t="n">
        <v>44837.95053240741</v>
      </c>
      <c r="C464" s="1" t="n">
        <v>45965</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27306-2024</t>
        </is>
      </c>
      <c r="B465" s="1" t="n">
        <v>45471.94454861111</v>
      </c>
      <c r="C465" s="1" t="n">
        <v>45965</v>
      </c>
      <c r="D465" t="inlineStr">
        <is>
          <t>VÄSTERNORRLANDS LÄN</t>
        </is>
      </c>
      <c r="E465" t="inlineStr">
        <is>
          <t>ÅNGE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11396-2024</t>
        </is>
      </c>
      <c r="B466" s="1" t="n">
        <v>45372</v>
      </c>
      <c r="C466" s="1" t="n">
        <v>45965</v>
      </c>
      <c r="D466" t="inlineStr">
        <is>
          <t>VÄSTERNORRLANDS LÄN</t>
        </is>
      </c>
      <c r="E466" t="inlineStr">
        <is>
          <t>ÅNGE</t>
        </is>
      </c>
      <c r="G466" t="n">
        <v>2.2</v>
      </c>
      <c r="H466" t="n">
        <v>0</v>
      </c>
      <c r="I466" t="n">
        <v>0</v>
      </c>
      <c r="J466" t="n">
        <v>0</v>
      </c>
      <c r="K466" t="n">
        <v>0</v>
      </c>
      <c r="L466" t="n">
        <v>0</v>
      </c>
      <c r="M466" t="n">
        <v>0</v>
      </c>
      <c r="N466" t="n">
        <v>0</v>
      </c>
      <c r="O466" t="n">
        <v>0</v>
      </c>
      <c r="P466" t="n">
        <v>0</v>
      </c>
      <c r="Q466" t="n">
        <v>0</v>
      </c>
      <c r="R466" s="2" t="inlineStr"/>
    </row>
    <row r="467" ht="15" customHeight="1">
      <c r="A467" t="inlineStr">
        <is>
          <t>A 25680-2023</t>
        </is>
      </c>
      <c r="B467" s="1" t="n">
        <v>45089</v>
      </c>
      <c r="C467" s="1" t="n">
        <v>45965</v>
      </c>
      <c r="D467" t="inlineStr">
        <is>
          <t>VÄSTERNORRLANDS LÄN</t>
        </is>
      </c>
      <c r="E467" t="inlineStr">
        <is>
          <t>ÅNGE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58997-2023</t>
        </is>
      </c>
      <c r="B468" s="1" t="n">
        <v>45252.6352662037</v>
      </c>
      <c r="C468" s="1" t="n">
        <v>45965</v>
      </c>
      <c r="D468" t="inlineStr">
        <is>
          <t>VÄSTERNORRLANDS LÄN</t>
        </is>
      </c>
      <c r="E468" t="inlineStr">
        <is>
          <t>ÅNGE</t>
        </is>
      </c>
      <c r="F468" t="inlineStr">
        <is>
          <t>Övriga Aktiebolag</t>
        </is>
      </c>
      <c r="G468" t="n">
        <v>2.1</v>
      </c>
      <c r="H468" t="n">
        <v>0</v>
      </c>
      <c r="I468" t="n">
        <v>0</v>
      </c>
      <c r="J468" t="n">
        <v>0</v>
      </c>
      <c r="K468" t="n">
        <v>0</v>
      </c>
      <c r="L468" t="n">
        <v>0</v>
      </c>
      <c r="M468" t="n">
        <v>0</v>
      </c>
      <c r="N468" t="n">
        <v>0</v>
      </c>
      <c r="O468" t="n">
        <v>0</v>
      </c>
      <c r="P468" t="n">
        <v>0</v>
      </c>
      <c r="Q468" t="n">
        <v>0</v>
      </c>
      <c r="R468" s="2" t="inlineStr"/>
    </row>
    <row r="469" ht="15" customHeight="1">
      <c r="A469" t="inlineStr">
        <is>
          <t>A 47792-2022</t>
        </is>
      </c>
      <c r="B469" s="1" t="n">
        <v>44854.95238425926</v>
      </c>
      <c r="C469" s="1" t="n">
        <v>45965</v>
      </c>
      <c r="D469" t="inlineStr">
        <is>
          <t>VÄSTERNORRLANDS LÄN</t>
        </is>
      </c>
      <c r="E469" t="inlineStr">
        <is>
          <t>ÅNGE</t>
        </is>
      </c>
      <c r="F469" t="inlineStr">
        <is>
          <t>SCA</t>
        </is>
      </c>
      <c r="G469" t="n">
        <v>10.9</v>
      </c>
      <c r="H469" t="n">
        <v>0</v>
      </c>
      <c r="I469" t="n">
        <v>0</v>
      </c>
      <c r="J469" t="n">
        <v>0</v>
      </c>
      <c r="K469" t="n">
        <v>0</v>
      </c>
      <c r="L469" t="n">
        <v>0</v>
      </c>
      <c r="M469" t="n">
        <v>0</v>
      </c>
      <c r="N469" t="n">
        <v>0</v>
      </c>
      <c r="O469" t="n">
        <v>0</v>
      </c>
      <c r="P469" t="n">
        <v>0</v>
      </c>
      <c r="Q469" t="n">
        <v>0</v>
      </c>
      <c r="R469" s="2" t="inlineStr"/>
    </row>
    <row r="470" ht="15" customHeight="1">
      <c r="A470" t="inlineStr">
        <is>
          <t>A 12807-2025</t>
        </is>
      </c>
      <c r="B470" s="1" t="n">
        <v>45733.61537037037</v>
      </c>
      <c r="C470" s="1" t="n">
        <v>45965</v>
      </c>
      <c r="D470" t="inlineStr">
        <is>
          <t>VÄSTERNORRLANDS LÄN</t>
        </is>
      </c>
      <c r="E470" t="inlineStr">
        <is>
          <t>ÅNGE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59818-2024</t>
        </is>
      </c>
      <c r="B471" s="1" t="n">
        <v>45639.63572916666</v>
      </c>
      <c r="C471" s="1" t="n">
        <v>45965</v>
      </c>
      <c r="D471" t="inlineStr">
        <is>
          <t>VÄSTERNORRLANDS LÄN</t>
        </is>
      </c>
      <c r="E471" t="inlineStr">
        <is>
          <t>ÅNGE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18668-2023</t>
        </is>
      </c>
      <c r="B472" s="1" t="n">
        <v>45043.57108796296</v>
      </c>
      <c r="C472" s="1" t="n">
        <v>45965</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18869-2024</t>
        </is>
      </c>
      <c r="B473" s="1" t="n">
        <v>45426</v>
      </c>
      <c r="C473" s="1" t="n">
        <v>45965</v>
      </c>
      <c r="D473" t="inlineStr">
        <is>
          <t>VÄSTERNORRLANDS LÄN</t>
        </is>
      </c>
      <c r="E473" t="inlineStr">
        <is>
          <t>ÅNGE</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24797-2024</t>
        </is>
      </c>
      <c r="B474" s="1" t="n">
        <v>45460.95269675926</v>
      </c>
      <c r="C474" s="1" t="n">
        <v>45965</v>
      </c>
      <c r="D474" t="inlineStr">
        <is>
          <t>VÄSTERNORRLANDS LÄN</t>
        </is>
      </c>
      <c r="E474" t="inlineStr">
        <is>
          <t>ÅNGE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62261-2022</t>
        </is>
      </c>
      <c r="B475" s="1" t="n">
        <v>44922.94378472222</v>
      </c>
      <c r="C475" s="1" t="n">
        <v>45965</v>
      </c>
      <c r="D475" t="inlineStr">
        <is>
          <t>VÄSTERNORRLANDS LÄN</t>
        </is>
      </c>
      <c r="E475" t="inlineStr">
        <is>
          <t>ÅNGE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16524-2025</t>
        </is>
      </c>
      <c r="B476" s="1" t="n">
        <v>45751.64310185185</v>
      </c>
      <c r="C476" s="1" t="n">
        <v>45965</v>
      </c>
      <c r="D476" t="inlineStr">
        <is>
          <t>VÄSTERNORRLANDS LÄN</t>
        </is>
      </c>
      <c r="E476" t="inlineStr">
        <is>
          <t>ÅNGE</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1769-2023</t>
        </is>
      </c>
      <c r="B477" s="1" t="n">
        <v>44938.58025462963</v>
      </c>
      <c r="C477" s="1" t="n">
        <v>45965</v>
      </c>
      <c r="D477" t="inlineStr">
        <is>
          <t>VÄSTERNORRLANDS LÄN</t>
        </is>
      </c>
      <c r="E477" t="inlineStr">
        <is>
          <t>ÅNGE</t>
        </is>
      </c>
      <c r="G477" t="n">
        <v>1.3</v>
      </c>
      <c r="H477" t="n">
        <v>0</v>
      </c>
      <c r="I477" t="n">
        <v>0</v>
      </c>
      <c r="J477" t="n">
        <v>0</v>
      </c>
      <c r="K477" t="n">
        <v>0</v>
      </c>
      <c r="L477" t="n">
        <v>0</v>
      </c>
      <c r="M477" t="n">
        <v>0</v>
      </c>
      <c r="N477" t="n">
        <v>0</v>
      </c>
      <c r="O477" t="n">
        <v>0</v>
      </c>
      <c r="P477" t="n">
        <v>0</v>
      </c>
      <c r="Q477" t="n">
        <v>0</v>
      </c>
      <c r="R477" s="2" t="inlineStr"/>
    </row>
    <row r="478" ht="15" customHeight="1">
      <c r="A478" t="inlineStr">
        <is>
          <t>A 47779-2023</t>
        </is>
      </c>
      <c r="B478" s="1" t="n">
        <v>45203.92232638889</v>
      </c>
      <c r="C478" s="1" t="n">
        <v>45965</v>
      </c>
      <c r="D478" t="inlineStr">
        <is>
          <t>VÄSTERNORRLANDS LÄN</t>
        </is>
      </c>
      <c r="E478" t="inlineStr">
        <is>
          <t>ÅNGE</t>
        </is>
      </c>
      <c r="G478" t="n">
        <v>9.6</v>
      </c>
      <c r="H478" t="n">
        <v>0</v>
      </c>
      <c r="I478" t="n">
        <v>0</v>
      </c>
      <c r="J478" t="n">
        <v>0</v>
      </c>
      <c r="K478" t="n">
        <v>0</v>
      </c>
      <c r="L478" t="n">
        <v>0</v>
      </c>
      <c r="M478" t="n">
        <v>0</v>
      </c>
      <c r="N478" t="n">
        <v>0</v>
      </c>
      <c r="O478" t="n">
        <v>0</v>
      </c>
      <c r="P478" t="n">
        <v>0</v>
      </c>
      <c r="Q478" t="n">
        <v>0</v>
      </c>
      <c r="R478" s="2" t="inlineStr"/>
    </row>
    <row r="479" ht="15" customHeight="1">
      <c r="A479" t="inlineStr">
        <is>
          <t>A 1775-2023</t>
        </is>
      </c>
      <c r="B479" s="1" t="n">
        <v>44938</v>
      </c>
      <c r="C479" s="1" t="n">
        <v>45965</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10878-2024</t>
        </is>
      </c>
      <c r="B480" s="1" t="n">
        <v>45370</v>
      </c>
      <c r="C480" s="1" t="n">
        <v>45965</v>
      </c>
      <c r="D480" t="inlineStr">
        <is>
          <t>VÄSTERNORRLANDS LÄN</t>
        </is>
      </c>
      <c r="E480" t="inlineStr">
        <is>
          <t>ÅNGE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22680-2024</t>
        </is>
      </c>
      <c r="B481" s="1" t="n">
        <v>45447.94548611111</v>
      </c>
      <c r="C481" s="1" t="n">
        <v>45965</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19066-2024</t>
        </is>
      </c>
      <c r="B482" s="1" t="n">
        <v>45427</v>
      </c>
      <c r="C482" s="1" t="n">
        <v>45965</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3629-2023</t>
        </is>
      </c>
      <c r="B483" s="1" t="n">
        <v>44950</v>
      </c>
      <c r="C483" s="1" t="n">
        <v>45965</v>
      </c>
      <c r="D483" t="inlineStr">
        <is>
          <t>VÄSTERNORRLANDS LÄN</t>
        </is>
      </c>
      <c r="E483" t="inlineStr">
        <is>
          <t>ÅNGE</t>
        </is>
      </c>
      <c r="G483" t="n">
        <v>2.5</v>
      </c>
      <c r="H483" t="n">
        <v>0</v>
      </c>
      <c r="I483" t="n">
        <v>0</v>
      </c>
      <c r="J483" t="n">
        <v>0</v>
      </c>
      <c r="K483" t="n">
        <v>0</v>
      </c>
      <c r="L483" t="n">
        <v>0</v>
      </c>
      <c r="M483" t="n">
        <v>0</v>
      </c>
      <c r="N483" t="n">
        <v>0</v>
      </c>
      <c r="O483" t="n">
        <v>0</v>
      </c>
      <c r="P483" t="n">
        <v>0</v>
      </c>
      <c r="Q483" t="n">
        <v>0</v>
      </c>
      <c r="R483" s="2" t="inlineStr"/>
    </row>
    <row r="484" ht="15" customHeight="1">
      <c r="A484" t="inlineStr">
        <is>
          <t>A 3631-2023</t>
        </is>
      </c>
      <c r="B484" s="1" t="n">
        <v>44950</v>
      </c>
      <c r="C484" s="1" t="n">
        <v>45965</v>
      </c>
      <c r="D484" t="inlineStr">
        <is>
          <t>VÄSTERNORRLANDS LÄN</t>
        </is>
      </c>
      <c r="E484" t="inlineStr">
        <is>
          <t>ÅNGE</t>
        </is>
      </c>
      <c r="G484" t="n">
        <v>0.8</v>
      </c>
      <c r="H484" t="n">
        <v>0</v>
      </c>
      <c r="I484" t="n">
        <v>0</v>
      </c>
      <c r="J484" t="n">
        <v>0</v>
      </c>
      <c r="K484" t="n">
        <v>0</v>
      </c>
      <c r="L484" t="n">
        <v>0</v>
      </c>
      <c r="M484" t="n">
        <v>0</v>
      </c>
      <c r="N484" t="n">
        <v>0</v>
      </c>
      <c r="O484" t="n">
        <v>0</v>
      </c>
      <c r="P484" t="n">
        <v>0</v>
      </c>
      <c r="Q484" t="n">
        <v>0</v>
      </c>
      <c r="R484" s="2" t="inlineStr"/>
    </row>
    <row r="485" ht="15" customHeight="1">
      <c r="A485" t="inlineStr">
        <is>
          <t>A 31177-2024</t>
        </is>
      </c>
      <c r="B485" s="1" t="n">
        <v>45503</v>
      </c>
      <c r="C485" s="1" t="n">
        <v>45965</v>
      </c>
      <c r="D485" t="inlineStr">
        <is>
          <t>VÄSTERNORRLANDS LÄN</t>
        </is>
      </c>
      <c r="E485" t="inlineStr">
        <is>
          <t>ÅNGE</t>
        </is>
      </c>
      <c r="G485" t="n">
        <v>10.2</v>
      </c>
      <c r="H485" t="n">
        <v>0</v>
      </c>
      <c r="I485" t="n">
        <v>0</v>
      </c>
      <c r="J485" t="n">
        <v>0</v>
      </c>
      <c r="K485" t="n">
        <v>0</v>
      </c>
      <c r="L485" t="n">
        <v>0</v>
      </c>
      <c r="M485" t="n">
        <v>0</v>
      </c>
      <c r="N485" t="n">
        <v>0</v>
      </c>
      <c r="O485" t="n">
        <v>0</v>
      </c>
      <c r="P485" t="n">
        <v>0</v>
      </c>
      <c r="Q485" t="n">
        <v>0</v>
      </c>
      <c r="R485" s="2" t="inlineStr"/>
    </row>
    <row r="486" ht="15" customHeight="1">
      <c r="A486" t="inlineStr">
        <is>
          <t>A 23035-2024</t>
        </is>
      </c>
      <c r="B486" s="1" t="n">
        <v>45450.39016203704</v>
      </c>
      <c r="C486" s="1" t="n">
        <v>45965</v>
      </c>
      <c r="D486" t="inlineStr">
        <is>
          <t>VÄSTERNORRLANDS LÄN</t>
        </is>
      </c>
      <c r="E486" t="inlineStr">
        <is>
          <t>ÅNGE</t>
        </is>
      </c>
      <c r="G486" t="n">
        <v>12.1</v>
      </c>
      <c r="H486" t="n">
        <v>0</v>
      </c>
      <c r="I486" t="n">
        <v>0</v>
      </c>
      <c r="J486" t="n">
        <v>0</v>
      </c>
      <c r="K486" t="n">
        <v>0</v>
      </c>
      <c r="L486" t="n">
        <v>0</v>
      </c>
      <c r="M486" t="n">
        <v>0</v>
      </c>
      <c r="N486" t="n">
        <v>0</v>
      </c>
      <c r="O486" t="n">
        <v>0</v>
      </c>
      <c r="P486" t="n">
        <v>0</v>
      </c>
      <c r="Q486" t="n">
        <v>0</v>
      </c>
      <c r="R486" s="2" t="inlineStr"/>
    </row>
    <row r="487" ht="15" customHeight="1">
      <c r="A487" t="inlineStr">
        <is>
          <t>A 23063-2024</t>
        </is>
      </c>
      <c r="B487" s="1" t="n">
        <v>45450.44278935185</v>
      </c>
      <c r="C487" s="1" t="n">
        <v>45965</v>
      </c>
      <c r="D487" t="inlineStr">
        <is>
          <t>VÄSTERNORRLANDS LÄN</t>
        </is>
      </c>
      <c r="E487" t="inlineStr">
        <is>
          <t>ÅNGE</t>
        </is>
      </c>
      <c r="G487" t="n">
        <v>0.8</v>
      </c>
      <c r="H487" t="n">
        <v>0</v>
      </c>
      <c r="I487" t="n">
        <v>0</v>
      </c>
      <c r="J487" t="n">
        <v>0</v>
      </c>
      <c r="K487" t="n">
        <v>0</v>
      </c>
      <c r="L487" t="n">
        <v>0</v>
      </c>
      <c r="M487" t="n">
        <v>0</v>
      </c>
      <c r="N487" t="n">
        <v>0</v>
      </c>
      <c r="O487" t="n">
        <v>0</v>
      </c>
      <c r="P487" t="n">
        <v>0</v>
      </c>
      <c r="Q487" t="n">
        <v>0</v>
      </c>
      <c r="R487" s="2" t="inlineStr"/>
    </row>
    <row r="488" ht="15" customHeight="1">
      <c r="A488" t="inlineStr">
        <is>
          <t>A 49502-2022</t>
        </is>
      </c>
      <c r="B488" s="1" t="n">
        <v>44861.92613425926</v>
      </c>
      <c r="C488" s="1" t="n">
        <v>45965</v>
      </c>
      <c r="D488" t="inlineStr">
        <is>
          <t>VÄSTERNORRLANDS LÄN</t>
        </is>
      </c>
      <c r="E488" t="inlineStr">
        <is>
          <t>ÅNGE</t>
        </is>
      </c>
      <c r="G488" t="n">
        <v>0.8</v>
      </c>
      <c r="H488" t="n">
        <v>0</v>
      </c>
      <c r="I488" t="n">
        <v>0</v>
      </c>
      <c r="J488" t="n">
        <v>0</v>
      </c>
      <c r="K488" t="n">
        <v>0</v>
      </c>
      <c r="L488" t="n">
        <v>0</v>
      </c>
      <c r="M488" t="n">
        <v>0</v>
      </c>
      <c r="N488" t="n">
        <v>0</v>
      </c>
      <c r="O488" t="n">
        <v>0</v>
      </c>
      <c r="P488" t="n">
        <v>0</v>
      </c>
      <c r="Q488" t="n">
        <v>0</v>
      </c>
      <c r="R488" s="2" t="inlineStr"/>
    </row>
    <row r="489" ht="15" customHeight="1">
      <c r="A489" t="inlineStr">
        <is>
          <t>A 50179-2024</t>
        </is>
      </c>
      <c r="B489" s="1" t="n">
        <v>45600</v>
      </c>
      <c r="C489" s="1" t="n">
        <v>45965</v>
      </c>
      <c r="D489" t="inlineStr">
        <is>
          <t>VÄSTERNORRLANDS LÄN</t>
        </is>
      </c>
      <c r="E489" t="inlineStr">
        <is>
          <t>ÅNGE</t>
        </is>
      </c>
      <c r="G489" t="n">
        <v>3.6</v>
      </c>
      <c r="H489" t="n">
        <v>0</v>
      </c>
      <c r="I489" t="n">
        <v>0</v>
      </c>
      <c r="J489" t="n">
        <v>0</v>
      </c>
      <c r="K489" t="n">
        <v>0</v>
      </c>
      <c r="L489" t="n">
        <v>0</v>
      </c>
      <c r="M489" t="n">
        <v>0</v>
      </c>
      <c r="N489" t="n">
        <v>0</v>
      </c>
      <c r="O489" t="n">
        <v>0</v>
      </c>
      <c r="P489" t="n">
        <v>0</v>
      </c>
      <c r="Q489" t="n">
        <v>0</v>
      </c>
      <c r="R489" s="2" t="inlineStr"/>
    </row>
    <row r="490" ht="15" customHeight="1">
      <c r="A490" t="inlineStr">
        <is>
          <t>A 2140-2023</t>
        </is>
      </c>
      <c r="B490" s="1" t="n">
        <v>44940</v>
      </c>
      <c r="C490" s="1" t="n">
        <v>45965</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30347-2024</t>
        </is>
      </c>
      <c r="B491" s="1" t="n">
        <v>45490.95515046296</v>
      </c>
      <c r="C491" s="1" t="n">
        <v>45965</v>
      </c>
      <c r="D491" t="inlineStr">
        <is>
          <t>VÄSTERNORRLANDS LÄN</t>
        </is>
      </c>
      <c r="E491" t="inlineStr">
        <is>
          <t>ÅNGE</t>
        </is>
      </c>
      <c r="F491" t="inlineStr">
        <is>
          <t>SCA</t>
        </is>
      </c>
      <c r="G491" t="n">
        <v>0.4</v>
      </c>
      <c r="H491" t="n">
        <v>0</v>
      </c>
      <c r="I491" t="n">
        <v>0</v>
      </c>
      <c r="J491" t="n">
        <v>0</v>
      </c>
      <c r="K491" t="n">
        <v>0</v>
      </c>
      <c r="L491" t="n">
        <v>0</v>
      </c>
      <c r="M491" t="n">
        <v>0</v>
      </c>
      <c r="N491" t="n">
        <v>0</v>
      </c>
      <c r="O491" t="n">
        <v>0</v>
      </c>
      <c r="P491" t="n">
        <v>0</v>
      </c>
      <c r="Q491" t="n">
        <v>0</v>
      </c>
      <c r="R491" s="2" t="inlineStr"/>
    </row>
    <row r="492" ht="15" customHeight="1">
      <c r="A492" t="inlineStr">
        <is>
          <t>A 41825-2022</t>
        </is>
      </c>
      <c r="B492" s="1" t="n">
        <v>44827</v>
      </c>
      <c r="C492" s="1" t="n">
        <v>45965</v>
      </c>
      <c r="D492" t="inlineStr">
        <is>
          <t>VÄSTERNORRLANDS LÄN</t>
        </is>
      </c>
      <c r="E492" t="inlineStr">
        <is>
          <t>ÅNGE</t>
        </is>
      </c>
      <c r="F492" t="inlineStr">
        <is>
          <t>SCA</t>
        </is>
      </c>
      <c r="G492" t="n">
        <v>3.3</v>
      </c>
      <c r="H492" t="n">
        <v>0</v>
      </c>
      <c r="I492" t="n">
        <v>0</v>
      </c>
      <c r="J492" t="n">
        <v>0</v>
      </c>
      <c r="K492" t="n">
        <v>0</v>
      </c>
      <c r="L492" t="n">
        <v>0</v>
      </c>
      <c r="M492" t="n">
        <v>0</v>
      </c>
      <c r="N492" t="n">
        <v>0</v>
      </c>
      <c r="O492" t="n">
        <v>0</v>
      </c>
      <c r="P492" t="n">
        <v>0</v>
      </c>
      <c r="Q492" t="n">
        <v>0</v>
      </c>
      <c r="R492" s="2" t="inlineStr"/>
      <c r="U492">
        <f>HYPERLINK("https://klasma.github.io/Logging_2260/knärot/A 41825-2022 karta knärot.png", "A 41825-2022")</f>
        <v/>
      </c>
      <c r="V492">
        <f>HYPERLINK("https://klasma.github.io/Logging_2260/klagomål/A 41825-2022 FSC-klagomål.docx", "A 41825-2022")</f>
        <v/>
      </c>
      <c r="W492">
        <f>HYPERLINK("https://klasma.github.io/Logging_2260/klagomålsmail/A 41825-2022 FSC-klagomål mail.docx", "A 41825-2022")</f>
        <v/>
      </c>
      <c r="X492">
        <f>HYPERLINK("https://klasma.github.io/Logging_2260/tillsyn/A 41825-2022 tillsynsbegäran.docx", "A 41825-2022")</f>
        <v/>
      </c>
      <c r="Y492">
        <f>HYPERLINK("https://klasma.github.io/Logging_2260/tillsynsmail/A 41825-2022 tillsynsbegäran mail.docx", "A 41825-2022")</f>
        <v/>
      </c>
    </row>
    <row r="493" ht="15" customHeight="1">
      <c r="A493" t="inlineStr">
        <is>
          <t>A 55177-2024</t>
        </is>
      </c>
      <c r="B493" s="1" t="n">
        <v>45621.53179398148</v>
      </c>
      <c r="C493" s="1" t="n">
        <v>45965</v>
      </c>
      <c r="D493" t="inlineStr">
        <is>
          <t>VÄSTERNORRLANDS LÄN</t>
        </is>
      </c>
      <c r="E493" t="inlineStr">
        <is>
          <t>ÅNGE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42958-2024</t>
        </is>
      </c>
      <c r="B494" s="1" t="n">
        <v>45567.37131944444</v>
      </c>
      <c r="C494" s="1" t="n">
        <v>45965</v>
      </c>
      <c r="D494" t="inlineStr">
        <is>
          <t>VÄSTERNORRLANDS LÄN</t>
        </is>
      </c>
      <c r="E494" t="inlineStr">
        <is>
          <t>ÅNGE</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12581-2024</t>
        </is>
      </c>
      <c r="B495" s="1" t="n">
        <v>45379</v>
      </c>
      <c r="C495" s="1" t="n">
        <v>45965</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34861-2024</t>
        </is>
      </c>
      <c r="B496" s="1" t="n">
        <v>45527.339375</v>
      </c>
      <c r="C496" s="1" t="n">
        <v>45965</v>
      </c>
      <c r="D496" t="inlineStr">
        <is>
          <t>VÄSTERNORRLANDS LÄN</t>
        </is>
      </c>
      <c r="E496" t="inlineStr">
        <is>
          <t>ÅNGE</t>
        </is>
      </c>
      <c r="F496" t="inlineStr">
        <is>
          <t>SCA</t>
        </is>
      </c>
      <c r="G496" t="n">
        <v>9.1</v>
      </c>
      <c r="H496" t="n">
        <v>0</v>
      </c>
      <c r="I496" t="n">
        <v>0</v>
      </c>
      <c r="J496" t="n">
        <v>0</v>
      </c>
      <c r="K496" t="n">
        <v>0</v>
      </c>
      <c r="L496" t="n">
        <v>0</v>
      </c>
      <c r="M496" t="n">
        <v>0</v>
      </c>
      <c r="N496" t="n">
        <v>0</v>
      </c>
      <c r="O496" t="n">
        <v>0</v>
      </c>
      <c r="P496" t="n">
        <v>0</v>
      </c>
      <c r="Q496" t="n">
        <v>0</v>
      </c>
      <c r="R496" s="2" t="inlineStr"/>
    </row>
    <row r="497" ht="15" customHeight="1">
      <c r="A497" t="inlineStr">
        <is>
          <t>A 17601-2024</t>
        </is>
      </c>
      <c r="B497" s="1" t="n">
        <v>45415</v>
      </c>
      <c r="C497" s="1" t="n">
        <v>45965</v>
      </c>
      <c r="D497" t="inlineStr">
        <is>
          <t>VÄSTERNORRLANDS LÄN</t>
        </is>
      </c>
      <c r="E497" t="inlineStr">
        <is>
          <t>ÅNGE</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43096-2023</t>
        </is>
      </c>
      <c r="B498" s="1" t="n">
        <v>45182</v>
      </c>
      <c r="C498" s="1" t="n">
        <v>45965</v>
      </c>
      <c r="D498" t="inlineStr">
        <is>
          <t>VÄSTERNORRLANDS LÄN</t>
        </is>
      </c>
      <c r="E498" t="inlineStr">
        <is>
          <t>ÅNGE</t>
        </is>
      </c>
      <c r="G498" t="n">
        <v>0.4</v>
      </c>
      <c r="H498" t="n">
        <v>0</v>
      </c>
      <c r="I498" t="n">
        <v>0</v>
      </c>
      <c r="J498" t="n">
        <v>0</v>
      </c>
      <c r="K498" t="n">
        <v>0</v>
      </c>
      <c r="L498" t="n">
        <v>0</v>
      </c>
      <c r="M498" t="n">
        <v>0</v>
      </c>
      <c r="N498" t="n">
        <v>0</v>
      </c>
      <c r="O498" t="n">
        <v>0</v>
      </c>
      <c r="P498" t="n">
        <v>0</v>
      </c>
      <c r="Q498" t="n">
        <v>0</v>
      </c>
      <c r="R498" s="2" t="inlineStr"/>
    </row>
    <row r="499" ht="15" customHeight="1">
      <c r="A499" t="inlineStr">
        <is>
          <t>A 57846-2022</t>
        </is>
      </c>
      <c r="B499" s="1" t="n">
        <v>44897.95008101852</v>
      </c>
      <c r="C499" s="1" t="n">
        <v>45965</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3322-2025</t>
        </is>
      </c>
      <c r="B500" s="1" t="n">
        <v>45679.6989699074</v>
      </c>
      <c r="C500" s="1" t="n">
        <v>45965</v>
      </c>
      <c r="D500" t="inlineStr">
        <is>
          <t>VÄSTERNORRLANDS LÄN</t>
        </is>
      </c>
      <c r="E500" t="inlineStr">
        <is>
          <t>ÅNGE</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3327-2025</t>
        </is>
      </c>
      <c r="B501" s="1" t="n">
        <v>45679.69967592593</v>
      </c>
      <c r="C501" s="1" t="n">
        <v>45965</v>
      </c>
      <c r="D501" t="inlineStr">
        <is>
          <t>VÄSTERNORRLANDS LÄN</t>
        </is>
      </c>
      <c r="E501" t="inlineStr">
        <is>
          <t>ÅNGE</t>
        </is>
      </c>
      <c r="F501" t="inlineStr">
        <is>
          <t>SCA</t>
        </is>
      </c>
      <c r="G501" t="n">
        <v>12.9</v>
      </c>
      <c r="H501" t="n">
        <v>0</v>
      </c>
      <c r="I501" t="n">
        <v>0</v>
      </c>
      <c r="J501" t="n">
        <v>0</v>
      </c>
      <c r="K501" t="n">
        <v>0</v>
      </c>
      <c r="L501" t="n">
        <v>0</v>
      </c>
      <c r="M501" t="n">
        <v>0</v>
      </c>
      <c r="N501" t="n">
        <v>0</v>
      </c>
      <c r="O501" t="n">
        <v>0</v>
      </c>
      <c r="P501" t="n">
        <v>0</v>
      </c>
      <c r="Q501" t="n">
        <v>0</v>
      </c>
      <c r="R501" s="2" t="inlineStr"/>
    </row>
    <row r="502" ht="15" customHeight="1">
      <c r="A502" t="inlineStr">
        <is>
          <t>A 36342-2024</t>
        </is>
      </c>
      <c r="B502" s="1" t="n">
        <v>45534.64315972223</v>
      </c>
      <c r="C502" s="1" t="n">
        <v>45965</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24231-2024</t>
        </is>
      </c>
      <c r="B503" s="1" t="n">
        <v>45457.34393518518</v>
      </c>
      <c r="C503" s="1" t="n">
        <v>45965</v>
      </c>
      <c r="D503" t="inlineStr">
        <is>
          <t>VÄSTERNORRLANDS LÄN</t>
        </is>
      </c>
      <c r="E503" t="inlineStr">
        <is>
          <t>ÅNGE</t>
        </is>
      </c>
      <c r="F503" t="inlineStr">
        <is>
          <t>Sveaskog</t>
        </is>
      </c>
      <c r="G503" t="n">
        <v>7</v>
      </c>
      <c r="H503" t="n">
        <v>0</v>
      </c>
      <c r="I503" t="n">
        <v>0</v>
      </c>
      <c r="J503" t="n">
        <v>0</v>
      </c>
      <c r="K503" t="n">
        <v>0</v>
      </c>
      <c r="L503" t="n">
        <v>0</v>
      </c>
      <c r="M503" t="n">
        <v>0</v>
      </c>
      <c r="N503" t="n">
        <v>0</v>
      </c>
      <c r="O503" t="n">
        <v>0</v>
      </c>
      <c r="P503" t="n">
        <v>0</v>
      </c>
      <c r="Q503" t="n">
        <v>0</v>
      </c>
      <c r="R503" s="2" t="inlineStr"/>
    </row>
    <row r="504" ht="15" customHeight="1">
      <c r="A504" t="inlineStr">
        <is>
          <t>A 3947-2025</t>
        </is>
      </c>
      <c r="B504" s="1" t="n">
        <v>45684.49001157407</v>
      </c>
      <c r="C504" s="1" t="n">
        <v>45965</v>
      </c>
      <c r="D504" t="inlineStr">
        <is>
          <t>VÄSTERNORRLANDS LÄN</t>
        </is>
      </c>
      <c r="E504" t="inlineStr">
        <is>
          <t>ÅNGE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54771-2023</t>
        </is>
      </c>
      <c r="B505" s="1" t="n">
        <v>45229</v>
      </c>
      <c r="C505" s="1" t="n">
        <v>45965</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15603-2024</t>
        </is>
      </c>
      <c r="B506" s="1" t="n">
        <v>45401.92501157407</v>
      </c>
      <c r="C506" s="1" t="n">
        <v>45965</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32922-2024</t>
        </is>
      </c>
      <c r="B507" s="1" t="n">
        <v>45516.95263888889</v>
      </c>
      <c r="C507" s="1" t="n">
        <v>45965</v>
      </c>
      <c r="D507" t="inlineStr">
        <is>
          <t>VÄSTERNORRLANDS LÄN</t>
        </is>
      </c>
      <c r="E507" t="inlineStr">
        <is>
          <t>ÅNGE</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52804-2024</t>
        </is>
      </c>
      <c r="B508" s="1" t="n">
        <v>45610.57322916666</v>
      </c>
      <c r="C508" s="1" t="n">
        <v>45965</v>
      </c>
      <c r="D508" t="inlineStr">
        <is>
          <t>VÄSTERNORRLANDS LÄN</t>
        </is>
      </c>
      <c r="E508" t="inlineStr">
        <is>
          <t>ÅNGE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21151-2024</t>
        </is>
      </c>
      <c r="B509" s="1" t="n">
        <v>45440</v>
      </c>
      <c r="C509" s="1" t="n">
        <v>45965</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13773-2024</t>
        </is>
      </c>
      <c r="B510" s="1" t="n">
        <v>45390.95297453704</v>
      </c>
      <c r="C510" s="1" t="n">
        <v>45965</v>
      </c>
      <c r="D510" t="inlineStr">
        <is>
          <t>VÄSTERNORRLANDS LÄN</t>
        </is>
      </c>
      <c r="E510" t="inlineStr">
        <is>
          <t>ÅNGE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13706-2023</t>
        </is>
      </c>
      <c r="B511" s="1" t="n">
        <v>45006</v>
      </c>
      <c r="C511" s="1" t="n">
        <v>45965</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9567-2024</t>
        </is>
      </c>
      <c r="B512" s="1" t="n">
        <v>45360.03635416667</v>
      </c>
      <c r="C512" s="1" t="n">
        <v>45965</v>
      </c>
      <c r="D512" t="inlineStr">
        <is>
          <t>VÄSTERNORRLANDS LÄN</t>
        </is>
      </c>
      <c r="E512" t="inlineStr">
        <is>
          <t>ÅNGE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6462-2024</t>
        </is>
      </c>
      <c r="B513" s="1" t="n">
        <v>45338</v>
      </c>
      <c r="C513" s="1" t="n">
        <v>45965</v>
      </c>
      <c r="D513" t="inlineStr">
        <is>
          <t>VÄSTERNORRLANDS LÄN</t>
        </is>
      </c>
      <c r="E513" t="inlineStr">
        <is>
          <t>ÅNGE</t>
        </is>
      </c>
      <c r="F513" t="inlineStr">
        <is>
          <t>Kyrkan</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51311-2022</t>
        </is>
      </c>
      <c r="B514" s="1" t="n">
        <v>44868</v>
      </c>
      <c r="C514" s="1" t="n">
        <v>45965</v>
      </c>
      <c r="D514" t="inlineStr">
        <is>
          <t>VÄSTERNORRLANDS LÄN</t>
        </is>
      </c>
      <c r="E514" t="inlineStr">
        <is>
          <t>ÅNGE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33428-2023</t>
        </is>
      </c>
      <c r="B515" s="1" t="n">
        <v>45128.94976851852</v>
      </c>
      <c r="C515" s="1" t="n">
        <v>45965</v>
      </c>
      <c r="D515" t="inlineStr">
        <is>
          <t>VÄSTERNORRLANDS LÄN</t>
        </is>
      </c>
      <c r="E515" t="inlineStr">
        <is>
          <t>ÅNGE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20338-2025</t>
        </is>
      </c>
      <c r="B516" s="1" t="n">
        <v>45775</v>
      </c>
      <c r="C516" s="1" t="n">
        <v>45965</v>
      </c>
      <c r="D516" t="inlineStr">
        <is>
          <t>VÄSTERNORRLANDS LÄN</t>
        </is>
      </c>
      <c r="E516" t="inlineStr">
        <is>
          <t>ÅNGE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26490-2024</t>
        </is>
      </c>
      <c r="B517" s="1" t="n">
        <v>45469</v>
      </c>
      <c r="C517" s="1" t="n">
        <v>45965</v>
      </c>
      <c r="D517" t="inlineStr">
        <is>
          <t>VÄSTERNORRLANDS LÄN</t>
        </is>
      </c>
      <c r="E517" t="inlineStr">
        <is>
          <t>ÅNGE</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34815-2024</t>
        </is>
      </c>
      <c r="B518" s="1" t="n">
        <v>45526.70732638889</v>
      </c>
      <c r="C518" s="1" t="n">
        <v>45965</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36457-2021</t>
        </is>
      </c>
      <c r="B519" s="1" t="n">
        <v>44390.93858796296</v>
      </c>
      <c r="C519" s="1" t="n">
        <v>45965</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56399-2022</t>
        </is>
      </c>
      <c r="B520" s="1" t="n">
        <v>44890</v>
      </c>
      <c r="C520" s="1" t="n">
        <v>45965</v>
      </c>
      <c r="D520" t="inlineStr">
        <is>
          <t>VÄSTERNORRLANDS LÄN</t>
        </is>
      </c>
      <c r="E520" t="inlineStr">
        <is>
          <t>ÅNGE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38369-2021</t>
        </is>
      </c>
      <c r="B521" s="1" t="n">
        <v>44406</v>
      </c>
      <c r="C521" s="1" t="n">
        <v>45965</v>
      </c>
      <c r="D521" t="inlineStr">
        <is>
          <t>VÄSTERNORRLANDS LÄN</t>
        </is>
      </c>
      <c r="E521" t="inlineStr">
        <is>
          <t>ÅNGE</t>
        </is>
      </c>
      <c r="G521" t="n">
        <v>5.6</v>
      </c>
      <c r="H521" t="n">
        <v>0</v>
      </c>
      <c r="I521" t="n">
        <v>0</v>
      </c>
      <c r="J521" t="n">
        <v>0</v>
      </c>
      <c r="K521" t="n">
        <v>0</v>
      </c>
      <c r="L521" t="n">
        <v>0</v>
      </c>
      <c r="M521" t="n">
        <v>0</v>
      </c>
      <c r="N521" t="n">
        <v>0</v>
      </c>
      <c r="O521" t="n">
        <v>0</v>
      </c>
      <c r="P521" t="n">
        <v>0</v>
      </c>
      <c r="Q521" t="n">
        <v>0</v>
      </c>
      <c r="R521" s="2" t="inlineStr"/>
    </row>
    <row r="522" ht="15" customHeight="1">
      <c r="A522" t="inlineStr">
        <is>
          <t>A 56699-2023</t>
        </is>
      </c>
      <c r="B522" s="1" t="n">
        <v>45243</v>
      </c>
      <c r="C522" s="1" t="n">
        <v>45965</v>
      </c>
      <c r="D522" t="inlineStr">
        <is>
          <t>VÄSTERNORRLANDS LÄN</t>
        </is>
      </c>
      <c r="E522" t="inlineStr">
        <is>
          <t>ÅNGE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61928-2021</t>
        </is>
      </c>
      <c r="B523" s="1" t="n">
        <v>44502.38475694445</v>
      </c>
      <c r="C523" s="1" t="n">
        <v>45965</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16303-2025</t>
        </is>
      </c>
      <c r="B524" s="1" t="n">
        <v>45751.3462037037</v>
      </c>
      <c r="C524" s="1" t="n">
        <v>45965</v>
      </c>
      <c r="D524" t="inlineStr">
        <is>
          <t>VÄSTERNORRLANDS LÄN</t>
        </is>
      </c>
      <c r="E524" t="inlineStr">
        <is>
          <t>ÅNGE</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33747-2024</t>
        </is>
      </c>
      <c r="B525" s="1" t="n">
        <v>45520</v>
      </c>
      <c r="C525" s="1" t="n">
        <v>45965</v>
      </c>
      <c r="D525" t="inlineStr">
        <is>
          <t>VÄSTERNORRLANDS LÄN</t>
        </is>
      </c>
      <c r="E525" t="inlineStr">
        <is>
          <t>ÅNGE</t>
        </is>
      </c>
      <c r="G525" t="n">
        <v>0.7</v>
      </c>
      <c r="H525" t="n">
        <v>0</v>
      </c>
      <c r="I525" t="n">
        <v>0</v>
      </c>
      <c r="J525" t="n">
        <v>0</v>
      </c>
      <c r="K525" t="n">
        <v>0</v>
      </c>
      <c r="L525" t="n">
        <v>0</v>
      </c>
      <c r="M525" t="n">
        <v>0</v>
      </c>
      <c r="N525" t="n">
        <v>0</v>
      </c>
      <c r="O525" t="n">
        <v>0</v>
      </c>
      <c r="P525" t="n">
        <v>0</v>
      </c>
      <c r="Q525" t="n">
        <v>0</v>
      </c>
      <c r="R525" s="2" t="inlineStr"/>
    </row>
    <row r="526" ht="15" customHeight="1">
      <c r="A526" t="inlineStr">
        <is>
          <t>A 34754-2024</t>
        </is>
      </c>
      <c r="B526" s="1" t="n">
        <v>45526</v>
      </c>
      <c r="C526" s="1" t="n">
        <v>45965</v>
      </c>
      <c r="D526" t="inlineStr">
        <is>
          <t>VÄSTERNORRLANDS LÄN</t>
        </is>
      </c>
      <c r="E526" t="inlineStr">
        <is>
          <t>ÅNGE</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37051-2021</t>
        </is>
      </c>
      <c r="B527" s="1" t="n">
        <v>44393</v>
      </c>
      <c r="C527" s="1" t="n">
        <v>45965</v>
      </c>
      <c r="D527" t="inlineStr">
        <is>
          <t>VÄSTERNORRLANDS LÄN</t>
        </is>
      </c>
      <c r="E527" t="inlineStr">
        <is>
          <t>ÅNGE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22411-2023</t>
        </is>
      </c>
      <c r="B528" s="1" t="n">
        <v>45070</v>
      </c>
      <c r="C528" s="1" t="n">
        <v>45965</v>
      </c>
      <c r="D528" t="inlineStr">
        <is>
          <t>VÄSTERNORRLANDS LÄN</t>
        </is>
      </c>
      <c r="E528" t="inlineStr">
        <is>
          <t>ÅNGE</t>
        </is>
      </c>
      <c r="G528" t="n">
        <v>2.8</v>
      </c>
      <c r="H528" t="n">
        <v>0</v>
      </c>
      <c r="I528" t="n">
        <v>0</v>
      </c>
      <c r="J528" t="n">
        <v>0</v>
      </c>
      <c r="K528" t="n">
        <v>0</v>
      </c>
      <c r="L528" t="n">
        <v>0</v>
      </c>
      <c r="M528" t="n">
        <v>0</v>
      </c>
      <c r="N528" t="n">
        <v>0</v>
      </c>
      <c r="O528" t="n">
        <v>0</v>
      </c>
      <c r="P528" t="n">
        <v>0</v>
      </c>
      <c r="Q528" t="n">
        <v>0</v>
      </c>
      <c r="R528" s="2" t="inlineStr"/>
    </row>
    <row r="529" ht="15" customHeight="1">
      <c r="A529" t="inlineStr">
        <is>
          <t>A 18024-2022</t>
        </is>
      </c>
      <c r="B529" s="1" t="n">
        <v>44683.94383101852</v>
      </c>
      <c r="C529" s="1" t="n">
        <v>45965</v>
      </c>
      <c r="D529" t="inlineStr">
        <is>
          <t>VÄSTERNORRLANDS LÄN</t>
        </is>
      </c>
      <c r="E529" t="inlineStr">
        <is>
          <t>ÅNGE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28506-2024</t>
        </is>
      </c>
      <c r="B530" s="1" t="n">
        <v>45477.9475</v>
      </c>
      <c r="C530" s="1" t="n">
        <v>45965</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56908-2021</t>
        </is>
      </c>
      <c r="B531" s="1" t="n">
        <v>44481.93844907408</v>
      </c>
      <c r="C531" s="1" t="n">
        <v>45965</v>
      </c>
      <c r="D531" t="inlineStr">
        <is>
          <t>VÄSTERNORRLANDS LÄN</t>
        </is>
      </c>
      <c r="E531" t="inlineStr">
        <is>
          <t>ÅNGE</t>
        </is>
      </c>
      <c r="G531" t="n">
        <v>12</v>
      </c>
      <c r="H531" t="n">
        <v>0</v>
      </c>
      <c r="I531" t="n">
        <v>0</v>
      </c>
      <c r="J531" t="n">
        <v>0</v>
      </c>
      <c r="K531" t="n">
        <v>0</v>
      </c>
      <c r="L531" t="n">
        <v>0</v>
      </c>
      <c r="M531" t="n">
        <v>0</v>
      </c>
      <c r="N531" t="n">
        <v>0</v>
      </c>
      <c r="O531" t="n">
        <v>0</v>
      </c>
      <c r="P531" t="n">
        <v>0</v>
      </c>
      <c r="Q531" t="n">
        <v>0</v>
      </c>
      <c r="R531" s="2" t="inlineStr"/>
    </row>
    <row r="532" ht="15" customHeight="1">
      <c r="A532" t="inlineStr">
        <is>
          <t>A 732-2023</t>
        </is>
      </c>
      <c r="B532" s="1" t="n">
        <v>44931.29981481482</v>
      </c>
      <c r="C532" s="1" t="n">
        <v>45965</v>
      </c>
      <c r="D532" t="inlineStr">
        <is>
          <t>VÄSTERNORRLANDS LÄN</t>
        </is>
      </c>
      <c r="E532" t="inlineStr">
        <is>
          <t>ÅNGE</t>
        </is>
      </c>
      <c r="F532" t="inlineStr">
        <is>
          <t>Sveaskog</t>
        </is>
      </c>
      <c r="G532" t="n">
        <v>3.6</v>
      </c>
      <c r="H532" t="n">
        <v>0</v>
      </c>
      <c r="I532" t="n">
        <v>0</v>
      </c>
      <c r="J532" t="n">
        <v>0</v>
      </c>
      <c r="K532" t="n">
        <v>0</v>
      </c>
      <c r="L532" t="n">
        <v>0</v>
      </c>
      <c r="M532" t="n">
        <v>0</v>
      </c>
      <c r="N532" t="n">
        <v>0</v>
      </c>
      <c r="O532" t="n">
        <v>0</v>
      </c>
      <c r="P532" t="n">
        <v>0</v>
      </c>
      <c r="Q532" t="n">
        <v>0</v>
      </c>
      <c r="R532" s="2" t="inlineStr"/>
    </row>
    <row r="533" ht="15" customHeight="1">
      <c r="A533" t="inlineStr">
        <is>
          <t>A 1420-2023</t>
        </is>
      </c>
      <c r="B533" s="1" t="n">
        <v>44936.92762731481</v>
      </c>
      <c r="C533" s="1" t="n">
        <v>45965</v>
      </c>
      <c r="D533" t="inlineStr">
        <is>
          <t>VÄSTERNORRLANDS LÄN</t>
        </is>
      </c>
      <c r="E533" t="inlineStr">
        <is>
          <t>ÅNGE</t>
        </is>
      </c>
      <c r="G533" t="n">
        <v>3.7</v>
      </c>
      <c r="H533" t="n">
        <v>0</v>
      </c>
      <c r="I533" t="n">
        <v>0</v>
      </c>
      <c r="J533" t="n">
        <v>0</v>
      </c>
      <c r="K533" t="n">
        <v>0</v>
      </c>
      <c r="L533" t="n">
        <v>0</v>
      </c>
      <c r="M533" t="n">
        <v>0</v>
      </c>
      <c r="N533" t="n">
        <v>0</v>
      </c>
      <c r="O533" t="n">
        <v>0</v>
      </c>
      <c r="P533" t="n">
        <v>0</v>
      </c>
      <c r="Q533" t="n">
        <v>0</v>
      </c>
      <c r="R533" s="2" t="inlineStr"/>
    </row>
    <row r="534" ht="15" customHeight="1">
      <c r="A534" t="inlineStr">
        <is>
          <t>A 60205-2023</t>
        </is>
      </c>
      <c r="B534" s="1" t="n">
        <v>45257</v>
      </c>
      <c r="C534" s="1" t="n">
        <v>45965</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17963-2022</t>
        </is>
      </c>
      <c r="B535" s="1" t="n">
        <v>44683</v>
      </c>
      <c r="C535" s="1" t="n">
        <v>45965</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4071-2025</t>
        </is>
      </c>
      <c r="B536" s="1" t="n">
        <v>45684.63579861111</v>
      </c>
      <c r="C536" s="1" t="n">
        <v>45965</v>
      </c>
      <c r="D536" t="inlineStr">
        <is>
          <t>VÄSTERNORRLANDS LÄN</t>
        </is>
      </c>
      <c r="E536" t="inlineStr">
        <is>
          <t>ÅNGE</t>
        </is>
      </c>
      <c r="F536" t="inlineStr">
        <is>
          <t>SCA</t>
        </is>
      </c>
      <c r="G536" t="n">
        <v>13.7</v>
      </c>
      <c r="H536" t="n">
        <v>0</v>
      </c>
      <c r="I536" t="n">
        <v>0</v>
      </c>
      <c r="J536" t="n">
        <v>0</v>
      </c>
      <c r="K536" t="n">
        <v>0</v>
      </c>
      <c r="L536" t="n">
        <v>0</v>
      </c>
      <c r="M536" t="n">
        <v>0</v>
      </c>
      <c r="N536" t="n">
        <v>0</v>
      </c>
      <c r="O536" t="n">
        <v>0</v>
      </c>
      <c r="P536" t="n">
        <v>0</v>
      </c>
      <c r="Q536" t="n">
        <v>0</v>
      </c>
      <c r="R536" s="2" t="inlineStr"/>
    </row>
    <row r="537" ht="15" customHeight="1">
      <c r="A537" t="inlineStr">
        <is>
          <t>A 6619-2025</t>
        </is>
      </c>
      <c r="B537" s="1" t="n">
        <v>45700.36541666667</v>
      </c>
      <c r="C537" s="1" t="n">
        <v>45965</v>
      </c>
      <c r="D537" t="inlineStr">
        <is>
          <t>VÄSTERNORRLANDS LÄN</t>
        </is>
      </c>
      <c r="E537" t="inlineStr">
        <is>
          <t>ÅNGE</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5520-2022</t>
        </is>
      </c>
      <c r="B538" s="1" t="n">
        <v>44595</v>
      </c>
      <c r="C538" s="1" t="n">
        <v>45965</v>
      </c>
      <c r="D538" t="inlineStr">
        <is>
          <t>VÄSTERNORRLANDS LÄN</t>
        </is>
      </c>
      <c r="E538" t="inlineStr">
        <is>
          <t>ÅNGE</t>
        </is>
      </c>
      <c r="G538" t="n">
        <v>4.9</v>
      </c>
      <c r="H538" t="n">
        <v>0</v>
      </c>
      <c r="I538" t="n">
        <v>0</v>
      </c>
      <c r="J538" t="n">
        <v>0</v>
      </c>
      <c r="K538" t="n">
        <v>0</v>
      </c>
      <c r="L538" t="n">
        <v>0</v>
      </c>
      <c r="M538" t="n">
        <v>0</v>
      </c>
      <c r="N538" t="n">
        <v>0</v>
      </c>
      <c r="O538" t="n">
        <v>0</v>
      </c>
      <c r="P538" t="n">
        <v>0</v>
      </c>
      <c r="Q538" t="n">
        <v>0</v>
      </c>
      <c r="R538" s="2" t="inlineStr"/>
    </row>
    <row r="539" ht="15" customHeight="1">
      <c r="A539" t="inlineStr">
        <is>
          <t>A 35496-2022</t>
        </is>
      </c>
      <c r="B539" s="1" t="n">
        <v>44798</v>
      </c>
      <c r="C539" s="1" t="n">
        <v>45965</v>
      </c>
      <c r="D539" t="inlineStr">
        <is>
          <t>VÄSTERNORRLANDS LÄN</t>
        </is>
      </c>
      <c r="E539" t="inlineStr">
        <is>
          <t>ÅNGE</t>
        </is>
      </c>
      <c r="F539" t="inlineStr">
        <is>
          <t>SCA</t>
        </is>
      </c>
      <c r="G539" t="n">
        <v>15.6</v>
      </c>
      <c r="H539" t="n">
        <v>0</v>
      </c>
      <c r="I539" t="n">
        <v>0</v>
      </c>
      <c r="J539" t="n">
        <v>0</v>
      </c>
      <c r="K539" t="n">
        <v>0</v>
      </c>
      <c r="L539" t="n">
        <v>0</v>
      </c>
      <c r="M539" t="n">
        <v>0</v>
      </c>
      <c r="N539" t="n">
        <v>0</v>
      </c>
      <c r="O539" t="n">
        <v>0</v>
      </c>
      <c r="P539" t="n">
        <v>0</v>
      </c>
      <c r="Q539" t="n">
        <v>0</v>
      </c>
      <c r="R539" s="2" t="inlineStr"/>
    </row>
    <row r="540" ht="15" customHeight="1">
      <c r="A540" t="inlineStr">
        <is>
          <t>A 33631-2024</t>
        </is>
      </c>
      <c r="B540" s="1" t="n">
        <v>45520</v>
      </c>
      <c r="C540" s="1" t="n">
        <v>45965</v>
      </c>
      <c r="D540" t="inlineStr">
        <is>
          <t>VÄSTERNORRLANDS LÄN</t>
        </is>
      </c>
      <c r="E540" t="inlineStr">
        <is>
          <t>ÅNGE</t>
        </is>
      </c>
      <c r="G540" t="n">
        <v>1.7</v>
      </c>
      <c r="H540" t="n">
        <v>0</v>
      </c>
      <c r="I540" t="n">
        <v>0</v>
      </c>
      <c r="J540" t="n">
        <v>0</v>
      </c>
      <c r="K540" t="n">
        <v>0</v>
      </c>
      <c r="L540" t="n">
        <v>0</v>
      </c>
      <c r="M540" t="n">
        <v>0</v>
      </c>
      <c r="N540" t="n">
        <v>0</v>
      </c>
      <c r="O540" t="n">
        <v>0</v>
      </c>
      <c r="P540" t="n">
        <v>0</v>
      </c>
      <c r="Q540" t="n">
        <v>0</v>
      </c>
      <c r="R540" s="2" t="inlineStr"/>
    </row>
    <row r="541" ht="15" customHeight="1">
      <c r="A541" t="inlineStr">
        <is>
          <t>A 36786-2024</t>
        </is>
      </c>
      <c r="B541" s="1" t="n">
        <v>45538</v>
      </c>
      <c r="C541" s="1" t="n">
        <v>45965</v>
      </c>
      <c r="D541" t="inlineStr">
        <is>
          <t>VÄSTERNORRLANDS LÄN</t>
        </is>
      </c>
      <c r="E541" t="inlineStr">
        <is>
          <t>ÅNGE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53663-2022</t>
        </is>
      </c>
      <c r="B542" s="1" t="n">
        <v>44879</v>
      </c>
      <c r="C542" s="1" t="n">
        <v>45965</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44876-2024</t>
        </is>
      </c>
      <c r="B543" s="1" t="n">
        <v>45575.34474537037</v>
      </c>
      <c r="C543" s="1" t="n">
        <v>45965</v>
      </c>
      <c r="D543" t="inlineStr">
        <is>
          <t>VÄSTERNORRLANDS LÄN</t>
        </is>
      </c>
      <c r="E543" t="inlineStr">
        <is>
          <t>ÅNGE</t>
        </is>
      </c>
      <c r="F543" t="inlineStr">
        <is>
          <t>SCA</t>
        </is>
      </c>
      <c r="G543" t="n">
        <v>12.4</v>
      </c>
      <c r="H543" t="n">
        <v>0</v>
      </c>
      <c r="I543" t="n">
        <v>0</v>
      </c>
      <c r="J543" t="n">
        <v>0</v>
      </c>
      <c r="K543" t="n">
        <v>0</v>
      </c>
      <c r="L543" t="n">
        <v>0</v>
      </c>
      <c r="M543" t="n">
        <v>0</v>
      </c>
      <c r="N543" t="n">
        <v>0</v>
      </c>
      <c r="O543" t="n">
        <v>0</v>
      </c>
      <c r="P543" t="n">
        <v>0</v>
      </c>
      <c r="Q543" t="n">
        <v>0</v>
      </c>
      <c r="R543" s="2" t="inlineStr"/>
    </row>
    <row r="544" ht="15" customHeight="1">
      <c r="A544" t="inlineStr">
        <is>
          <t>A 49711-2024</t>
        </is>
      </c>
      <c r="B544" s="1" t="n">
        <v>45596.69891203703</v>
      </c>
      <c r="C544" s="1" t="n">
        <v>45965</v>
      </c>
      <c r="D544" t="inlineStr">
        <is>
          <t>VÄSTERNORRLANDS LÄN</t>
        </is>
      </c>
      <c r="E544" t="inlineStr">
        <is>
          <t>ÅNGE</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24293-2023</t>
        </is>
      </c>
      <c r="B545" s="1" t="n">
        <v>45079.92756944444</v>
      </c>
      <c r="C545" s="1" t="n">
        <v>45965</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8070-2022</t>
        </is>
      </c>
      <c r="B546" s="1" t="n">
        <v>44609.48665509259</v>
      </c>
      <c r="C546" s="1" t="n">
        <v>45965</v>
      </c>
      <c r="D546" t="inlineStr">
        <is>
          <t>VÄSTERNORRLANDS LÄN</t>
        </is>
      </c>
      <c r="E546" t="inlineStr">
        <is>
          <t>ÅNGE</t>
        </is>
      </c>
      <c r="G546" t="n">
        <v>3.5</v>
      </c>
      <c r="H546" t="n">
        <v>0</v>
      </c>
      <c r="I546" t="n">
        <v>0</v>
      </c>
      <c r="J546" t="n">
        <v>0</v>
      </c>
      <c r="K546" t="n">
        <v>0</v>
      </c>
      <c r="L546" t="n">
        <v>0</v>
      </c>
      <c r="M546" t="n">
        <v>0</v>
      </c>
      <c r="N546" t="n">
        <v>0</v>
      </c>
      <c r="O546" t="n">
        <v>0</v>
      </c>
      <c r="P546" t="n">
        <v>0</v>
      </c>
      <c r="Q546" t="n">
        <v>0</v>
      </c>
      <c r="R546" s="2" t="inlineStr"/>
    </row>
    <row r="547" ht="15" customHeight="1">
      <c r="A547" t="inlineStr">
        <is>
          <t>A 11088-2024</t>
        </is>
      </c>
      <c r="B547" s="1" t="n">
        <v>45370</v>
      </c>
      <c r="C547" s="1" t="n">
        <v>45965</v>
      </c>
      <c r="D547" t="inlineStr">
        <is>
          <t>VÄSTERNORRLANDS LÄN</t>
        </is>
      </c>
      <c r="E547" t="inlineStr">
        <is>
          <t>ÅNGE</t>
        </is>
      </c>
      <c r="F547" t="inlineStr">
        <is>
          <t>SCA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25779-2023</t>
        </is>
      </c>
      <c r="B548" s="1" t="n">
        <v>45090.47439814815</v>
      </c>
      <c r="C548" s="1" t="n">
        <v>45965</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9211-2023</t>
        </is>
      </c>
      <c r="B549" s="1" t="n">
        <v>44980</v>
      </c>
      <c r="C549" s="1" t="n">
        <v>45965</v>
      </c>
      <c r="D549" t="inlineStr">
        <is>
          <t>VÄSTERNORRLANDS LÄN</t>
        </is>
      </c>
      <c r="E549" t="inlineStr">
        <is>
          <t>ÅNGE</t>
        </is>
      </c>
      <c r="G549" t="n">
        <v>2.3</v>
      </c>
      <c r="H549" t="n">
        <v>0</v>
      </c>
      <c r="I549" t="n">
        <v>0</v>
      </c>
      <c r="J549" t="n">
        <v>0</v>
      </c>
      <c r="K549" t="n">
        <v>0</v>
      </c>
      <c r="L549" t="n">
        <v>0</v>
      </c>
      <c r="M549" t="n">
        <v>0</v>
      </c>
      <c r="N549" t="n">
        <v>0</v>
      </c>
      <c r="O549" t="n">
        <v>0</v>
      </c>
      <c r="P549" t="n">
        <v>0</v>
      </c>
      <c r="Q549" t="n">
        <v>0</v>
      </c>
      <c r="R549" s="2" t="inlineStr"/>
    </row>
    <row r="550" ht="15" customHeight="1">
      <c r="A550" t="inlineStr">
        <is>
          <t>A 8627-2023</t>
        </is>
      </c>
      <c r="B550" s="1" t="n">
        <v>44977</v>
      </c>
      <c r="C550" s="1" t="n">
        <v>45965</v>
      </c>
      <c r="D550" t="inlineStr">
        <is>
          <t>VÄSTERNORRLANDS LÄN</t>
        </is>
      </c>
      <c r="E550" t="inlineStr">
        <is>
          <t>ÅNGE</t>
        </is>
      </c>
      <c r="G550" t="n">
        <v>3</v>
      </c>
      <c r="H550" t="n">
        <v>0</v>
      </c>
      <c r="I550" t="n">
        <v>0</v>
      </c>
      <c r="J550" t="n">
        <v>0</v>
      </c>
      <c r="K550" t="n">
        <v>0</v>
      </c>
      <c r="L550" t="n">
        <v>0</v>
      </c>
      <c r="M550" t="n">
        <v>0</v>
      </c>
      <c r="N550" t="n">
        <v>0</v>
      </c>
      <c r="O550" t="n">
        <v>0</v>
      </c>
      <c r="P550" t="n">
        <v>0</v>
      </c>
      <c r="Q550" t="n">
        <v>0</v>
      </c>
      <c r="R550" s="2" t="inlineStr"/>
    </row>
    <row r="551" ht="15" customHeight="1">
      <c r="A551" t="inlineStr">
        <is>
          <t>A 26012-2024</t>
        </is>
      </c>
      <c r="B551" s="1" t="n">
        <v>45467</v>
      </c>
      <c r="C551" s="1" t="n">
        <v>45965</v>
      </c>
      <c r="D551" t="inlineStr">
        <is>
          <t>VÄSTERNORRLANDS LÄN</t>
        </is>
      </c>
      <c r="E551" t="inlineStr">
        <is>
          <t>ÅNGE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27260-2023</t>
        </is>
      </c>
      <c r="B552" s="1" t="n">
        <v>45092</v>
      </c>
      <c r="C552" s="1" t="n">
        <v>45965</v>
      </c>
      <c r="D552" t="inlineStr">
        <is>
          <t>VÄSTERNORRLANDS LÄN</t>
        </is>
      </c>
      <c r="E552" t="inlineStr">
        <is>
          <t>ÅNGE</t>
        </is>
      </c>
      <c r="G552" t="n">
        <v>2.7</v>
      </c>
      <c r="H552" t="n">
        <v>0</v>
      </c>
      <c r="I552" t="n">
        <v>0</v>
      </c>
      <c r="J552" t="n">
        <v>0</v>
      </c>
      <c r="K552" t="n">
        <v>0</v>
      </c>
      <c r="L552" t="n">
        <v>0</v>
      </c>
      <c r="M552" t="n">
        <v>0</v>
      </c>
      <c r="N552" t="n">
        <v>0</v>
      </c>
      <c r="O552" t="n">
        <v>0</v>
      </c>
      <c r="P552" t="n">
        <v>0</v>
      </c>
      <c r="Q552" t="n">
        <v>0</v>
      </c>
      <c r="R552" s="2" t="inlineStr"/>
    </row>
    <row r="553" ht="15" customHeight="1">
      <c r="A553" t="inlineStr">
        <is>
          <t>A 16934-2025</t>
        </is>
      </c>
      <c r="B553" s="1" t="n">
        <v>45755.40671296296</v>
      </c>
      <c r="C553" s="1" t="n">
        <v>45965</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30348-2024</t>
        </is>
      </c>
      <c r="B554" s="1" t="n">
        <v>45490.95524305556</v>
      </c>
      <c r="C554" s="1" t="n">
        <v>45965</v>
      </c>
      <c r="D554" t="inlineStr">
        <is>
          <t>VÄSTERNORRLANDS LÄN</t>
        </is>
      </c>
      <c r="E554" t="inlineStr">
        <is>
          <t>ÅNGE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31457-2024</t>
        </is>
      </c>
      <c r="B555" s="1" t="n">
        <v>45505</v>
      </c>
      <c r="C555" s="1" t="n">
        <v>45965</v>
      </c>
      <c r="D555" t="inlineStr">
        <is>
          <t>VÄSTERNORRLANDS LÄN</t>
        </is>
      </c>
      <c r="E555" t="inlineStr">
        <is>
          <t>ÅNGE</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35392-2024</t>
        </is>
      </c>
      <c r="B556" s="1" t="n">
        <v>45531.4025462963</v>
      </c>
      <c r="C556" s="1" t="n">
        <v>45965</v>
      </c>
      <c r="D556" t="inlineStr">
        <is>
          <t>VÄSTERNORRLANDS LÄN</t>
        </is>
      </c>
      <c r="E556" t="inlineStr">
        <is>
          <t>ÅNGE</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18422-2021</t>
        </is>
      </c>
      <c r="B557" s="1" t="n">
        <v>44305</v>
      </c>
      <c r="C557" s="1" t="n">
        <v>45965</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46824-2021</t>
        </is>
      </c>
      <c r="B558" s="1" t="n">
        <v>44446.34271990741</v>
      </c>
      <c r="C558" s="1" t="n">
        <v>45965</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43066-2022</t>
        </is>
      </c>
      <c r="B559" s="1" t="n">
        <v>44833</v>
      </c>
      <c r="C559" s="1" t="n">
        <v>45965</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46419-2025</t>
        </is>
      </c>
      <c r="B560" s="1" t="n">
        <v>45925.5949537037</v>
      </c>
      <c r="C560" s="1" t="n">
        <v>45965</v>
      </c>
      <c r="D560" t="inlineStr">
        <is>
          <t>VÄSTERNORRLANDS LÄN</t>
        </is>
      </c>
      <c r="E560" t="inlineStr">
        <is>
          <t>ÅNGE</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57595-2022</t>
        </is>
      </c>
      <c r="B561" s="1" t="n">
        <v>44896.97862268519</v>
      </c>
      <c r="C561" s="1" t="n">
        <v>45965</v>
      </c>
      <c r="D561" t="inlineStr">
        <is>
          <t>VÄSTERNORRLANDS LÄN</t>
        </is>
      </c>
      <c r="E561" t="inlineStr">
        <is>
          <t>ÅNGE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56434-2021</t>
        </is>
      </c>
      <c r="B562" s="1" t="n">
        <v>44477</v>
      </c>
      <c r="C562" s="1" t="n">
        <v>45965</v>
      </c>
      <c r="D562" t="inlineStr">
        <is>
          <t>VÄSTERNORRLANDS LÄN</t>
        </is>
      </c>
      <c r="E562" t="inlineStr">
        <is>
          <t>ÅNGE</t>
        </is>
      </c>
      <c r="G562" t="n">
        <v>2.7</v>
      </c>
      <c r="H562" t="n">
        <v>0</v>
      </c>
      <c r="I562" t="n">
        <v>0</v>
      </c>
      <c r="J562" t="n">
        <v>0</v>
      </c>
      <c r="K562" t="n">
        <v>0</v>
      </c>
      <c r="L562" t="n">
        <v>0</v>
      </c>
      <c r="M562" t="n">
        <v>0</v>
      </c>
      <c r="N562" t="n">
        <v>0</v>
      </c>
      <c r="O562" t="n">
        <v>0</v>
      </c>
      <c r="P562" t="n">
        <v>0</v>
      </c>
      <c r="Q562" t="n">
        <v>0</v>
      </c>
      <c r="R562" s="2" t="inlineStr"/>
    </row>
    <row r="563" ht="15" customHeight="1">
      <c r="A563" t="inlineStr">
        <is>
          <t>A 14097-2022</t>
        </is>
      </c>
      <c r="B563" s="1" t="n">
        <v>44651</v>
      </c>
      <c r="C563" s="1" t="n">
        <v>45965</v>
      </c>
      <c r="D563" t="inlineStr">
        <is>
          <t>VÄSTERNORRLANDS LÄN</t>
        </is>
      </c>
      <c r="E563" t="inlineStr">
        <is>
          <t>ÅNGE</t>
        </is>
      </c>
      <c r="G563" t="n">
        <v>1.4</v>
      </c>
      <c r="H563" t="n">
        <v>0</v>
      </c>
      <c r="I563" t="n">
        <v>0</v>
      </c>
      <c r="J563" t="n">
        <v>0</v>
      </c>
      <c r="K563" t="n">
        <v>0</v>
      </c>
      <c r="L563" t="n">
        <v>0</v>
      </c>
      <c r="M563" t="n">
        <v>0</v>
      </c>
      <c r="N563" t="n">
        <v>0</v>
      </c>
      <c r="O563" t="n">
        <v>0</v>
      </c>
      <c r="P563" t="n">
        <v>0</v>
      </c>
      <c r="Q563" t="n">
        <v>0</v>
      </c>
      <c r="R563" s="2" t="inlineStr"/>
    </row>
    <row r="564" ht="15" customHeight="1">
      <c r="A564" t="inlineStr">
        <is>
          <t>A 29667-2024</t>
        </is>
      </c>
      <c r="B564" s="1" t="n">
        <v>45484.94041666666</v>
      </c>
      <c r="C564" s="1" t="n">
        <v>45965</v>
      </c>
      <c r="D564" t="inlineStr">
        <is>
          <t>VÄSTERNORRLANDS LÄN</t>
        </is>
      </c>
      <c r="E564" t="inlineStr">
        <is>
          <t>ÅNGE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54946-2021</t>
        </is>
      </c>
      <c r="B565" s="1" t="n">
        <v>44474.46466435185</v>
      </c>
      <c r="C565" s="1" t="n">
        <v>45965</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39975-2023</t>
        </is>
      </c>
      <c r="B566" s="1" t="n">
        <v>45168.58844907407</v>
      </c>
      <c r="C566" s="1" t="n">
        <v>45965</v>
      </c>
      <c r="D566" t="inlineStr">
        <is>
          <t>VÄSTERNORRLANDS LÄN</t>
        </is>
      </c>
      <c r="E566" t="inlineStr">
        <is>
          <t>ÅNGE</t>
        </is>
      </c>
      <c r="G566" t="n">
        <v>2.2</v>
      </c>
      <c r="H566" t="n">
        <v>0</v>
      </c>
      <c r="I566" t="n">
        <v>0</v>
      </c>
      <c r="J566" t="n">
        <v>0</v>
      </c>
      <c r="K566" t="n">
        <v>0</v>
      </c>
      <c r="L566" t="n">
        <v>0</v>
      </c>
      <c r="M566" t="n">
        <v>0</v>
      </c>
      <c r="N566" t="n">
        <v>0</v>
      </c>
      <c r="O566" t="n">
        <v>0</v>
      </c>
      <c r="P566" t="n">
        <v>0</v>
      </c>
      <c r="Q566" t="n">
        <v>0</v>
      </c>
      <c r="R566" s="2" t="inlineStr"/>
    </row>
    <row r="567" ht="15" customHeight="1">
      <c r="A567" t="inlineStr">
        <is>
          <t>A 57109-2023</t>
        </is>
      </c>
      <c r="B567" s="1" t="n">
        <v>45239</v>
      </c>
      <c r="C567" s="1" t="n">
        <v>45965</v>
      </c>
      <c r="D567" t="inlineStr">
        <is>
          <t>VÄSTERNORRLANDS LÄN</t>
        </is>
      </c>
      <c r="E567" t="inlineStr">
        <is>
          <t>ÅNGE</t>
        </is>
      </c>
      <c r="G567" t="n">
        <v>7</v>
      </c>
      <c r="H567" t="n">
        <v>0</v>
      </c>
      <c r="I567" t="n">
        <v>0</v>
      </c>
      <c r="J567" t="n">
        <v>0</v>
      </c>
      <c r="K567" t="n">
        <v>0</v>
      </c>
      <c r="L567" t="n">
        <v>0</v>
      </c>
      <c r="M567" t="n">
        <v>0</v>
      </c>
      <c r="N567" t="n">
        <v>0</v>
      </c>
      <c r="O567" t="n">
        <v>0</v>
      </c>
      <c r="P567" t="n">
        <v>0</v>
      </c>
      <c r="Q567" t="n">
        <v>0</v>
      </c>
      <c r="R567" s="2" t="inlineStr"/>
    </row>
    <row r="568" ht="15" customHeight="1">
      <c r="A568" t="inlineStr">
        <is>
          <t>A 38686-2025</t>
        </is>
      </c>
      <c r="B568" s="1" t="n">
        <v>45884.65658564815</v>
      </c>
      <c r="C568" s="1" t="n">
        <v>45965</v>
      </c>
      <c r="D568" t="inlineStr">
        <is>
          <t>VÄSTERNORRLANDS LÄN</t>
        </is>
      </c>
      <c r="E568" t="inlineStr">
        <is>
          <t>ÅNGE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32776-2022</t>
        </is>
      </c>
      <c r="B569" s="1" t="n">
        <v>44783.94607638889</v>
      </c>
      <c r="C569" s="1" t="n">
        <v>45965</v>
      </c>
      <c r="D569" t="inlineStr">
        <is>
          <t>VÄSTERNORRLANDS LÄN</t>
        </is>
      </c>
      <c r="E569" t="inlineStr">
        <is>
          <t>ÅNGE</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11032-2025</t>
        </is>
      </c>
      <c r="B570" s="1" t="n">
        <v>45723.47601851852</v>
      </c>
      <c r="C570" s="1" t="n">
        <v>45965</v>
      </c>
      <c r="D570" t="inlineStr">
        <is>
          <t>VÄSTERNORRLANDS LÄN</t>
        </is>
      </c>
      <c r="E570" t="inlineStr">
        <is>
          <t>ÅNGE</t>
        </is>
      </c>
      <c r="G570" t="n">
        <v>4.4</v>
      </c>
      <c r="H570" t="n">
        <v>0</v>
      </c>
      <c r="I570" t="n">
        <v>0</v>
      </c>
      <c r="J570" t="n">
        <v>0</v>
      </c>
      <c r="K570" t="n">
        <v>0</v>
      </c>
      <c r="L570" t="n">
        <v>0</v>
      </c>
      <c r="M570" t="n">
        <v>0</v>
      </c>
      <c r="N570" t="n">
        <v>0</v>
      </c>
      <c r="O570" t="n">
        <v>0</v>
      </c>
      <c r="P570" t="n">
        <v>0</v>
      </c>
      <c r="Q570" t="n">
        <v>0</v>
      </c>
      <c r="R570" s="2" t="inlineStr"/>
    </row>
    <row r="571" ht="15" customHeight="1">
      <c r="A571" t="inlineStr">
        <is>
          <t>A 38693-2025</t>
        </is>
      </c>
      <c r="B571" s="1" t="n">
        <v>45884.69829861111</v>
      </c>
      <c r="C571" s="1" t="n">
        <v>45965</v>
      </c>
      <c r="D571" t="inlineStr">
        <is>
          <t>VÄSTERNORRLANDS LÄN</t>
        </is>
      </c>
      <c r="E571" t="inlineStr">
        <is>
          <t>ÅNGE</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42346-2023</t>
        </is>
      </c>
      <c r="B572" s="1" t="n">
        <v>45180</v>
      </c>
      <c r="C572" s="1" t="n">
        <v>45965</v>
      </c>
      <c r="D572" t="inlineStr">
        <is>
          <t>VÄSTERNORRLANDS LÄN</t>
        </is>
      </c>
      <c r="E572" t="inlineStr">
        <is>
          <t>ÅNGE</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56874-2024</t>
        </is>
      </c>
      <c r="B573" s="1" t="n">
        <v>45628</v>
      </c>
      <c r="C573" s="1" t="n">
        <v>45965</v>
      </c>
      <c r="D573" t="inlineStr">
        <is>
          <t>VÄSTERNORRLANDS LÄN</t>
        </is>
      </c>
      <c r="E573" t="inlineStr">
        <is>
          <t>ÅNGE</t>
        </is>
      </c>
      <c r="G573" t="n">
        <v>1.1</v>
      </c>
      <c r="H573" t="n">
        <v>0</v>
      </c>
      <c r="I573" t="n">
        <v>0</v>
      </c>
      <c r="J573" t="n">
        <v>0</v>
      </c>
      <c r="K573" t="n">
        <v>0</v>
      </c>
      <c r="L573" t="n">
        <v>0</v>
      </c>
      <c r="M573" t="n">
        <v>0</v>
      </c>
      <c r="N573" t="n">
        <v>0</v>
      </c>
      <c r="O573" t="n">
        <v>0</v>
      </c>
      <c r="P573" t="n">
        <v>0</v>
      </c>
      <c r="Q573" t="n">
        <v>0</v>
      </c>
      <c r="R573" s="2" t="inlineStr"/>
    </row>
    <row r="574" ht="15" customHeight="1">
      <c r="A574" t="inlineStr">
        <is>
          <t>A 38386-2025</t>
        </is>
      </c>
      <c r="B574" s="1" t="n">
        <v>45883.57430555556</v>
      </c>
      <c r="C574" s="1" t="n">
        <v>45965</v>
      </c>
      <c r="D574" t="inlineStr">
        <is>
          <t>VÄSTERNORRLANDS LÄN</t>
        </is>
      </c>
      <c r="E574" t="inlineStr">
        <is>
          <t>ÅNGE</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38273-2025</t>
        </is>
      </c>
      <c r="B575" s="1" t="n">
        <v>45883.40740740741</v>
      </c>
      <c r="C575" s="1" t="n">
        <v>45965</v>
      </c>
      <c r="D575" t="inlineStr">
        <is>
          <t>VÄSTERNORRLANDS LÄN</t>
        </is>
      </c>
      <c r="E575" t="inlineStr">
        <is>
          <t>ÅNGE</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16563-2025</t>
        </is>
      </c>
      <c r="B576" s="1" t="n">
        <v>45752.34430555555</v>
      </c>
      <c r="C576" s="1" t="n">
        <v>45965</v>
      </c>
      <c r="D576" t="inlineStr">
        <is>
          <t>VÄSTERNORRLANDS LÄN</t>
        </is>
      </c>
      <c r="E576" t="inlineStr">
        <is>
          <t>ÅNGE</t>
        </is>
      </c>
      <c r="F576" t="inlineStr">
        <is>
          <t>SCA</t>
        </is>
      </c>
      <c r="G576" t="n">
        <v>24.7</v>
      </c>
      <c r="H576" t="n">
        <v>0</v>
      </c>
      <c r="I576" t="n">
        <v>0</v>
      </c>
      <c r="J576" t="n">
        <v>0</v>
      </c>
      <c r="K576" t="n">
        <v>0</v>
      </c>
      <c r="L576" t="n">
        <v>0</v>
      </c>
      <c r="M576" t="n">
        <v>0</v>
      </c>
      <c r="N576" t="n">
        <v>0</v>
      </c>
      <c r="O576" t="n">
        <v>0</v>
      </c>
      <c r="P576" t="n">
        <v>0</v>
      </c>
      <c r="Q576" t="n">
        <v>0</v>
      </c>
      <c r="R576" s="2" t="inlineStr"/>
    </row>
    <row r="577" ht="15" customHeight="1">
      <c r="A577" t="inlineStr">
        <is>
          <t>A 15368-2024</t>
        </is>
      </c>
      <c r="B577" s="1" t="n">
        <v>45400.92284722222</v>
      </c>
      <c r="C577" s="1" t="n">
        <v>45965</v>
      </c>
      <c r="D577" t="inlineStr">
        <is>
          <t>VÄSTERNORRLANDS LÄN</t>
        </is>
      </c>
      <c r="E577" t="inlineStr">
        <is>
          <t>ÅNGE</t>
        </is>
      </c>
      <c r="G577" t="n">
        <v>0.4</v>
      </c>
      <c r="H577" t="n">
        <v>0</v>
      </c>
      <c r="I577" t="n">
        <v>0</v>
      </c>
      <c r="J577" t="n">
        <v>0</v>
      </c>
      <c r="K577" t="n">
        <v>0</v>
      </c>
      <c r="L577" t="n">
        <v>0</v>
      </c>
      <c r="M577" t="n">
        <v>0</v>
      </c>
      <c r="N577" t="n">
        <v>0</v>
      </c>
      <c r="O577" t="n">
        <v>0</v>
      </c>
      <c r="P577" t="n">
        <v>0</v>
      </c>
      <c r="Q577" t="n">
        <v>0</v>
      </c>
      <c r="R577" s="2" t="inlineStr"/>
    </row>
    <row r="578" ht="15" customHeight="1">
      <c r="A578" t="inlineStr">
        <is>
          <t>A 24232-2024</t>
        </is>
      </c>
      <c r="B578" s="1" t="n">
        <v>45457.34686342593</v>
      </c>
      <c r="C578" s="1" t="n">
        <v>45965</v>
      </c>
      <c r="D578" t="inlineStr">
        <is>
          <t>VÄSTERNORRLANDS LÄN</t>
        </is>
      </c>
      <c r="E578" t="inlineStr">
        <is>
          <t>ÅNGE</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16657-2025</t>
        </is>
      </c>
      <c r="B579" s="1" t="n">
        <v>45754.40700231482</v>
      </c>
      <c r="C579" s="1" t="n">
        <v>45965</v>
      </c>
      <c r="D579" t="inlineStr">
        <is>
          <t>VÄSTERNORRLANDS LÄN</t>
        </is>
      </c>
      <c r="E579" t="inlineStr">
        <is>
          <t>ÅNGE</t>
        </is>
      </c>
      <c r="F579" t="inlineStr">
        <is>
          <t>SCA</t>
        </is>
      </c>
      <c r="G579" t="n">
        <v>5.1</v>
      </c>
      <c r="H579" t="n">
        <v>0</v>
      </c>
      <c r="I579" t="n">
        <v>0</v>
      </c>
      <c r="J579" t="n">
        <v>0</v>
      </c>
      <c r="K579" t="n">
        <v>0</v>
      </c>
      <c r="L579" t="n">
        <v>0</v>
      </c>
      <c r="M579" t="n">
        <v>0</v>
      </c>
      <c r="N579" t="n">
        <v>0</v>
      </c>
      <c r="O579" t="n">
        <v>0</v>
      </c>
      <c r="P579" t="n">
        <v>0</v>
      </c>
      <c r="Q579" t="n">
        <v>0</v>
      </c>
      <c r="R579" s="2" t="inlineStr"/>
    </row>
    <row r="580" ht="15" customHeight="1">
      <c r="A580" t="inlineStr">
        <is>
          <t>A 6608-2025</t>
        </is>
      </c>
      <c r="B580" s="1" t="n">
        <v>45700.34415509259</v>
      </c>
      <c r="C580" s="1" t="n">
        <v>45965</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57636-2022</t>
        </is>
      </c>
      <c r="B581" s="1" t="n">
        <v>44897</v>
      </c>
      <c r="C581" s="1" t="n">
        <v>45965</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33783-2024</t>
        </is>
      </c>
      <c r="B582" s="1" t="n">
        <v>45520</v>
      </c>
      <c r="C582" s="1" t="n">
        <v>45965</v>
      </c>
      <c r="D582" t="inlineStr">
        <is>
          <t>VÄSTERNORRLANDS LÄN</t>
        </is>
      </c>
      <c r="E582" t="inlineStr">
        <is>
          <t>ÅNGE</t>
        </is>
      </c>
      <c r="G582" t="n">
        <v>0.7</v>
      </c>
      <c r="H582" t="n">
        <v>0</v>
      </c>
      <c r="I582" t="n">
        <v>0</v>
      </c>
      <c r="J582" t="n">
        <v>0</v>
      </c>
      <c r="K582" t="n">
        <v>0</v>
      </c>
      <c r="L582" t="n">
        <v>0</v>
      </c>
      <c r="M582" t="n">
        <v>0</v>
      </c>
      <c r="N582" t="n">
        <v>0</v>
      </c>
      <c r="O582" t="n">
        <v>0</v>
      </c>
      <c r="P582" t="n">
        <v>0</v>
      </c>
      <c r="Q582" t="n">
        <v>0</v>
      </c>
      <c r="R582" s="2" t="inlineStr"/>
    </row>
    <row r="583" ht="15" customHeight="1">
      <c r="A583" t="inlineStr">
        <is>
          <t>A 45128-2022</t>
        </is>
      </c>
      <c r="B583" s="1" t="n">
        <v>44844.3146412037</v>
      </c>
      <c r="C583" s="1" t="n">
        <v>45965</v>
      </c>
      <c r="D583" t="inlineStr">
        <is>
          <t>VÄSTERNORRLANDS LÄN</t>
        </is>
      </c>
      <c r="E583" t="inlineStr">
        <is>
          <t>ÅNGE</t>
        </is>
      </c>
      <c r="G583" t="n">
        <v>4.1</v>
      </c>
      <c r="H583" t="n">
        <v>0</v>
      </c>
      <c r="I583" t="n">
        <v>0</v>
      </c>
      <c r="J583" t="n">
        <v>0</v>
      </c>
      <c r="K583" t="n">
        <v>0</v>
      </c>
      <c r="L583" t="n">
        <v>0</v>
      </c>
      <c r="M583" t="n">
        <v>0</v>
      </c>
      <c r="N583" t="n">
        <v>0</v>
      </c>
      <c r="O583" t="n">
        <v>0</v>
      </c>
      <c r="P583" t="n">
        <v>0</v>
      </c>
      <c r="Q583" t="n">
        <v>0</v>
      </c>
      <c r="R583" s="2" t="inlineStr"/>
    </row>
    <row r="584" ht="15" customHeight="1">
      <c r="A584" t="inlineStr">
        <is>
          <t>A 26951-2024</t>
        </is>
      </c>
      <c r="B584" s="1" t="n">
        <v>45470.96991898148</v>
      </c>
      <c r="C584" s="1" t="n">
        <v>45965</v>
      </c>
      <c r="D584" t="inlineStr">
        <is>
          <t>VÄSTERNORRLANDS LÄN</t>
        </is>
      </c>
      <c r="E584" t="inlineStr">
        <is>
          <t>ÅNGE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26952-2024</t>
        </is>
      </c>
      <c r="B585" s="1" t="n">
        <v>45470</v>
      </c>
      <c r="C585" s="1" t="n">
        <v>45965</v>
      </c>
      <c r="D585" t="inlineStr">
        <is>
          <t>VÄSTERNORRLANDS LÄN</t>
        </is>
      </c>
      <c r="E585" t="inlineStr">
        <is>
          <t>ÅNGE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27321-2024</t>
        </is>
      </c>
      <c r="B586" s="1" t="n">
        <v>45471</v>
      </c>
      <c r="C586" s="1" t="n">
        <v>45965</v>
      </c>
      <c r="D586" t="inlineStr">
        <is>
          <t>VÄSTERNORRLANDS LÄN</t>
        </is>
      </c>
      <c r="E586" t="inlineStr">
        <is>
          <t>ÅNGE</t>
        </is>
      </c>
      <c r="F586" t="inlineStr">
        <is>
          <t>SCA</t>
        </is>
      </c>
      <c r="G586" t="n">
        <v>14.1</v>
      </c>
      <c r="H586" t="n">
        <v>0</v>
      </c>
      <c r="I586" t="n">
        <v>0</v>
      </c>
      <c r="J586" t="n">
        <v>0</v>
      </c>
      <c r="K586" t="n">
        <v>0</v>
      </c>
      <c r="L586" t="n">
        <v>0</v>
      </c>
      <c r="M586" t="n">
        <v>0</v>
      </c>
      <c r="N586" t="n">
        <v>0</v>
      </c>
      <c r="O586" t="n">
        <v>0</v>
      </c>
      <c r="P586" t="n">
        <v>0</v>
      </c>
      <c r="Q586" t="n">
        <v>0</v>
      </c>
      <c r="R586" s="2" t="inlineStr"/>
    </row>
    <row r="587" ht="15" customHeight="1">
      <c r="A587" t="inlineStr">
        <is>
          <t>A 37382-2021</t>
        </is>
      </c>
      <c r="B587" s="1" t="n">
        <v>44397</v>
      </c>
      <c r="C587" s="1" t="n">
        <v>45965</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27668-2024</t>
        </is>
      </c>
      <c r="B588" s="1" t="n">
        <v>45474.95435185185</v>
      </c>
      <c r="C588" s="1" t="n">
        <v>45965</v>
      </c>
      <c r="D588" t="inlineStr">
        <is>
          <t>VÄSTERNORRLANDS LÄN</t>
        </is>
      </c>
      <c r="E588" t="inlineStr">
        <is>
          <t>ÅNGE</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51871-2024</t>
        </is>
      </c>
      <c r="B589" s="1" t="n">
        <v>45607</v>
      </c>
      <c r="C589" s="1" t="n">
        <v>45965</v>
      </c>
      <c r="D589" t="inlineStr">
        <is>
          <t>VÄSTERNORRLANDS LÄN</t>
        </is>
      </c>
      <c r="E589" t="inlineStr">
        <is>
          <t>ÅNGE</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1116-2023</t>
        </is>
      </c>
      <c r="B590" s="1" t="n">
        <v>44929</v>
      </c>
      <c r="C590" s="1" t="n">
        <v>45965</v>
      </c>
      <c r="D590" t="inlineStr">
        <is>
          <t>VÄSTERNORRLANDS LÄN</t>
        </is>
      </c>
      <c r="E590" t="inlineStr">
        <is>
          <t>ÅNGE</t>
        </is>
      </c>
      <c r="G590" t="n">
        <v>17.2</v>
      </c>
      <c r="H590" t="n">
        <v>0</v>
      </c>
      <c r="I590" t="n">
        <v>0</v>
      </c>
      <c r="J590" t="n">
        <v>0</v>
      </c>
      <c r="K590" t="n">
        <v>0</v>
      </c>
      <c r="L590" t="n">
        <v>0</v>
      </c>
      <c r="M590" t="n">
        <v>0</v>
      </c>
      <c r="N590" t="n">
        <v>0</v>
      </c>
      <c r="O590" t="n">
        <v>0</v>
      </c>
      <c r="P590" t="n">
        <v>0</v>
      </c>
      <c r="Q590" t="n">
        <v>0</v>
      </c>
      <c r="R590" s="2" t="inlineStr"/>
    </row>
    <row r="591" ht="15" customHeight="1">
      <c r="A591" t="inlineStr">
        <is>
          <t>A 52685-2024</t>
        </is>
      </c>
      <c r="B591" s="1" t="n">
        <v>45610</v>
      </c>
      <c r="C591" s="1" t="n">
        <v>45965</v>
      </c>
      <c r="D591" t="inlineStr">
        <is>
          <t>VÄSTERNORRLANDS LÄN</t>
        </is>
      </c>
      <c r="E591" t="inlineStr">
        <is>
          <t>ÅNGE</t>
        </is>
      </c>
      <c r="G591" t="n">
        <v>2.3</v>
      </c>
      <c r="H591" t="n">
        <v>0</v>
      </c>
      <c r="I591" t="n">
        <v>0</v>
      </c>
      <c r="J591" t="n">
        <v>0</v>
      </c>
      <c r="K591" t="n">
        <v>0</v>
      </c>
      <c r="L591" t="n">
        <v>0</v>
      </c>
      <c r="M591" t="n">
        <v>0</v>
      </c>
      <c r="N591" t="n">
        <v>0</v>
      </c>
      <c r="O591" t="n">
        <v>0</v>
      </c>
      <c r="P591" t="n">
        <v>0</v>
      </c>
      <c r="Q591" t="n">
        <v>0</v>
      </c>
      <c r="R591" s="2" t="inlineStr"/>
    </row>
    <row r="592" ht="15" customHeight="1">
      <c r="A592" t="inlineStr">
        <is>
          <t>A 55664-2023</t>
        </is>
      </c>
      <c r="B592" s="1" t="n">
        <v>45238.96748842593</v>
      </c>
      <c r="C592" s="1" t="n">
        <v>45965</v>
      </c>
      <c r="D592" t="inlineStr">
        <is>
          <t>VÄSTERNORRLANDS LÄN</t>
        </is>
      </c>
      <c r="E592" t="inlineStr">
        <is>
          <t>ÅNGE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19065-2025</t>
        </is>
      </c>
      <c r="B593" s="1" t="n">
        <v>45765</v>
      </c>
      <c r="C593" s="1" t="n">
        <v>45965</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36290-2023</t>
        </is>
      </c>
      <c r="B594" s="1" t="n">
        <v>45152.35467592593</v>
      </c>
      <c r="C594" s="1" t="n">
        <v>45965</v>
      </c>
      <c r="D594" t="inlineStr">
        <is>
          <t>VÄSTERNORRLANDS LÄN</t>
        </is>
      </c>
      <c r="E594" t="inlineStr">
        <is>
          <t>ÅNGE</t>
        </is>
      </c>
      <c r="F594" t="inlineStr">
        <is>
          <t>Övriga Aktiebolag</t>
        </is>
      </c>
      <c r="G594" t="n">
        <v>3.4</v>
      </c>
      <c r="H594" t="n">
        <v>0</v>
      </c>
      <c r="I594" t="n">
        <v>0</v>
      </c>
      <c r="J594" t="n">
        <v>0</v>
      </c>
      <c r="K594" t="n">
        <v>0</v>
      </c>
      <c r="L594" t="n">
        <v>0</v>
      </c>
      <c r="M594" t="n">
        <v>0</v>
      </c>
      <c r="N594" t="n">
        <v>0</v>
      </c>
      <c r="O594" t="n">
        <v>0</v>
      </c>
      <c r="P594" t="n">
        <v>0</v>
      </c>
      <c r="Q594" t="n">
        <v>0</v>
      </c>
      <c r="R594" s="2" t="inlineStr"/>
    </row>
    <row r="595" ht="15" customHeight="1">
      <c r="A595" t="inlineStr">
        <is>
          <t>A 38283-2025</t>
        </is>
      </c>
      <c r="B595" s="1" t="n">
        <v>45883.42740740741</v>
      </c>
      <c r="C595" s="1" t="n">
        <v>45965</v>
      </c>
      <c r="D595" t="inlineStr">
        <is>
          <t>VÄSTERNORRLANDS LÄN</t>
        </is>
      </c>
      <c r="E595" t="inlineStr">
        <is>
          <t>ÅNGE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48369-2024</t>
        </is>
      </c>
      <c r="B596" s="1" t="n">
        <v>45590.57960648148</v>
      </c>
      <c r="C596" s="1" t="n">
        <v>45965</v>
      </c>
      <c r="D596" t="inlineStr">
        <is>
          <t>VÄSTERNORRLANDS LÄN</t>
        </is>
      </c>
      <c r="E596" t="inlineStr">
        <is>
          <t>ÅNGE</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58275-2022</t>
        </is>
      </c>
      <c r="B597" s="1" t="n">
        <v>44901.47865740741</v>
      </c>
      <c r="C597" s="1" t="n">
        <v>45965</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1714-2025</t>
        </is>
      </c>
      <c r="B598" s="1" t="n">
        <v>45671.32474537037</v>
      </c>
      <c r="C598" s="1" t="n">
        <v>45965</v>
      </c>
      <c r="D598" t="inlineStr">
        <is>
          <t>VÄSTERNORRLANDS LÄN</t>
        </is>
      </c>
      <c r="E598" t="inlineStr">
        <is>
          <t>ÅNGE</t>
        </is>
      </c>
      <c r="G598" t="n">
        <v>2</v>
      </c>
      <c r="H598" t="n">
        <v>0</v>
      </c>
      <c r="I598" t="n">
        <v>0</v>
      </c>
      <c r="J598" t="n">
        <v>0</v>
      </c>
      <c r="K598" t="n">
        <v>0</v>
      </c>
      <c r="L598" t="n">
        <v>0</v>
      </c>
      <c r="M598" t="n">
        <v>0</v>
      </c>
      <c r="N598" t="n">
        <v>0</v>
      </c>
      <c r="O598" t="n">
        <v>0</v>
      </c>
      <c r="P598" t="n">
        <v>0</v>
      </c>
      <c r="Q598" t="n">
        <v>0</v>
      </c>
      <c r="R598" s="2" t="inlineStr"/>
    </row>
    <row r="599" ht="15" customHeight="1">
      <c r="A599" t="inlineStr">
        <is>
          <t>A 11529-2023</t>
        </is>
      </c>
      <c r="B599" s="1" t="n">
        <v>44993</v>
      </c>
      <c r="C599" s="1" t="n">
        <v>45965</v>
      </c>
      <c r="D599" t="inlineStr">
        <is>
          <t>VÄSTERNORRLANDS LÄN</t>
        </is>
      </c>
      <c r="E599" t="inlineStr">
        <is>
          <t>ÅNGE</t>
        </is>
      </c>
      <c r="G599" t="n">
        <v>8.9</v>
      </c>
      <c r="H599" t="n">
        <v>0</v>
      </c>
      <c r="I599" t="n">
        <v>0</v>
      </c>
      <c r="J599" t="n">
        <v>0</v>
      </c>
      <c r="K599" t="n">
        <v>0</v>
      </c>
      <c r="L599" t="n">
        <v>0</v>
      </c>
      <c r="M599" t="n">
        <v>0</v>
      </c>
      <c r="N599" t="n">
        <v>0</v>
      </c>
      <c r="O599" t="n">
        <v>0</v>
      </c>
      <c r="P599" t="n">
        <v>0</v>
      </c>
      <c r="Q599" t="n">
        <v>0</v>
      </c>
      <c r="R599" s="2" t="inlineStr"/>
    </row>
    <row r="600" ht="15" customHeight="1">
      <c r="A600" t="inlineStr">
        <is>
          <t>A 46416-2025</t>
        </is>
      </c>
      <c r="B600" s="1" t="n">
        <v>45925.594375</v>
      </c>
      <c r="C600" s="1" t="n">
        <v>45965</v>
      </c>
      <c r="D600" t="inlineStr">
        <is>
          <t>VÄSTERNORRLANDS LÄN</t>
        </is>
      </c>
      <c r="E600" t="inlineStr">
        <is>
          <t>ÅNGE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31182-2024</t>
        </is>
      </c>
      <c r="B601" s="1" t="n">
        <v>45503</v>
      </c>
      <c r="C601" s="1" t="n">
        <v>45965</v>
      </c>
      <c r="D601" t="inlineStr">
        <is>
          <t>VÄSTERNORRLANDS LÄN</t>
        </is>
      </c>
      <c r="E601" t="inlineStr">
        <is>
          <t>ÅNGE</t>
        </is>
      </c>
      <c r="G601" t="n">
        <v>8.6</v>
      </c>
      <c r="H601" t="n">
        <v>0</v>
      </c>
      <c r="I601" t="n">
        <v>0</v>
      </c>
      <c r="J601" t="n">
        <v>0</v>
      </c>
      <c r="K601" t="n">
        <v>0</v>
      </c>
      <c r="L601" t="n">
        <v>0</v>
      </c>
      <c r="M601" t="n">
        <v>0</v>
      </c>
      <c r="N601" t="n">
        <v>0</v>
      </c>
      <c r="O601" t="n">
        <v>0</v>
      </c>
      <c r="P601" t="n">
        <v>0</v>
      </c>
      <c r="Q601" t="n">
        <v>0</v>
      </c>
      <c r="R601" s="2" t="inlineStr"/>
    </row>
    <row r="602" ht="15" customHeight="1">
      <c r="A602" t="inlineStr">
        <is>
          <t>A 63216-2023</t>
        </is>
      </c>
      <c r="B602" s="1" t="n">
        <v>45273.62721064815</v>
      </c>
      <c r="C602" s="1" t="n">
        <v>45965</v>
      </c>
      <c r="D602" t="inlineStr">
        <is>
          <t>VÄSTERNORRLANDS LÄN</t>
        </is>
      </c>
      <c r="E602" t="inlineStr">
        <is>
          <t>ÅNGE</t>
        </is>
      </c>
      <c r="F602" t="inlineStr">
        <is>
          <t>Holmen skog AB</t>
        </is>
      </c>
      <c r="G602" t="n">
        <v>2.9</v>
      </c>
      <c r="H602" t="n">
        <v>0</v>
      </c>
      <c r="I602" t="n">
        <v>0</v>
      </c>
      <c r="J602" t="n">
        <v>0</v>
      </c>
      <c r="K602" t="n">
        <v>0</v>
      </c>
      <c r="L602" t="n">
        <v>0</v>
      </c>
      <c r="M602" t="n">
        <v>0</v>
      </c>
      <c r="N602" t="n">
        <v>0</v>
      </c>
      <c r="O602" t="n">
        <v>0</v>
      </c>
      <c r="P602" t="n">
        <v>0</v>
      </c>
      <c r="Q602" t="n">
        <v>0</v>
      </c>
      <c r="R602" s="2" t="inlineStr"/>
    </row>
    <row r="603" ht="15" customHeight="1">
      <c r="A603" t="inlineStr">
        <is>
          <t>A 55197-2022</t>
        </is>
      </c>
      <c r="B603" s="1" t="n">
        <v>44886.93714120371</v>
      </c>
      <c r="C603" s="1" t="n">
        <v>45965</v>
      </c>
      <c r="D603" t="inlineStr">
        <is>
          <t>VÄSTERNORRLANDS LÄN</t>
        </is>
      </c>
      <c r="E603" t="inlineStr">
        <is>
          <t>ÅNGE</t>
        </is>
      </c>
      <c r="G603" t="n">
        <v>1.4</v>
      </c>
      <c r="H603" t="n">
        <v>0</v>
      </c>
      <c r="I603" t="n">
        <v>0</v>
      </c>
      <c r="J603" t="n">
        <v>0</v>
      </c>
      <c r="K603" t="n">
        <v>0</v>
      </c>
      <c r="L603" t="n">
        <v>0</v>
      </c>
      <c r="M603" t="n">
        <v>0</v>
      </c>
      <c r="N603" t="n">
        <v>0</v>
      </c>
      <c r="O603" t="n">
        <v>0</v>
      </c>
      <c r="P603" t="n">
        <v>0</v>
      </c>
      <c r="Q603" t="n">
        <v>0</v>
      </c>
      <c r="R603" s="2" t="inlineStr"/>
    </row>
    <row r="604" ht="15" customHeight="1">
      <c r="A604" t="inlineStr">
        <is>
          <t>A 50186-2021</t>
        </is>
      </c>
      <c r="B604" s="1" t="n">
        <v>44456</v>
      </c>
      <c r="C604" s="1" t="n">
        <v>45965</v>
      </c>
      <c r="D604" t="inlineStr">
        <is>
          <t>VÄSTERNORRLANDS LÄN</t>
        </is>
      </c>
      <c r="E604" t="inlineStr">
        <is>
          <t>ÅNGE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29063-2023</t>
        </is>
      </c>
      <c r="B605" s="1" t="n">
        <v>45104.94068287037</v>
      </c>
      <c r="C605" s="1" t="n">
        <v>45965</v>
      </c>
      <c r="D605" t="inlineStr">
        <is>
          <t>VÄSTERNORRLANDS LÄN</t>
        </is>
      </c>
      <c r="E605" t="inlineStr">
        <is>
          <t>ÅNGE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51609-2023</t>
        </is>
      </c>
      <c r="B606" s="1" t="n">
        <v>45215</v>
      </c>
      <c r="C606" s="1" t="n">
        <v>45965</v>
      </c>
      <c r="D606" t="inlineStr">
        <is>
          <t>VÄSTERNORRLANDS LÄN</t>
        </is>
      </c>
      <c r="E606" t="inlineStr">
        <is>
          <t>ÅNGE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53970-2021</t>
        </is>
      </c>
      <c r="B607" s="1" t="n">
        <v>44469</v>
      </c>
      <c r="C607" s="1" t="n">
        <v>45965</v>
      </c>
      <c r="D607" t="inlineStr">
        <is>
          <t>VÄSTERNORRLANDS LÄN</t>
        </is>
      </c>
      <c r="E607" t="inlineStr">
        <is>
          <t>ÅNGE</t>
        </is>
      </c>
      <c r="G607" t="n">
        <v>3.4</v>
      </c>
      <c r="H607" t="n">
        <v>0</v>
      </c>
      <c r="I607" t="n">
        <v>0</v>
      </c>
      <c r="J607" t="n">
        <v>0</v>
      </c>
      <c r="K607" t="n">
        <v>0</v>
      </c>
      <c r="L607" t="n">
        <v>0</v>
      </c>
      <c r="M607" t="n">
        <v>0</v>
      </c>
      <c r="N607" t="n">
        <v>0</v>
      </c>
      <c r="O607" t="n">
        <v>0</v>
      </c>
      <c r="P607" t="n">
        <v>0</v>
      </c>
      <c r="Q607" t="n">
        <v>0</v>
      </c>
      <c r="R607" s="2" t="inlineStr"/>
    </row>
    <row r="608" ht="15" customHeight="1">
      <c r="A608" t="inlineStr">
        <is>
          <t>A 2415-2024</t>
        </is>
      </c>
      <c r="B608" s="1" t="n">
        <v>45310</v>
      </c>
      <c r="C608" s="1" t="n">
        <v>45965</v>
      </c>
      <c r="D608" t="inlineStr">
        <is>
          <t>VÄSTERNORRLANDS LÄN</t>
        </is>
      </c>
      <c r="E608" t="inlineStr">
        <is>
          <t>ÅNGE</t>
        </is>
      </c>
      <c r="F608" t="inlineStr">
        <is>
          <t>Kyrkan</t>
        </is>
      </c>
      <c r="G608" t="n">
        <v>0.2</v>
      </c>
      <c r="H608" t="n">
        <v>0</v>
      </c>
      <c r="I608" t="n">
        <v>0</v>
      </c>
      <c r="J608" t="n">
        <v>0</v>
      </c>
      <c r="K608" t="n">
        <v>0</v>
      </c>
      <c r="L608" t="n">
        <v>0</v>
      </c>
      <c r="M608" t="n">
        <v>0</v>
      </c>
      <c r="N608" t="n">
        <v>0</v>
      </c>
      <c r="O608" t="n">
        <v>0</v>
      </c>
      <c r="P608" t="n">
        <v>0</v>
      </c>
      <c r="Q608" t="n">
        <v>0</v>
      </c>
      <c r="R608" s="2" t="inlineStr"/>
    </row>
    <row r="609" ht="15" customHeight="1">
      <c r="A609" t="inlineStr">
        <is>
          <t>A 6686-2024</t>
        </is>
      </c>
      <c r="B609" s="1" t="n">
        <v>45341</v>
      </c>
      <c r="C609" s="1" t="n">
        <v>45965</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30682-2024</t>
        </is>
      </c>
      <c r="B610" s="1" t="n">
        <v>45495.95109953704</v>
      </c>
      <c r="C610" s="1" t="n">
        <v>45965</v>
      </c>
      <c r="D610" t="inlineStr">
        <is>
          <t>VÄSTERNORRLANDS LÄN</t>
        </is>
      </c>
      <c r="E610" t="inlineStr">
        <is>
          <t>ÅNGE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30753-2024</t>
        </is>
      </c>
      <c r="B611" s="1" t="n">
        <v>45496</v>
      </c>
      <c r="C611" s="1" t="n">
        <v>45965</v>
      </c>
      <c r="D611" t="inlineStr">
        <is>
          <t>VÄSTERNORRLANDS LÄN</t>
        </is>
      </c>
      <c r="E611" t="inlineStr">
        <is>
          <t>ÅNGE</t>
        </is>
      </c>
      <c r="G611" t="n">
        <v>1.4</v>
      </c>
      <c r="H611" t="n">
        <v>0</v>
      </c>
      <c r="I611" t="n">
        <v>0</v>
      </c>
      <c r="J611" t="n">
        <v>0</v>
      </c>
      <c r="K611" t="n">
        <v>0</v>
      </c>
      <c r="L611" t="n">
        <v>0</v>
      </c>
      <c r="M611" t="n">
        <v>0</v>
      </c>
      <c r="N611" t="n">
        <v>0</v>
      </c>
      <c r="O611" t="n">
        <v>0</v>
      </c>
      <c r="P611" t="n">
        <v>0</v>
      </c>
      <c r="Q611" t="n">
        <v>0</v>
      </c>
      <c r="R611" s="2" t="inlineStr"/>
    </row>
    <row r="612" ht="15" customHeight="1">
      <c r="A612" t="inlineStr">
        <is>
          <t>A 30754-2024</t>
        </is>
      </c>
      <c r="B612" s="1" t="n">
        <v>45496</v>
      </c>
      <c r="C612" s="1" t="n">
        <v>45965</v>
      </c>
      <c r="D612" t="inlineStr">
        <is>
          <t>VÄSTERNORRLANDS LÄN</t>
        </is>
      </c>
      <c r="E612" t="inlineStr">
        <is>
          <t>ÅNGE</t>
        </is>
      </c>
      <c r="G612" t="n">
        <v>3.8</v>
      </c>
      <c r="H612" t="n">
        <v>0</v>
      </c>
      <c r="I612" t="n">
        <v>0</v>
      </c>
      <c r="J612" t="n">
        <v>0</v>
      </c>
      <c r="K612" t="n">
        <v>0</v>
      </c>
      <c r="L612" t="n">
        <v>0</v>
      </c>
      <c r="M612" t="n">
        <v>0</v>
      </c>
      <c r="N612" t="n">
        <v>0</v>
      </c>
      <c r="O612" t="n">
        <v>0</v>
      </c>
      <c r="P612" t="n">
        <v>0</v>
      </c>
      <c r="Q612" t="n">
        <v>0</v>
      </c>
      <c r="R612" s="2" t="inlineStr"/>
    </row>
    <row r="613" ht="15" customHeight="1">
      <c r="A613" t="inlineStr">
        <is>
          <t>A 38960-2021</t>
        </is>
      </c>
      <c r="B613" s="1" t="n">
        <v>44411</v>
      </c>
      <c r="C613" s="1" t="n">
        <v>45965</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41758-2024</t>
        </is>
      </c>
      <c r="B614" s="1" t="n">
        <v>45561.34478009259</v>
      </c>
      <c r="C614" s="1" t="n">
        <v>45965</v>
      </c>
      <c r="D614" t="inlineStr">
        <is>
          <t>VÄSTERNORRLANDS LÄN</t>
        </is>
      </c>
      <c r="E614" t="inlineStr">
        <is>
          <t>ÅNGE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5433-2024</t>
        </is>
      </c>
      <c r="B615" s="1" t="n">
        <v>45331</v>
      </c>
      <c r="C615" s="1" t="n">
        <v>45965</v>
      </c>
      <c r="D615" t="inlineStr">
        <is>
          <t>VÄSTERNORRLANDS LÄN</t>
        </is>
      </c>
      <c r="E615" t="inlineStr">
        <is>
          <t>ÅNGE</t>
        </is>
      </c>
      <c r="G615" t="n">
        <v>2.1</v>
      </c>
      <c r="H615" t="n">
        <v>0</v>
      </c>
      <c r="I615" t="n">
        <v>0</v>
      </c>
      <c r="J615" t="n">
        <v>0</v>
      </c>
      <c r="K615" t="n">
        <v>0</v>
      </c>
      <c r="L615" t="n">
        <v>0</v>
      </c>
      <c r="M615" t="n">
        <v>0</v>
      </c>
      <c r="N615" t="n">
        <v>0</v>
      </c>
      <c r="O615" t="n">
        <v>0</v>
      </c>
      <c r="P615" t="n">
        <v>0</v>
      </c>
      <c r="Q615" t="n">
        <v>0</v>
      </c>
      <c r="R615" s="2" t="inlineStr"/>
    </row>
    <row r="616" ht="15" customHeight="1">
      <c r="A616" t="inlineStr">
        <is>
          <t>A 38332-2025</t>
        </is>
      </c>
      <c r="B616" s="1" t="n">
        <v>45883.49151620371</v>
      </c>
      <c r="C616" s="1" t="n">
        <v>45965</v>
      </c>
      <c r="D616" t="inlineStr">
        <is>
          <t>VÄSTERNORRLANDS LÄN</t>
        </is>
      </c>
      <c r="E616" t="inlineStr">
        <is>
          <t>ÅNGE</t>
        </is>
      </c>
      <c r="F616" t="inlineStr">
        <is>
          <t>SCA</t>
        </is>
      </c>
      <c r="G616" t="n">
        <v>5.9</v>
      </c>
      <c r="H616" t="n">
        <v>0</v>
      </c>
      <c r="I616" t="n">
        <v>0</v>
      </c>
      <c r="J616" t="n">
        <v>0</v>
      </c>
      <c r="K616" t="n">
        <v>0</v>
      </c>
      <c r="L616" t="n">
        <v>0</v>
      </c>
      <c r="M616" t="n">
        <v>0</v>
      </c>
      <c r="N616" t="n">
        <v>0</v>
      </c>
      <c r="O616" t="n">
        <v>0</v>
      </c>
      <c r="P616" t="n">
        <v>0</v>
      </c>
      <c r="Q616" t="n">
        <v>0</v>
      </c>
      <c r="R616" s="2" t="inlineStr"/>
    </row>
    <row r="617" ht="15" customHeight="1">
      <c r="A617" t="inlineStr">
        <is>
          <t>A 35581-2024</t>
        </is>
      </c>
      <c r="B617" s="1" t="n">
        <v>45531</v>
      </c>
      <c r="C617" s="1" t="n">
        <v>45965</v>
      </c>
      <c r="D617" t="inlineStr">
        <is>
          <t>VÄSTERNORRLANDS LÄN</t>
        </is>
      </c>
      <c r="E617" t="inlineStr">
        <is>
          <t>ÅNGE</t>
        </is>
      </c>
      <c r="G617" t="n">
        <v>1</v>
      </c>
      <c r="H617" t="n">
        <v>0</v>
      </c>
      <c r="I617" t="n">
        <v>0</v>
      </c>
      <c r="J617" t="n">
        <v>0</v>
      </c>
      <c r="K617" t="n">
        <v>0</v>
      </c>
      <c r="L617" t="n">
        <v>0</v>
      </c>
      <c r="M617" t="n">
        <v>0</v>
      </c>
      <c r="N617" t="n">
        <v>0</v>
      </c>
      <c r="O617" t="n">
        <v>0</v>
      </c>
      <c r="P617" t="n">
        <v>0</v>
      </c>
      <c r="Q617" t="n">
        <v>0</v>
      </c>
      <c r="R617" s="2" t="inlineStr"/>
    </row>
    <row r="618" ht="15" customHeight="1">
      <c r="A618" t="inlineStr">
        <is>
          <t>A 31864-2024</t>
        </is>
      </c>
      <c r="B618" s="1" t="n">
        <v>45509.74791666667</v>
      </c>
      <c r="C618" s="1" t="n">
        <v>45965</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65633-2021</t>
        </is>
      </c>
      <c r="B619" s="1" t="n">
        <v>44516.56181712963</v>
      </c>
      <c r="C619" s="1" t="n">
        <v>45965</v>
      </c>
      <c r="D619" t="inlineStr">
        <is>
          <t>VÄSTERNORRLANDS LÄN</t>
        </is>
      </c>
      <c r="E619" t="inlineStr">
        <is>
          <t>ÅNGE</t>
        </is>
      </c>
      <c r="G619" t="n">
        <v>1.7</v>
      </c>
      <c r="H619" t="n">
        <v>0</v>
      </c>
      <c r="I619" t="n">
        <v>0</v>
      </c>
      <c r="J619" t="n">
        <v>0</v>
      </c>
      <c r="K619" t="n">
        <v>0</v>
      </c>
      <c r="L619" t="n">
        <v>0</v>
      </c>
      <c r="M619" t="n">
        <v>0</v>
      </c>
      <c r="N619" t="n">
        <v>0</v>
      </c>
      <c r="O619" t="n">
        <v>0</v>
      </c>
      <c r="P619" t="n">
        <v>0</v>
      </c>
      <c r="Q619" t="n">
        <v>0</v>
      </c>
      <c r="R619" s="2" t="inlineStr"/>
    </row>
    <row r="620" ht="15" customHeight="1">
      <c r="A620" t="inlineStr">
        <is>
          <t>A 49532-2024</t>
        </is>
      </c>
      <c r="B620" s="1" t="n">
        <v>45596.41797453703</v>
      </c>
      <c r="C620" s="1" t="n">
        <v>45965</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19926-2025</t>
        </is>
      </c>
      <c r="B621" s="1" t="n">
        <v>45771.6357175926</v>
      </c>
      <c r="C621" s="1" t="n">
        <v>45965</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40790-2023</t>
        </is>
      </c>
      <c r="B622" s="1" t="n">
        <v>45170.95814814815</v>
      </c>
      <c r="C622" s="1" t="n">
        <v>45965</v>
      </c>
      <c r="D622" t="inlineStr">
        <is>
          <t>VÄSTERNORRLANDS LÄN</t>
        </is>
      </c>
      <c r="E622" t="inlineStr">
        <is>
          <t>ÅNGE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11310-2023</t>
        </is>
      </c>
      <c r="B623" s="1" t="n">
        <v>44993.01190972222</v>
      </c>
      <c r="C623" s="1" t="n">
        <v>45965</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1090-2023</t>
        </is>
      </c>
      <c r="B624" s="1" t="n">
        <v>44929</v>
      </c>
      <c r="C624" s="1" t="n">
        <v>45965</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51055-2023</t>
        </is>
      </c>
      <c r="B625" s="1" t="n">
        <v>45218</v>
      </c>
      <c r="C625" s="1" t="n">
        <v>45965</v>
      </c>
      <c r="D625" t="inlineStr">
        <is>
          <t>VÄSTERNORRLANDS LÄN</t>
        </is>
      </c>
      <c r="E625" t="inlineStr">
        <is>
          <t>ÅNGE</t>
        </is>
      </c>
      <c r="G625" t="n">
        <v>1.3</v>
      </c>
      <c r="H625" t="n">
        <v>0</v>
      </c>
      <c r="I625" t="n">
        <v>0</v>
      </c>
      <c r="J625" t="n">
        <v>0</v>
      </c>
      <c r="K625" t="n">
        <v>0</v>
      </c>
      <c r="L625" t="n">
        <v>0</v>
      </c>
      <c r="M625" t="n">
        <v>0</v>
      </c>
      <c r="N625" t="n">
        <v>0</v>
      </c>
      <c r="O625" t="n">
        <v>0</v>
      </c>
      <c r="P625" t="n">
        <v>0</v>
      </c>
      <c r="Q625" t="n">
        <v>0</v>
      </c>
      <c r="R625" s="2" t="inlineStr"/>
    </row>
    <row r="626" ht="15" customHeight="1">
      <c r="A626" t="inlineStr">
        <is>
          <t>A 6684-2024</t>
        </is>
      </c>
      <c r="B626" s="1" t="n">
        <v>45341.92555555556</v>
      </c>
      <c r="C626" s="1" t="n">
        <v>45965</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41507-2024</t>
        </is>
      </c>
      <c r="B627" s="1" t="n">
        <v>45560</v>
      </c>
      <c r="C627" s="1" t="n">
        <v>45965</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6487-2021</t>
        </is>
      </c>
      <c r="B628" s="1" t="n">
        <v>44235</v>
      </c>
      <c r="C628" s="1" t="n">
        <v>45965</v>
      </c>
      <c r="D628" t="inlineStr">
        <is>
          <t>VÄSTERNORRLANDS LÄN</t>
        </is>
      </c>
      <c r="E628" t="inlineStr">
        <is>
          <t>ÅNGE</t>
        </is>
      </c>
      <c r="G628" t="n">
        <v>2.1</v>
      </c>
      <c r="H628" t="n">
        <v>0</v>
      </c>
      <c r="I628" t="n">
        <v>0</v>
      </c>
      <c r="J628" t="n">
        <v>0</v>
      </c>
      <c r="K628" t="n">
        <v>0</v>
      </c>
      <c r="L628" t="n">
        <v>0</v>
      </c>
      <c r="M628" t="n">
        <v>0</v>
      </c>
      <c r="N628" t="n">
        <v>0</v>
      </c>
      <c r="O628" t="n">
        <v>0</v>
      </c>
      <c r="P628" t="n">
        <v>0</v>
      </c>
      <c r="Q628" t="n">
        <v>0</v>
      </c>
      <c r="R628" s="2" t="inlineStr"/>
    </row>
    <row r="629" ht="15" customHeight="1">
      <c r="A629" t="inlineStr">
        <is>
          <t>A 17749-2025</t>
        </is>
      </c>
      <c r="B629" s="1" t="n">
        <v>45758.48380787037</v>
      </c>
      <c r="C629" s="1" t="n">
        <v>45965</v>
      </c>
      <c r="D629" t="inlineStr">
        <is>
          <t>VÄSTERNORRLANDS LÄN</t>
        </is>
      </c>
      <c r="E629" t="inlineStr">
        <is>
          <t>ÅNGE</t>
        </is>
      </c>
      <c r="G629" t="n">
        <v>7.3</v>
      </c>
      <c r="H629" t="n">
        <v>0</v>
      </c>
      <c r="I629" t="n">
        <v>0</v>
      </c>
      <c r="J629" t="n">
        <v>0</v>
      </c>
      <c r="K629" t="n">
        <v>0</v>
      </c>
      <c r="L629" t="n">
        <v>0</v>
      </c>
      <c r="M629" t="n">
        <v>0</v>
      </c>
      <c r="N629" t="n">
        <v>0</v>
      </c>
      <c r="O629" t="n">
        <v>0</v>
      </c>
      <c r="P629" t="n">
        <v>0</v>
      </c>
      <c r="Q629" t="n">
        <v>0</v>
      </c>
      <c r="R629" s="2" t="inlineStr"/>
    </row>
    <row r="630" ht="15" customHeight="1">
      <c r="A630" t="inlineStr">
        <is>
          <t>A 42044-2024</t>
        </is>
      </c>
      <c r="B630" s="1" t="n">
        <v>45561</v>
      </c>
      <c r="C630" s="1" t="n">
        <v>45965</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113-2025</t>
        </is>
      </c>
      <c r="B631" s="1" t="n">
        <v>45659.5106712963</v>
      </c>
      <c r="C631" s="1" t="n">
        <v>45965</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3256-2024</t>
        </is>
      </c>
      <c r="B632" s="1" t="n">
        <v>45316</v>
      </c>
      <c r="C632" s="1" t="n">
        <v>45965</v>
      </c>
      <c r="D632" t="inlineStr">
        <is>
          <t>VÄSTERNORRLANDS LÄN</t>
        </is>
      </c>
      <c r="E632" t="inlineStr">
        <is>
          <t>ÅNGE</t>
        </is>
      </c>
      <c r="G632" t="n">
        <v>3.7</v>
      </c>
      <c r="H632" t="n">
        <v>0</v>
      </c>
      <c r="I632" t="n">
        <v>0</v>
      </c>
      <c r="J632" t="n">
        <v>0</v>
      </c>
      <c r="K632" t="n">
        <v>0</v>
      </c>
      <c r="L632" t="n">
        <v>0</v>
      </c>
      <c r="M632" t="n">
        <v>0</v>
      </c>
      <c r="N632" t="n">
        <v>0</v>
      </c>
      <c r="O632" t="n">
        <v>0</v>
      </c>
      <c r="P632" t="n">
        <v>0</v>
      </c>
      <c r="Q632" t="n">
        <v>0</v>
      </c>
      <c r="R632" s="2" t="inlineStr"/>
    </row>
    <row r="633" ht="15" customHeight="1">
      <c r="A633" t="inlineStr">
        <is>
          <t>A 1403-2025</t>
        </is>
      </c>
      <c r="B633" s="1" t="n">
        <v>45667.70548611111</v>
      </c>
      <c r="C633" s="1" t="n">
        <v>45965</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39619-2024</t>
        </is>
      </c>
      <c r="B634" s="1" t="n">
        <v>45552</v>
      </c>
      <c r="C634" s="1" t="n">
        <v>45965</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35426-2024</t>
        </is>
      </c>
      <c r="B635" s="1" t="n">
        <v>45531</v>
      </c>
      <c r="C635" s="1" t="n">
        <v>45965</v>
      </c>
      <c r="D635" t="inlineStr">
        <is>
          <t>VÄSTERNORRLANDS LÄN</t>
        </is>
      </c>
      <c r="E635" t="inlineStr">
        <is>
          <t>ÅNGE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2451-2024</t>
        </is>
      </c>
      <c r="B636" s="1" t="n">
        <v>45312.58627314815</v>
      </c>
      <c r="C636" s="1" t="n">
        <v>45965</v>
      </c>
      <c r="D636" t="inlineStr">
        <is>
          <t>VÄSTERNORRLANDS LÄN</t>
        </is>
      </c>
      <c r="E636" t="inlineStr">
        <is>
          <t>ÅNGE</t>
        </is>
      </c>
      <c r="G636" t="n">
        <v>3.5</v>
      </c>
      <c r="H636" t="n">
        <v>0</v>
      </c>
      <c r="I636" t="n">
        <v>0</v>
      </c>
      <c r="J636" t="n">
        <v>0</v>
      </c>
      <c r="K636" t="n">
        <v>0</v>
      </c>
      <c r="L636" t="n">
        <v>0</v>
      </c>
      <c r="M636" t="n">
        <v>0</v>
      </c>
      <c r="N636" t="n">
        <v>0</v>
      </c>
      <c r="O636" t="n">
        <v>0</v>
      </c>
      <c r="P636" t="n">
        <v>0</v>
      </c>
      <c r="Q636" t="n">
        <v>0</v>
      </c>
      <c r="R636" s="2" t="inlineStr"/>
    </row>
    <row r="637" ht="15" customHeight="1">
      <c r="A637" t="inlineStr">
        <is>
          <t>A 31545-2024</t>
        </is>
      </c>
      <c r="B637" s="1" t="n">
        <v>45505</v>
      </c>
      <c r="C637" s="1" t="n">
        <v>45965</v>
      </c>
      <c r="D637" t="inlineStr">
        <is>
          <t>VÄSTERNORRLANDS LÄN</t>
        </is>
      </c>
      <c r="E637" t="inlineStr">
        <is>
          <t>ÅNGE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27915-2024</t>
        </is>
      </c>
      <c r="B638" s="1" t="n">
        <v>45475</v>
      </c>
      <c r="C638" s="1" t="n">
        <v>45965</v>
      </c>
      <c r="D638" t="inlineStr">
        <is>
          <t>VÄSTERNORRLANDS LÄN</t>
        </is>
      </c>
      <c r="E638" t="inlineStr">
        <is>
          <t>ÅNGE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14751-2025</t>
        </is>
      </c>
      <c r="B639" s="1" t="n">
        <v>45742.65863425926</v>
      </c>
      <c r="C639" s="1" t="n">
        <v>45965</v>
      </c>
      <c r="D639" t="inlineStr">
        <is>
          <t>VÄSTERNORRLANDS LÄN</t>
        </is>
      </c>
      <c r="E639" t="inlineStr">
        <is>
          <t>ÅNGE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10339-2025</t>
        </is>
      </c>
      <c r="B640" s="1" t="n">
        <v>45720</v>
      </c>
      <c r="C640" s="1" t="n">
        <v>45965</v>
      </c>
      <c r="D640" t="inlineStr">
        <is>
          <t>VÄSTERNORRLANDS LÄN</t>
        </is>
      </c>
      <c r="E640" t="inlineStr">
        <is>
          <t>ÅNGE</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41083-2024</t>
        </is>
      </c>
      <c r="B641" s="1" t="n">
        <v>45559.40684027778</v>
      </c>
      <c r="C641" s="1" t="n">
        <v>45965</v>
      </c>
      <c r="D641" t="inlineStr">
        <is>
          <t>VÄSTERNORRLANDS LÄN</t>
        </is>
      </c>
      <c r="E641" t="inlineStr">
        <is>
          <t>ÅNGE</t>
        </is>
      </c>
      <c r="F641" t="inlineStr">
        <is>
          <t>SCA</t>
        </is>
      </c>
      <c r="G641" t="n">
        <v>8.4</v>
      </c>
      <c r="H641" t="n">
        <v>0</v>
      </c>
      <c r="I641" t="n">
        <v>0</v>
      </c>
      <c r="J641" t="n">
        <v>0</v>
      </c>
      <c r="K641" t="n">
        <v>0</v>
      </c>
      <c r="L641" t="n">
        <v>0</v>
      </c>
      <c r="M641" t="n">
        <v>0</v>
      </c>
      <c r="N641" t="n">
        <v>0</v>
      </c>
      <c r="O641" t="n">
        <v>0</v>
      </c>
      <c r="P641" t="n">
        <v>0</v>
      </c>
      <c r="Q641" t="n">
        <v>0</v>
      </c>
      <c r="R641" s="2" t="inlineStr"/>
    </row>
    <row r="642" ht="15" customHeight="1">
      <c r="A642" t="inlineStr">
        <is>
          <t>A 41766-2024</t>
        </is>
      </c>
      <c r="B642" s="1" t="n">
        <v>45561.34594907407</v>
      </c>
      <c r="C642" s="1" t="n">
        <v>45965</v>
      </c>
      <c r="D642" t="inlineStr">
        <is>
          <t>VÄSTERNORRLANDS LÄN</t>
        </is>
      </c>
      <c r="E642" t="inlineStr">
        <is>
          <t>ÅNGE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18067-2025</t>
        </is>
      </c>
      <c r="B643" s="1" t="n">
        <v>45761.49016203704</v>
      </c>
      <c r="C643" s="1" t="n">
        <v>45965</v>
      </c>
      <c r="D643" t="inlineStr">
        <is>
          <t>VÄSTERNORRLANDS LÄN</t>
        </is>
      </c>
      <c r="E643" t="inlineStr">
        <is>
          <t>ÅNGE</t>
        </is>
      </c>
      <c r="F643" t="inlineStr">
        <is>
          <t>SCA</t>
        </is>
      </c>
      <c r="G643" t="n">
        <v>5.7</v>
      </c>
      <c r="H643" t="n">
        <v>0</v>
      </c>
      <c r="I643" t="n">
        <v>0</v>
      </c>
      <c r="J643" t="n">
        <v>0</v>
      </c>
      <c r="K643" t="n">
        <v>0</v>
      </c>
      <c r="L643" t="n">
        <v>0</v>
      </c>
      <c r="M643" t="n">
        <v>0</v>
      </c>
      <c r="N643" t="n">
        <v>0</v>
      </c>
      <c r="O643" t="n">
        <v>0</v>
      </c>
      <c r="P643" t="n">
        <v>0</v>
      </c>
      <c r="Q643" t="n">
        <v>0</v>
      </c>
      <c r="R643" s="2" t="inlineStr"/>
    </row>
    <row r="644" ht="15" customHeight="1">
      <c r="A644" t="inlineStr">
        <is>
          <t>A 1964-2022</t>
        </is>
      </c>
      <c r="B644" s="1" t="n">
        <v>44575.5050462963</v>
      </c>
      <c r="C644" s="1" t="n">
        <v>45965</v>
      </c>
      <c r="D644" t="inlineStr">
        <is>
          <t>VÄSTERNORRLANDS LÄN</t>
        </is>
      </c>
      <c r="E644" t="inlineStr">
        <is>
          <t>ÅNGE</t>
        </is>
      </c>
      <c r="G644" t="n">
        <v>1.1</v>
      </c>
      <c r="H644" t="n">
        <v>0</v>
      </c>
      <c r="I644" t="n">
        <v>0</v>
      </c>
      <c r="J644" t="n">
        <v>0</v>
      </c>
      <c r="K644" t="n">
        <v>0</v>
      </c>
      <c r="L644" t="n">
        <v>0</v>
      </c>
      <c r="M644" t="n">
        <v>0</v>
      </c>
      <c r="N644" t="n">
        <v>0</v>
      </c>
      <c r="O644" t="n">
        <v>0</v>
      </c>
      <c r="P644" t="n">
        <v>0</v>
      </c>
      <c r="Q644" t="n">
        <v>0</v>
      </c>
      <c r="R644" s="2" t="inlineStr"/>
    </row>
    <row r="645" ht="15" customHeight="1">
      <c r="A645" t="inlineStr">
        <is>
          <t>A 51024-2024</t>
        </is>
      </c>
      <c r="B645" s="1" t="n">
        <v>45603.4141087963</v>
      </c>
      <c r="C645" s="1" t="n">
        <v>45965</v>
      </c>
      <c r="D645" t="inlineStr">
        <is>
          <t>VÄSTERNORRLANDS LÄN</t>
        </is>
      </c>
      <c r="E645" t="inlineStr">
        <is>
          <t>ÅNGE</t>
        </is>
      </c>
      <c r="G645" t="n">
        <v>8.9</v>
      </c>
      <c r="H645" t="n">
        <v>0</v>
      </c>
      <c r="I645" t="n">
        <v>0</v>
      </c>
      <c r="J645" t="n">
        <v>0</v>
      </c>
      <c r="K645" t="n">
        <v>0</v>
      </c>
      <c r="L645" t="n">
        <v>0</v>
      </c>
      <c r="M645" t="n">
        <v>0</v>
      </c>
      <c r="N645" t="n">
        <v>0</v>
      </c>
      <c r="O645" t="n">
        <v>0</v>
      </c>
      <c r="P645" t="n">
        <v>0</v>
      </c>
      <c r="Q645" t="n">
        <v>0</v>
      </c>
      <c r="R645" s="2" t="inlineStr"/>
    </row>
    <row r="646" ht="15" customHeight="1">
      <c r="A646" t="inlineStr">
        <is>
          <t>A 63522-2021</t>
        </is>
      </c>
      <c r="B646" s="1" t="n">
        <v>44508</v>
      </c>
      <c r="C646" s="1" t="n">
        <v>45965</v>
      </c>
      <c r="D646" t="inlineStr">
        <is>
          <t>VÄSTERNORRLANDS LÄN</t>
        </is>
      </c>
      <c r="E646" t="inlineStr">
        <is>
          <t>ÅNGE</t>
        </is>
      </c>
      <c r="F646" t="inlineStr">
        <is>
          <t>Övriga Aktiebolag</t>
        </is>
      </c>
      <c r="G646" t="n">
        <v>3.5</v>
      </c>
      <c r="H646" t="n">
        <v>0</v>
      </c>
      <c r="I646" t="n">
        <v>0</v>
      </c>
      <c r="J646" t="n">
        <v>0</v>
      </c>
      <c r="K646" t="n">
        <v>0</v>
      </c>
      <c r="L646" t="n">
        <v>0</v>
      </c>
      <c r="M646" t="n">
        <v>0</v>
      </c>
      <c r="N646" t="n">
        <v>0</v>
      </c>
      <c r="O646" t="n">
        <v>0</v>
      </c>
      <c r="P646" t="n">
        <v>0</v>
      </c>
      <c r="Q646" t="n">
        <v>0</v>
      </c>
      <c r="R646" s="2" t="inlineStr"/>
    </row>
    <row r="647" ht="15" customHeight="1">
      <c r="A647" t="inlineStr">
        <is>
          <t>A 58774-2023</t>
        </is>
      </c>
      <c r="B647" s="1" t="n">
        <v>45251</v>
      </c>
      <c r="C647" s="1" t="n">
        <v>45965</v>
      </c>
      <c r="D647" t="inlineStr">
        <is>
          <t>VÄSTERNORRLANDS LÄN</t>
        </is>
      </c>
      <c r="E647" t="inlineStr">
        <is>
          <t>ÅNGE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4359-2025</t>
        </is>
      </c>
      <c r="B648" s="1" t="n">
        <v>45686.33072916666</v>
      </c>
      <c r="C648" s="1" t="n">
        <v>45965</v>
      </c>
      <c r="D648" t="inlineStr">
        <is>
          <t>VÄSTERNORRLANDS LÄN</t>
        </is>
      </c>
      <c r="E648" t="inlineStr">
        <is>
          <t>ÅNGE</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57287-2022</t>
        </is>
      </c>
      <c r="B649" s="1" t="n">
        <v>44895.95</v>
      </c>
      <c r="C649" s="1" t="n">
        <v>45965</v>
      </c>
      <c r="D649" t="inlineStr">
        <is>
          <t>VÄSTERNORRLANDS LÄN</t>
        </is>
      </c>
      <c r="E649" t="inlineStr">
        <is>
          <t>ÅNGE</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57291-2022</t>
        </is>
      </c>
      <c r="B650" s="1" t="n">
        <v>44895</v>
      </c>
      <c r="C650" s="1" t="n">
        <v>45965</v>
      </c>
      <c r="D650" t="inlineStr">
        <is>
          <t>VÄSTERNORRLANDS LÄN</t>
        </is>
      </c>
      <c r="E650" t="inlineStr">
        <is>
          <t>ÅNGE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6680-2024</t>
        </is>
      </c>
      <c r="B651" s="1" t="n">
        <v>45341</v>
      </c>
      <c r="C651" s="1" t="n">
        <v>45965</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6685-2024</t>
        </is>
      </c>
      <c r="B652" s="1" t="n">
        <v>45341</v>
      </c>
      <c r="C652" s="1" t="n">
        <v>45965</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6689-2024</t>
        </is>
      </c>
      <c r="B653" s="1" t="n">
        <v>45341.9259375</v>
      </c>
      <c r="C653" s="1" t="n">
        <v>45965</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1095-2023</t>
        </is>
      </c>
      <c r="B654" s="1" t="n">
        <v>44929</v>
      </c>
      <c r="C654" s="1" t="n">
        <v>45965</v>
      </c>
      <c r="D654" t="inlineStr">
        <is>
          <t>VÄSTERNORRLANDS LÄN</t>
        </is>
      </c>
      <c r="E654" t="inlineStr">
        <is>
          <t>ÅNGE</t>
        </is>
      </c>
      <c r="G654" t="n">
        <v>3.2</v>
      </c>
      <c r="H654" t="n">
        <v>0</v>
      </c>
      <c r="I654" t="n">
        <v>0</v>
      </c>
      <c r="J654" t="n">
        <v>0</v>
      </c>
      <c r="K654" t="n">
        <v>0</v>
      </c>
      <c r="L654" t="n">
        <v>0</v>
      </c>
      <c r="M654" t="n">
        <v>0</v>
      </c>
      <c r="N654" t="n">
        <v>0</v>
      </c>
      <c r="O654" t="n">
        <v>0</v>
      </c>
      <c r="P654" t="n">
        <v>0</v>
      </c>
      <c r="Q654" t="n">
        <v>0</v>
      </c>
      <c r="R654" s="2" t="inlineStr"/>
    </row>
    <row r="655" ht="15" customHeight="1">
      <c r="A655" t="inlineStr">
        <is>
          <t>A 64121-2021</t>
        </is>
      </c>
      <c r="B655" s="1" t="n">
        <v>44510.4730787037</v>
      </c>
      <c r="C655" s="1" t="n">
        <v>45965</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11399-2025</t>
        </is>
      </c>
      <c r="B656" s="1" t="n">
        <v>45726.57364583333</v>
      </c>
      <c r="C656" s="1" t="n">
        <v>45965</v>
      </c>
      <c r="D656" t="inlineStr">
        <is>
          <t>VÄSTERNORRLANDS LÄN</t>
        </is>
      </c>
      <c r="E656" t="inlineStr">
        <is>
          <t>ÅNGE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35488-2024</t>
        </is>
      </c>
      <c r="B657" s="1" t="n">
        <v>45531</v>
      </c>
      <c r="C657" s="1" t="n">
        <v>45965</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35593-2024</t>
        </is>
      </c>
      <c r="B658" s="1" t="n">
        <v>45531</v>
      </c>
      <c r="C658" s="1" t="n">
        <v>45965</v>
      </c>
      <c r="D658" t="inlineStr">
        <is>
          <t>VÄSTERNORRLANDS LÄN</t>
        </is>
      </c>
      <c r="E658" t="inlineStr">
        <is>
          <t>ÅNGE</t>
        </is>
      </c>
      <c r="G658" t="n">
        <v>17.6</v>
      </c>
      <c r="H658" t="n">
        <v>0</v>
      </c>
      <c r="I658" t="n">
        <v>0</v>
      </c>
      <c r="J658" t="n">
        <v>0</v>
      </c>
      <c r="K658" t="n">
        <v>0</v>
      </c>
      <c r="L658" t="n">
        <v>0</v>
      </c>
      <c r="M658" t="n">
        <v>0</v>
      </c>
      <c r="N658" t="n">
        <v>0</v>
      </c>
      <c r="O658" t="n">
        <v>0</v>
      </c>
      <c r="P658" t="n">
        <v>0</v>
      </c>
      <c r="Q658" t="n">
        <v>0</v>
      </c>
      <c r="R658" s="2" t="inlineStr"/>
    </row>
    <row r="659" ht="15" customHeight="1">
      <c r="A659" t="inlineStr">
        <is>
          <t>A 42881-2024</t>
        </is>
      </c>
      <c r="B659" s="1" t="n">
        <v>45566.70916666667</v>
      </c>
      <c r="C659" s="1" t="n">
        <v>45965</v>
      </c>
      <c r="D659" t="inlineStr">
        <is>
          <t>VÄSTERNORRLANDS LÄN</t>
        </is>
      </c>
      <c r="E659" t="inlineStr">
        <is>
          <t>ÅNGE</t>
        </is>
      </c>
      <c r="G659" t="n">
        <v>1.9</v>
      </c>
      <c r="H659" t="n">
        <v>0</v>
      </c>
      <c r="I659" t="n">
        <v>0</v>
      </c>
      <c r="J659" t="n">
        <v>0</v>
      </c>
      <c r="K659" t="n">
        <v>0</v>
      </c>
      <c r="L659" t="n">
        <v>0</v>
      </c>
      <c r="M659" t="n">
        <v>0</v>
      </c>
      <c r="N659" t="n">
        <v>0</v>
      </c>
      <c r="O659" t="n">
        <v>0</v>
      </c>
      <c r="P659" t="n">
        <v>0</v>
      </c>
      <c r="Q659" t="n">
        <v>0</v>
      </c>
      <c r="R659" s="2" t="inlineStr"/>
    </row>
    <row r="660" ht="15" customHeight="1">
      <c r="A660" t="inlineStr">
        <is>
          <t>A 27468-2024</t>
        </is>
      </c>
      <c r="B660" s="1" t="n">
        <v>45474</v>
      </c>
      <c r="C660" s="1" t="n">
        <v>45965</v>
      </c>
      <c r="D660" t="inlineStr">
        <is>
          <t>VÄSTERNORRLANDS LÄN</t>
        </is>
      </c>
      <c r="E660" t="inlineStr">
        <is>
          <t>ÅNGE</t>
        </is>
      </c>
      <c r="G660" t="n">
        <v>1.3</v>
      </c>
      <c r="H660" t="n">
        <v>0</v>
      </c>
      <c r="I660" t="n">
        <v>0</v>
      </c>
      <c r="J660" t="n">
        <v>0</v>
      </c>
      <c r="K660" t="n">
        <v>0</v>
      </c>
      <c r="L660" t="n">
        <v>0</v>
      </c>
      <c r="M660" t="n">
        <v>0</v>
      </c>
      <c r="N660" t="n">
        <v>0</v>
      </c>
      <c r="O660" t="n">
        <v>0</v>
      </c>
      <c r="P660" t="n">
        <v>0</v>
      </c>
      <c r="Q660" t="n">
        <v>0</v>
      </c>
      <c r="R660" s="2" t="inlineStr"/>
    </row>
    <row r="661" ht="15" customHeight="1">
      <c r="A661" t="inlineStr">
        <is>
          <t>A 50651-2021</t>
        </is>
      </c>
      <c r="B661" s="1" t="n">
        <v>44459</v>
      </c>
      <c r="C661" s="1" t="n">
        <v>45965</v>
      </c>
      <c r="D661" t="inlineStr">
        <is>
          <t>VÄSTERNORRLANDS LÄN</t>
        </is>
      </c>
      <c r="E661" t="inlineStr">
        <is>
          <t>ÅNGE</t>
        </is>
      </c>
      <c r="G661" t="n">
        <v>20.6</v>
      </c>
      <c r="H661" t="n">
        <v>0</v>
      </c>
      <c r="I661" t="n">
        <v>0</v>
      </c>
      <c r="J661" t="n">
        <v>0</v>
      </c>
      <c r="K661" t="n">
        <v>0</v>
      </c>
      <c r="L661" t="n">
        <v>0</v>
      </c>
      <c r="M661" t="n">
        <v>0</v>
      </c>
      <c r="N661" t="n">
        <v>0</v>
      </c>
      <c r="O661" t="n">
        <v>0</v>
      </c>
      <c r="P661" t="n">
        <v>0</v>
      </c>
      <c r="Q661" t="n">
        <v>0</v>
      </c>
      <c r="R661" s="2" t="inlineStr"/>
    </row>
    <row r="662" ht="15" customHeight="1">
      <c r="A662" t="inlineStr">
        <is>
          <t>A 22752-2023</t>
        </is>
      </c>
      <c r="B662" s="1" t="n">
        <v>45071.94104166667</v>
      </c>
      <c r="C662" s="1" t="n">
        <v>45965</v>
      </c>
      <c r="D662" t="inlineStr">
        <is>
          <t>VÄSTERNORRLANDS LÄN</t>
        </is>
      </c>
      <c r="E662" t="inlineStr">
        <is>
          <t>ÅNGE</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30055-2024</t>
        </is>
      </c>
      <c r="B663" s="1" t="n">
        <v>45488.94767361111</v>
      </c>
      <c r="C663" s="1" t="n">
        <v>45965</v>
      </c>
      <c r="D663" t="inlineStr">
        <is>
          <t>VÄSTERNORRLANDS LÄN</t>
        </is>
      </c>
      <c r="E663" t="inlineStr">
        <is>
          <t>ÅNGE</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15822-2025</t>
        </is>
      </c>
      <c r="B664" s="1" t="n">
        <v>45748.70172453704</v>
      </c>
      <c r="C664" s="1" t="n">
        <v>45965</v>
      </c>
      <c r="D664" t="inlineStr">
        <is>
          <t>VÄSTERNORRLANDS LÄN</t>
        </is>
      </c>
      <c r="E664" t="inlineStr">
        <is>
          <t>ÅNGE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60779-2024</t>
        </is>
      </c>
      <c r="B665" s="1" t="n">
        <v>45644</v>
      </c>
      <c r="C665" s="1" t="n">
        <v>45965</v>
      </c>
      <c r="D665" t="inlineStr">
        <is>
          <t>VÄSTERNORRLANDS LÄN</t>
        </is>
      </c>
      <c r="E665" t="inlineStr">
        <is>
          <t>ÅNGE</t>
        </is>
      </c>
      <c r="G665" t="n">
        <v>3.1</v>
      </c>
      <c r="H665" t="n">
        <v>0</v>
      </c>
      <c r="I665" t="n">
        <v>0</v>
      </c>
      <c r="J665" t="n">
        <v>0</v>
      </c>
      <c r="K665" t="n">
        <v>0</v>
      </c>
      <c r="L665" t="n">
        <v>0</v>
      </c>
      <c r="M665" t="n">
        <v>0</v>
      </c>
      <c r="N665" t="n">
        <v>0</v>
      </c>
      <c r="O665" t="n">
        <v>0</v>
      </c>
      <c r="P665" t="n">
        <v>0</v>
      </c>
      <c r="Q665" t="n">
        <v>0</v>
      </c>
      <c r="R665" s="2" t="inlineStr"/>
    </row>
    <row r="666" ht="15" customHeight="1">
      <c r="A666" t="inlineStr">
        <is>
          <t>A 28428-2023</t>
        </is>
      </c>
      <c r="B666" s="1" t="n">
        <v>45102</v>
      </c>
      <c r="C666" s="1" t="n">
        <v>45965</v>
      </c>
      <c r="D666" t="inlineStr">
        <is>
          <t>VÄSTERNORRLANDS LÄN</t>
        </is>
      </c>
      <c r="E666" t="inlineStr">
        <is>
          <t>ÅNGE</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43366-2024</t>
        </is>
      </c>
      <c r="B667" s="1" t="n">
        <v>45568</v>
      </c>
      <c r="C667" s="1" t="n">
        <v>45965</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57591-2022</t>
        </is>
      </c>
      <c r="B668" s="1" t="n">
        <v>44896.97834490741</v>
      </c>
      <c r="C668" s="1" t="n">
        <v>45965</v>
      </c>
      <c r="D668" t="inlineStr">
        <is>
          <t>VÄSTERNORRLANDS LÄN</t>
        </is>
      </c>
      <c r="E668" t="inlineStr">
        <is>
          <t>ÅNGE</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26011-2024</t>
        </is>
      </c>
      <c r="B669" s="1" t="n">
        <v>45467.95828703704</v>
      </c>
      <c r="C669" s="1" t="n">
        <v>45965</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26014-2024</t>
        </is>
      </c>
      <c r="B670" s="1" t="n">
        <v>45467.95862268518</v>
      </c>
      <c r="C670" s="1" t="n">
        <v>45965</v>
      </c>
      <c r="D670" t="inlineStr">
        <is>
          <t>VÄSTERNORRLANDS LÄN</t>
        </is>
      </c>
      <c r="E670" t="inlineStr">
        <is>
          <t>ÅNGE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26019-2024</t>
        </is>
      </c>
      <c r="B671" s="1" t="n">
        <v>45467.96015046296</v>
      </c>
      <c r="C671" s="1" t="n">
        <v>45965</v>
      </c>
      <c r="D671" t="inlineStr">
        <is>
          <t>VÄSTERNORRLANDS LÄN</t>
        </is>
      </c>
      <c r="E671" t="inlineStr">
        <is>
          <t>ÅNGE</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17044-2023</t>
        </is>
      </c>
      <c r="B672" s="1" t="n">
        <v>45034</v>
      </c>
      <c r="C672" s="1" t="n">
        <v>45965</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34491-2023</t>
        </is>
      </c>
      <c r="B673" s="1" t="n">
        <v>45139.94775462963</v>
      </c>
      <c r="C673" s="1" t="n">
        <v>45965</v>
      </c>
      <c r="D673" t="inlineStr">
        <is>
          <t>VÄSTERNORRLANDS LÄN</t>
        </is>
      </c>
      <c r="E673" t="inlineStr">
        <is>
          <t>ÅNGE</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14889-2022</t>
        </is>
      </c>
      <c r="B674" s="1" t="n">
        <v>44656</v>
      </c>
      <c r="C674" s="1" t="n">
        <v>45965</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10089-2023</t>
        </is>
      </c>
      <c r="B675" s="1" t="n">
        <v>44985</v>
      </c>
      <c r="C675" s="1" t="n">
        <v>45965</v>
      </c>
      <c r="D675" t="inlineStr">
        <is>
          <t>VÄSTERNORRLANDS LÄN</t>
        </is>
      </c>
      <c r="E675" t="inlineStr">
        <is>
          <t>ÅNGE</t>
        </is>
      </c>
      <c r="F675" t="inlineStr">
        <is>
          <t>SCA</t>
        </is>
      </c>
      <c r="G675" t="n">
        <v>6.7</v>
      </c>
      <c r="H675" t="n">
        <v>0</v>
      </c>
      <c r="I675" t="n">
        <v>0</v>
      </c>
      <c r="J675" t="n">
        <v>0</v>
      </c>
      <c r="K675" t="n">
        <v>0</v>
      </c>
      <c r="L675" t="n">
        <v>0</v>
      </c>
      <c r="M675" t="n">
        <v>0</v>
      </c>
      <c r="N675" t="n">
        <v>0</v>
      </c>
      <c r="O675" t="n">
        <v>0</v>
      </c>
      <c r="P675" t="n">
        <v>0</v>
      </c>
      <c r="Q675" t="n">
        <v>0</v>
      </c>
      <c r="R675" s="2" t="inlineStr"/>
    </row>
    <row r="676" ht="15" customHeight="1">
      <c r="A676" t="inlineStr">
        <is>
          <t>A 10090-2023</t>
        </is>
      </c>
      <c r="B676" s="1" t="n">
        <v>44985.94511574074</v>
      </c>
      <c r="C676" s="1" t="n">
        <v>45965</v>
      </c>
      <c r="D676" t="inlineStr">
        <is>
          <t>VÄSTERNORRLANDS LÄN</t>
        </is>
      </c>
      <c r="E676" t="inlineStr">
        <is>
          <t>ÅNGE</t>
        </is>
      </c>
      <c r="F676" t="inlineStr">
        <is>
          <t>SCA</t>
        </is>
      </c>
      <c r="G676" t="n">
        <v>8.4</v>
      </c>
      <c r="H676" t="n">
        <v>0</v>
      </c>
      <c r="I676" t="n">
        <v>0</v>
      </c>
      <c r="J676" t="n">
        <v>0</v>
      </c>
      <c r="K676" t="n">
        <v>0</v>
      </c>
      <c r="L676" t="n">
        <v>0</v>
      </c>
      <c r="M676" t="n">
        <v>0</v>
      </c>
      <c r="N676" t="n">
        <v>0</v>
      </c>
      <c r="O676" t="n">
        <v>0</v>
      </c>
      <c r="P676" t="n">
        <v>0</v>
      </c>
      <c r="Q676" t="n">
        <v>0</v>
      </c>
      <c r="R676" s="2" t="inlineStr"/>
    </row>
    <row r="677" ht="15" customHeight="1">
      <c r="A677" t="inlineStr">
        <is>
          <t>A 39005-2024</t>
        </is>
      </c>
      <c r="B677" s="1" t="n">
        <v>45548.42743055556</v>
      </c>
      <c r="C677" s="1" t="n">
        <v>45965</v>
      </c>
      <c r="D677" t="inlineStr">
        <is>
          <t>VÄSTERNORRLANDS LÄN</t>
        </is>
      </c>
      <c r="E677" t="inlineStr">
        <is>
          <t>ÅNGE</t>
        </is>
      </c>
      <c r="F677" t="inlineStr">
        <is>
          <t>SCA</t>
        </is>
      </c>
      <c r="G677" t="n">
        <v>2.6</v>
      </c>
      <c r="H677" t="n">
        <v>0</v>
      </c>
      <c r="I677" t="n">
        <v>0</v>
      </c>
      <c r="J677" t="n">
        <v>0</v>
      </c>
      <c r="K677" t="n">
        <v>0</v>
      </c>
      <c r="L677" t="n">
        <v>0</v>
      </c>
      <c r="M677" t="n">
        <v>0</v>
      </c>
      <c r="N677" t="n">
        <v>0</v>
      </c>
      <c r="O677" t="n">
        <v>0</v>
      </c>
      <c r="P677" t="n">
        <v>0</v>
      </c>
      <c r="Q677" t="n">
        <v>0</v>
      </c>
      <c r="R677" s="2" t="inlineStr"/>
      <c r="U677">
        <f>HYPERLINK("https://klasma.github.io/Logging_2260/knärot/A 39005-2024 karta knärot.png", "A 39005-2024")</f>
        <v/>
      </c>
      <c r="V677">
        <f>HYPERLINK("https://klasma.github.io/Logging_2260/klagomål/A 39005-2024 FSC-klagomål.docx", "A 39005-2024")</f>
        <v/>
      </c>
      <c r="W677">
        <f>HYPERLINK("https://klasma.github.io/Logging_2260/klagomålsmail/A 39005-2024 FSC-klagomål mail.docx", "A 39005-2024")</f>
        <v/>
      </c>
      <c r="X677">
        <f>HYPERLINK("https://klasma.github.io/Logging_2260/tillsyn/A 39005-2024 tillsynsbegäran.docx", "A 39005-2024")</f>
        <v/>
      </c>
      <c r="Y677">
        <f>HYPERLINK("https://klasma.github.io/Logging_2260/tillsynsmail/A 39005-2024 tillsynsbegäran mail.docx", "A 39005-2024")</f>
        <v/>
      </c>
    </row>
    <row r="678" ht="15" customHeight="1">
      <c r="A678" t="inlineStr">
        <is>
          <t>A 60817-2024</t>
        </is>
      </c>
      <c r="B678" s="1" t="n">
        <v>45644</v>
      </c>
      <c r="C678" s="1" t="n">
        <v>45965</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60812-2024</t>
        </is>
      </c>
      <c r="B679" s="1" t="n">
        <v>45644</v>
      </c>
      <c r="C679" s="1" t="n">
        <v>45965</v>
      </c>
      <c r="D679" t="inlineStr">
        <is>
          <t>VÄSTERNORRLANDS LÄN</t>
        </is>
      </c>
      <c r="E679" t="inlineStr">
        <is>
          <t>ÅNGE</t>
        </is>
      </c>
      <c r="G679" t="n">
        <v>3.6</v>
      </c>
      <c r="H679" t="n">
        <v>0</v>
      </c>
      <c r="I679" t="n">
        <v>0</v>
      </c>
      <c r="J679" t="n">
        <v>0</v>
      </c>
      <c r="K679" t="n">
        <v>0</v>
      </c>
      <c r="L679" t="n">
        <v>0</v>
      </c>
      <c r="M679" t="n">
        <v>0</v>
      </c>
      <c r="N679" t="n">
        <v>0</v>
      </c>
      <c r="O679" t="n">
        <v>0</v>
      </c>
      <c r="P679" t="n">
        <v>0</v>
      </c>
      <c r="Q679" t="n">
        <v>0</v>
      </c>
      <c r="R679" s="2" t="inlineStr"/>
    </row>
    <row r="680" ht="15" customHeight="1">
      <c r="A680" t="inlineStr">
        <is>
          <t>A 23225-2024</t>
        </is>
      </c>
      <c r="B680" s="1" t="n">
        <v>45452.9490162037</v>
      </c>
      <c r="C680" s="1" t="n">
        <v>45965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57593-2022</t>
        </is>
      </c>
      <c r="B681" s="1" t="n">
        <v>44896.97847222222</v>
      </c>
      <c r="C681" s="1" t="n">
        <v>45965</v>
      </c>
      <c r="D681" t="inlineStr">
        <is>
          <t>VÄSTERNORRLANDS LÄN</t>
        </is>
      </c>
      <c r="E681" t="inlineStr">
        <is>
          <t>ÅNGE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57596-2022</t>
        </is>
      </c>
      <c r="B682" s="1" t="n">
        <v>44896.97871527778</v>
      </c>
      <c r="C682" s="1" t="n">
        <v>45965</v>
      </c>
      <c r="D682" t="inlineStr">
        <is>
          <t>VÄSTERNORRLANDS LÄN</t>
        </is>
      </c>
      <c r="E682" t="inlineStr">
        <is>
          <t>ÅNGE</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58943-2022</t>
        </is>
      </c>
      <c r="B683" s="1" t="n">
        <v>44903.64400462963</v>
      </c>
      <c r="C683" s="1" t="n">
        <v>45965</v>
      </c>
      <c r="D683" t="inlineStr">
        <is>
          <t>VÄSTERNORRLANDS LÄN</t>
        </is>
      </c>
      <c r="E683" t="inlineStr">
        <is>
          <t>ÅNGE</t>
        </is>
      </c>
      <c r="G683" t="n">
        <v>5.6</v>
      </c>
      <c r="H683" t="n">
        <v>0</v>
      </c>
      <c r="I683" t="n">
        <v>0</v>
      </c>
      <c r="J683" t="n">
        <v>0</v>
      </c>
      <c r="K683" t="n">
        <v>0</v>
      </c>
      <c r="L683" t="n">
        <v>0</v>
      </c>
      <c r="M683" t="n">
        <v>0</v>
      </c>
      <c r="N683" t="n">
        <v>0</v>
      </c>
      <c r="O683" t="n">
        <v>0</v>
      </c>
      <c r="P683" t="n">
        <v>0</v>
      </c>
      <c r="Q683" t="n">
        <v>0</v>
      </c>
      <c r="R683" s="2" t="inlineStr"/>
    </row>
    <row r="684" ht="15" customHeight="1">
      <c r="A684" t="inlineStr">
        <is>
          <t>A 33305-2024</t>
        </is>
      </c>
      <c r="B684" s="1" t="n">
        <v>45518</v>
      </c>
      <c r="C684" s="1" t="n">
        <v>45965</v>
      </c>
      <c r="D684" t="inlineStr">
        <is>
          <t>VÄSTERNORRLANDS LÄN</t>
        </is>
      </c>
      <c r="E684" t="inlineStr">
        <is>
          <t>ÅNGE</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33306-2024</t>
        </is>
      </c>
      <c r="B685" s="1" t="n">
        <v>45518</v>
      </c>
      <c r="C685" s="1" t="n">
        <v>45965</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41222-2024</t>
        </is>
      </c>
      <c r="B686" s="1" t="n">
        <v>45559.55306712963</v>
      </c>
      <c r="C686" s="1" t="n">
        <v>45965</v>
      </c>
      <c r="D686" t="inlineStr">
        <is>
          <t>VÄSTERNORRLANDS LÄN</t>
        </is>
      </c>
      <c r="E686" t="inlineStr">
        <is>
          <t>ÅNGE</t>
        </is>
      </c>
      <c r="G686" t="n">
        <v>0.4</v>
      </c>
      <c r="H686" t="n">
        <v>0</v>
      </c>
      <c r="I686" t="n">
        <v>0</v>
      </c>
      <c r="J686" t="n">
        <v>0</v>
      </c>
      <c r="K686" t="n">
        <v>0</v>
      </c>
      <c r="L686" t="n">
        <v>0</v>
      </c>
      <c r="M686" t="n">
        <v>0</v>
      </c>
      <c r="N686" t="n">
        <v>0</v>
      </c>
      <c r="O686" t="n">
        <v>0</v>
      </c>
      <c r="P686" t="n">
        <v>0</v>
      </c>
      <c r="Q686" t="n">
        <v>0</v>
      </c>
      <c r="R686" s="2" t="inlineStr"/>
    </row>
    <row r="687" ht="15" customHeight="1">
      <c r="A687" t="inlineStr">
        <is>
          <t>A 1103-2023</t>
        </is>
      </c>
      <c r="B687" s="1" t="n">
        <v>44929</v>
      </c>
      <c r="C687" s="1" t="n">
        <v>45965</v>
      </c>
      <c r="D687" t="inlineStr">
        <is>
          <t>VÄSTERNORRLANDS LÄN</t>
        </is>
      </c>
      <c r="E687" t="inlineStr">
        <is>
          <t>ÅNGE</t>
        </is>
      </c>
      <c r="G687" t="n">
        <v>7.3</v>
      </c>
      <c r="H687" t="n">
        <v>0</v>
      </c>
      <c r="I687" t="n">
        <v>0</v>
      </c>
      <c r="J687" t="n">
        <v>0</v>
      </c>
      <c r="K687" t="n">
        <v>0</v>
      </c>
      <c r="L687" t="n">
        <v>0</v>
      </c>
      <c r="M687" t="n">
        <v>0</v>
      </c>
      <c r="N687" t="n">
        <v>0</v>
      </c>
      <c r="O687" t="n">
        <v>0</v>
      </c>
      <c r="P687" t="n">
        <v>0</v>
      </c>
      <c r="Q687" t="n">
        <v>0</v>
      </c>
      <c r="R687" s="2" t="inlineStr"/>
    </row>
    <row r="688" ht="15" customHeight="1">
      <c r="A688" t="inlineStr">
        <is>
          <t>A 7535-2023</t>
        </is>
      </c>
      <c r="B688" s="1" t="n">
        <v>44971</v>
      </c>
      <c r="C688" s="1" t="n">
        <v>45965</v>
      </c>
      <c r="D688" t="inlineStr">
        <is>
          <t>VÄSTERNORRLANDS LÄN</t>
        </is>
      </c>
      <c r="E688" t="inlineStr">
        <is>
          <t>ÅNGE</t>
        </is>
      </c>
      <c r="F688" t="inlineStr">
        <is>
          <t>SCA</t>
        </is>
      </c>
      <c r="G688" t="n">
        <v>14.6</v>
      </c>
      <c r="H688" t="n">
        <v>0</v>
      </c>
      <c r="I688" t="n">
        <v>0</v>
      </c>
      <c r="J688" t="n">
        <v>0</v>
      </c>
      <c r="K688" t="n">
        <v>0</v>
      </c>
      <c r="L688" t="n">
        <v>0</v>
      </c>
      <c r="M688" t="n">
        <v>0</v>
      </c>
      <c r="N688" t="n">
        <v>0</v>
      </c>
      <c r="O688" t="n">
        <v>0</v>
      </c>
      <c r="P688" t="n">
        <v>0</v>
      </c>
      <c r="Q688" t="n">
        <v>0</v>
      </c>
      <c r="R688" s="2" t="inlineStr"/>
    </row>
    <row r="689" ht="15" customHeight="1">
      <c r="A689" t="inlineStr">
        <is>
          <t>A 13091-2024</t>
        </is>
      </c>
      <c r="B689" s="1" t="n">
        <v>45385</v>
      </c>
      <c r="C689" s="1" t="n">
        <v>45965</v>
      </c>
      <c r="D689" t="inlineStr">
        <is>
          <t>VÄSTERNORRLANDS LÄN</t>
        </is>
      </c>
      <c r="E689" t="inlineStr">
        <is>
          <t>ÅNGE</t>
        </is>
      </c>
      <c r="G689" t="n">
        <v>1.1</v>
      </c>
      <c r="H689" t="n">
        <v>0</v>
      </c>
      <c r="I689" t="n">
        <v>0</v>
      </c>
      <c r="J689" t="n">
        <v>0</v>
      </c>
      <c r="K689" t="n">
        <v>0</v>
      </c>
      <c r="L689" t="n">
        <v>0</v>
      </c>
      <c r="M689" t="n">
        <v>0</v>
      </c>
      <c r="N689" t="n">
        <v>0</v>
      </c>
      <c r="O689" t="n">
        <v>0</v>
      </c>
      <c r="P689" t="n">
        <v>0</v>
      </c>
      <c r="Q689" t="n">
        <v>0</v>
      </c>
      <c r="R689" s="2" t="inlineStr"/>
    </row>
    <row r="690" ht="15" customHeight="1">
      <c r="A690" t="inlineStr">
        <is>
          <t>A 37038-2024</t>
        </is>
      </c>
      <c r="B690" s="1" t="n">
        <v>45539.40881944444</v>
      </c>
      <c r="C690" s="1" t="n">
        <v>45965</v>
      </c>
      <c r="D690" t="inlineStr">
        <is>
          <t>VÄSTERNORRLANDS LÄN</t>
        </is>
      </c>
      <c r="E690" t="inlineStr">
        <is>
          <t>ÅNGE</t>
        </is>
      </c>
      <c r="G690" t="n">
        <v>1.4</v>
      </c>
      <c r="H690" t="n">
        <v>0</v>
      </c>
      <c r="I690" t="n">
        <v>0</v>
      </c>
      <c r="J690" t="n">
        <v>0</v>
      </c>
      <c r="K690" t="n">
        <v>0</v>
      </c>
      <c r="L690" t="n">
        <v>0</v>
      </c>
      <c r="M690" t="n">
        <v>0</v>
      </c>
      <c r="N690" t="n">
        <v>0</v>
      </c>
      <c r="O690" t="n">
        <v>0</v>
      </c>
      <c r="P690" t="n">
        <v>0</v>
      </c>
      <c r="Q690" t="n">
        <v>0</v>
      </c>
      <c r="R690" s="2" t="inlineStr"/>
    </row>
    <row r="691" ht="15" customHeight="1">
      <c r="A691" t="inlineStr">
        <is>
          <t>A 3624-2024</t>
        </is>
      </c>
      <c r="B691" s="1" t="n">
        <v>45320.95305555555</v>
      </c>
      <c r="C691" s="1" t="n">
        <v>45965</v>
      </c>
      <c r="D691" t="inlineStr">
        <is>
          <t>VÄSTERNORRLANDS LÄN</t>
        </is>
      </c>
      <c r="E691" t="inlineStr">
        <is>
          <t>ÅNGE</t>
        </is>
      </c>
      <c r="F691" t="inlineStr">
        <is>
          <t>SCA</t>
        </is>
      </c>
      <c r="G691" t="n">
        <v>5</v>
      </c>
      <c r="H691" t="n">
        <v>0</v>
      </c>
      <c r="I691" t="n">
        <v>0</v>
      </c>
      <c r="J691" t="n">
        <v>0</v>
      </c>
      <c r="K691" t="n">
        <v>0</v>
      </c>
      <c r="L691" t="n">
        <v>0</v>
      </c>
      <c r="M691" t="n">
        <v>0</v>
      </c>
      <c r="N691" t="n">
        <v>0</v>
      </c>
      <c r="O691" t="n">
        <v>0</v>
      </c>
      <c r="P691" t="n">
        <v>0</v>
      </c>
      <c r="Q691" t="n">
        <v>0</v>
      </c>
      <c r="R691" s="2" t="inlineStr"/>
    </row>
    <row r="692" ht="15" customHeight="1">
      <c r="A692" t="inlineStr">
        <is>
          <t>A 1127-2023</t>
        </is>
      </c>
      <c r="B692" s="1" t="n">
        <v>44929</v>
      </c>
      <c r="C692" s="1" t="n">
        <v>45965</v>
      </c>
      <c r="D692" t="inlineStr">
        <is>
          <t>VÄSTERNORRLANDS LÄN</t>
        </is>
      </c>
      <c r="E692" t="inlineStr">
        <is>
          <t>ÅNGE</t>
        </is>
      </c>
      <c r="G692" t="n">
        <v>10.5</v>
      </c>
      <c r="H692" t="n">
        <v>0</v>
      </c>
      <c r="I692" t="n">
        <v>0</v>
      </c>
      <c r="J692" t="n">
        <v>0</v>
      </c>
      <c r="K692" t="n">
        <v>0</v>
      </c>
      <c r="L692" t="n">
        <v>0</v>
      </c>
      <c r="M692" t="n">
        <v>0</v>
      </c>
      <c r="N692" t="n">
        <v>0</v>
      </c>
      <c r="O692" t="n">
        <v>0</v>
      </c>
      <c r="P692" t="n">
        <v>0</v>
      </c>
      <c r="Q692" t="n">
        <v>0</v>
      </c>
      <c r="R692" s="2" t="inlineStr"/>
    </row>
    <row r="693" ht="15" customHeight="1">
      <c r="A693" t="inlineStr">
        <is>
          <t>A 57526-2024</t>
        </is>
      </c>
      <c r="B693" s="1" t="n">
        <v>45630</v>
      </c>
      <c r="C693" s="1" t="n">
        <v>45965</v>
      </c>
      <c r="D693" t="inlineStr">
        <is>
          <t>VÄSTERNORRLANDS LÄN</t>
        </is>
      </c>
      <c r="E693" t="inlineStr">
        <is>
          <t>ÅNGE</t>
        </is>
      </c>
      <c r="G693" t="n">
        <v>3.2</v>
      </c>
      <c r="H693" t="n">
        <v>0</v>
      </c>
      <c r="I693" t="n">
        <v>0</v>
      </c>
      <c r="J693" t="n">
        <v>0</v>
      </c>
      <c r="K693" t="n">
        <v>0</v>
      </c>
      <c r="L693" t="n">
        <v>0</v>
      </c>
      <c r="M693" t="n">
        <v>0</v>
      </c>
      <c r="N693" t="n">
        <v>0</v>
      </c>
      <c r="O693" t="n">
        <v>0</v>
      </c>
      <c r="P693" t="n">
        <v>0</v>
      </c>
      <c r="Q693" t="n">
        <v>0</v>
      </c>
      <c r="R693" s="2" t="inlineStr"/>
    </row>
    <row r="694" ht="15" customHeight="1">
      <c r="A694" t="inlineStr">
        <is>
          <t>A 41781-2024</t>
        </is>
      </c>
      <c r="B694" s="1" t="n">
        <v>45561.34938657407</v>
      </c>
      <c r="C694" s="1" t="n">
        <v>45965</v>
      </c>
      <c r="D694" t="inlineStr">
        <is>
          <t>VÄSTERNORRLANDS LÄN</t>
        </is>
      </c>
      <c r="E694" t="inlineStr">
        <is>
          <t>ÅNGE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58469-2023</t>
        </is>
      </c>
      <c r="B695" s="1" t="n">
        <v>45250</v>
      </c>
      <c r="C695" s="1" t="n">
        <v>45965</v>
      </c>
      <c r="D695" t="inlineStr">
        <is>
          <t>VÄSTERNORRLANDS LÄN</t>
        </is>
      </c>
      <c r="E695" t="inlineStr">
        <is>
          <t>ÅNGE</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42090-2024</t>
        </is>
      </c>
      <c r="B696" s="1" t="n">
        <v>45562</v>
      </c>
      <c r="C696" s="1" t="n">
        <v>45965</v>
      </c>
      <c r="D696" t="inlineStr">
        <is>
          <t>VÄSTERNORRLANDS LÄN</t>
        </is>
      </c>
      <c r="E696" t="inlineStr">
        <is>
          <t>ÅNGE</t>
        </is>
      </c>
      <c r="F696" t="inlineStr">
        <is>
          <t>SCA</t>
        </is>
      </c>
      <c r="G696" t="n">
        <v>20.2</v>
      </c>
      <c r="H696" t="n">
        <v>0</v>
      </c>
      <c r="I696" t="n">
        <v>0</v>
      </c>
      <c r="J696" t="n">
        <v>0</v>
      </c>
      <c r="K696" t="n">
        <v>0</v>
      </c>
      <c r="L696" t="n">
        <v>0</v>
      </c>
      <c r="M696" t="n">
        <v>0</v>
      </c>
      <c r="N696" t="n">
        <v>0</v>
      </c>
      <c r="O696" t="n">
        <v>0</v>
      </c>
      <c r="P696" t="n">
        <v>0</v>
      </c>
      <c r="Q696" t="n">
        <v>0</v>
      </c>
      <c r="R696" s="2" t="inlineStr"/>
    </row>
    <row r="697" ht="15" customHeight="1">
      <c r="A697" t="inlineStr">
        <is>
          <t>A 42098-2024</t>
        </is>
      </c>
      <c r="B697" s="1" t="n">
        <v>45562.34532407407</v>
      </c>
      <c r="C697" s="1" t="n">
        <v>45965</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55324-2023</t>
        </is>
      </c>
      <c r="B698" s="1" t="n">
        <v>45237.9734837963</v>
      </c>
      <c r="C698" s="1" t="n">
        <v>45965</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18456-2024</t>
        </is>
      </c>
      <c r="B699" s="1" t="n">
        <v>45425.46831018518</v>
      </c>
      <c r="C699" s="1" t="n">
        <v>45965</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4361-2024</t>
        </is>
      </c>
      <c r="B700" s="1" t="n">
        <v>45325.65047453704</v>
      </c>
      <c r="C700" s="1" t="n">
        <v>45965</v>
      </c>
      <c r="D700" t="inlineStr">
        <is>
          <t>VÄSTERNORRLANDS LÄN</t>
        </is>
      </c>
      <c r="E700" t="inlineStr">
        <is>
          <t>ÅNGE</t>
        </is>
      </c>
      <c r="G700" t="n">
        <v>1.3</v>
      </c>
      <c r="H700" t="n">
        <v>0</v>
      </c>
      <c r="I700" t="n">
        <v>0</v>
      </c>
      <c r="J700" t="n">
        <v>0</v>
      </c>
      <c r="K700" t="n">
        <v>0</v>
      </c>
      <c r="L700" t="n">
        <v>0</v>
      </c>
      <c r="M700" t="n">
        <v>0</v>
      </c>
      <c r="N700" t="n">
        <v>0</v>
      </c>
      <c r="O700" t="n">
        <v>0</v>
      </c>
      <c r="P700" t="n">
        <v>0</v>
      </c>
      <c r="Q700" t="n">
        <v>0</v>
      </c>
      <c r="R700" s="2" t="inlineStr"/>
    </row>
    <row r="701" ht="15" customHeight="1">
      <c r="A701" t="inlineStr">
        <is>
          <t>A 65229-2021</t>
        </is>
      </c>
      <c r="B701" s="1" t="n">
        <v>44515</v>
      </c>
      <c r="C701" s="1" t="n">
        <v>45965</v>
      </c>
      <c r="D701" t="inlineStr">
        <is>
          <t>VÄSTERNORRLANDS LÄN</t>
        </is>
      </c>
      <c r="E701" t="inlineStr">
        <is>
          <t>ÅNGE</t>
        </is>
      </c>
      <c r="G701" t="n">
        <v>12.1</v>
      </c>
      <c r="H701" t="n">
        <v>0</v>
      </c>
      <c r="I701" t="n">
        <v>0</v>
      </c>
      <c r="J701" t="n">
        <v>0</v>
      </c>
      <c r="K701" t="n">
        <v>0</v>
      </c>
      <c r="L701" t="n">
        <v>0</v>
      </c>
      <c r="M701" t="n">
        <v>0</v>
      </c>
      <c r="N701" t="n">
        <v>0</v>
      </c>
      <c r="O701" t="n">
        <v>0</v>
      </c>
      <c r="P701" t="n">
        <v>0</v>
      </c>
      <c r="Q701" t="n">
        <v>0</v>
      </c>
      <c r="R701" s="2" t="inlineStr"/>
    </row>
    <row r="702" ht="15" customHeight="1">
      <c r="A702" t="inlineStr">
        <is>
          <t>A 32069-2023</t>
        </is>
      </c>
      <c r="B702" s="1" t="n">
        <v>45107</v>
      </c>
      <c r="C702" s="1" t="n">
        <v>45965</v>
      </c>
      <c r="D702" t="inlineStr">
        <is>
          <t>VÄSTERNORRLANDS LÄN</t>
        </is>
      </c>
      <c r="E702" t="inlineStr">
        <is>
          <t>ÅNGE</t>
        </is>
      </c>
      <c r="G702" t="n">
        <v>4.4</v>
      </c>
      <c r="H702" t="n">
        <v>0</v>
      </c>
      <c r="I702" t="n">
        <v>0</v>
      </c>
      <c r="J702" t="n">
        <v>0</v>
      </c>
      <c r="K702" t="n">
        <v>0</v>
      </c>
      <c r="L702" t="n">
        <v>0</v>
      </c>
      <c r="M702" t="n">
        <v>0</v>
      </c>
      <c r="N702" t="n">
        <v>0</v>
      </c>
      <c r="O702" t="n">
        <v>0</v>
      </c>
      <c r="P702" t="n">
        <v>0</v>
      </c>
      <c r="Q702" t="n">
        <v>0</v>
      </c>
      <c r="R702" s="2" t="inlineStr"/>
    </row>
    <row r="703" ht="15" customHeight="1">
      <c r="A703" t="inlineStr">
        <is>
          <t>A 19829-2025</t>
        </is>
      </c>
      <c r="B703" s="1" t="n">
        <v>45771.46944444445</v>
      </c>
      <c r="C703" s="1" t="n">
        <v>45965</v>
      </c>
      <c r="D703" t="inlineStr">
        <is>
          <t>VÄSTERNORRLANDS LÄN</t>
        </is>
      </c>
      <c r="E703" t="inlineStr">
        <is>
          <t>ÅNGE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3352-2021</t>
        </is>
      </c>
      <c r="B704" s="1" t="n">
        <v>44217</v>
      </c>
      <c r="C704" s="1" t="n">
        <v>45965</v>
      </c>
      <c r="D704" t="inlineStr">
        <is>
          <t>VÄSTERNORRLANDS LÄN</t>
        </is>
      </c>
      <c r="E704" t="inlineStr">
        <is>
          <t>ÅNGE</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59626-2022</t>
        </is>
      </c>
      <c r="B705" s="1" t="n">
        <v>44907.92354166666</v>
      </c>
      <c r="C705" s="1" t="n">
        <v>45965</v>
      </c>
      <c r="D705" t="inlineStr">
        <is>
          <t>VÄSTERNORRLANDS LÄN</t>
        </is>
      </c>
      <c r="E705" t="inlineStr">
        <is>
          <t>ÅNGE</t>
        </is>
      </c>
      <c r="G705" t="n">
        <v>1.4</v>
      </c>
      <c r="H705" t="n">
        <v>0</v>
      </c>
      <c r="I705" t="n">
        <v>0</v>
      </c>
      <c r="J705" t="n">
        <v>0</v>
      </c>
      <c r="K705" t="n">
        <v>0</v>
      </c>
      <c r="L705" t="n">
        <v>0</v>
      </c>
      <c r="M705" t="n">
        <v>0</v>
      </c>
      <c r="N705" t="n">
        <v>0</v>
      </c>
      <c r="O705" t="n">
        <v>0</v>
      </c>
      <c r="P705" t="n">
        <v>0</v>
      </c>
      <c r="Q705" t="n">
        <v>0</v>
      </c>
      <c r="R705" s="2" t="inlineStr"/>
    </row>
    <row r="706" ht="15" customHeight="1">
      <c r="A706" t="inlineStr">
        <is>
          <t>A 46015-2024</t>
        </is>
      </c>
      <c r="B706" s="1" t="n">
        <v>45580.67760416667</v>
      </c>
      <c r="C706" s="1" t="n">
        <v>45965</v>
      </c>
      <c r="D706" t="inlineStr">
        <is>
          <t>VÄSTERNORRLANDS LÄN</t>
        </is>
      </c>
      <c r="E706" t="inlineStr">
        <is>
          <t>ÅNGE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3249-2024</t>
        </is>
      </c>
      <c r="B707" s="1" t="n">
        <v>45316</v>
      </c>
      <c r="C707" s="1" t="n">
        <v>45965</v>
      </c>
      <c r="D707" t="inlineStr">
        <is>
          <t>VÄSTERNORRLANDS LÄN</t>
        </is>
      </c>
      <c r="E707" t="inlineStr">
        <is>
          <t>ÅNGE</t>
        </is>
      </c>
      <c r="G707" t="n">
        <v>0.3</v>
      </c>
      <c r="H707" t="n">
        <v>0</v>
      </c>
      <c r="I707" t="n">
        <v>0</v>
      </c>
      <c r="J707" t="n">
        <v>0</v>
      </c>
      <c r="K707" t="n">
        <v>0</v>
      </c>
      <c r="L707" t="n">
        <v>0</v>
      </c>
      <c r="M707" t="n">
        <v>0</v>
      </c>
      <c r="N707" t="n">
        <v>0</v>
      </c>
      <c r="O707" t="n">
        <v>0</v>
      </c>
      <c r="P707" t="n">
        <v>0</v>
      </c>
      <c r="Q707" t="n">
        <v>0</v>
      </c>
      <c r="R707" s="2" t="inlineStr"/>
    </row>
    <row r="708" ht="15" customHeight="1">
      <c r="A708" t="inlineStr">
        <is>
          <t>A 41302-2024</t>
        </is>
      </c>
      <c r="B708" s="1" t="n">
        <v>45559.62077546296</v>
      </c>
      <c r="C708" s="1" t="n">
        <v>45965</v>
      </c>
      <c r="D708" t="inlineStr">
        <is>
          <t>VÄSTERNORRLANDS LÄN</t>
        </is>
      </c>
      <c r="E708" t="inlineStr">
        <is>
          <t>ÅNGE</t>
        </is>
      </c>
      <c r="F708" t="inlineStr">
        <is>
          <t>Holmen skog AB</t>
        </is>
      </c>
      <c r="G708" t="n">
        <v>2</v>
      </c>
      <c r="H708" t="n">
        <v>0</v>
      </c>
      <c r="I708" t="n">
        <v>0</v>
      </c>
      <c r="J708" t="n">
        <v>0</v>
      </c>
      <c r="K708" t="n">
        <v>0</v>
      </c>
      <c r="L708" t="n">
        <v>0</v>
      </c>
      <c r="M708" t="n">
        <v>0</v>
      </c>
      <c r="N708" t="n">
        <v>0</v>
      </c>
      <c r="O708" t="n">
        <v>0</v>
      </c>
      <c r="P708" t="n">
        <v>0</v>
      </c>
      <c r="Q708" t="n">
        <v>0</v>
      </c>
      <c r="R708" s="2" t="inlineStr"/>
    </row>
    <row r="709" ht="15" customHeight="1">
      <c r="A709" t="inlineStr">
        <is>
          <t>A 44180-2023</t>
        </is>
      </c>
      <c r="B709" s="1" t="n">
        <v>45183</v>
      </c>
      <c r="C709" s="1" t="n">
        <v>45965</v>
      </c>
      <c r="D709" t="inlineStr">
        <is>
          <t>VÄSTERNORRLANDS LÄN</t>
        </is>
      </c>
      <c r="E709" t="inlineStr">
        <is>
          <t>ÅNGE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16576-2023</t>
        </is>
      </c>
      <c r="B710" s="1" t="n">
        <v>45029.94251157407</v>
      </c>
      <c r="C710" s="1" t="n">
        <v>45965</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9759-2024</t>
        </is>
      </c>
      <c r="B711" s="1" t="n">
        <v>45362</v>
      </c>
      <c r="C711" s="1" t="n">
        <v>45965</v>
      </c>
      <c r="D711" t="inlineStr">
        <is>
          <t>VÄSTERNORRLANDS LÄN</t>
        </is>
      </c>
      <c r="E711" t="inlineStr">
        <is>
          <t>ÅNGE</t>
        </is>
      </c>
      <c r="G711" t="n">
        <v>2.5</v>
      </c>
      <c r="H711" t="n">
        <v>0</v>
      </c>
      <c r="I711" t="n">
        <v>0</v>
      </c>
      <c r="J711" t="n">
        <v>0</v>
      </c>
      <c r="K711" t="n">
        <v>0</v>
      </c>
      <c r="L711" t="n">
        <v>0</v>
      </c>
      <c r="M711" t="n">
        <v>0</v>
      </c>
      <c r="N711" t="n">
        <v>0</v>
      </c>
      <c r="O711" t="n">
        <v>0</v>
      </c>
      <c r="P711" t="n">
        <v>0</v>
      </c>
      <c r="Q711" t="n">
        <v>0</v>
      </c>
      <c r="R711" s="2" t="inlineStr"/>
    </row>
    <row r="712" ht="15" customHeight="1">
      <c r="A712" t="inlineStr">
        <is>
          <t>A 37503-2023</t>
        </is>
      </c>
      <c r="B712" s="1" t="n">
        <v>45157.5796875</v>
      </c>
      <c r="C712" s="1" t="n">
        <v>45965</v>
      </c>
      <c r="D712" t="inlineStr">
        <is>
          <t>VÄSTERNORRLANDS LÄN</t>
        </is>
      </c>
      <c r="E712" t="inlineStr">
        <is>
          <t>ÅNGE</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5197-2025</t>
        </is>
      </c>
      <c r="B713" s="1" t="n">
        <v>45691.65701388889</v>
      </c>
      <c r="C713" s="1" t="n">
        <v>45965</v>
      </c>
      <c r="D713" t="inlineStr">
        <is>
          <t>VÄSTERNORRLANDS LÄN</t>
        </is>
      </c>
      <c r="E713" t="inlineStr">
        <is>
          <t>ÅNGE</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5246-2025</t>
        </is>
      </c>
      <c r="B714" s="1" t="n">
        <v>45692.34427083333</v>
      </c>
      <c r="C714" s="1" t="n">
        <v>45965</v>
      </c>
      <c r="D714" t="inlineStr">
        <is>
          <t>VÄSTERNORRLANDS LÄN</t>
        </is>
      </c>
      <c r="E714" t="inlineStr">
        <is>
          <t>ÅNGE</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3323-2023</t>
        </is>
      </c>
      <c r="B715" s="1" t="n">
        <v>44945</v>
      </c>
      <c r="C715" s="1" t="n">
        <v>45965</v>
      </c>
      <c r="D715" t="inlineStr">
        <is>
          <t>VÄSTERNORRLANDS LÄN</t>
        </is>
      </c>
      <c r="E715" t="inlineStr">
        <is>
          <t>ÅNGE</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41829-2021</t>
        </is>
      </c>
      <c r="B716" s="1" t="n">
        <v>44425.92202546296</v>
      </c>
      <c r="C716" s="1" t="n">
        <v>45965</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42953-2024</t>
        </is>
      </c>
      <c r="B717" s="1" t="n">
        <v>45567</v>
      </c>
      <c r="C717" s="1" t="n">
        <v>45965</v>
      </c>
      <c r="D717" t="inlineStr">
        <is>
          <t>VÄSTERNORRLANDS LÄN</t>
        </is>
      </c>
      <c r="E717" t="inlineStr">
        <is>
          <t>ÅNGE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42968-2024</t>
        </is>
      </c>
      <c r="B718" s="1" t="n">
        <v>45567</v>
      </c>
      <c r="C718" s="1" t="n">
        <v>45965</v>
      </c>
      <c r="D718" t="inlineStr">
        <is>
          <t>VÄSTERNORRLANDS LÄN</t>
        </is>
      </c>
      <c r="E718" t="inlineStr">
        <is>
          <t>ÅNGE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51377-2024</t>
        </is>
      </c>
      <c r="B719" s="1" t="n">
        <v>45604.38142361111</v>
      </c>
      <c r="C719" s="1" t="n">
        <v>45965</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60860-2022</t>
        </is>
      </c>
      <c r="B720" s="1" t="n">
        <v>44914</v>
      </c>
      <c r="C720" s="1" t="n">
        <v>45965</v>
      </c>
      <c r="D720" t="inlineStr">
        <is>
          <t>VÄSTERNORRLANDS LÄN</t>
        </is>
      </c>
      <c r="E720" t="inlineStr">
        <is>
          <t>ÅNGE</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50612-2024</t>
        </is>
      </c>
      <c r="B721" s="1" t="n">
        <v>45601</v>
      </c>
      <c r="C721" s="1" t="n">
        <v>45965</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13491-2023</t>
        </is>
      </c>
      <c r="B722" s="1" t="n">
        <v>45005.93929398148</v>
      </c>
      <c r="C722" s="1" t="n">
        <v>45965</v>
      </c>
      <c r="D722" t="inlineStr">
        <is>
          <t>VÄSTERNORRLANDS LÄN</t>
        </is>
      </c>
      <c r="E722" t="inlineStr">
        <is>
          <t>ÅNGE</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47243-2024</t>
        </is>
      </c>
      <c r="B723" s="1" t="n">
        <v>45586.6987962963</v>
      </c>
      <c r="C723" s="1" t="n">
        <v>45965</v>
      </c>
      <c r="D723" t="inlineStr">
        <is>
          <t>VÄSTERNORRLANDS LÄN</t>
        </is>
      </c>
      <c r="E723" t="inlineStr">
        <is>
          <t>ÅNGE</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57286-2022</t>
        </is>
      </c>
      <c r="B724" s="1" t="n">
        <v>44895.94991898148</v>
      </c>
      <c r="C724" s="1" t="n">
        <v>45965</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16572-2023</t>
        </is>
      </c>
      <c r="B725" s="1" t="n">
        <v>45029.94224537037</v>
      </c>
      <c r="C725" s="1" t="n">
        <v>45965</v>
      </c>
      <c r="D725" t="inlineStr">
        <is>
          <t>VÄSTERNORRLANDS LÄN</t>
        </is>
      </c>
      <c r="E725" t="inlineStr">
        <is>
          <t>ÅNGE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16365-2023</t>
        </is>
      </c>
      <c r="B726" s="1" t="n">
        <v>45028</v>
      </c>
      <c r="C726" s="1" t="n">
        <v>45965</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37540-2024</t>
        </is>
      </c>
      <c r="B727" s="1" t="n">
        <v>45541.42111111111</v>
      </c>
      <c r="C727" s="1" t="n">
        <v>45965</v>
      </c>
      <c r="D727" t="inlineStr">
        <is>
          <t>VÄSTERNORRLANDS LÄN</t>
        </is>
      </c>
      <c r="E727" t="inlineStr">
        <is>
          <t>ÅNGE</t>
        </is>
      </c>
      <c r="G727" t="n">
        <v>0.5</v>
      </c>
      <c r="H727" t="n">
        <v>0</v>
      </c>
      <c r="I727" t="n">
        <v>0</v>
      </c>
      <c r="J727" t="n">
        <v>0</v>
      </c>
      <c r="K727" t="n">
        <v>0</v>
      </c>
      <c r="L727" t="n">
        <v>0</v>
      </c>
      <c r="M727" t="n">
        <v>0</v>
      </c>
      <c r="N727" t="n">
        <v>0</v>
      </c>
      <c r="O727" t="n">
        <v>0</v>
      </c>
      <c r="P727" t="n">
        <v>0</v>
      </c>
      <c r="Q727" t="n">
        <v>0</v>
      </c>
      <c r="R727" s="2" t="inlineStr"/>
    </row>
    <row r="728" ht="15" customHeight="1">
      <c r="A728" t="inlineStr">
        <is>
          <t>A 42948-2024</t>
        </is>
      </c>
      <c r="B728" s="1" t="n">
        <v>45567.36628472222</v>
      </c>
      <c r="C728" s="1" t="n">
        <v>45965</v>
      </c>
      <c r="D728" t="inlineStr">
        <is>
          <t>VÄSTERNORRLANDS LÄN</t>
        </is>
      </c>
      <c r="E728" t="inlineStr">
        <is>
          <t>ÅNGE</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24063-2023</t>
        </is>
      </c>
      <c r="B729" s="1" t="n">
        <v>45078.94140046297</v>
      </c>
      <c r="C729" s="1" t="n">
        <v>45965</v>
      </c>
      <c r="D729" t="inlineStr">
        <is>
          <t>VÄSTERNORRLANDS LÄN</t>
        </is>
      </c>
      <c r="E729" t="inlineStr">
        <is>
          <t>ÅNGE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42100-2023</t>
        </is>
      </c>
      <c r="B730" s="1" t="n">
        <v>45174</v>
      </c>
      <c r="C730" s="1" t="n">
        <v>45965</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51411-2023</t>
        </is>
      </c>
      <c r="B731" s="1" t="n">
        <v>45219</v>
      </c>
      <c r="C731" s="1" t="n">
        <v>45965</v>
      </c>
      <c r="D731" t="inlineStr">
        <is>
          <t>VÄSTERNORRLANDS LÄN</t>
        </is>
      </c>
      <c r="E731" t="inlineStr">
        <is>
          <t>ÅNGE</t>
        </is>
      </c>
      <c r="G731" t="n">
        <v>2.5</v>
      </c>
      <c r="H731" t="n">
        <v>0</v>
      </c>
      <c r="I731" t="n">
        <v>0</v>
      </c>
      <c r="J731" t="n">
        <v>0</v>
      </c>
      <c r="K731" t="n">
        <v>0</v>
      </c>
      <c r="L731" t="n">
        <v>0</v>
      </c>
      <c r="M731" t="n">
        <v>0</v>
      </c>
      <c r="N731" t="n">
        <v>0</v>
      </c>
      <c r="O731" t="n">
        <v>0</v>
      </c>
      <c r="P731" t="n">
        <v>0</v>
      </c>
      <c r="Q731" t="n">
        <v>0</v>
      </c>
      <c r="R731" s="2" t="inlineStr"/>
    </row>
    <row r="732" ht="15" customHeight="1">
      <c r="A732" t="inlineStr">
        <is>
          <t>A 1869-2022</t>
        </is>
      </c>
      <c r="B732" s="1" t="n">
        <v>44574</v>
      </c>
      <c r="C732" s="1" t="n">
        <v>45965</v>
      </c>
      <c r="D732" t="inlineStr">
        <is>
          <t>VÄSTERNORRLANDS LÄN</t>
        </is>
      </c>
      <c r="E732" t="inlineStr">
        <is>
          <t>ÅNGE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10087-2023</t>
        </is>
      </c>
      <c r="B733" s="1" t="n">
        <v>44985</v>
      </c>
      <c r="C733" s="1" t="n">
        <v>45965</v>
      </c>
      <c r="D733" t="inlineStr">
        <is>
          <t>VÄSTERNORRLANDS LÄN</t>
        </is>
      </c>
      <c r="E733" t="inlineStr">
        <is>
          <t>ÅNGE</t>
        </is>
      </c>
      <c r="F733" t="inlineStr">
        <is>
          <t>SCA</t>
        </is>
      </c>
      <c r="G733" t="n">
        <v>7.9</v>
      </c>
      <c r="H733" t="n">
        <v>0</v>
      </c>
      <c r="I733" t="n">
        <v>0</v>
      </c>
      <c r="J733" t="n">
        <v>0</v>
      </c>
      <c r="K733" t="n">
        <v>0</v>
      </c>
      <c r="L733" t="n">
        <v>0</v>
      </c>
      <c r="M733" t="n">
        <v>0</v>
      </c>
      <c r="N733" t="n">
        <v>0</v>
      </c>
      <c r="O733" t="n">
        <v>0</v>
      </c>
      <c r="P733" t="n">
        <v>0</v>
      </c>
      <c r="Q733" t="n">
        <v>0</v>
      </c>
      <c r="R733" s="2" t="inlineStr"/>
    </row>
    <row r="734" ht="15" customHeight="1">
      <c r="A734" t="inlineStr">
        <is>
          <t>A 27682-2023</t>
        </is>
      </c>
      <c r="B734" s="1" t="n">
        <v>45097.93758101852</v>
      </c>
      <c r="C734" s="1" t="n">
        <v>45965</v>
      </c>
      <c r="D734" t="inlineStr">
        <is>
          <t>VÄSTERNORRLANDS LÄN</t>
        </is>
      </c>
      <c r="E734" t="inlineStr">
        <is>
          <t>ÅNGE</t>
        </is>
      </c>
      <c r="F734" t="inlineStr">
        <is>
          <t>SCA</t>
        </is>
      </c>
      <c r="G734" t="n">
        <v>3.9</v>
      </c>
      <c r="H734" t="n">
        <v>0</v>
      </c>
      <c r="I734" t="n">
        <v>0</v>
      </c>
      <c r="J734" t="n">
        <v>0</v>
      </c>
      <c r="K734" t="n">
        <v>0</v>
      </c>
      <c r="L734" t="n">
        <v>0</v>
      </c>
      <c r="M734" t="n">
        <v>0</v>
      </c>
      <c r="N734" t="n">
        <v>0</v>
      </c>
      <c r="O734" t="n">
        <v>0</v>
      </c>
      <c r="P734" t="n">
        <v>0</v>
      </c>
      <c r="Q734" t="n">
        <v>0</v>
      </c>
      <c r="R734" s="2" t="inlineStr"/>
    </row>
    <row r="735" ht="15" customHeight="1">
      <c r="A735" t="inlineStr">
        <is>
          <t>A 46267-2025</t>
        </is>
      </c>
      <c r="B735" s="1" t="n">
        <v>45925.36578703704</v>
      </c>
      <c r="C735" s="1" t="n">
        <v>45965</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47488-2025</t>
        </is>
      </c>
      <c r="B736" s="1" t="n">
        <v>45930.69890046296</v>
      </c>
      <c r="C736" s="1" t="n">
        <v>45965</v>
      </c>
      <c r="D736" t="inlineStr">
        <is>
          <t>VÄSTERNORRLANDS LÄN</t>
        </is>
      </c>
      <c r="E736" t="inlineStr">
        <is>
          <t>ÅNGE</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54585-2024</t>
        </is>
      </c>
      <c r="B737" s="1" t="n">
        <v>45617.65762731482</v>
      </c>
      <c r="C737" s="1" t="n">
        <v>45965</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15404-2025</t>
        </is>
      </c>
      <c r="B738" s="1" t="n">
        <v>45747.44665509259</v>
      </c>
      <c r="C738" s="1" t="n">
        <v>45965</v>
      </c>
      <c r="D738" t="inlineStr">
        <is>
          <t>VÄSTERNORRLANDS LÄN</t>
        </is>
      </c>
      <c r="E738" t="inlineStr">
        <is>
          <t>ÅNGE</t>
        </is>
      </c>
      <c r="G738" t="n">
        <v>11.8</v>
      </c>
      <c r="H738" t="n">
        <v>0</v>
      </c>
      <c r="I738" t="n">
        <v>0</v>
      </c>
      <c r="J738" t="n">
        <v>0</v>
      </c>
      <c r="K738" t="n">
        <v>0</v>
      </c>
      <c r="L738" t="n">
        <v>0</v>
      </c>
      <c r="M738" t="n">
        <v>0</v>
      </c>
      <c r="N738" t="n">
        <v>0</v>
      </c>
      <c r="O738" t="n">
        <v>0</v>
      </c>
      <c r="P738" t="n">
        <v>0</v>
      </c>
      <c r="Q738" t="n">
        <v>0</v>
      </c>
      <c r="R738" s="2" t="inlineStr"/>
    </row>
    <row r="739" ht="15" customHeight="1">
      <c r="A739" t="inlineStr">
        <is>
          <t>A 65149-2020</t>
        </is>
      </c>
      <c r="B739" s="1" t="n">
        <v>44172</v>
      </c>
      <c r="C739" s="1" t="n">
        <v>45965</v>
      </c>
      <c r="D739" t="inlineStr">
        <is>
          <t>VÄSTERNORRLANDS LÄN</t>
        </is>
      </c>
      <c r="E739" t="inlineStr">
        <is>
          <t>ÅNGE</t>
        </is>
      </c>
      <c r="G739" t="n">
        <v>9.5</v>
      </c>
      <c r="H739" t="n">
        <v>0</v>
      </c>
      <c r="I739" t="n">
        <v>0</v>
      </c>
      <c r="J739" t="n">
        <v>0</v>
      </c>
      <c r="K739" t="n">
        <v>0</v>
      </c>
      <c r="L739" t="n">
        <v>0</v>
      </c>
      <c r="M739" t="n">
        <v>0</v>
      </c>
      <c r="N739" t="n">
        <v>0</v>
      </c>
      <c r="O739" t="n">
        <v>0</v>
      </c>
      <c r="P739" t="n">
        <v>0</v>
      </c>
      <c r="Q739" t="n">
        <v>0</v>
      </c>
      <c r="R739" s="2" t="inlineStr"/>
    </row>
    <row r="740" ht="15" customHeight="1">
      <c r="A740" t="inlineStr">
        <is>
          <t>A 17703-2025</t>
        </is>
      </c>
      <c r="B740" s="1" t="n">
        <v>45758.4275462963</v>
      </c>
      <c r="C740" s="1" t="n">
        <v>45965</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38795-2023</t>
        </is>
      </c>
      <c r="B741" s="1" t="n">
        <v>45162</v>
      </c>
      <c r="C741" s="1" t="n">
        <v>45965</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35979-2023</t>
        </is>
      </c>
      <c r="B742" s="1" t="n">
        <v>45148</v>
      </c>
      <c r="C742" s="1" t="n">
        <v>45965</v>
      </c>
      <c r="D742" t="inlineStr">
        <is>
          <t>VÄSTERNORRLANDS LÄN</t>
        </is>
      </c>
      <c r="E742" t="inlineStr">
        <is>
          <t>ÅNGE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4095-2023</t>
        </is>
      </c>
      <c r="B743" s="1" t="n">
        <v>44952</v>
      </c>
      <c r="C743" s="1" t="n">
        <v>45965</v>
      </c>
      <c r="D743" t="inlineStr">
        <is>
          <t>VÄSTERNORRLANDS LÄN</t>
        </is>
      </c>
      <c r="E743" t="inlineStr">
        <is>
          <t>ÅNGE</t>
        </is>
      </c>
      <c r="G743" t="n">
        <v>13.4</v>
      </c>
      <c r="H743" t="n">
        <v>0</v>
      </c>
      <c r="I743" t="n">
        <v>0</v>
      </c>
      <c r="J743" t="n">
        <v>0</v>
      </c>
      <c r="K743" t="n">
        <v>0</v>
      </c>
      <c r="L743" t="n">
        <v>0</v>
      </c>
      <c r="M743" t="n">
        <v>0</v>
      </c>
      <c r="N743" t="n">
        <v>0</v>
      </c>
      <c r="O743" t="n">
        <v>0</v>
      </c>
      <c r="P743" t="n">
        <v>0</v>
      </c>
      <c r="Q743" t="n">
        <v>0</v>
      </c>
      <c r="R743" s="2" t="inlineStr"/>
    </row>
    <row r="744" ht="15" customHeight="1">
      <c r="A744" t="inlineStr">
        <is>
          <t>A 42529-2024</t>
        </is>
      </c>
      <c r="B744" s="1" t="n">
        <v>45565.57324074074</v>
      </c>
      <c r="C744" s="1" t="n">
        <v>45965</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5367-2022</t>
        </is>
      </c>
      <c r="B745" s="1" t="n">
        <v>44594.92111111111</v>
      </c>
      <c r="C745" s="1" t="n">
        <v>45965</v>
      </c>
      <c r="D745" t="inlineStr">
        <is>
          <t>VÄSTERNORRLANDS LÄN</t>
        </is>
      </c>
      <c r="E745" t="inlineStr">
        <is>
          <t>ÅNGE</t>
        </is>
      </c>
      <c r="G745" t="n">
        <v>1.4</v>
      </c>
      <c r="H745" t="n">
        <v>0</v>
      </c>
      <c r="I745" t="n">
        <v>0</v>
      </c>
      <c r="J745" t="n">
        <v>0</v>
      </c>
      <c r="K745" t="n">
        <v>0</v>
      </c>
      <c r="L745" t="n">
        <v>0</v>
      </c>
      <c r="M745" t="n">
        <v>0</v>
      </c>
      <c r="N745" t="n">
        <v>0</v>
      </c>
      <c r="O745" t="n">
        <v>0</v>
      </c>
      <c r="P745" t="n">
        <v>0</v>
      </c>
      <c r="Q745" t="n">
        <v>0</v>
      </c>
      <c r="R745" s="2" t="inlineStr"/>
    </row>
    <row r="746" ht="15" customHeight="1">
      <c r="A746" t="inlineStr">
        <is>
          <t>A 35582-2024</t>
        </is>
      </c>
      <c r="B746" s="1" t="n">
        <v>45531.64800925926</v>
      </c>
      <c r="C746" s="1" t="n">
        <v>45965</v>
      </c>
      <c r="D746" t="inlineStr">
        <is>
          <t>VÄSTERNORRLANDS LÄN</t>
        </is>
      </c>
      <c r="E746" t="inlineStr">
        <is>
          <t>ÅNGE</t>
        </is>
      </c>
      <c r="G746" t="n">
        <v>4.1</v>
      </c>
      <c r="H746" t="n">
        <v>0</v>
      </c>
      <c r="I746" t="n">
        <v>0</v>
      </c>
      <c r="J746" t="n">
        <v>0</v>
      </c>
      <c r="K746" t="n">
        <v>0</v>
      </c>
      <c r="L746" t="n">
        <v>0</v>
      </c>
      <c r="M746" t="n">
        <v>0</v>
      </c>
      <c r="N746" t="n">
        <v>0</v>
      </c>
      <c r="O746" t="n">
        <v>0</v>
      </c>
      <c r="P746" t="n">
        <v>0</v>
      </c>
      <c r="Q746" t="n">
        <v>0</v>
      </c>
      <c r="R746" s="2" t="inlineStr"/>
    </row>
    <row r="747" ht="15" customHeight="1">
      <c r="A747" t="inlineStr">
        <is>
          <t>A 36466-2024</t>
        </is>
      </c>
      <c r="B747" s="1" t="n">
        <v>45537.35872685185</v>
      </c>
      <c r="C747" s="1" t="n">
        <v>45965</v>
      </c>
      <c r="D747" t="inlineStr">
        <is>
          <t>VÄSTERNORRLANDS LÄN</t>
        </is>
      </c>
      <c r="E747" t="inlineStr">
        <is>
          <t>ÅNGE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3966-2025</t>
        </is>
      </c>
      <c r="B748" s="1" t="n">
        <v>45684.51072916666</v>
      </c>
      <c r="C748" s="1" t="n">
        <v>45965</v>
      </c>
      <c r="D748" t="inlineStr">
        <is>
          <t>VÄSTERNORRLANDS LÄN</t>
        </is>
      </c>
      <c r="E748" t="inlineStr">
        <is>
          <t>ÅNGE</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52785-2024</t>
        </is>
      </c>
      <c r="B749" s="1" t="n">
        <v>45610.55273148148</v>
      </c>
      <c r="C749" s="1" t="n">
        <v>45965</v>
      </c>
      <c r="D749" t="inlineStr">
        <is>
          <t>VÄSTERNORRLANDS LÄN</t>
        </is>
      </c>
      <c r="E749" t="inlineStr">
        <is>
          <t>ÅNGE</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52786-2024</t>
        </is>
      </c>
      <c r="B750" s="1" t="n">
        <v>45610.55283564814</v>
      </c>
      <c r="C750" s="1" t="n">
        <v>45965</v>
      </c>
      <c r="D750" t="inlineStr">
        <is>
          <t>VÄSTERNORRLANDS LÄN</t>
        </is>
      </c>
      <c r="E750" t="inlineStr">
        <is>
          <t>ÅNGE</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72239-2021</t>
        </is>
      </c>
      <c r="B751" s="1" t="n">
        <v>44544.9203587963</v>
      </c>
      <c r="C751" s="1" t="n">
        <v>45965</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54316-2024</t>
        </is>
      </c>
      <c r="B752" s="1" t="n">
        <v>45617.34443287037</v>
      </c>
      <c r="C752" s="1" t="n">
        <v>45965</v>
      </c>
      <c r="D752" t="inlineStr">
        <is>
          <t>VÄSTERNORRLANDS LÄN</t>
        </is>
      </c>
      <c r="E752" t="inlineStr">
        <is>
          <t>ÅNGE</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55882-2022</t>
        </is>
      </c>
      <c r="B753" s="1" t="n">
        <v>44888</v>
      </c>
      <c r="C753" s="1" t="n">
        <v>45965</v>
      </c>
      <c r="D753" t="inlineStr">
        <is>
          <t>VÄSTERNORRLANDS LÄN</t>
        </is>
      </c>
      <c r="E753" t="inlineStr">
        <is>
          <t>ÅNGE</t>
        </is>
      </c>
      <c r="G753" t="n">
        <v>2.7</v>
      </c>
      <c r="H753" t="n">
        <v>0</v>
      </c>
      <c r="I753" t="n">
        <v>0</v>
      </c>
      <c r="J753" t="n">
        <v>0</v>
      </c>
      <c r="K753" t="n">
        <v>0</v>
      </c>
      <c r="L753" t="n">
        <v>0</v>
      </c>
      <c r="M753" t="n">
        <v>0</v>
      </c>
      <c r="N753" t="n">
        <v>0</v>
      </c>
      <c r="O753" t="n">
        <v>0</v>
      </c>
      <c r="P753" t="n">
        <v>0</v>
      </c>
      <c r="Q753" t="n">
        <v>0</v>
      </c>
      <c r="R753" s="2" t="inlineStr"/>
    </row>
    <row r="754" ht="15" customHeight="1">
      <c r="A754" t="inlineStr">
        <is>
          <t>A 48787-2024</t>
        </is>
      </c>
      <c r="B754" s="1" t="n">
        <v>45593.63888888889</v>
      </c>
      <c r="C754" s="1" t="n">
        <v>45965</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58939-2021</t>
        </is>
      </c>
      <c r="B755" s="1" t="n">
        <v>44489</v>
      </c>
      <c r="C755" s="1" t="n">
        <v>45965</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4186-2025</t>
        </is>
      </c>
      <c r="B756" s="1" t="n">
        <v>45685.44827546296</v>
      </c>
      <c r="C756" s="1" t="n">
        <v>45965</v>
      </c>
      <c r="D756" t="inlineStr">
        <is>
          <t>VÄSTERNORRLANDS LÄN</t>
        </is>
      </c>
      <c r="E756" t="inlineStr">
        <is>
          <t>ÅNGE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42969-2024</t>
        </is>
      </c>
      <c r="B757" s="1" t="n">
        <v>45567.37300925926</v>
      </c>
      <c r="C757" s="1" t="n">
        <v>45965</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52683-2024</t>
        </is>
      </c>
      <c r="B758" s="1" t="n">
        <v>45610</v>
      </c>
      <c r="C758" s="1" t="n">
        <v>45965</v>
      </c>
      <c r="D758" t="inlineStr">
        <is>
          <t>VÄSTERNORRLANDS LÄN</t>
        </is>
      </c>
      <c r="E758" t="inlineStr">
        <is>
          <t>ÅNGE</t>
        </is>
      </c>
      <c r="G758" t="n">
        <v>1.8</v>
      </c>
      <c r="H758" t="n">
        <v>0</v>
      </c>
      <c r="I758" t="n">
        <v>0</v>
      </c>
      <c r="J758" t="n">
        <v>0</v>
      </c>
      <c r="K758" t="n">
        <v>0</v>
      </c>
      <c r="L758" t="n">
        <v>0</v>
      </c>
      <c r="M758" t="n">
        <v>0</v>
      </c>
      <c r="N758" t="n">
        <v>0</v>
      </c>
      <c r="O758" t="n">
        <v>0</v>
      </c>
      <c r="P758" t="n">
        <v>0</v>
      </c>
      <c r="Q758" t="n">
        <v>0</v>
      </c>
      <c r="R758" s="2" t="inlineStr"/>
    </row>
    <row r="759" ht="15" customHeight="1">
      <c r="A759" t="inlineStr">
        <is>
          <t>A 37558-2023</t>
        </is>
      </c>
      <c r="B759" s="1" t="n">
        <v>45159.34511574074</v>
      </c>
      <c r="C759" s="1" t="n">
        <v>45965</v>
      </c>
      <c r="D759" t="inlineStr">
        <is>
          <t>VÄSTERNORRLANDS LÄN</t>
        </is>
      </c>
      <c r="E759" t="inlineStr">
        <is>
          <t>ÅNGE</t>
        </is>
      </c>
      <c r="F759" t="inlineStr">
        <is>
          <t>Kyrkan</t>
        </is>
      </c>
      <c r="G759" t="n">
        <v>5.6</v>
      </c>
      <c r="H759" t="n">
        <v>0</v>
      </c>
      <c r="I759" t="n">
        <v>0</v>
      </c>
      <c r="J759" t="n">
        <v>0</v>
      </c>
      <c r="K759" t="n">
        <v>0</v>
      </c>
      <c r="L759" t="n">
        <v>0</v>
      </c>
      <c r="M759" t="n">
        <v>0</v>
      </c>
      <c r="N759" t="n">
        <v>0</v>
      </c>
      <c r="O759" t="n">
        <v>0</v>
      </c>
      <c r="P759" t="n">
        <v>0</v>
      </c>
      <c r="Q759" t="n">
        <v>0</v>
      </c>
      <c r="R759" s="2" t="inlineStr"/>
    </row>
    <row r="760" ht="15" customHeight="1">
      <c r="A760" t="inlineStr">
        <is>
          <t>A 53209-2024</t>
        </is>
      </c>
      <c r="B760" s="1" t="n">
        <v>45612.51079861111</v>
      </c>
      <c r="C760" s="1" t="n">
        <v>45965</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34852-2023</t>
        </is>
      </c>
      <c r="B761" s="1" t="n">
        <v>45141</v>
      </c>
      <c r="C761" s="1" t="n">
        <v>45965</v>
      </c>
      <c r="D761" t="inlineStr">
        <is>
          <t>VÄSTERNORRLANDS LÄN</t>
        </is>
      </c>
      <c r="E761" t="inlineStr">
        <is>
          <t>ÅNGE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46249-2024</t>
        </is>
      </c>
      <c r="B762" s="1" t="n">
        <v>45581.59409722222</v>
      </c>
      <c r="C762" s="1" t="n">
        <v>45965</v>
      </c>
      <c r="D762" t="inlineStr">
        <is>
          <t>VÄSTERNORRLANDS LÄN</t>
        </is>
      </c>
      <c r="E762" t="inlineStr">
        <is>
          <t>ÅNGE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15778-2025</t>
        </is>
      </c>
      <c r="B763" s="1" t="n">
        <v>45748.60030092593</v>
      </c>
      <c r="C763" s="1" t="n">
        <v>45965</v>
      </c>
      <c r="D763" t="inlineStr">
        <is>
          <t>VÄSTERNORRLANDS LÄN</t>
        </is>
      </c>
      <c r="E763" t="inlineStr">
        <is>
          <t>ÅNGE</t>
        </is>
      </c>
      <c r="F763" t="inlineStr">
        <is>
          <t>SCA</t>
        </is>
      </c>
      <c r="G763" t="n">
        <v>13.6</v>
      </c>
      <c r="H763" t="n">
        <v>0</v>
      </c>
      <c r="I763" t="n">
        <v>0</v>
      </c>
      <c r="J763" t="n">
        <v>0</v>
      </c>
      <c r="K763" t="n">
        <v>0</v>
      </c>
      <c r="L763" t="n">
        <v>0</v>
      </c>
      <c r="M763" t="n">
        <v>0</v>
      </c>
      <c r="N763" t="n">
        <v>0</v>
      </c>
      <c r="O763" t="n">
        <v>0</v>
      </c>
      <c r="P763" t="n">
        <v>0</v>
      </c>
      <c r="Q763" t="n">
        <v>0</v>
      </c>
      <c r="R763" s="2" t="inlineStr"/>
    </row>
    <row r="764" ht="15" customHeight="1">
      <c r="A764" t="inlineStr">
        <is>
          <t>A 19798-2025</t>
        </is>
      </c>
      <c r="B764" s="1" t="n">
        <v>45771.44824074074</v>
      </c>
      <c r="C764" s="1" t="n">
        <v>45965</v>
      </c>
      <c r="D764" t="inlineStr">
        <is>
          <t>VÄSTERNORRLANDS LÄN</t>
        </is>
      </c>
      <c r="E764" t="inlineStr">
        <is>
          <t>ÅNGE</t>
        </is>
      </c>
      <c r="F764" t="inlineStr">
        <is>
          <t>SCA</t>
        </is>
      </c>
      <c r="G764" t="n">
        <v>4.8</v>
      </c>
      <c r="H764" t="n">
        <v>0</v>
      </c>
      <c r="I764" t="n">
        <v>0</v>
      </c>
      <c r="J764" t="n">
        <v>0</v>
      </c>
      <c r="K764" t="n">
        <v>0</v>
      </c>
      <c r="L764" t="n">
        <v>0</v>
      </c>
      <c r="M764" t="n">
        <v>0</v>
      </c>
      <c r="N764" t="n">
        <v>0</v>
      </c>
      <c r="O764" t="n">
        <v>0</v>
      </c>
      <c r="P764" t="n">
        <v>0</v>
      </c>
      <c r="Q764" t="n">
        <v>0</v>
      </c>
      <c r="R764" s="2" t="inlineStr"/>
    </row>
    <row r="765" ht="15" customHeight="1">
      <c r="A765" t="inlineStr">
        <is>
          <t>A 17718-2025</t>
        </is>
      </c>
      <c r="B765" s="1" t="n">
        <v>45758.44815972223</v>
      </c>
      <c r="C765" s="1" t="n">
        <v>45965</v>
      </c>
      <c r="D765" t="inlineStr">
        <is>
          <t>VÄSTERNORRLANDS LÄN</t>
        </is>
      </c>
      <c r="E765" t="inlineStr">
        <is>
          <t>ÅNGE</t>
        </is>
      </c>
      <c r="G765" t="n">
        <v>5.1</v>
      </c>
      <c r="H765" t="n">
        <v>0</v>
      </c>
      <c r="I765" t="n">
        <v>0</v>
      </c>
      <c r="J765" t="n">
        <v>0</v>
      </c>
      <c r="K765" t="n">
        <v>0</v>
      </c>
      <c r="L765" t="n">
        <v>0</v>
      </c>
      <c r="M765" t="n">
        <v>0</v>
      </c>
      <c r="N765" t="n">
        <v>0</v>
      </c>
      <c r="O765" t="n">
        <v>0</v>
      </c>
      <c r="P765" t="n">
        <v>0</v>
      </c>
      <c r="Q765" t="n">
        <v>0</v>
      </c>
      <c r="R765" s="2" t="inlineStr"/>
    </row>
    <row r="766" ht="15" customHeight="1">
      <c r="A766" t="inlineStr">
        <is>
          <t>A 46897-2025</t>
        </is>
      </c>
      <c r="B766" s="1" t="n">
        <v>45929.38597222222</v>
      </c>
      <c r="C766" s="1" t="n">
        <v>45965</v>
      </c>
      <c r="D766" t="inlineStr">
        <is>
          <t>VÄSTERNORRLANDS LÄN</t>
        </is>
      </c>
      <c r="E766" t="inlineStr">
        <is>
          <t>ÅNGE</t>
        </is>
      </c>
      <c r="G766" t="n">
        <v>10.6</v>
      </c>
      <c r="H766" t="n">
        <v>0</v>
      </c>
      <c r="I766" t="n">
        <v>0</v>
      </c>
      <c r="J766" t="n">
        <v>0</v>
      </c>
      <c r="K766" t="n">
        <v>0</v>
      </c>
      <c r="L766" t="n">
        <v>0</v>
      </c>
      <c r="M766" t="n">
        <v>0</v>
      </c>
      <c r="N766" t="n">
        <v>0</v>
      </c>
      <c r="O766" t="n">
        <v>0</v>
      </c>
      <c r="P766" t="n">
        <v>0</v>
      </c>
      <c r="Q766" t="n">
        <v>0</v>
      </c>
      <c r="R766" s="2" t="inlineStr"/>
    </row>
    <row r="767" ht="15" customHeight="1">
      <c r="A767" t="inlineStr">
        <is>
          <t>A 47196-2025</t>
        </is>
      </c>
      <c r="B767" s="1" t="n">
        <v>45930.34520833333</v>
      </c>
      <c r="C767" s="1" t="n">
        <v>45965</v>
      </c>
      <c r="D767" t="inlineStr">
        <is>
          <t>VÄSTERNORRLANDS LÄN</t>
        </is>
      </c>
      <c r="E767" t="inlineStr">
        <is>
          <t>ÅNGE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10558-2023</t>
        </is>
      </c>
      <c r="B768" s="1" t="n">
        <v>44987.94438657408</v>
      </c>
      <c r="C768" s="1" t="n">
        <v>45965</v>
      </c>
      <c r="D768" t="inlineStr">
        <is>
          <t>VÄSTERNORRLANDS LÄN</t>
        </is>
      </c>
      <c r="E768" t="inlineStr">
        <is>
          <t>ÅNGE</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49487-2024</t>
        </is>
      </c>
      <c r="B769" s="1" t="n">
        <v>45596.35813657408</v>
      </c>
      <c r="C769" s="1" t="n">
        <v>45965</v>
      </c>
      <c r="D769" t="inlineStr">
        <is>
          <t>VÄSTERNORRLANDS LÄN</t>
        </is>
      </c>
      <c r="E769" t="inlineStr">
        <is>
          <t>ÅNGE</t>
        </is>
      </c>
      <c r="G769" t="n">
        <v>4.3</v>
      </c>
      <c r="H769" t="n">
        <v>0</v>
      </c>
      <c r="I769" t="n">
        <v>0</v>
      </c>
      <c r="J769" t="n">
        <v>0</v>
      </c>
      <c r="K769" t="n">
        <v>0</v>
      </c>
      <c r="L769" t="n">
        <v>0</v>
      </c>
      <c r="M769" t="n">
        <v>0</v>
      </c>
      <c r="N769" t="n">
        <v>0</v>
      </c>
      <c r="O769" t="n">
        <v>0</v>
      </c>
      <c r="P769" t="n">
        <v>0</v>
      </c>
      <c r="Q769" t="n">
        <v>0</v>
      </c>
      <c r="R769" s="2" t="inlineStr"/>
    </row>
    <row r="770" ht="15" customHeight="1">
      <c r="A770" t="inlineStr">
        <is>
          <t>A 38272-2024</t>
        </is>
      </c>
      <c r="B770" s="1" t="n">
        <v>45545.60392361111</v>
      </c>
      <c r="C770" s="1" t="n">
        <v>45965</v>
      </c>
      <c r="D770" t="inlineStr">
        <is>
          <t>VÄSTERNORRLANDS LÄN</t>
        </is>
      </c>
      <c r="E770" t="inlineStr">
        <is>
          <t>ÅNGE</t>
        </is>
      </c>
      <c r="G770" t="n">
        <v>1.7</v>
      </c>
      <c r="H770" t="n">
        <v>0</v>
      </c>
      <c r="I770" t="n">
        <v>0</v>
      </c>
      <c r="J770" t="n">
        <v>0</v>
      </c>
      <c r="K770" t="n">
        <v>0</v>
      </c>
      <c r="L770" t="n">
        <v>0</v>
      </c>
      <c r="M770" t="n">
        <v>0</v>
      </c>
      <c r="N770" t="n">
        <v>0</v>
      </c>
      <c r="O770" t="n">
        <v>0</v>
      </c>
      <c r="P770" t="n">
        <v>0</v>
      </c>
      <c r="Q770" t="n">
        <v>0</v>
      </c>
      <c r="R770" s="2" t="inlineStr"/>
    </row>
    <row r="771" ht="15" customHeight="1">
      <c r="A771" t="inlineStr">
        <is>
          <t>A 38703-2025</t>
        </is>
      </c>
      <c r="B771" s="1" t="n">
        <v>45885.34440972222</v>
      </c>
      <c r="C771" s="1" t="n">
        <v>45965</v>
      </c>
      <c r="D771" t="inlineStr">
        <is>
          <t>VÄSTERNORRLANDS LÄN</t>
        </is>
      </c>
      <c r="E771" t="inlineStr">
        <is>
          <t>ÅNGE</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44606-2024</t>
        </is>
      </c>
      <c r="B772" s="1" t="n">
        <v>45574.51195601852</v>
      </c>
      <c r="C772" s="1" t="n">
        <v>45965</v>
      </c>
      <c r="D772" t="inlineStr">
        <is>
          <t>VÄSTERNORRLANDS LÄN</t>
        </is>
      </c>
      <c r="E772" t="inlineStr">
        <is>
          <t>ÅNGE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44626-2024</t>
        </is>
      </c>
      <c r="B773" s="1" t="n">
        <v>45574.51378472222</v>
      </c>
      <c r="C773" s="1" t="n">
        <v>45965</v>
      </c>
      <c r="D773" t="inlineStr">
        <is>
          <t>VÄSTERNORRLANDS LÄN</t>
        </is>
      </c>
      <c r="E773" t="inlineStr">
        <is>
          <t>ÅNGE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38246-2024</t>
        </is>
      </c>
      <c r="B774" s="1" t="n">
        <v>45545.57327546296</v>
      </c>
      <c r="C774" s="1" t="n">
        <v>45965</v>
      </c>
      <c r="D774" t="inlineStr">
        <is>
          <t>VÄSTERNORRLANDS LÄN</t>
        </is>
      </c>
      <c r="E774" t="inlineStr">
        <is>
          <t>ÅNGE</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47377-2025</t>
        </is>
      </c>
      <c r="B775" s="1" t="n">
        <v>45930.59469907408</v>
      </c>
      <c r="C775" s="1" t="n">
        <v>45965</v>
      </c>
      <c r="D775" t="inlineStr">
        <is>
          <t>VÄSTERNORRLANDS LÄN</t>
        </is>
      </c>
      <c r="E775" t="inlineStr">
        <is>
          <t>ÅNGE</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47440-2025</t>
        </is>
      </c>
      <c r="B776" s="1" t="n">
        <v>45930.63766203704</v>
      </c>
      <c r="C776" s="1" t="n">
        <v>45965</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26943-2024</t>
        </is>
      </c>
      <c r="B777" s="1" t="n">
        <v>45470</v>
      </c>
      <c r="C777" s="1" t="n">
        <v>45965</v>
      </c>
      <c r="D777" t="inlineStr">
        <is>
          <t>VÄSTERNORRLANDS LÄN</t>
        </is>
      </c>
      <c r="E777" t="inlineStr">
        <is>
          <t>ÅNGE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47118-2025</t>
        </is>
      </c>
      <c r="B778" s="1" t="n">
        <v>45929.67770833334</v>
      </c>
      <c r="C778" s="1" t="n">
        <v>45965</v>
      </c>
      <c r="D778" t="inlineStr">
        <is>
          <t>VÄSTERNORRLANDS LÄN</t>
        </is>
      </c>
      <c r="E778" t="inlineStr">
        <is>
          <t>ÅNGE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32051-2025</t>
        </is>
      </c>
      <c r="B779" s="1" t="n">
        <v>45835.44185185185</v>
      </c>
      <c r="C779" s="1" t="n">
        <v>45965</v>
      </c>
      <c r="D779" t="inlineStr">
        <is>
          <t>VÄSTERNORRLANDS LÄN</t>
        </is>
      </c>
      <c r="E779" t="inlineStr">
        <is>
          <t>ÅNGE</t>
        </is>
      </c>
      <c r="G779" t="n">
        <v>4</v>
      </c>
      <c r="H779" t="n">
        <v>0</v>
      </c>
      <c r="I779" t="n">
        <v>0</v>
      </c>
      <c r="J779" t="n">
        <v>0</v>
      </c>
      <c r="K779" t="n">
        <v>0</v>
      </c>
      <c r="L779" t="n">
        <v>0</v>
      </c>
      <c r="M779" t="n">
        <v>0</v>
      </c>
      <c r="N779" t="n">
        <v>0</v>
      </c>
      <c r="O779" t="n">
        <v>0</v>
      </c>
      <c r="P779" t="n">
        <v>0</v>
      </c>
      <c r="Q779" t="n">
        <v>0</v>
      </c>
      <c r="R779" s="2" t="inlineStr"/>
    </row>
    <row r="780" ht="15" customHeight="1">
      <c r="A780" t="inlineStr">
        <is>
          <t>A 46829-2025</t>
        </is>
      </c>
      <c r="B780" s="1" t="n">
        <v>45927.34513888889</v>
      </c>
      <c r="C780" s="1" t="n">
        <v>45965</v>
      </c>
      <c r="D780" t="inlineStr">
        <is>
          <t>VÄSTERNORRLANDS LÄN</t>
        </is>
      </c>
      <c r="E780" t="inlineStr">
        <is>
          <t>ÅNGE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16593-2023</t>
        </is>
      </c>
      <c r="B781" s="1" t="n">
        <v>45030</v>
      </c>
      <c r="C781" s="1" t="n">
        <v>45965</v>
      </c>
      <c r="D781" t="inlineStr">
        <is>
          <t>VÄSTERNORRLANDS LÄN</t>
        </is>
      </c>
      <c r="E781" t="inlineStr">
        <is>
          <t>ÅNGE</t>
        </is>
      </c>
      <c r="G781" t="n">
        <v>0.7</v>
      </c>
      <c r="H781" t="n">
        <v>0</v>
      </c>
      <c r="I781" t="n">
        <v>0</v>
      </c>
      <c r="J781" t="n">
        <v>0</v>
      </c>
      <c r="K781" t="n">
        <v>0</v>
      </c>
      <c r="L781" t="n">
        <v>0</v>
      </c>
      <c r="M781" t="n">
        <v>0</v>
      </c>
      <c r="N781" t="n">
        <v>0</v>
      </c>
      <c r="O781" t="n">
        <v>0</v>
      </c>
      <c r="P781" t="n">
        <v>0</v>
      </c>
      <c r="Q781" t="n">
        <v>0</v>
      </c>
      <c r="R781" s="2" t="inlineStr"/>
    </row>
    <row r="782" ht="15" customHeight="1">
      <c r="A782" t="inlineStr">
        <is>
          <t>A 16600-2023</t>
        </is>
      </c>
      <c r="B782" s="1" t="n">
        <v>45030</v>
      </c>
      <c r="C782" s="1" t="n">
        <v>45965</v>
      </c>
      <c r="D782" t="inlineStr">
        <is>
          <t>VÄSTERNORRLANDS LÄN</t>
        </is>
      </c>
      <c r="E782" t="inlineStr">
        <is>
          <t>ÅNGE</t>
        </is>
      </c>
      <c r="G782" t="n">
        <v>0.1</v>
      </c>
      <c r="H782" t="n">
        <v>0</v>
      </c>
      <c r="I782" t="n">
        <v>0</v>
      </c>
      <c r="J782" t="n">
        <v>0</v>
      </c>
      <c r="K782" t="n">
        <v>0</v>
      </c>
      <c r="L782" t="n">
        <v>0</v>
      </c>
      <c r="M782" t="n">
        <v>0</v>
      </c>
      <c r="N782" t="n">
        <v>0</v>
      </c>
      <c r="O782" t="n">
        <v>0</v>
      </c>
      <c r="P782" t="n">
        <v>0</v>
      </c>
      <c r="Q782" t="n">
        <v>0</v>
      </c>
      <c r="R782" s="2" t="inlineStr"/>
    </row>
    <row r="783" ht="15" customHeight="1">
      <c r="A783" t="inlineStr">
        <is>
          <t>A 53512-2023</t>
        </is>
      </c>
      <c r="B783" s="1" t="n">
        <v>45230</v>
      </c>
      <c r="C783" s="1" t="n">
        <v>45965</v>
      </c>
      <c r="D783" t="inlineStr">
        <is>
          <t>VÄSTERNORRLANDS LÄN</t>
        </is>
      </c>
      <c r="E783" t="inlineStr">
        <is>
          <t>ÅNGE</t>
        </is>
      </c>
      <c r="F783" t="inlineStr">
        <is>
          <t>Holmen skog AB</t>
        </is>
      </c>
      <c r="G783" t="n">
        <v>3</v>
      </c>
      <c r="H783" t="n">
        <v>0</v>
      </c>
      <c r="I783" t="n">
        <v>0</v>
      </c>
      <c r="J783" t="n">
        <v>0</v>
      </c>
      <c r="K783" t="n">
        <v>0</v>
      </c>
      <c r="L783" t="n">
        <v>0</v>
      </c>
      <c r="M783" t="n">
        <v>0</v>
      </c>
      <c r="N783" t="n">
        <v>0</v>
      </c>
      <c r="O783" t="n">
        <v>0</v>
      </c>
      <c r="P783" t="n">
        <v>0</v>
      </c>
      <c r="Q783" t="n">
        <v>0</v>
      </c>
      <c r="R783" s="2" t="inlineStr"/>
    </row>
    <row r="784" ht="15" customHeight="1">
      <c r="A784" t="inlineStr">
        <is>
          <t>A 20716-2025</t>
        </is>
      </c>
      <c r="B784" s="1" t="n">
        <v>45776.49026620371</v>
      </c>
      <c r="C784" s="1" t="n">
        <v>45965</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42488-2024</t>
        </is>
      </c>
      <c r="B785" s="1" t="n">
        <v>45565.49420138889</v>
      </c>
      <c r="C785" s="1" t="n">
        <v>45965</v>
      </c>
      <c r="D785" t="inlineStr">
        <is>
          <t>VÄSTERNORRLANDS LÄN</t>
        </is>
      </c>
      <c r="E785" t="inlineStr">
        <is>
          <t>ÅNGE</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35399-2024</t>
        </is>
      </c>
      <c r="B786" s="1" t="n">
        <v>45531.40438657408</v>
      </c>
      <c r="C786" s="1" t="n">
        <v>45965</v>
      </c>
      <c r="D786" t="inlineStr">
        <is>
          <t>VÄSTERNORRLANDS LÄN</t>
        </is>
      </c>
      <c r="E786" t="inlineStr">
        <is>
          <t>ÅNGE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61781-2023</t>
        </is>
      </c>
      <c r="B787" s="1" t="n">
        <v>45265.95708333333</v>
      </c>
      <c r="C787" s="1" t="n">
        <v>45965</v>
      </c>
      <c r="D787" t="inlineStr">
        <is>
          <t>VÄSTERNORRLANDS LÄN</t>
        </is>
      </c>
      <c r="E787" t="inlineStr">
        <is>
          <t>ÅNGE</t>
        </is>
      </c>
      <c r="F787" t="inlineStr">
        <is>
          <t>SCA</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39682-2024</t>
        </is>
      </c>
      <c r="B788" s="1" t="n">
        <v>45552</v>
      </c>
      <c r="C788" s="1" t="n">
        <v>45965</v>
      </c>
      <c r="D788" t="inlineStr">
        <is>
          <t>VÄSTERNORRLANDS LÄN</t>
        </is>
      </c>
      <c r="E788" t="inlineStr">
        <is>
          <t>ÅNGE</t>
        </is>
      </c>
      <c r="G788" t="n">
        <v>35.4</v>
      </c>
      <c r="H788" t="n">
        <v>0</v>
      </c>
      <c r="I788" t="n">
        <v>0</v>
      </c>
      <c r="J788" t="n">
        <v>0</v>
      </c>
      <c r="K788" t="n">
        <v>0</v>
      </c>
      <c r="L788" t="n">
        <v>0</v>
      </c>
      <c r="M788" t="n">
        <v>0</v>
      </c>
      <c r="N788" t="n">
        <v>0</v>
      </c>
      <c r="O788" t="n">
        <v>0</v>
      </c>
      <c r="P788" t="n">
        <v>0</v>
      </c>
      <c r="Q788" t="n">
        <v>0</v>
      </c>
      <c r="R788" s="2" t="inlineStr"/>
    </row>
    <row r="789" ht="15" customHeight="1">
      <c r="A789" t="inlineStr">
        <is>
          <t>A 17668-2023</t>
        </is>
      </c>
      <c r="B789" s="1" t="n">
        <v>45036</v>
      </c>
      <c r="C789" s="1" t="n">
        <v>45965</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49187-2024</t>
        </is>
      </c>
      <c r="B790" s="1" t="n">
        <v>45595.34490740741</v>
      </c>
      <c r="C790" s="1" t="n">
        <v>45965</v>
      </c>
      <c r="D790" t="inlineStr">
        <is>
          <t>VÄSTERNORRLANDS LÄN</t>
        </is>
      </c>
      <c r="E790" t="inlineStr">
        <is>
          <t>ÅNGE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28873-2024</t>
        </is>
      </c>
      <c r="B791" s="1" t="n">
        <v>45478.94766203704</v>
      </c>
      <c r="C791" s="1" t="n">
        <v>45965</v>
      </c>
      <c r="D791" t="inlineStr">
        <is>
          <t>VÄSTERNORRLANDS LÄN</t>
        </is>
      </c>
      <c r="E791" t="inlineStr">
        <is>
          <t>ÅNGE</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20776-2025</t>
        </is>
      </c>
      <c r="B792" s="1" t="n">
        <v>45776.59410879629</v>
      </c>
      <c r="C792" s="1" t="n">
        <v>45965</v>
      </c>
      <c r="D792" t="inlineStr">
        <is>
          <t>VÄSTERNORRLANDS LÄN</t>
        </is>
      </c>
      <c r="E792" t="inlineStr">
        <is>
          <t>ÅNGE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8406-2023</t>
        </is>
      </c>
      <c r="B793" s="1" t="n">
        <v>44971</v>
      </c>
      <c r="C793" s="1" t="n">
        <v>45965</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20718-2025</t>
        </is>
      </c>
      <c r="B794" s="1" t="n">
        <v>45776.49047453704</v>
      </c>
      <c r="C794" s="1" t="n">
        <v>45965</v>
      </c>
      <c r="D794" t="inlineStr">
        <is>
          <t>VÄSTERNORRLANDS LÄN</t>
        </is>
      </c>
      <c r="E794" t="inlineStr">
        <is>
          <t>ÅNGE</t>
        </is>
      </c>
      <c r="G794" t="n">
        <v>4.7</v>
      </c>
      <c r="H794" t="n">
        <v>0</v>
      </c>
      <c r="I794" t="n">
        <v>0</v>
      </c>
      <c r="J794" t="n">
        <v>0</v>
      </c>
      <c r="K794" t="n">
        <v>0</v>
      </c>
      <c r="L794" t="n">
        <v>0</v>
      </c>
      <c r="M794" t="n">
        <v>0</v>
      </c>
      <c r="N794" t="n">
        <v>0</v>
      </c>
      <c r="O794" t="n">
        <v>0</v>
      </c>
      <c r="P794" t="n">
        <v>0</v>
      </c>
      <c r="Q794" t="n">
        <v>0</v>
      </c>
      <c r="R794" s="2" t="inlineStr"/>
    </row>
    <row r="795" ht="15" customHeight="1">
      <c r="A795" t="inlineStr">
        <is>
          <t>A 31563-2024</t>
        </is>
      </c>
      <c r="B795" s="1" t="n">
        <v>45505</v>
      </c>
      <c r="C795" s="1" t="n">
        <v>45965</v>
      </c>
      <c r="D795" t="inlineStr">
        <is>
          <t>VÄSTERNORRLANDS LÄN</t>
        </is>
      </c>
      <c r="E795" t="inlineStr">
        <is>
          <t>ÅNGE</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4651-2022</t>
        </is>
      </c>
      <c r="B796" s="1" t="n">
        <v>44592</v>
      </c>
      <c r="C796" s="1" t="n">
        <v>45965</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45933-2023</t>
        </is>
      </c>
      <c r="B797" s="1" t="n">
        <v>45195</v>
      </c>
      <c r="C797" s="1" t="n">
        <v>45965</v>
      </c>
      <c r="D797" t="inlineStr">
        <is>
          <t>VÄSTERNORRLANDS LÄN</t>
        </is>
      </c>
      <c r="E797" t="inlineStr">
        <is>
          <t>ÅNGE</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57601-2022</t>
        </is>
      </c>
      <c r="B798" s="1" t="n">
        <v>44896</v>
      </c>
      <c r="C798" s="1" t="n">
        <v>45965</v>
      </c>
      <c r="D798" t="inlineStr">
        <is>
          <t>VÄSTERNORRLANDS LÄN</t>
        </is>
      </c>
      <c r="E798" t="inlineStr">
        <is>
          <t>ÅNGE</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20864-2025</t>
        </is>
      </c>
      <c r="B799" s="1" t="n">
        <v>45777.34417824074</v>
      </c>
      <c r="C799" s="1" t="n">
        <v>45965</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34705-2023</t>
        </is>
      </c>
      <c r="B800" s="1" t="n">
        <v>45140.96452546296</v>
      </c>
      <c r="C800" s="1" t="n">
        <v>45965</v>
      </c>
      <c r="D800" t="inlineStr">
        <is>
          <t>VÄSTERNORRLANDS LÄN</t>
        </is>
      </c>
      <c r="E800" t="inlineStr">
        <is>
          <t>ÅNGE</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34649-2024</t>
        </is>
      </c>
      <c r="B801" s="1" t="n">
        <v>45526.48325231481</v>
      </c>
      <c r="C801" s="1" t="n">
        <v>45965</v>
      </c>
      <c r="D801" t="inlineStr">
        <is>
          <t>VÄSTERNORRLANDS LÄN</t>
        </is>
      </c>
      <c r="E801" t="inlineStr">
        <is>
          <t>ÅNGE</t>
        </is>
      </c>
      <c r="G801" t="n">
        <v>1.2</v>
      </c>
      <c r="H801" t="n">
        <v>0</v>
      </c>
      <c r="I801" t="n">
        <v>0</v>
      </c>
      <c r="J801" t="n">
        <v>0</v>
      </c>
      <c r="K801" t="n">
        <v>0</v>
      </c>
      <c r="L801" t="n">
        <v>0</v>
      </c>
      <c r="M801" t="n">
        <v>0</v>
      </c>
      <c r="N801" t="n">
        <v>0</v>
      </c>
      <c r="O801" t="n">
        <v>0</v>
      </c>
      <c r="P801" t="n">
        <v>0</v>
      </c>
      <c r="Q801" t="n">
        <v>0</v>
      </c>
      <c r="R801" s="2" t="inlineStr"/>
    </row>
    <row r="802" ht="15" customHeight="1">
      <c r="A802" t="inlineStr">
        <is>
          <t>A 34750-2023</t>
        </is>
      </c>
      <c r="B802" s="1" t="n">
        <v>45139</v>
      </c>
      <c r="C802" s="1" t="n">
        <v>45965</v>
      </c>
      <c r="D802" t="inlineStr">
        <is>
          <t>VÄSTERNORRLANDS LÄN</t>
        </is>
      </c>
      <c r="E802" t="inlineStr">
        <is>
          <t>ÅNGE</t>
        </is>
      </c>
      <c r="G802" t="n">
        <v>2.9</v>
      </c>
      <c r="H802" t="n">
        <v>0</v>
      </c>
      <c r="I802" t="n">
        <v>0</v>
      </c>
      <c r="J802" t="n">
        <v>0</v>
      </c>
      <c r="K802" t="n">
        <v>0</v>
      </c>
      <c r="L802" t="n">
        <v>0</v>
      </c>
      <c r="M802" t="n">
        <v>0</v>
      </c>
      <c r="N802" t="n">
        <v>0</v>
      </c>
      <c r="O802" t="n">
        <v>0</v>
      </c>
      <c r="P802" t="n">
        <v>0</v>
      </c>
      <c r="Q802" t="n">
        <v>0</v>
      </c>
      <c r="R802" s="2" t="inlineStr"/>
    </row>
    <row r="803" ht="15" customHeight="1">
      <c r="A803" t="inlineStr">
        <is>
          <t>A 69790-2021</t>
        </is>
      </c>
      <c r="B803" s="1" t="n">
        <v>44532.605625</v>
      </c>
      <c r="C803" s="1" t="n">
        <v>45965</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3330-2025</t>
        </is>
      </c>
      <c r="B804" s="1" t="n">
        <v>45679.70041666667</v>
      </c>
      <c r="C804" s="1" t="n">
        <v>45965</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21068-2025</t>
        </is>
      </c>
      <c r="B805" s="1" t="n">
        <v>45777.59413194445</v>
      </c>
      <c r="C805" s="1" t="n">
        <v>45965</v>
      </c>
      <c r="D805" t="inlineStr">
        <is>
          <t>VÄSTERNORRLANDS LÄN</t>
        </is>
      </c>
      <c r="E805" t="inlineStr">
        <is>
          <t>ÅNGE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20868-2025</t>
        </is>
      </c>
      <c r="B806" s="1" t="n">
        <v>45777.34483796296</v>
      </c>
      <c r="C806" s="1" t="n">
        <v>45965</v>
      </c>
      <c r="D806" t="inlineStr">
        <is>
          <t>VÄSTERNORRLANDS LÄN</t>
        </is>
      </c>
      <c r="E806" t="inlineStr">
        <is>
          <t>ÅNGE</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21176-2025</t>
        </is>
      </c>
      <c r="B807" s="1" t="n">
        <v>45779.42798611111</v>
      </c>
      <c r="C807" s="1" t="n">
        <v>45965</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38711-2025</t>
        </is>
      </c>
      <c r="B808" s="1" t="n">
        <v>45886.34450231482</v>
      </c>
      <c r="C808" s="1" t="n">
        <v>45965</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21197-2025</t>
        </is>
      </c>
      <c r="B809" s="1" t="n">
        <v>45779.46949074074</v>
      </c>
      <c r="C809" s="1" t="n">
        <v>45965</v>
      </c>
      <c r="D809" t="inlineStr">
        <is>
          <t>VÄSTERNORRLANDS LÄN</t>
        </is>
      </c>
      <c r="E809" t="inlineStr">
        <is>
          <t>ÅNGE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38715-2025</t>
        </is>
      </c>
      <c r="B810" s="1" t="n">
        <v>45886.34501157407</v>
      </c>
      <c r="C810" s="1" t="n">
        <v>45965</v>
      </c>
      <c r="D810" t="inlineStr">
        <is>
          <t>VÄSTERNORRLANDS LÄN</t>
        </is>
      </c>
      <c r="E810" t="inlineStr">
        <is>
          <t>ÅNGE</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34679-2024</t>
        </is>
      </c>
      <c r="B811" s="1" t="n">
        <v>45526</v>
      </c>
      <c r="C811" s="1" t="n">
        <v>45965</v>
      </c>
      <c r="D811" t="inlineStr">
        <is>
          <t>VÄSTERNORRLANDS LÄN</t>
        </is>
      </c>
      <c r="E811" t="inlineStr">
        <is>
          <t>ÅNGE</t>
        </is>
      </c>
      <c r="G811" t="n">
        <v>1.4</v>
      </c>
      <c r="H811" t="n">
        <v>0</v>
      </c>
      <c r="I811" t="n">
        <v>0</v>
      </c>
      <c r="J811" t="n">
        <v>0</v>
      </c>
      <c r="K811" t="n">
        <v>0</v>
      </c>
      <c r="L811" t="n">
        <v>0</v>
      </c>
      <c r="M811" t="n">
        <v>0</v>
      </c>
      <c r="N811" t="n">
        <v>0</v>
      </c>
      <c r="O811" t="n">
        <v>0</v>
      </c>
      <c r="P811" t="n">
        <v>0</v>
      </c>
      <c r="Q811" t="n">
        <v>0</v>
      </c>
      <c r="R811" s="2" t="inlineStr"/>
    </row>
    <row r="812" ht="15" customHeight="1">
      <c r="A812" t="inlineStr">
        <is>
          <t>A 21563-2025</t>
        </is>
      </c>
      <c r="B812" s="1" t="n">
        <v>45782.69822916666</v>
      </c>
      <c r="C812" s="1" t="n">
        <v>45965</v>
      </c>
      <c r="D812" t="inlineStr">
        <is>
          <t>VÄSTERNORRLANDS LÄN</t>
        </is>
      </c>
      <c r="E812" t="inlineStr">
        <is>
          <t>ÅNGE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58445-2022</t>
        </is>
      </c>
      <c r="B813" s="1" t="n">
        <v>44901.95453703704</v>
      </c>
      <c r="C813" s="1" t="n">
        <v>45965</v>
      </c>
      <c r="D813" t="inlineStr">
        <is>
          <t>VÄSTERNORRLANDS LÄN</t>
        </is>
      </c>
      <c r="E813" t="inlineStr">
        <is>
          <t>ÅNGE</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45030-2024</t>
        </is>
      </c>
      <c r="B814" s="1" t="n">
        <v>45575.52089120371</v>
      </c>
      <c r="C814" s="1" t="n">
        <v>45965</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31229-2023</t>
        </is>
      </c>
      <c r="B815" s="1" t="n">
        <v>45114</v>
      </c>
      <c r="C815" s="1" t="n">
        <v>45965</v>
      </c>
      <c r="D815" t="inlineStr">
        <is>
          <t>VÄSTERNORRLANDS LÄN</t>
        </is>
      </c>
      <c r="E815" t="inlineStr">
        <is>
          <t>ÅNGE</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21263-2025</t>
        </is>
      </c>
      <c r="B816" s="1" t="n">
        <v>45779.61233796296</v>
      </c>
      <c r="C816" s="1" t="n">
        <v>45965</v>
      </c>
      <c r="D816" t="inlineStr">
        <is>
          <t>VÄSTERNORRLANDS LÄN</t>
        </is>
      </c>
      <c r="E816" t="inlineStr">
        <is>
          <t>ÅNGE</t>
        </is>
      </c>
      <c r="F816" t="inlineStr">
        <is>
          <t>Sveaskog</t>
        </is>
      </c>
      <c r="G816" t="n">
        <v>14.9</v>
      </c>
      <c r="H816" t="n">
        <v>0</v>
      </c>
      <c r="I816" t="n">
        <v>0</v>
      </c>
      <c r="J816" t="n">
        <v>0</v>
      </c>
      <c r="K816" t="n">
        <v>0</v>
      </c>
      <c r="L816" t="n">
        <v>0</v>
      </c>
      <c r="M816" t="n">
        <v>0</v>
      </c>
      <c r="N816" t="n">
        <v>0</v>
      </c>
      <c r="O816" t="n">
        <v>0</v>
      </c>
      <c r="P816" t="n">
        <v>0</v>
      </c>
      <c r="Q816" t="n">
        <v>0</v>
      </c>
      <c r="R816" s="2" t="inlineStr"/>
    </row>
    <row r="817" ht="15" customHeight="1">
      <c r="A817" t="inlineStr">
        <is>
          <t>A 23058-2024</t>
        </is>
      </c>
      <c r="B817" s="1" t="n">
        <v>45450.44020833333</v>
      </c>
      <c r="C817" s="1" t="n">
        <v>45965</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21174-2025</t>
        </is>
      </c>
      <c r="B818" s="1" t="n">
        <v>45779.42746527777</v>
      </c>
      <c r="C818" s="1" t="n">
        <v>45965</v>
      </c>
      <c r="D818" t="inlineStr">
        <is>
          <t>VÄSTERNORRLANDS LÄN</t>
        </is>
      </c>
      <c r="E818" t="inlineStr">
        <is>
          <t>ÅNGE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21251-2025</t>
        </is>
      </c>
      <c r="B819" s="1" t="n">
        <v>45779.57417824074</v>
      </c>
      <c r="C819" s="1" t="n">
        <v>45965</v>
      </c>
      <c r="D819" t="inlineStr">
        <is>
          <t>VÄSTERNORRLANDS LÄN</t>
        </is>
      </c>
      <c r="E819" t="inlineStr">
        <is>
          <t>ÅNGE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21712-2025</t>
        </is>
      </c>
      <c r="B820" s="1" t="n">
        <v>45783.53210648148</v>
      </c>
      <c r="C820" s="1" t="n">
        <v>45965</v>
      </c>
      <c r="D820" t="inlineStr">
        <is>
          <t>VÄSTERNORRLANDS LÄN</t>
        </is>
      </c>
      <c r="E820" t="inlineStr">
        <is>
          <t>ÅNGE</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2539-2025</t>
        </is>
      </c>
      <c r="B821" s="1" t="n">
        <v>45674.61581018518</v>
      </c>
      <c r="C821" s="1" t="n">
        <v>45965</v>
      </c>
      <c r="D821" t="inlineStr">
        <is>
          <t>VÄSTERNORRLANDS LÄN</t>
        </is>
      </c>
      <c r="E821" t="inlineStr">
        <is>
          <t>ÅNGE</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22187-2024</t>
        </is>
      </c>
      <c r="B822" s="1" t="n">
        <v>45446.35222222222</v>
      </c>
      <c r="C822" s="1" t="n">
        <v>45965</v>
      </c>
      <c r="D822" t="inlineStr">
        <is>
          <t>VÄSTERNORRLANDS LÄN</t>
        </is>
      </c>
      <c r="E822" t="inlineStr">
        <is>
          <t>ÅNGE</t>
        </is>
      </c>
      <c r="G822" t="n">
        <v>2.3</v>
      </c>
      <c r="H822" t="n">
        <v>0</v>
      </c>
      <c r="I822" t="n">
        <v>0</v>
      </c>
      <c r="J822" t="n">
        <v>0</v>
      </c>
      <c r="K822" t="n">
        <v>0</v>
      </c>
      <c r="L822" t="n">
        <v>0</v>
      </c>
      <c r="M822" t="n">
        <v>0</v>
      </c>
      <c r="N822" t="n">
        <v>0</v>
      </c>
      <c r="O822" t="n">
        <v>0</v>
      </c>
      <c r="P822" t="n">
        <v>0</v>
      </c>
      <c r="Q822" t="n">
        <v>0</v>
      </c>
      <c r="R822" s="2" t="inlineStr"/>
    </row>
    <row r="823" ht="15" customHeight="1">
      <c r="A823" t="inlineStr">
        <is>
          <t>A 64946-2023</t>
        </is>
      </c>
      <c r="B823" s="1" t="n">
        <v>45282.94678240741</v>
      </c>
      <c r="C823" s="1" t="n">
        <v>45965</v>
      </c>
      <c r="D823" t="inlineStr">
        <is>
          <t>VÄSTERNORRLANDS LÄN</t>
        </is>
      </c>
      <c r="E823" t="inlineStr">
        <is>
          <t>ÅNGE</t>
        </is>
      </c>
      <c r="F823" t="inlineStr">
        <is>
          <t>SCA</t>
        </is>
      </c>
      <c r="G823" t="n">
        <v>6.4</v>
      </c>
      <c r="H823" t="n">
        <v>0</v>
      </c>
      <c r="I823" t="n">
        <v>0</v>
      </c>
      <c r="J823" t="n">
        <v>0</v>
      </c>
      <c r="K823" t="n">
        <v>0</v>
      </c>
      <c r="L823" t="n">
        <v>0</v>
      </c>
      <c r="M823" t="n">
        <v>0</v>
      </c>
      <c r="N823" t="n">
        <v>0</v>
      </c>
      <c r="O823" t="n">
        <v>0</v>
      </c>
      <c r="P823" t="n">
        <v>0</v>
      </c>
      <c r="Q823" t="n">
        <v>0</v>
      </c>
      <c r="R823" s="2" t="inlineStr"/>
    </row>
    <row r="824" ht="15" customHeight="1">
      <c r="A824" t="inlineStr">
        <is>
          <t>A 21883-2025</t>
        </is>
      </c>
      <c r="B824" s="1" t="n">
        <v>45784.41361111111</v>
      </c>
      <c r="C824" s="1" t="n">
        <v>45965</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48690-2024</t>
        </is>
      </c>
      <c r="B825" s="1" t="n">
        <v>45593.50704861111</v>
      </c>
      <c r="C825" s="1" t="n">
        <v>45965</v>
      </c>
      <c r="D825" t="inlineStr">
        <is>
          <t>VÄSTERNORRLANDS LÄN</t>
        </is>
      </c>
      <c r="E825" t="inlineStr">
        <is>
          <t>ÅNGE</t>
        </is>
      </c>
      <c r="G825" t="n">
        <v>5</v>
      </c>
      <c r="H825" t="n">
        <v>0</v>
      </c>
      <c r="I825" t="n">
        <v>0</v>
      </c>
      <c r="J825" t="n">
        <v>0</v>
      </c>
      <c r="K825" t="n">
        <v>0</v>
      </c>
      <c r="L825" t="n">
        <v>0</v>
      </c>
      <c r="M825" t="n">
        <v>0</v>
      </c>
      <c r="N825" t="n">
        <v>0</v>
      </c>
      <c r="O825" t="n">
        <v>0</v>
      </c>
      <c r="P825" t="n">
        <v>0</v>
      </c>
      <c r="Q825" t="n">
        <v>0</v>
      </c>
      <c r="R825" s="2" t="inlineStr"/>
    </row>
    <row r="826" ht="15" customHeight="1">
      <c r="A826" t="inlineStr">
        <is>
          <t>A 21597-2025</t>
        </is>
      </c>
      <c r="B826" s="1" t="n">
        <v>45783.34493055556</v>
      </c>
      <c r="C826" s="1" t="n">
        <v>45965</v>
      </c>
      <c r="D826" t="inlineStr">
        <is>
          <t>VÄSTERNORRLANDS LÄN</t>
        </is>
      </c>
      <c r="E826" t="inlineStr">
        <is>
          <t>ÅNGE</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25867-2024</t>
        </is>
      </c>
      <c r="B827" s="1" t="n">
        <v>45463</v>
      </c>
      <c r="C827" s="1" t="n">
        <v>45965</v>
      </c>
      <c r="D827" t="inlineStr">
        <is>
          <t>VÄSTERNORRLANDS LÄN</t>
        </is>
      </c>
      <c r="E827" t="inlineStr">
        <is>
          <t>ÅNGE</t>
        </is>
      </c>
      <c r="G827" t="n">
        <v>2.7</v>
      </c>
      <c r="H827" t="n">
        <v>0</v>
      </c>
      <c r="I827" t="n">
        <v>0</v>
      </c>
      <c r="J827" t="n">
        <v>0</v>
      </c>
      <c r="K827" t="n">
        <v>0</v>
      </c>
      <c r="L827" t="n">
        <v>0</v>
      </c>
      <c r="M827" t="n">
        <v>0</v>
      </c>
      <c r="N827" t="n">
        <v>0</v>
      </c>
      <c r="O827" t="n">
        <v>0</v>
      </c>
      <c r="P827" t="n">
        <v>0</v>
      </c>
      <c r="Q827" t="n">
        <v>0</v>
      </c>
      <c r="R827" s="2" t="inlineStr"/>
    </row>
    <row r="828" ht="15" customHeight="1">
      <c r="A828" t="inlineStr">
        <is>
          <t>A 17669-2023</t>
        </is>
      </c>
      <c r="B828" s="1" t="n">
        <v>45036.94457175926</v>
      </c>
      <c r="C828" s="1" t="n">
        <v>45965</v>
      </c>
      <c r="D828" t="inlineStr">
        <is>
          <t>VÄSTERNORRLANDS LÄN</t>
        </is>
      </c>
      <c r="E828" t="inlineStr">
        <is>
          <t>ÅNGE</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29395-2023</t>
        </is>
      </c>
      <c r="B829" s="1" t="n">
        <v>45106.4359837963</v>
      </c>
      <c r="C829" s="1" t="n">
        <v>45965</v>
      </c>
      <c r="D829" t="inlineStr">
        <is>
          <t>VÄSTERNORRLANDS LÄN</t>
        </is>
      </c>
      <c r="E829" t="inlineStr">
        <is>
          <t>ÅNGE</t>
        </is>
      </c>
      <c r="G829" t="n">
        <v>3.5</v>
      </c>
      <c r="H829" t="n">
        <v>0</v>
      </c>
      <c r="I829" t="n">
        <v>0</v>
      </c>
      <c r="J829" t="n">
        <v>0</v>
      </c>
      <c r="K829" t="n">
        <v>0</v>
      </c>
      <c r="L829" t="n">
        <v>0</v>
      </c>
      <c r="M829" t="n">
        <v>0</v>
      </c>
      <c r="N829" t="n">
        <v>0</v>
      </c>
      <c r="O829" t="n">
        <v>0</v>
      </c>
      <c r="P829" t="n">
        <v>0</v>
      </c>
      <c r="Q829" t="n">
        <v>0</v>
      </c>
      <c r="R829" s="2" t="inlineStr"/>
    </row>
    <row r="830" ht="15" customHeight="1">
      <c r="A830" t="inlineStr">
        <is>
          <t>A 21862-2025</t>
        </is>
      </c>
      <c r="B830" s="1" t="n">
        <v>45784.36519675926</v>
      </c>
      <c r="C830" s="1" t="n">
        <v>45965</v>
      </c>
      <c r="D830" t="inlineStr">
        <is>
          <t>VÄSTERNORRLANDS LÄN</t>
        </is>
      </c>
      <c r="E830" t="inlineStr">
        <is>
          <t>ÅNGE</t>
        </is>
      </c>
      <c r="F830" t="inlineStr">
        <is>
          <t>SCA</t>
        </is>
      </c>
      <c r="G830" t="n">
        <v>4.6</v>
      </c>
      <c r="H830" t="n">
        <v>0</v>
      </c>
      <c r="I830" t="n">
        <v>0</v>
      </c>
      <c r="J830" t="n">
        <v>0</v>
      </c>
      <c r="K830" t="n">
        <v>0</v>
      </c>
      <c r="L830" t="n">
        <v>0</v>
      </c>
      <c r="M830" t="n">
        <v>0</v>
      </c>
      <c r="N830" t="n">
        <v>0</v>
      </c>
      <c r="O830" t="n">
        <v>0</v>
      </c>
      <c r="P830" t="n">
        <v>0</v>
      </c>
      <c r="Q830" t="n">
        <v>0</v>
      </c>
      <c r="R830" s="2" t="inlineStr"/>
    </row>
    <row r="831" ht="15" customHeight="1">
      <c r="A831" t="inlineStr">
        <is>
          <t>A 21982-2025</t>
        </is>
      </c>
      <c r="B831" s="1" t="n">
        <v>45784.65660879629</v>
      </c>
      <c r="C831" s="1" t="n">
        <v>45965</v>
      </c>
      <c r="D831" t="inlineStr">
        <is>
          <t>VÄSTERNORRLANDS LÄN</t>
        </is>
      </c>
      <c r="E831" t="inlineStr">
        <is>
          <t>ÅNGE</t>
        </is>
      </c>
      <c r="F831" t="inlineStr">
        <is>
          <t>SCA</t>
        </is>
      </c>
      <c r="G831" t="n">
        <v>7.6</v>
      </c>
      <c r="H831" t="n">
        <v>0</v>
      </c>
      <c r="I831" t="n">
        <v>0</v>
      </c>
      <c r="J831" t="n">
        <v>0</v>
      </c>
      <c r="K831" t="n">
        <v>0</v>
      </c>
      <c r="L831" t="n">
        <v>0</v>
      </c>
      <c r="M831" t="n">
        <v>0</v>
      </c>
      <c r="N831" t="n">
        <v>0</v>
      </c>
      <c r="O831" t="n">
        <v>0</v>
      </c>
      <c r="P831" t="n">
        <v>0</v>
      </c>
      <c r="Q831" t="n">
        <v>0</v>
      </c>
      <c r="R831" s="2" t="inlineStr"/>
    </row>
    <row r="832" ht="15" customHeight="1">
      <c r="A832" t="inlineStr">
        <is>
          <t>A 54295-2024</t>
        </is>
      </c>
      <c r="B832" s="1" t="n">
        <v>45617</v>
      </c>
      <c r="C832" s="1" t="n">
        <v>45965</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21686-2025</t>
        </is>
      </c>
      <c r="B833" s="1" t="n">
        <v>45783.490625</v>
      </c>
      <c r="C833" s="1" t="n">
        <v>45965</v>
      </c>
      <c r="D833" t="inlineStr">
        <is>
          <t>VÄSTERNORRLANDS LÄN</t>
        </is>
      </c>
      <c r="E833" t="inlineStr">
        <is>
          <t>ÅNGE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19342-2024</t>
        </is>
      </c>
      <c r="B834" s="1" t="n">
        <v>45428</v>
      </c>
      <c r="C834" s="1" t="n">
        <v>45965</v>
      </c>
      <c r="D834" t="inlineStr">
        <is>
          <t>VÄSTERNORRLANDS LÄN</t>
        </is>
      </c>
      <c r="E834" t="inlineStr">
        <is>
          <t>ÅNGE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21741-2025</t>
        </is>
      </c>
      <c r="B835" s="1" t="n">
        <v>45783.59415509259</v>
      </c>
      <c r="C835" s="1" t="n">
        <v>45965</v>
      </c>
      <c r="D835" t="inlineStr">
        <is>
          <t>VÄSTERNORRLANDS LÄN</t>
        </is>
      </c>
      <c r="E835" t="inlineStr">
        <is>
          <t>ÅNGE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39119-2024</t>
        </is>
      </c>
      <c r="B836" s="1" t="n">
        <v>45548.58939814815</v>
      </c>
      <c r="C836" s="1" t="n">
        <v>45965</v>
      </c>
      <c r="D836" t="inlineStr">
        <is>
          <t>VÄSTERNORRLANDS LÄN</t>
        </is>
      </c>
      <c r="E836" t="inlineStr">
        <is>
          <t>ÅNGE</t>
        </is>
      </c>
      <c r="G836" t="n">
        <v>8</v>
      </c>
      <c r="H836" t="n">
        <v>0</v>
      </c>
      <c r="I836" t="n">
        <v>0</v>
      </c>
      <c r="J836" t="n">
        <v>0</v>
      </c>
      <c r="K836" t="n">
        <v>0</v>
      </c>
      <c r="L836" t="n">
        <v>0</v>
      </c>
      <c r="M836" t="n">
        <v>0</v>
      </c>
      <c r="N836" t="n">
        <v>0</v>
      </c>
      <c r="O836" t="n">
        <v>0</v>
      </c>
      <c r="P836" t="n">
        <v>0</v>
      </c>
      <c r="Q836" t="n">
        <v>0</v>
      </c>
      <c r="R836" s="2" t="inlineStr"/>
    </row>
    <row r="837" ht="15" customHeight="1">
      <c r="A837" t="inlineStr">
        <is>
          <t>A 21685-2025</t>
        </is>
      </c>
      <c r="B837" s="1" t="n">
        <v>45783.49050925926</v>
      </c>
      <c r="C837" s="1" t="n">
        <v>45965</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25035-2023</t>
        </is>
      </c>
      <c r="B838" s="1" t="n">
        <v>45085</v>
      </c>
      <c r="C838" s="1" t="n">
        <v>45965</v>
      </c>
      <c r="D838" t="inlineStr">
        <is>
          <t>VÄSTERNORRLANDS LÄN</t>
        </is>
      </c>
      <c r="E838" t="inlineStr">
        <is>
          <t>ÅNGE</t>
        </is>
      </c>
      <c r="G838" t="n">
        <v>0.3</v>
      </c>
      <c r="H838" t="n">
        <v>0</v>
      </c>
      <c r="I838" t="n">
        <v>0</v>
      </c>
      <c r="J838" t="n">
        <v>0</v>
      </c>
      <c r="K838" t="n">
        <v>0</v>
      </c>
      <c r="L838" t="n">
        <v>0</v>
      </c>
      <c r="M838" t="n">
        <v>0</v>
      </c>
      <c r="N838" t="n">
        <v>0</v>
      </c>
      <c r="O838" t="n">
        <v>0</v>
      </c>
      <c r="P838" t="n">
        <v>0</v>
      </c>
      <c r="Q838" t="n">
        <v>0</v>
      </c>
      <c r="R838" s="2" t="inlineStr"/>
    </row>
    <row r="839" ht="15" customHeight="1">
      <c r="A839" t="inlineStr">
        <is>
          <t>A 32257-2024</t>
        </is>
      </c>
      <c r="B839" s="1" t="n">
        <v>45511</v>
      </c>
      <c r="C839" s="1" t="n">
        <v>45965</v>
      </c>
      <c r="D839" t="inlineStr">
        <is>
          <t>VÄSTERNORRLANDS LÄN</t>
        </is>
      </c>
      <c r="E839" t="inlineStr">
        <is>
          <t>ÅNGE</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46681-2023</t>
        </is>
      </c>
      <c r="B840" s="1" t="n">
        <v>45198</v>
      </c>
      <c r="C840" s="1" t="n">
        <v>45965</v>
      </c>
      <c r="D840" t="inlineStr">
        <is>
          <t>VÄSTERNORRLANDS LÄN</t>
        </is>
      </c>
      <c r="E840" t="inlineStr">
        <is>
          <t>ÅNGE</t>
        </is>
      </c>
      <c r="G840" t="n">
        <v>0.8</v>
      </c>
      <c r="H840" t="n">
        <v>0</v>
      </c>
      <c r="I840" t="n">
        <v>0</v>
      </c>
      <c r="J840" t="n">
        <v>0</v>
      </c>
      <c r="K840" t="n">
        <v>0</v>
      </c>
      <c r="L840" t="n">
        <v>0</v>
      </c>
      <c r="M840" t="n">
        <v>0</v>
      </c>
      <c r="N840" t="n">
        <v>0</v>
      </c>
      <c r="O840" t="n">
        <v>0</v>
      </c>
      <c r="P840" t="n">
        <v>0</v>
      </c>
      <c r="Q840" t="n">
        <v>0</v>
      </c>
      <c r="R840" s="2" t="inlineStr"/>
    </row>
    <row r="841" ht="15" customHeight="1">
      <c r="A841" t="inlineStr">
        <is>
          <t>A 41586-2024</t>
        </is>
      </c>
      <c r="B841" s="1" t="n">
        <v>45560.56089120371</v>
      </c>
      <c r="C841" s="1" t="n">
        <v>45965</v>
      </c>
      <c r="D841" t="inlineStr">
        <is>
          <t>VÄSTERNORRLANDS LÄN</t>
        </is>
      </c>
      <c r="E841" t="inlineStr">
        <is>
          <t>ÅNGE</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40755-2023</t>
        </is>
      </c>
      <c r="B842" s="1" t="n">
        <v>45170</v>
      </c>
      <c r="C842" s="1" t="n">
        <v>45965</v>
      </c>
      <c r="D842" t="inlineStr">
        <is>
          <t>VÄSTERNORRLANDS LÄN</t>
        </is>
      </c>
      <c r="E842" t="inlineStr">
        <is>
          <t>ÅNGE</t>
        </is>
      </c>
      <c r="G842" t="n">
        <v>3.6</v>
      </c>
      <c r="H842" t="n">
        <v>0</v>
      </c>
      <c r="I842" t="n">
        <v>0</v>
      </c>
      <c r="J842" t="n">
        <v>0</v>
      </c>
      <c r="K842" t="n">
        <v>0</v>
      </c>
      <c r="L842" t="n">
        <v>0</v>
      </c>
      <c r="M842" t="n">
        <v>0</v>
      </c>
      <c r="N842" t="n">
        <v>0</v>
      </c>
      <c r="O842" t="n">
        <v>0</v>
      </c>
      <c r="P842" t="n">
        <v>0</v>
      </c>
      <c r="Q842" t="n">
        <v>0</v>
      </c>
      <c r="R842" s="2" t="inlineStr"/>
    </row>
    <row r="843" ht="15" customHeight="1">
      <c r="A843" t="inlineStr">
        <is>
          <t>A 41284-2024</t>
        </is>
      </c>
      <c r="B843" s="1" t="n">
        <v>45559.59520833333</v>
      </c>
      <c r="C843" s="1" t="n">
        <v>45965</v>
      </c>
      <c r="D843" t="inlineStr">
        <is>
          <t>VÄSTERNORRLANDS LÄN</t>
        </is>
      </c>
      <c r="E843" t="inlineStr">
        <is>
          <t>ÅNGE</t>
        </is>
      </c>
      <c r="F843" t="inlineStr">
        <is>
          <t>SCA</t>
        </is>
      </c>
      <c r="G843" t="n">
        <v>5.5</v>
      </c>
      <c r="H843" t="n">
        <v>0</v>
      </c>
      <c r="I843" t="n">
        <v>0</v>
      </c>
      <c r="J843" t="n">
        <v>0</v>
      </c>
      <c r="K843" t="n">
        <v>0</v>
      </c>
      <c r="L843" t="n">
        <v>0</v>
      </c>
      <c r="M843" t="n">
        <v>0</v>
      </c>
      <c r="N843" t="n">
        <v>0</v>
      </c>
      <c r="O843" t="n">
        <v>0</v>
      </c>
      <c r="P843" t="n">
        <v>0</v>
      </c>
      <c r="Q843" t="n">
        <v>0</v>
      </c>
      <c r="R843" s="2" t="inlineStr"/>
    </row>
    <row r="844" ht="15" customHeight="1">
      <c r="A844" t="inlineStr">
        <is>
          <t>A 48946-2024</t>
        </is>
      </c>
      <c r="B844" s="1" t="n">
        <v>45594.42736111111</v>
      </c>
      <c r="C844" s="1" t="n">
        <v>45965</v>
      </c>
      <c r="D844" t="inlineStr">
        <is>
          <t>VÄSTERNORRLANDS LÄN</t>
        </is>
      </c>
      <c r="E844" t="inlineStr">
        <is>
          <t>ÅNGE</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32901-2023</t>
        </is>
      </c>
      <c r="B845" s="1" t="n">
        <v>45124.95063657407</v>
      </c>
      <c r="C845" s="1" t="n">
        <v>45965</v>
      </c>
      <c r="D845" t="inlineStr">
        <is>
          <t>VÄSTERNORRLANDS LÄN</t>
        </is>
      </c>
      <c r="E845" t="inlineStr">
        <is>
          <t>ÅNGE</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16903-2024</t>
        </is>
      </c>
      <c r="B846" s="1" t="n">
        <v>45411.63106481481</v>
      </c>
      <c r="C846" s="1" t="n">
        <v>45965</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22988-2024</t>
        </is>
      </c>
      <c r="B847" s="1" t="n">
        <v>45449.94530092592</v>
      </c>
      <c r="C847" s="1" t="n">
        <v>45965</v>
      </c>
      <c r="D847" t="inlineStr">
        <is>
          <t>VÄSTERNORRLANDS LÄN</t>
        </is>
      </c>
      <c r="E847" t="inlineStr">
        <is>
          <t>ÅNGE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16915-2024</t>
        </is>
      </c>
      <c r="B848" s="1" t="n">
        <v>45411.65185185185</v>
      </c>
      <c r="C848" s="1" t="n">
        <v>45965</v>
      </c>
      <c r="D848" t="inlineStr">
        <is>
          <t>VÄSTERNORRLANDS LÄN</t>
        </is>
      </c>
      <c r="E848" t="inlineStr">
        <is>
          <t>ÅNGE</t>
        </is>
      </c>
      <c r="G848" t="n">
        <v>2.1</v>
      </c>
      <c r="H848" t="n">
        <v>0</v>
      </c>
      <c r="I848" t="n">
        <v>0</v>
      </c>
      <c r="J848" t="n">
        <v>0</v>
      </c>
      <c r="K848" t="n">
        <v>0</v>
      </c>
      <c r="L848" t="n">
        <v>0</v>
      </c>
      <c r="M848" t="n">
        <v>0</v>
      </c>
      <c r="N848" t="n">
        <v>0</v>
      </c>
      <c r="O848" t="n">
        <v>0</v>
      </c>
      <c r="P848" t="n">
        <v>0</v>
      </c>
      <c r="Q848" t="n">
        <v>0</v>
      </c>
      <c r="R848" s="2" t="inlineStr"/>
    </row>
    <row r="849" ht="15" customHeight="1">
      <c r="A849" t="inlineStr">
        <is>
          <t>A 5613-2024</t>
        </is>
      </c>
      <c r="B849" s="1" t="n">
        <v>45334</v>
      </c>
      <c r="C849" s="1" t="n">
        <v>45965</v>
      </c>
      <c r="D849" t="inlineStr">
        <is>
          <t>VÄSTERNORRLANDS LÄN</t>
        </is>
      </c>
      <c r="E849" t="inlineStr">
        <is>
          <t>ÅNGE</t>
        </is>
      </c>
      <c r="G849" t="n">
        <v>0.4</v>
      </c>
      <c r="H849" t="n">
        <v>0</v>
      </c>
      <c r="I849" t="n">
        <v>0</v>
      </c>
      <c r="J849" t="n">
        <v>0</v>
      </c>
      <c r="K849" t="n">
        <v>0</v>
      </c>
      <c r="L849" t="n">
        <v>0</v>
      </c>
      <c r="M849" t="n">
        <v>0</v>
      </c>
      <c r="N849" t="n">
        <v>0</v>
      </c>
      <c r="O849" t="n">
        <v>0</v>
      </c>
      <c r="P849" t="n">
        <v>0</v>
      </c>
      <c r="Q849" t="n">
        <v>0</v>
      </c>
      <c r="R849" s="2" t="inlineStr"/>
    </row>
    <row r="850" ht="15" customHeight="1">
      <c r="A850" t="inlineStr">
        <is>
          <t>A 31492-2024</t>
        </is>
      </c>
      <c r="B850" s="1" t="n">
        <v>45505</v>
      </c>
      <c r="C850" s="1" t="n">
        <v>45965</v>
      </c>
      <c r="D850" t="inlineStr">
        <is>
          <t>VÄSTERNORRLANDS LÄN</t>
        </is>
      </c>
      <c r="E850" t="inlineStr">
        <is>
          <t>ÅNGE</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3023-2023</t>
        </is>
      </c>
      <c r="B851" s="1" t="n">
        <v>44945</v>
      </c>
      <c r="C851" s="1" t="n">
        <v>45965</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3025-2023</t>
        </is>
      </c>
      <c r="B852" s="1" t="n">
        <v>44945</v>
      </c>
      <c r="C852" s="1" t="n">
        <v>45965</v>
      </c>
      <c r="D852" t="inlineStr">
        <is>
          <t>VÄSTERNORRLANDS LÄN</t>
        </is>
      </c>
      <c r="E852" t="inlineStr">
        <is>
          <t>ÅNGE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54456-2024</t>
        </is>
      </c>
      <c r="B853" s="1" t="n">
        <v>45617.53160879629</v>
      </c>
      <c r="C853" s="1" t="n">
        <v>45965</v>
      </c>
      <c r="D853" t="inlineStr">
        <is>
          <t>VÄSTERNORRLANDS LÄN</t>
        </is>
      </c>
      <c r="E853" t="inlineStr">
        <is>
          <t>ÅNGE</t>
        </is>
      </c>
      <c r="F853" t="inlineStr">
        <is>
          <t>SCA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38800-2024</t>
        </is>
      </c>
      <c r="B854" s="1" t="n">
        <v>45547</v>
      </c>
      <c r="C854" s="1" t="n">
        <v>45965</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46933-2025</t>
        </is>
      </c>
      <c r="B855" s="1" t="n">
        <v>45929.44645833333</v>
      </c>
      <c r="C855" s="1" t="n">
        <v>45965</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25311-2023</t>
        </is>
      </c>
      <c r="B856" s="1" t="n">
        <v>45086.93869212963</v>
      </c>
      <c r="C856" s="1" t="n">
        <v>45965</v>
      </c>
      <c r="D856" t="inlineStr">
        <is>
          <t>VÄSTERNORRLANDS LÄN</t>
        </is>
      </c>
      <c r="E856" t="inlineStr">
        <is>
          <t>ÅNGE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20880-2025</t>
        </is>
      </c>
      <c r="B857" s="1" t="n">
        <v>45777</v>
      </c>
      <c r="C857" s="1" t="n">
        <v>45965</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38002-2024</t>
        </is>
      </c>
      <c r="B858" s="1" t="n">
        <v>45544.61484953704</v>
      </c>
      <c r="C858" s="1" t="n">
        <v>45965</v>
      </c>
      <c r="D858" t="inlineStr">
        <is>
          <t>VÄSTERNORRLANDS LÄN</t>
        </is>
      </c>
      <c r="E858" t="inlineStr">
        <is>
          <t>ÅNGE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31568-2024</t>
        </is>
      </c>
      <c r="B859" s="1" t="n">
        <v>45505.96721064814</v>
      </c>
      <c r="C859" s="1" t="n">
        <v>45965</v>
      </c>
      <c r="D859" t="inlineStr">
        <is>
          <t>VÄSTERNORRLANDS LÄN</t>
        </is>
      </c>
      <c r="E859" t="inlineStr">
        <is>
          <t>ÅNGE</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4904-2024</t>
        </is>
      </c>
      <c r="B860" s="1" t="n">
        <v>45329.47856481482</v>
      </c>
      <c r="C860" s="1" t="n">
        <v>45965</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29462-2024</t>
        </is>
      </c>
      <c r="B861" s="1" t="n">
        <v>45483.96979166667</v>
      </c>
      <c r="C861" s="1" t="n">
        <v>45965</v>
      </c>
      <c r="D861" t="inlineStr">
        <is>
          <t>VÄSTERNORRLANDS LÄN</t>
        </is>
      </c>
      <c r="E861" t="inlineStr">
        <is>
          <t>ÅNGE</t>
        </is>
      </c>
      <c r="F861" t="inlineStr">
        <is>
          <t>SCA</t>
        </is>
      </c>
      <c r="G861" t="n">
        <v>8.4</v>
      </c>
      <c r="H861" t="n">
        <v>0</v>
      </c>
      <c r="I861" t="n">
        <v>0</v>
      </c>
      <c r="J861" t="n">
        <v>0</v>
      </c>
      <c r="K861" t="n">
        <v>0</v>
      </c>
      <c r="L861" t="n">
        <v>0</v>
      </c>
      <c r="M861" t="n">
        <v>0</v>
      </c>
      <c r="N861" t="n">
        <v>0</v>
      </c>
      <c r="O861" t="n">
        <v>0</v>
      </c>
      <c r="P861" t="n">
        <v>0</v>
      </c>
      <c r="Q861" t="n">
        <v>0</v>
      </c>
      <c r="R861" s="2" t="inlineStr"/>
    </row>
    <row r="862" ht="15" customHeight="1">
      <c r="A862" t="inlineStr">
        <is>
          <t>A 44178-2023</t>
        </is>
      </c>
      <c r="B862" s="1" t="n">
        <v>45183</v>
      </c>
      <c r="C862" s="1" t="n">
        <v>45965</v>
      </c>
      <c r="D862" t="inlineStr">
        <is>
          <t>VÄSTERNORRLANDS LÄN</t>
        </is>
      </c>
      <c r="E862" t="inlineStr">
        <is>
          <t>ÅNGE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44565-2024</t>
        </is>
      </c>
      <c r="B863" s="1" t="n">
        <v>45574.47518518518</v>
      </c>
      <c r="C863" s="1" t="n">
        <v>45965</v>
      </c>
      <c r="D863" t="inlineStr">
        <is>
          <t>VÄSTERNORRLANDS LÄN</t>
        </is>
      </c>
      <c r="E863" t="inlineStr">
        <is>
          <t>ÅNGE</t>
        </is>
      </c>
      <c r="G863" t="n">
        <v>1.8</v>
      </c>
      <c r="H863" t="n">
        <v>0</v>
      </c>
      <c r="I863" t="n">
        <v>0</v>
      </c>
      <c r="J863" t="n">
        <v>0</v>
      </c>
      <c r="K863" t="n">
        <v>0</v>
      </c>
      <c r="L863" t="n">
        <v>0</v>
      </c>
      <c r="M863" t="n">
        <v>0</v>
      </c>
      <c r="N863" t="n">
        <v>0</v>
      </c>
      <c r="O863" t="n">
        <v>0</v>
      </c>
      <c r="P863" t="n">
        <v>0</v>
      </c>
      <c r="Q863" t="n">
        <v>0</v>
      </c>
      <c r="R863" s="2" t="inlineStr"/>
    </row>
    <row r="864" ht="15" customHeight="1">
      <c r="A864" t="inlineStr">
        <is>
          <t>A 19997-2023</t>
        </is>
      </c>
      <c r="B864" s="1" t="n">
        <v>45054</v>
      </c>
      <c r="C864" s="1" t="n">
        <v>45965</v>
      </c>
      <c r="D864" t="inlineStr">
        <is>
          <t>VÄSTERNORRLANDS LÄN</t>
        </is>
      </c>
      <c r="E864" t="inlineStr">
        <is>
          <t>ÅNGE</t>
        </is>
      </c>
      <c r="G864" t="n">
        <v>0.3</v>
      </c>
      <c r="H864" t="n">
        <v>0</v>
      </c>
      <c r="I864" t="n">
        <v>0</v>
      </c>
      <c r="J864" t="n">
        <v>0</v>
      </c>
      <c r="K864" t="n">
        <v>0</v>
      </c>
      <c r="L864" t="n">
        <v>0</v>
      </c>
      <c r="M864" t="n">
        <v>0</v>
      </c>
      <c r="N864" t="n">
        <v>0</v>
      </c>
      <c r="O864" t="n">
        <v>0</v>
      </c>
      <c r="P864" t="n">
        <v>0</v>
      </c>
      <c r="Q864" t="n">
        <v>0</v>
      </c>
      <c r="R864" s="2" t="inlineStr"/>
    </row>
    <row r="865" ht="15" customHeight="1">
      <c r="A865" t="inlineStr">
        <is>
          <t>A 3352-2021</t>
        </is>
      </c>
      <c r="B865" s="1" t="n">
        <v>44217</v>
      </c>
      <c r="C865" s="1" t="n">
        <v>45965</v>
      </c>
      <c r="D865" t="inlineStr">
        <is>
          <t>VÄSTERNORRLANDS LÄN</t>
        </is>
      </c>
      <c r="E865" t="inlineStr">
        <is>
          <t>ÅNGE</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22219-2025</t>
        </is>
      </c>
      <c r="B866" s="1" t="n">
        <v>45785.65849537037</v>
      </c>
      <c r="C866" s="1" t="n">
        <v>45965</v>
      </c>
      <c r="D866" t="inlineStr">
        <is>
          <t>VÄSTERNORRLANDS LÄN</t>
        </is>
      </c>
      <c r="E866" t="inlineStr">
        <is>
          <t>ÅNGE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22206-2025</t>
        </is>
      </c>
      <c r="B867" s="1" t="n">
        <v>45785.65699074074</v>
      </c>
      <c r="C867" s="1" t="n">
        <v>45965</v>
      </c>
      <c r="D867" t="inlineStr">
        <is>
          <t>VÄSTERNORRLANDS LÄN</t>
        </is>
      </c>
      <c r="E867" t="inlineStr">
        <is>
          <t>ÅNGE</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8648-2025</t>
        </is>
      </c>
      <c r="B868" s="1" t="n">
        <v>45712.34501157407</v>
      </c>
      <c r="C868" s="1" t="n">
        <v>45965</v>
      </c>
      <c r="D868" t="inlineStr">
        <is>
          <t>VÄSTERNORRLANDS LÄN</t>
        </is>
      </c>
      <c r="E868" t="inlineStr">
        <is>
          <t>ÅNGE</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27952-2024</t>
        </is>
      </c>
      <c r="B869" s="1" t="n">
        <v>45476.33063657407</v>
      </c>
      <c r="C869" s="1" t="n">
        <v>45965</v>
      </c>
      <c r="D869" t="inlineStr">
        <is>
          <t>VÄSTERNORRLANDS LÄN</t>
        </is>
      </c>
      <c r="E869" t="inlineStr">
        <is>
          <t>ÅNGE</t>
        </is>
      </c>
      <c r="G869" t="n">
        <v>12.2</v>
      </c>
      <c r="H869" t="n">
        <v>0</v>
      </c>
      <c r="I869" t="n">
        <v>0</v>
      </c>
      <c r="J869" t="n">
        <v>0</v>
      </c>
      <c r="K869" t="n">
        <v>0</v>
      </c>
      <c r="L869" t="n">
        <v>0</v>
      </c>
      <c r="M869" t="n">
        <v>0</v>
      </c>
      <c r="N869" t="n">
        <v>0</v>
      </c>
      <c r="O869" t="n">
        <v>0</v>
      </c>
      <c r="P869" t="n">
        <v>0</v>
      </c>
      <c r="Q869" t="n">
        <v>0</v>
      </c>
      <c r="R869" s="2" t="inlineStr"/>
    </row>
    <row r="870" ht="15" customHeight="1">
      <c r="A870" t="inlineStr">
        <is>
          <t>A 34959-2023</t>
        </is>
      </c>
      <c r="B870" s="1" t="n">
        <v>45142</v>
      </c>
      <c r="C870" s="1" t="n">
        <v>45965</v>
      </c>
      <c r="D870" t="inlineStr">
        <is>
          <t>VÄSTERNORRLANDS LÄN</t>
        </is>
      </c>
      <c r="E870" t="inlineStr">
        <is>
          <t>ÅNGE</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32439-2024</t>
        </is>
      </c>
      <c r="B871" s="1" t="n">
        <v>45512</v>
      </c>
      <c r="C871" s="1" t="n">
        <v>45965</v>
      </c>
      <c r="D871" t="inlineStr">
        <is>
          <t>VÄSTERNORRLANDS LÄN</t>
        </is>
      </c>
      <c r="E871" t="inlineStr">
        <is>
          <t>ÅNGE</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26640-2024</t>
        </is>
      </c>
      <c r="B872" s="1" t="n">
        <v>45469.92831018518</v>
      </c>
      <c r="C872" s="1" t="n">
        <v>45965</v>
      </c>
      <c r="D872" t="inlineStr">
        <is>
          <t>VÄSTERNORRLANDS LÄN</t>
        </is>
      </c>
      <c r="E872" t="inlineStr">
        <is>
          <t>ÅNGE</t>
        </is>
      </c>
      <c r="G872" t="n">
        <v>9.9</v>
      </c>
      <c r="H872" t="n">
        <v>0</v>
      </c>
      <c r="I872" t="n">
        <v>0</v>
      </c>
      <c r="J872" t="n">
        <v>0</v>
      </c>
      <c r="K872" t="n">
        <v>0</v>
      </c>
      <c r="L872" t="n">
        <v>0</v>
      </c>
      <c r="M872" t="n">
        <v>0</v>
      </c>
      <c r="N872" t="n">
        <v>0</v>
      </c>
      <c r="O872" t="n">
        <v>0</v>
      </c>
      <c r="P872" t="n">
        <v>0</v>
      </c>
      <c r="Q872" t="n">
        <v>0</v>
      </c>
      <c r="R872" s="2" t="inlineStr"/>
    </row>
    <row r="873" ht="15" customHeight="1">
      <c r="A873" t="inlineStr">
        <is>
          <t>A 60363-2024</t>
        </is>
      </c>
      <c r="B873" s="1" t="n">
        <v>45643</v>
      </c>
      <c r="C873" s="1" t="n">
        <v>45965</v>
      </c>
      <c r="D873" t="inlineStr">
        <is>
          <t>VÄSTERNORRLANDS LÄN</t>
        </is>
      </c>
      <c r="E873" t="inlineStr">
        <is>
          <t>ÅNGE</t>
        </is>
      </c>
      <c r="G873" t="n">
        <v>1.3</v>
      </c>
      <c r="H873" t="n">
        <v>0</v>
      </c>
      <c r="I873" t="n">
        <v>0</v>
      </c>
      <c r="J873" t="n">
        <v>0</v>
      </c>
      <c r="K873" t="n">
        <v>0</v>
      </c>
      <c r="L873" t="n">
        <v>0</v>
      </c>
      <c r="M873" t="n">
        <v>0</v>
      </c>
      <c r="N873" t="n">
        <v>0</v>
      </c>
      <c r="O873" t="n">
        <v>0</v>
      </c>
      <c r="P873" t="n">
        <v>0</v>
      </c>
      <c r="Q873" t="n">
        <v>0</v>
      </c>
      <c r="R873" s="2" t="inlineStr"/>
    </row>
    <row r="874" ht="15" customHeight="1">
      <c r="A874" t="inlineStr">
        <is>
          <t>A 51070-2024</t>
        </is>
      </c>
      <c r="B874" s="1" t="n">
        <v>45603</v>
      </c>
      <c r="C874" s="1" t="n">
        <v>45965</v>
      </c>
      <c r="D874" t="inlineStr">
        <is>
          <t>VÄSTERNORRLANDS LÄN</t>
        </is>
      </c>
      <c r="E874" t="inlineStr">
        <is>
          <t>ÅNGE</t>
        </is>
      </c>
      <c r="G874" t="n">
        <v>11.1</v>
      </c>
      <c r="H874" t="n">
        <v>0</v>
      </c>
      <c r="I874" t="n">
        <v>0</v>
      </c>
      <c r="J874" t="n">
        <v>0</v>
      </c>
      <c r="K874" t="n">
        <v>0</v>
      </c>
      <c r="L874" t="n">
        <v>0</v>
      </c>
      <c r="M874" t="n">
        <v>0</v>
      </c>
      <c r="N874" t="n">
        <v>0</v>
      </c>
      <c r="O874" t="n">
        <v>0</v>
      </c>
      <c r="P874" t="n">
        <v>0</v>
      </c>
      <c r="Q874" t="n">
        <v>0</v>
      </c>
      <c r="R874" s="2" t="inlineStr"/>
    </row>
    <row r="875" ht="15" customHeight="1">
      <c r="A875" t="inlineStr">
        <is>
          <t>A 60514-2024</t>
        </is>
      </c>
      <c r="B875" s="1" t="n">
        <v>45643.67474537037</v>
      </c>
      <c r="C875" s="1" t="n">
        <v>45965</v>
      </c>
      <c r="D875" t="inlineStr">
        <is>
          <t>VÄSTERNORRLANDS LÄN</t>
        </is>
      </c>
      <c r="E875" t="inlineStr">
        <is>
          <t>ÅNGE</t>
        </is>
      </c>
      <c r="G875" t="n">
        <v>2.4</v>
      </c>
      <c r="H875" t="n">
        <v>0</v>
      </c>
      <c r="I875" t="n">
        <v>0</v>
      </c>
      <c r="J875" t="n">
        <v>0</v>
      </c>
      <c r="K875" t="n">
        <v>0</v>
      </c>
      <c r="L875" t="n">
        <v>0</v>
      </c>
      <c r="M875" t="n">
        <v>0</v>
      </c>
      <c r="N875" t="n">
        <v>0</v>
      </c>
      <c r="O875" t="n">
        <v>0</v>
      </c>
      <c r="P875" t="n">
        <v>0</v>
      </c>
      <c r="Q875" t="n">
        <v>0</v>
      </c>
      <c r="R875" s="2" t="inlineStr"/>
    </row>
    <row r="876" ht="15" customHeight="1">
      <c r="A876" t="inlineStr">
        <is>
          <t>A 54346-2023</t>
        </is>
      </c>
      <c r="B876" s="1" t="n">
        <v>45232.96087962963</v>
      </c>
      <c r="C876" s="1" t="n">
        <v>45965</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22489-2025</t>
        </is>
      </c>
      <c r="B877" s="1" t="n">
        <v>45786.64946759259</v>
      </c>
      <c r="C877" s="1" t="n">
        <v>45965</v>
      </c>
      <c r="D877" t="inlineStr">
        <is>
          <t>VÄSTERNORRLANDS LÄN</t>
        </is>
      </c>
      <c r="E877" t="inlineStr">
        <is>
          <t>ÅNGE</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52665-2024</t>
        </is>
      </c>
      <c r="B878" s="1" t="n">
        <v>45610.36549768518</v>
      </c>
      <c r="C878" s="1" t="n">
        <v>45965</v>
      </c>
      <c r="D878" t="inlineStr">
        <is>
          <t>VÄSTERNORRLANDS LÄN</t>
        </is>
      </c>
      <c r="E878" t="inlineStr">
        <is>
          <t>ÅNGE</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55328-2023</t>
        </is>
      </c>
      <c r="B879" s="1" t="n">
        <v>45237</v>
      </c>
      <c r="C879" s="1" t="n">
        <v>45965</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22549-2025</t>
        </is>
      </c>
      <c r="B880" s="1" t="n">
        <v>45788.48113425926</v>
      </c>
      <c r="C880" s="1" t="n">
        <v>45965</v>
      </c>
      <c r="D880" t="inlineStr">
        <is>
          <t>VÄSTERNORRLANDS LÄN</t>
        </is>
      </c>
      <c r="E880" t="inlineStr">
        <is>
          <t>ÅNGE</t>
        </is>
      </c>
      <c r="G880" t="n">
        <v>2.6</v>
      </c>
      <c r="H880" t="n">
        <v>0</v>
      </c>
      <c r="I880" t="n">
        <v>0</v>
      </c>
      <c r="J880" t="n">
        <v>0</v>
      </c>
      <c r="K880" t="n">
        <v>0</v>
      </c>
      <c r="L880" t="n">
        <v>0</v>
      </c>
      <c r="M880" t="n">
        <v>0</v>
      </c>
      <c r="N880" t="n">
        <v>0</v>
      </c>
      <c r="O880" t="n">
        <v>0</v>
      </c>
      <c r="P880" t="n">
        <v>0</v>
      </c>
      <c r="Q880" t="n">
        <v>0</v>
      </c>
      <c r="R880" s="2" t="inlineStr"/>
    </row>
    <row r="881" ht="15" customHeight="1">
      <c r="A881" t="inlineStr">
        <is>
          <t>A 11531-2023</t>
        </is>
      </c>
      <c r="B881" s="1" t="n">
        <v>44993.77038194444</v>
      </c>
      <c r="C881" s="1" t="n">
        <v>45965</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11532-2023</t>
        </is>
      </c>
      <c r="B882" s="1" t="n">
        <v>44993.77212962963</v>
      </c>
      <c r="C882" s="1" t="n">
        <v>45965</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41355-2024</t>
        </is>
      </c>
      <c r="B883" s="1" t="n">
        <v>45559.69833333333</v>
      </c>
      <c r="C883" s="1" t="n">
        <v>45965</v>
      </c>
      <c r="D883" t="inlineStr">
        <is>
          <t>VÄSTERNORRLANDS LÄN</t>
        </is>
      </c>
      <c r="E883" t="inlineStr">
        <is>
          <t>ÅNGE</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41831-2021</t>
        </is>
      </c>
      <c r="B884" s="1" t="n">
        <v>44425.92212962963</v>
      </c>
      <c r="C884" s="1" t="n">
        <v>45965</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22926-2025</t>
        </is>
      </c>
      <c r="B885" s="1" t="n">
        <v>45790</v>
      </c>
      <c r="C885" s="1" t="n">
        <v>45965</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22928-2025</t>
        </is>
      </c>
      <c r="B886" s="1" t="n">
        <v>45790.44825231482</v>
      </c>
      <c r="C886" s="1" t="n">
        <v>45965</v>
      </c>
      <c r="D886" t="inlineStr">
        <is>
          <t>VÄSTERNORRLANDS LÄN</t>
        </is>
      </c>
      <c r="E886" t="inlineStr">
        <is>
          <t>ÅNGE</t>
        </is>
      </c>
      <c r="F886" t="inlineStr">
        <is>
          <t>SCA</t>
        </is>
      </c>
      <c r="G886" t="n">
        <v>5.7</v>
      </c>
      <c r="H886" t="n">
        <v>0</v>
      </c>
      <c r="I886" t="n">
        <v>0</v>
      </c>
      <c r="J886" t="n">
        <v>0</v>
      </c>
      <c r="K886" t="n">
        <v>0</v>
      </c>
      <c r="L886" t="n">
        <v>0</v>
      </c>
      <c r="M886" t="n">
        <v>0</v>
      </c>
      <c r="N886" t="n">
        <v>0</v>
      </c>
      <c r="O886" t="n">
        <v>0</v>
      </c>
      <c r="P886" t="n">
        <v>0</v>
      </c>
      <c r="Q886" t="n">
        <v>0</v>
      </c>
      <c r="R886" s="2" t="inlineStr"/>
    </row>
    <row r="887" ht="15" customHeight="1">
      <c r="A887" t="inlineStr">
        <is>
          <t>A 57815-2024</t>
        </is>
      </c>
      <c r="B887" s="1" t="n">
        <v>45631.37068287037</v>
      </c>
      <c r="C887" s="1" t="n">
        <v>45965</v>
      </c>
      <c r="D887" t="inlineStr">
        <is>
          <t>VÄSTERNORRLANDS LÄN</t>
        </is>
      </c>
      <c r="E887" t="inlineStr">
        <is>
          <t>ÅNGE</t>
        </is>
      </c>
      <c r="G887" t="n">
        <v>2.6</v>
      </c>
      <c r="H887" t="n">
        <v>0</v>
      </c>
      <c r="I887" t="n">
        <v>0</v>
      </c>
      <c r="J887" t="n">
        <v>0</v>
      </c>
      <c r="K887" t="n">
        <v>0</v>
      </c>
      <c r="L887" t="n">
        <v>0</v>
      </c>
      <c r="M887" t="n">
        <v>0</v>
      </c>
      <c r="N887" t="n">
        <v>0</v>
      </c>
      <c r="O887" t="n">
        <v>0</v>
      </c>
      <c r="P887" t="n">
        <v>0</v>
      </c>
      <c r="Q887" t="n">
        <v>0</v>
      </c>
      <c r="R887" s="2" t="inlineStr"/>
    </row>
    <row r="888" ht="15" customHeight="1">
      <c r="A888" t="inlineStr">
        <is>
          <t>A 6691-2024</t>
        </is>
      </c>
      <c r="B888" s="1" t="n">
        <v>45341</v>
      </c>
      <c r="C888" s="1" t="n">
        <v>45965</v>
      </c>
      <c r="D888" t="inlineStr">
        <is>
          <t>VÄSTERNORRLANDS LÄN</t>
        </is>
      </c>
      <c r="E888" t="inlineStr">
        <is>
          <t>ÅNGE</t>
        </is>
      </c>
      <c r="G888" t="n">
        <v>0.9</v>
      </c>
      <c r="H888" t="n">
        <v>0</v>
      </c>
      <c r="I888" t="n">
        <v>0</v>
      </c>
      <c r="J888" t="n">
        <v>0</v>
      </c>
      <c r="K888" t="n">
        <v>0</v>
      </c>
      <c r="L888" t="n">
        <v>0</v>
      </c>
      <c r="M888" t="n">
        <v>0</v>
      </c>
      <c r="N888" t="n">
        <v>0</v>
      </c>
      <c r="O888" t="n">
        <v>0</v>
      </c>
      <c r="P888" t="n">
        <v>0</v>
      </c>
      <c r="Q888" t="n">
        <v>0</v>
      </c>
      <c r="R888" s="2" t="inlineStr"/>
    </row>
    <row r="889" ht="15" customHeight="1">
      <c r="A889" t="inlineStr">
        <is>
          <t>A 22791-2025</t>
        </is>
      </c>
      <c r="B889" s="1" t="n">
        <v>45789.65663194445</v>
      </c>
      <c r="C889" s="1" t="n">
        <v>45965</v>
      </c>
      <c r="D889" t="inlineStr">
        <is>
          <t>VÄSTERNORRLANDS LÄN</t>
        </is>
      </c>
      <c r="E889" t="inlineStr">
        <is>
          <t>ÅNGE</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12123-2024</t>
        </is>
      </c>
      <c r="B890" s="1" t="n">
        <v>45377</v>
      </c>
      <c r="C890" s="1" t="n">
        <v>45965</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45631-2021</t>
        </is>
      </c>
      <c r="B891" s="1" t="n">
        <v>44440.98045138889</v>
      </c>
      <c r="C891" s="1" t="n">
        <v>45965</v>
      </c>
      <c r="D891" t="inlineStr">
        <is>
          <t>VÄSTERNORRLANDS LÄN</t>
        </is>
      </c>
      <c r="E891" t="inlineStr">
        <is>
          <t>ÅNGE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57592-2022</t>
        </is>
      </c>
      <c r="B892" s="1" t="n">
        <v>44896.97841435186</v>
      </c>
      <c r="C892" s="1" t="n">
        <v>45965</v>
      </c>
      <c r="D892" t="inlineStr">
        <is>
          <t>VÄSTERNORRLANDS LÄN</t>
        </is>
      </c>
      <c r="E892" t="inlineStr">
        <is>
          <t>ÅNGE</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57602-2022</t>
        </is>
      </c>
      <c r="B893" s="1" t="n">
        <v>44896</v>
      </c>
      <c r="C893" s="1" t="n">
        <v>45965</v>
      </c>
      <c r="D893" t="inlineStr">
        <is>
          <t>VÄSTERNORRLANDS LÄN</t>
        </is>
      </c>
      <c r="E893" t="inlineStr">
        <is>
          <t>ÅNGE</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20231-2022</t>
        </is>
      </c>
      <c r="B894" s="1" t="n">
        <v>44698</v>
      </c>
      <c r="C894" s="1" t="n">
        <v>45965</v>
      </c>
      <c r="D894" t="inlineStr">
        <is>
          <t>VÄSTERNORRLANDS LÄN</t>
        </is>
      </c>
      <c r="E894" t="inlineStr">
        <is>
          <t>ÅNGE</t>
        </is>
      </c>
      <c r="G894" t="n">
        <v>4.2</v>
      </c>
      <c r="H894" t="n">
        <v>0</v>
      </c>
      <c r="I894" t="n">
        <v>0</v>
      </c>
      <c r="J894" t="n">
        <v>0</v>
      </c>
      <c r="K894" t="n">
        <v>0</v>
      </c>
      <c r="L894" t="n">
        <v>0</v>
      </c>
      <c r="M894" t="n">
        <v>0</v>
      </c>
      <c r="N894" t="n">
        <v>0</v>
      </c>
      <c r="O894" t="n">
        <v>0</v>
      </c>
      <c r="P894" t="n">
        <v>0</v>
      </c>
      <c r="Q894" t="n">
        <v>0</v>
      </c>
      <c r="R894" s="2" t="inlineStr"/>
    </row>
    <row r="895" ht="15" customHeight="1">
      <c r="A895" t="inlineStr">
        <is>
          <t>A 39985-2023</t>
        </is>
      </c>
      <c r="B895" s="1" t="n">
        <v>45168</v>
      </c>
      <c r="C895" s="1" t="n">
        <v>45965</v>
      </c>
      <c r="D895" t="inlineStr">
        <is>
          <t>VÄSTERNORRLANDS LÄN</t>
        </is>
      </c>
      <c r="E895" t="inlineStr">
        <is>
          <t>ÅNGE</t>
        </is>
      </c>
      <c r="G895" t="n">
        <v>0.1</v>
      </c>
      <c r="H895" t="n">
        <v>0</v>
      </c>
      <c r="I895" t="n">
        <v>0</v>
      </c>
      <c r="J895" t="n">
        <v>0</v>
      </c>
      <c r="K895" t="n">
        <v>0</v>
      </c>
      <c r="L895" t="n">
        <v>0</v>
      </c>
      <c r="M895" t="n">
        <v>0</v>
      </c>
      <c r="N895" t="n">
        <v>0</v>
      </c>
      <c r="O895" t="n">
        <v>0</v>
      </c>
      <c r="P895" t="n">
        <v>0</v>
      </c>
      <c r="Q895" t="n">
        <v>0</v>
      </c>
      <c r="R895" s="2" t="inlineStr"/>
    </row>
    <row r="896" ht="15" customHeight="1">
      <c r="A896" t="inlineStr">
        <is>
          <t>A 39444-2025</t>
        </is>
      </c>
      <c r="B896" s="1" t="n">
        <v>45889.69826388889</v>
      </c>
      <c r="C896" s="1" t="n">
        <v>45965</v>
      </c>
      <c r="D896" t="inlineStr">
        <is>
          <t>VÄSTERNORRLANDS LÄN</t>
        </is>
      </c>
      <c r="E896" t="inlineStr">
        <is>
          <t>ÅNGE</t>
        </is>
      </c>
      <c r="F896" t="inlineStr">
        <is>
          <t>SCA</t>
        </is>
      </c>
      <c r="G896" t="n">
        <v>7.9</v>
      </c>
      <c r="H896" t="n">
        <v>0</v>
      </c>
      <c r="I896" t="n">
        <v>0</v>
      </c>
      <c r="J896" t="n">
        <v>0</v>
      </c>
      <c r="K896" t="n">
        <v>0</v>
      </c>
      <c r="L896" t="n">
        <v>0</v>
      </c>
      <c r="M896" t="n">
        <v>0</v>
      </c>
      <c r="N896" t="n">
        <v>0</v>
      </c>
      <c r="O896" t="n">
        <v>0</v>
      </c>
      <c r="P896" t="n">
        <v>0</v>
      </c>
      <c r="Q896" t="n">
        <v>0</v>
      </c>
      <c r="R896" s="2" t="inlineStr"/>
    </row>
    <row r="897" ht="15" customHeight="1">
      <c r="A897" t="inlineStr">
        <is>
          <t>A 58748-2023</t>
        </is>
      </c>
      <c r="B897" s="1" t="n">
        <v>45251.92936342592</v>
      </c>
      <c r="C897" s="1" t="n">
        <v>45965</v>
      </c>
      <c r="D897" t="inlineStr">
        <is>
          <t>VÄSTERNORRLANDS LÄN</t>
        </is>
      </c>
      <c r="E897" t="inlineStr">
        <is>
          <t>ÅNGE</t>
        </is>
      </c>
      <c r="G897" t="n">
        <v>2.7</v>
      </c>
      <c r="H897" t="n">
        <v>0</v>
      </c>
      <c r="I897" t="n">
        <v>0</v>
      </c>
      <c r="J897" t="n">
        <v>0</v>
      </c>
      <c r="K897" t="n">
        <v>0</v>
      </c>
      <c r="L897" t="n">
        <v>0</v>
      </c>
      <c r="M897" t="n">
        <v>0</v>
      </c>
      <c r="N897" t="n">
        <v>0</v>
      </c>
      <c r="O897" t="n">
        <v>0</v>
      </c>
      <c r="P897" t="n">
        <v>0</v>
      </c>
      <c r="Q897" t="n">
        <v>0</v>
      </c>
      <c r="R897" s="2" t="inlineStr"/>
    </row>
    <row r="898" ht="15" customHeight="1">
      <c r="A898" t="inlineStr">
        <is>
          <t>A 12806-2025</t>
        </is>
      </c>
      <c r="B898" s="1" t="n">
        <v>45733.61518518518</v>
      </c>
      <c r="C898" s="1" t="n">
        <v>45965</v>
      </c>
      <c r="D898" t="inlineStr">
        <is>
          <t>VÄSTERNORRLANDS LÄN</t>
        </is>
      </c>
      <c r="E898" t="inlineStr">
        <is>
          <t>ÅNGE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20024-2023</t>
        </is>
      </c>
      <c r="B899" s="1" t="n">
        <v>45051</v>
      </c>
      <c r="C899" s="1" t="n">
        <v>45965</v>
      </c>
      <c r="D899" t="inlineStr">
        <is>
          <t>VÄSTERNORRLANDS LÄN</t>
        </is>
      </c>
      <c r="E899" t="inlineStr">
        <is>
          <t>ÅNGE</t>
        </is>
      </c>
      <c r="G899" t="n">
        <v>0.8</v>
      </c>
      <c r="H899" t="n">
        <v>0</v>
      </c>
      <c r="I899" t="n">
        <v>0</v>
      </c>
      <c r="J899" t="n">
        <v>0</v>
      </c>
      <c r="K899" t="n">
        <v>0</v>
      </c>
      <c r="L899" t="n">
        <v>0</v>
      </c>
      <c r="M899" t="n">
        <v>0</v>
      </c>
      <c r="N899" t="n">
        <v>0</v>
      </c>
      <c r="O899" t="n">
        <v>0</v>
      </c>
      <c r="P899" t="n">
        <v>0</v>
      </c>
      <c r="Q899" t="n">
        <v>0</v>
      </c>
      <c r="R899" s="2" t="inlineStr"/>
    </row>
    <row r="900" ht="15" customHeight="1">
      <c r="A900" t="inlineStr">
        <is>
          <t>A 43552-2023</t>
        </is>
      </c>
      <c r="B900" s="1" t="n">
        <v>45181</v>
      </c>
      <c r="C900" s="1" t="n">
        <v>45965</v>
      </c>
      <c r="D900" t="inlineStr">
        <is>
          <t>VÄSTERNORRLANDS LÄN</t>
        </is>
      </c>
      <c r="E900" t="inlineStr">
        <is>
          <t>ÅNGE</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23091-2025</t>
        </is>
      </c>
      <c r="B901" s="1" t="n">
        <v>45791.34456018519</v>
      </c>
      <c r="C901" s="1" t="n">
        <v>45965</v>
      </c>
      <c r="D901" t="inlineStr">
        <is>
          <t>VÄSTERNORRLANDS LÄN</t>
        </is>
      </c>
      <c r="E901" t="inlineStr">
        <is>
          <t>ÅNGE</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23580-2025</t>
        </is>
      </c>
      <c r="B902" s="1" t="n">
        <v>45792.62555555555</v>
      </c>
      <c r="C902" s="1" t="n">
        <v>45965</v>
      </c>
      <c r="D902" t="inlineStr">
        <is>
          <t>VÄSTERNORRLANDS LÄN</t>
        </is>
      </c>
      <c r="E902" t="inlineStr">
        <is>
          <t>ÅNGE</t>
        </is>
      </c>
      <c r="F902" t="inlineStr">
        <is>
          <t>Kyrkan</t>
        </is>
      </c>
      <c r="G902" t="n">
        <v>2.6</v>
      </c>
      <c r="H902" t="n">
        <v>0</v>
      </c>
      <c r="I902" t="n">
        <v>0</v>
      </c>
      <c r="J902" t="n">
        <v>0</v>
      </c>
      <c r="K902" t="n">
        <v>0</v>
      </c>
      <c r="L902" t="n">
        <v>0</v>
      </c>
      <c r="M902" t="n">
        <v>0</v>
      </c>
      <c r="N902" t="n">
        <v>0</v>
      </c>
      <c r="O902" t="n">
        <v>0</v>
      </c>
      <c r="P902" t="n">
        <v>0</v>
      </c>
      <c r="Q902" t="n">
        <v>0</v>
      </c>
      <c r="R902" s="2" t="inlineStr"/>
    </row>
    <row r="903" ht="15" customHeight="1">
      <c r="A903" t="inlineStr">
        <is>
          <t>A 13164-2022</t>
        </is>
      </c>
      <c r="B903" s="1" t="n">
        <v>44644</v>
      </c>
      <c r="C903" s="1" t="n">
        <v>45965</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5456-2024</t>
        </is>
      </c>
      <c r="B904" s="1" t="n">
        <v>45331</v>
      </c>
      <c r="C904" s="1" t="n">
        <v>45965</v>
      </c>
      <c r="D904" t="inlineStr">
        <is>
          <t>VÄSTERNORRLANDS LÄN</t>
        </is>
      </c>
      <c r="E904" t="inlineStr">
        <is>
          <t>ÅNGE</t>
        </is>
      </c>
      <c r="G904" t="n">
        <v>13</v>
      </c>
      <c r="H904" t="n">
        <v>0</v>
      </c>
      <c r="I904" t="n">
        <v>0</v>
      </c>
      <c r="J904" t="n">
        <v>0</v>
      </c>
      <c r="K904" t="n">
        <v>0</v>
      </c>
      <c r="L904" t="n">
        <v>0</v>
      </c>
      <c r="M904" t="n">
        <v>0</v>
      </c>
      <c r="N904" t="n">
        <v>0</v>
      </c>
      <c r="O904" t="n">
        <v>0</v>
      </c>
      <c r="P904" t="n">
        <v>0</v>
      </c>
      <c r="Q904" t="n">
        <v>0</v>
      </c>
      <c r="R904" s="2" t="inlineStr"/>
    </row>
    <row r="905" ht="15" customHeight="1">
      <c r="A905" t="inlineStr">
        <is>
          <t>A 23343-2025</t>
        </is>
      </c>
      <c r="B905" s="1" t="n">
        <v>45791.65702546296</v>
      </c>
      <c r="C905" s="1" t="n">
        <v>45965</v>
      </c>
      <c r="D905" t="inlineStr">
        <is>
          <t>VÄSTERNORRLANDS LÄN</t>
        </is>
      </c>
      <c r="E905" t="inlineStr">
        <is>
          <t>ÅNGE</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46775-2024</t>
        </is>
      </c>
      <c r="B906" s="1" t="n">
        <v>45583.49711805556</v>
      </c>
      <c r="C906" s="1" t="n">
        <v>45965</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46780-2024</t>
        </is>
      </c>
      <c r="B907" s="1" t="n">
        <v>45583.51076388889</v>
      </c>
      <c r="C907" s="1" t="n">
        <v>45965</v>
      </c>
      <c r="D907" t="inlineStr">
        <is>
          <t>VÄSTERNORRLANDS LÄN</t>
        </is>
      </c>
      <c r="E907" t="inlineStr">
        <is>
          <t>ÅNGE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18880-2024</t>
        </is>
      </c>
      <c r="B908" s="1" t="n">
        <v>45426</v>
      </c>
      <c r="C908" s="1" t="n">
        <v>45965</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30474-2024</t>
        </is>
      </c>
      <c r="B909" s="1" t="n">
        <v>45491</v>
      </c>
      <c r="C909" s="1" t="n">
        <v>45965</v>
      </c>
      <c r="D909" t="inlineStr">
        <is>
          <t>VÄSTERNORRLANDS LÄN</t>
        </is>
      </c>
      <c r="E909" t="inlineStr">
        <is>
          <t>ÅNGE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30475-2024</t>
        </is>
      </c>
      <c r="B910" s="1" t="n">
        <v>45491</v>
      </c>
      <c r="C910" s="1" t="n">
        <v>45965</v>
      </c>
      <c r="D910" t="inlineStr">
        <is>
          <t>VÄSTERNORRLANDS LÄN</t>
        </is>
      </c>
      <c r="E910" t="inlineStr">
        <is>
          <t>ÅNGE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23573-2025</t>
        </is>
      </c>
      <c r="B911" s="1" t="n">
        <v>45792.61497685185</v>
      </c>
      <c r="C911" s="1" t="n">
        <v>45965</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55558-2024</t>
        </is>
      </c>
      <c r="B912" s="1" t="n">
        <v>45622.52586805556</v>
      </c>
      <c r="C912" s="1" t="n">
        <v>45965</v>
      </c>
      <c r="D912" t="inlineStr">
        <is>
          <t>VÄSTERNORRLANDS LÄN</t>
        </is>
      </c>
      <c r="E912" t="inlineStr">
        <is>
          <t>ÅNGE</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23590-2025</t>
        </is>
      </c>
      <c r="B913" s="1" t="n">
        <v>45792.63627314815</v>
      </c>
      <c r="C913" s="1" t="n">
        <v>45965</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23495-2025</t>
        </is>
      </c>
      <c r="B914" s="1" t="n">
        <v>45792.46967592592</v>
      </c>
      <c r="C914" s="1" t="n">
        <v>45965</v>
      </c>
      <c r="D914" t="inlineStr">
        <is>
          <t>VÄSTERNORRLANDS LÄN</t>
        </is>
      </c>
      <c r="E914" t="inlineStr">
        <is>
          <t>ÅNGE</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71965-2021</t>
        </is>
      </c>
      <c r="B915" s="1" t="n">
        <v>44544.32483796297</v>
      </c>
      <c r="C915" s="1" t="n">
        <v>45965</v>
      </c>
      <c r="D915" t="inlineStr">
        <is>
          <t>VÄSTERNORRLANDS LÄN</t>
        </is>
      </c>
      <c r="E915" t="inlineStr">
        <is>
          <t>ÅNGE</t>
        </is>
      </c>
      <c r="G915" t="n">
        <v>0.8</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44698.61150462963</v>
      </c>
      <c r="C916" s="1" t="n">
        <v>45965</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56574-2024</t>
        </is>
      </c>
      <c r="B917" s="1" t="n">
        <v>45625.59616898148</v>
      </c>
      <c r="C917" s="1" t="n">
        <v>45965</v>
      </c>
      <c r="D917" t="inlineStr">
        <is>
          <t>VÄSTERNORRLANDS LÄN</t>
        </is>
      </c>
      <c r="E917" t="inlineStr">
        <is>
          <t>ÅNGE</t>
        </is>
      </c>
      <c r="G917" t="n">
        <v>0.9</v>
      </c>
      <c r="H917" t="n">
        <v>0</v>
      </c>
      <c r="I917" t="n">
        <v>0</v>
      </c>
      <c r="J917" t="n">
        <v>0</v>
      </c>
      <c r="K917" t="n">
        <v>0</v>
      </c>
      <c r="L917" t="n">
        <v>0</v>
      </c>
      <c r="M917" t="n">
        <v>0</v>
      </c>
      <c r="N917" t="n">
        <v>0</v>
      </c>
      <c r="O917" t="n">
        <v>0</v>
      </c>
      <c r="P917" t="n">
        <v>0</v>
      </c>
      <c r="Q917" t="n">
        <v>0</v>
      </c>
      <c r="R917" s="2" t="inlineStr"/>
    </row>
    <row r="918" ht="15" customHeight="1">
      <c r="A918" t="inlineStr">
        <is>
          <t>A 23589-2025</t>
        </is>
      </c>
      <c r="B918" s="1" t="n">
        <v>45792.63618055556</v>
      </c>
      <c r="C918" s="1" t="n">
        <v>45965</v>
      </c>
      <c r="D918" t="inlineStr">
        <is>
          <t>VÄSTERNORRLANDS LÄN</t>
        </is>
      </c>
      <c r="E918" t="inlineStr">
        <is>
          <t>ÅNGE</t>
        </is>
      </c>
      <c r="F918" t="inlineStr">
        <is>
          <t>SCA</t>
        </is>
      </c>
      <c r="G918" t="n">
        <v>10.7</v>
      </c>
      <c r="H918" t="n">
        <v>0</v>
      </c>
      <c r="I918" t="n">
        <v>0</v>
      </c>
      <c r="J918" t="n">
        <v>0</v>
      </c>
      <c r="K918" t="n">
        <v>0</v>
      </c>
      <c r="L918" t="n">
        <v>0</v>
      </c>
      <c r="M918" t="n">
        <v>0</v>
      </c>
      <c r="N918" t="n">
        <v>0</v>
      </c>
      <c r="O918" t="n">
        <v>0</v>
      </c>
      <c r="P918" t="n">
        <v>0</v>
      </c>
      <c r="Q918" t="n">
        <v>0</v>
      </c>
      <c r="R918" s="2" t="inlineStr"/>
    </row>
    <row r="919" ht="15" customHeight="1">
      <c r="A919" t="inlineStr">
        <is>
          <t>A 58087-2024</t>
        </is>
      </c>
      <c r="B919" s="1" t="n">
        <v>45632.34502314815</v>
      </c>
      <c r="C919" s="1" t="n">
        <v>45965</v>
      </c>
      <c r="D919" t="inlineStr">
        <is>
          <t>VÄSTERNORRLANDS LÄN</t>
        </is>
      </c>
      <c r="E919" t="inlineStr">
        <is>
          <t>ÅNGE</t>
        </is>
      </c>
      <c r="G919" t="n">
        <v>2.6</v>
      </c>
      <c r="H919" t="n">
        <v>0</v>
      </c>
      <c r="I919" t="n">
        <v>0</v>
      </c>
      <c r="J919" t="n">
        <v>0</v>
      </c>
      <c r="K919" t="n">
        <v>0</v>
      </c>
      <c r="L919" t="n">
        <v>0</v>
      </c>
      <c r="M919" t="n">
        <v>0</v>
      </c>
      <c r="N919" t="n">
        <v>0</v>
      </c>
      <c r="O919" t="n">
        <v>0</v>
      </c>
      <c r="P919" t="n">
        <v>0</v>
      </c>
      <c r="Q919" t="n">
        <v>0</v>
      </c>
      <c r="R919" s="2" t="inlineStr"/>
    </row>
    <row r="920" ht="15" customHeight="1">
      <c r="A920" t="inlineStr">
        <is>
          <t>A 50231-2024</t>
        </is>
      </c>
      <c r="B920" s="1" t="n">
        <v>45600.55251157407</v>
      </c>
      <c r="C920" s="1" t="n">
        <v>45965</v>
      </c>
      <c r="D920" t="inlineStr">
        <is>
          <t>VÄSTERNORRLANDS LÄN</t>
        </is>
      </c>
      <c r="E920" t="inlineStr">
        <is>
          <t>ÅNGE</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47752-2025</t>
        </is>
      </c>
      <c r="B921" s="1" t="n">
        <v>45931.66358796296</v>
      </c>
      <c r="C921" s="1" t="n">
        <v>45965</v>
      </c>
      <c r="D921" t="inlineStr">
        <is>
          <t>VÄSTERNORRLANDS LÄN</t>
        </is>
      </c>
      <c r="E921" t="inlineStr">
        <is>
          <t>ÅNGE</t>
        </is>
      </c>
      <c r="G921" t="n">
        <v>3.9</v>
      </c>
      <c r="H921" t="n">
        <v>0</v>
      </c>
      <c r="I921" t="n">
        <v>0</v>
      </c>
      <c r="J921" t="n">
        <v>0</v>
      </c>
      <c r="K921" t="n">
        <v>0</v>
      </c>
      <c r="L921" t="n">
        <v>0</v>
      </c>
      <c r="M921" t="n">
        <v>0</v>
      </c>
      <c r="N921" t="n">
        <v>0</v>
      </c>
      <c r="O921" t="n">
        <v>0</v>
      </c>
      <c r="P921" t="n">
        <v>0</v>
      </c>
      <c r="Q921" t="n">
        <v>0</v>
      </c>
      <c r="R921" s="2" t="inlineStr"/>
    </row>
    <row r="922" ht="15" customHeight="1">
      <c r="A922" t="inlineStr">
        <is>
          <t>A 58639-2023</t>
        </is>
      </c>
      <c r="B922" s="1" t="n">
        <v>45251</v>
      </c>
      <c r="C922" s="1" t="n">
        <v>45965</v>
      </c>
      <c r="D922" t="inlineStr">
        <is>
          <t>VÄSTERNORRLANDS LÄN</t>
        </is>
      </c>
      <c r="E922" t="inlineStr">
        <is>
          <t>ÅNGE</t>
        </is>
      </c>
      <c r="G922" t="n">
        <v>0.6</v>
      </c>
      <c r="H922" t="n">
        <v>0</v>
      </c>
      <c r="I922" t="n">
        <v>0</v>
      </c>
      <c r="J922" t="n">
        <v>0</v>
      </c>
      <c r="K922" t="n">
        <v>0</v>
      </c>
      <c r="L922" t="n">
        <v>0</v>
      </c>
      <c r="M922" t="n">
        <v>0</v>
      </c>
      <c r="N922" t="n">
        <v>0</v>
      </c>
      <c r="O922" t="n">
        <v>0</v>
      </c>
      <c r="P922" t="n">
        <v>0</v>
      </c>
      <c r="Q922" t="n">
        <v>0</v>
      </c>
      <c r="R922" s="2" t="inlineStr"/>
    </row>
    <row r="923" ht="15" customHeight="1">
      <c r="A923" t="inlineStr">
        <is>
          <t>A 48069-2025</t>
        </is>
      </c>
      <c r="B923" s="1" t="n">
        <v>45932.69865740741</v>
      </c>
      <c r="C923" s="1" t="n">
        <v>45965</v>
      </c>
      <c r="D923" t="inlineStr">
        <is>
          <t>VÄSTERNORRLANDS LÄN</t>
        </is>
      </c>
      <c r="E923" t="inlineStr">
        <is>
          <t>ÅNGE</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35498-2022</t>
        </is>
      </c>
      <c r="B924" s="1" t="n">
        <v>44798.94810185185</v>
      </c>
      <c r="C924" s="1" t="n">
        <v>45965</v>
      </c>
      <c r="D924" t="inlineStr">
        <is>
          <t>VÄSTERNORRLANDS LÄN</t>
        </is>
      </c>
      <c r="E924" t="inlineStr">
        <is>
          <t>ÅNGE</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23252-2025</t>
        </is>
      </c>
      <c r="B925" s="1" t="n">
        <v>45791.53157407408</v>
      </c>
      <c r="C925" s="1" t="n">
        <v>45965</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23529-2025</t>
        </is>
      </c>
      <c r="B926" s="1" t="n">
        <v>45792.53158564815</v>
      </c>
      <c r="C926" s="1" t="n">
        <v>45965</v>
      </c>
      <c r="D926" t="inlineStr">
        <is>
          <t>VÄSTERNORRLANDS LÄN</t>
        </is>
      </c>
      <c r="E926" t="inlineStr">
        <is>
          <t>ÅNGE</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23552-2025</t>
        </is>
      </c>
      <c r="B927" s="1" t="n">
        <v>45792.5738425926</v>
      </c>
      <c r="C927" s="1" t="n">
        <v>45965</v>
      </c>
      <c r="D927" t="inlineStr">
        <is>
          <t>VÄSTERNORRLANDS LÄN</t>
        </is>
      </c>
      <c r="E927" t="inlineStr">
        <is>
          <t>ÅNGE</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23748-2025</t>
        </is>
      </c>
      <c r="B928" s="1" t="n">
        <v>45793.44755787037</v>
      </c>
      <c r="C928" s="1" t="n">
        <v>45965</v>
      </c>
      <c r="D928" t="inlineStr">
        <is>
          <t>VÄSTERNORRLANDS LÄN</t>
        </is>
      </c>
      <c r="E928" t="inlineStr">
        <is>
          <t>ÅNGE</t>
        </is>
      </c>
      <c r="F928" t="inlineStr">
        <is>
          <t>Sveaskog</t>
        </is>
      </c>
      <c r="G928" t="n">
        <v>6.5</v>
      </c>
      <c r="H928" t="n">
        <v>0</v>
      </c>
      <c r="I928" t="n">
        <v>0</v>
      </c>
      <c r="J928" t="n">
        <v>0</v>
      </c>
      <c r="K928" t="n">
        <v>0</v>
      </c>
      <c r="L928" t="n">
        <v>0</v>
      </c>
      <c r="M928" t="n">
        <v>0</v>
      </c>
      <c r="N928" t="n">
        <v>0</v>
      </c>
      <c r="O928" t="n">
        <v>0</v>
      </c>
      <c r="P928" t="n">
        <v>0</v>
      </c>
      <c r="Q928" t="n">
        <v>0</v>
      </c>
      <c r="R928" s="2" t="inlineStr"/>
    </row>
    <row r="929" ht="15" customHeight="1">
      <c r="A929" t="inlineStr">
        <is>
          <t>A 43145-2024</t>
        </is>
      </c>
      <c r="B929" s="1" t="n">
        <v>45567.63030092593</v>
      </c>
      <c r="C929" s="1" t="n">
        <v>45965</v>
      </c>
      <c r="D929" t="inlineStr">
        <is>
          <t>VÄSTERNORRLANDS LÄN</t>
        </is>
      </c>
      <c r="E929" t="inlineStr">
        <is>
          <t>ÅNGE</t>
        </is>
      </c>
      <c r="G929" t="n">
        <v>1.4</v>
      </c>
      <c r="H929" t="n">
        <v>0</v>
      </c>
      <c r="I929" t="n">
        <v>0</v>
      </c>
      <c r="J929" t="n">
        <v>0</v>
      </c>
      <c r="K929" t="n">
        <v>0</v>
      </c>
      <c r="L929" t="n">
        <v>0</v>
      </c>
      <c r="M929" t="n">
        <v>0</v>
      </c>
      <c r="N929" t="n">
        <v>0</v>
      </c>
      <c r="O929" t="n">
        <v>0</v>
      </c>
      <c r="P929" t="n">
        <v>0</v>
      </c>
      <c r="Q929" t="n">
        <v>0</v>
      </c>
      <c r="R929" s="2" t="inlineStr"/>
    </row>
    <row r="930" ht="15" customHeight="1">
      <c r="A930" t="inlineStr">
        <is>
          <t>A 23899-2025</t>
        </is>
      </c>
      <c r="B930" s="1" t="n">
        <v>45794.34414351852</v>
      </c>
      <c r="C930" s="1" t="n">
        <v>45965</v>
      </c>
      <c r="D930" t="inlineStr">
        <is>
          <t>VÄSTERNORRLANDS LÄN</t>
        </is>
      </c>
      <c r="E930" t="inlineStr">
        <is>
          <t>ÅNGE</t>
        </is>
      </c>
      <c r="F930" t="inlineStr">
        <is>
          <t>SCA</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59600-2024</t>
        </is>
      </c>
      <c r="B931" s="1" t="n">
        <v>45638.71763888889</v>
      </c>
      <c r="C931" s="1" t="n">
        <v>45965</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23917-2025</t>
        </is>
      </c>
      <c r="B932" s="1" t="n">
        <v>45795.34481481482</v>
      </c>
      <c r="C932" s="1" t="n">
        <v>45965</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3347-2024</t>
        </is>
      </c>
      <c r="B933" s="1" t="n">
        <v>45317</v>
      </c>
      <c r="C933" s="1" t="n">
        <v>45965</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3133-2024</t>
        </is>
      </c>
      <c r="B934" s="1" t="n">
        <v>45316.55885416667</v>
      </c>
      <c r="C934" s="1" t="n">
        <v>45965</v>
      </c>
      <c r="D934" t="inlineStr">
        <is>
          <t>VÄSTERNORRLANDS LÄN</t>
        </is>
      </c>
      <c r="E934" t="inlineStr">
        <is>
          <t>ÅNGE</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56188-2024</t>
        </is>
      </c>
      <c r="B935" s="1" t="n">
        <v>45624.57800925926</v>
      </c>
      <c r="C935" s="1" t="n">
        <v>45965</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17210-2022</t>
        </is>
      </c>
      <c r="B936" s="1" t="n">
        <v>44677.92701388889</v>
      </c>
      <c r="C936" s="1" t="n">
        <v>45965</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9382-2025</t>
        </is>
      </c>
      <c r="B937" s="1" t="n">
        <v>45715.34425925926</v>
      </c>
      <c r="C937" s="1" t="n">
        <v>45965</v>
      </c>
      <c r="D937" t="inlineStr">
        <is>
          <t>VÄSTERNORRLANDS LÄN</t>
        </is>
      </c>
      <c r="E937" t="inlineStr">
        <is>
          <t>ÅNGE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39843-2023</t>
        </is>
      </c>
      <c r="B938" s="1" t="n">
        <v>45168</v>
      </c>
      <c r="C938" s="1" t="n">
        <v>45965</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10195-2024</t>
        </is>
      </c>
      <c r="B939" s="1" t="n">
        <v>45364</v>
      </c>
      <c r="C939" s="1" t="n">
        <v>45965</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1711-2025</t>
        </is>
      </c>
      <c r="B940" s="1" t="n">
        <v>45671.31184027778</v>
      </c>
      <c r="C940" s="1" t="n">
        <v>45965</v>
      </c>
      <c r="D940" t="inlineStr">
        <is>
          <t>VÄSTERNORRLANDS LÄN</t>
        </is>
      </c>
      <c r="E940" t="inlineStr">
        <is>
          <t>ÅNGE</t>
        </is>
      </c>
      <c r="G940" t="n">
        <v>2.8</v>
      </c>
      <c r="H940" t="n">
        <v>0</v>
      </c>
      <c r="I940" t="n">
        <v>0</v>
      </c>
      <c r="J940" t="n">
        <v>0</v>
      </c>
      <c r="K940" t="n">
        <v>0</v>
      </c>
      <c r="L940" t="n">
        <v>0</v>
      </c>
      <c r="M940" t="n">
        <v>0</v>
      </c>
      <c r="N940" t="n">
        <v>0</v>
      </c>
      <c r="O940" t="n">
        <v>0</v>
      </c>
      <c r="P940" t="n">
        <v>0</v>
      </c>
      <c r="Q940" t="n">
        <v>0</v>
      </c>
      <c r="R940" s="2" t="inlineStr"/>
    </row>
    <row r="941" ht="15" customHeight="1">
      <c r="A941" t="inlineStr">
        <is>
          <t>A 42043-2024</t>
        </is>
      </c>
      <c r="B941" s="1" t="n">
        <v>45561</v>
      </c>
      <c r="C941" s="1" t="n">
        <v>45965</v>
      </c>
      <c r="D941" t="inlineStr">
        <is>
          <t>VÄSTERNORRLANDS LÄN</t>
        </is>
      </c>
      <c r="E941" t="inlineStr">
        <is>
          <t>ÅNGE</t>
        </is>
      </c>
      <c r="G941" t="n">
        <v>3.1</v>
      </c>
      <c r="H941" t="n">
        <v>0</v>
      </c>
      <c r="I941" t="n">
        <v>0</v>
      </c>
      <c r="J941" t="n">
        <v>0</v>
      </c>
      <c r="K941" t="n">
        <v>0</v>
      </c>
      <c r="L941" t="n">
        <v>0</v>
      </c>
      <c r="M941" t="n">
        <v>0</v>
      </c>
      <c r="N941" t="n">
        <v>0</v>
      </c>
      <c r="O941" t="n">
        <v>0</v>
      </c>
      <c r="P941" t="n">
        <v>0</v>
      </c>
      <c r="Q941" t="n">
        <v>0</v>
      </c>
      <c r="R941" s="2" t="inlineStr"/>
    </row>
    <row r="942" ht="15" customHeight="1">
      <c r="A942" t="inlineStr">
        <is>
          <t>A 42046-2024</t>
        </is>
      </c>
      <c r="B942" s="1" t="n">
        <v>45561.83422453704</v>
      </c>
      <c r="C942" s="1" t="n">
        <v>45965</v>
      </c>
      <c r="D942" t="inlineStr">
        <is>
          <t>VÄSTERNORRLANDS LÄN</t>
        </is>
      </c>
      <c r="E942" t="inlineStr">
        <is>
          <t>ÅNGE</t>
        </is>
      </c>
      <c r="G942" t="n">
        <v>0.6</v>
      </c>
      <c r="H942" t="n">
        <v>0</v>
      </c>
      <c r="I942" t="n">
        <v>0</v>
      </c>
      <c r="J942" t="n">
        <v>0</v>
      </c>
      <c r="K942" t="n">
        <v>0</v>
      </c>
      <c r="L942" t="n">
        <v>0</v>
      </c>
      <c r="M942" t="n">
        <v>0</v>
      </c>
      <c r="N942" t="n">
        <v>0</v>
      </c>
      <c r="O942" t="n">
        <v>0</v>
      </c>
      <c r="P942" t="n">
        <v>0</v>
      </c>
      <c r="Q942" t="n">
        <v>0</v>
      </c>
      <c r="R942" s="2" t="inlineStr"/>
    </row>
    <row r="943" ht="15" customHeight="1">
      <c r="A943" t="inlineStr">
        <is>
          <t>A 23975-2025</t>
        </is>
      </c>
      <c r="B943" s="1" t="n">
        <v>45796.38614583333</v>
      </c>
      <c r="C943" s="1" t="n">
        <v>45965</v>
      </c>
      <c r="D943" t="inlineStr">
        <is>
          <t>VÄSTERNORRLANDS LÄN</t>
        </is>
      </c>
      <c r="E943" t="inlineStr">
        <is>
          <t>ÅNGE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23976-2025</t>
        </is>
      </c>
      <c r="B944" s="1" t="n">
        <v>45796.38625</v>
      </c>
      <c r="C944" s="1" t="n">
        <v>45965</v>
      </c>
      <c r="D944" t="inlineStr">
        <is>
          <t>VÄSTERNORRLANDS LÄN</t>
        </is>
      </c>
      <c r="E944" t="inlineStr">
        <is>
          <t>ÅNGE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23921-2025</t>
        </is>
      </c>
      <c r="B945" s="1" t="n">
        <v>45795.34513888889</v>
      </c>
      <c r="C945" s="1" t="n">
        <v>45965</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361-2025</t>
        </is>
      </c>
      <c r="B946" s="1" t="n">
        <v>45660</v>
      </c>
      <c r="C946" s="1" t="n">
        <v>45965</v>
      </c>
      <c r="D946" t="inlineStr">
        <is>
          <t>VÄSTERNORRLANDS LÄN</t>
        </is>
      </c>
      <c r="E946" t="inlineStr">
        <is>
          <t>ÅNGE</t>
        </is>
      </c>
      <c r="G946" t="n">
        <v>4.2</v>
      </c>
      <c r="H946" t="n">
        <v>0</v>
      </c>
      <c r="I946" t="n">
        <v>0</v>
      </c>
      <c r="J946" t="n">
        <v>0</v>
      </c>
      <c r="K946" t="n">
        <v>0</v>
      </c>
      <c r="L946" t="n">
        <v>0</v>
      </c>
      <c r="M946" t="n">
        <v>0</v>
      </c>
      <c r="N946" t="n">
        <v>0</v>
      </c>
      <c r="O946" t="n">
        <v>0</v>
      </c>
      <c r="P946" t="n">
        <v>0</v>
      </c>
      <c r="Q946" t="n">
        <v>0</v>
      </c>
      <c r="R946" s="2" t="inlineStr"/>
    </row>
    <row r="947" ht="15" customHeight="1">
      <c r="A947" t="inlineStr">
        <is>
          <t>A 54079-2023</t>
        </is>
      </c>
      <c r="B947" s="1" t="n">
        <v>45231</v>
      </c>
      <c r="C947" s="1" t="n">
        <v>45965</v>
      </c>
      <c r="D947" t="inlineStr">
        <is>
          <t>VÄSTERNORRLANDS LÄN</t>
        </is>
      </c>
      <c r="E947" t="inlineStr">
        <is>
          <t>ÅNGE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12021-2022</t>
        </is>
      </c>
      <c r="B948" s="1" t="n">
        <v>44635</v>
      </c>
      <c r="C948" s="1" t="n">
        <v>45965</v>
      </c>
      <c r="D948" t="inlineStr">
        <is>
          <t>VÄSTERNORRLANDS LÄN</t>
        </is>
      </c>
      <c r="E948" t="inlineStr">
        <is>
          <t>ÅNGE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55751-2024</t>
        </is>
      </c>
      <c r="B949" s="1" t="n">
        <v>45623.34409722222</v>
      </c>
      <c r="C949" s="1" t="n">
        <v>45965</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29702-2024</t>
        </is>
      </c>
      <c r="B950" s="1" t="n">
        <v>45485.31525462963</v>
      </c>
      <c r="C950" s="1" t="n">
        <v>45965</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60401-2020</t>
        </is>
      </c>
      <c r="B951" s="1" t="n">
        <v>44152</v>
      </c>
      <c r="C951" s="1" t="n">
        <v>45965</v>
      </c>
      <c r="D951" t="inlineStr">
        <is>
          <t>VÄSTERNORRLANDS LÄN</t>
        </is>
      </c>
      <c r="E951" t="inlineStr">
        <is>
          <t>ÅNGE</t>
        </is>
      </c>
      <c r="G951" t="n">
        <v>0.8</v>
      </c>
      <c r="H951" t="n">
        <v>0</v>
      </c>
      <c r="I951" t="n">
        <v>0</v>
      </c>
      <c r="J951" t="n">
        <v>0</v>
      </c>
      <c r="K951" t="n">
        <v>0</v>
      </c>
      <c r="L951" t="n">
        <v>0</v>
      </c>
      <c r="M951" t="n">
        <v>0</v>
      </c>
      <c r="N951" t="n">
        <v>0</v>
      </c>
      <c r="O951" t="n">
        <v>0</v>
      </c>
      <c r="P951" t="n">
        <v>0</v>
      </c>
      <c r="Q951" t="n">
        <v>0</v>
      </c>
      <c r="R951" s="2" t="inlineStr"/>
    </row>
    <row r="952" ht="15" customHeight="1">
      <c r="A952" t="inlineStr">
        <is>
          <t>A 26641-2024</t>
        </is>
      </c>
      <c r="B952" s="1" t="n">
        <v>45469.92836805555</v>
      </c>
      <c r="C952" s="1" t="n">
        <v>45965</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6690-2024</t>
        </is>
      </c>
      <c r="B953" s="1" t="n">
        <v>45341</v>
      </c>
      <c r="C953" s="1" t="n">
        <v>45965</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41741-2023</t>
        </is>
      </c>
      <c r="B954" s="1" t="n">
        <v>45176.42164351852</v>
      </c>
      <c r="C954" s="1" t="n">
        <v>45965</v>
      </c>
      <c r="D954" t="inlineStr">
        <is>
          <t>VÄSTERNORRLANDS LÄN</t>
        </is>
      </c>
      <c r="E954" t="inlineStr">
        <is>
          <t>ÅNGE</t>
        </is>
      </c>
      <c r="G954" t="n">
        <v>7.8</v>
      </c>
      <c r="H954" t="n">
        <v>0</v>
      </c>
      <c r="I954" t="n">
        <v>0</v>
      </c>
      <c r="J954" t="n">
        <v>0</v>
      </c>
      <c r="K954" t="n">
        <v>0</v>
      </c>
      <c r="L954" t="n">
        <v>0</v>
      </c>
      <c r="M954" t="n">
        <v>0</v>
      </c>
      <c r="N954" t="n">
        <v>0</v>
      </c>
      <c r="O954" t="n">
        <v>0</v>
      </c>
      <c r="P954" t="n">
        <v>0</v>
      </c>
      <c r="Q954" t="n">
        <v>0</v>
      </c>
      <c r="R954" s="2" t="inlineStr"/>
    </row>
    <row r="955" ht="15" customHeight="1">
      <c r="A955" t="inlineStr">
        <is>
          <t>A 37992-2024</t>
        </is>
      </c>
      <c r="B955" s="1" t="n">
        <v>45544.59524305556</v>
      </c>
      <c r="C955" s="1" t="n">
        <v>45965</v>
      </c>
      <c r="D955" t="inlineStr">
        <is>
          <t>VÄSTERNORRLANDS LÄN</t>
        </is>
      </c>
      <c r="E955" t="inlineStr">
        <is>
          <t>ÅNGE</t>
        </is>
      </c>
      <c r="G955" t="n">
        <v>3.9</v>
      </c>
      <c r="H955" t="n">
        <v>0</v>
      </c>
      <c r="I955" t="n">
        <v>0</v>
      </c>
      <c r="J955" t="n">
        <v>0</v>
      </c>
      <c r="K955" t="n">
        <v>0</v>
      </c>
      <c r="L955" t="n">
        <v>0</v>
      </c>
      <c r="M955" t="n">
        <v>0</v>
      </c>
      <c r="N955" t="n">
        <v>0</v>
      </c>
      <c r="O955" t="n">
        <v>0</v>
      </c>
      <c r="P955" t="n">
        <v>0</v>
      </c>
      <c r="Q955" t="n">
        <v>0</v>
      </c>
      <c r="R955" s="2" t="inlineStr"/>
    </row>
    <row r="956" ht="15" customHeight="1">
      <c r="A956" t="inlineStr">
        <is>
          <t>A 57516-2023</t>
        </is>
      </c>
      <c r="B956" s="1" t="n">
        <v>45246.44665509259</v>
      </c>
      <c r="C956" s="1" t="n">
        <v>45965</v>
      </c>
      <c r="D956" t="inlineStr">
        <is>
          <t>VÄSTERNORRLANDS LÄN</t>
        </is>
      </c>
      <c r="E956" t="inlineStr">
        <is>
          <t>ÅNGE</t>
        </is>
      </c>
      <c r="G956" t="n">
        <v>2.2</v>
      </c>
      <c r="H956" t="n">
        <v>0</v>
      </c>
      <c r="I956" t="n">
        <v>0</v>
      </c>
      <c r="J956" t="n">
        <v>0</v>
      </c>
      <c r="K956" t="n">
        <v>0</v>
      </c>
      <c r="L956" t="n">
        <v>0</v>
      </c>
      <c r="M956" t="n">
        <v>0</v>
      </c>
      <c r="N956" t="n">
        <v>0</v>
      </c>
      <c r="O956" t="n">
        <v>0</v>
      </c>
      <c r="P956" t="n">
        <v>0</v>
      </c>
      <c r="Q956" t="n">
        <v>0</v>
      </c>
      <c r="R956" s="2" t="inlineStr"/>
    </row>
    <row r="957" ht="15" customHeight="1">
      <c r="A957" t="inlineStr">
        <is>
          <t>A 23069-2024</t>
        </is>
      </c>
      <c r="B957" s="1" t="n">
        <v>45450</v>
      </c>
      <c r="C957" s="1" t="n">
        <v>45965</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41575-2024</t>
        </is>
      </c>
      <c r="B958" s="1" t="n">
        <v>45560.55106481481</v>
      </c>
      <c r="C958" s="1" t="n">
        <v>45965</v>
      </c>
      <c r="D958" t="inlineStr">
        <is>
          <t>VÄSTERNORRLANDS LÄN</t>
        </is>
      </c>
      <c r="E958" t="inlineStr">
        <is>
          <t>ÅNGE</t>
        </is>
      </c>
      <c r="F958" t="inlineStr">
        <is>
          <t>Holmen skog AB</t>
        </is>
      </c>
      <c r="G958" t="n">
        <v>0.7</v>
      </c>
      <c r="H958" t="n">
        <v>0</v>
      </c>
      <c r="I958" t="n">
        <v>0</v>
      </c>
      <c r="J958" t="n">
        <v>0</v>
      </c>
      <c r="K958" t="n">
        <v>0</v>
      </c>
      <c r="L958" t="n">
        <v>0</v>
      </c>
      <c r="M958" t="n">
        <v>0</v>
      </c>
      <c r="N958" t="n">
        <v>0</v>
      </c>
      <c r="O958" t="n">
        <v>0</v>
      </c>
      <c r="P958" t="n">
        <v>0</v>
      </c>
      <c r="Q958" t="n">
        <v>0</v>
      </c>
      <c r="R958" s="2" t="inlineStr"/>
    </row>
    <row r="959" ht="15" customHeight="1">
      <c r="A959" t="inlineStr">
        <is>
          <t>A 24008-2025</t>
        </is>
      </c>
      <c r="B959" s="1" t="n">
        <v>45796.43841435185</v>
      </c>
      <c r="C959" s="1" t="n">
        <v>45965</v>
      </c>
      <c r="D959" t="inlineStr">
        <is>
          <t>VÄSTERNORRLANDS LÄN</t>
        </is>
      </c>
      <c r="E959" t="inlineStr">
        <is>
          <t>ÅNGE</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56232-2024</t>
        </is>
      </c>
      <c r="B960" s="1" t="n">
        <v>45624</v>
      </c>
      <c r="C960" s="1" t="n">
        <v>45965</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44635-2024</t>
        </is>
      </c>
      <c r="B961" s="1" t="n">
        <v>45574.51488425926</v>
      </c>
      <c r="C961" s="1" t="n">
        <v>45965</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39434-2025</t>
        </is>
      </c>
      <c r="B962" s="1" t="n">
        <v>45889.67811342593</v>
      </c>
      <c r="C962" s="1" t="n">
        <v>45965</v>
      </c>
      <c r="D962" t="inlineStr">
        <is>
          <t>VÄSTERNORRLANDS LÄN</t>
        </is>
      </c>
      <c r="E962" t="inlineStr">
        <is>
          <t>ÅNGE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19007-2025</t>
        </is>
      </c>
      <c r="B963" s="1" t="n">
        <v>45764.58515046296</v>
      </c>
      <c r="C963" s="1" t="n">
        <v>45965</v>
      </c>
      <c r="D963" t="inlineStr">
        <is>
          <t>VÄSTERNORRLANDS LÄN</t>
        </is>
      </c>
      <c r="E963" t="inlineStr">
        <is>
          <t>ÅNGE</t>
        </is>
      </c>
      <c r="G963" t="n">
        <v>3.7</v>
      </c>
      <c r="H963" t="n">
        <v>0</v>
      </c>
      <c r="I963" t="n">
        <v>0</v>
      </c>
      <c r="J963" t="n">
        <v>0</v>
      </c>
      <c r="K963" t="n">
        <v>0</v>
      </c>
      <c r="L963" t="n">
        <v>0</v>
      </c>
      <c r="M963" t="n">
        <v>0</v>
      </c>
      <c r="N963" t="n">
        <v>0</v>
      </c>
      <c r="O963" t="n">
        <v>0</v>
      </c>
      <c r="P963" t="n">
        <v>0</v>
      </c>
      <c r="Q963" t="n">
        <v>0</v>
      </c>
      <c r="R963" s="2" t="inlineStr"/>
    </row>
    <row r="964" ht="15" customHeight="1">
      <c r="A964" t="inlineStr">
        <is>
          <t>A 3977-2025</t>
        </is>
      </c>
      <c r="B964" s="1" t="n">
        <v>45684</v>
      </c>
      <c r="C964" s="1" t="n">
        <v>45965</v>
      </c>
      <c r="D964" t="inlineStr">
        <is>
          <t>VÄSTERNORRLANDS LÄN</t>
        </is>
      </c>
      <c r="E964" t="inlineStr">
        <is>
          <t>ÅNGE</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60004-2023</t>
        </is>
      </c>
      <c r="B965" s="1" t="n">
        <v>45257</v>
      </c>
      <c r="C965" s="1" t="n">
        <v>45965</v>
      </c>
      <c r="D965" t="inlineStr">
        <is>
          <t>VÄSTERNORRLANDS LÄN</t>
        </is>
      </c>
      <c r="E965" t="inlineStr">
        <is>
          <t>ÅNGE</t>
        </is>
      </c>
      <c r="F965" t="inlineStr">
        <is>
          <t>SCA</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16191-2023</t>
        </is>
      </c>
      <c r="B966" s="1" t="n">
        <v>45027.94111111111</v>
      </c>
      <c r="C966" s="1" t="n">
        <v>45965</v>
      </c>
      <c r="D966" t="inlineStr">
        <is>
          <t>VÄSTERNORRLANDS LÄN</t>
        </is>
      </c>
      <c r="E966" t="inlineStr">
        <is>
          <t>ÅNGE</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17670-2023</t>
        </is>
      </c>
      <c r="B967" s="1" t="n">
        <v>45036</v>
      </c>
      <c r="C967" s="1" t="n">
        <v>45965</v>
      </c>
      <c r="D967" t="inlineStr">
        <is>
          <t>VÄSTERNORRLANDS LÄN</t>
        </is>
      </c>
      <c r="E967" t="inlineStr">
        <is>
          <t>ÅNGE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43622-2023</t>
        </is>
      </c>
      <c r="B968" s="1" t="n">
        <v>45184.70777777778</v>
      </c>
      <c r="C968" s="1" t="n">
        <v>45965</v>
      </c>
      <c r="D968" t="inlineStr">
        <is>
          <t>VÄSTERNORRLANDS LÄN</t>
        </is>
      </c>
      <c r="E968" t="inlineStr">
        <is>
          <t>ÅNGE</t>
        </is>
      </c>
      <c r="F968" t="inlineStr">
        <is>
          <t>Holmen skog AB</t>
        </is>
      </c>
      <c r="G968" t="n">
        <v>5.9</v>
      </c>
      <c r="H968" t="n">
        <v>0</v>
      </c>
      <c r="I968" t="n">
        <v>0</v>
      </c>
      <c r="J968" t="n">
        <v>0</v>
      </c>
      <c r="K968" t="n">
        <v>0</v>
      </c>
      <c r="L968" t="n">
        <v>0</v>
      </c>
      <c r="M968" t="n">
        <v>0</v>
      </c>
      <c r="N968" t="n">
        <v>0</v>
      </c>
      <c r="O968" t="n">
        <v>0</v>
      </c>
      <c r="P968" t="n">
        <v>0</v>
      </c>
      <c r="Q968" t="n">
        <v>0</v>
      </c>
      <c r="R968" s="2" t="inlineStr"/>
    </row>
    <row r="969" ht="15" customHeight="1">
      <c r="A969" t="inlineStr">
        <is>
          <t>A 14976-2025</t>
        </is>
      </c>
      <c r="B969" s="1" t="n">
        <v>45743</v>
      </c>
      <c r="C969" s="1" t="n">
        <v>45965</v>
      </c>
      <c r="D969" t="inlineStr">
        <is>
          <t>VÄSTERNORRLANDS LÄN</t>
        </is>
      </c>
      <c r="E969" t="inlineStr">
        <is>
          <t>ÅNGE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48055-2025</t>
        </is>
      </c>
      <c r="B970" s="1" t="n">
        <v>45932.67922453704</v>
      </c>
      <c r="C970" s="1" t="n">
        <v>45965</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24458-2025</t>
        </is>
      </c>
      <c r="B971" s="1" t="n">
        <v>45798.34476851852</v>
      </c>
      <c r="C971" s="1" t="n">
        <v>45965</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5249-2025</t>
        </is>
      </c>
      <c r="B972" s="1" t="n">
        <v>45692.34465277778</v>
      </c>
      <c r="C972" s="1" t="n">
        <v>45965</v>
      </c>
      <c r="D972" t="inlineStr">
        <is>
          <t>VÄSTERNORRLANDS LÄN</t>
        </is>
      </c>
      <c r="E972" t="inlineStr">
        <is>
          <t>ÅNGE</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59412-2024</t>
        </is>
      </c>
      <c r="B973" s="1" t="n">
        <v>45638</v>
      </c>
      <c r="C973" s="1" t="n">
        <v>45965</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44518-2024</t>
        </is>
      </c>
      <c r="B974" s="1" t="n">
        <v>45574.43376157407</v>
      </c>
      <c r="C974" s="1" t="n">
        <v>45965</v>
      </c>
      <c r="D974" t="inlineStr">
        <is>
          <t>VÄSTERNORRLANDS LÄN</t>
        </is>
      </c>
      <c r="E974" t="inlineStr">
        <is>
          <t>ÅNGE</t>
        </is>
      </c>
      <c r="G974" t="n">
        <v>2.6</v>
      </c>
      <c r="H974" t="n">
        <v>0</v>
      </c>
      <c r="I974" t="n">
        <v>0</v>
      </c>
      <c r="J974" t="n">
        <v>0</v>
      </c>
      <c r="K974" t="n">
        <v>0</v>
      </c>
      <c r="L974" t="n">
        <v>0</v>
      </c>
      <c r="M974" t="n">
        <v>0</v>
      </c>
      <c r="N974" t="n">
        <v>0</v>
      </c>
      <c r="O974" t="n">
        <v>0</v>
      </c>
      <c r="P974" t="n">
        <v>0</v>
      </c>
      <c r="Q974" t="n">
        <v>0</v>
      </c>
      <c r="R974" s="2" t="inlineStr"/>
    </row>
    <row r="975" ht="15" customHeight="1">
      <c r="A975" t="inlineStr">
        <is>
          <t>A 51124-2024</t>
        </is>
      </c>
      <c r="B975" s="1" t="n">
        <v>45603.50716435185</v>
      </c>
      <c r="C975" s="1" t="n">
        <v>45965</v>
      </c>
      <c r="D975" t="inlineStr">
        <is>
          <t>VÄSTERNORRLANDS LÄN</t>
        </is>
      </c>
      <c r="E975" t="inlineStr">
        <is>
          <t>ÅNGE</t>
        </is>
      </c>
      <c r="G975" t="n">
        <v>0.6</v>
      </c>
      <c r="H975" t="n">
        <v>0</v>
      </c>
      <c r="I975" t="n">
        <v>0</v>
      </c>
      <c r="J975" t="n">
        <v>0</v>
      </c>
      <c r="K975" t="n">
        <v>0</v>
      </c>
      <c r="L975" t="n">
        <v>0</v>
      </c>
      <c r="M975" t="n">
        <v>0</v>
      </c>
      <c r="N975" t="n">
        <v>0</v>
      </c>
      <c r="O975" t="n">
        <v>0</v>
      </c>
      <c r="P975" t="n">
        <v>0</v>
      </c>
      <c r="Q975" t="n">
        <v>0</v>
      </c>
      <c r="R975" s="2" t="inlineStr"/>
    </row>
    <row r="976" ht="15" customHeight="1">
      <c r="A976" t="inlineStr">
        <is>
          <t>A 29390-2021</t>
        </is>
      </c>
      <c r="B976" s="1" t="n">
        <v>44361</v>
      </c>
      <c r="C976" s="1" t="n">
        <v>45965</v>
      </c>
      <c r="D976" t="inlineStr">
        <is>
          <t>VÄSTERNORRLANDS LÄN</t>
        </is>
      </c>
      <c r="E976" t="inlineStr">
        <is>
          <t>ÅNGE</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30054-2024</t>
        </is>
      </c>
      <c r="B977" s="1" t="n">
        <v>45488.94758101852</v>
      </c>
      <c r="C977" s="1" t="n">
        <v>45965</v>
      </c>
      <c r="D977" t="inlineStr">
        <is>
          <t>VÄSTERNORRLANDS LÄN</t>
        </is>
      </c>
      <c r="E977" t="inlineStr">
        <is>
          <t>ÅNGE</t>
        </is>
      </c>
      <c r="F977" t="inlineStr">
        <is>
          <t>SCA</t>
        </is>
      </c>
      <c r="G977" t="n">
        <v>11.7</v>
      </c>
      <c r="H977" t="n">
        <v>0</v>
      </c>
      <c r="I977" t="n">
        <v>0</v>
      </c>
      <c r="J977" t="n">
        <v>0</v>
      </c>
      <c r="K977" t="n">
        <v>0</v>
      </c>
      <c r="L977" t="n">
        <v>0</v>
      </c>
      <c r="M977" t="n">
        <v>0</v>
      </c>
      <c r="N977" t="n">
        <v>0</v>
      </c>
      <c r="O977" t="n">
        <v>0</v>
      </c>
      <c r="P977" t="n">
        <v>0</v>
      </c>
      <c r="Q977" t="n">
        <v>0</v>
      </c>
      <c r="R977" s="2" t="inlineStr"/>
    </row>
    <row r="978" ht="15" customHeight="1">
      <c r="A978" t="inlineStr">
        <is>
          <t>A 57271-2024</t>
        </is>
      </c>
      <c r="B978" s="1" t="n">
        <v>45629.57364583333</v>
      </c>
      <c r="C978" s="1" t="n">
        <v>45965</v>
      </c>
      <c r="D978" t="inlineStr">
        <is>
          <t>VÄSTERNORRLANDS LÄN</t>
        </is>
      </c>
      <c r="E978" t="inlineStr">
        <is>
          <t>ÅNGE</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24357-2025</t>
        </is>
      </c>
      <c r="B979" s="1" t="n">
        <v>45797.59467592592</v>
      </c>
      <c r="C979" s="1" t="n">
        <v>45965</v>
      </c>
      <c r="D979" t="inlineStr">
        <is>
          <t>VÄSTERNORRLANDS LÄN</t>
        </is>
      </c>
      <c r="E979" t="inlineStr">
        <is>
          <t>ÅNGE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50674-2024</t>
        </is>
      </c>
      <c r="B980" s="1" t="n">
        <v>45601.85402777778</v>
      </c>
      <c r="C980" s="1" t="n">
        <v>45965</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54720-2024</t>
        </is>
      </c>
      <c r="B981" s="1" t="n">
        <v>45618.43715277778</v>
      </c>
      <c r="C981" s="1" t="n">
        <v>45965</v>
      </c>
      <c r="D981" t="inlineStr">
        <is>
          <t>VÄSTERNORRLANDS LÄN</t>
        </is>
      </c>
      <c r="E981" t="inlineStr">
        <is>
          <t>ÅNGE</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5369-2022</t>
        </is>
      </c>
      <c r="B982" s="1" t="n">
        <v>44594.92113425926</v>
      </c>
      <c r="C982" s="1" t="n">
        <v>45965</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24207-2025</t>
        </is>
      </c>
      <c r="B983" s="1" t="n">
        <v>45797.34439814815</v>
      </c>
      <c r="C983" s="1" t="n">
        <v>45965</v>
      </c>
      <c r="D983" t="inlineStr">
        <is>
          <t>VÄSTERNORRLANDS LÄN</t>
        </is>
      </c>
      <c r="E983" t="inlineStr">
        <is>
          <t>ÅNGE</t>
        </is>
      </c>
      <c r="F983" t="inlineStr">
        <is>
          <t>SCA</t>
        </is>
      </c>
      <c r="G983" t="n">
        <v>10.3</v>
      </c>
      <c r="H983" t="n">
        <v>0</v>
      </c>
      <c r="I983" t="n">
        <v>0</v>
      </c>
      <c r="J983" t="n">
        <v>0</v>
      </c>
      <c r="K983" t="n">
        <v>0</v>
      </c>
      <c r="L983" t="n">
        <v>0</v>
      </c>
      <c r="M983" t="n">
        <v>0</v>
      </c>
      <c r="N983" t="n">
        <v>0</v>
      </c>
      <c r="O983" t="n">
        <v>0</v>
      </c>
      <c r="P983" t="n">
        <v>0</v>
      </c>
      <c r="Q983" t="n">
        <v>0</v>
      </c>
      <c r="R983" s="2" t="inlineStr"/>
    </row>
    <row r="984" ht="15" customHeight="1">
      <c r="A984" t="inlineStr">
        <is>
          <t>A 53336-2024</t>
        </is>
      </c>
      <c r="B984" s="1" t="n">
        <v>45614.42753472222</v>
      </c>
      <c r="C984" s="1" t="n">
        <v>45965</v>
      </c>
      <c r="D984" t="inlineStr">
        <is>
          <t>VÄSTERNORRLANDS LÄN</t>
        </is>
      </c>
      <c r="E984" t="inlineStr">
        <is>
          <t>ÅNGE</t>
        </is>
      </c>
      <c r="G984" t="n">
        <v>1.5</v>
      </c>
      <c r="H984" t="n">
        <v>0</v>
      </c>
      <c r="I984" t="n">
        <v>0</v>
      </c>
      <c r="J984" t="n">
        <v>0</v>
      </c>
      <c r="K984" t="n">
        <v>0</v>
      </c>
      <c r="L984" t="n">
        <v>0</v>
      </c>
      <c r="M984" t="n">
        <v>0</v>
      </c>
      <c r="N984" t="n">
        <v>0</v>
      </c>
      <c r="O984" t="n">
        <v>0</v>
      </c>
      <c r="P984" t="n">
        <v>0</v>
      </c>
      <c r="Q984" t="n">
        <v>0</v>
      </c>
      <c r="R984" s="2" t="inlineStr"/>
    </row>
    <row r="985" ht="15" customHeight="1">
      <c r="A985" t="inlineStr">
        <is>
          <t>A 57598-2022</t>
        </is>
      </c>
      <c r="B985" s="1" t="n">
        <v>44896</v>
      </c>
      <c r="C985" s="1" t="n">
        <v>45965</v>
      </c>
      <c r="D985" t="inlineStr">
        <is>
          <t>VÄSTERNORRLANDS LÄN</t>
        </is>
      </c>
      <c r="E985" t="inlineStr">
        <is>
          <t>ÅNGE</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24292-2025</t>
        </is>
      </c>
      <c r="B986" s="1" t="n">
        <v>45797.46657407407</v>
      </c>
      <c r="C986" s="1" t="n">
        <v>45965</v>
      </c>
      <c r="D986" t="inlineStr">
        <is>
          <t>VÄSTERNORRLANDS LÄN</t>
        </is>
      </c>
      <c r="E986" t="inlineStr">
        <is>
          <t>ÅNGE</t>
        </is>
      </c>
      <c r="G986" t="n">
        <v>2.8</v>
      </c>
      <c r="H986" t="n">
        <v>0</v>
      </c>
      <c r="I986" t="n">
        <v>0</v>
      </c>
      <c r="J986" t="n">
        <v>0</v>
      </c>
      <c r="K986" t="n">
        <v>0</v>
      </c>
      <c r="L986" t="n">
        <v>0</v>
      </c>
      <c r="M986" t="n">
        <v>0</v>
      </c>
      <c r="N986" t="n">
        <v>0</v>
      </c>
      <c r="O986" t="n">
        <v>0</v>
      </c>
      <c r="P986" t="n">
        <v>0</v>
      </c>
      <c r="Q986" t="n">
        <v>0</v>
      </c>
      <c r="R986" s="2" t="inlineStr"/>
    </row>
    <row r="987" ht="15" customHeight="1">
      <c r="A987" t="inlineStr">
        <is>
          <t>A 4142-2024</t>
        </is>
      </c>
      <c r="B987" s="1" t="n">
        <v>45323</v>
      </c>
      <c r="C987" s="1" t="n">
        <v>45965</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27853-2024</t>
        </is>
      </c>
      <c r="B988" s="1" t="n">
        <v>45475</v>
      </c>
      <c r="C988" s="1" t="n">
        <v>45965</v>
      </c>
      <c r="D988" t="inlineStr">
        <is>
          <t>VÄSTERNORRLANDS LÄN</t>
        </is>
      </c>
      <c r="E988" t="inlineStr">
        <is>
          <t>ÅNGE</t>
        </is>
      </c>
      <c r="G988" t="n">
        <v>3.7</v>
      </c>
      <c r="H988" t="n">
        <v>0</v>
      </c>
      <c r="I988" t="n">
        <v>0</v>
      </c>
      <c r="J988" t="n">
        <v>0</v>
      </c>
      <c r="K988" t="n">
        <v>0</v>
      </c>
      <c r="L988" t="n">
        <v>0</v>
      </c>
      <c r="M988" t="n">
        <v>0</v>
      </c>
      <c r="N988" t="n">
        <v>0</v>
      </c>
      <c r="O988" t="n">
        <v>0</v>
      </c>
      <c r="P988" t="n">
        <v>0</v>
      </c>
      <c r="Q988" t="n">
        <v>0</v>
      </c>
      <c r="R988" s="2" t="inlineStr"/>
    </row>
    <row r="989" ht="15" customHeight="1">
      <c r="A989" t="inlineStr">
        <is>
          <t>A 10781-2024</t>
        </is>
      </c>
      <c r="B989" s="1" t="n">
        <v>45369.59635416666</v>
      </c>
      <c r="C989" s="1" t="n">
        <v>45965</v>
      </c>
      <c r="D989" t="inlineStr">
        <is>
          <t>VÄSTERNORRLANDS LÄN</t>
        </is>
      </c>
      <c r="E989" t="inlineStr">
        <is>
          <t>ÅNGE</t>
        </is>
      </c>
      <c r="G989" t="n">
        <v>1.9</v>
      </c>
      <c r="H989" t="n">
        <v>0</v>
      </c>
      <c r="I989" t="n">
        <v>0</v>
      </c>
      <c r="J989" t="n">
        <v>0</v>
      </c>
      <c r="K989" t="n">
        <v>0</v>
      </c>
      <c r="L989" t="n">
        <v>0</v>
      </c>
      <c r="M989" t="n">
        <v>0</v>
      </c>
      <c r="N989" t="n">
        <v>0</v>
      </c>
      <c r="O989" t="n">
        <v>0</v>
      </c>
      <c r="P989" t="n">
        <v>0</v>
      </c>
      <c r="Q989" t="n">
        <v>0</v>
      </c>
      <c r="R989" s="2" t="inlineStr"/>
    </row>
    <row r="990" ht="15" customHeight="1">
      <c r="A990" t="inlineStr">
        <is>
          <t>A 22755-2023</t>
        </is>
      </c>
      <c r="B990" s="1" t="n">
        <v>45071.94127314815</v>
      </c>
      <c r="C990" s="1" t="n">
        <v>45965</v>
      </c>
      <c r="D990" t="inlineStr">
        <is>
          <t>VÄSTERNORRLANDS LÄN</t>
        </is>
      </c>
      <c r="E990" t="inlineStr">
        <is>
          <t>ÅNGE</t>
        </is>
      </c>
      <c r="F990" t="inlineStr">
        <is>
          <t>SCA</t>
        </is>
      </c>
      <c r="G990" t="n">
        <v>12.6</v>
      </c>
      <c r="H990" t="n">
        <v>0</v>
      </c>
      <c r="I990" t="n">
        <v>0</v>
      </c>
      <c r="J990" t="n">
        <v>0</v>
      </c>
      <c r="K990" t="n">
        <v>0</v>
      </c>
      <c r="L990" t="n">
        <v>0</v>
      </c>
      <c r="M990" t="n">
        <v>0</v>
      </c>
      <c r="N990" t="n">
        <v>0</v>
      </c>
      <c r="O990" t="n">
        <v>0</v>
      </c>
      <c r="P990" t="n">
        <v>0</v>
      </c>
      <c r="Q990" t="n">
        <v>0</v>
      </c>
      <c r="R990" s="2" t="inlineStr"/>
    </row>
    <row r="991" ht="15" customHeight="1">
      <c r="A991" t="inlineStr">
        <is>
          <t>A 24627-2025</t>
        </is>
      </c>
      <c r="B991" s="1" t="n">
        <v>45798.59471064815</v>
      </c>
      <c r="C991" s="1" t="n">
        <v>45965</v>
      </c>
      <c r="D991" t="inlineStr">
        <is>
          <t>VÄSTERNORRLANDS LÄN</t>
        </is>
      </c>
      <c r="E991" t="inlineStr">
        <is>
          <t>ÅNGE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24209-2025</t>
        </is>
      </c>
      <c r="B992" s="1" t="n">
        <v>45797.3446875</v>
      </c>
      <c r="C992" s="1" t="n">
        <v>45965</v>
      </c>
      <c r="D992" t="inlineStr">
        <is>
          <t>VÄSTERNORRLANDS LÄN</t>
        </is>
      </c>
      <c r="E992" t="inlineStr">
        <is>
          <t>ÅNGE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24232-2025</t>
        </is>
      </c>
      <c r="B993" s="1" t="n">
        <v>45797.37846064815</v>
      </c>
      <c r="C993" s="1" t="n">
        <v>45965</v>
      </c>
      <c r="D993" t="inlineStr">
        <is>
          <t>VÄSTERNORRLANDS LÄN</t>
        </is>
      </c>
      <c r="E993" t="inlineStr">
        <is>
          <t>ÅNGE</t>
        </is>
      </c>
      <c r="G993" t="n">
        <v>2.8</v>
      </c>
      <c r="H993" t="n">
        <v>0</v>
      </c>
      <c r="I993" t="n">
        <v>0</v>
      </c>
      <c r="J993" t="n">
        <v>0</v>
      </c>
      <c r="K993" t="n">
        <v>0</v>
      </c>
      <c r="L993" t="n">
        <v>0</v>
      </c>
      <c r="M993" t="n">
        <v>0</v>
      </c>
      <c r="N993" t="n">
        <v>0</v>
      </c>
      <c r="O993" t="n">
        <v>0</v>
      </c>
      <c r="P993" t="n">
        <v>0</v>
      </c>
      <c r="Q993" t="n">
        <v>0</v>
      </c>
      <c r="R993" s="2" t="inlineStr"/>
    </row>
    <row r="994" ht="15" customHeight="1">
      <c r="A994" t="inlineStr">
        <is>
          <t>A 50419-2022</t>
        </is>
      </c>
      <c r="B994" s="1" t="n">
        <v>44861</v>
      </c>
      <c r="C994" s="1" t="n">
        <v>45965</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25340-2025</t>
        </is>
      </c>
      <c r="B995" s="1" t="n">
        <v>45800.60074074074</v>
      </c>
      <c r="C995" s="1" t="n">
        <v>45965</v>
      </c>
      <c r="D995" t="inlineStr">
        <is>
          <t>VÄSTERNORRLANDS LÄN</t>
        </is>
      </c>
      <c r="E995" t="inlineStr">
        <is>
          <t>ÅNGE</t>
        </is>
      </c>
      <c r="G995" t="n">
        <v>2.7</v>
      </c>
      <c r="H995" t="n">
        <v>0</v>
      </c>
      <c r="I995" t="n">
        <v>0</v>
      </c>
      <c r="J995" t="n">
        <v>0</v>
      </c>
      <c r="K995" t="n">
        <v>0</v>
      </c>
      <c r="L995" t="n">
        <v>0</v>
      </c>
      <c r="M995" t="n">
        <v>0</v>
      </c>
      <c r="N995" t="n">
        <v>0</v>
      </c>
      <c r="O995" t="n">
        <v>0</v>
      </c>
      <c r="P995" t="n">
        <v>0</v>
      </c>
      <c r="Q995" t="n">
        <v>0</v>
      </c>
      <c r="R995" s="2" t="inlineStr"/>
    </row>
    <row r="996" ht="15" customHeight="1">
      <c r="A996" t="inlineStr">
        <is>
          <t>A 42881-2023</t>
        </is>
      </c>
      <c r="B996" s="1" t="n">
        <v>45182.45256944445</v>
      </c>
      <c r="C996" s="1" t="n">
        <v>45965</v>
      </c>
      <c r="D996" t="inlineStr">
        <is>
          <t>VÄSTERNORRLANDS LÄN</t>
        </is>
      </c>
      <c r="E996" t="inlineStr">
        <is>
          <t>ÅNGE</t>
        </is>
      </c>
      <c r="G996" t="n">
        <v>3.9</v>
      </c>
      <c r="H996" t="n">
        <v>0</v>
      </c>
      <c r="I996" t="n">
        <v>0</v>
      </c>
      <c r="J996" t="n">
        <v>0</v>
      </c>
      <c r="K996" t="n">
        <v>0</v>
      </c>
      <c r="L996" t="n">
        <v>0</v>
      </c>
      <c r="M996" t="n">
        <v>0</v>
      </c>
      <c r="N996" t="n">
        <v>0</v>
      </c>
      <c r="O996" t="n">
        <v>0</v>
      </c>
      <c r="P996" t="n">
        <v>0</v>
      </c>
      <c r="Q996" t="n">
        <v>0</v>
      </c>
      <c r="R996" s="2" t="inlineStr"/>
    </row>
    <row r="997" ht="15" customHeight="1">
      <c r="A997" t="inlineStr">
        <is>
          <t>A 25273-2025</t>
        </is>
      </c>
      <c r="B997" s="1" t="n">
        <v>45800.55253472222</v>
      </c>
      <c r="C997" s="1" t="n">
        <v>45965</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25352-2025</t>
        </is>
      </c>
      <c r="B998" s="1" t="n">
        <v>45800.61552083334</v>
      </c>
      <c r="C998" s="1" t="n">
        <v>45965</v>
      </c>
      <c r="D998" t="inlineStr">
        <is>
          <t>VÄSTERNORRLANDS LÄN</t>
        </is>
      </c>
      <c r="E998" t="inlineStr">
        <is>
          <t>ÅNGE</t>
        </is>
      </c>
      <c r="F998" t="inlineStr">
        <is>
          <t>SCA</t>
        </is>
      </c>
      <c r="G998" t="n">
        <v>6.3</v>
      </c>
      <c r="H998" t="n">
        <v>0</v>
      </c>
      <c r="I998" t="n">
        <v>0</v>
      </c>
      <c r="J998" t="n">
        <v>0</v>
      </c>
      <c r="K998" t="n">
        <v>0</v>
      </c>
      <c r="L998" t="n">
        <v>0</v>
      </c>
      <c r="M998" t="n">
        <v>0</v>
      </c>
      <c r="N998" t="n">
        <v>0</v>
      </c>
      <c r="O998" t="n">
        <v>0</v>
      </c>
      <c r="P998" t="n">
        <v>0</v>
      </c>
      <c r="Q998" t="n">
        <v>0</v>
      </c>
      <c r="R998" s="2" t="inlineStr"/>
    </row>
    <row r="999" ht="15" customHeight="1">
      <c r="A999" t="inlineStr">
        <is>
          <t>A 25017-2025</t>
        </is>
      </c>
      <c r="B999" s="1" t="n">
        <v>45799.63791666667</v>
      </c>
      <c r="C999" s="1" t="n">
        <v>45965</v>
      </c>
      <c r="D999" t="inlineStr">
        <is>
          <t>VÄSTERNORRLANDS LÄN</t>
        </is>
      </c>
      <c r="E999" t="inlineStr">
        <is>
          <t>ÅNGE</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18430-2025</t>
        </is>
      </c>
      <c r="B1000" s="1" t="n">
        <v>45762.63576388889</v>
      </c>
      <c r="C1000" s="1" t="n">
        <v>45965</v>
      </c>
      <c r="D1000" t="inlineStr">
        <is>
          <t>VÄSTERNORRLANDS LÄN</t>
        </is>
      </c>
      <c r="E1000" t="inlineStr">
        <is>
          <t>ÅNGE</t>
        </is>
      </c>
      <c r="F1000" t="inlineStr">
        <is>
          <t>SCA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43916-2023</t>
        </is>
      </c>
      <c r="B1001" s="1" t="n">
        <v>45187.72152777778</v>
      </c>
      <c r="C1001" s="1" t="n">
        <v>45965</v>
      </c>
      <c r="D1001" t="inlineStr">
        <is>
          <t>VÄSTERNORRLANDS LÄN</t>
        </is>
      </c>
      <c r="E1001" t="inlineStr">
        <is>
          <t>ÅNGE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1975-2025</t>
        </is>
      </c>
      <c r="B1002" s="1" t="n">
        <v>45672.39332175926</v>
      </c>
      <c r="C1002" s="1" t="n">
        <v>45965</v>
      </c>
      <c r="D1002" t="inlineStr">
        <is>
          <t>VÄSTERNORRLANDS LÄN</t>
        </is>
      </c>
      <c r="E1002" t="inlineStr">
        <is>
          <t>ÅNGE</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25241-2025</t>
        </is>
      </c>
      <c r="B1003" s="1" t="n">
        <v>45800.49053240741</v>
      </c>
      <c r="C1003" s="1" t="n">
        <v>45965</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25274-2025</t>
        </is>
      </c>
      <c r="B1004" s="1" t="n">
        <v>45800.55276620371</v>
      </c>
      <c r="C1004" s="1" t="n">
        <v>45965</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33429-2023</t>
        </is>
      </c>
      <c r="B1005" s="1" t="n">
        <v>45128.94983796297</v>
      </c>
      <c r="C1005" s="1" t="n">
        <v>45965</v>
      </c>
      <c r="D1005" t="inlineStr">
        <is>
          <t>VÄSTERNORRLANDS LÄN</t>
        </is>
      </c>
      <c r="E1005" t="inlineStr">
        <is>
          <t>ÅNGE</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20576-2021</t>
        </is>
      </c>
      <c r="B1006" s="1" t="n">
        <v>44316.3290162037</v>
      </c>
      <c r="C1006" s="1" t="n">
        <v>45965</v>
      </c>
      <c r="D1006" t="inlineStr">
        <is>
          <t>VÄSTERNORRLANDS LÄN</t>
        </is>
      </c>
      <c r="E1006" t="inlineStr">
        <is>
          <t>ÅNGE</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20255-2023</t>
        </is>
      </c>
      <c r="B1007" s="1" t="n">
        <v>45055</v>
      </c>
      <c r="C1007" s="1" t="n">
        <v>45965</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1235-2023</t>
        </is>
      </c>
      <c r="B1008" s="1" t="n">
        <v>44935</v>
      </c>
      <c r="C1008" s="1" t="n">
        <v>45965</v>
      </c>
      <c r="D1008" t="inlineStr">
        <is>
          <t>VÄSTERNORRLANDS LÄN</t>
        </is>
      </c>
      <c r="E1008" t="inlineStr">
        <is>
          <t>ÅNGE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13501-2021</t>
        </is>
      </c>
      <c r="B1009" s="1" t="n">
        <v>44273</v>
      </c>
      <c r="C1009" s="1" t="n">
        <v>45965</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33302-2024</t>
        </is>
      </c>
      <c r="B1010" s="1" t="n">
        <v>45518.96967592592</v>
      </c>
      <c r="C1010" s="1" t="n">
        <v>45965</v>
      </c>
      <c r="D1010" t="inlineStr">
        <is>
          <t>VÄSTERNORRLANDS LÄN</t>
        </is>
      </c>
      <c r="E1010" t="inlineStr">
        <is>
          <t>ÅNGE</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7528-2023</t>
        </is>
      </c>
      <c r="B1011" s="1" t="n">
        <v>44971.97662037037</v>
      </c>
      <c r="C1011" s="1" t="n">
        <v>45965</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54429-2024</t>
        </is>
      </c>
      <c r="B1012" s="1" t="n">
        <v>45617.49087962963</v>
      </c>
      <c r="C1012" s="1" t="n">
        <v>45965</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59222-2020</t>
        </is>
      </c>
      <c r="B1013" s="1" t="n">
        <v>44147</v>
      </c>
      <c r="C1013" s="1" t="n">
        <v>45965</v>
      </c>
      <c r="D1013" t="inlineStr">
        <is>
          <t>VÄSTERNORRLANDS LÄN</t>
        </is>
      </c>
      <c r="E1013" t="inlineStr">
        <is>
          <t>ÅNGE</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35578-2025</t>
        </is>
      </c>
      <c r="B1014" s="1" t="n">
        <v>45856.67797453704</v>
      </c>
      <c r="C1014" s="1" t="n">
        <v>45965</v>
      </c>
      <c r="D1014" t="inlineStr">
        <is>
          <t>VÄSTERNORRLANDS LÄN</t>
        </is>
      </c>
      <c r="E1014" t="inlineStr">
        <is>
          <t>ÅNGE</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25332-2025</t>
        </is>
      </c>
      <c r="B1015" s="1" t="n">
        <v>45800.59418981482</v>
      </c>
      <c r="C1015" s="1" t="n">
        <v>45965</v>
      </c>
      <c r="D1015" t="inlineStr">
        <is>
          <t>VÄSTERNORRLANDS LÄN</t>
        </is>
      </c>
      <c r="E1015" t="inlineStr">
        <is>
          <t>ÅNGE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24852-2025</t>
        </is>
      </c>
      <c r="B1016" s="1" t="n">
        <v>45799.46975694445</v>
      </c>
      <c r="C1016" s="1" t="n">
        <v>45965</v>
      </c>
      <c r="D1016" t="inlineStr">
        <is>
          <t>VÄSTERNORRLANDS LÄN</t>
        </is>
      </c>
      <c r="E1016" t="inlineStr">
        <is>
          <t>ÅNGE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24847-2025</t>
        </is>
      </c>
      <c r="B1017" s="1" t="n">
        <v>45799.46907407408</v>
      </c>
      <c r="C1017" s="1" t="n">
        <v>45965</v>
      </c>
      <c r="D1017" t="inlineStr">
        <is>
          <t>VÄSTERNORRLANDS LÄN</t>
        </is>
      </c>
      <c r="E1017" t="inlineStr">
        <is>
          <t>ÅNGE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25067-2025</t>
        </is>
      </c>
      <c r="B1018" s="1" t="n">
        <v>45799.71908564815</v>
      </c>
      <c r="C1018" s="1" t="n">
        <v>45965</v>
      </c>
      <c r="D1018" t="inlineStr">
        <is>
          <t>VÄSTERNORRLANDS LÄN</t>
        </is>
      </c>
      <c r="E1018" t="inlineStr">
        <is>
          <t>ÅNGE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34851-2023</t>
        </is>
      </c>
      <c r="B1019" s="1" t="n">
        <v>45141</v>
      </c>
      <c r="C1019" s="1" t="n">
        <v>45965</v>
      </c>
      <c r="D1019" t="inlineStr">
        <is>
          <t>VÄSTERNORRLANDS LÄN</t>
        </is>
      </c>
      <c r="E1019" t="inlineStr">
        <is>
          <t>ÅNGE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48235-2025</t>
        </is>
      </c>
      <c r="B1020" s="1" t="n">
        <v>45933.5321412037</v>
      </c>
      <c r="C1020" s="1" t="n">
        <v>45965</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36492-2023</t>
        </is>
      </c>
      <c r="B1021" s="1" t="n">
        <v>45152.92479166666</v>
      </c>
      <c r="C1021" s="1" t="n">
        <v>45965</v>
      </c>
      <c r="D1021" t="inlineStr">
        <is>
          <t>VÄSTERNORRLANDS LÄN</t>
        </is>
      </c>
      <c r="E1021" t="inlineStr">
        <is>
          <t>ÅNGE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25532-2025</t>
        </is>
      </c>
      <c r="B1022" s="1" t="n">
        <v>45803.4065162037</v>
      </c>
      <c r="C1022" s="1" t="n">
        <v>45965</v>
      </c>
      <c r="D1022" t="inlineStr">
        <is>
          <t>VÄSTERNORRLANDS LÄN</t>
        </is>
      </c>
      <c r="E1022" t="inlineStr">
        <is>
          <t>ÅNGE</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25810-2025</t>
        </is>
      </c>
      <c r="B1023" s="1" t="n">
        <v>45804.42083333333</v>
      </c>
      <c r="C1023" s="1" t="n">
        <v>45965</v>
      </c>
      <c r="D1023" t="inlineStr">
        <is>
          <t>VÄSTERNORRLANDS LÄN</t>
        </is>
      </c>
      <c r="E1023" t="inlineStr">
        <is>
          <t>ÅNGE</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39768-2025</t>
        </is>
      </c>
      <c r="B1024" s="1" t="n">
        <v>45891.44842592593</v>
      </c>
      <c r="C1024" s="1" t="n">
        <v>45965</v>
      </c>
      <c r="D1024" t="inlineStr">
        <is>
          <t>VÄSTERNORRLANDS LÄN</t>
        </is>
      </c>
      <c r="E1024" t="inlineStr">
        <is>
          <t>ÅNGE</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31863-2024</t>
        </is>
      </c>
      <c r="B1025" s="1" t="n">
        <v>45509.74121527778</v>
      </c>
      <c r="C1025" s="1" t="n">
        <v>45965</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53651-2023</t>
        </is>
      </c>
      <c r="B1026" s="1" t="n">
        <v>45230.60815972222</v>
      </c>
      <c r="C1026" s="1" t="n">
        <v>45965</v>
      </c>
      <c r="D1026" t="inlineStr">
        <is>
          <t>VÄSTERNORRLANDS LÄN</t>
        </is>
      </c>
      <c r="E1026" t="inlineStr">
        <is>
          <t>ÅNGE</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8650-2024</t>
        </is>
      </c>
      <c r="B1027" s="1" t="n">
        <v>45356</v>
      </c>
      <c r="C1027" s="1" t="n">
        <v>45965</v>
      </c>
      <c r="D1027" t="inlineStr">
        <is>
          <t>VÄSTERNORRLANDS LÄN</t>
        </is>
      </c>
      <c r="E1027" t="inlineStr">
        <is>
          <t>ÅNGE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36877-2024</t>
        </is>
      </c>
      <c r="B1028" s="1" t="n">
        <v>45538.59418981482</v>
      </c>
      <c r="C1028" s="1" t="n">
        <v>45965</v>
      </c>
      <c r="D1028" t="inlineStr">
        <is>
          <t>VÄSTERNORRLANDS LÄN</t>
        </is>
      </c>
      <c r="E1028" t="inlineStr">
        <is>
          <t>ÅNGE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25499-2025</t>
        </is>
      </c>
      <c r="B1029" s="1" t="n">
        <v>45803.344375</v>
      </c>
      <c r="C1029" s="1" t="n">
        <v>45965</v>
      </c>
      <c r="D1029" t="inlineStr">
        <is>
          <t>VÄSTERNORRLANDS LÄN</t>
        </is>
      </c>
      <c r="E1029" t="inlineStr">
        <is>
          <t>ÅNGE</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25772-2025</t>
        </is>
      </c>
      <c r="B1030" s="1" t="n">
        <v>45804.34520833333</v>
      </c>
      <c r="C1030" s="1" t="n">
        <v>45965</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15863-2022</t>
        </is>
      </c>
      <c r="B1031" s="1" t="n">
        <v>44664</v>
      </c>
      <c r="C1031" s="1" t="n">
        <v>45965</v>
      </c>
      <c r="D1031" t="inlineStr">
        <is>
          <t>VÄSTERNORRLANDS LÄN</t>
        </is>
      </c>
      <c r="E1031" t="inlineStr">
        <is>
          <t>ÅNGE</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26018-2024</t>
        </is>
      </c>
      <c r="B1032" s="1" t="n">
        <v>45467.95998842592</v>
      </c>
      <c r="C1032" s="1" t="n">
        <v>45965</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26021-2024</t>
        </is>
      </c>
      <c r="B1033" s="1" t="n">
        <v>45467</v>
      </c>
      <c r="C1033" s="1" t="n">
        <v>45965</v>
      </c>
      <c r="D1033" t="inlineStr">
        <is>
          <t>VÄSTERNORRLANDS LÄN</t>
        </is>
      </c>
      <c r="E1033" t="inlineStr">
        <is>
          <t>ÅNGE</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45932-2023</t>
        </is>
      </c>
      <c r="B1034" s="1" t="n">
        <v>45195</v>
      </c>
      <c r="C1034" s="1" t="n">
        <v>45965</v>
      </c>
      <c r="D1034" t="inlineStr">
        <is>
          <t>VÄSTERNORRLANDS LÄN</t>
        </is>
      </c>
      <c r="E1034" t="inlineStr">
        <is>
          <t>ÅNGE</t>
        </is>
      </c>
      <c r="F1034" t="inlineStr">
        <is>
          <t>SCA</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26193-2025</t>
        </is>
      </c>
      <c r="B1035" s="1" t="n">
        <v>45805.48922453704</v>
      </c>
      <c r="C1035" s="1" t="n">
        <v>45965</v>
      </c>
      <c r="D1035" t="inlineStr">
        <is>
          <t>VÄSTERNORRLANDS LÄN</t>
        </is>
      </c>
      <c r="E1035" t="inlineStr">
        <is>
          <t>ÅNGE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33720-2025</t>
        </is>
      </c>
      <c r="B1036" s="1" t="n">
        <v>45841.90605324074</v>
      </c>
      <c r="C1036" s="1" t="n">
        <v>45965</v>
      </c>
      <c r="D1036" t="inlineStr">
        <is>
          <t>VÄSTERNORRLANDS LÄN</t>
        </is>
      </c>
      <c r="E1036" t="inlineStr">
        <is>
          <t>ÅNGE</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26388-2025</t>
        </is>
      </c>
      <c r="B1037" s="1" t="n">
        <v>45806.51069444444</v>
      </c>
      <c r="C1037" s="1" t="n">
        <v>45965</v>
      </c>
      <c r="D1037" t="inlineStr">
        <is>
          <t>VÄSTERNORRLANDS LÄN</t>
        </is>
      </c>
      <c r="E1037" t="inlineStr">
        <is>
          <t>ÅNGE</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26365-2025</t>
        </is>
      </c>
      <c r="B1038" s="1" t="n">
        <v>45806.34412037037</v>
      </c>
      <c r="C1038" s="1" t="n">
        <v>45965</v>
      </c>
      <c r="D1038" t="inlineStr">
        <is>
          <t>VÄSTERNORRLANDS LÄN</t>
        </is>
      </c>
      <c r="E1038" t="inlineStr">
        <is>
          <t>ÅNGE</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6-2025</t>
        </is>
      </c>
      <c r="B1039" s="1" t="n">
        <v>45658.50759259259</v>
      </c>
      <c r="C1039" s="1" t="n">
        <v>45965</v>
      </c>
      <c r="D1039" t="inlineStr">
        <is>
          <t>VÄSTERNORRLANDS LÄN</t>
        </is>
      </c>
      <c r="E1039" t="inlineStr">
        <is>
          <t>ÅNGE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39764-2024</t>
        </is>
      </c>
      <c r="B1040" s="1" t="n">
        <v>45552.7190162037</v>
      </c>
      <c r="C1040" s="1" t="n">
        <v>45965</v>
      </c>
      <c r="D1040" t="inlineStr">
        <is>
          <t>VÄSTERNORRLANDS LÄN</t>
        </is>
      </c>
      <c r="E1040" t="inlineStr">
        <is>
          <t>ÅNGE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26389-2025</t>
        </is>
      </c>
      <c r="B1041" s="1" t="n">
        <v>45806.51078703703</v>
      </c>
      <c r="C1041" s="1" t="n">
        <v>45965</v>
      </c>
      <c r="D1041" t="inlineStr">
        <is>
          <t>VÄSTERNORRLANDS LÄN</t>
        </is>
      </c>
      <c r="E1041" t="inlineStr">
        <is>
          <t>ÅNGE</t>
        </is>
      </c>
      <c r="F1041" t="inlineStr">
        <is>
          <t>SCA</t>
        </is>
      </c>
      <c r="G1041" t="n">
        <v>11.9</v>
      </c>
      <c r="H1041" t="n">
        <v>0</v>
      </c>
      <c r="I1041" t="n">
        <v>0</v>
      </c>
      <c r="J1041" t="n">
        <v>0</v>
      </c>
      <c r="K1041" t="n">
        <v>0</v>
      </c>
      <c r="L1041" t="n">
        <v>0</v>
      </c>
      <c r="M1041" t="n">
        <v>0</v>
      </c>
      <c r="N1041" t="n">
        <v>0</v>
      </c>
      <c r="O1041" t="n">
        <v>0</v>
      </c>
      <c r="P1041" t="n">
        <v>0</v>
      </c>
      <c r="Q1041" t="n">
        <v>0</v>
      </c>
      <c r="R1041" s="2" t="inlineStr"/>
    </row>
    <row r="1042" ht="15" customHeight="1">
      <c r="A1042" t="inlineStr">
        <is>
          <t>A 21262-2025</t>
        </is>
      </c>
      <c r="B1042" s="1" t="n">
        <v>45779</v>
      </c>
      <c r="C1042" s="1" t="n">
        <v>45965</v>
      </c>
      <c r="D1042" t="inlineStr">
        <is>
          <t>VÄSTERNORRLANDS LÄN</t>
        </is>
      </c>
      <c r="E1042" t="inlineStr">
        <is>
          <t>ÅNGE</t>
        </is>
      </c>
      <c r="F1042" t="inlineStr">
        <is>
          <t>Sveaskog</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26366-2025</t>
        </is>
      </c>
      <c r="B1043" s="1" t="n">
        <v>45806.34424768519</v>
      </c>
      <c r="C1043" s="1" t="n">
        <v>45965</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53988-2024</t>
        </is>
      </c>
      <c r="B1044" s="1" t="n">
        <v>45616.34408564815</v>
      </c>
      <c r="C1044" s="1" t="n">
        <v>45965</v>
      </c>
      <c r="D1044" t="inlineStr">
        <is>
          <t>VÄSTERNORRLANDS LÄN</t>
        </is>
      </c>
      <c r="E1044" t="inlineStr">
        <is>
          <t>ÅNGE</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54002-2024</t>
        </is>
      </c>
      <c r="B1045" s="1" t="n">
        <v>45616.36491898148</v>
      </c>
      <c r="C1045" s="1" t="n">
        <v>45965</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56569-2024</t>
        </is>
      </c>
      <c r="B1046" s="1" t="n">
        <v>45625</v>
      </c>
      <c r="C1046" s="1" t="n">
        <v>45965</v>
      </c>
      <c r="D1046" t="inlineStr">
        <is>
          <t>VÄSTERNORRLANDS LÄN</t>
        </is>
      </c>
      <c r="E1046" t="inlineStr">
        <is>
          <t>ÅNGE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57529-2024</t>
        </is>
      </c>
      <c r="B1047" s="1" t="n">
        <v>45630</v>
      </c>
      <c r="C1047" s="1" t="n">
        <v>45965</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4872-2025</t>
        </is>
      </c>
      <c r="B1048" s="1" t="n">
        <v>45688.67619212963</v>
      </c>
      <c r="C1048" s="1" t="n">
        <v>45965</v>
      </c>
      <c r="D1048" t="inlineStr">
        <is>
          <t>VÄSTERNORRLANDS LÄN</t>
        </is>
      </c>
      <c r="E1048" t="inlineStr">
        <is>
          <t>ÅNGE</t>
        </is>
      </c>
      <c r="F1048" t="inlineStr">
        <is>
          <t>SCA</t>
        </is>
      </c>
      <c r="G1048" t="n">
        <v>31.3</v>
      </c>
      <c r="H1048" t="n">
        <v>0</v>
      </c>
      <c r="I1048" t="n">
        <v>0</v>
      </c>
      <c r="J1048" t="n">
        <v>0</v>
      </c>
      <c r="K1048" t="n">
        <v>0</v>
      </c>
      <c r="L1048" t="n">
        <v>0</v>
      </c>
      <c r="M1048" t="n">
        <v>0</v>
      </c>
      <c r="N1048" t="n">
        <v>0</v>
      </c>
      <c r="O1048" t="n">
        <v>0</v>
      </c>
      <c r="P1048" t="n">
        <v>0</v>
      </c>
      <c r="Q1048" t="n">
        <v>0</v>
      </c>
      <c r="R1048" s="2" t="inlineStr"/>
      <c r="U1048">
        <f>HYPERLINK("https://klasma.github.io/Logging_2260/knärot/A 4872-2025 karta knärot.png", "A 4872-2025")</f>
        <v/>
      </c>
      <c r="V1048">
        <f>HYPERLINK("https://klasma.github.io/Logging_2260/klagomål/A 4872-2025 FSC-klagomål.docx", "A 4872-2025")</f>
        <v/>
      </c>
      <c r="W1048">
        <f>HYPERLINK("https://klasma.github.io/Logging_2260/klagomålsmail/A 4872-2025 FSC-klagomål mail.docx", "A 4872-2025")</f>
        <v/>
      </c>
      <c r="X1048">
        <f>HYPERLINK("https://klasma.github.io/Logging_2260/tillsyn/A 4872-2025 tillsynsbegäran.docx", "A 4872-2025")</f>
        <v/>
      </c>
      <c r="Y1048">
        <f>HYPERLINK("https://klasma.github.io/Logging_2260/tillsynsmail/A 4872-2025 tillsynsbegäran mail.docx", "A 4872-2025")</f>
        <v/>
      </c>
    </row>
    <row r="1049" ht="15" customHeight="1">
      <c r="A1049" t="inlineStr">
        <is>
          <t>A 26655-2025</t>
        </is>
      </c>
      <c r="B1049" s="1" t="n">
        <v>45810.39047453704</v>
      </c>
      <c r="C1049" s="1" t="n">
        <v>45965</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48697-2024</t>
        </is>
      </c>
      <c r="B1050" s="1" t="n">
        <v>45593.51136574074</v>
      </c>
      <c r="C1050" s="1" t="n">
        <v>45965</v>
      </c>
      <c r="D1050" t="inlineStr">
        <is>
          <t>VÄSTERNORRLANDS LÄN</t>
        </is>
      </c>
      <c r="E1050" t="inlineStr">
        <is>
          <t>ÅNGE</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16973-2025</t>
        </is>
      </c>
      <c r="B1051" s="1" t="n">
        <v>45755.46967592592</v>
      </c>
      <c r="C1051" s="1" t="n">
        <v>45965</v>
      </c>
      <c r="D1051" t="inlineStr">
        <is>
          <t>VÄSTERNORRLANDS LÄN</t>
        </is>
      </c>
      <c r="E1051" t="inlineStr">
        <is>
          <t>ÅNGE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25973-2022</t>
        </is>
      </c>
      <c r="B1052" s="1" t="n">
        <v>44734</v>
      </c>
      <c r="C1052" s="1" t="n">
        <v>45965</v>
      </c>
      <c r="D1052" t="inlineStr">
        <is>
          <t>VÄSTERNORRLANDS LÄN</t>
        </is>
      </c>
      <c r="E1052" t="inlineStr">
        <is>
          <t>ÅNGE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48632-2023</t>
        </is>
      </c>
      <c r="B1053" s="1" t="n">
        <v>45208.57944444445</v>
      </c>
      <c r="C1053" s="1" t="n">
        <v>45965</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26608-2025</t>
        </is>
      </c>
      <c r="B1054" s="1" t="n">
        <v>45809.98600694445</v>
      </c>
      <c r="C1054" s="1" t="n">
        <v>45965</v>
      </c>
      <c r="D1054" t="inlineStr">
        <is>
          <t>VÄSTERNORRLANDS LÄN</t>
        </is>
      </c>
      <c r="E1054" t="inlineStr">
        <is>
          <t>ÅNGE</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42242-2023</t>
        </is>
      </c>
      <c r="B1055" s="1" t="n">
        <v>45180.35025462963</v>
      </c>
      <c r="C1055" s="1" t="n">
        <v>45965</v>
      </c>
      <c r="D1055" t="inlineStr">
        <is>
          <t>VÄSTERNORRLANDS LÄN</t>
        </is>
      </c>
      <c r="E1055" t="inlineStr">
        <is>
          <t>ÅNGE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11764-2024</t>
        </is>
      </c>
      <c r="B1056" s="1" t="n">
        <v>45373.94837962963</v>
      </c>
      <c r="C1056" s="1" t="n">
        <v>45965</v>
      </c>
      <c r="D1056" t="inlineStr">
        <is>
          <t>VÄSTERNORRLANDS LÄN</t>
        </is>
      </c>
      <c r="E1056" t="inlineStr">
        <is>
          <t>ÅNGE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8747-2022</t>
        </is>
      </c>
      <c r="B1057" s="1" t="n">
        <v>44614.33912037037</v>
      </c>
      <c r="C1057" s="1" t="n">
        <v>45965</v>
      </c>
      <c r="D1057" t="inlineStr">
        <is>
          <t>VÄSTERNORRLANDS LÄN</t>
        </is>
      </c>
      <c r="E1057" t="inlineStr">
        <is>
          <t>ÅNGE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39729-2025</t>
        </is>
      </c>
      <c r="B1058" s="1" t="n">
        <v>45891</v>
      </c>
      <c r="C1058" s="1" t="n">
        <v>45965</v>
      </c>
      <c r="D1058" t="inlineStr">
        <is>
          <t>VÄSTERNORRLANDS LÄN</t>
        </is>
      </c>
      <c r="E1058" t="inlineStr">
        <is>
          <t>ÅNGE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14888-2022</t>
        </is>
      </c>
      <c r="B1059" s="1" t="n">
        <v>44656</v>
      </c>
      <c r="C1059" s="1" t="n">
        <v>45965</v>
      </c>
      <c r="D1059" t="inlineStr">
        <is>
          <t>VÄSTERNORRLANDS LÄN</t>
        </is>
      </c>
      <c r="E1059" t="inlineStr">
        <is>
          <t>ÅNGE</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54059-2024</t>
        </is>
      </c>
      <c r="B1060" s="1" t="n">
        <v>45616.46943287037</v>
      </c>
      <c r="C1060" s="1" t="n">
        <v>45965</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36790-2023</t>
        </is>
      </c>
      <c r="B1061" s="1" t="n">
        <v>45154.36418981481</v>
      </c>
      <c r="C1061" s="1" t="n">
        <v>45965</v>
      </c>
      <c r="D1061" t="inlineStr">
        <is>
          <t>VÄSTERNORRLANDS LÄN</t>
        </is>
      </c>
      <c r="E1061" t="inlineStr">
        <is>
          <t>ÅNGE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26734-2025</t>
        </is>
      </c>
      <c r="B1062" s="1" t="n">
        <v>45810.51087962963</v>
      </c>
      <c r="C1062" s="1" t="n">
        <v>45965</v>
      </c>
      <c r="D1062" t="inlineStr">
        <is>
          <t>VÄSTERNORRLANDS LÄN</t>
        </is>
      </c>
      <c r="E1062" t="inlineStr">
        <is>
          <t>ÅNGE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44158-2024</t>
        </is>
      </c>
      <c r="B1063" s="1" t="n">
        <v>45572</v>
      </c>
      <c r="C1063" s="1" t="n">
        <v>45965</v>
      </c>
      <c r="D1063" t="inlineStr">
        <is>
          <t>VÄSTERNORRLANDS LÄN</t>
        </is>
      </c>
      <c r="E1063" t="inlineStr">
        <is>
          <t>ÅNGE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55329-2023</t>
        </is>
      </c>
      <c r="B1064" s="1" t="n">
        <v>45237</v>
      </c>
      <c r="C1064" s="1" t="n">
        <v>45965</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2299-2025</t>
        </is>
      </c>
      <c r="B1065" s="1" t="n">
        <v>45673.59516203704</v>
      </c>
      <c r="C1065" s="1" t="n">
        <v>45965</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3986-2025</t>
        </is>
      </c>
      <c r="B1066" s="1" t="n">
        <v>45684.55262731481</v>
      </c>
      <c r="C1066" s="1" t="n">
        <v>45965</v>
      </c>
      <c r="D1066" t="inlineStr">
        <is>
          <t>VÄSTERNORRLANDS LÄN</t>
        </is>
      </c>
      <c r="E1066" t="inlineStr">
        <is>
          <t>ÅNGE</t>
        </is>
      </c>
      <c r="F1066" t="inlineStr">
        <is>
          <t>SCA</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44639-2023</t>
        </is>
      </c>
      <c r="B1067" s="1" t="n">
        <v>45184</v>
      </c>
      <c r="C1067" s="1" t="n">
        <v>45965</v>
      </c>
      <c r="D1067" t="inlineStr">
        <is>
          <t>VÄSTERNORRLANDS LÄN</t>
        </is>
      </c>
      <c r="E1067" t="inlineStr">
        <is>
          <t>ÅNGE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27023-2025</t>
        </is>
      </c>
      <c r="B1068" s="1" t="n">
        <v>45811.57342592593</v>
      </c>
      <c r="C1068" s="1" t="n">
        <v>45965</v>
      </c>
      <c r="D1068" t="inlineStr">
        <is>
          <t>VÄSTERNORRLANDS LÄN</t>
        </is>
      </c>
      <c r="E1068" t="inlineStr">
        <is>
          <t>ÅNGE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27164-2025</t>
        </is>
      </c>
      <c r="B1069" s="1" t="n">
        <v>45812.34430555555</v>
      </c>
      <c r="C1069" s="1" t="n">
        <v>45965</v>
      </c>
      <c r="D1069" t="inlineStr">
        <is>
          <t>VÄSTERNORRLANDS LÄN</t>
        </is>
      </c>
      <c r="E1069" t="inlineStr">
        <is>
          <t>ÅNGE</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26901-2025</t>
        </is>
      </c>
      <c r="B1070" s="1" t="n">
        <v>45811.34457175926</v>
      </c>
      <c r="C1070" s="1" t="n">
        <v>45965</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17009-2023</t>
        </is>
      </c>
      <c r="B1071" s="1" t="n">
        <v>45033.9455787037</v>
      </c>
      <c r="C1071" s="1" t="n">
        <v>45965</v>
      </c>
      <c r="D1071" t="inlineStr">
        <is>
          <t>VÄSTERNORRLANDS LÄN</t>
        </is>
      </c>
      <c r="E1071" t="inlineStr">
        <is>
          <t>ÅNGE</t>
        </is>
      </c>
      <c r="F1071" t="inlineStr">
        <is>
          <t>SCA</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33750-2024</t>
        </is>
      </c>
      <c r="B1072" s="1" t="n">
        <v>45520.56475694444</v>
      </c>
      <c r="C1072" s="1" t="n">
        <v>45965</v>
      </c>
      <c r="D1072" t="inlineStr">
        <is>
          <t>VÄSTERNORRLANDS LÄN</t>
        </is>
      </c>
      <c r="E1072" t="inlineStr">
        <is>
          <t>ÅNGE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27165-2025</t>
        </is>
      </c>
      <c r="B1073" s="1" t="n">
        <v>45812.34440972222</v>
      </c>
      <c r="C1073" s="1" t="n">
        <v>45965</v>
      </c>
      <c r="D1073" t="inlineStr">
        <is>
          <t>VÄSTERNORRLANDS LÄN</t>
        </is>
      </c>
      <c r="E1073" t="inlineStr">
        <is>
          <t>ÅNGE</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60578-2024</t>
        </is>
      </c>
      <c r="B1074" s="1" t="n">
        <v>45644.34434027778</v>
      </c>
      <c r="C1074" s="1" t="n">
        <v>45965</v>
      </c>
      <c r="D1074" t="inlineStr">
        <is>
          <t>VÄSTERNORRLANDS LÄN</t>
        </is>
      </c>
      <c r="E1074" t="inlineStr">
        <is>
          <t>ÅNGE</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5931-2025</t>
        </is>
      </c>
      <c r="B1075" s="1" t="n">
        <v>45695.44827546296</v>
      </c>
      <c r="C1075" s="1" t="n">
        <v>45965</v>
      </c>
      <c r="D1075" t="inlineStr">
        <is>
          <t>VÄSTERNORRLANDS LÄN</t>
        </is>
      </c>
      <c r="E1075" t="inlineStr">
        <is>
          <t>ÅNGE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46795-2023</t>
        </is>
      </c>
      <c r="B1076" s="1" t="n">
        <v>45198</v>
      </c>
      <c r="C1076" s="1" t="n">
        <v>45965</v>
      </c>
      <c r="D1076" t="inlineStr">
        <is>
          <t>VÄSTERNORRLANDS LÄN</t>
        </is>
      </c>
      <c r="E1076" t="inlineStr">
        <is>
          <t>ÅNGE</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24977-2021</t>
        </is>
      </c>
      <c r="B1077" s="1" t="n">
        <v>44341.51386574074</v>
      </c>
      <c r="C1077" s="1" t="n">
        <v>45965</v>
      </c>
      <c r="D1077" t="inlineStr">
        <is>
          <t>VÄSTERNORRLANDS LÄN</t>
        </is>
      </c>
      <c r="E1077" t="inlineStr">
        <is>
          <t>ÅNGE</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25034-2023</t>
        </is>
      </c>
      <c r="B1078" s="1" t="n">
        <v>45085</v>
      </c>
      <c r="C1078" s="1" t="n">
        <v>45965</v>
      </c>
      <c r="D1078" t="inlineStr">
        <is>
          <t>VÄSTERNORRLANDS LÄN</t>
        </is>
      </c>
      <c r="E1078" t="inlineStr">
        <is>
          <t>ÅNGE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27545-2025</t>
        </is>
      </c>
      <c r="B1079" s="1" t="n">
        <v>45813.46942129629</v>
      </c>
      <c r="C1079" s="1" t="n">
        <v>45965</v>
      </c>
      <c r="D1079" t="inlineStr">
        <is>
          <t>VÄSTERNORRLANDS LÄN</t>
        </is>
      </c>
      <c r="E1079" t="inlineStr">
        <is>
          <t>ÅNGE</t>
        </is>
      </c>
      <c r="F1079" t="inlineStr">
        <is>
          <t>SCA</t>
        </is>
      </c>
      <c r="G1079" t="n">
        <v>14.3</v>
      </c>
      <c r="H1079" t="n">
        <v>0</v>
      </c>
      <c r="I1079" t="n">
        <v>0</v>
      </c>
      <c r="J1079" t="n">
        <v>0</v>
      </c>
      <c r="K1079" t="n">
        <v>0</v>
      </c>
      <c r="L1079" t="n">
        <v>0</v>
      </c>
      <c r="M1079" t="n">
        <v>0</v>
      </c>
      <c r="N1079" t="n">
        <v>0</v>
      </c>
      <c r="O1079" t="n">
        <v>0</v>
      </c>
      <c r="P1079" t="n">
        <v>0</v>
      </c>
      <c r="Q1079" t="n">
        <v>0</v>
      </c>
      <c r="R1079" s="2" t="inlineStr"/>
    </row>
    <row r="1080" ht="15" customHeight="1">
      <c r="A1080" t="inlineStr">
        <is>
          <t>A 4094-2025</t>
        </is>
      </c>
      <c r="B1080" s="1" t="n">
        <v>45684.6778125</v>
      </c>
      <c r="C1080" s="1" t="n">
        <v>45965</v>
      </c>
      <c r="D1080" t="inlineStr">
        <is>
          <t>VÄSTERNORRLANDS LÄN</t>
        </is>
      </c>
      <c r="E1080" t="inlineStr">
        <is>
          <t>ÅNGE</t>
        </is>
      </c>
      <c r="F1080" t="inlineStr">
        <is>
          <t>SCA</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27572-2025</t>
        </is>
      </c>
      <c r="B1081" s="1" t="n">
        <v>45813.49049768518</v>
      </c>
      <c r="C1081" s="1" t="n">
        <v>45965</v>
      </c>
      <c r="D1081" t="inlineStr">
        <is>
          <t>VÄSTERNORRLANDS LÄN</t>
        </is>
      </c>
      <c r="E1081" t="inlineStr">
        <is>
          <t>ÅNGE</t>
        </is>
      </c>
      <c r="F1081" t="inlineStr">
        <is>
          <t>SCA</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22597-2021</t>
        </is>
      </c>
      <c r="B1082" s="1" t="n">
        <v>44326</v>
      </c>
      <c r="C1082" s="1" t="n">
        <v>45965</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27606-2025</t>
        </is>
      </c>
      <c r="B1083" s="1" t="n">
        <v>45813.53200231482</v>
      </c>
      <c r="C1083" s="1" t="n">
        <v>45965</v>
      </c>
      <c r="D1083" t="inlineStr">
        <is>
          <t>VÄSTERNORRLANDS LÄN</t>
        </is>
      </c>
      <c r="E1083" t="inlineStr">
        <is>
          <t>ÅNGE</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16450-2025</t>
        </is>
      </c>
      <c r="B1084" s="1" t="n">
        <v>45751.51081018519</v>
      </c>
      <c r="C1084" s="1" t="n">
        <v>45965</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27639-2025</t>
        </is>
      </c>
      <c r="B1085" s="1" t="n">
        <v>45813</v>
      </c>
      <c r="C1085" s="1" t="n">
        <v>45965</v>
      </c>
      <c r="D1085" t="inlineStr">
        <is>
          <t>VÄSTERNORRLANDS LÄN</t>
        </is>
      </c>
      <c r="E1085" t="inlineStr">
        <is>
          <t>ÅNGE</t>
        </is>
      </c>
      <c r="G1085" t="n">
        <v>22.9</v>
      </c>
      <c r="H1085" t="n">
        <v>0</v>
      </c>
      <c r="I1085" t="n">
        <v>0</v>
      </c>
      <c r="J1085" t="n">
        <v>0</v>
      </c>
      <c r="K1085" t="n">
        <v>0</v>
      </c>
      <c r="L1085" t="n">
        <v>0</v>
      </c>
      <c r="M1085" t="n">
        <v>0</v>
      </c>
      <c r="N1085" t="n">
        <v>0</v>
      </c>
      <c r="O1085" t="n">
        <v>0</v>
      </c>
      <c r="P1085" t="n">
        <v>0</v>
      </c>
      <c r="Q1085" t="n">
        <v>0</v>
      </c>
      <c r="R1085" s="2" t="inlineStr"/>
    </row>
    <row r="1086" ht="15" customHeight="1">
      <c r="A1086" t="inlineStr">
        <is>
          <t>A 39973-2023</t>
        </is>
      </c>
      <c r="B1086" s="1" t="n">
        <v>45168.5858912037</v>
      </c>
      <c r="C1086" s="1" t="n">
        <v>45965</v>
      </c>
      <c r="D1086" t="inlineStr">
        <is>
          <t>VÄSTERNORRLANDS LÄN</t>
        </is>
      </c>
      <c r="E1086" t="inlineStr">
        <is>
          <t>ÅNGE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10282-2025</t>
        </is>
      </c>
      <c r="B1087" s="1" t="n">
        <v>45720.40659722222</v>
      </c>
      <c r="C1087" s="1" t="n">
        <v>45965</v>
      </c>
      <c r="D1087" t="inlineStr">
        <is>
          <t>VÄSTERNORRLANDS LÄN</t>
        </is>
      </c>
      <c r="E1087" t="inlineStr">
        <is>
          <t>ÅNGE</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137-2025</t>
        </is>
      </c>
      <c r="B1088" s="1" t="n">
        <v>45659.57684027778</v>
      </c>
      <c r="C1088" s="1" t="n">
        <v>45965</v>
      </c>
      <c r="D1088" t="inlineStr">
        <is>
          <t>VÄSTERNORRLANDS LÄN</t>
        </is>
      </c>
      <c r="E1088" t="inlineStr">
        <is>
          <t>ÅNGE</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10071-2023</t>
        </is>
      </c>
      <c r="B1089" s="1" t="n">
        <v>44985.92418981482</v>
      </c>
      <c r="C1089" s="1" t="n">
        <v>45965</v>
      </c>
      <c r="D1089" t="inlineStr">
        <is>
          <t>VÄSTERNORRLANDS LÄN</t>
        </is>
      </c>
      <c r="E1089" t="inlineStr">
        <is>
          <t>ÅNGE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58637-2023</t>
        </is>
      </c>
      <c r="B1090" s="1" t="n">
        <v>45251</v>
      </c>
      <c r="C1090" s="1" t="n">
        <v>45965</v>
      </c>
      <c r="D1090" t="inlineStr">
        <is>
          <t>VÄSTERNORRLANDS LÄN</t>
        </is>
      </c>
      <c r="E1090" t="inlineStr">
        <is>
          <t>ÅNGE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28070-2025</t>
        </is>
      </c>
      <c r="B1091" s="1" t="n">
        <v>45817.67739583334</v>
      </c>
      <c r="C1091" s="1" t="n">
        <v>45965</v>
      </c>
      <c r="D1091" t="inlineStr">
        <is>
          <t>VÄSTERNORRLANDS LÄN</t>
        </is>
      </c>
      <c r="E1091" t="inlineStr">
        <is>
          <t>ÅNGE</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28085-2025</t>
        </is>
      </c>
      <c r="B1092" s="1" t="n">
        <v>45817.71924768519</v>
      </c>
      <c r="C1092" s="1" t="n">
        <v>45965</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28143-2025</t>
        </is>
      </c>
      <c r="B1093" s="1" t="n">
        <v>45818.34546296296</v>
      </c>
      <c r="C1093" s="1" t="n">
        <v>45965</v>
      </c>
      <c r="D1093" t="inlineStr">
        <is>
          <t>VÄSTERNORRLANDS LÄN</t>
        </is>
      </c>
      <c r="E1093" t="inlineStr">
        <is>
          <t>ÅNGE</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4236-2025</t>
        </is>
      </c>
      <c r="B1094" s="1" t="n">
        <v>45685.56534722223</v>
      </c>
      <c r="C1094" s="1" t="n">
        <v>45965</v>
      </c>
      <c r="D1094" t="inlineStr">
        <is>
          <t>VÄSTERNORRLANDS LÄN</t>
        </is>
      </c>
      <c r="E1094" t="inlineStr">
        <is>
          <t>ÅNGE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28404-2025</t>
        </is>
      </c>
      <c r="B1095" s="1" t="n">
        <v>45819.34532407407</v>
      </c>
      <c r="C1095" s="1" t="n">
        <v>45965</v>
      </c>
      <c r="D1095" t="inlineStr">
        <is>
          <t>VÄSTERNORRLANDS LÄN</t>
        </is>
      </c>
      <c r="E1095" t="inlineStr">
        <is>
          <t>ÅNGE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28896-2025</t>
        </is>
      </c>
      <c r="B1096" s="1" t="n">
        <v>45820.63584490741</v>
      </c>
      <c r="C1096" s="1" t="n">
        <v>45965</v>
      </c>
      <c r="D1096" t="inlineStr">
        <is>
          <t>VÄSTERNORRLANDS LÄN</t>
        </is>
      </c>
      <c r="E1096" t="inlineStr">
        <is>
          <t>ÅNGE</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48234-2025</t>
        </is>
      </c>
      <c r="B1097" s="1" t="n">
        <v>45933.53211805555</v>
      </c>
      <c r="C1097" s="1" t="n">
        <v>45965</v>
      </c>
      <c r="D1097" t="inlineStr">
        <is>
          <t>VÄSTERNORRLANDS LÄN</t>
        </is>
      </c>
      <c r="E1097" t="inlineStr">
        <is>
          <t>ÅNGE</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51131-2022</t>
        </is>
      </c>
      <c r="B1098" s="1" t="n">
        <v>44868</v>
      </c>
      <c r="C1098" s="1" t="n">
        <v>45965</v>
      </c>
      <c r="D1098" t="inlineStr">
        <is>
          <t>VÄSTERNORRLANDS LÄN</t>
        </is>
      </c>
      <c r="E1098" t="inlineStr">
        <is>
          <t>ÅNGE</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48679-2025</t>
        </is>
      </c>
      <c r="B1099" s="1" t="n">
        <v>45936.59196759259</v>
      </c>
      <c r="C1099" s="1" t="n">
        <v>45965</v>
      </c>
      <c r="D1099" t="inlineStr">
        <is>
          <t>VÄSTERNORRLANDS LÄN</t>
        </is>
      </c>
      <c r="E1099" t="inlineStr">
        <is>
          <t>ÅNGE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28819-2025</t>
        </is>
      </c>
      <c r="B1100" s="1" t="n">
        <v>45820.53758101852</v>
      </c>
      <c r="C1100" s="1" t="n">
        <v>45965</v>
      </c>
      <c r="D1100" t="inlineStr">
        <is>
          <t>VÄSTERNORRLANDS LÄN</t>
        </is>
      </c>
      <c r="E1100" t="inlineStr">
        <is>
          <t>ÅNGE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28845-2025</t>
        </is>
      </c>
      <c r="B1101" s="1" t="n">
        <v>45820.57324074074</v>
      </c>
      <c r="C1101" s="1" t="n">
        <v>45965</v>
      </c>
      <c r="D1101" t="inlineStr">
        <is>
          <t>VÄSTERNORRLANDS LÄN</t>
        </is>
      </c>
      <c r="E1101" t="inlineStr">
        <is>
          <t>ÅNGE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5999-2025</t>
        </is>
      </c>
      <c r="B1102" s="1" t="n">
        <v>45695</v>
      </c>
      <c r="C1102" s="1" t="n">
        <v>45965</v>
      </c>
      <c r="D1102" t="inlineStr">
        <is>
          <t>VÄSTERNORRLANDS LÄN</t>
        </is>
      </c>
      <c r="E1102" t="inlineStr">
        <is>
          <t>ÅNGE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28814-2025</t>
        </is>
      </c>
      <c r="B1103" s="1" t="n">
        <v>45820.52846064815</v>
      </c>
      <c r="C1103" s="1" t="n">
        <v>45965</v>
      </c>
      <c r="D1103" t="inlineStr">
        <is>
          <t>VÄSTERNORRLANDS LÄN</t>
        </is>
      </c>
      <c r="E1103" t="inlineStr">
        <is>
          <t>ÅNGE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28717-2025</t>
        </is>
      </c>
      <c r="B1104" s="1" t="n">
        <v>45820</v>
      </c>
      <c r="C1104" s="1" t="n">
        <v>45965</v>
      </c>
      <c r="D1104" t="inlineStr">
        <is>
          <t>VÄSTERNORRLANDS LÄN</t>
        </is>
      </c>
      <c r="E1104" t="inlineStr">
        <is>
          <t>ÅNGE</t>
        </is>
      </c>
      <c r="F1104" t="inlineStr">
        <is>
          <t>SCA</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49156-2025</t>
        </is>
      </c>
      <c r="B1105" s="1" t="n">
        <v>45938.3458912037</v>
      </c>
      <c r="C1105" s="1" t="n">
        <v>45965</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26015-2024</t>
        </is>
      </c>
      <c r="B1106" s="1" t="n">
        <v>45467.95872685185</v>
      </c>
      <c r="C1106" s="1" t="n">
        <v>45965</v>
      </c>
      <c r="D1106" t="inlineStr">
        <is>
          <t>VÄSTERNORRLANDS LÄN</t>
        </is>
      </c>
      <c r="E1106" t="inlineStr">
        <is>
          <t>ÅNGE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26010-2024</t>
        </is>
      </c>
      <c r="B1107" s="1" t="n">
        <v>45467.95819444444</v>
      </c>
      <c r="C1107" s="1" t="n">
        <v>45965</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29350-2025</t>
        </is>
      </c>
      <c r="B1108" s="1" t="n">
        <v>45824.53206018519</v>
      </c>
      <c r="C1108" s="1" t="n">
        <v>45965</v>
      </c>
      <c r="D1108" t="inlineStr">
        <is>
          <t>VÄSTERNORRLANDS LÄN</t>
        </is>
      </c>
      <c r="E1108" t="inlineStr">
        <is>
          <t>ÅNGE</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60365-2024</t>
        </is>
      </c>
      <c r="B1109" s="1" t="n">
        <v>45643</v>
      </c>
      <c r="C1109" s="1" t="n">
        <v>45965</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11871-2025</t>
        </is>
      </c>
      <c r="B1110" s="1" t="n">
        <v>45728.42740740741</v>
      </c>
      <c r="C1110" s="1" t="n">
        <v>45965</v>
      </c>
      <c r="D1110" t="inlineStr">
        <is>
          <t>VÄSTERNORRLANDS LÄN</t>
        </is>
      </c>
      <c r="E1110" t="inlineStr">
        <is>
          <t>ÅNGE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29153-2025</t>
        </is>
      </c>
      <c r="B1111" s="1" t="n">
        <v>45821.63574074074</v>
      </c>
      <c r="C1111" s="1" t="n">
        <v>45965</v>
      </c>
      <c r="D1111" t="inlineStr">
        <is>
          <t>VÄSTERNORRLANDS LÄN</t>
        </is>
      </c>
      <c r="E1111" t="inlineStr">
        <is>
          <t>ÅNGE</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15799-2025</t>
        </is>
      </c>
      <c r="B1112" s="1" t="n">
        <v>45748.64768518518</v>
      </c>
      <c r="C1112" s="1" t="n">
        <v>45965</v>
      </c>
      <c r="D1112" t="inlineStr">
        <is>
          <t>VÄSTERNORRLANDS LÄN</t>
        </is>
      </c>
      <c r="E1112" t="inlineStr">
        <is>
          <t>ÅNGE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47488-2023</t>
        </is>
      </c>
      <c r="B1113" s="1" t="n">
        <v>45202.94168981481</v>
      </c>
      <c r="C1113" s="1" t="n">
        <v>45965</v>
      </c>
      <c r="D1113" t="inlineStr">
        <is>
          <t>VÄSTERNORRLANDS LÄN</t>
        </is>
      </c>
      <c r="E1113" t="inlineStr">
        <is>
          <t>ÅNGE</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54982-2023</t>
        </is>
      </c>
      <c r="B1114" s="1" t="n">
        <v>45236</v>
      </c>
      <c r="C1114" s="1" t="n">
        <v>45965</v>
      </c>
      <c r="D1114" t="inlineStr">
        <is>
          <t>VÄSTERNORRLANDS LÄN</t>
        </is>
      </c>
      <c r="E1114" t="inlineStr">
        <is>
          <t>ÅNGE</t>
        </is>
      </c>
      <c r="F1114" t="inlineStr">
        <is>
          <t>SCA</t>
        </is>
      </c>
      <c r="G1114" t="n">
        <v>26.2</v>
      </c>
      <c r="H1114" t="n">
        <v>0</v>
      </c>
      <c r="I1114" t="n">
        <v>0</v>
      </c>
      <c r="J1114" t="n">
        <v>0</v>
      </c>
      <c r="K1114" t="n">
        <v>0</v>
      </c>
      <c r="L1114" t="n">
        <v>0</v>
      </c>
      <c r="M1114" t="n">
        <v>0</v>
      </c>
      <c r="N1114" t="n">
        <v>0</v>
      </c>
      <c r="O1114" t="n">
        <v>0</v>
      </c>
      <c r="P1114" t="n">
        <v>0</v>
      </c>
      <c r="Q1114" t="n">
        <v>0</v>
      </c>
      <c r="R1114" s="2" t="inlineStr"/>
    </row>
    <row r="1115" ht="15" customHeight="1">
      <c r="A1115" t="inlineStr">
        <is>
          <t>A 29862-2025</t>
        </is>
      </c>
      <c r="B1115" s="1" t="n">
        <v>45826.3465625</v>
      </c>
      <c r="C1115" s="1" t="n">
        <v>45965</v>
      </c>
      <c r="D1115" t="inlineStr">
        <is>
          <t>VÄSTERNORRLANDS LÄN</t>
        </is>
      </c>
      <c r="E1115" t="inlineStr">
        <is>
          <t>ÅNGE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29882-2025</t>
        </is>
      </c>
      <c r="B1116" s="1" t="n">
        <v>45826.36548611111</v>
      </c>
      <c r="C1116" s="1" t="n">
        <v>45965</v>
      </c>
      <c r="D1116" t="inlineStr">
        <is>
          <t>VÄSTERNORRLANDS LÄN</t>
        </is>
      </c>
      <c r="E1116" t="inlineStr">
        <is>
          <t>ÅNGE</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57560-2023</t>
        </is>
      </c>
      <c r="B1117" s="1" t="n">
        <v>45243</v>
      </c>
      <c r="C1117" s="1" t="n">
        <v>45965</v>
      </c>
      <c r="D1117" t="inlineStr">
        <is>
          <t>VÄSTERNORRLANDS LÄN</t>
        </is>
      </c>
      <c r="E1117" t="inlineStr">
        <is>
          <t>ÅNGE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57568-2023</t>
        </is>
      </c>
      <c r="B1118" s="1" t="n">
        <v>45246.50484953704</v>
      </c>
      <c r="C1118" s="1" t="n">
        <v>45965</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40665-2025</t>
        </is>
      </c>
      <c r="B1119" s="1" t="n">
        <v>45896.65663194445</v>
      </c>
      <c r="C1119" s="1" t="n">
        <v>45965</v>
      </c>
      <c r="D1119" t="inlineStr">
        <is>
          <t>VÄSTERNORRLANDS LÄN</t>
        </is>
      </c>
      <c r="E1119" t="inlineStr">
        <is>
          <t>ÅNGE</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29916-2025</t>
        </is>
      </c>
      <c r="B1120" s="1" t="n">
        <v>45826.41822916667</v>
      </c>
      <c r="C1120" s="1" t="n">
        <v>45965</v>
      </c>
      <c r="D1120" t="inlineStr">
        <is>
          <t>VÄSTERNORRLANDS LÄN</t>
        </is>
      </c>
      <c r="E1120" t="inlineStr">
        <is>
          <t>ÅNGE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29560-2025</t>
        </is>
      </c>
      <c r="B1121" s="1" t="n">
        <v>45825.36497685185</v>
      </c>
      <c r="C1121" s="1" t="n">
        <v>45965</v>
      </c>
      <c r="D1121" t="inlineStr">
        <is>
          <t>VÄSTERNORRLANDS LÄN</t>
        </is>
      </c>
      <c r="E1121" t="inlineStr">
        <is>
          <t>ÅNGE</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49381-2025</t>
        </is>
      </c>
      <c r="B1122" s="1" t="n">
        <v>45938.63694444444</v>
      </c>
      <c r="C1122" s="1" t="n">
        <v>45965</v>
      </c>
      <c r="D1122" t="inlineStr">
        <is>
          <t>VÄSTERNORRLANDS LÄN</t>
        </is>
      </c>
      <c r="E1122" t="inlineStr">
        <is>
          <t>ÅNGE</t>
        </is>
      </c>
      <c r="F1122" t="inlineStr">
        <is>
          <t>SCA</t>
        </is>
      </c>
      <c r="G1122" t="n">
        <v>20.6</v>
      </c>
      <c r="H1122" t="n">
        <v>0</v>
      </c>
      <c r="I1122" t="n">
        <v>0</v>
      </c>
      <c r="J1122" t="n">
        <v>0</v>
      </c>
      <c r="K1122" t="n">
        <v>0</v>
      </c>
      <c r="L1122" t="n">
        <v>0</v>
      </c>
      <c r="M1122" t="n">
        <v>0</v>
      </c>
      <c r="N1122" t="n">
        <v>0</v>
      </c>
      <c r="O1122" t="n">
        <v>0</v>
      </c>
      <c r="P1122" t="n">
        <v>0</v>
      </c>
      <c r="Q1122" t="n">
        <v>0</v>
      </c>
      <c r="R1122" s="2" t="inlineStr"/>
    </row>
    <row r="1123" ht="15" customHeight="1">
      <c r="A1123" t="inlineStr">
        <is>
          <t>A 29786-2025</t>
        </is>
      </c>
      <c r="B1123" s="1" t="n">
        <v>45825.65663194445</v>
      </c>
      <c r="C1123" s="1" t="n">
        <v>45965</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30475-2025</t>
        </is>
      </c>
      <c r="B1124" s="1" t="n">
        <v>45828.34444444445</v>
      </c>
      <c r="C1124" s="1" t="n">
        <v>45965</v>
      </c>
      <c r="D1124" t="inlineStr">
        <is>
          <t>VÄSTERNORRLANDS LÄN</t>
        </is>
      </c>
      <c r="E1124" t="inlineStr">
        <is>
          <t>ÅNGE</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18112-2025</t>
        </is>
      </c>
      <c r="B1125" s="1" t="n">
        <v>45761.57350694444</v>
      </c>
      <c r="C1125" s="1" t="n">
        <v>45965</v>
      </c>
      <c r="D1125" t="inlineStr">
        <is>
          <t>VÄSTERNORRLANDS LÄN</t>
        </is>
      </c>
      <c r="E1125" t="inlineStr">
        <is>
          <t>ÅNGE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49179-2025</t>
        </is>
      </c>
      <c r="B1126" s="1" t="n">
        <v>45938.38579861111</v>
      </c>
      <c r="C1126" s="1" t="n">
        <v>45965</v>
      </c>
      <c r="D1126" t="inlineStr">
        <is>
          <t>VÄSTERNORRLANDS LÄN</t>
        </is>
      </c>
      <c r="E1126" t="inlineStr">
        <is>
          <t>ÅNGE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30875-2025</t>
        </is>
      </c>
      <c r="B1127" s="1" t="n">
        <v>45832.34447916667</v>
      </c>
      <c r="C1127" s="1" t="n">
        <v>45965</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31211-2025</t>
        </is>
      </c>
      <c r="B1128" s="1" t="n">
        <v>45832.71938657408</v>
      </c>
      <c r="C1128" s="1" t="n">
        <v>45965</v>
      </c>
      <c r="D1128" t="inlineStr">
        <is>
          <t>VÄSTERNORRLANDS LÄN</t>
        </is>
      </c>
      <c r="E1128" t="inlineStr">
        <is>
          <t>ÅNGE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63530-2023</t>
        </is>
      </c>
      <c r="B1129" s="1" t="n">
        <v>45274</v>
      </c>
      <c r="C1129" s="1" t="n">
        <v>45965</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30618-2025</t>
        </is>
      </c>
      <c r="B1130" s="1" t="n">
        <v>45831.46909722222</v>
      </c>
      <c r="C1130" s="1" t="n">
        <v>45965</v>
      </c>
      <c r="D1130" t="inlineStr">
        <is>
          <t>VÄSTERNORRLANDS LÄN</t>
        </is>
      </c>
      <c r="E1130" t="inlineStr">
        <is>
          <t>ÅNGE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3253-2024</t>
        </is>
      </c>
      <c r="B1131" s="1" t="n">
        <v>45316</v>
      </c>
      <c r="C1131" s="1" t="n">
        <v>45965</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31188-2025</t>
        </is>
      </c>
      <c r="B1132" s="1" t="n">
        <v>45832.67842592593</v>
      </c>
      <c r="C1132" s="1" t="n">
        <v>45965</v>
      </c>
      <c r="D1132" t="inlineStr">
        <is>
          <t>VÄSTERNORRLANDS LÄN</t>
        </is>
      </c>
      <c r="E1132" t="inlineStr">
        <is>
          <t>ÅNGE</t>
        </is>
      </c>
      <c r="F1132" t="inlineStr">
        <is>
          <t>SCA</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49945-2023</t>
        </is>
      </c>
      <c r="B1133" s="1" t="n">
        <v>45215.3625462963</v>
      </c>
      <c r="C1133" s="1" t="n">
        <v>45965</v>
      </c>
      <c r="D1133" t="inlineStr">
        <is>
          <t>VÄSTERNORRLANDS LÄN</t>
        </is>
      </c>
      <c r="E1133" t="inlineStr">
        <is>
          <t>ÅNGE</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25903-2022</t>
        </is>
      </c>
      <c r="B1134" s="1" t="n">
        <v>44733</v>
      </c>
      <c r="C1134" s="1" t="n">
        <v>45965</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31042-2025</t>
        </is>
      </c>
      <c r="B1135" s="1" t="n">
        <v>45832.55267361111</v>
      </c>
      <c r="C1135" s="1" t="n">
        <v>45965</v>
      </c>
      <c r="D1135" t="inlineStr">
        <is>
          <t>VÄSTERNORRLANDS LÄN</t>
        </is>
      </c>
      <c r="E1135" t="inlineStr">
        <is>
          <t>ÅNGE</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31135-2025</t>
        </is>
      </c>
      <c r="B1136" s="1" t="n">
        <v>45832.63581018519</v>
      </c>
      <c r="C1136" s="1" t="n">
        <v>45965</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30892-2025</t>
        </is>
      </c>
      <c r="B1137" s="1" t="n">
        <v>45832.34663194444</v>
      </c>
      <c r="C1137" s="1" t="n">
        <v>45965</v>
      </c>
      <c r="D1137" t="inlineStr">
        <is>
          <t>VÄSTERNORRLANDS LÄN</t>
        </is>
      </c>
      <c r="E1137" t="inlineStr">
        <is>
          <t>ÅNGE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30598-2025</t>
        </is>
      </c>
      <c r="B1138" s="1" t="n">
        <v>45831.44834490741</v>
      </c>
      <c r="C1138" s="1" t="n">
        <v>45965</v>
      </c>
      <c r="D1138" t="inlineStr">
        <is>
          <t>VÄSTERNORRLANDS LÄN</t>
        </is>
      </c>
      <c r="E1138" t="inlineStr">
        <is>
          <t>ÅNGE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19709-2025</t>
        </is>
      </c>
      <c r="B1139" s="1" t="n">
        <v>45771.34263888889</v>
      </c>
      <c r="C1139" s="1" t="n">
        <v>45965</v>
      </c>
      <c r="D1139" t="inlineStr">
        <is>
          <t>VÄSTERNORRLANDS LÄN</t>
        </is>
      </c>
      <c r="E1139" t="inlineStr">
        <is>
          <t>ÅNGE</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49377-2025</t>
        </is>
      </c>
      <c r="B1140" s="1" t="n">
        <v>45938.63626157407</v>
      </c>
      <c r="C1140" s="1" t="n">
        <v>45965</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31041-2025</t>
        </is>
      </c>
      <c r="B1141" s="1" t="n">
        <v>45832.55247685185</v>
      </c>
      <c r="C1141" s="1" t="n">
        <v>45965</v>
      </c>
      <c r="D1141" t="inlineStr">
        <is>
          <t>VÄSTERNORRLANDS LÄN</t>
        </is>
      </c>
      <c r="E1141" t="inlineStr">
        <is>
          <t>ÅNGE</t>
        </is>
      </c>
      <c r="F1141" t="inlineStr">
        <is>
          <t>SCA</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31139-2025</t>
        </is>
      </c>
      <c r="B1142" s="1" t="n">
        <v>45832.63633101852</v>
      </c>
      <c r="C1142" s="1" t="n">
        <v>45965</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30877-2025</t>
        </is>
      </c>
      <c r="B1143" s="1" t="n">
        <v>45832.34478009259</v>
      </c>
      <c r="C1143" s="1" t="n">
        <v>45965</v>
      </c>
      <c r="D1143" t="inlineStr">
        <is>
          <t>VÄSTERNORRLANDS LÄN</t>
        </is>
      </c>
      <c r="E1143" t="inlineStr">
        <is>
          <t>ÅNGE</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30888-2025</t>
        </is>
      </c>
      <c r="B1144" s="1" t="n">
        <v>45832.34606481482</v>
      </c>
      <c r="C1144" s="1" t="n">
        <v>45965</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24324-2022</t>
        </is>
      </c>
      <c r="B1145" s="1" t="n">
        <v>44725.945</v>
      </c>
      <c r="C1145" s="1" t="n">
        <v>45965</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24325-2022</t>
        </is>
      </c>
      <c r="B1146" s="1" t="n">
        <v>44725.94506944445</v>
      </c>
      <c r="C1146" s="1" t="n">
        <v>45965</v>
      </c>
      <c r="D1146" t="inlineStr">
        <is>
          <t>VÄSTERNORRLANDS LÄN</t>
        </is>
      </c>
      <c r="E1146" t="inlineStr">
        <is>
          <t>ÅNGE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30803-2022</t>
        </is>
      </c>
      <c r="B1147" s="1" t="n">
        <v>44764</v>
      </c>
      <c r="C1147" s="1" t="n">
        <v>45965</v>
      </c>
      <c r="D1147" t="inlineStr">
        <is>
          <t>VÄSTERNORRLANDS LÄN</t>
        </is>
      </c>
      <c r="E1147" t="inlineStr">
        <is>
          <t>ÅNGE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17744-2025</t>
        </is>
      </c>
      <c r="B1148" s="1" t="n">
        <v>45758</v>
      </c>
      <c r="C1148" s="1" t="n">
        <v>45965</v>
      </c>
      <c r="D1148" t="inlineStr">
        <is>
          <t>VÄSTERNORRLANDS LÄN</t>
        </is>
      </c>
      <c r="E1148" t="inlineStr">
        <is>
          <t>ÅNGE</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2433-2024</t>
        </is>
      </c>
      <c r="B1149" s="1" t="n">
        <v>45310</v>
      </c>
      <c r="C1149" s="1" t="n">
        <v>45965</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56615-2023</t>
        </is>
      </c>
      <c r="B1150" s="1" t="n">
        <v>45243</v>
      </c>
      <c r="C1150" s="1" t="n">
        <v>45965</v>
      </c>
      <c r="D1150" t="inlineStr">
        <is>
          <t>VÄSTERNORRLANDS LÄN</t>
        </is>
      </c>
      <c r="E1150" t="inlineStr">
        <is>
          <t>ÅNGE</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61461-2023</t>
        </is>
      </c>
      <c r="B1151" s="1" t="n">
        <v>45264.9261574074</v>
      </c>
      <c r="C1151" s="1" t="n">
        <v>45965</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31275-2025</t>
        </is>
      </c>
      <c r="B1152" s="1" t="n">
        <v>45833.34459490741</v>
      </c>
      <c r="C1152" s="1" t="n">
        <v>45965</v>
      </c>
      <c r="D1152" t="inlineStr">
        <is>
          <t>VÄSTERNORRLANDS LÄN</t>
        </is>
      </c>
      <c r="E1152" t="inlineStr">
        <is>
          <t>ÅNGE</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31452-2025</t>
        </is>
      </c>
      <c r="B1153" s="1" t="n">
        <v>45833.53179398148</v>
      </c>
      <c r="C1153" s="1" t="n">
        <v>45965</v>
      </c>
      <c r="D1153" t="inlineStr">
        <is>
          <t>VÄSTERNORRLANDS LÄN</t>
        </is>
      </c>
      <c r="E1153" t="inlineStr">
        <is>
          <t>ÅNGE</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27661-2024</t>
        </is>
      </c>
      <c r="B1154" s="1" t="n">
        <v>45474.95365740741</v>
      </c>
      <c r="C1154" s="1" t="n">
        <v>45965</v>
      </c>
      <c r="D1154" t="inlineStr">
        <is>
          <t>VÄSTERNORRLANDS LÄN</t>
        </is>
      </c>
      <c r="E1154" t="inlineStr">
        <is>
          <t>ÅNGE</t>
        </is>
      </c>
      <c r="F1154" t="inlineStr">
        <is>
          <t>SCA</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31544-2025</t>
        </is>
      </c>
      <c r="B1155" s="1" t="n">
        <v>45833.63597222222</v>
      </c>
      <c r="C1155" s="1" t="n">
        <v>45965</v>
      </c>
      <c r="D1155" t="inlineStr">
        <is>
          <t>VÄSTERNORRLANDS LÄN</t>
        </is>
      </c>
      <c r="E1155" t="inlineStr">
        <is>
          <t>ÅNGE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31646-2025</t>
        </is>
      </c>
      <c r="B1156" s="1" t="n">
        <v>45834.34563657407</v>
      </c>
      <c r="C1156" s="1" t="n">
        <v>45965</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31484-2025</t>
        </is>
      </c>
      <c r="B1157" s="1" t="n">
        <v>45833.57418981481</v>
      </c>
      <c r="C1157" s="1" t="n">
        <v>45965</v>
      </c>
      <c r="D1157" t="inlineStr">
        <is>
          <t>VÄSTERNORRLANDS LÄN</t>
        </is>
      </c>
      <c r="E1157" t="inlineStr">
        <is>
          <t>ÅNGE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31642-2025</t>
        </is>
      </c>
      <c r="B1158" s="1" t="n">
        <v>45834.34474537037</v>
      </c>
      <c r="C1158" s="1" t="n">
        <v>45965</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31666-2025</t>
        </is>
      </c>
      <c r="B1159" s="1" t="n">
        <v>45834.36519675926</v>
      </c>
      <c r="C1159" s="1" t="n">
        <v>45965</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45890-2021</t>
        </is>
      </c>
      <c r="B1160" s="1" t="n">
        <v>44441</v>
      </c>
      <c r="C1160" s="1" t="n">
        <v>45965</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41179-2025</t>
        </is>
      </c>
      <c r="B1161" s="1" t="n">
        <v>45898.55277777778</v>
      </c>
      <c r="C1161" s="1" t="n">
        <v>45965</v>
      </c>
      <c r="D1161" t="inlineStr">
        <is>
          <t>VÄSTERNORRLANDS LÄN</t>
        </is>
      </c>
      <c r="E1161" t="inlineStr">
        <is>
          <t>ÅNGE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60003-2023</t>
        </is>
      </c>
      <c r="B1162" s="1" t="n">
        <v>45257</v>
      </c>
      <c r="C1162" s="1" t="n">
        <v>45965</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213-2024</t>
        </is>
      </c>
      <c r="B1163" s="1" t="n">
        <v>45293</v>
      </c>
      <c r="C1163" s="1" t="n">
        <v>45965</v>
      </c>
      <c r="D1163" t="inlineStr">
        <is>
          <t>VÄSTERNORRLANDS LÄN</t>
        </is>
      </c>
      <c r="E1163" t="inlineStr">
        <is>
          <t>ÅNGE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40788-2024</t>
        </is>
      </c>
      <c r="B1164" s="1" t="n">
        <v>45558.50974537037</v>
      </c>
      <c r="C1164" s="1" t="n">
        <v>45965</v>
      </c>
      <c r="D1164" t="inlineStr">
        <is>
          <t>VÄSTERNORRLANDS LÄN</t>
        </is>
      </c>
      <c r="E1164" t="inlineStr">
        <is>
          <t>ÅNGE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41173-2025</t>
        </is>
      </c>
      <c r="B1165" s="1" t="n">
        <v>45898</v>
      </c>
      <c r="C1165" s="1" t="n">
        <v>45965</v>
      </c>
      <c r="D1165" t="inlineStr">
        <is>
          <t>VÄSTERNORRLANDS LÄN</t>
        </is>
      </c>
      <c r="E1165" t="inlineStr">
        <is>
          <t>ÅNGE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741-2024</t>
        </is>
      </c>
      <c r="B1166" s="1" t="n">
        <v>45300.46591435185</v>
      </c>
      <c r="C1166" s="1" t="n">
        <v>45965</v>
      </c>
      <c r="D1166" t="inlineStr">
        <is>
          <t>VÄSTERNORRLANDS LÄN</t>
        </is>
      </c>
      <c r="E1166" t="inlineStr">
        <is>
          <t>ÅNGE</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40898-2025</t>
        </is>
      </c>
      <c r="B1167" s="1" t="n">
        <v>45897.61503472222</v>
      </c>
      <c r="C1167" s="1" t="n">
        <v>45965</v>
      </c>
      <c r="D1167" t="inlineStr">
        <is>
          <t>VÄSTERNORRLANDS LÄN</t>
        </is>
      </c>
      <c r="E1167" t="inlineStr">
        <is>
          <t>ÅNGE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40899-2025</t>
        </is>
      </c>
      <c r="B1168" s="1" t="n">
        <v>45897.61528935185</v>
      </c>
      <c r="C1168" s="1" t="n">
        <v>45965</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32025-2025</t>
        </is>
      </c>
      <c r="B1169" s="1" t="n">
        <v>45835.40721064815</v>
      </c>
      <c r="C1169" s="1" t="n">
        <v>45965</v>
      </c>
      <c r="D1169" t="inlineStr">
        <is>
          <t>VÄSTERNORRLANDS LÄN</t>
        </is>
      </c>
      <c r="E1169" t="inlineStr">
        <is>
          <t>ÅNGE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26092-2025</t>
        </is>
      </c>
      <c r="B1170" s="1" t="n">
        <v>45805</v>
      </c>
      <c r="C1170" s="1" t="n">
        <v>45965</v>
      </c>
      <c r="D1170" t="inlineStr">
        <is>
          <t>VÄSTERNORRLANDS LÄN</t>
        </is>
      </c>
      <c r="E1170" t="inlineStr">
        <is>
          <t>ÅNGE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54611-2023</t>
        </is>
      </c>
      <c r="B1171" s="1" t="n">
        <v>45233</v>
      </c>
      <c r="C1171" s="1" t="n">
        <v>45965</v>
      </c>
      <c r="D1171" t="inlineStr">
        <is>
          <t>VÄSTERNORRLANDS LÄN</t>
        </is>
      </c>
      <c r="E1171" t="inlineStr">
        <is>
          <t>ÅNGE</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14673-2025</t>
        </is>
      </c>
      <c r="B1172" s="1" t="n">
        <v>45742.55309027778</v>
      </c>
      <c r="C1172" s="1" t="n">
        <v>45965</v>
      </c>
      <c r="D1172" t="inlineStr">
        <is>
          <t>VÄSTERNORRLANDS LÄN</t>
        </is>
      </c>
      <c r="E1172" t="inlineStr">
        <is>
          <t>ÅNGE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32024-2025</t>
        </is>
      </c>
      <c r="B1173" s="1" t="n">
        <v>45835.40706018519</v>
      </c>
      <c r="C1173" s="1" t="n">
        <v>45965</v>
      </c>
      <c r="D1173" t="inlineStr">
        <is>
          <t>VÄSTERNORRLANDS LÄN</t>
        </is>
      </c>
      <c r="E1173" t="inlineStr">
        <is>
          <t>ÅNGE</t>
        </is>
      </c>
      <c r="F1173" t="inlineStr">
        <is>
          <t>SCA</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15032-2025</t>
        </is>
      </c>
      <c r="B1174" s="1" t="n">
        <v>45743.67748842593</v>
      </c>
      <c r="C1174" s="1" t="n">
        <v>45965</v>
      </c>
      <c r="D1174" t="inlineStr">
        <is>
          <t>VÄSTERNORRLANDS LÄN</t>
        </is>
      </c>
      <c r="E1174" t="inlineStr">
        <is>
          <t>ÅNGE</t>
        </is>
      </c>
      <c r="F1174" t="inlineStr">
        <is>
          <t>SCA</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7692-2024</t>
        </is>
      </c>
      <c r="B1175" s="1" t="n">
        <v>45349</v>
      </c>
      <c r="C1175" s="1" t="n">
        <v>45965</v>
      </c>
      <c r="D1175" t="inlineStr">
        <is>
          <t>VÄSTERNORRLANDS LÄN</t>
        </is>
      </c>
      <c r="E1175" t="inlineStr">
        <is>
          <t>ÅNGE</t>
        </is>
      </c>
      <c r="F1175" t="inlineStr">
        <is>
          <t>SCA</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29673-2024</t>
        </is>
      </c>
      <c r="B1176" s="1" t="n">
        <v>45484.94210648148</v>
      </c>
      <c r="C1176" s="1" t="n">
        <v>45965</v>
      </c>
      <c r="D1176" t="inlineStr">
        <is>
          <t>VÄSTERNORRLANDS LÄN</t>
        </is>
      </c>
      <c r="E1176" t="inlineStr">
        <is>
          <t>ÅNGE</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5602-2025</t>
        </is>
      </c>
      <c r="B1177" s="1" t="n">
        <v>45693</v>
      </c>
      <c r="C1177" s="1" t="n">
        <v>45965</v>
      </c>
      <c r="D1177" t="inlineStr">
        <is>
          <t>VÄSTERNORRLANDS LÄN</t>
        </is>
      </c>
      <c r="E1177" t="inlineStr">
        <is>
          <t>ÅNGE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30751-2024</t>
        </is>
      </c>
      <c r="B1178" s="1" t="n">
        <v>45496.69339120371</v>
      </c>
      <c r="C1178" s="1" t="n">
        <v>45965</v>
      </c>
      <c r="D1178" t="inlineStr">
        <is>
          <t>VÄSTERNORRLANDS LÄN</t>
        </is>
      </c>
      <c r="E1178" t="inlineStr">
        <is>
          <t>ÅNGE</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40872-2025</t>
        </is>
      </c>
      <c r="B1179" s="1" t="n">
        <v>45897.574375</v>
      </c>
      <c r="C1179" s="1" t="n">
        <v>45965</v>
      </c>
      <c r="D1179" t="inlineStr">
        <is>
          <t>VÄSTERNORRLANDS LÄN</t>
        </is>
      </c>
      <c r="E1179" t="inlineStr">
        <is>
          <t>ÅNGE</t>
        </is>
      </c>
      <c r="F1179" t="inlineStr">
        <is>
          <t>SCA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38099-2024</t>
        </is>
      </c>
      <c r="B1180" s="1" t="n">
        <v>45545.35920138889</v>
      </c>
      <c r="C1180" s="1" t="n">
        <v>45965</v>
      </c>
      <c r="D1180" t="inlineStr">
        <is>
          <t>VÄSTERNORRLANDS LÄN</t>
        </is>
      </c>
      <c r="E1180" t="inlineStr">
        <is>
          <t>ÅNGE</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44636-2024</t>
        </is>
      </c>
      <c r="B1181" s="1" t="n">
        <v>45574.51491898148</v>
      </c>
      <c r="C1181" s="1" t="n">
        <v>45965</v>
      </c>
      <c r="D1181" t="inlineStr">
        <is>
          <t>VÄSTERNORRLANDS LÄN</t>
        </is>
      </c>
      <c r="E1181" t="inlineStr">
        <is>
          <t>ÅNGE</t>
        </is>
      </c>
      <c r="F1181" t="inlineStr">
        <is>
          <t>SCA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32847-2025</t>
        </is>
      </c>
      <c r="B1182" s="1" t="n">
        <v>45839.57354166666</v>
      </c>
      <c r="C1182" s="1" t="n">
        <v>45965</v>
      </c>
      <c r="D1182" t="inlineStr">
        <is>
          <t>VÄSTERNORRLANDS LÄN</t>
        </is>
      </c>
      <c r="E1182" t="inlineStr">
        <is>
          <t>ÅNGE</t>
        </is>
      </c>
      <c r="F1182" t="inlineStr">
        <is>
          <t>SCA</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40818-2025</t>
        </is>
      </c>
      <c r="B1183" s="1" t="n">
        <v>45897.48881944444</v>
      </c>
      <c r="C1183" s="1" t="n">
        <v>45965</v>
      </c>
      <c r="D1183" t="inlineStr">
        <is>
          <t>VÄSTERNORRLANDS LÄN</t>
        </is>
      </c>
      <c r="E1183" t="inlineStr">
        <is>
          <t>ÅNGE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40830-2025</t>
        </is>
      </c>
      <c r="B1184" s="1" t="n">
        <v>45897.51079861111</v>
      </c>
      <c r="C1184" s="1" t="n">
        <v>45965</v>
      </c>
      <c r="D1184" t="inlineStr">
        <is>
          <t>VÄSTERNORRLANDS LÄN</t>
        </is>
      </c>
      <c r="E1184" t="inlineStr">
        <is>
          <t>ÅNGE</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64375-2023</t>
        </is>
      </c>
      <c r="B1185" s="1" t="n">
        <v>45280</v>
      </c>
      <c r="C1185" s="1" t="n">
        <v>45965</v>
      </c>
      <c r="D1185" t="inlineStr">
        <is>
          <t>VÄSTERNORRLANDS LÄN</t>
        </is>
      </c>
      <c r="E1185" t="inlineStr">
        <is>
          <t>ÅNGE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49562-2025</t>
        </is>
      </c>
      <c r="B1186" s="1" t="n">
        <v>45939.46524305556</v>
      </c>
      <c r="C1186" s="1" t="n">
        <v>45965</v>
      </c>
      <c r="D1186" t="inlineStr">
        <is>
          <t>VÄSTERNORRLANDS LÄN</t>
        </is>
      </c>
      <c r="E1186" t="inlineStr">
        <is>
          <t>ÅNGE</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49566-2025</t>
        </is>
      </c>
      <c r="B1187" s="1" t="n">
        <v>45939.46939814815</v>
      </c>
      <c r="C1187" s="1" t="n">
        <v>45965</v>
      </c>
      <c r="D1187" t="inlineStr">
        <is>
          <t>VÄSTERNORRLANDS LÄN</t>
        </is>
      </c>
      <c r="E1187" t="inlineStr">
        <is>
          <t>ÅNGE</t>
        </is>
      </c>
      <c r="F1187" t="inlineStr">
        <is>
          <t>SCA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33782-2025</t>
        </is>
      </c>
      <c r="B1188" s="1" t="n">
        <v>45842.40678240741</v>
      </c>
      <c r="C1188" s="1" t="n">
        <v>45965</v>
      </c>
      <c r="D1188" t="inlineStr">
        <is>
          <t>VÄSTERNORRLANDS LÄN</t>
        </is>
      </c>
      <c r="E1188" t="inlineStr">
        <is>
          <t>ÅNGE</t>
        </is>
      </c>
      <c r="F1188" t="inlineStr">
        <is>
          <t>SCA</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49476-2025</t>
        </is>
      </c>
      <c r="B1189" s="1" t="n">
        <v>45939.34506944445</v>
      </c>
      <c r="C1189" s="1" t="n">
        <v>45965</v>
      </c>
      <c r="D1189" t="inlineStr">
        <is>
          <t>VÄSTERNORRLANDS LÄN</t>
        </is>
      </c>
      <c r="E1189" t="inlineStr">
        <is>
          <t>ÅNGE</t>
        </is>
      </c>
      <c r="F1189" t="inlineStr">
        <is>
          <t>SCA</t>
        </is>
      </c>
      <c r="G1189" t="n">
        <v>11.4</v>
      </c>
      <c r="H1189" t="n">
        <v>0</v>
      </c>
      <c r="I1189" t="n">
        <v>0</v>
      </c>
      <c r="J1189" t="n">
        <v>0</v>
      </c>
      <c r="K1189" t="n">
        <v>0</v>
      </c>
      <c r="L1189" t="n">
        <v>0</v>
      </c>
      <c r="M1189" t="n">
        <v>0</v>
      </c>
      <c r="N1189" t="n">
        <v>0</v>
      </c>
      <c r="O1189" t="n">
        <v>0</v>
      </c>
      <c r="P1189" t="n">
        <v>0</v>
      </c>
      <c r="Q1189" t="n">
        <v>0</v>
      </c>
      <c r="R1189" s="2" t="inlineStr"/>
    </row>
    <row r="1190" ht="15" customHeight="1">
      <c r="A1190" t="inlineStr">
        <is>
          <t>A 60296-2021</t>
        </is>
      </c>
      <c r="B1190" s="1" t="n">
        <v>44495</v>
      </c>
      <c r="C1190" s="1" t="n">
        <v>45965</v>
      </c>
      <c r="D1190" t="inlineStr">
        <is>
          <t>VÄSTERNORRLANDS LÄN</t>
        </is>
      </c>
      <c r="E1190" t="inlineStr">
        <is>
          <t>ÅNGE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63556-2021</t>
        </is>
      </c>
      <c r="B1191" s="1" t="n">
        <v>44508.70231481481</v>
      </c>
      <c r="C1191" s="1" t="n">
        <v>45965</v>
      </c>
      <c r="D1191" t="inlineStr">
        <is>
          <t>VÄSTERNORRLANDS LÄN</t>
        </is>
      </c>
      <c r="E1191" t="inlineStr">
        <is>
          <t>ÅNGE</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10922-2024</t>
        </is>
      </c>
      <c r="B1192" s="1" t="n">
        <v>45370</v>
      </c>
      <c r="C1192" s="1" t="n">
        <v>45965</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49600-2025</t>
        </is>
      </c>
      <c r="B1193" s="1" t="n">
        <v>45939.54434027777</v>
      </c>
      <c r="C1193" s="1" t="n">
        <v>45965</v>
      </c>
      <c r="D1193" t="inlineStr">
        <is>
          <t>VÄSTERNORRLANDS LÄN</t>
        </is>
      </c>
      <c r="E1193" t="inlineStr">
        <is>
          <t>ÅNGE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49669-2025</t>
        </is>
      </c>
      <c r="B1194" s="1" t="n">
        <v>45939.63710648148</v>
      </c>
      <c r="C1194" s="1" t="n">
        <v>45965</v>
      </c>
      <c r="D1194" t="inlineStr">
        <is>
          <t>VÄSTERNORRLANDS LÄN</t>
        </is>
      </c>
      <c r="E1194" t="inlineStr">
        <is>
          <t>ÅNGE</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21089-2024</t>
        </is>
      </c>
      <c r="B1195" s="1" t="n">
        <v>45439.94987268518</v>
      </c>
      <c r="C1195" s="1" t="n">
        <v>45965</v>
      </c>
      <c r="D1195" t="inlineStr">
        <is>
          <t>VÄSTERNORRLANDS LÄN</t>
        </is>
      </c>
      <c r="E1195" t="inlineStr">
        <is>
          <t>ÅNGE</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49603-2025</t>
        </is>
      </c>
      <c r="B1196" s="1" t="n">
        <v>45939.5484375</v>
      </c>
      <c r="C1196" s="1" t="n">
        <v>45965</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64950-2023</t>
        </is>
      </c>
      <c r="B1197" s="1" t="n">
        <v>45282</v>
      </c>
      <c r="C1197" s="1" t="n">
        <v>45965</v>
      </c>
      <c r="D1197" t="inlineStr">
        <is>
          <t>VÄSTERNORRLANDS LÄN</t>
        </is>
      </c>
      <c r="E1197" t="inlineStr">
        <is>
          <t>ÅNGE</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33717-2025</t>
        </is>
      </c>
      <c r="B1198" s="1" t="n">
        <v>45841.89357638889</v>
      </c>
      <c r="C1198" s="1" t="n">
        <v>45965</v>
      </c>
      <c r="D1198" t="inlineStr">
        <is>
          <t>VÄSTERNORRLANDS LÄN</t>
        </is>
      </c>
      <c r="E1198" t="inlineStr">
        <is>
          <t>ÅNGE</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33738-2025</t>
        </is>
      </c>
      <c r="B1199" s="1" t="n">
        <v>45842.33795138889</v>
      </c>
      <c r="C1199" s="1" t="n">
        <v>45965</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20393-2022</t>
        </is>
      </c>
      <c r="B1200" s="1" t="n">
        <v>44699</v>
      </c>
      <c r="C1200" s="1" t="n">
        <v>45965</v>
      </c>
      <c r="D1200" t="inlineStr">
        <is>
          <t>VÄSTERNORRLANDS LÄN</t>
        </is>
      </c>
      <c r="E1200" t="inlineStr">
        <is>
          <t>ÅNGE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4727-2023</t>
        </is>
      </c>
      <c r="B1201" s="1" t="n">
        <v>44953</v>
      </c>
      <c r="C1201" s="1" t="n">
        <v>45965</v>
      </c>
      <c r="D1201" t="inlineStr">
        <is>
          <t>VÄSTERNORRLANDS LÄN</t>
        </is>
      </c>
      <c r="E1201" t="inlineStr">
        <is>
          <t>ÅNGE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35650-2024</t>
        </is>
      </c>
      <c r="B1202" s="1" t="n">
        <v>45532.34123842593</v>
      </c>
      <c r="C1202" s="1" t="n">
        <v>45965</v>
      </c>
      <c r="D1202" t="inlineStr">
        <is>
          <t>VÄSTERNORRLANDS LÄN</t>
        </is>
      </c>
      <c r="E1202" t="inlineStr">
        <is>
          <t>ÅNGE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3357-2024</t>
        </is>
      </c>
      <c r="B1203" s="1" t="n">
        <v>45317</v>
      </c>
      <c r="C1203" s="1" t="n">
        <v>45965</v>
      </c>
      <c r="D1203" t="inlineStr">
        <is>
          <t>VÄSTERNORRLANDS LÄN</t>
        </is>
      </c>
      <c r="E1203" t="inlineStr">
        <is>
          <t>ÅNGE</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50210-2025</t>
        </is>
      </c>
      <c r="B1204" s="1" t="n">
        <v>45943.67379629629</v>
      </c>
      <c r="C1204" s="1" t="n">
        <v>45965</v>
      </c>
      <c r="D1204" t="inlineStr">
        <is>
          <t>VÄSTERNORRLANDS LÄN</t>
        </is>
      </c>
      <c r="E1204" t="inlineStr">
        <is>
          <t>ÅNGE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46332-2023</t>
        </is>
      </c>
      <c r="B1205" s="1" t="n">
        <v>45196</v>
      </c>
      <c r="C1205" s="1" t="n">
        <v>45965</v>
      </c>
      <c r="D1205" t="inlineStr">
        <is>
          <t>VÄSTERNORRLANDS LÄN</t>
        </is>
      </c>
      <c r="E1205" t="inlineStr">
        <is>
          <t>ÅNGE</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34019-2025</t>
        </is>
      </c>
      <c r="B1206" s="1" t="n">
        <v>45845.34416666667</v>
      </c>
      <c r="C1206" s="1" t="n">
        <v>45965</v>
      </c>
      <c r="D1206" t="inlineStr">
        <is>
          <t>VÄSTERNORRLANDS LÄN</t>
        </is>
      </c>
      <c r="E1206" t="inlineStr">
        <is>
          <t>ÅNGE</t>
        </is>
      </c>
      <c r="F1206" t="inlineStr">
        <is>
          <t>SCA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34031-2025</t>
        </is>
      </c>
      <c r="B1207" s="1" t="n">
        <v>45845.36508101852</v>
      </c>
      <c r="C1207" s="1" t="n">
        <v>45965</v>
      </c>
      <c r="D1207" t="inlineStr">
        <is>
          <t>VÄSTERNORRLANDS LÄN</t>
        </is>
      </c>
      <c r="E1207" t="inlineStr">
        <is>
          <t>ÅNGE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47305-2025</t>
        </is>
      </c>
      <c r="B1208" s="1" t="n">
        <v>45930</v>
      </c>
      <c r="C1208" s="1" t="n">
        <v>45965</v>
      </c>
      <c r="D1208" t="inlineStr">
        <is>
          <t>VÄSTERNORRLANDS LÄN</t>
        </is>
      </c>
      <c r="E1208" t="inlineStr">
        <is>
          <t>ÅNGE</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64945-2023</t>
        </is>
      </c>
      <c r="B1209" s="1" t="n">
        <v>45282.94668981482</v>
      </c>
      <c r="C1209" s="1" t="n">
        <v>45965</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23018-2021</t>
        </is>
      </c>
      <c r="B1210" s="1" t="n">
        <v>44328</v>
      </c>
      <c r="C1210" s="1" t="n">
        <v>45965</v>
      </c>
      <c r="D1210" t="inlineStr">
        <is>
          <t>VÄSTERNORRLANDS LÄN</t>
        </is>
      </c>
      <c r="E1210" t="inlineStr">
        <is>
          <t>ÅNGE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31866-2024</t>
        </is>
      </c>
      <c r="B1211" s="1" t="n">
        <v>45509</v>
      </c>
      <c r="C1211" s="1" t="n">
        <v>45965</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31867-2024</t>
        </is>
      </c>
      <c r="B1212" s="1" t="n">
        <v>45509</v>
      </c>
      <c r="C1212" s="1" t="n">
        <v>45965</v>
      </c>
      <c r="D1212" t="inlineStr">
        <is>
          <t>VÄSTERNORRLANDS LÄN</t>
        </is>
      </c>
      <c r="E1212" t="inlineStr">
        <is>
          <t>ÅNGE</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39178-2024</t>
        </is>
      </c>
      <c r="B1213" s="1" t="n">
        <v>45548.65692129629</v>
      </c>
      <c r="C1213" s="1" t="n">
        <v>45965</v>
      </c>
      <c r="D1213" t="inlineStr">
        <is>
          <t>VÄSTERNORRLANDS LÄN</t>
        </is>
      </c>
      <c r="E1213" t="inlineStr">
        <is>
          <t>ÅNGE</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34785-2025</t>
        </is>
      </c>
      <c r="B1214" s="1" t="n">
        <v>45848.67771990741</v>
      </c>
      <c r="C1214" s="1" t="n">
        <v>45965</v>
      </c>
      <c r="D1214" t="inlineStr">
        <is>
          <t>VÄSTERNORRLANDS LÄN</t>
        </is>
      </c>
      <c r="E1214" t="inlineStr">
        <is>
          <t>ÅNGE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29193-2024</t>
        </is>
      </c>
      <c r="B1215" s="1" t="n">
        <v>45482.56510416666</v>
      </c>
      <c r="C1215" s="1" t="n">
        <v>45965</v>
      </c>
      <c r="D1215" t="inlineStr">
        <is>
          <t>VÄSTERNORRLANDS LÄN</t>
        </is>
      </c>
      <c r="E1215" t="inlineStr">
        <is>
          <t>ÅNGE</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42040-2024</t>
        </is>
      </c>
      <c r="B1216" s="1" t="n">
        <v>45561.80983796297</v>
      </c>
      <c r="C1216" s="1" t="n">
        <v>45965</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34591-2025</t>
        </is>
      </c>
      <c r="B1217" s="1" t="n">
        <v>45847.62920138889</v>
      </c>
      <c r="C1217" s="1" t="n">
        <v>45965</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34593-2025</t>
        </is>
      </c>
      <c r="B1218" s="1" t="n">
        <v>45847.6316087963</v>
      </c>
      <c r="C1218" s="1" t="n">
        <v>45965</v>
      </c>
      <c r="D1218" t="inlineStr">
        <is>
          <t>VÄSTERNORRLANDS LÄN</t>
        </is>
      </c>
      <c r="E1218" t="inlineStr">
        <is>
          <t>ÅNGE</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34691-2024</t>
        </is>
      </c>
      <c r="B1219" s="1" t="n">
        <v>45526.54516203704</v>
      </c>
      <c r="C1219" s="1" t="n">
        <v>45965</v>
      </c>
      <c r="D1219" t="inlineStr">
        <is>
          <t>VÄSTERNORRLANDS LÄN</t>
        </is>
      </c>
      <c r="E1219" t="inlineStr">
        <is>
          <t>ÅNGE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54210-2024</t>
        </is>
      </c>
      <c r="B1220" s="1" t="n">
        <v>45616.65662037037</v>
      </c>
      <c r="C1220" s="1" t="n">
        <v>45965</v>
      </c>
      <c r="D1220" t="inlineStr">
        <is>
          <t>VÄSTERNORRLANDS LÄN</t>
        </is>
      </c>
      <c r="E1220" t="inlineStr">
        <is>
          <t>ÅNGE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52805-2024</t>
        </is>
      </c>
      <c r="B1221" s="1" t="n">
        <v>45610.57344907407</v>
      </c>
      <c r="C1221" s="1" t="n">
        <v>45965</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61577-2023</t>
        </is>
      </c>
      <c r="B1222" s="1" t="n">
        <v>45265.47366898148</v>
      </c>
      <c r="C1222" s="1" t="n">
        <v>45965</v>
      </c>
      <c r="D1222" t="inlineStr">
        <is>
          <t>VÄSTERNORRLANDS LÄN</t>
        </is>
      </c>
      <c r="E1222" t="inlineStr">
        <is>
          <t>ÅNGE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1735-2025</t>
        </is>
      </c>
      <c r="B1223" s="1" t="n">
        <v>45671.38594907407</v>
      </c>
      <c r="C1223" s="1" t="n">
        <v>45965</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45939-2023</t>
        </is>
      </c>
      <c r="B1224" s="1" t="n">
        <v>45195.94578703704</v>
      </c>
      <c r="C1224" s="1" t="n">
        <v>45965</v>
      </c>
      <c r="D1224" t="inlineStr">
        <is>
          <t>VÄSTERNORRLANDS LÄN</t>
        </is>
      </c>
      <c r="E1224" t="inlineStr">
        <is>
          <t>ÅNGE</t>
        </is>
      </c>
      <c r="F1224" t="inlineStr">
        <is>
          <t>SCA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41355-2025</t>
        </is>
      </c>
      <c r="B1225" s="1" t="n">
        <v>45900.34425925926</v>
      </c>
      <c r="C1225" s="1" t="n">
        <v>45965</v>
      </c>
      <c r="D1225" t="inlineStr">
        <is>
          <t>VÄSTERNORRLANDS LÄN</t>
        </is>
      </c>
      <c r="E1225" t="inlineStr">
        <is>
          <t>ÅNGE</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61585-2022</t>
        </is>
      </c>
      <c r="B1226" s="1" t="n">
        <v>44916.63380787037</v>
      </c>
      <c r="C1226" s="1" t="n">
        <v>45965</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3574-2025</t>
        </is>
      </c>
      <c r="B1227" s="1" t="n">
        <v>45680.71916666667</v>
      </c>
      <c r="C1227" s="1" t="n">
        <v>45965</v>
      </c>
      <c r="D1227" t="inlineStr">
        <is>
          <t>VÄSTERNORRLANDS LÄN</t>
        </is>
      </c>
      <c r="E1227" t="inlineStr">
        <is>
          <t>ÅNGE</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35143-2025</t>
        </is>
      </c>
      <c r="B1228" s="1" t="n">
        <v>45852.65660879629</v>
      </c>
      <c r="C1228" s="1" t="n">
        <v>45965</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35061-2025</t>
        </is>
      </c>
      <c r="B1229" s="1" t="n">
        <v>45852</v>
      </c>
      <c r="C1229" s="1" t="n">
        <v>45965</v>
      </c>
      <c r="D1229" t="inlineStr">
        <is>
          <t>VÄSTERNORRLANDS LÄN</t>
        </is>
      </c>
      <c r="E1229" t="inlineStr">
        <is>
          <t>ÅNGE</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29048-2021</t>
        </is>
      </c>
      <c r="B1230" s="1" t="n">
        <v>44358</v>
      </c>
      <c r="C1230" s="1" t="n">
        <v>45965</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3022-2023</t>
        </is>
      </c>
      <c r="B1231" s="1" t="n">
        <v>44945</v>
      </c>
      <c r="C1231" s="1" t="n">
        <v>45965</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35503-2025</t>
        </is>
      </c>
      <c r="B1232" s="1" t="n">
        <v>45856</v>
      </c>
      <c r="C1232" s="1" t="n">
        <v>45965</v>
      </c>
      <c r="D1232" t="inlineStr">
        <is>
          <t>VÄSTERNORRLANDS LÄN</t>
        </is>
      </c>
      <c r="E1232" t="inlineStr">
        <is>
          <t>ÅNGE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35540-2025</t>
        </is>
      </c>
      <c r="B1233" s="1" t="n">
        <v>45856.46912037037</v>
      </c>
      <c r="C1233" s="1" t="n">
        <v>45965</v>
      </c>
      <c r="D1233" t="inlineStr">
        <is>
          <t>VÄSTERNORRLANDS LÄN</t>
        </is>
      </c>
      <c r="E1233" t="inlineStr">
        <is>
          <t>ÅNGE</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35548-2025</t>
        </is>
      </c>
      <c r="B1234" s="1" t="n">
        <v>45856.48995370371</v>
      </c>
      <c r="C1234" s="1" t="n">
        <v>45965</v>
      </c>
      <c r="D1234" t="inlineStr">
        <is>
          <t>VÄSTERNORRLANDS LÄN</t>
        </is>
      </c>
      <c r="E1234" t="inlineStr">
        <is>
          <t>ÅNGE</t>
        </is>
      </c>
      <c r="F1234" t="inlineStr">
        <is>
          <t>SCA</t>
        </is>
      </c>
      <c r="G1234" t="n">
        <v>14.6</v>
      </c>
      <c r="H1234" t="n">
        <v>0</v>
      </c>
      <c r="I1234" t="n">
        <v>0</v>
      </c>
      <c r="J1234" t="n">
        <v>0</v>
      </c>
      <c r="K1234" t="n">
        <v>0</v>
      </c>
      <c r="L1234" t="n">
        <v>0</v>
      </c>
      <c r="M1234" t="n">
        <v>0</v>
      </c>
      <c r="N1234" t="n">
        <v>0</v>
      </c>
      <c r="O1234" t="n">
        <v>0</v>
      </c>
      <c r="P1234" t="n">
        <v>0</v>
      </c>
      <c r="Q1234" t="n">
        <v>0</v>
      </c>
      <c r="R1234" s="2" t="inlineStr"/>
    </row>
    <row r="1235" ht="15" customHeight="1">
      <c r="A1235" t="inlineStr">
        <is>
          <t>A 35575-2025</t>
        </is>
      </c>
      <c r="B1235" s="1" t="n">
        <v>45856.63591435185</v>
      </c>
      <c r="C1235" s="1" t="n">
        <v>45965</v>
      </c>
      <c r="D1235" t="inlineStr">
        <is>
          <t>VÄSTERNORRLANDS LÄN</t>
        </is>
      </c>
      <c r="E1235" t="inlineStr">
        <is>
          <t>ÅNGE</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39021-2024</t>
        </is>
      </c>
      <c r="B1236" s="1" t="n">
        <v>45548</v>
      </c>
      <c r="C1236" s="1" t="n">
        <v>45965</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35497-2025</t>
        </is>
      </c>
      <c r="B1237" s="1" t="n">
        <v>45856.29752314815</v>
      </c>
      <c r="C1237" s="1" t="n">
        <v>45965</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13875-2022</t>
        </is>
      </c>
      <c r="B1238" s="1" t="n">
        <v>44649</v>
      </c>
      <c r="C1238" s="1" t="n">
        <v>45965</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35432-2025</t>
        </is>
      </c>
      <c r="B1239" s="1" t="n">
        <v>45855.44831018519</v>
      </c>
      <c r="C1239" s="1" t="n">
        <v>45965</v>
      </c>
      <c r="D1239" t="inlineStr">
        <is>
          <t>VÄSTERNORRLANDS LÄN</t>
        </is>
      </c>
      <c r="E1239" t="inlineStr">
        <is>
          <t>ÅNGE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35577-2025</t>
        </is>
      </c>
      <c r="B1240" s="1" t="n">
        <v>45856.67762731481</v>
      </c>
      <c r="C1240" s="1" t="n">
        <v>45965</v>
      </c>
      <c r="D1240" t="inlineStr">
        <is>
          <t>VÄSTERNORRLANDS LÄN</t>
        </is>
      </c>
      <c r="E1240" t="inlineStr">
        <is>
          <t>ÅNGE</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35690-2025</t>
        </is>
      </c>
      <c r="B1241" s="1" t="n">
        <v>45860.34421296296</v>
      </c>
      <c r="C1241" s="1" t="n">
        <v>45965</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4876-2023</t>
        </is>
      </c>
      <c r="B1242" s="1" t="n">
        <v>44957.94023148148</v>
      </c>
      <c r="C1242" s="1" t="n">
        <v>45965</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35781-2025</t>
        </is>
      </c>
      <c r="B1243" s="1" t="n">
        <v>45860.70613425926</v>
      </c>
      <c r="C1243" s="1" t="n">
        <v>45965</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3362-2023</t>
        </is>
      </c>
      <c r="B1244" s="1" t="n">
        <v>44945</v>
      </c>
      <c r="C1244" s="1" t="n">
        <v>45965</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44415-2021</t>
        </is>
      </c>
      <c r="B1245" s="1" t="n">
        <v>44435</v>
      </c>
      <c r="C1245" s="1" t="n">
        <v>45965</v>
      </c>
      <c r="D1245" t="inlineStr">
        <is>
          <t>VÄSTERNORRLANDS LÄN</t>
        </is>
      </c>
      <c r="E1245" t="inlineStr">
        <is>
          <t>ÅNGE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50291-2025</t>
        </is>
      </c>
      <c r="B1246" s="1" t="n">
        <v>45944.40677083333</v>
      </c>
      <c r="C1246" s="1" t="n">
        <v>45965</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35766-2025</t>
        </is>
      </c>
      <c r="B1247" s="1" t="n">
        <v>45860.63077546296</v>
      </c>
      <c r="C1247" s="1" t="n">
        <v>45965</v>
      </c>
      <c r="D1247" t="inlineStr">
        <is>
          <t>VÄSTERNORRLANDS LÄN</t>
        </is>
      </c>
      <c r="E1247" t="inlineStr">
        <is>
          <t>ÅNGE</t>
        </is>
      </c>
      <c r="G1247" t="n">
        <v>10.7</v>
      </c>
      <c r="H1247" t="n">
        <v>0</v>
      </c>
      <c r="I1247" t="n">
        <v>0</v>
      </c>
      <c r="J1247" t="n">
        <v>0</v>
      </c>
      <c r="K1247" t="n">
        <v>0</v>
      </c>
      <c r="L1247" t="n">
        <v>0</v>
      </c>
      <c r="M1247" t="n">
        <v>0</v>
      </c>
      <c r="N1247" t="n">
        <v>0</v>
      </c>
      <c r="O1247" t="n">
        <v>0</v>
      </c>
      <c r="P1247" t="n">
        <v>0</v>
      </c>
      <c r="Q1247" t="n">
        <v>0</v>
      </c>
      <c r="R1247" s="2" t="inlineStr"/>
    </row>
    <row r="1248" ht="15" customHeight="1">
      <c r="A1248" t="inlineStr">
        <is>
          <t>A 35826-2025</t>
        </is>
      </c>
      <c r="B1248" s="1" t="n">
        <v>45861.48997685185</v>
      </c>
      <c r="C1248" s="1" t="n">
        <v>45965</v>
      </c>
      <c r="D1248" t="inlineStr">
        <is>
          <t>VÄSTERNORRLANDS LÄN</t>
        </is>
      </c>
      <c r="E1248" t="inlineStr">
        <is>
          <t>ÅNGE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35838-2025</t>
        </is>
      </c>
      <c r="B1249" s="1" t="n">
        <v>45861.53829861111</v>
      </c>
      <c r="C1249" s="1" t="n">
        <v>45965</v>
      </c>
      <c r="D1249" t="inlineStr">
        <is>
          <t>VÄSTERNORRLANDS LÄN</t>
        </is>
      </c>
      <c r="E1249" t="inlineStr">
        <is>
          <t>ÅNGE</t>
        </is>
      </c>
      <c r="F1249" t="inlineStr">
        <is>
          <t>Sveaskog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35827-2025</t>
        </is>
      </c>
      <c r="B1250" s="1" t="n">
        <v>45861.49017361111</v>
      </c>
      <c r="C1250" s="1" t="n">
        <v>45965</v>
      </c>
      <c r="D1250" t="inlineStr">
        <is>
          <t>VÄSTERNORRLANDS LÄN</t>
        </is>
      </c>
      <c r="E1250" t="inlineStr">
        <is>
          <t>ÅNGE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5455-2023</t>
        </is>
      </c>
      <c r="B1251" s="1" t="n">
        <v>44959.93983796296</v>
      </c>
      <c r="C1251" s="1" t="n">
        <v>45965</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50001-2025</t>
        </is>
      </c>
      <c r="B1252" s="1" t="n">
        <v>45943.34421296296</v>
      </c>
      <c r="C1252" s="1" t="n">
        <v>45965</v>
      </c>
      <c r="D1252" t="inlineStr">
        <is>
          <t>VÄSTERNORRLANDS LÄN</t>
        </is>
      </c>
      <c r="E1252" t="inlineStr">
        <is>
          <t>ÅNGE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30683-2024</t>
        </is>
      </c>
      <c r="B1253" s="1" t="n">
        <v>45495</v>
      </c>
      <c r="C1253" s="1" t="n">
        <v>45965</v>
      </c>
      <c r="D1253" t="inlineStr">
        <is>
          <t>VÄSTERNORRLANDS LÄN</t>
        </is>
      </c>
      <c r="E1253" t="inlineStr">
        <is>
          <t>ÅNGE</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59986-2021</t>
        </is>
      </c>
      <c r="B1254" s="1" t="n">
        <v>44494</v>
      </c>
      <c r="C1254" s="1" t="n">
        <v>45965</v>
      </c>
      <c r="D1254" t="inlineStr">
        <is>
          <t>VÄSTERNORRLANDS LÄN</t>
        </is>
      </c>
      <c r="E1254" t="inlineStr">
        <is>
          <t>ÅNGE</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50235-2021</t>
        </is>
      </c>
      <c r="B1255" s="1" t="n">
        <v>44457</v>
      </c>
      <c r="C1255" s="1" t="n">
        <v>45965</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50009-2025</t>
        </is>
      </c>
      <c r="B1256" s="1" t="n">
        <v>45943.34527777778</v>
      </c>
      <c r="C1256" s="1" t="n">
        <v>45965</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36205-2025</t>
        </is>
      </c>
      <c r="B1257" s="1" t="n">
        <v>45867.44855324074</v>
      </c>
      <c r="C1257" s="1" t="n">
        <v>45965</v>
      </c>
      <c r="D1257" t="inlineStr">
        <is>
          <t>VÄSTERNORRLANDS LÄN</t>
        </is>
      </c>
      <c r="E1257" t="inlineStr">
        <is>
          <t>ÅNGE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47950-2024</t>
        </is>
      </c>
      <c r="B1258" s="1" t="n">
        <v>45589.36511574074</v>
      </c>
      <c r="C1258" s="1" t="n">
        <v>45965</v>
      </c>
      <c r="D1258" t="inlineStr">
        <is>
          <t>VÄSTERNORRLANDS LÄN</t>
        </is>
      </c>
      <c r="E1258" t="inlineStr">
        <is>
          <t>ÅNGE</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50008-2025</t>
        </is>
      </c>
      <c r="B1259" s="1" t="n">
        <v>45943.34515046296</v>
      </c>
      <c r="C1259" s="1" t="n">
        <v>45965</v>
      </c>
      <c r="D1259" t="inlineStr">
        <is>
          <t>VÄSTERNORRLANDS LÄN</t>
        </is>
      </c>
      <c r="E1259" t="inlineStr">
        <is>
          <t>ÅNGE</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11299-2023</t>
        </is>
      </c>
      <c r="B1260" s="1" t="n">
        <v>44993.01074074074</v>
      </c>
      <c r="C1260" s="1" t="n">
        <v>45965</v>
      </c>
      <c r="D1260" t="inlineStr">
        <is>
          <t>VÄSTERNORRLANDS LÄN</t>
        </is>
      </c>
      <c r="E1260" t="inlineStr">
        <is>
          <t>ÅNGE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11309-2023</t>
        </is>
      </c>
      <c r="B1261" s="1" t="n">
        <v>44993.0118287037</v>
      </c>
      <c r="C1261" s="1" t="n">
        <v>45965</v>
      </c>
      <c r="D1261" t="inlineStr">
        <is>
          <t>VÄSTERNORRLANDS LÄN</t>
        </is>
      </c>
      <c r="E1261" t="inlineStr">
        <is>
          <t>ÅNGE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36240-2025</t>
        </is>
      </c>
      <c r="B1262" s="1" t="n">
        <v>45867.55298611111</v>
      </c>
      <c r="C1262" s="1" t="n">
        <v>45965</v>
      </c>
      <c r="D1262" t="inlineStr">
        <is>
          <t>VÄSTERNORRLANDS LÄN</t>
        </is>
      </c>
      <c r="E1262" t="inlineStr">
        <is>
          <t>ÅNGE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36210-2025</t>
        </is>
      </c>
      <c r="B1263" s="1" t="n">
        <v>45867.46930555555</v>
      </c>
      <c r="C1263" s="1" t="n">
        <v>45965</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62834-2021</t>
        </is>
      </c>
      <c r="B1264" s="1" t="n">
        <v>44503</v>
      </c>
      <c r="C1264" s="1" t="n">
        <v>45965</v>
      </c>
      <c r="D1264" t="inlineStr">
        <is>
          <t>VÄSTERNORRLANDS LÄN</t>
        </is>
      </c>
      <c r="E1264" t="inlineStr">
        <is>
          <t>ÅNGE</t>
        </is>
      </c>
      <c r="F1264" t="inlineStr">
        <is>
          <t>Övriga statliga verk och myndigheter</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36236-2025</t>
        </is>
      </c>
      <c r="B1265" s="1" t="n">
        <v>45867.55245370371</v>
      </c>
      <c r="C1265" s="1" t="n">
        <v>45965</v>
      </c>
      <c r="D1265" t="inlineStr">
        <is>
          <t>VÄSTERNORRLANDS LÄN</t>
        </is>
      </c>
      <c r="E1265" t="inlineStr">
        <is>
          <t>ÅNGE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10557-2023</t>
        </is>
      </c>
      <c r="B1266" s="1" t="n">
        <v>44987</v>
      </c>
      <c r="C1266" s="1" t="n">
        <v>45965</v>
      </c>
      <c r="D1266" t="inlineStr">
        <is>
          <t>VÄSTERNORRLANDS LÄN</t>
        </is>
      </c>
      <c r="E1266" t="inlineStr">
        <is>
          <t>ÅNGE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36248-2025</t>
        </is>
      </c>
      <c r="B1267" s="1" t="n">
        <v>45867.57326388889</v>
      </c>
      <c r="C1267" s="1" t="n">
        <v>45965</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36237-2025</t>
        </is>
      </c>
      <c r="B1268" s="1" t="n">
        <v>45867.55263888889</v>
      </c>
      <c r="C1268" s="1" t="n">
        <v>45965</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8418-2023</t>
        </is>
      </c>
      <c r="B1269" s="1" t="n">
        <v>44971</v>
      </c>
      <c r="C1269" s="1" t="n">
        <v>45965</v>
      </c>
      <c r="D1269" t="inlineStr">
        <is>
          <t>VÄSTERNORRLANDS LÄN</t>
        </is>
      </c>
      <c r="E1269" t="inlineStr">
        <is>
          <t>ÅNGE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36193-2025</t>
        </is>
      </c>
      <c r="B1270" s="1" t="n">
        <v>45867.42741898148</v>
      </c>
      <c r="C1270" s="1" t="n">
        <v>45965</v>
      </c>
      <c r="D1270" t="inlineStr">
        <is>
          <t>VÄSTERNORRLANDS LÄN</t>
        </is>
      </c>
      <c r="E1270" t="inlineStr">
        <is>
          <t>ÅNGE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36336-2025</t>
        </is>
      </c>
      <c r="B1271" s="1" t="n">
        <v>45868.44751157407</v>
      </c>
      <c r="C1271" s="1" t="n">
        <v>45965</v>
      </c>
      <c r="D1271" t="inlineStr">
        <is>
          <t>VÄSTERNORRLANDS LÄN</t>
        </is>
      </c>
      <c r="E1271" t="inlineStr">
        <is>
          <t>ÅNGE</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4006-2022</t>
        </is>
      </c>
      <c r="B1272" s="1" t="n">
        <v>44587.92019675926</v>
      </c>
      <c r="C1272" s="1" t="n">
        <v>45965</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36457-2025</t>
        </is>
      </c>
      <c r="B1273" s="1" t="n">
        <v>45869.44842592593</v>
      </c>
      <c r="C1273" s="1" t="n">
        <v>45965</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36456-2025</t>
        </is>
      </c>
      <c r="B1274" s="1" t="n">
        <v>45869.44827546296</v>
      </c>
      <c r="C1274" s="1" t="n">
        <v>45965</v>
      </c>
      <c r="D1274" t="inlineStr">
        <is>
          <t>VÄSTERNORRLANDS LÄN</t>
        </is>
      </c>
      <c r="E1274" t="inlineStr">
        <is>
          <t>ÅNGE</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36491-2025</t>
        </is>
      </c>
      <c r="B1275" s="1" t="n">
        <v>45869.53173611111</v>
      </c>
      <c r="C1275" s="1" t="n">
        <v>45965</v>
      </c>
      <c r="D1275" t="inlineStr">
        <is>
          <t>VÄSTERNORRLANDS LÄN</t>
        </is>
      </c>
      <c r="E1275" t="inlineStr">
        <is>
          <t>ÅNGE</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48725-2024</t>
        </is>
      </c>
      <c r="B1276" s="1" t="n">
        <v>45593.55793981482</v>
      </c>
      <c r="C1276" s="1" t="n">
        <v>45965</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36873-2025</t>
        </is>
      </c>
      <c r="B1277" s="1" t="n">
        <v>45874.42935185185</v>
      </c>
      <c r="C1277" s="1" t="n">
        <v>45965</v>
      </c>
      <c r="D1277" t="inlineStr">
        <is>
          <t>VÄSTERNORRLANDS LÄN</t>
        </is>
      </c>
      <c r="E1277" t="inlineStr">
        <is>
          <t>ÅNGE</t>
        </is>
      </c>
      <c r="F1277" t="inlineStr">
        <is>
          <t>SCA</t>
        </is>
      </c>
      <c r="G1277" t="n">
        <v>16.9</v>
      </c>
      <c r="H1277" t="n">
        <v>0</v>
      </c>
      <c r="I1277" t="n">
        <v>0</v>
      </c>
      <c r="J1277" t="n">
        <v>0</v>
      </c>
      <c r="K1277" t="n">
        <v>0</v>
      </c>
      <c r="L1277" t="n">
        <v>0</v>
      </c>
      <c r="M1277" t="n">
        <v>0</v>
      </c>
      <c r="N1277" t="n">
        <v>0</v>
      </c>
      <c r="O1277" t="n">
        <v>0</v>
      </c>
      <c r="P1277" t="n">
        <v>0</v>
      </c>
      <c r="Q1277" t="n">
        <v>0</v>
      </c>
      <c r="R1277" s="2" t="inlineStr"/>
    </row>
    <row r="1278" ht="15" customHeight="1">
      <c r="A1278" t="inlineStr">
        <is>
          <t>A 48988-2021</t>
        </is>
      </c>
      <c r="B1278" s="1" t="n">
        <v>44453.43</v>
      </c>
      <c r="C1278" s="1" t="n">
        <v>45965</v>
      </c>
      <c r="D1278" t="inlineStr">
        <is>
          <t>VÄSTERNORRLANDS LÄN</t>
        </is>
      </c>
      <c r="E1278" t="inlineStr">
        <is>
          <t>ÅNGE</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1886-2024</t>
        </is>
      </c>
      <c r="B1279" s="1" t="n">
        <v>45307.96335648148</v>
      </c>
      <c r="C1279" s="1" t="n">
        <v>45965</v>
      </c>
      <c r="D1279" t="inlineStr">
        <is>
          <t>VÄSTERNORRLANDS LÄN</t>
        </is>
      </c>
      <c r="E1279" t="inlineStr">
        <is>
          <t>ÅNGE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44979-2023</t>
        </is>
      </c>
      <c r="B1280" s="1" t="n">
        <v>45190.95752314815</v>
      </c>
      <c r="C1280" s="1" t="n">
        <v>45965</v>
      </c>
      <c r="D1280" t="inlineStr">
        <is>
          <t>VÄSTERNORRLANDS LÄN</t>
        </is>
      </c>
      <c r="E1280" t="inlineStr">
        <is>
          <t>ÅNGE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36740-2025</t>
        </is>
      </c>
      <c r="B1281" s="1" t="n">
        <v>45873.53237268519</v>
      </c>
      <c r="C1281" s="1" t="n">
        <v>45965</v>
      </c>
      <c r="D1281" t="inlineStr">
        <is>
          <t>VÄSTERNORRLANDS LÄN</t>
        </is>
      </c>
      <c r="E1281" t="inlineStr">
        <is>
          <t>ÅNGE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36249-2025</t>
        </is>
      </c>
      <c r="B1282" s="1" t="n">
        <v>45867</v>
      </c>
      <c r="C1282" s="1" t="n">
        <v>45965</v>
      </c>
      <c r="D1282" t="inlineStr">
        <is>
          <t>VÄSTERNORRLANDS LÄN</t>
        </is>
      </c>
      <c r="E1282" t="inlineStr">
        <is>
          <t>ÅNGE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17923-2025</t>
        </is>
      </c>
      <c r="B1283" s="1" t="n">
        <v>45759.34415509259</v>
      </c>
      <c r="C1283" s="1" t="n">
        <v>45965</v>
      </c>
      <c r="D1283" t="inlineStr">
        <is>
          <t>VÄSTERNORRLANDS LÄN</t>
        </is>
      </c>
      <c r="E1283" t="inlineStr">
        <is>
          <t>ÅNGE</t>
        </is>
      </c>
      <c r="F1283" t="inlineStr">
        <is>
          <t>SCA</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50571-2025</t>
        </is>
      </c>
      <c r="B1284" s="1" t="n">
        <v>45945.57443287037</v>
      </c>
      <c r="C1284" s="1" t="n">
        <v>45965</v>
      </c>
      <c r="D1284" t="inlineStr">
        <is>
          <t>VÄSTERNORRLANDS LÄN</t>
        </is>
      </c>
      <c r="E1284" t="inlineStr">
        <is>
          <t>ÅNGE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1582-2025</t>
        </is>
      </c>
      <c r="B1285" s="1" t="n">
        <v>45670</v>
      </c>
      <c r="C1285" s="1" t="n">
        <v>45965</v>
      </c>
      <c r="D1285" t="inlineStr">
        <is>
          <t>VÄSTERNORRLANDS LÄN</t>
        </is>
      </c>
      <c r="E1285" t="inlineStr">
        <is>
          <t>ÅNGE</t>
        </is>
      </c>
      <c r="G1285" t="n">
        <v>7.3</v>
      </c>
      <c r="H1285" t="n">
        <v>0</v>
      </c>
      <c r="I1285" t="n">
        <v>0</v>
      </c>
      <c r="J1285" t="n">
        <v>0</v>
      </c>
      <c r="K1285" t="n">
        <v>0</v>
      </c>
      <c r="L1285" t="n">
        <v>0</v>
      </c>
      <c r="M1285" t="n">
        <v>0</v>
      </c>
      <c r="N1285" t="n">
        <v>0</v>
      </c>
      <c r="O1285" t="n">
        <v>0</v>
      </c>
      <c r="P1285" t="n">
        <v>0</v>
      </c>
      <c r="Q1285" t="n">
        <v>0</v>
      </c>
      <c r="R1285" s="2" t="inlineStr"/>
      <c r="U1285">
        <f>HYPERLINK("https://klasma.github.io/Logging_2260/knärot/A 1582-2025 karta knärot.png", "A 1582-2025")</f>
        <v/>
      </c>
      <c r="V1285">
        <f>HYPERLINK("https://klasma.github.io/Logging_2260/klagomål/A 1582-2025 FSC-klagomål.docx", "A 1582-2025")</f>
        <v/>
      </c>
      <c r="W1285">
        <f>HYPERLINK("https://klasma.github.io/Logging_2260/klagomålsmail/A 1582-2025 FSC-klagomål mail.docx", "A 1582-2025")</f>
        <v/>
      </c>
      <c r="X1285">
        <f>HYPERLINK("https://klasma.github.io/Logging_2260/tillsyn/A 1582-2025 tillsynsbegäran.docx", "A 1582-2025")</f>
        <v/>
      </c>
      <c r="Y1285">
        <f>HYPERLINK("https://klasma.github.io/Logging_2260/tillsynsmail/A 1582-2025 tillsynsbegäran mail.docx", "A 1582-2025")</f>
        <v/>
      </c>
    </row>
    <row r="1286" ht="15" customHeight="1">
      <c r="A1286" t="inlineStr">
        <is>
          <t>A 36723-2025</t>
        </is>
      </c>
      <c r="B1286" s="1" t="n">
        <v>45873.47770833333</v>
      </c>
      <c r="C1286" s="1" t="n">
        <v>45965</v>
      </c>
      <c r="D1286" t="inlineStr">
        <is>
          <t>VÄSTERNORRLANDS LÄN</t>
        </is>
      </c>
      <c r="E1286" t="inlineStr">
        <is>
          <t>ÅNGE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36674-2025</t>
        </is>
      </c>
      <c r="B1287" s="1" t="n">
        <v>45873.3930787037</v>
      </c>
      <c r="C1287" s="1" t="n">
        <v>45965</v>
      </c>
      <c r="D1287" t="inlineStr">
        <is>
          <t>VÄSTERNORRLANDS LÄN</t>
        </is>
      </c>
      <c r="E1287" t="inlineStr">
        <is>
          <t>ÅNGE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58613-2023</t>
        </is>
      </c>
      <c r="B1288" s="1" t="n">
        <v>45251.50709490741</v>
      </c>
      <c r="C1288" s="1" t="n">
        <v>45965</v>
      </c>
      <c r="D1288" t="inlineStr">
        <is>
          <t>VÄSTERNORRLANDS LÄN</t>
        </is>
      </c>
      <c r="E1288" t="inlineStr">
        <is>
          <t>ÅNGE</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54908-2021</t>
        </is>
      </c>
      <c r="B1289" s="1" t="n">
        <v>44474.39769675926</v>
      </c>
      <c r="C1289" s="1" t="n">
        <v>45965</v>
      </c>
      <c r="D1289" t="inlineStr">
        <is>
          <t>VÄSTERNORRLANDS LÄN</t>
        </is>
      </c>
      <c r="E1289" t="inlineStr">
        <is>
          <t>ÅNGE</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27951-2021</t>
        </is>
      </c>
      <c r="B1290" s="1" t="n">
        <v>44354</v>
      </c>
      <c r="C1290" s="1" t="n">
        <v>45965</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22990-2024</t>
        </is>
      </c>
      <c r="B1291" s="1" t="n">
        <v>45449.94548611111</v>
      </c>
      <c r="C1291" s="1" t="n">
        <v>45965</v>
      </c>
      <c r="D1291" t="inlineStr">
        <is>
          <t>VÄSTERNORRLANDS LÄN</t>
        </is>
      </c>
      <c r="E1291" t="inlineStr">
        <is>
          <t>ÅNGE</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37045-2025</t>
        </is>
      </c>
      <c r="B1292" s="1" t="n">
        <v>45875.34451388889</v>
      </c>
      <c r="C1292" s="1" t="n">
        <v>45965</v>
      </c>
      <c r="D1292" t="inlineStr">
        <is>
          <t>VÄSTERNORRLANDS LÄN</t>
        </is>
      </c>
      <c r="E1292" t="inlineStr">
        <is>
          <t>ÅNGE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37047-2025</t>
        </is>
      </c>
      <c r="B1293" s="1" t="n">
        <v>45875.34489583333</v>
      </c>
      <c r="C1293" s="1" t="n">
        <v>45965</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37275-2025</t>
        </is>
      </c>
      <c r="B1294" s="1" t="n">
        <v>45876.49003472222</v>
      </c>
      <c r="C1294" s="1" t="n">
        <v>45965</v>
      </c>
      <c r="D1294" t="inlineStr">
        <is>
          <t>VÄSTERNORRLANDS LÄN</t>
        </is>
      </c>
      <c r="E1294" t="inlineStr">
        <is>
          <t>ÅNGE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37303-2025</t>
        </is>
      </c>
      <c r="B1295" s="1" t="n">
        <v>45876.59445601852</v>
      </c>
      <c r="C1295" s="1" t="n">
        <v>45965</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37233-2025</t>
        </is>
      </c>
      <c r="B1296" s="1" t="n">
        <v>45876.34474537037</v>
      </c>
      <c r="C1296" s="1" t="n">
        <v>45965</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50767-2025</t>
        </is>
      </c>
      <c r="B1297" s="1" t="n">
        <v>45946</v>
      </c>
      <c r="C1297" s="1" t="n">
        <v>45965</v>
      </c>
      <c r="D1297" t="inlineStr">
        <is>
          <t>VÄSTERNORRLANDS LÄN</t>
        </is>
      </c>
      <c r="E1297" t="inlineStr">
        <is>
          <t>ÅNGE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50769-2025</t>
        </is>
      </c>
      <c r="B1298" s="1" t="n">
        <v>45946.44864583333</v>
      </c>
      <c r="C1298" s="1" t="n">
        <v>45965</v>
      </c>
      <c r="D1298" t="inlineStr">
        <is>
          <t>VÄSTERNORRLANDS LÄN</t>
        </is>
      </c>
      <c r="E1298" t="inlineStr">
        <is>
          <t>ÅNGE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37108-2025</t>
        </is>
      </c>
      <c r="B1299" s="1" t="n">
        <v>45875</v>
      </c>
      <c r="C1299" s="1" t="n">
        <v>45965</v>
      </c>
      <c r="D1299" t="inlineStr">
        <is>
          <t>VÄSTERNORRLANDS LÄN</t>
        </is>
      </c>
      <c r="E1299" t="inlineStr">
        <is>
          <t>ÅNGE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37177-2025</t>
        </is>
      </c>
      <c r="B1300" s="1" t="n">
        <v>45875.61539351852</v>
      </c>
      <c r="C1300" s="1" t="n">
        <v>45965</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50460-2025</t>
        </is>
      </c>
      <c r="B1301" s="1" t="n">
        <v>45945.345</v>
      </c>
      <c r="C1301" s="1" t="n">
        <v>45965</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39589-2022</t>
        </is>
      </c>
      <c r="B1302" s="1" t="n">
        <v>44818</v>
      </c>
      <c r="C1302" s="1" t="n">
        <v>45965</v>
      </c>
      <c r="D1302" t="inlineStr">
        <is>
          <t>VÄSTERNORRLANDS LÄN</t>
        </is>
      </c>
      <c r="E1302" t="inlineStr">
        <is>
          <t>ÅNGE</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37371-2025</t>
        </is>
      </c>
      <c r="B1303" s="1" t="n">
        <v>45877.34472222222</v>
      </c>
      <c r="C1303" s="1" t="n">
        <v>45965</v>
      </c>
      <c r="D1303" t="inlineStr">
        <is>
          <t>VÄSTERNORRLANDS LÄN</t>
        </is>
      </c>
      <c r="E1303" t="inlineStr">
        <is>
          <t>ÅNGE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37384-2025</t>
        </is>
      </c>
      <c r="B1304" s="1" t="n">
        <v>45877.3859837963</v>
      </c>
      <c r="C1304" s="1" t="n">
        <v>45965</v>
      </c>
      <c r="D1304" t="inlineStr">
        <is>
          <t>VÄSTERNORRLANDS LÄN</t>
        </is>
      </c>
      <c r="E1304" t="inlineStr">
        <is>
          <t>ÅNGE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37663-2025</t>
        </is>
      </c>
      <c r="B1305" s="1" t="n">
        <v>45880.51079861111</v>
      </c>
      <c r="C1305" s="1" t="n">
        <v>45965</v>
      </c>
      <c r="D1305" t="inlineStr">
        <is>
          <t>VÄSTERNORRLANDS LÄN</t>
        </is>
      </c>
      <c r="E1305" t="inlineStr">
        <is>
          <t>ÅNGE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25320-2023</t>
        </is>
      </c>
      <c r="B1306" s="1" t="n">
        <v>45086.93929398148</v>
      </c>
      <c r="C1306" s="1" t="n">
        <v>45965</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45082.94135416667</v>
      </c>
      <c r="C1307" s="1" t="n">
        <v>45965</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37723-2025</t>
        </is>
      </c>
      <c r="B1308" s="1" t="n">
        <v>45880.61528935185</v>
      </c>
      <c r="C1308" s="1" t="n">
        <v>45965</v>
      </c>
      <c r="D1308" t="inlineStr">
        <is>
          <t>VÄSTERNORRLANDS LÄN</t>
        </is>
      </c>
      <c r="E1308" t="inlineStr">
        <is>
          <t>ÅNGE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41870-2025</t>
        </is>
      </c>
      <c r="B1309" s="1" t="n">
        <v>45903.3446412037</v>
      </c>
      <c r="C1309" s="1" t="n">
        <v>45965</v>
      </c>
      <c r="D1309" t="inlineStr">
        <is>
          <t>VÄSTERNORRLANDS LÄN</t>
        </is>
      </c>
      <c r="E1309" t="inlineStr">
        <is>
          <t>ÅNGE</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37383-2025</t>
        </is>
      </c>
      <c r="B1310" s="1" t="n">
        <v>45877.38581018519</v>
      </c>
      <c r="C1310" s="1" t="n">
        <v>45965</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18542-2022</t>
        </is>
      </c>
      <c r="B1311" s="1" t="n">
        <v>44686</v>
      </c>
      <c r="C1311" s="1" t="n">
        <v>45965</v>
      </c>
      <c r="D1311" t="inlineStr">
        <is>
          <t>VÄSTERNORRLANDS LÄN</t>
        </is>
      </c>
      <c r="E1311" t="inlineStr">
        <is>
          <t>ÅNGE</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44600-2024</t>
        </is>
      </c>
      <c r="B1312" s="1" t="n">
        <v>45574.51113425926</v>
      </c>
      <c r="C1312" s="1" t="n">
        <v>45965</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37719-2025</t>
        </is>
      </c>
      <c r="B1313" s="1" t="n">
        <v>45880.61505787037</v>
      </c>
      <c r="C1313" s="1" t="n">
        <v>45965</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41872-2025</t>
        </is>
      </c>
      <c r="B1314" s="1" t="n">
        <v>45903.34497685185</v>
      </c>
      <c r="C1314" s="1" t="n">
        <v>45965</v>
      </c>
      <c r="D1314" t="inlineStr">
        <is>
          <t>VÄSTERNORRLANDS LÄN</t>
        </is>
      </c>
      <c r="E1314" t="inlineStr">
        <is>
          <t>ÅNGE</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26013-2024</t>
        </is>
      </c>
      <c r="B1315" s="1" t="n">
        <v>45467</v>
      </c>
      <c r="C1315" s="1" t="n">
        <v>45965</v>
      </c>
      <c r="D1315" t="inlineStr">
        <is>
          <t>VÄSTERNORRLANDS LÄN</t>
        </is>
      </c>
      <c r="E1315" t="inlineStr">
        <is>
          <t>ÅNGE</t>
        </is>
      </c>
      <c r="F1315" t="inlineStr">
        <is>
          <t>SCA</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25377-2024</t>
        </is>
      </c>
      <c r="B1316" s="1" t="n">
        <v>45462.96211805556</v>
      </c>
      <c r="C1316" s="1" t="n">
        <v>45965</v>
      </c>
      <c r="D1316" t="inlineStr">
        <is>
          <t>VÄSTERNORRLANDS LÄN</t>
        </is>
      </c>
      <c r="E1316" t="inlineStr">
        <is>
          <t>ÅNGE</t>
        </is>
      </c>
      <c r="F1316" t="inlineStr">
        <is>
          <t>SCA</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20110-2023</t>
        </is>
      </c>
      <c r="B1317" s="1" t="n">
        <v>45051</v>
      </c>
      <c r="C1317" s="1" t="n">
        <v>45965</v>
      </c>
      <c r="D1317" t="inlineStr">
        <is>
          <t>VÄSTERNORRLANDS LÄN</t>
        </is>
      </c>
      <c r="E1317" t="inlineStr">
        <is>
          <t>ÅNGE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34726-2024</t>
        </is>
      </c>
      <c r="B1318" s="1" t="n">
        <v>45526.5733912037</v>
      </c>
      <c r="C1318" s="1" t="n">
        <v>45965</v>
      </c>
      <c r="D1318" t="inlineStr">
        <is>
          <t>VÄSTERNORRLANDS LÄN</t>
        </is>
      </c>
      <c r="E1318" t="inlineStr">
        <is>
          <t>ÅNGE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46109-2025</t>
        </is>
      </c>
      <c r="B1319" s="1" t="n">
        <v>45924.5596412037</v>
      </c>
      <c r="C1319" s="1" t="n">
        <v>45965</v>
      </c>
      <c r="D1319" t="inlineStr">
        <is>
          <t>VÄSTERNORRLANDS LÄN</t>
        </is>
      </c>
      <c r="E1319" t="inlineStr">
        <is>
          <t>ÅNGE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46111-2025</t>
        </is>
      </c>
      <c r="B1320" s="1" t="n">
        <v>45924.56684027778</v>
      </c>
      <c r="C1320" s="1" t="n">
        <v>45965</v>
      </c>
      <c r="D1320" t="inlineStr">
        <is>
          <t>VÄSTERNORRLANDS LÄN</t>
        </is>
      </c>
      <c r="E1320" t="inlineStr">
        <is>
          <t>ÅNGE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42889-2025</t>
        </is>
      </c>
      <c r="B1321" s="1" t="n">
        <v>45908.65546296296</v>
      </c>
      <c r="C1321" s="1" t="n">
        <v>45965</v>
      </c>
      <c r="D1321" t="inlineStr">
        <is>
          <t>VÄSTERNORRLANDS LÄN</t>
        </is>
      </c>
      <c r="E1321" t="inlineStr">
        <is>
          <t>ÅNGE</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51109-2025</t>
        </is>
      </c>
      <c r="B1322" s="1" t="n">
        <v>45947.50263888889</v>
      </c>
      <c r="C1322" s="1" t="n">
        <v>45965</v>
      </c>
      <c r="D1322" t="inlineStr">
        <is>
          <t>VÄSTERNORRLANDS LÄN</t>
        </is>
      </c>
      <c r="E1322" t="inlineStr">
        <is>
          <t>ÅNGE</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45970-2025</t>
        </is>
      </c>
      <c r="B1323" s="1" t="n">
        <v>45924.36519675926</v>
      </c>
      <c r="C1323" s="1" t="n">
        <v>45965</v>
      </c>
      <c r="D1323" t="inlineStr">
        <is>
          <t>VÄSTERNORRLANDS LÄN</t>
        </is>
      </c>
      <c r="E1323" t="inlineStr">
        <is>
          <t>ÅNGE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42786-2025</t>
        </is>
      </c>
      <c r="B1324" s="1" t="n">
        <v>45908.51097222222</v>
      </c>
      <c r="C1324" s="1" t="n">
        <v>45965</v>
      </c>
      <c r="D1324" t="inlineStr">
        <is>
          <t>VÄSTERNORRLANDS LÄN</t>
        </is>
      </c>
      <c r="E1324" t="inlineStr">
        <is>
          <t>ÅNGE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45875-2025</t>
        </is>
      </c>
      <c r="B1325" s="1" t="n">
        <v>45923.65690972222</v>
      </c>
      <c r="C1325" s="1" t="n">
        <v>45965</v>
      </c>
      <c r="D1325" t="inlineStr">
        <is>
          <t>VÄSTERNORRLANDS LÄN</t>
        </is>
      </c>
      <c r="E1325" t="inlineStr">
        <is>
          <t>ÅNGE</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38078-2025</t>
        </is>
      </c>
      <c r="B1326" s="1" t="n">
        <v>45882.46918981482</v>
      </c>
      <c r="C1326" s="1" t="n">
        <v>45965</v>
      </c>
      <c r="D1326" t="inlineStr">
        <is>
          <t>VÄSTERNORRLANDS LÄN</t>
        </is>
      </c>
      <c r="E1326" t="inlineStr">
        <is>
          <t>ÅNGE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37919-2025</t>
        </is>
      </c>
      <c r="B1327" s="1" t="n">
        <v>45881.57478009259</v>
      </c>
      <c r="C1327" s="1" t="n">
        <v>45965</v>
      </c>
      <c r="D1327" t="inlineStr">
        <is>
          <t>VÄSTERNORRLANDS LÄN</t>
        </is>
      </c>
      <c r="E1327" t="inlineStr">
        <is>
          <t>ÅNGE</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51370-2025</t>
        </is>
      </c>
      <c r="B1328" s="1" t="n">
        <v>45950.44818287037</v>
      </c>
      <c r="C1328" s="1" t="n">
        <v>45965</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37802-2025</t>
        </is>
      </c>
      <c r="B1329" s="1" t="n">
        <v>45881.34447916667</v>
      </c>
      <c r="C1329" s="1" t="n">
        <v>45965</v>
      </c>
      <c r="D1329" t="inlineStr">
        <is>
          <t>VÄSTERNORRLANDS LÄN</t>
        </is>
      </c>
      <c r="E1329" t="inlineStr">
        <is>
          <t>ÅNGE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51416-2025</t>
        </is>
      </c>
      <c r="B1330" s="1" t="n">
        <v>45950.51097222222</v>
      </c>
      <c r="C1330" s="1" t="n">
        <v>45965</v>
      </c>
      <c r="D1330" t="inlineStr">
        <is>
          <t>VÄSTERNORRLANDS LÄN</t>
        </is>
      </c>
      <c r="E1330" t="inlineStr">
        <is>
          <t>ÅNGE</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5035-2025</t>
        </is>
      </c>
      <c r="B1331" s="1" t="n">
        <v>45691</v>
      </c>
      <c r="C1331" s="1" t="n">
        <v>45965</v>
      </c>
      <c r="D1331" t="inlineStr">
        <is>
          <t>VÄSTERNORRLANDS LÄN</t>
        </is>
      </c>
      <c r="E1331" t="inlineStr">
        <is>
          <t>ÅNGE</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45659-2025</t>
        </is>
      </c>
      <c r="B1332" s="1" t="n">
        <v>45923.34471064815</v>
      </c>
      <c r="C1332" s="1" t="n">
        <v>45965</v>
      </c>
      <c r="D1332" t="inlineStr">
        <is>
          <t>VÄSTERNORRLANDS LÄN</t>
        </is>
      </c>
      <c r="E1332" t="inlineStr">
        <is>
          <t>ÅNGE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45660-2025</t>
        </is>
      </c>
      <c r="B1333" s="1" t="n">
        <v>45923.34494212963</v>
      </c>
      <c r="C1333" s="1" t="n">
        <v>45965</v>
      </c>
      <c r="D1333" t="inlineStr">
        <is>
          <t>VÄSTERNORRLANDS LÄN</t>
        </is>
      </c>
      <c r="E1333" t="inlineStr">
        <is>
          <t>ÅNGE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42863-2025</t>
        </is>
      </c>
      <c r="B1334" s="1" t="n">
        <v>45908.61527777778</v>
      </c>
      <c r="C1334" s="1" t="n">
        <v>45965</v>
      </c>
      <c r="D1334" t="inlineStr">
        <is>
          <t>VÄSTERNORRLANDS LÄN</t>
        </is>
      </c>
      <c r="E1334" t="inlineStr">
        <is>
          <t>ÅNGE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42731-2025</t>
        </is>
      </c>
      <c r="B1335" s="1" t="n">
        <v>45908.40686342592</v>
      </c>
      <c r="C1335" s="1" t="n">
        <v>45965</v>
      </c>
      <c r="D1335" t="inlineStr">
        <is>
          <t>VÄSTERNORRLANDS LÄN</t>
        </is>
      </c>
      <c r="E1335" t="inlineStr">
        <is>
          <t>ÅNGE</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42785-2025</t>
        </is>
      </c>
      <c r="B1336" s="1" t="n">
        <v>45908.51083333333</v>
      </c>
      <c r="C1336" s="1" t="n">
        <v>45965</v>
      </c>
      <c r="D1336" t="inlineStr">
        <is>
          <t>VÄSTERNORRLANDS LÄN</t>
        </is>
      </c>
      <c r="E1336" t="inlineStr">
        <is>
          <t>ÅNGE</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51382-2025</t>
        </is>
      </c>
      <c r="B1337" s="1" t="n">
        <v>45950.46019675926</v>
      </c>
      <c r="C1337" s="1" t="n">
        <v>45965</v>
      </c>
      <c r="D1337" t="inlineStr">
        <is>
          <t>VÄSTERNORRLANDS LÄN</t>
        </is>
      </c>
      <c r="E1337" t="inlineStr">
        <is>
          <t>ÅNGE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51389-2025</t>
        </is>
      </c>
      <c r="B1338" s="1" t="n">
        <v>45950.46767361111</v>
      </c>
      <c r="C1338" s="1" t="n">
        <v>45965</v>
      </c>
      <c r="D1338" t="inlineStr">
        <is>
          <t>VÄSTERNORRLANDS LÄN</t>
        </is>
      </c>
      <c r="E1338" t="inlineStr">
        <is>
          <t>ÅNGE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21456-2025</t>
        </is>
      </c>
      <c r="B1339" s="1" t="n">
        <v>45782.55342592593</v>
      </c>
      <c r="C1339" s="1" t="n">
        <v>45965</v>
      </c>
      <c r="D1339" t="inlineStr">
        <is>
          <t>VÄSTERNORRLANDS LÄN</t>
        </is>
      </c>
      <c r="E1339" t="inlineStr">
        <is>
          <t>ÅNGE</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3-2025</t>
        </is>
      </c>
      <c r="B1340" s="1" t="n">
        <v>45658.49819444444</v>
      </c>
      <c r="C1340" s="1" t="n">
        <v>45965</v>
      </c>
      <c r="D1340" t="inlineStr">
        <is>
          <t>VÄSTERNORRLANDS LÄN</t>
        </is>
      </c>
      <c r="E1340" t="inlineStr">
        <is>
          <t>ÅNGE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9619-2021</t>
        </is>
      </c>
      <c r="B1341" s="1" t="n">
        <v>44251</v>
      </c>
      <c r="C1341" s="1" t="n">
        <v>45965</v>
      </c>
      <c r="D1341" t="inlineStr">
        <is>
          <t>VÄSTERNORRLANDS LÄN</t>
        </is>
      </c>
      <c r="E1341" t="inlineStr">
        <is>
          <t>ÅNGE</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42730-2025</t>
        </is>
      </c>
      <c r="B1342" s="1" t="n">
        <v>45908.40666666667</v>
      </c>
      <c r="C1342" s="1" t="n">
        <v>45965</v>
      </c>
      <c r="D1342" t="inlineStr">
        <is>
          <t>VÄSTERNORRLANDS LÄN</t>
        </is>
      </c>
      <c r="E1342" t="inlineStr">
        <is>
          <t>ÅNGE</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42589-2025</t>
        </is>
      </c>
      <c r="B1343" s="1" t="n">
        <v>45905.63585648148</v>
      </c>
      <c r="C1343" s="1" t="n">
        <v>45965</v>
      </c>
      <c r="D1343" t="inlineStr">
        <is>
          <t>VÄSTERNORRLANDS LÄN</t>
        </is>
      </c>
      <c r="E1343" t="inlineStr">
        <is>
          <t>ÅNGE</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42764-2025</t>
        </is>
      </c>
      <c r="B1344" s="1" t="n">
        <v>45908.46943287037</v>
      </c>
      <c r="C1344" s="1" t="n">
        <v>45965</v>
      </c>
      <c r="D1344" t="inlineStr">
        <is>
          <t>VÄSTERNORRLANDS LÄN</t>
        </is>
      </c>
      <c r="E1344" t="inlineStr">
        <is>
          <t>ÅNGE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51393-2025</t>
        </is>
      </c>
      <c r="B1345" s="1" t="n">
        <v>45950.46957175926</v>
      </c>
      <c r="C1345" s="1" t="n">
        <v>45965</v>
      </c>
      <c r="D1345" t="inlineStr">
        <is>
          <t>VÄSTERNORRLANDS LÄN</t>
        </is>
      </c>
      <c r="E1345" t="inlineStr">
        <is>
          <t>ÅNGE</t>
        </is>
      </c>
      <c r="F1345" t="inlineStr">
        <is>
          <t>SCA</t>
        </is>
      </c>
      <c r="G1345" t="n">
        <v>17.9</v>
      </c>
      <c r="H1345" t="n">
        <v>0</v>
      </c>
      <c r="I1345" t="n">
        <v>0</v>
      </c>
      <c r="J1345" t="n">
        <v>0</v>
      </c>
      <c r="K1345" t="n">
        <v>0</v>
      </c>
      <c r="L1345" t="n">
        <v>0</v>
      </c>
      <c r="M1345" t="n">
        <v>0</v>
      </c>
      <c r="N1345" t="n">
        <v>0</v>
      </c>
      <c r="O1345" t="n">
        <v>0</v>
      </c>
      <c r="P1345" t="n">
        <v>0</v>
      </c>
      <c r="Q1345" t="n">
        <v>0</v>
      </c>
      <c r="R1345" s="2" t="inlineStr"/>
    </row>
    <row r="1346" ht="15" customHeight="1">
      <c r="A1346" t="inlineStr">
        <is>
          <t>A 42880-2025</t>
        </is>
      </c>
      <c r="B1346" s="1" t="n">
        <v>45908.63599537037</v>
      </c>
      <c r="C1346" s="1" t="n">
        <v>45965</v>
      </c>
      <c r="D1346" t="inlineStr">
        <is>
          <t>VÄSTERNORRLANDS LÄN</t>
        </is>
      </c>
      <c r="E1346" t="inlineStr">
        <is>
          <t>ÅNGE</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43237-2025</t>
        </is>
      </c>
      <c r="B1347" s="1" t="n">
        <v>45910.51670138889</v>
      </c>
      <c r="C1347" s="1" t="n">
        <v>45965</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43250-2025</t>
        </is>
      </c>
      <c r="B1348" s="1" t="n">
        <v>45910.5525462963</v>
      </c>
      <c r="C1348" s="1" t="n">
        <v>45965</v>
      </c>
      <c r="D1348" t="inlineStr">
        <is>
          <t>VÄSTERNORRLANDS LÄN</t>
        </is>
      </c>
      <c r="E1348" t="inlineStr">
        <is>
          <t>ÅNGE</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53858-2024</t>
        </is>
      </c>
      <c r="B1349" s="1" t="n">
        <v>45615</v>
      </c>
      <c r="C1349" s="1" t="n">
        <v>45965</v>
      </c>
      <c r="D1349" t="inlineStr">
        <is>
          <t>VÄSTERNORRLANDS LÄN</t>
        </is>
      </c>
      <c r="E1349" t="inlineStr">
        <is>
          <t>ÅNGE</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43221-2025</t>
        </is>
      </c>
      <c r="B1350" s="1" t="n">
        <v>45910.47981481482</v>
      </c>
      <c r="C1350" s="1" t="n">
        <v>45965</v>
      </c>
      <c r="D1350" t="inlineStr">
        <is>
          <t>VÄSTERNORRLANDS LÄN</t>
        </is>
      </c>
      <c r="E1350" t="inlineStr">
        <is>
          <t>ÅNGE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52060-2025</t>
        </is>
      </c>
      <c r="B1351" s="1" t="n">
        <v>45952.63641203703</v>
      </c>
      <c r="C1351" s="1" t="n">
        <v>45965</v>
      </c>
      <c r="D1351" t="inlineStr">
        <is>
          <t>VÄSTERNORRLANDS LÄN</t>
        </is>
      </c>
      <c r="E1351" t="inlineStr">
        <is>
          <t>ÅNGE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43265-2025</t>
        </is>
      </c>
      <c r="B1352" s="1" t="n">
        <v>45910.57377314815</v>
      </c>
      <c r="C1352" s="1" t="n">
        <v>45965</v>
      </c>
      <c r="D1352" t="inlineStr">
        <is>
          <t>VÄSTERNORRLANDS LÄN</t>
        </is>
      </c>
      <c r="E1352" t="inlineStr">
        <is>
          <t>ÅNGE</t>
        </is>
      </c>
      <c r="F1352" t="inlineStr">
        <is>
          <t>SCA</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51813-2025</t>
        </is>
      </c>
      <c r="B1353" s="1" t="n">
        <v>45951.83082175926</v>
      </c>
      <c r="C1353" s="1" t="n">
        <v>45965</v>
      </c>
      <c r="D1353" t="inlineStr">
        <is>
          <t>VÄSTERNORRLANDS LÄN</t>
        </is>
      </c>
      <c r="E1353" t="inlineStr">
        <is>
          <t>ÅNGE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51857-2025</t>
        </is>
      </c>
      <c r="B1354" s="1" t="n">
        <v>45952.36506944444</v>
      </c>
      <c r="C1354" s="1" t="n">
        <v>45965</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43252-2025</t>
        </is>
      </c>
      <c r="B1355" s="1" t="n">
        <v>45910.55292824074</v>
      </c>
      <c r="C1355" s="1" t="n">
        <v>45965</v>
      </c>
      <c r="D1355" t="inlineStr">
        <is>
          <t>VÄSTERNORRLANDS LÄN</t>
        </is>
      </c>
      <c r="E1355" t="inlineStr">
        <is>
          <t>ÅNGE</t>
        </is>
      </c>
      <c r="F1355" t="inlineStr">
        <is>
          <t>SCA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43091-2025</t>
        </is>
      </c>
      <c r="B1356" s="1" t="n">
        <v>45909.62511574074</v>
      </c>
      <c r="C1356" s="1" t="n">
        <v>45965</v>
      </c>
      <c r="D1356" t="inlineStr">
        <is>
          <t>VÄSTERNORRLANDS LÄN</t>
        </is>
      </c>
      <c r="E1356" t="inlineStr">
        <is>
          <t>ÅNGE</t>
        </is>
      </c>
      <c r="F1356" t="inlineStr">
        <is>
          <t>Kyrkan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52121-2025</t>
        </is>
      </c>
      <c r="B1357" s="1" t="n">
        <v>45952.71921296296</v>
      </c>
      <c r="C1357" s="1" t="n">
        <v>45965</v>
      </c>
      <c r="D1357" t="inlineStr">
        <is>
          <t>VÄSTERNORRLANDS LÄN</t>
        </is>
      </c>
      <c r="E1357" t="inlineStr">
        <is>
          <t>ÅNGE</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43077-2025</t>
        </is>
      </c>
      <c r="B1358" s="1" t="n">
        <v>45909.6046412037</v>
      </c>
      <c r="C1358" s="1" t="n">
        <v>45965</v>
      </c>
      <c r="D1358" t="inlineStr">
        <is>
          <t>VÄSTERNORRLANDS LÄN</t>
        </is>
      </c>
      <c r="E1358" t="inlineStr">
        <is>
          <t>ÅNGE</t>
        </is>
      </c>
      <c r="F1358" t="inlineStr">
        <is>
          <t>Kyrkan</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43385-2025</t>
        </is>
      </c>
      <c r="B1359" s="1" t="n">
        <v>45911.36508101852</v>
      </c>
      <c r="C1359" s="1" t="n">
        <v>45965</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43707-2025</t>
        </is>
      </c>
      <c r="B1360" s="1" t="n">
        <v>45912.40668981482</v>
      </c>
      <c r="C1360" s="1" t="n">
        <v>45965</v>
      </c>
      <c r="D1360" t="inlineStr">
        <is>
          <t>VÄSTERNORRLANDS LÄN</t>
        </is>
      </c>
      <c r="E1360" t="inlineStr">
        <is>
          <t>ÅNGE</t>
        </is>
      </c>
      <c r="F1360" t="inlineStr">
        <is>
          <t>SCA</t>
        </is>
      </c>
      <c r="G1360" t="n">
        <v>12.5</v>
      </c>
      <c r="H1360" t="n">
        <v>0</v>
      </c>
      <c r="I1360" t="n">
        <v>0</v>
      </c>
      <c r="J1360" t="n">
        <v>0</v>
      </c>
      <c r="K1360" t="n">
        <v>0</v>
      </c>
      <c r="L1360" t="n">
        <v>0</v>
      </c>
      <c r="M1360" t="n">
        <v>0</v>
      </c>
      <c r="N1360" t="n">
        <v>0</v>
      </c>
      <c r="O1360" t="n">
        <v>0</v>
      </c>
      <c r="P1360" t="n">
        <v>0</v>
      </c>
      <c r="Q1360" t="n">
        <v>0</v>
      </c>
      <c r="R1360" s="2" t="inlineStr"/>
      <c r="U1360">
        <f>HYPERLINK("https://klasma.github.io/Logging_2260/knärot/A 43707-2025 karta knärot.png", "A 43707-2025")</f>
        <v/>
      </c>
      <c r="V1360">
        <f>HYPERLINK("https://klasma.github.io/Logging_2260/klagomål/A 43707-2025 FSC-klagomål.docx", "A 43707-2025")</f>
        <v/>
      </c>
      <c r="W1360">
        <f>HYPERLINK("https://klasma.github.io/Logging_2260/klagomålsmail/A 43707-2025 FSC-klagomål mail.docx", "A 43707-2025")</f>
        <v/>
      </c>
      <c r="X1360">
        <f>HYPERLINK("https://klasma.github.io/Logging_2260/tillsyn/A 43707-2025 tillsynsbegäran.docx", "A 43707-2025")</f>
        <v/>
      </c>
      <c r="Y1360">
        <f>HYPERLINK("https://klasma.github.io/Logging_2260/tillsynsmail/A 43707-2025 tillsynsbegäran mail.docx", "A 43707-2025")</f>
        <v/>
      </c>
    </row>
    <row r="1361" ht="15" customHeight="1">
      <c r="A1361" t="inlineStr">
        <is>
          <t>A 43415-2025</t>
        </is>
      </c>
      <c r="B1361" s="1" t="n">
        <v>45911.40662037037</v>
      </c>
      <c r="C1361" s="1" t="n">
        <v>45965</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52283-2025</t>
        </is>
      </c>
      <c r="B1362" s="1" t="n">
        <v>45953.57346064815</v>
      </c>
      <c r="C1362" s="1" t="n">
        <v>45965</v>
      </c>
      <c r="D1362" t="inlineStr">
        <is>
          <t>VÄSTERNORRLANDS LÄN</t>
        </is>
      </c>
      <c r="E1362" t="inlineStr">
        <is>
          <t>ÅNGE</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52335-2025</t>
        </is>
      </c>
      <c r="B1363" s="1" t="n">
        <v>45953.68591435185</v>
      </c>
      <c r="C1363" s="1" t="n">
        <v>45965</v>
      </c>
      <c r="D1363" t="inlineStr">
        <is>
          <t>VÄSTERNORRLANDS LÄN</t>
        </is>
      </c>
      <c r="E1363" t="inlineStr">
        <is>
          <t>ÅNGE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52306-2025</t>
        </is>
      </c>
      <c r="B1364" s="1" t="n">
        <v>45953.63600694444</v>
      </c>
      <c r="C1364" s="1" t="n">
        <v>45965</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52411-2025</t>
        </is>
      </c>
      <c r="B1365" s="1" t="n">
        <v>45954.36518518518</v>
      </c>
      <c r="C1365" s="1" t="n">
        <v>45965</v>
      </c>
      <c r="D1365" t="inlineStr">
        <is>
          <t>VÄSTERNORRLANDS LÄN</t>
        </is>
      </c>
      <c r="E1365" t="inlineStr">
        <is>
          <t>ÅNGE</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43389-2025</t>
        </is>
      </c>
      <c r="B1366" s="1" t="n">
        <v>45911.36560185185</v>
      </c>
      <c r="C1366" s="1" t="n">
        <v>45965</v>
      </c>
      <c r="D1366" t="inlineStr">
        <is>
          <t>VÄSTERNORRLANDS LÄN</t>
        </is>
      </c>
      <c r="E1366" t="inlineStr">
        <is>
          <t>ÅNGE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43546-2025</t>
        </is>
      </c>
      <c r="B1367" s="1" t="n">
        <v>45911.6153125</v>
      </c>
      <c r="C1367" s="1" t="n">
        <v>45965</v>
      </c>
      <c r="D1367" t="inlineStr">
        <is>
          <t>VÄSTERNORRLANDS LÄN</t>
        </is>
      </c>
      <c r="E1367" t="inlineStr">
        <is>
          <t>ÅNGE</t>
        </is>
      </c>
      <c r="F1367" t="inlineStr">
        <is>
          <t>SCA</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52392-2025</t>
        </is>
      </c>
      <c r="B1368" s="1" t="n">
        <v>45954.34424768519</v>
      </c>
      <c r="C1368" s="1" t="n">
        <v>45965</v>
      </c>
      <c r="D1368" t="inlineStr">
        <is>
          <t>VÄSTERNORRLANDS LÄN</t>
        </is>
      </c>
      <c r="E1368" t="inlineStr">
        <is>
          <t>ÅNGE</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43386-2025</t>
        </is>
      </c>
      <c r="B1369" s="1" t="n">
        <v>45911.36520833334</v>
      </c>
      <c r="C1369" s="1" t="n">
        <v>45965</v>
      </c>
      <c r="D1369" t="inlineStr">
        <is>
          <t>VÄSTERNORRLANDS LÄN</t>
        </is>
      </c>
      <c r="E1369" t="inlineStr">
        <is>
          <t>ÅNGE</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51054-2024</t>
        </is>
      </c>
      <c r="B1370" s="1" t="n">
        <v>45603</v>
      </c>
      <c r="C1370" s="1" t="n">
        <v>45965</v>
      </c>
      <c r="D1370" t="inlineStr">
        <is>
          <t>VÄSTERNORRLANDS LÄN</t>
        </is>
      </c>
      <c r="E1370" t="inlineStr">
        <is>
          <t>ÅNGE</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52858-2025</t>
        </is>
      </c>
      <c r="B1371" s="1" t="n">
        <v>45957.50284722223</v>
      </c>
      <c r="C1371" s="1" t="n">
        <v>45965</v>
      </c>
      <c r="D1371" t="inlineStr">
        <is>
          <t>VÄSTERNORRLANDS LÄN</t>
        </is>
      </c>
      <c r="E1371" t="inlineStr">
        <is>
          <t>ÅNGE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53033-2025</t>
        </is>
      </c>
      <c r="B1372" s="1" t="n">
        <v>45958.34479166667</v>
      </c>
      <c r="C1372" s="1" t="n">
        <v>45965</v>
      </c>
      <c r="D1372" t="inlineStr">
        <is>
          <t>VÄSTERNORRLANDS LÄN</t>
        </is>
      </c>
      <c r="E1372" t="inlineStr">
        <is>
          <t>ÅNGE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53012-2025</t>
        </is>
      </c>
      <c r="B1373" s="1" t="n">
        <v>45957.80320601852</v>
      </c>
      <c r="C1373" s="1" t="n">
        <v>45965</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51059-2024</t>
        </is>
      </c>
      <c r="B1374" s="1" t="n">
        <v>45603</v>
      </c>
      <c r="C1374" s="1" t="n">
        <v>45965</v>
      </c>
      <c r="D1374" t="inlineStr">
        <is>
          <t>VÄSTERNORRLANDS LÄN</t>
        </is>
      </c>
      <c r="E1374" t="inlineStr">
        <is>
          <t>ÅNGE</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53013-2025</t>
        </is>
      </c>
      <c r="B1375" s="1" t="n">
        <v>45957.81732638889</v>
      </c>
      <c r="C1375" s="1" t="n">
        <v>45965</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53221-2025</t>
        </is>
      </c>
      <c r="B1376" s="1" t="n">
        <v>45958.60331018519</v>
      </c>
      <c r="C1376" s="1" t="n">
        <v>45965</v>
      </c>
      <c r="D1376" t="inlineStr">
        <is>
          <t>VÄSTERNORRLANDS LÄN</t>
        </is>
      </c>
      <c r="E1376" t="inlineStr">
        <is>
          <t>ÅNGE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52642-2025</t>
        </is>
      </c>
      <c r="B1377" s="1" t="n">
        <v>45955.34576388889</v>
      </c>
      <c r="C1377" s="1" t="n">
        <v>45965</v>
      </c>
      <c r="D1377" t="inlineStr">
        <is>
          <t>VÄSTERNORRLANDS LÄN</t>
        </is>
      </c>
      <c r="E1377" t="inlineStr">
        <is>
          <t>ÅNGE</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53856-2024</t>
        </is>
      </c>
      <c r="B1378" s="1" t="n">
        <v>45615</v>
      </c>
      <c r="C1378" s="1" t="n">
        <v>45965</v>
      </c>
      <c r="D1378" t="inlineStr">
        <is>
          <t>VÄSTERNORRLANDS LÄN</t>
        </is>
      </c>
      <c r="E1378" t="inlineStr">
        <is>
          <t>ÅNGE</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44165-2025</t>
        </is>
      </c>
      <c r="B1379" s="1" t="n">
        <v>45915.59840277778</v>
      </c>
      <c r="C1379" s="1" t="n">
        <v>45965</v>
      </c>
      <c r="D1379" t="inlineStr">
        <is>
          <t>VÄSTERNORRLANDS LÄN</t>
        </is>
      </c>
      <c r="E1379" t="inlineStr">
        <is>
          <t>ÅNGE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53381-2025</t>
        </is>
      </c>
      <c r="B1380" s="1" t="n">
        <v>45959.53690972222</v>
      </c>
      <c r="C1380" s="1" t="n">
        <v>45965</v>
      </c>
      <c r="D1380" t="inlineStr">
        <is>
          <t>VÄSTERNORRLANDS LÄN</t>
        </is>
      </c>
      <c r="E1380" t="inlineStr">
        <is>
          <t>ÅNGE</t>
        </is>
      </c>
      <c r="G1380" t="n">
        <v>9.6</v>
      </c>
      <c r="H1380" t="n">
        <v>0</v>
      </c>
      <c r="I1380" t="n">
        <v>0</v>
      </c>
      <c r="J1380" t="n">
        <v>0</v>
      </c>
      <c r="K1380" t="n">
        <v>0</v>
      </c>
      <c r="L1380" t="n">
        <v>0</v>
      </c>
      <c r="M1380" t="n">
        <v>0</v>
      </c>
      <c r="N1380" t="n">
        <v>0</v>
      </c>
      <c r="O1380" t="n">
        <v>0</v>
      </c>
      <c r="P1380" t="n">
        <v>0</v>
      </c>
      <c r="Q1380" t="n">
        <v>0</v>
      </c>
      <c r="R1380" s="2" t="inlineStr"/>
    </row>
    <row r="1381" ht="15" customHeight="1">
      <c r="A1381" t="inlineStr">
        <is>
          <t>A 53713-2025</t>
        </is>
      </c>
      <c r="B1381" s="1" t="n">
        <v>45960.61568287037</v>
      </c>
      <c r="C1381" s="1" t="n">
        <v>45965</v>
      </c>
      <c r="D1381" t="inlineStr">
        <is>
          <t>VÄSTERNORRLANDS LÄN</t>
        </is>
      </c>
      <c r="E1381" t="inlineStr">
        <is>
          <t>ÅNGE</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44919-2025</t>
        </is>
      </c>
      <c r="B1382" s="1" t="n">
        <v>45918.55246527777</v>
      </c>
      <c r="C1382" s="1" t="n">
        <v>45965</v>
      </c>
      <c r="D1382" t="inlineStr">
        <is>
          <t>VÄSTERNORRLANDS LÄN</t>
        </is>
      </c>
      <c r="E1382" t="inlineStr">
        <is>
          <t>ÅNGE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44935-2025</t>
        </is>
      </c>
      <c r="B1383" s="1" t="n">
        <v>45918.57392361111</v>
      </c>
      <c r="C1383" s="1" t="n">
        <v>45965</v>
      </c>
      <c r="D1383" t="inlineStr">
        <is>
          <t>VÄSTERNORRLANDS LÄN</t>
        </is>
      </c>
      <c r="E1383" t="inlineStr">
        <is>
          <t>ÅNGE</t>
        </is>
      </c>
      <c r="F1383" t="inlineStr">
        <is>
          <t>SCA</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34629-2025</t>
        </is>
      </c>
      <c r="B1384" s="1" t="n">
        <v>45847.93006944445</v>
      </c>
      <c r="C1384" s="1" t="n">
        <v>45965</v>
      </c>
      <c r="D1384" t="inlineStr">
        <is>
          <t>VÄSTERNORRLANDS LÄN</t>
        </is>
      </c>
      <c r="E1384" t="inlineStr">
        <is>
          <t>ÅNGE</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24552-2023</t>
        </is>
      </c>
      <c r="B1385" s="1" t="n">
        <v>45082.94226851852</v>
      </c>
      <c r="C1385" s="1" t="n">
        <v>45965</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53509-2025</t>
        </is>
      </c>
      <c r="B1386" s="1" t="n">
        <v>45960.34506944445</v>
      </c>
      <c r="C1386" s="1" t="n">
        <v>45965</v>
      </c>
      <c r="D1386" t="inlineStr">
        <is>
          <t>VÄSTERNORRLANDS LÄN</t>
        </is>
      </c>
      <c r="E1386" t="inlineStr">
        <is>
          <t>ÅNGE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45403-2025</t>
        </is>
      </c>
      <c r="B1387" s="1" t="n">
        <v>45922.42803240741</v>
      </c>
      <c r="C1387" s="1" t="n">
        <v>45965</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45404-2025</t>
        </is>
      </c>
      <c r="B1388" s="1" t="n">
        <v>45922.42820601852</v>
      </c>
      <c r="C1388" s="1" t="n">
        <v>45965</v>
      </c>
      <c r="D1388" t="inlineStr">
        <is>
          <t>VÄSTERNORRLANDS LÄN</t>
        </is>
      </c>
      <c r="E1388" t="inlineStr">
        <is>
          <t>ÅNGE</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53985-2025</t>
        </is>
      </c>
      <c r="B1389" s="1" t="n">
        <v>45961.57366898148</v>
      </c>
      <c r="C1389" s="1" t="n">
        <v>45965</v>
      </c>
      <c r="D1389" t="inlineStr">
        <is>
          <t>VÄSTERNORRLANDS LÄN</t>
        </is>
      </c>
      <c r="E1389" t="inlineStr">
        <is>
          <t>ÅNGE</t>
        </is>
      </c>
      <c r="F1389" t="inlineStr">
        <is>
          <t>SCA</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53999-2025</t>
        </is>
      </c>
      <c r="B1390" s="1" t="n">
        <v>45961</v>
      </c>
      <c r="C1390" s="1" t="n">
        <v>45965</v>
      </c>
      <c r="D1390" t="inlineStr">
        <is>
          <t>VÄSTERNORRLANDS LÄN</t>
        </is>
      </c>
      <c r="E1390" t="inlineStr">
        <is>
          <t>ÅNGE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54197-2025</t>
        </is>
      </c>
      <c r="B1391" s="1" t="n">
        <v>45964.57431712963</v>
      </c>
      <c r="C1391" s="1" t="n">
        <v>45965</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45401-2025</t>
        </is>
      </c>
      <c r="B1392" s="1" t="n">
        <v>45922.42767361111</v>
      </c>
      <c r="C1392" s="1" t="n">
        <v>45965</v>
      </c>
      <c r="D1392" t="inlineStr">
        <is>
          <t>VÄSTERNORRLANDS LÄN</t>
        </is>
      </c>
      <c r="E1392" t="inlineStr">
        <is>
          <t>ÅNGE</t>
        </is>
      </c>
      <c r="F1392" t="inlineStr">
        <is>
          <t>SCA</t>
        </is>
      </c>
      <c r="G1392" t="n">
        <v>1.6</v>
      </c>
      <c r="H1392" t="n">
        <v>0</v>
      </c>
      <c r="I1392" t="n">
        <v>0</v>
      </c>
      <c r="J1392" t="n">
        <v>0</v>
      </c>
      <c r="K1392" t="n">
        <v>0</v>
      </c>
      <c r="L1392" t="n">
        <v>0</v>
      </c>
      <c r="M1392" t="n">
        <v>0</v>
      </c>
      <c r="N1392" t="n">
        <v>0</v>
      </c>
      <c r="O1392" t="n">
        <v>0</v>
      </c>
      <c r="P1392" t="n">
        <v>0</v>
      </c>
      <c r="Q1392" t="n">
        <v>0</v>
      </c>
      <c r="R1392" s="2" t="inlineStr"/>
    </row>
    <row r="1393">
      <c r="A1393" t="inlineStr">
        <is>
          <t>A 53984-2025</t>
        </is>
      </c>
      <c r="B1393" s="1" t="n">
        <v>45961.5734837963</v>
      </c>
      <c r="C1393" s="1" t="n">
        <v>45965</v>
      </c>
      <c r="D1393" t="inlineStr">
        <is>
          <t>VÄSTERNORRLANDS LÄN</t>
        </is>
      </c>
      <c r="E1393" t="inlineStr">
        <is>
          <t>ÅNGE</t>
        </is>
      </c>
      <c r="F1393" t="inlineStr">
        <is>
          <t>SCA</t>
        </is>
      </c>
      <c r="G1393" t="n">
        <v>14.8</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2025-11-04T10:06:31Z</dcterms:created>
  <dcterms:modified xmlns:dcterms="http://purl.org/dc/terms/" xmlns:xsi="http://www.w3.org/2001/XMLSchema-instance" xsi:type="dcterms:W3CDTF">2025-11-04T10:06:32Z</dcterms:modified>
</cp:coreProperties>
</file>