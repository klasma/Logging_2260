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45998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45998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45998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45998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45998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45998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45998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45998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45998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45998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45998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45998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45998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45998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45998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45998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45998</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45998</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50331-2022</t>
        </is>
      </c>
      <c r="B22" s="1" t="n">
        <v>44865</v>
      </c>
      <c r="C22" s="1" t="n">
        <v>45998</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54677-2023</t>
        </is>
      </c>
      <c r="B23" s="1" t="n">
        <v>45235</v>
      </c>
      <c r="C23" s="1" t="n">
        <v>45998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45833-2025</t>
        </is>
      </c>
      <c r="B24" s="1" t="n">
        <v>45923</v>
      </c>
      <c r="C24" s="1" t="n">
        <v>45998</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45998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45998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45998</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45998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46163-2025</t>
        </is>
      </c>
      <c r="B29" s="1" t="n">
        <v>45924</v>
      </c>
      <c r="C29" s="1" t="n">
        <v>45998</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45998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45998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45998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45998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6429-2022</t>
        </is>
      </c>
      <c r="B34" s="1" t="n">
        <v>44600</v>
      </c>
      <c r="C34" s="1" t="n">
        <v>45998</v>
      </c>
      <c r="D34" t="inlineStr">
        <is>
          <t>VÄSTERNORRLANDS LÄN</t>
        </is>
      </c>
      <c r="E34" t="inlineStr">
        <is>
          <t>ÅNGE</t>
        </is>
      </c>
      <c r="F34" t="inlineStr">
        <is>
          <t>SCA</t>
        </is>
      </c>
      <c r="G34" t="n">
        <v>32.8</v>
      </c>
      <c r="H34" t="n">
        <v>0</v>
      </c>
      <c r="I34" t="n">
        <v>2</v>
      </c>
      <c r="J34" t="n">
        <v>9</v>
      </c>
      <c r="K34" t="n">
        <v>0</v>
      </c>
      <c r="L34" t="n">
        <v>0</v>
      </c>
      <c r="M34" t="n">
        <v>0</v>
      </c>
      <c r="N34" t="n">
        <v>0</v>
      </c>
      <c r="O34" t="n">
        <v>9</v>
      </c>
      <c r="P34" t="n">
        <v>0</v>
      </c>
      <c r="Q34" t="n">
        <v>11</v>
      </c>
      <c r="R34" s="2" t="inlineStr">
        <is>
          <t>Blanksvart spiklav
Blågrå svartspik
Garnlav
Kortskaftad ärgspik
Lunglav
Mörk kolflarnlav
Rosenticka
Ullticka
Vedflamlav
Barkticka
Korallblylav</t>
        </is>
      </c>
      <c r="S34">
        <f>HYPERLINK("https://klasma.github.io/Logging_2260/artfynd/A 6429-2022 artfynd.xlsx", "A 6429-2022")</f>
        <v/>
      </c>
      <c r="T34">
        <f>HYPERLINK("https://klasma.github.io/Logging_2260/kartor/A 6429-2022 karta.png", "A 6429-2022")</f>
        <v/>
      </c>
      <c r="V34">
        <f>HYPERLINK("https://klasma.github.io/Logging_2260/klagomål/A 6429-2022 FSC-klagomål.docx", "A 6429-2022")</f>
        <v/>
      </c>
      <c r="W34">
        <f>HYPERLINK("https://klasma.github.io/Logging_2260/klagomålsmail/A 6429-2022 FSC-klagomål mail.docx", "A 6429-2022")</f>
        <v/>
      </c>
      <c r="X34">
        <f>HYPERLINK("https://klasma.github.io/Logging_2260/tillsyn/A 6429-2022 tillsynsbegäran.docx", "A 6429-2022")</f>
        <v/>
      </c>
      <c r="Y34">
        <f>HYPERLINK("https://klasma.github.io/Logging_2260/tillsynsmail/A 6429-2022 tillsynsbegäran mail.docx", "A 6429-2022")</f>
        <v/>
      </c>
    </row>
    <row r="35" ht="15" customHeight="1">
      <c r="A35" t="inlineStr">
        <is>
          <t>A 14887-2022</t>
        </is>
      </c>
      <c r="B35" s="1" t="n">
        <v>44656</v>
      </c>
      <c r="C35" s="1" t="n">
        <v>45998</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45998</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41874-2025</t>
        </is>
      </c>
      <c r="B37" s="1" t="n">
        <v>45903.3452662037</v>
      </c>
      <c r="C37" s="1" t="n">
        <v>45998</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33783-2025</t>
        </is>
      </c>
      <c r="B38" s="1" t="n">
        <v>45842.40699074074</v>
      </c>
      <c r="C38" s="1" t="n">
        <v>45998</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48738-2024</t>
        </is>
      </c>
      <c r="B39" s="1" t="n">
        <v>45593</v>
      </c>
      <c r="C39" s="1" t="n">
        <v>45998</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30840-2023</t>
        </is>
      </c>
      <c r="B40" s="1" t="n">
        <v>45112</v>
      </c>
      <c r="C40" s="1" t="n">
        <v>45998</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45998</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45998</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45998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45998</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45998</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45998</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45998</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45998</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20694-2022</t>
        </is>
      </c>
      <c r="B49" s="1" t="n">
        <v>44700</v>
      </c>
      <c r="C49" s="1" t="n">
        <v>45998</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42962-2024</t>
        </is>
      </c>
      <c r="B50" s="1" t="n">
        <v>45567.37194444444</v>
      </c>
      <c r="C50" s="1" t="n">
        <v>45998</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45998</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45998</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45998</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45998</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45998</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39065-2023</t>
        </is>
      </c>
      <c r="B56" s="1" t="n">
        <v>45163</v>
      </c>
      <c r="C56" s="1" t="n">
        <v>45998</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37450-2025</t>
        </is>
      </c>
      <c r="B57" s="1" t="n">
        <v>45877.55261574074</v>
      </c>
      <c r="C57" s="1" t="n">
        <v>45998</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31113-2025</t>
        </is>
      </c>
      <c r="B58" s="1" t="n">
        <v>45832.61501157407</v>
      </c>
      <c r="C58" s="1" t="n">
        <v>45998</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45998</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25898-2022</t>
        </is>
      </c>
      <c r="B60" s="1" t="n">
        <v>44733</v>
      </c>
      <c r="C60" s="1" t="n">
        <v>45998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45998</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45998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45998</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60240-2025</t>
        </is>
      </c>
      <c r="B64" s="1" t="n">
        <v>45994.57857638889</v>
      </c>
      <c r="C64" s="1" t="n">
        <v>45998</v>
      </c>
      <c r="D64" t="inlineStr">
        <is>
          <t>VÄSTERNORRLANDS LÄN</t>
        </is>
      </c>
      <c r="E64" t="inlineStr">
        <is>
          <t>ÅNGE</t>
        </is>
      </c>
      <c r="F64" t="inlineStr">
        <is>
          <t>Sveaskog</t>
        </is>
      </c>
      <c r="G64" t="n">
        <v>5.5</v>
      </c>
      <c r="H64" t="n">
        <v>3</v>
      </c>
      <c r="I64" t="n">
        <v>1</v>
      </c>
      <c r="J64" t="n">
        <v>4</v>
      </c>
      <c r="K64" t="n">
        <v>1</v>
      </c>
      <c r="L64" t="n">
        <v>0</v>
      </c>
      <c r="M64" t="n">
        <v>0</v>
      </c>
      <c r="N64" t="n">
        <v>0</v>
      </c>
      <c r="O64" t="n">
        <v>5</v>
      </c>
      <c r="P64" t="n">
        <v>1</v>
      </c>
      <c r="Q64" t="n">
        <v>7</v>
      </c>
      <c r="R64" s="2" t="inlineStr">
        <is>
          <t>Knärot
Garnlav
Lunglav
Skrovellav
Tallticka
Plattlummer
Fläcknycklar</t>
        </is>
      </c>
      <c r="S64">
        <f>HYPERLINK("https://klasma.github.io/Logging_2260/artfynd/A 60240-2025 artfynd.xlsx", "A 60240-2025")</f>
        <v/>
      </c>
      <c r="T64">
        <f>HYPERLINK("https://klasma.github.io/Logging_2260/kartor/A 60240-2025 karta.png", "A 60240-2025")</f>
        <v/>
      </c>
      <c r="U64">
        <f>HYPERLINK("https://klasma.github.io/Logging_2260/knärot/A 60240-2025 karta knärot.png", "A 60240-2025")</f>
        <v/>
      </c>
      <c r="V64">
        <f>HYPERLINK("https://klasma.github.io/Logging_2260/klagomål/A 60240-2025 FSC-klagomål.docx", "A 60240-2025")</f>
        <v/>
      </c>
      <c r="W64">
        <f>HYPERLINK("https://klasma.github.io/Logging_2260/klagomålsmail/A 60240-2025 FSC-klagomål mail.docx", "A 60240-2025")</f>
        <v/>
      </c>
      <c r="X64">
        <f>HYPERLINK("https://klasma.github.io/Logging_2260/tillsyn/A 60240-2025 tillsynsbegäran.docx", "A 60240-2025")</f>
        <v/>
      </c>
      <c r="Y64">
        <f>HYPERLINK("https://klasma.github.io/Logging_2260/tillsynsmail/A 60240-2025 tillsynsbegäran mail.docx", "A 60240-2025")</f>
        <v/>
      </c>
    </row>
    <row r="65" ht="15" customHeight="1">
      <c r="A65" t="inlineStr">
        <is>
          <t>A 21682-2023</t>
        </is>
      </c>
      <c r="B65" s="1" t="n">
        <v>45063.94219907407</v>
      </c>
      <c r="C65" s="1" t="n">
        <v>45998</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45998</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45998</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45998</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45998</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55176-2024</t>
        </is>
      </c>
      <c r="B70" s="1" t="n">
        <v>45621</v>
      </c>
      <c r="C70" s="1" t="n">
        <v>45998</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3348-2021</t>
        </is>
      </c>
      <c r="B71" s="1" t="n">
        <v>44217</v>
      </c>
      <c r="C71" s="1" t="n">
        <v>45998</v>
      </c>
      <c r="D71" t="inlineStr">
        <is>
          <t>VÄSTERNORRLANDS LÄN</t>
        </is>
      </c>
      <c r="E71" t="inlineStr">
        <is>
          <t>ÅNGE</t>
        </is>
      </c>
      <c r="F71" t="inlineStr">
        <is>
          <t>SCA</t>
        </is>
      </c>
      <c r="G71" t="n">
        <v>6.3</v>
      </c>
      <c r="H71" t="n">
        <v>1</v>
      </c>
      <c r="I71" t="n">
        <v>1</v>
      </c>
      <c r="J71" t="n">
        <v>5</v>
      </c>
      <c r="K71" t="n">
        <v>0</v>
      </c>
      <c r="L71" t="n">
        <v>0</v>
      </c>
      <c r="M71" t="n">
        <v>0</v>
      </c>
      <c r="N71" t="n">
        <v>0</v>
      </c>
      <c r="O71" t="n">
        <v>5</v>
      </c>
      <c r="P71" t="n">
        <v>0</v>
      </c>
      <c r="Q71" t="n">
        <v>6</v>
      </c>
      <c r="R71" s="2" t="inlineStr">
        <is>
          <t>Gammelgransskål
Garnlav
Rosenticka
Tretåig hackspett
Vitgrynig nållav
Barkkornlav</t>
        </is>
      </c>
      <c r="S71">
        <f>HYPERLINK("https://klasma.github.io/Logging_2260/artfynd/A 3348-2021 artfynd.xlsx", "A 3348-2021")</f>
        <v/>
      </c>
      <c r="T71">
        <f>HYPERLINK("https://klasma.github.io/Logging_2260/kartor/A 3348-2021 karta.png", "A 3348-2021")</f>
        <v/>
      </c>
      <c r="V71">
        <f>HYPERLINK("https://klasma.github.io/Logging_2260/klagomål/A 3348-2021 FSC-klagomål.docx", "A 3348-2021")</f>
        <v/>
      </c>
      <c r="W71">
        <f>HYPERLINK("https://klasma.github.io/Logging_2260/klagomålsmail/A 3348-2021 FSC-klagomål mail.docx", "A 3348-2021")</f>
        <v/>
      </c>
      <c r="X71">
        <f>HYPERLINK("https://klasma.github.io/Logging_2260/tillsyn/A 3348-2021 tillsynsbegäran.docx", "A 3348-2021")</f>
        <v/>
      </c>
      <c r="Y71">
        <f>HYPERLINK("https://klasma.github.io/Logging_2260/tillsynsmail/A 3348-2021 tillsynsbegäran mail.docx", "A 3348-2021")</f>
        <v/>
      </c>
      <c r="Z71">
        <f>HYPERLINK("https://klasma.github.io/Logging_2260/fåglar/A 3348-2021 prioriterade fågelarter.docx", "A 3348-2021")</f>
        <v/>
      </c>
    </row>
    <row r="72" ht="15" customHeight="1">
      <c r="A72" t="inlineStr">
        <is>
          <t>A 26363-2023</t>
        </is>
      </c>
      <c r="B72" s="1" t="n">
        <v>45091</v>
      </c>
      <c r="C72" s="1" t="n">
        <v>45998</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27955-2021</t>
        </is>
      </c>
      <c r="B73" s="1" t="n">
        <v>44354</v>
      </c>
      <c r="C73" s="1" t="n">
        <v>45998</v>
      </c>
      <c r="D73" t="inlineStr">
        <is>
          <t>VÄSTERNORRLANDS LÄN</t>
        </is>
      </c>
      <c r="E73" t="inlineStr">
        <is>
          <t>ÅNGE</t>
        </is>
      </c>
      <c r="G73" t="n">
        <v>12.3</v>
      </c>
      <c r="H73" t="n">
        <v>0</v>
      </c>
      <c r="I73" t="n">
        <v>2</v>
      </c>
      <c r="J73" t="n">
        <v>4</v>
      </c>
      <c r="K73" t="n">
        <v>0</v>
      </c>
      <c r="L73" t="n">
        <v>0</v>
      </c>
      <c r="M73" t="n">
        <v>0</v>
      </c>
      <c r="N73" t="n">
        <v>0</v>
      </c>
      <c r="O73" t="n">
        <v>4</v>
      </c>
      <c r="P73" t="n">
        <v>0</v>
      </c>
      <c r="Q73" t="n">
        <v>6</v>
      </c>
      <c r="R73" s="2" t="inlineStr">
        <is>
          <t>Garnlav
Kolflarnlav
Mörk kolflarnlav
Skrovlig taggsvamp
Dropptaggsvamp
Skarp dropptaggsvamp</t>
        </is>
      </c>
      <c r="S73">
        <f>HYPERLINK("https://klasma.github.io/Logging_2260/artfynd/A 27955-2021 artfynd.xlsx", "A 27955-2021")</f>
        <v/>
      </c>
      <c r="T73">
        <f>HYPERLINK("https://klasma.github.io/Logging_2260/kartor/A 27955-2021 karta.png", "A 27955-2021")</f>
        <v/>
      </c>
      <c r="V73">
        <f>HYPERLINK("https://klasma.github.io/Logging_2260/klagomål/A 27955-2021 FSC-klagomål.docx", "A 27955-2021")</f>
        <v/>
      </c>
      <c r="W73">
        <f>HYPERLINK("https://klasma.github.io/Logging_2260/klagomålsmail/A 27955-2021 FSC-klagomål mail.docx", "A 27955-2021")</f>
        <v/>
      </c>
      <c r="X73">
        <f>HYPERLINK("https://klasma.github.io/Logging_2260/tillsyn/A 27955-2021 tillsynsbegäran.docx", "A 27955-2021")</f>
        <v/>
      </c>
      <c r="Y73">
        <f>HYPERLINK("https://klasma.github.io/Logging_2260/tillsynsmail/A 27955-2021 tillsynsbegäran mail.docx", "A 27955-2021")</f>
        <v/>
      </c>
    </row>
    <row r="74" ht="15" customHeight="1">
      <c r="A74" t="inlineStr">
        <is>
          <t>A 10085-2023</t>
        </is>
      </c>
      <c r="B74" s="1" t="n">
        <v>44985.9447337963</v>
      </c>
      <c r="C74" s="1" t="n">
        <v>45998</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19010-2025</t>
        </is>
      </c>
      <c r="B75" s="1" t="n">
        <v>45764</v>
      </c>
      <c r="C75" s="1" t="n">
        <v>45998</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45998</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39570-2025</t>
        </is>
      </c>
      <c r="B77" s="1" t="n">
        <v>45890.49009259259</v>
      </c>
      <c r="C77" s="1" t="n">
        <v>45998</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48191-2025</t>
        </is>
      </c>
      <c r="B78" s="1" t="n">
        <v>45933.46956018519</v>
      </c>
      <c r="C78" s="1" t="n">
        <v>45998</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49528-2025</t>
        </is>
      </c>
      <c r="B79" s="1" t="n">
        <v>45939.40664351852</v>
      </c>
      <c r="C79" s="1" t="n">
        <v>45998</v>
      </c>
      <c r="D79" t="inlineStr">
        <is>
          <t>VÄSTERNORRLANDS LÄN</t>
        </is>
      </c>
      <c r="E79" t="inlineStr">
        <is>
          <t>ÅNGE</t>
        </is>
      </c>
      <c r="F79" t="inlineStr">
        <is>
          <t>SCA</t>
        </is>
      </c>
      <c r="G79" t="n">
        <v>5.6</v>
      </c>
      <c r="H79" t="n">
        <v>1</v>
      </c>
      <c r="I79" t="n">
        <v>0</v>
      </c>
      <c r="J79" t="n">
        <v>4</v>
      </c>
      <c r="K79" t="n">
        <v>1</v>
      </c>
      <c r="L79" t="n">
        <v>0</v>
      </c>
      <c r="M79" t="n">
        <v>0</v>
      </c>
      <c r="N79" t="n">
        <v>0</v>
      </c>
      <c r="O79" t="n">
        <v>5</v>
      </c>
      <c r="P79" t="n">
        <v>1</v>
      </c>
      <c r="Q79" t="n">
        <v>6</v>
      </c>
      <c r="R79" s="2" t="inlineStr">
        <is>
          <t>Rynkskinn
Garnlav
Lunglav
Ullticka
Vitgrynig nållav
Fläcknycklar</t>
        </is>
      </c>
      <c r="S79">
        <f>HYPERLINK("https://klasma.github.io/Logging_2260/artfynd/A 49528-2025 artfynd.xlsx", "A 49528-2025")</f>
        <v/>
      </c>
      <c r="T79">
        <f>HYPERLINK("https://klasma.github.io/Logging_2260/kartor/A 49528-2025 karta.png", "A 49528-2025")</f>
        <v/>
      </c>
      <c r="V79">
        <f>HYPERLINK("https://klasma.github.io/Logging_2260/klagomål/A 49528-2025 FSC-klagomål.docx", "A 49528-2025")</f>
        <v/>
      </c>
      <c r="W79">
        <f>HYPERLINK("https://klasma.github.io/Logging_2260/klagomålsmail/A 49528-2025 FSC-klagomål mail.docx", "A 49528-2025")</f>
        <v/>
      </c>
      <c r="X79">
        <f>HYPERLINK("https://klasma.github.io/Logging_2260/tillsyn/A 49528-2025 tillsynsbegäran.docx", "A 49528-2025")</f>
        <v/>
      </c>
      <c r="Y79">
        <f>HYPERLINK("https://klasma.github.io/Logging_2260/tillsynsmail/A 49528-2025 tillsynsbegäran mail.docx", "A 49528-2025")</f>
        <v/>
      </c>
    </row>
    <row r="80" ht="15" customHeight="1">
      <c r="A80" t="inlineStr">
        <is>
          <t>A 45402-2025</t>
        </is>
      </c>
      <c r="B80" s="1" t="n">
        <v>45922.4278587963</v>
      </c>
      <c r="C80" s="1" t="n">
        <v>45998</v>
      </c>
      <c r="D80" t="inlineStr">
        <is>
          <t>VÄSTERNORRLANDS LÄN</t>
        </is>
      </c>
      <c r="E80" t="inlineStr">
        <is>
          <t>ÅNGE</t>
        </is>
      </c>
      <c r="F80" t="inlineStr">
        <is>
          <t>SCA</t>
        </is>
      </c>
      <c r="G80" t="n">
        <v>2.9</v>
      </c>
      <c r="H80" t="n">
        <v>0</v>
      </c>
      <c r="I80" t="n">
        <v>2</v>
      </c>
      <c r="J80" t="n">
        <v>4</v>
      </c>
      <c r="K80" t="n">
        <v>0</v>
      </c>
      <c r="L80" t="n">
        <v>0</v>
      </c>
      <c r="M80" t="n">
        <v>0</v>
      </c>
      <c r="N80" t="n">
        <v>0</v>
      </c>
      <c r="O80" t="n">
        <v>4</v>
      </c>
      <c r="P80" t="n">
        <v>0</v>
      </c>
      <c r="Q80" t="n">
        <v>6</v>
      </c>
      <c r="R80" s="2" t="inlineStr">
        <is>
          <t>Garnlav
Kolflarnlav
Lunglav
Ullticka
Dropptaggsvamp
Vedticka</t>
        </is>
      </c>
      <c r="S80">
        <f>HYPERLINK("https://klasma.github.io/Logging_2260/artfynd/A 45402-2025 artfynd.xlsx", "A 45402-2025")</f>
        <v/>
      </c>
      <c r="T80">
        <f>HYPERLINK("https://klasma.github.io/Logging_2260/kartor/A 45402-2025 karta.png", "A 45402-2025")</f>
        <v/>
      </c>
      <c r="V80">
        <f>HYPERLINK("https://klasma.github.io/Logging_2260/klagomål/A 45402-2025 FSC-klagomål.docx", "A 45402-2025")</f>
        <v/>
      </c>
      <c r="W80">
        <f>HYPERLINK("https://klasma.github.io/Logging_2260/klagomålsmail/A 45402-2025 FSC-klagomål mail.docx", "A 45402-2025")</f>
        <v/>
      </c>
      <c r="X80">
        <f>HYPERLINK("https://klasma.github.io/Logging_2260/tillsyn/A 45402-2025 tillsynsbegäran.docx", "A 45402-2025")</f>
        <v/>
      </c>
      <c r="Y80">
        <f>HYPERLINK("https://klasma.github.io/Logging_2260/tillsynsmail/A 45402-2025 tillsynsbegäran mail.docx", "A 45402-2025")</f>
        <v/>
      </c>
    </row>
    <row r="81" ht="15" customHeight="1">
      <c r="A81" t="inlineStr">
        <is>
          <t>A 31364-2022</t>
        </is>
      </c>
      <c r="B81" s="1" t="n">
        <v>44774</v>
      </c>
      <c r="C81" s="1" t="n">
        <v>45998</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13696-2023</t>
        </is>
      </c>
      <c r="B82" s="1" t="n">
        <v>45006</v>
      </c>
      <c r="C82" s="1" t="n">
        <v>45998</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32911-2024</t>
        </is>
      </c>
      <c r="B83" s="1" t="n">
        <v>45516</v>
      </c>
      <c r="C83" s="1" t="n">
        <v>45998</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45998</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45998</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52269-2024</t>
        </is>
      </c>
      <c r="B86" s="1" t="n">
        <v>45608.65660879629</v>
      </c>
      <c r="C86" s="1" t="n">
        <v>45998</v>
      </c>
      <c r="D86" t="inlineStr">
        <is>
          <t>VÄSTERNORRLANDS LÄN</t>
        </is>
      </c>
      <c r="E86" t="inlineStr">
        <is>
          <t>ÅNGE</t>
        </is>
      </c>
      <c r="F86" t="inlineStr">
        <is>
          <t>SCA</t>
        </is>
      </c>
      <c r="G86" t="n">
        <v>5.1</v>
      </c>
      <c r="H86" t="n">
        <v>0</v>
      </c>
      <c r="I86" t="n">
        <v>2</v>
      </c>
      <c r="J86" t="n">
        <v>3</v>
      </c>
      <c r="K86" t="n">
        <v>0</v>
      </c>
      <c r="L86" t="n">
        <v>0</v>
      </c>
      <c r="M86" t="n">
        <v>0</v>
      </c>
      <c r="N86" t="n">
        <v>0</v>
      </c>
      <c r="O86" t="n">
        <v>3</v>
      </c>
      <c r="P86" t="n">
        <v>0</v>
      </c>
      <c r="Q86" t="n">
        <v>5</v>
      </c>
      <c r="R86" s="2" t="inlineStr">
        <is>
          <t>Lunglav
Rosenticka
Ullticka
Bårdlav
Stor aspticka</t>
        </is>
      </c>
      <c r="S86">
        <f>HYPERLINK("https://klasma.github.io/Logging_2260/artfynd/A 52269-2024 artfynd.xlsx", "A 52269-2024")</f>
        <v/>
      </c>
      <c r="T86">
        <f>HYPERLINK("https://klasma.github.io/Logging_2260/kartor/A 52269-2024 karta.png", "A 52269-2024")</f>
        <v/>
      </c>
      <c r="V86">
        <f>HYPERLINK("https://klasma.github.io/Logging_2260/klagomål/A 52269-2024 FSC-klagomål.docx", "A 52269-2024")</f>
        <v/>
      </c>
      <c r="W86">
        <f>HYPERLINK("https://klasma.github.io/Logging_2260/klagomålsmail/A 52269-2024 FSC-klagomål mail.docx", "A 52269-2024")</f>
        <v/>
      </c>
      <c r="X86">
        <f>HYPERLINK("https://klasma.github.io/Logging_2260/tillsyn/A 52269-2024 tillsynsbegäran.docx", "A 52269-2024")</f>
        <v/>
      </c>
      <c r="Y86">
        <f>HYPERLINK("https://klasma.github.io/Logging_2260/tillsynsmail/A 52269-2024 tillsynsbegäran mail.docx", "A 52269-2024")</f>
        <v/>
      </c>
    </row>
    <row r="87" ht="15" customHeight="1">
      <c r="A87" t="inlineStr">
        <is>
          <t>A 55004-2023</t>
        </is>
      </c>
      <c r="B87" s="1" t="n">
        <v>45236</v>
      </c>
      <c r="C87" s="1" t="n">
        <v>45998</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38327-2025</t>
        </is>
      </c>
      <c r="B88" s="1" t="n">
        <v>45883.49084490741</v>
      </c>
      <c r="C88" s="1" t="n">
        <v>45998</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45998</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47102-2025</t>
        </is>
      </c>
      <c r="B90" s="1" t="n">
        <v>45929</v>
      </c>
      <c r="C90" s="1" t="n">
        <v>45998</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23601-2025</t>
        </is>
      </c>
      <c r="B91" s="1" t="n">
        <v>45792</v>
      </c>
      <c r="C91" s="1" t="n">
        <v>45998</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43520-2025</t>
        </is>
      </c>
      <c r="B92" s="1" t="n">
        <v>45911.57364583333</v>
      </c>
      <c r="C92" s="1" t="n">
        <v>45998</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45998</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45998</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29880-2025</t>
        </is>
      </c>
      <c r="B95" s="1" t="n">
        <v>45826.36510416667</v>
      </c>
      <c r="C95" s="1" t="n">
        <v>45998</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29880-2025 artfynd.xlsx", "A 29880-2025")</f>
        <v/>
      </c>
      <c r="T95">
        <f>HYPERLINK("https://klasma.github.io/Logging_2260/kartor/A 29880-2025 karta.png", "A 29880-2025")</f>
        <v/>
      </c>
      <c r="V95">
        <f>HYPERLINK("https://klasma.github.io/Logging_2260/klagomål/A 29880-2025 FSC-klagomål.docx", "A 29880-2025")</f>
        <v/>
      </c>
      <c r="W95">
        <f>HYPERLINK("https://klasma.github.io/Logging_2260/klagomålsmail/A 29880-2025 FSC-klagomål mail.docx", "A 29880-2025")</f>
        <v/>
      </c>
      <c r="X95">
        <f>HYPERLINK("https://klasma.github.io/Logging_2260/tillsyn/A 29880-2025 tillsynsbegäran.docx", "A 29880-2025")</f>
        <v/>
      </c>
      <c r="Y95">
        <f>HYPERLINK("https://klasma.github.io/Logging_2260/tillsynsmail/A 29880-2025 tillsynsbegäran mail.docx", "A 29880-2025")</f>
        <v/>
      </c>
      <c r="Z95">
        <f>HYPERLINK("https://klasma.github.io/Logging_2260/fåglar/A 29880-2025 prioriterade fågelarter.docx", "A 29880-2025")</f>
        <v/>
      </c>
    </row>
    <row r="96" ht="15" customHeight="1">
      <c r="A96" t="inlineStr">
        <is>
          <t>A 59971-2025</t>
        </is>
      </c>
      <c r="B96" s="1" t="n">
        <v>45993.49002314815</v>
      </c>
      <c r="C96" s="1" t="n">
        <v>45998</v>
      </c>
      <c r="D96" t="inlineStr">
        <is>
          <t>VÄSTERNORRLANDS LÄN</t>
        </is>
      </c>
      <c r="E96" t="inlineStr">
        <is>
          <t>ÅNGE</t>
        </is>
      </c>
      <c r="F96" t="inlineStr">
        <is>
          <t>SCA</t>
        </is>
      </c>
      <c r="G96" t="n">
        <v>2.4</v>
      </c>
      <c r="H96" t="n">
        <v>3</v>
      </c>
      <c r="I96" t="n">
        <v>1</v>
      </c>
      <c r="J96" t="n">
        <v>3</v>
      </c>
      <c r="K96" t="n">
        <v>0</v>
      </c>
      <c r="L96" t="n">
        <v>0</v>
      </c>
      <c r="M96" t="n">
        <v>0</v>
      </c>
      <c r="N96" t="n">
        <v>0</v>
      </c>
      <c r="O96" t="n">
        <v>3</v>
      </c>
      <c r="P96" t="n">
        <v>0</v>
      </c>
      <c r="Q96" t="n">
        <v>5</v>
      </c>
      <c r="R96" s="2" t="inlineStr">
        <is>
          <t>Motaggsvamp
Talltita
Tretåig hackspett
Dropptaggsvamp
Lavskrika</t>
        </is>
      </c>
      <c r="S96">
        <f>HYPERLINK("https://klasma.github.io/Logging_2260/artfynd/A 59971-2025 artfynd.xlsx", "A 59971-2025")</f>
        <v/>
      </c>
      <c r="T96">
        <f>HYPERLINK("https://klasma.github.io/Logging_2260/kartor/A 59971-2025 karta.png", "A 59971-2025")</f>
        <v/>
      </c>
      <c r="V96">
        <f>HYPERLINK("https://klasma.github.io/Logging_2260/klagomål/A 59971-2025 FSC-klagomål.docx", "A 59971-2025")</f>
        <v/>
      </c>
      <c r="W96">
        <f>HYPERLINK("https://klasma.github.io/Logging_2260/klagomålsmail/A 59971-2025 FSC-klagomål mail.docx", "A 59971-2025")</f>
        <v/>
      </c>
      <c r="X96">
        <f>HYPERLINK("https://klasma.github.io/Logging_2260/tillsyn/A 59971-2025 tillsynsbegäran.docx", "A 59971-2025")</f>
        <v/>
      </c>
      <c r="Y96">
        <f>HYPERLINK("https://klasma.github.io/Logging_2260/tillsynsmail/A 59971-2025 tillsynsbegäran mail.docx", "A 59971-2025")</f>
        <v/>
      </c>
      <c r="Z96">
        <f>HYPERLINK("https://klasma.github.io/Logging_2260/fåglar/A 59971-2025 prioriterade fågelarter.docx", "A 59971-2025")</f>
        <v/>
      </c>
    </row>
    <row r="97" ht="15" customHeight="1">
      <c r="A97" t="inlineStr">
        <is>
          <t>A 52601-2025</t>
        </is>
      </c>
      <c r="B97" s="1" t="n">
        <v>45954</v>
      </c>
      <c r="C97" s="1" t="n">
        <v>45998</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46548-2023</t>
        </is>
      </c>
      <c r="B98" s="1" t="n">
        <v>45197</v>
      </c>
      <c r="C98" s="1" t="n">
        <v>45998</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39176-2024</t>
        </is>
      </c>
      <c r="B99" s="1" t="n">
        <v>45548</v>
      </c>
      <c r="C99" s="1" t="n">
        <v>45998</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38326-2024</t>
        </is>
      </c>
      <c r="B100" s="1" t="n">
        <v>45545.67741898148</v>
      </c>
      <c r="C100" s="1" t="n">
        <v>45998</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26953-2024</t>
        </is>
      </c>
      <c r="B101" s="1" t="n">
        <v>45470</v>
      </c>
      <c r="C101" s="1" t="n">
        <v>45998</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44558-2024</t>
        </is>
      </c>
      <c r="B102" s="1" t="n">
        <v>45574.47001157407</v>
      </c>
      <c r="C102" s="1" t="n">
        <v>45998</v>
      </c>
      <c r="D102" t="inlineStr">
        <is>
          <t>VÄSTERNORRLANDS LÄN</t>
        </is>
      </c>
      <c r="E102" t="inlineStr">
        <is>
          <t>ÅNGE</t>
        </is>
      </c>
      <c r="F102" t="inlineStr">
        <is>
          <t>SCA</t>
        </is>
      </c>
      <c r="G102" t="n">
        <v>6.1</v>
      </c>
      <c r="H102" t="n">
        <v>0</v>
      </c>
      <c r="I102" t="n">
        <v>0</v>
      </c>
      <c r="J102" t="n">
        <v>3</v>
      </c>
      <c r="K102" t="n">
        <v>1</v>
      </c>
      <c r="L102" t="n">
        <v>0</v>
      </c>
      <c r="M102" t="n">
        <v>0</v>
      </c>
      <c r="N102" t="n">
        <v>0</v>
      </c>
      <c r="O102" t="n">
        <v>4</v>
      </c>
      <c r="P102" t="n">
        <v>1</v>
      </c>
      <c r="Q102" t="n">
        <v>4</v>
      </c>
      <c r="R102" s="2" t="inlineStr">
        <is>
          <t>Gräddporing
Kortskaftad ärgspik
Reliktbock
Ullticka</t>
        </is>
      </c>
      <c r="S102">
        <f>HYPERLINK("https://klasma.github.io/Logging_2260/artfynd/A 44558-2024 artfynd.xlsx", "A 44558-2024")</f>
        <v/>
      </c>
      <c r="T102">
        <f>HYPERLINK("https://klasma.github.io/Logging_2260/kartor/A 44558-2024 karta.png", "A 44558-2024")</f>
        <v/>
      </c>
      <c r="V102">
        <f>HYPERLINK("https://klasma.github.io/Logging_2260/klagomål/A 44558-2024 FSC-klagomål.docx", "A 44558-2024")</f>
        <v/>
      </c>
      <c r="W102">
        <f>HYPERLINK("https://klasma.github.io/Logging_2260/klagomålsmail/A 44558-2024 FSC-klagomål mail.docx", "A 44558-2024")</f>
        <v/>
      </c>
      <c r="X102">
        <f>HYPERLINK("https://klasma.github.io/Logging_2260/tillsyn/A 44558-2024 tillsynsbegäran.docx", "A 44558-2024")</f>
        <v/>
      </c>
      <c r="Y102">
        <f>HYPERLINK("https://klasma.github.io/Logging_2260/tillsynsmail/A 44558-2024 tillsynsbegäran mail.docx", "A 44558-2024")</f>
        <v/>
      </c>
    </row>
    <row r="103" ht="15" customHeight="1">
      <c r="A103" t="inlineStr">
        <is>
          <t>A 723-2025</t>
        </is>
      </c>
      <c r="B103" s="1" t="n">
        <v>45665.38576388889</v>
      </c>
      <c r="C103" s="1" t="n">
        <v>45998</v>
      </c>
      <c r="D103" t="inlineStr">
        <is>
          <t>VÄSTERNORRLANDS LÄN</t>
        </is>
      </c>
      <c r="E103" t="inlineStr">
        <is>
          <t>ÅNGE</t>
        </is>
      </c>
      <c r="G103" t="n">
        <v>4.1</v>
      </c>
      <c r="H103" t="n">
        <v>2</v>
      </c>
      <c r="I103" t="n">
        <v>1</v>
      </c>
      <c r="J103" t="n">
        <v>1</v>
      </c>
      <c r="K103" t="n">
        <v>0</v>
      </c>
      <c r="L103" t="n">
        <v>0</v>
      </c>
      <c r="M103" t="n">
        <v>0</v>
      </c>
      <c r="N103" t="n">
        <v>0</v>
      </c>
      <c r="O103" t="n">
        <v>1</v>
      </c>
      <c r="P103" t="n">
        <v>0</v>
      </c>
      <c r="Q103" t="n">
        <v>4</v>
      </c>
      <c r="R103" s="2" t="inlineStr">
        <is>
          <t>Lunglav
Stuplav
Fläcknycklar
Revlummer</t>
        </is>
      </c>
      <c r="S103">
        <f>HYPERLINK("https://klasma.github.io/Logging_2260/artfynd/A 723-2025 artfynd.xlsx", "A 723-2025")</f>
        <v/>
      </c>
      <c r="T103">
        <f>HYPERLINK("https://klasma.github.io/Logging_2260/kartor/A 723-2025 karta.png", "A 723-2025")</f>
        <v/>
      </c>
      <c r="V103">
        <f>HYPERLINK("https://klasma.github.io/Logging_2260/klagomål/A 723-2025 FSC-klagomål.docx", "A 723-2025")</f>
        <v/>
      </c>
      <c r="W103">
        <f>HYPERLINK("https://klasma.github.io/Logging_2260/klagomålsmail/A 723-2025 FSC-klagomål mail.docx", "A 723-2025")</f>
        <v/>
      </c>
      <c r="X103">
        <f>HYPERLINK("https://klasma.github.io/Logging_2260/tillsyn/A 723-2025 tillsynsbegäran.docx", "A 723-2025")</f>
        <v/>
      </c>
      <c r="Y103">
        <f>HYPERLINK("https://klasma.github.io/Logging_2260/tillsynsmail/A 723-2025 tillsynsbegäran mail.docx", "A 723-2025")</f>
        <v/>
      </c>
    </row>
    <row r="104" ht="15" customHeight="1">
      <c r="A104" t="inlineStr">
        <is>
          <t>A 55179-2024</t>
        </is>
      </c>
      <c r="B104" s="1" t="n">
        <v>45621.53204861111</v>
      </c>
      <c r="C104" s="1" t="n">
        <v>45998</v>
      </c>
      <c r="D104" t="inlineStr">
        <is>
          <t>VÄSTERNORRLANDS LÄN</t>
        </is>
      </c>
      <c r="E104" t="inlineStr">
        <is>
          <t>ÅNGE</t>
        </is>
      </c>
      <c r="F104" t="inlineStr">
        <is>
          <t>SCA</t>
        </is>
      </c>
      <c r="G104" t="n">
        <v>3</v>
      </c>
      <c r="H104" t="n">
        <v>2</v>
      </c>
      <c r="I104" t="n">
        <v>1</v>
      </c>
      <c r="J104" t="n">
        <v>1</v>
      </c>
      <c r="K104" t="n">
        <v>0</v>
      </c>
      <c r="L104" t="n">
        <v>0</v>
      </c>
      <c r="M104" t="n">
        <v>0</v>
      </c>
      <c r="N104" t="n">
        <v>0</v>
      </c>
      <c r="O104" t="n">
        <v>1</v>
      </c>
      <c r="P104" t="n">
        <v>0</v>
      </c>
      <c r="Q104" t="n">
        <v>4</v>
      </c>
      <c r="R104" s="2" t="inlineStr">
        <is>
          <t>Lunglav
Stuplav
Fläcknycklar
Blåsippa</t>
        </is>
      </c>
      <c r="S104">
        <f>HYPERLINK("https://klasma.github.io/Logging_2260/artfynd/A 55179-2024 artfynd.xlsx", "A 55179-2024")</f>
        <v/>
      </c>
      <c r="T104">
        <f>HYPERLINK("https://klasma.github.io/Logging_2260/kartor/A 55179-2024 karta.png", "A 55179-2024")</f>
        <v/>
      </c>
      <c r="V104">
        <f>HYPERLINK("https://klasma.github.io/Logging_2260/klagomål/A 55179-2024 FSC-klagomål.docx", "A 55179-2024")</f>
        <v/>
      </c>
      <c r="W104">
        <f>HYPERLINK("https://klasma.github.io/Logging_2260/klagomålsmail/A 55179-2024 FSC-klagomål mail.docx", "A 55179-2024")</f>
        <v/>
      </c>
      <c r="X104">
        <f>HYPERLINK("https://klasma.github.io/Logging_2260/tillsyn/A 55179-2024 tillsynsbegäran.docx", "A 55179-2024")</f>
        <v/>
      </c>
      <c r="Y104">
        <f>HYPERLINK("https://klasma.github.io/Logging_2260/tillsynsmail/A 55179-2024 tillsynsbegäran mail.docx", "A 55179-2024")</f>
        <v/>
      </c>
    </row>
    <row r="105" ht="15" customHeight="1">
      <c r="A105" t="inlineStr">
        <is>
          <t>A 57299-2022</t>
        </is>
      </c>
      <c r="B105" s="1" t="n">
        <v>44895.95090277777</v>
      </c>
      <c r="C105" s="1" t="n">
        <v>45998</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24796-2024</t>
        </is>
      </c>
      <c r="B106" s="1" t="n">
        <v>45460</v>
      </c>
      <c r="C106" s="1" t="n">
        <v>45998</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38713-2025</t>
        </is>
      </c>
      <c r="B107" s="1" t="n">
        <v>45886.34479166667</v>
      </c>
      <c r="C107" s="1" t="n">
        <v>45998</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54095-2025</t>
        </is>
      </c>
      <c r="B108" s="1" t="n">
        <v>45964.40685185185</v>
      </c>
      <c r="C108" s="1" t="n">
        <v>45998</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11029-2025</t>
        </is>
      </c>
      <c r="B109" s="1" t="n">
        <v>45723</v>
      </c>
      <c r="C109" s="1" t="n">
        <v>45998</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27956-2021</t>
        </is>
      </c>
      <c r="B110" s="1" t="n">
        <v>44354</v>
      </c>
      <c r="C110" s="1" t="n">
        <v>45998</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45998</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29665-2024</t>
        </is>
      </c>
      <c r="B112" s="1" t="n">
        <v>45484</v>
      </c>
      <c r="C112" s="1" t="n">
        <v>45998</v>
      </c>
      <c r="D112" t="inlineStr">
        <is>
          <t>VÄSTERNORRLANDS LÄN</t>
        </is>
      </c>
      <c r="E112" t="inlineStr">
        <is>
          <t>ÅNGE</t>
        </is>
      </c>
      <c r="F112" t="inlineStr">
        <is>
          <t>SCA</t>
        </is>
      </c>
      <c r="G112" t="n">
        <v>3.3</v>
      </c>
      <c r="H112" t="n">
        <v>1</v>
      </c>
      <c r="I112" t="n">
        <v>0</v>
      </c>
      <c r="J112" t="n">
        <v>3</v>
      </c>
      <c r="K112" t="n">
        <v>0</v>
      </c>
      <c r="L112" t="n">
        <v>0</v>
      </c>
      <c r="M112" t="n">
        <v>0</v>
      </c>
      <c r="N112" t="n">
        <v>0</v>
      </c>
      <c r="O112" t="n">
        <v>3</v>
      </c>
      <c r="P112" t="n">
        <v>0</v>
      </c>
      <c r="Q112" t="n">
        <v>3</v>
      </c>
      <c r="R112" s="2" t="inlineStr">
        <is>
          <t>Garnlav
Granticka
Utter</t>
        </is>
      </c>
      <c r="S112">
        <f>HYPERLINK("https://klasma.github.io/Logging_2260/artfynd/A 29665-2024 artfynd.xlsx", "A 29665-2024")</f>
        <v/>
      </c>
      <c r="T112">
        <f>HYPERLINK("https://klasma.github.io/Logging_2260/kartor/A 29665-2024 karta.png", "A 29665-2024")</f>
        <v/>
      </c>
      <c r="V112">
        <f>HYPERLINK("https://klasma.github.io/Logging_2260/klagomål/A 29665-2024 FSC-klagomål.docx", "A 29665-2024")</f>
        <v/>
      </c>
      <c r="W112">
        <f>HYPERLINK("https://klasma.github.io/Logging_2260/klagomålsmail/A 29665-2024 FSC-klagomål mail.docx", "A 29665-2024")</f>
        <v/>
      </c>
      <c r="X112">
        <f>HYPERLINK("https://klasma.github.io/Logging_2260/tillsyn/A 29665-2024 tillsynsbegäran.docx", "A 29665-2024")</f>
        <v/>
      </c>
      <c r="Y112">
        <f>HYPERLINK("https://klasma.github.io/Logging_2260/tillsynsmail/A 29665-2024 tillsynsbegäran mail.docx", "A 29665-2024")</f>
        <v/>
      </c>
    </row>
    <row r="113" ht="15" customHeight="1">
      <c r="A113" t="inlineStr">
        <is>
          <t>A 29691-2024</t>
        </is>
      </c>
      <c r="B113" s="1" t="n">
        <v>45484.9446875</v>
      </c>
      <c r="C113" s="1" t="n">
        <v>45998</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24795-2024</t>
        </is>
      </c>
      <c r="B114" s="1" t="n">
        <v>45460.95252314815</v>
      </c>
      <c r="C114" s="1" t="n">
        <v>45998</v>
      </c>
      <c r="D114" t="inlineStr">
        <is>
          <t>VÄSTERNORRLANDS LÄN</t>
        </is>
      </c>
      <c r="E114" t="inlineStr">
        <is>
          <t>ÅNGE</t>
        </is>
      </c>
      <c r="F114" t="inlineStr">
        <is>
          <t>SCA</t>
        </is>
      </c>
      <c r="G114" t="n">
        <v>2.2</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HYPERLINK("https://klasma.github.io/Logging_2260/artfynd/A 24795-2024 artfynd.xlsx", "A 24795-2024")</f>
        <v/>
      </c>
      <c r="T114">
        <f>HYPERLINK("https://klasma.github.io/Logging_2260/kartor/A 24795-2024 karta.png", "A 24795-2024")</f>
        <v/>
      </c>
      <c r="V114">
        <f>HYPERLINK("https://klasma.github.io/Logging_2260/klagomål/A 24795-2024 FSC-klagomål.docx", "A 24795-2024")</f>
        <v/>
      </c>
      <c r="W114">
        <f>HYPERLINK("https://klasma.github.io/Logging_2260/klagomålsmail/A 24795-2024 FSC-klagomål mail.docx", "A 24795-2024")</f>
        <v/>
      </c>
      <c r="X114">
        <f>HYPERLINK("https://klasma.github.io/Logging_2260/tillsyn/A 24795-2024 tillsynsbegäran.docx", "A 24795-2024")</f>
        <v/>
      </c>
      <c r="Y114">
        <f>HYPERLINK("https://klasma.github.io/Logging_2260/tillsynsmail/A 24795-2024 tillsynsbegäran mail.docx", "A 24795-2024")</f>
        <v/>
      </c>
    </row>
    <row r="115" ht="15" customHeight="1">
      <c r="A115" t="inlineStr">
        <is>
          <t>A 7533-2023</t>
        </is>
      </c>
      <c r="B115" s="1" t="n">
        <v>44971</v>
      </c>
      <c r="C115" s="1" t="n">
        <v>45998</v>
      </c>
      <c r="D115" t="inlineStr">
        <is>
          <t>VÄSTERNORRLANDS LÄN</t>
        </is>
      </c>
      <c r="E115" t="inlineStr">
        <is>
          <t>ÅNGE</t>
        </is>
      </c>
      <c r="F115" t="inlineStr">
        <is>
          <t>SCA</t>
        </is>
      </c>
      <c r="G115" t="n">
        <v>15.7</v>
      </c>
      <c r="H115" t="n">
        <v>2</v>
      </c>
      <c r="I115" t="n">
        <v>0</v>
      </c>
      <c r="J115" t="n">
        <v>1</v>
      </c>
      <c r="K115" t="n">
        <v>1</v>
      </c>
      <c r="L115" t="n">
        <v>0</v>
      </c>
      <c r="M115" t="n">
        <v>0</v>
      </c>
      <c r="N115" t="n">
        <v>0</v>
      </c>
      <c r="O115" t="n">
        <v>2</v>
      </c>
      <c r="P115" t="n">
        <v>1</v>
      </c>
      <c r="Q115" t="n">
        <v>3</v>
      </c>
      <c r="R115" s="2" t="inlineStr">
        <is>
          <t>Doftticka
Lunglav
Blåsippa</t>
        </is>
      </c>
      <c r="S115">
        <f>HYPERLINK("https://klasma.github.io/Logging_2260/artfynd/A 7533-2023 artfynd.xlsx", "A 7533-2023")</f>
        <v/>
      </c>
      <c r="T115">
        <f>HYPERLINK("https://klasma.github.io/Logging_2260/kartor/A 7533-2023 karta.png", "A 7533-2023")</f>
        <v/>
      </c>
      <c r="V115">
        <f>HYPERLINK("https://klasma.github.io/Logging_2260/klagomål/A 7533-2023 FSC-klagomål.docx", "A 7533-2023")</f>
        <v/>
      </c>
      <c r="W115">
        <f>HYPERLINK("https://klasma.github.io/Logging_2260/klagomålsmail/A 7533-2023 FSC-klagomål mail.docx", "A 7533-2023")</f>
        <v/>
      </c>
      <c r="X115">
        <f>HYPERLINK("https://klasma.github.io/Logging_2260/tillsyn/A 7533-2023 tillsynsbegäran.docx", "A 7533-2023")</f>
        <v/>
      </c>
      <c r="Y115">
        <f>HYPERLINK("https://klasma.github.io/Logging_2260/tillsynsmail/A 7533-2023 tillsynsbegäran mail.docx", "A 7533-2023")</f>
        <v/>
      </c>
    </row>
    <row r="116" ht="15" customHeight="1">
      <c r="A116" t="inlineStr">
        <is>
          <t>A 28274-2023</t>
        </is>
      </c>
      <c r="B116" s="1" t="n">
        <v>45099</v>
      </c>
      <c r="C116" s="1" t="n">
        <v>45998</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21267-2025</t>
        </is>
      </c>
      <c r="B117" s="1" t="n">
        <v>45779</v>
      </c>
      <c r="C117" s="1" t="n">
        <v>45998</v>
      </c>
      <c r="D117" t="inlineStr">
        <is>
          <t>VÄSTERNORRLANDS LÄN</t>
        </is>
      </c>
      <c r="E117" t="inlineStr">
        <is>
          <t>ÅNGE</t>
        </is>
      </c>
      <c r="F117" t="inlineStr">
        <is>
          <t>Sveaskog</t>
        </is>
      </c>
      <c r="G117" t="n">
        <v>3.7</v>
      </c>
      <c r="H117" t="n">
        <v>2</v>
      </c>
      <c r="I117" t="n">
        <v>2</v>
      </c>
      <c r="J117" t="n">
        <v>1</v>
      </c>
      <c r="K117" t="n">
        <v>0</v>
      </c>
      <c r="L117" t="n">
        <v>0</v>
      </c>
      <c r="M117" t="n">
        <v>0</v>
      </c>
      <c r="N117" t="n">
        <v>0</v>
      </c>
      <c r="O117" t="n">
        <v>1</v>
      </c>
      <c r="P117" t="n">
        <v>0</v>
      </c>
      <c r="Q117" t="n">
        <v>3</v>
      </c>
      <c r="R117" s="2" t="inlineStr">
        <is>
          <t>Lunglav
Korallrot
Spindelblomster</t>
        </is>
      </c>
      <c r="S117">
        <f>HYPERLINK("https://klasma.github.io/Logging_2260/artfynd/A 21267-2025 artfynd.xlsx", "A 21267-2025")</f>
        <v/>
      </c>
      <c r="T117">
        <f>HYPERLINK("https://klasma.github.io/Logging_2260/kartor/A 21267-2025 karta.png", "A 21267-2025")</f>
        <v/>
      </c>
      <c r="V117">
        <f>HYPERLINK("https://klasma.github.io/Logging_2260/klagomål/A 21267-2025 FSC-klagomål.docx", "A 21267-2025")</f>
        <v/>
      </c>
      <c r="W117">
        <f>HYPERLINK("https://klasma.github.io/Logging_2260/klagomålsmail/A 21267-2025 FSC-klagomål mail.docx", "A 21267-2025")</f>
        <v/>
      </c>
      <c r="X117">
        <f>HYPERLINK("https://klasma.github.io/Logging_2260/tillsyn/A 21267-2025 tillsynsbegäran.docx", "A 21267-2025")</f>
        <v/>
      </c>
      <c r="Y117">
        <f>HYPERLINK("https://klasma.github.io/Logging_2260/tillsynsmail/A 21267-2025 tillsynsbegäran mail.docx", "A 21267-2025")</f>
        <v/>
      </c>
    </row>
    <row r="118" ht="15" customHeight="1">
      <c r="A118" t="inlineStr">
        <is>
          <t>A 39181-2024</t>
        </is>
      </c>
      <c r="B118" s="1" t="n">
        <v>45548</v>
      </c>
      <c r="C118" s="1" t="n">
        <v>45998</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45998</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45998</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37184-2025</t>
        </is>
      </c>
      <c r="B121" s="1" t="n">
        <v>45875.63591435185</v>
      </c>
      <c r="C121" s="1" t="n">
        <v>45998</v>
      </c>
      <c r="D121" t="inlineStr">
        <is>
          <t>VÄSTERNORRLANDS LÄN</t>
        </is>
      </c>
      <c r="E121" t="inlineStr">
        <is>
          <t>ÅNGE</t>
        </is>
      </c>
      <c r="F121" t="inlineStr">
        <is>
          <t>SCA</t>
        </is>
      </c>
      <c r="G121" t="n">
        <v>2.5</v>
      </c>
      <c r="H121" t="n">
        <v>0</v>
      </c>
      <c r="I121" t="n">
        <v>0</v>
      </c>
      <c r="J121" t="n">
        <v>3</v>
      </c>
      <c r="K121" t="n">
        <v>0</v>
      </c>
      <c r="L121" t="n">
        <v>0</v>
      </c>
      <c r="M121" t="n">
        <v>0</v>
      </c>
      <c r="N121" t="n">
        <v>0</v>
      </c>
      <c r="O121" t="n">
        <v>3</v>
      </c>
      <c r="P121" t="n">
        <v>0</v>
      </c>
      <c r="Q121" t="n">
        <v>3</v>
      </c>
      <c r="R121" s="2" t="inlineStr">
        <is>
          <t>Granticka
Lunglav
Rosenticka</t>
        </is>
      </c>
      <c r="S121">
        <f>HYPERLINK("https://klasma.github.io/Logging_2260/artfynd/A 37184-2025 artfynd.xlsx", "A 37184-2025")</f>
        <v/>
      </c>
      <c r="T121">
        <f>HYPERLINK("https://klasma.github.io/Logging_2260/kartor/A 37184-2025 karta.png", "A 37184-2025")</f>
        <v/>
      </c>
      <c r="V121">
        <f>HYPERLINK("https://klasma.github.io/Logging_2260/klagomål/A 37184-2025 FSC-klagomål.docx", "A 37184-2025")</f>
        <v/>
      </c>
      <c r="W121">
        <f>HYPERLINK("https://klasma.github.io/Logging_2260/klagomålsmail/A 37184-2025 FSC-klagomål mail.docx", "A 37184-2025")</f>
        <v/>
      </c>
      <c r="X121">
        <f>HYPERLINK("https://klasma.github.io/Logging_2260/tillsyn/A 37184-2025 tillsynsbegäran.docx", "A 37184-2025")</f>
        <v/>
      </c>
      <c r="Y121">
        <f>HYPERLINK("https://klasma.github.io/Logging_2260/tillsynsmail/A 37184-2025 tillsynsbegäran mail.docx", "A 37184-2025")</f>
        <v/>
      </c>
    </row>
    <row r="122" ht="15" customHeight="1">
      <c r="A122" t="inlineStr">
        <is>
          <t>A 39029-2025</t>
        </is>
      </c>
      <c r="B122" s="1" t="n">
        <v>45888.40684027778</v>
      </c>
      <c r="C122" s="1" t="n">
        <v>45998</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39179-2024</t>
        </is>
      </c>
      <c r="B123" s="1" t="n">
        <v>45548.65703703704</v>
      </c>
      <c r="C123" s="1" t="n">
        <v>45998</v>
      </c>
      <c r="D123" t="inlineStr">
        <is>
          <t>VÄSTERNORRLANDS LÄN</t>
        </is>
      </c>
      <c r="E123" t="inlineStr">
        <is>
          <t>ÅNGE</t>
        </is>
      </c>
      <c r="F123" t="inlineStr">
        <is>
          <t>SCA</t>
        </is>
      </c>
      <c r="G123" t="n">
        <v>4.2</v>
      </c>
      <c r="H123" t="n">
        <v>1</v>
      </c>
      <c r="I123" t="n">
        <v>2</v>
      </c>
      <c r="J123" t="n">
        <v>1</v>
      </c>
      <c r="K123" t="n">
        <v>0</v>
      </c>
      <c r="L123" t="n">
        <v>0</v>
      </c>
      <c r="M123" t="n">
        <v>0</v>
      </c>
      <c r="N123" t="n">
        <v>0</v>
      </c>
      <c r="O123" t="n">
        <v>1</v>
      </c>
      <c r="P123" t="n">
        <v>0</v>
      </c>
      <c r="Q123" t="n">
        <v>3</v>
      </c>
      <c r="R123" s="2" t="inlineStr">
        <is>
          <t>Rosenticka
Fjällig taggsvamp s.str.
Spindelblomster</t>
        </is>
      </c>
      <c r="S123">
        <f>HYPERLINK("https://klasma.github.io/Logging_2260/artfynd/A 39179-2024 artfynd.xlsx", "A 39179-2024")</f>
        <v/>
      </c>
      <c r="T123">
        <f>HYPERLINK("https://klasma.github.io/Logging_2260/kartor/A 39179-2024 karta.png", "A 39179-2024")</f>
        <v/>
      </c>
      <c r="V123">
        <f>HYPERLINK("https://klasma.github.io/Logging_2260/klagomål/A 39179-2024 FSC-klagomål.docx", "A 39179-2024")</f>
        <v/>
      </c>
      <c r="W123">
        <f>HYPERLINK("https://klasma.github.io/Logging_2260/klagomålsmail/A 39179-2024 FSC-klagomål mail.docx", "A 39179-2024")</f>
        <v/>
      </c>
      <c r="X123">
        <f>HYPERLINK("https://klasma.github.io/Logging_2260/tillsyn/A 39179-2024 tillsynsbegäran.docx", "A 39179-2024")</f>
        <v/>
      </c>
      <c r="Y123">
        <f>HYPERLINK("https://klasma.github.io/Logging_2260/tillsynsmail/A 39179-2024 tillsynsbegäran mail.docx", "A 39179-2024")</f>
        <v/>
      </c>
    </row>
    <row r="124" ht="15" customHeight="1">
      <c r="A124" t="inlineStr">
        <is>
          <t>A 41868-2025</t>
        </is>
      </c>
      <c r="B124" s="1" t="n">
        <v>45903.34429398148</v>
      </c>
      <c r="C124" s="1" t="n">
        <v>45998</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39708-2024</t>
        </is>
      </c>
      <c r="B125" s="1" t="n">
        <v>45552.59408564815</v>
      </c>
      <c r="C125" s="1" t="n">
        <v>45998</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43319-2025</t>
        </is>
      </c>
      <c r="B126" s="1" t="n">
        <v>45910.65681712963</v>
      </c>
      <c r="C126" s="1" t="n">
        <v>45998</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23754-2025</t>
        </is>
      </c>
      <c r="B127" s="1" t="n">
        <v>45793.45782407407</v>
      </c>
      <c r="C127" s="1" t="n">
        <v>45998</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45998</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45998</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49530-2025</t>
        </is>
      </c>
      <c r="B130" s="1" t="n">
        <v>45939.40700231482</v>
      </c>
      <c r="C130" s="1" t="n">
        <v>45998</v>
      </c>
      <c r="D130" t="inlineStr">
        <is>
          <t>VÄSTERNORRLANDS LÄN</t>
        </is>
      </c>
      <c r="E130" t="inlineStr">
        <is>
          <t>ÅNGE</t>
        </is>
      </c>
      <c r="F130" t="inlineStr">
        <is>
          <t>SCA</t>
        </is>
      </c>
      <c r="G130" t="n">
        <v>5.1</v>
      </c>
      <c r="H130" t="n">
        <v>1</v>
      </c>
      <c r="I130" t="n">
        <v>1</v>
      </c>
      <c r="J130" t="n">
        <v>1</v>
      </c>
      <c r="K130" t="n">
        <v>0</v>
      </c>
      <c r="L130" t="n">
        <v>0</v>
      </c>
      <c r="M130" t="n">
        <v>0</v>
      </c>
      <c r="N130" t="n">
        <v>0</v>
      </c>
      <c r="O130" t="n">
        <v>1</v>
      </c>
      <c r="P130" t="n">
        <v>0</v>
      </c>
      <c r="Q130" t="n">
        <v>3</v>
      </c>
      <c r="R130" s="2" t="inlineStr">
        <is>
          <t>Lunglav
Strutbräken
Revlummer</t>
        </is>
      </c>
      <c r="S130">
        <f>HYPERLINK("https://klasma.github.io/Logging_2260/artfynd/A 49530-2025 artfynd.xlsx", "A 49530-2025")</f>
        <v/>
      </c>
      <c r="T130">
        <f>HYPERLINK("https://klasma.github.io/Logging_2260/kartor/A 49530-2025 karta.png", "A 49530-2025")</f>
        <v/>
      </c>
      <c r="V130">
        <f>HYPERLINK("https://klasma.github.io/Logging_2260/klagomål/A 49530-2025 FSC-klagomål.docx", "A 49530-2025")</f>
        <v/>
      </c>
      <c r="W130">
        <f>HYPERLINK("https://klasma.github.io/Logging_2260/klagomålsmail/A 49530-2025 FSC-klagomål mail.docx", "A 49530-2025")</f>
        <v/>
      </c>
      <c r="X130">
        <f>HYPERLINK("https://klasma.github.io/Logging_2260/tillsyn/A 49530-2025 tillsynsbegäran.docx", "A 49530-2025")</f>
        <v/>
      </c>
      <c r="Y130">
        <f>HYPERLINK("https://klasma.github.io/Logging_2260/tillsynsmail/A 49530-2025 tillsynsbegäran mail.docx", "A 49530-2025")</f>
        <v/>
      </c>
    </row>
    <row r="131" ht="15" customHeight="1">
      <c r="A131" t="inlineStr">
        <is>
          <t>A 53710-2025</t>
        </is>
      </c>
      <c r="B131" s="1" t="n">
        <v>45960.6153125</v>
      </c>
      <c r="C131" s="1" t="n">
        <v>45998</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50259-2025</t>
        </is>
      </c>
      <c r="B132" s="1" t="n">
        <v>45944.34498842592</v>
      </c>
      <c r="C132" s="1" t="n">
        <v>45998</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26679-2025</t>
        </is>
      </c>
      <c r="B133" s="1" t="n">
        <v>45810</v>
      </c>
      <c r="C133" s="1" t="n">
        <v>45998</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43880-2025</t>
        </is>
      </c>
      <c r="B134" s="1" t="n">
        <v>45912</v>
      </c>
      <c r="C134" s="1" t="n">
        <v>45998</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16307-2025</t>
        </is>
      </c>
      <c r="B135" s="1" t="n">
        <v>45751.34686342593</v>
      </c>
      <c r="C135" s="1" t="n">
        <v>45998</v>
      </c>
      <c r="D135" t="inlineStr">
        <is>
          <t>VÄSTERNORRLANDS LÄN</t>
        </is>
      </c>
      <c r="E135" t="inlineStr">
        <is>
          <t>ÅNGE</t>
        </is>
      </c>
      <c r="F135" t="inlineStr">
        <is>
          <t>SCA</t>
        </is>
      </c>
      <c r="G135" t="n">
        <v>12.3</v>
      </c>
      <c r="H135" t="n">
        <v>1</v>
      </c>
      <c r="I135" t="n">
        <v>2</v>
      </c>
      <c r="J135" t="n">
        <v>0</v>
      </c>
      <c r="K135" t="n">
        <v>0</v>
      </c>
      <c r="L135" t="n">
        <v>0</v>
      </c>
      <c r="M135" t="n">
        <v>0</v>
      </c>
      <c r="N135" t="n">
        <v>0</v>
      </c>
      <c r="O135" t="n">
        <v>0</v>
      </c>
      <c r="P135" t="n">
        <v>0</v>
      </c>
      <c r="Q135" t="n">
        <v>3</v>
      </c>
      <c r="R135" s="2" t="inlineStr">
        <is>
          <t>Stor aspticka
Vårärt
Blåsippa</t>
        </is>
      </c>
      <c r="S135">
        <f>HYPERLINK("https://klasma.github.io/Logging_2260/artfynd/A 16307-2025 artfynd.xlsx", "A 16307-2025")</f>
        <v/>
      </c>
      <c r="T135">
        <f>HYPERLINK("https://klasma.github.io/Logging_2260/kartor/A 16307-2025 karta.png", "A 16307-2025")</f>
        <v/>
      </c>
      <c r="V135">
        <f>HYPERLINK("https://klasma.github.io/Logging_2260/klagomål/A 16307-2025 FSC-klagomål.docx", "A 16307-2025")</f>
        <v/>
      </c>
      <c r="W135">
        <f>HYPERLINK("https://klasma.github.io/Logging_2260/klagomålsmail/A 16307-2025 FSC-klagomål mail.docx", "A 16307-2025")</f>
        <v/>
      </c>
      <c r="X135">
        <f>HYPERLINK("https://klasma.github.io/Logging_2260/tillsyn/A 16307-2025 tillsynsbegäran.docx", "A 16307-2025")</f>
        <v/>
      </c>
      <c r="Y135">
        <f>HYPERLINK("https://klasma.github.io/Logging_2260/tillsynsmail/A 16307-2025 tillsynsbegäran mail.docx", "A 16307-2025")</f>
        <v/>
      </c>
    </row>
    <row r="136" ht="15" customHeight="1">
      <c r="A136" t="inlineStr">
        <is>
          <t>A 46417-2025</t>
        </is>
      </c>
      <c r="B136" s="1" t="n">
        <v>45925.59454861111</v>
      </c>
      <c r="C136" s="1" t="n">
        <v>45998</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31212-2025</t>
        </is>
      </c>
      <c r="B137" s="1" t="n">
        <v>45832.71978009259</v>
      </c>
      <c r="C137" s="1" t="n">
        <v>45998</v>
      </c>
      <c r="D137" t="inlineStr">
        <is>
          <t>VÄSTERNORRLANDS LÄN</t>
        </is>
      </c>
      <c r="E137" t="inlineStr">
        <is>
          <t>ÅNGE</t>
        </is>
      </c>
      <c r="F137" t="inlineStr">
        <is>
          <t>SCA</t>
        </is>
      </c>
      <c r="G137" t="n">
        <v>1.6</v>
      </c>
      <c r="H137" t="n">
        <v>0</v>
      </c>
      <c r="I137" t="n">
        <v>2</v>
      </c>
      <c r="J137" t="n">
        <v>1</v>
      </c>
      <c r="K137" t="n">
        <v>0</v>
      </c>
      <c r="L137" t="n">
        <v>0</v>
      </c>
      <c r="M137" t="n">
        <v>0</v>
      </c>
      <c r="N137" t="n">
        <v>0</v>
      </c>
      <c r="O137" t="n">
        <v>1</v>
      </c>
      <c r="P137" t="n">
        <v>0</v>
      </c>
      <c r="Q137" t="n">
        <v>3</v>
      </c>
      <c r="R137" s="2" t="inlineStr">
        <is>
          <t>Ullticka
Barkticka
Korallblylav</t>
        </is>
      </c>
      <c r="S137">
        <f>HYPERLINK("https://klasma.github.io/Logging_2260/artfynd/A 31212-2025 artfynd.xlsx", "A 31212-2025")</f>
        <v/>
      </c>
      <c r="T137">
        <f>HYPERLINK("https://klasma.github.io/Logging_2260/kartor/A 31212-2025 karta.png", "A 31212-2025")</f>
        <v/>
      </c>
      <c r="V137">
        <f>HYPERLINK("https://klasma.github.io/Logging_2260/klagomål/A 31212-2025 FSC-klagomål.docx", "A 31212-2025")</f>
        <v/>
      </c>
      <c r="W137">
        <f>HYPERLINK("https://klasma.github.io/Logging_2260/klagomålsmail/A 31212-2025 FSC-klagomål mail.docx", "A 31212-2025")</f>
        <v/>
      </c>
      <c r="X137">
        <f>HYPERLINK("https://klasma.github.io/Logging_2260/tillsyn/A 31212-2025 tillsynsbegäran.docx", "A 31212-2025")</f>
        <v/>
      </c>
      <c r="Y137">
        <f>HYPERLINK("https://klasma.github.io/Logging_2260/tillsynsmail/A 31212-2025 tillsynsbegäran mail.docx", "A 31212-2025")</f>
        <v/>
      </c>
    </row>
    <row r="138" ht="15" customHeight="1">
      <c r="A138" t="inlineStr">
        <is>
          <t>A 33806-2025</t>
        </is>
      </c>
      <c r="B138" s="1" t="n">
        <v>45842.44865740741</v>
      </c>
      <c r="C138" s="1" t="n">
        <v>45998</v>
      </c>
      <c r="D138" t="inlineStr">
        <is>
          <t>VÄSTERNORRLANDS LÄN</t>
        </is>
      </c>
      <c r="E138" t="inlineStr">
        <is>
          <t>ÅNGE</t>
        </is>
      </c>
      <c r="F138" t="inlineStr">
        <is>
          <t>SCA</t>
        </is>
      </c>
      <c r="G138" t="n">
        <v>24.6</v>
      </c>
      <c r="H138" t="n">
        <v>3</v>
      </c>
      <c r="I138" t="n">
        <v>1</v>
      </c>
      <c r="J138" t="n">
        <v>0</v>
      </c>
      <c r="K138" t="n">
        <v>1</v>
      </c>
      <c r="L138" t="n">
        <v>0</v>
      </c>
      <c r="M138" t="n">
        <v>0</v>
      </c>
      <c r="N138" t="n">
        <v>0</v>
      </c>
      <c r="O138" t="n">
        <v>1</v>
      </c>
      <c r="P138" t="n">
        <v>1</v>
      </c>
      <c r="Q138" t="n">
        <v>3</v>
      </c>
      <c r="R138" s="2" t="inlineStr">
        <is>
          <t>Knärot
Grönkulla
Nattviol</t>
        </is>
      </c>
      <c r="S138">
        <f>HYPERLINK("https://klasma.github.io/Logging_2260/artfynd/A 33806-2025 artfynd.xlsx", "A 33806-2025")</f>
        <v/>
      </c>
      <c r="T138">
        <f>HYPERLINK("https://klasma.github.io/Logging_2260/kartor/A 33806-2025 karta.png", "A 33806-2025")</f>
        <v/>
      </c>
      <c r="U138">
        <f>HYPERLINK("https://klasma.github.io/Logging_2260/knärot/A 33806-2025 karta knärot.png", "A 33806-2025")</f>
        <v/>
      </c>
      <c r="V138">
        <f>HYPERLINK("https://klasma.github.io/Logging_2260/klagomål/A 33806-2025 FSC-klagomål.docx", "A 33806-2025")</f>
        <v/>
      </c>
      <c r="W138">
        <f>HYPERLINK("https://klasma.github.io/Logging_2260/klagomålsmail/A 33806-2025 FSC-klagomål mail.docx", "A 33806-2025")</f>
        <v/>
      </c>
      <c r="X138">
        <f>HYPERLINK("https://klasma.github.io/Logging_2260/tillsyn/A 33806-2025 tillsynsbegäran.docx", "A 33806-2025")</f>
        <v/>
      </c>
      <c r="Y138">
        <f>HYPERLINK("https://klasma.github.io/Logging_2260/tillsynsmail/A 33806-2025 tillsynsbegäran mail.docx", "A 33806-2025")</f>
        <v/>
      </c>
    </row>
    <row r="139" ht="15" customHeight="1">
      <c r="A139" t="inlineStr">
        <is>
          <t>A 47617-2024</t>
        </is>
      </c>
      <c r="B139" s="1" t="n">
        <v>45588.32125</v>
      </c>
      <c r="C139" s="1" t="n">
        <v>45998</v>
      </c>
      <c r="D139" t="inlineStr">
        <is>
          <t>VÄSTERNORRLANDS LÄN</t>
        </is>
      </c>
      <c r="E139" t="inlineStr">
        <is>
          <t>ÅNGE</t>
        </is>
      </c>
      <c r="F139" t="inlineStr">
        <is>
          <t>Holmen skog AB</t>
        </is>
      </c>
      <c r="G139" t="n">
        <v>8.300000000000001</v>
      </c>
      <c r="H139" t="n">
        <v>0</v>
      </c>
      <c r="I139" t="n">
        <v>0</v>
      </c>
      <c r="J139" t="n">
        <v>3</v>
      </c>
      <c r="K139" t="n">
        <v>0</v>
      </c>
      <c r="L139" t="n">
        <v>0</v>
      </c>
      <c r="M139" t="n">
        <v>0</v>
      </c>
      <c r="N139" t="n">
        <v>0</v>
      </c>
      <c r="O139" t="n">
        <v>3</v>
      </c>
      <c r="P139" t="n">
        <v>0</v>
      </c>
      <c r="Q139" t="n">
        <v>3</v>
      </c>
      <c r="R139" s="2" t="inlineStr">
        <is>
          <t>Granticka
Gränsticka
Lunglav</t>
        </is>
      </c>
      <c r="S139">
        <f>HYPERLINK("https://klasma.github.io/Logging_2260/artfynd/A 47617-2024 artfynd.xlsx", "A 47617-2024")</f>
        <v/>
      </c>
      <c r="T139">
        <f>HYPERLINK("https://klasma.github.io/Logging_2260/kartor/A 47617-2024 karta.png", "A 47617-2024")</f>
        <v/>
      </c>
      <c r="V139">
        <f>HYPERLINK("https://klasma.github.io/Logging_2260/klagomål/A 47617-2024 FSC-klagomål.docx", "A 47617-2024")</f>
        <v/>
      </c>
      <c r="W139">
        <f>HYPERLINK("https://klasma.github.io/Logging_2260/klagomålsmail/A 47617-2024 FSC-klagomål mail.docx", "A 47617-2024")</f>
        <v/>
      </c>
      <c r="X139">
        <f>HYPERLINK("https://klasma.github.io/Logging_2260/tillsyn/A 47617-2024 tillsynsbegäran.docx", "A 47617-2024")</f>
        <v/>
      </c>
      <c r="Y139">
        <f>HYPERLINK("https://klasma.github.io/Logging_2260/tillsynsmail/A 47617-2024 tillsynsbegäran mail.docx", "A 47617-2024")</f>
        <v/>
      </c>
    </row>
    <row r="140" ht="15" customHeight="1">
      <c r="A140" t="inlineStr">
        <is>
          <t>A 36635-2021</t>
        </is>
      </c>
      <c r="B140" s="1" t="n">
        <v>44391</v>
      </c>
      <c r="C140" s="1" t="n">
        <v>45998</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45998</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45998</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45998</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40965-2021</t>
        </is>
      </c>
      <c r="B144" s="1" t="n">
        <v>44421.57918981482</v>
      </c>
      <c r="C144" s="1" t="n">
        <v>45998</v>
      </c>
      <c r="D144" t="inlineStr">
        <is>
          <t>VÄSTERNORRLANDS LÄN</t>
        </is>
      </c>
      <c r="E144" t="inlineStr">
        <is>
          <t>ÅNGE</t>
        </is>
      </c>
      <c r="F144" t="inlineStr">
        <is>
          <t>Sveaskog</t>
        </is>
      </c>
      <c r="G144" t="n">
        <v>5.4</v>
      </c>
      <c r="H144" t="n">
        <v>1</v>
      </c>
      <c r="I144" t="n">
        <v>1</v>
      </c>
      <c r="J144" t="n">
        <v>1</v>
      </c>
      <c r="K144" t="n">
        <v>0</v>
      </c>
      <c r="L144" t="n">
        <v>0</v>
      </c>
      <c r="M144" t="n">
        <v>0</v>
      </c>
      <c r="N144" t="n">
        <v>0</v>
      </c>
      <c r="O144" t="n">
        <v>1</v>
      </c>
      <c r="P144" t="n">
        <v>0</v>
      </c>
      <c r="Q144" t="n">
        <v>2</v>
      </c>
      <c r="R144" s="2" t="inlineStr">
        <is>
          <t>Skogsfru
Skogsbräsma</t>
        </is>
      </c>
      <c r="S144">
        <f>HYPERLINK("https://klasma.github.io/Logging_2260/artfynd/A 40965-2021 artfynd.xlsx", "A 40965-2021")</f>
        <v/>
      </c>
      <c r="T144">
        <f>HYPERLINK("https://klasma.github.io/Logging_2260/kartor/A 40965-2021 karta.png", "A 40965-2021")</f>
        <v/>
      </c>
      <c r="V144">
        <f>HYPERLINK("https://klasma.github.io/Logging_2260/klagomål/A 40965-2021 FSC-klagomål.docx", "A 40965-2021")</f>
        <v/>
      </c>
      <c r="W144">
        <f>HYPERLINK("https://klasma.github.io/Logging_2260/klagomålsmail/A 40965-2021 FSC-klagomål mail.docx", "A 40965-2021")</f>
        <v/>
      </c>
      <c r="X144">
        <f>HYPERLINK("https://klasma.github.io/Logging_2260/tillsyn/A 40965-2021 tillsynsbegäran.docx", "A 40965-2021")</f>
        <v/>
      </c>
      <c r="Y144">
        <f>HYPERLINK("https://klasma.github.io/Logging_2260/tillsynsmail/A 40965-2021 tillsynsbegäran mail.docx", "A 40965-2021")</f>
        <v/>
      </c>
    </row>
    <row r="145" ht="15" customHeight="1">
      <c r="A145" t="inlineStr">
        <is>
          <t>A 47799-2022</t>
        </is>
      </c>
      <c r="B145" s="1" t="n">
        <v>44854.95371527778</v>
      </c>
      <c r="C145" s="1" t="n">
        <v>45998</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8234-2022</t>
        </is>
      </c>
      <c r="B146" s="1" t="n">
        <v>44609</v>
      </c>
      <c r="C146" s="1" t="n">
        <v>45998</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4873-2025</t>
        </is>
      </c>
      <c r="B147" s="1" t="n">
        <v>45688.67633101852</v>
      </c>
      <c r="C147" s="1" t="n">
        <v>45998</v>
      </c>
      <c r="D147" t="inlineStr">
        <is>
          <t>VÄSTERNORRLANDS LÄN</t>
        </is>
      </c>
      <c r="E147" t="inlineStr">
        <is>
          <t>ÅNGE</t>
        </is>
      </c>
      <c r="F147" t="inlineStr">
        <is>
          <t>SCA</t>
        </is>
      </c>
      <c r="G147" t="n">
        <v>3.3</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4873-2025 artfynd.xlsx", "A 4873-2025")</f>
        <v/>
      </c>
      <c r="T147">
        <f>HYPERLINK("https://klasma.github.io/Logging_2260/kartor/A 4873-2025 karta.png", "A 4873-2025")</f>
        <v/>
      </c>
      <c r="V147">
        <f>HYPERLINK("https://klasma.github.io/Logging_2260/klagomål/A 4873-2025 FSC-klagomål.docx", "A 4873-2025")</f>
        <v/>
      </c>
      <c r="W147">
        <f>HYPERLINK("https://klasma.github.io/Logging_2260/klagomålsmail/A 4873-2025 FSC-klagomål mail.docx", "A 4873-2025")</f>
        <v/>
      </c>
      <c r="X147">
        <f>HYPERLINK("https://klasma.github.io/Logging_2260/tillsyn/A 4873-2025 tillsynsbegäran.docx", "A 4873-2025")</f>
        <v/>
      </c>
      <c r="Y147">
        <f>HYPERLINK("https://klasma.github.io/Logging_2260/tillsynsmail/A 4873-2025 tillsynsbegäran mail.docx", "A 4873-2025")</f>
        <v/>
      </c>
    </row>
    <row r="148" ht="15" customHeight="1">
      <c r="A148" t="inlineStr">
        <is>
          <t>A 29325-2023</t>
        </is>
      </c>
      <c r="B148" s="1" t="n">
        <v>45105</v>
      </c>
      <c r="C148" s="1" t="n">
        <v>45998</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17861-2023</t>
        </is>
      </c>
      <c r="B149" s="1" t="n">
        <v>45037.94171296297</v>
      </c>
      <c r="C149" s="1" t="n">
        <v>45998</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4093-2025</t>
        </is>
      </c>
      <c r="B150" s="1" t="n">
        <v>45684.67762731481</v>
      </c>
      <c r="C150" s="1" t="n">
        <v>45998</v>
      </c>
      <c r="D150" t="inlineStr">
        <is>
          <t>VÄSTERNORRLANDS LÄN</t>
        </is>
      </c>
      <c r="E150" t="inlineStr">
        <is>
          <t>ÅNGE</t>
        </is>
      </c>
      <c r="F150" t="inlineStr">
        <is>
          <t>SCA</t>
        </is>
      </c>
      <c r="G150" t="n">
        <v>2.6</v>
      </c>
      <c r="H150" t="n">
        <v>1</v>
      </c>
      <c r="I150" t="n">
        <v>2</v>
      </c>
      <c r="J150" t="n">
        <v>0</v>
      </c>
      <c r="K150" t="n">
        <v>0</v>
      </c>
      <c r="L150" t="n">
        <v>0</v>
      </c>
      <c r="M150" t="n">
        <v>0</v>
      </c>
      <c r="N150" t="n">
        <v>0</v>
      </c>
      <c r="O150" t="n">
        <v>0</v>
      </c>
      <c r="P150" t="n">
        <v>0</v>
      </c>
      <c r="Q150" t="n">
        <v>2</v>
      </c>
      <c r="R150" s="2" t="inlineStr">
        <is>
          <t>Kransrams
Spindelblomster</t>
        </is>
      </c>
      <c r="S150">
        <f>HYPERLINK("https://klasma.github.io/Logging_2260/artfynd/A 4093-2025 artfynd.xlsx", "A 4093-2025")</f>
        <v/>
      </c>
      <c r="T150">
        <f>HYPERLINK("https://klasma.github.io/Logging_2260/kartor/A 4093-2025 karta.png", "A 4093-2025")</f>
        <v/>
      </c>
      <c r="V150">
        <f>HYPERLINK("https://klasma.github.io/Logging_2260/klagomål/A 4093-2025 FSC-klagomål.docx", "A 4093-2025")</f>
        <v/>
      </c>
      <c r="W150">
        <f>HYPERLINK("https://klasma.github.io/Logging_2260/klagomålsmail/A 4093-2025 FSC-klagomål mail.docx", "A 4093-2025")</f>
        <v/>
      </c>
      <c r="X150">
        <f>HYPERLINK("https://klasma.github.io/Logging_2260/tillsyn/A 4093-2025 tillsynsbegäran.docx", "A 4093-2025")</f>
        <v/>
      </c>
      <c r="Y150">
        <f>HYPERLINK("https://klasma.github.io/Logging_2260/tillsynsmail/A 4093-2025 tillsynsbegäran mail.docx", "A 4093-2025")</f>
        <v/>
      </c>
    </row>
    <row r="151" ht="15" customHeight="1">
      <c r="A151" t="inlineStr">
        <is>
          <t>A 62861-2021</t>
        </is>
      </c>
      <c r="B151" s="1" t="n">
        <v>44503</v>
      </c>
      <c r="C151" s="1" t="n">
        <v>45998</v>
      </c>
      <c r="D151" t="inlineStr">
        <is>
          <t>VÄSTERNORRLANDS LÄN</t>
        </is>
      </c>
      <c r="E151" t="inlineStr">
        <is>
          <t>ÅNGE</t>
        </is>
      </c>
      <c r="F151" t="inlineStr">
        <is>
          <t>Övriga statliga verk och myndigheter</t>
        </is>
      </c>
      <c r="G151" t="n">
        <v>12.1</v>
      </c>
      <c r="H151" t="n">
        <v>1</v>
      </c>
      <c r="I151" t="n">
        <v>0</v>
      </c>
      <c r="J151" t="n">
        <v>1</v>
      </c>
      <c r="K151" t="n">
        <v>1</v>
      </c>
      <c r="L151" t="n">
        <v>0</v>
      </c>
      <c r="M151" t="n">
        <v>0</v>
      </c>
      <c r="N151" t="n">
        <v>0</v>
      </c>
      <c r="O151" t="n">
        <v>2</v>
      </c>
      <c r="P151" t="n">
        <v>1</v>
      </c>
      <c r="Q151" t="n">
        <v>2</v>
      </c>
      <c r="R151" s="2" t="inlineStr">
        <is>
          <t>Knärot
Rosenticka</t>
        </is>
      </c>
      <c r="S151">
        <f>HYPERLINK("https://klasma.github.io/Logging_2260/artfynd/A 62861-2021 artfynd.xlsx", "A 62861-2021")</f>
        <v/>
      </c>
      <c r="T151">
        <f>HYPERLINK("https://klasma.github.io/Logging_2260/kartor/A 62861-2021 karta.png", "A 62861-2021")</f>
        <v/>
      </c>
      <c r="U151">
        <f>HYPERLINK("https://klasma.github.io/Logging_2260/knärot/A 62861-2021 karta knärot.png", "A 62861-2021")</f>
        <v/>
      </c>
      <c r="V151">
        <f>HYPERLINK("https://klasma.github.io/Logging_2260/klagomål/A 62861-2021 FSC-klagomål.docx", "A 62861-2021")</f>
        <v/>
      </c>
      <c r="W151">
        <f>HYPERLINK("https://klasma.github.io/Logging_2260/klagomålsmail/A 62861-2021 FSC-klagomål mail.docx", "A 62861-2021")</f>
        <v/>
      </c>
      <c r="X151">
        <f>HYPERLINK("https://klasma.github.io/Logging_2260/tillsyn/A 62861-2021 tillsynsbegäran.docx", "A 62861-2021")</f>
        <v/>
      </c>
      <c r="Y151">
        <f>HYPERLINK("https://klasma.github.io/Logging_2260/tillsynsmail/A 62861-2021 tillsynsbegäran mail.docx", "A 62861-2021")</f>
        <v/>
      </c>
    </row>
    <row r="152" ht="15" customHeight="1">
      <c r="A152" t="inlineStr">
        <is>
          <t>A 55178-2024</t>
        </is>
      </c>
      <c r="B152" s="1" t="n">
        <v>45621</v>
      </c>
      <c r="C152" s="1" t="n">
        <v>45998</v>
      </c>
      <c r="D152" t="inlineStr">
        <is>
          <t>VÄSTERNORRLANDS LÄN</t>
        </is>
      </c>
      <c r="E152" t="inlineStr">
        <is>
          <t>ÅNGE</t>
        </is>
      </c>
      <c r="F152" t="inlineStr">
        <is>
          <t>SCA</t>
        </is>
      </c>
      <c r="G152" t="n">
        <v>4.8</v>
      </c>
      <c r="H152" t="n">
        <v>1</v>
      </c>
      <c r="I152" t="n">
        <v>0</v>
      </c>
      <c r="J152" t="n">
        <v>1</v>
      </c>
      <c r="K152" t="n">
        <v>1</v>
      </c>
      <c r="L152" t="n">
        <v>0</v>
      </c>
      <c r="M152" t="n">
        <v>0</v>
      </c>
      <c r="N152" t="n">
        <v>0</v>
      </c>
      <c r="O152" t="n">
        <v>2</v>
      </c>
      <c r="P152" t="n">
        <v>1</v>
      </c>
      <c r="Q152" t="n">
        <v>2</v>
      </c>
      <c r="R152" s="2" t="inlineStr">
        <is>
          <t>Knärot
Stiftgelélav</t>
        </is>
      </c>
      <c r="S152">
        <f>HYPERLINK("https://klasma.github.io/Logging_2260/artfynd/A 55178-2024 artfynd.xlsx", "A 55178-2024")</f>
        <v/>
      </c>
      <c r="T152">
        <f>HYPERLINK("https://klasma.github.io/Logging_2260/kartor/A 55178-2024 karta.png", "A 55178-2024")</f>
        <v/>
      </c>
      <c r="U152">
        <f>HYPERLINK("https://klasma.github.io/Logging_2260/knärot/A 55178-2024 karta knärot.png", "A 55178-2024")</f>
        <v/>
      </c>
      <c r="V152">
        <f>HYPERLINK("https://klasma.github.io/Logging_2260/klagomål/A 55178-2024 FSC-klagomål.docx", "A 55178-2024")</f>
        <v/>
      </c>
      <c r="W152">
        <f>HYPERLINK("https://klasma.github.io/Logging_2260/klagomålsmail/A 55178-2024 FSC-klagomål mail.docx", "A 55178-2024")</f>
        <v/>
      </c>
      <c r="X152">
        <f>HYPERLINK("https://klasma.github.io/Logging_2260/tillsyn/A 55178-2024 tillsynsbegäran.docx", "A 55178-2024")</f>
        <v/>
      </c>
      <c r="Y152">
        <f>HYPERLINK("https://klasma.github.io/Logging_2260/tillsynsmail/A 55178-2024 tillsynsbegäran mail.docx", "A 55178-2024")</f>
        <v/>
      </c>
    </row>
    <row r="153" ht="15" customHeight="1">
      <c r="A153" t="inlineStr">
        <is>
          <t>A 8324-2025</t>
        </is>
      </c>
      <c r="B153" s="1" t="n">
        <v>45708.63621527778</v>
      </c>
      <c r="C153" s="1" t="n">
        <v>45998</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55591-2021</t>
        </is>
      </c>
      <c r="B154" s="1" t="n">
        <v>44475</v>
      </c>
      <c r="C154" s="1" t="n">
        <v>45998</v>
      </c>
      <c r="D154" t="inlineStr">
        <is>
          <t>VÄSTERNORRLANDS LÄN</t>
        </is>
      </c>
      <c r="E154" t="inlineStr">
        <is>
          <t>ÅNGE</t>
        </is>
      </c>
      <c r="G154" t="n">
        <v>3.6</v>
      </c>
      <c r="H154" t="n">
        <v>0</v>
      </c>
      <c r="I154" t="n">
        <v>0</v>
      </c>
      <c r="J154" t="n">
        <v>2</v>
      </c>
      <c r="K154" t="n">
        <v>0</v>
      </c>
      <c r="L154" t="n">
        <v>0</v>
      </c>
      <c r="M154" t="n">
        <v>0</v>
      </c>
      <c r="N154" t="n">
        <v>0</v>
      </c>
      <c r="O154" t="n">
        <v>2</v>
      </c>
      <c r="P154" t="n">
        <v>0</v>
      </c>
      <c r="Q154" t="n">
        <v>2</v>
      </c>
      <c r="R154" s="2" t="inlineStr">
        <is>
          <t>Kolflarnlav
Skrovlig taggsvamp</t>
        </is>
      </c>
      <c r="S154">
        <f>HYPERLINK("https://klasma.github.io/Logging_2260/artfynd/A 55591-2021 artfynd.xlsx", "A 55591-2021")</f>
        <v/>
      </c>
      <c r="T154">
        <f>HYPERLINK("https://klasma.github.io/Logging_2260/kartor/A 55591-2021 karta.png", "A 55591-2021")</f>
        <v/>
      </c>
      <c r="V154">
        <f>HYPERLINK("https://klasma.github.io/Logging_2260/klagomål/A 55591-2021 FSC-klagomål.docx", "A 55591-2021")</f>
        <v/>
      </c>
      <c r="W154">
        <f>HYPERLINK("https://klasma.github.io/Logging_2260/klagomålsmail/A 55591-2021 FSC-klagomål mail.docx", "A 55591-2021")</f>
        <v/>
      </c>
      <c r="X154">
        <f>HYPERLINK("https://klasma.github.io/Logging_2260/tillsyn/A 55591-2021 tillsynsbegäran.docx", "A 55591-2021")</f>
        <v/>
      </c>
      <c r="Y154">
        <f>HYPERLINK("https://klasma.github.io/Logging_2260/tillsynsmail/A 55591-2021 tillsynsbegäran mail.docx", "A 55591-2021")</f>
        <v/>
      </c>
    </row>
    <row r="155" ht="15" customHeight="1">
      <c r="A155" t="inlineStr">
        <is>
          <t>A 25034-2024</t>
        </is>
      </c>
      <c r="B155" s="1" t="n">
        <v>45461.96458333333</v>
      </c>
      <c r="C155" s="1" t="n">
        <v>45998</v>
      </c>
      <c r="D155" t="inlineStr">
        <is>
          <t>VÄSTERNORRLANDS LÄN</t>
        </is>
      </c>
      <c r="E155" t="inlineStr">
        <is>
          <t>ÅNGE</t>
        </is>
      </c>
      <c r="F155" t="inlineStr">
        <is>
          <t>SCA</t>
        </is>
      </c>
      <c r="G155" t="n">
        <v>3.3</v>
      </c>
      <c r="H155" t="n">
        <v>0</v>
      </c>
      <c r="I155" t="n">
        <v>0</v>
      </c>
      <c r="J155" t="n">
        <v>2</v>
      </c>
      <c r="K155" t="n">
        <v>0</v>
      </c>
      <c r="L155" t="n">
        <v>0</v>
      </c>
      <c r="M155" t="n">
        <v>0</v>
      </c>
      <c r="N155" t="n">
        <v>0</v>
      </c>
      <c r="O155" t="n">
        <v>2</v>
      </c>
      <c r="P155" t="n">
        <v>0</v>
      </c>
      <c r="Q155" t="n">
        <v>2</v>
      </c>
      <c r="R155" s="2" t="inlineStr">
        <is>
          <t>Rosenticka
Ullticka</t>
        </is>
      </c>
      <c r="S155">
        <f>HYPERLINK("https://klasma.github.io/Logging_2260/artfynd/A 25034-2024 artfynd.xlsx", "A 25034-2024")</f>
        <v/>
      </c>
      <c r="T155">
        <f>HYPERLINK("https://klasma.github.io/Logging_2260/kartor/A 25034-2024 karta.png", "A 25034-2024")</f>
        <v/>
      </c>
      <c r="V155">
        <f>HYPERLINK("https://klasma.github.io/Logging_2260/klagomål/A 25034-2024 FSC-klagomål.docx", "A 25034-2024")</f>
        <v/>
      </c>
      <c r="W155">
        <f>HYPERLINK("https://klasma.github.io/Logging_2260/klagomålsmail/A 25034-2024 FSC-klagomål mail.docx", "A 25034-2024")</f>
        <v/>
      </c>
      <c r="X155">
        <f>HYPERLINK("https://klasma.github.io/Logging_2260/tillsyn/A 25034-2024 tillsynsbegäran.docx", "A 25034-2024")</f>
        <v/>
      </c>
      <c r="Y155">
        <f>HYPERLINK("https://klasma.github.io/Logging_2260/tillsynsmail/A 25034-2024 tillsynsbegäran mail.docx", "A 25034-2024")</f>
        <v/>
      </c>
    </row>
    <row r="156" ht="15" customHeight="1">
      <c r="A156" t="inlineStr">
        <is>
          <t>A 57089-2024</t>
        </is>
      </c>
      <c r="B156" s="1" t="n">
        <v>45629.35665509259</v>
      </c>
      <c r="C156" s="1" t="n">
        <v>45998</v>
      </c>
      <c r="D156" t="inlineStr">
        <is>
          <t>VÄSTERNORRLANDS LÄN</t>
        </is>
      </c>
      <c r="E156" t="inlineStr">
        <is>
          <t>ÅNGE</t>
        </is>
      </c>
      <c r="F156" t="inlineStr">
        <is>
          <t>SCA</t>
        </is>
      </c>
      <c r="G156" t="n">
        <v>1.5</v>
      </c>
      <c r="H156" t="n">
        <v>0</v>
      </c>
      <c r="I156" t="n">
        <v>0</v>
      </c>
      <c r="J156" t="n">
        <v>2</v>
      </c>
      <c r="K156" t="n">
        <v>0</v>
      </c>
      <c r="L156" t="n">
        <v>0</v>
      </c>
      <c r="M156" t="n">
        <v>0</v>
      </c>
      <c r="N156" t="n">
        <v>0</v>
      </c>
      <c r="O156" t="n">
        <v>2</v>
      </c>
      <c r="P156" t="n">
        <v>0</v>
      </c>
      <c r="Q156" t="n">
        <v>2</v>
      </c>
      <c r="R156" s="2" t="inlineStr">
        <is>
          <t>Lunglav
Ullticka</t>
        </is>
      </c>
      <c r="S156">
        <f>HYPERLINK("https://klasma.github.io/Logging_2260/artfynd/A 57089-2024 artfynd.xlsx", "A 57089-2024")</f>
        <v/>
      </c>
      <c r="T156">
        <f>HYPERLINK("https://klasma.github.io/Logging_2260/kartor/A 57089-2024 karta.png", "A 57089-2024")</f>
        <v/>
      </c>
      <c r="V156">
        <f>HYPERLINK("https://klasma.github.io/Logging_2260/klagomål/A 57089-2024 FSC-klagomål.docx", "A 57089-2024")</f>
        <v/>
      </c>
      <c r="W156">
        <f>HYPERLINK("https://klasma.github.io/Logging_2260/klagomålsmail/A 57089-2024 FSC-klagomål mail.docx", "A 57089-2024")</f>
        <v/>
      </c>
      <c r="X156">
        <f>HYPERLINK("https://klasma.github.io/Logging_2260/tillsyn/A 57089-2024 tillsynsbegäran.docx", "A 57089-2024")</f>
        <v/>
      </c>
      <c r="Y156">
        <f>HYPERLINK("https://klasma.github.io/Logging_2260/tillsynsmail/A 57089-2024 tillsynsbegäran mail.docx", "A 57089-2024")</f>
        <v/>
      </c>
    </row>
    <row r="157" ht="15" customHeight="1">
      <c r="A157" t="inlineStr">
        <is>
          <t>A 165-2025</t>
        </is>
      </c>
      <c r="B157" s="1" t="n">
        <v>45659</v>
      </c>
      <c r="C157" s="1" t="n">
        <v>45998</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26020-2024</t>
        </is>
      </c>
      <c r="B158" s="1" t="n">
        <v>45467.9603125</v>
      </c>
      <c r="C158" s="1" t="n">
        <v>45998</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21453-2025</t>
        </is>
      </c>
      <c r="B159" s="1" t="n">
        <v>45782.55311342593</v>
      </c>
      <c r="C159" s="1" t="n">
        <v>45998</v>
      </c>
      <c r="D159" t="inlineStr">
        <is>
          <t>VÄSTERNORRLANDS LÄN</t>
        </is>
      </c>
      <c r="E159" t="inlineStr">
        <is>
          <t>ÅNGE</t>
        </is>
      </c>
      <c r="F159" t="inlineStr">
        <is>
          <t>SCA</t>
        </is>
      </c>
      <c r="G159" t="n">
        <v>1</v>
      </c>
      <c r="H159" t="n">
        <v>0</v>
      </c>
      <c r="I159" t="n">
        <v>2</v>
      </c>
      <c r="J159" t="n">
        <v>0</v>
      </c>
      <c r="K159" t="n">
        <v>0</v>
      </c>
      <c r="L159" t="n">
        <v>0</v>
      </c>
      <c r="M159" t="n">
        <v>0</v>
      </c>
      <c r="N159" t="n">
        <v>0</v>
      </c>
      <c r="O159" t="n">
        <v>0</v>
      </c>
      <c r="P159" t="n">
        <v>0</v>
      </c>
      <c r="Q159" t="n">
        <v>2</v>
      </c>
      <c r="R159" s="2" t="inlineStr">
        <is>
          <t>Svart trolldruva
Tibast</t>
        </is>
      </c>
      <c r="S159">
        <f>HYPERLINK("https://klasma.github.io/Logging_2260/artfynd/A 21453-2025 artfynd.xlsx", "A 21453-2025")</f>
        <v/>
      </c>
      <c r="T159">
        <f>HYPERLINK("https://klasma.github.io/Logging_2260/kartor/A 21453-2025 karta.png", "A 21453-2025")</f>
        <v/>
      </c>
      <c r="V159">
        <f>HYPERLINK("https://klasma.github.io/Logging_2260/klagomål/A 21453-2025 FSC-klagomål.docx", "A 21453-2025")</f>
        <v/>
      </c>
      <c r="W159">
        <f>HYPERLINK("https://klasma.github.io/Logging_2260/klagomålsmail/A 21453-2025 FSC-klagomål mail.docx", "A 21453-2025")</f>
        <v/>
      </c>
      <c r="X159">
        <f>HYPERLINK("https://klasma.github.io/Logging_2260/tillsyn/A 21453-2025 tillsynsbegäran.docx", "A 21453-2025")</f>
        <v/>
      </c>
      <c r="Y159">
        <f>HYPERLINK("https://klasma.github.io/Logging_2260/tillsynsmail/A 21453-2025 tillsynsbegäran mail.docx", "A 21453-2025")</f>
        <v/>
      </c>
    </row>
    <row r="160" ht="15" customHeight="1">
      <c r="A160" t="inlineStr">
        <is>
          <t>A 31493-2024</t>
        </is>
      </c>
      <c r="B160" s="1" t="n">
        <v>45505</v>
      </c>
      <c r="C160" s="1" t="n">
        <v>45998</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18081-2025</t>
        </is>
      </c>
      <c r="B161" s="1" t="n">
        <v>45761.51086805556</v>
      </c>
      <c r="C161" s="1" t="n">
        <v>45998</v>
      </c>
      <c r="D161" t="inlineStr">
        <is>
          <t>VÄSTERNORRLANDS LÄN</t>
        </is>
      </c>
      <c r="E161" t="inlineStr">
        <is>
          <t>ÅNGE</t>
        </is>
      </c>
      <c r="F161" t="inlineStr">
        <is>
          <t>SCA</t>
        </is>
      </c>
      <c r="G161" t="n">
        <v>2.6</v>
      </c>
      <c r="H161" t="n">
        <v>1</v>
      </c>
      <c r="I161" t="n">
        <v>1</v>
      </c>
      <c r="J161" t="n">
        <v>0</v>
      </c>
      <c r="K161" t="n">
        <v>1</v>
      </c>
      <c r="L161" t="n">
        <v>0</v>
      </c>
      <c r="M161" t="n">
        <v>0</v>
      </c>
      <c r="N161" t="n">
        <v>0</v>
      </c>
      <c r="O161" t="n">
        <v>1</v>
      </c>
      <c r="P161" t="n">
        <v>1</v>
      </c>
      <c r="Q161" t="n">
        <v>2</v>
      </c>
      <c r="R161" s="2" t="inlineStr">
        <is>
          <t>Knärot
Dropptaggsvamp</t>
        </is>
      </c>
      <c r="S161">
        <f>HYPERLINK("https://klasma.github.io/Logging_2260/artfynd/A 18081-2025 artfynd.xlsx", "A 18081-2025")</f>
        <v/>
      </c>
      <c r="T161">
        <f>HYPERLINK("https://klasma.github.io/Logging_2260/kartor/A 18081-2025 karta.png", "A 18081-2025")</f>
        <v/>
      </c>
      <c r="U161">
        <f>HYPERLINK("https://klasma.github.io/Logging_2260/knärot/A 18081-2025 karta knärot.png", "A 18081-2025")</f>
        <v/>
      </c>
      <c r="V161">
        <f>HYPERLINK("https://klasma.github.io/Logging_2260/klagomål/A 18081-2025 FSC-klagomål.docx", "A 18081-2025")</f>
        <v/>
      </c>
      <c r="W161">
        <f>HYPERLINK("https://klasma.github.io/Logging_2260/klagomålsmail/A 18081-2025 FSC-klagomål mail.docx", "A 18081-2025")</f>
        <v/>
      </c>
      <c r="X161">
        <f>HYPERLINK("https://klasma.github.io/Logging_2260/tillsyn/A 18081-2025 tillsynsbegäran.docx", "A 18081-2025")</f>
        <v/>
      </c>
      <c r="Y161">
        <f>HYPERLINK("https://klasma.github.io/Logging_2260/tillsynsmail/A 18081-2025 tillsynsbegäran mail.docx", "A 18081-2025")</f>
        <v/>
      </c>
    </row>
    <row r="162" ht="15" customHeight="1">
      <c r="A162" t="inlineStr">
        <is>
          <t>A 48374-2024</t>
        </is>
      </c>
      <c r="B162" s="1" t="n">
        <v>45590.58028935185</v>
      </c>
      <c r="C162" s="1" t="n">
        <v>45998</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45998</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45998</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36414-2025</t>
        </is>
      </c>
      <c r="B165" s="1" t="n">
        <v>45868.69246527777</v>
      </c>
      <c r="C165" s="1" t="n">
        <v>45998</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38298-2025</t>
        </is>
      </c>
      <c r="B166" s="1" t="n">
        <v>45883.4568287037</v>
      </c>
      <c r="C166" s="1" t="n">
        <v>45998</v>
      </c>
      <c r="D166" t="inlineStr">
        <is>
          <t>VÄSTERNORRLANDS LÄN</t>
        </is>
      </c>
      <c r="E166" t="inlineStr">
        <is>
          <t>ÅNGE</t>
        </is>
      </c>
      <c r="G166" t="n">
        <v>4.5</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38298-2025 artfynd.xlsx", "A 38298-2025")</f>
        <v/>
      </c>
      <c r="T166">
        <f>HYPERLINK("https://klasma.github.io/Logging_2260/kartor/A 38298-2025 karta.png", "A 38298-2025")</f>
        <v/>
      </c>
      <c r="V166">
        <f>HYPERLINK("https://klasma.github.io/Logging_2260/klagomål/A 38298-2025 FSC-klagomål.docx", "A 38298-2025")</f>
        <v/>
      </c>
      <c r="W166">
        <f>HYPERLINK("https://klasma.github.io/Logging_2260/klagomålsmail/A 38298-2025 FSC-klagomål mail.docx", "A 38298-2025")</f>
        <v/>
      </c>
      <c r="X166">
        <f>HYPERLINK("https://klasma.github.io/Logging_2260/tillsyn/A 38298-2025 tillsynsbegäran.docx", "A 38298-2025")</f>
        <v/>
      </c>
      <c r="Y166">
        <f>HYPERLINK("https://klasma.github.io/Logging_2260/tillsynsmail/A 38298-2025 tillsynsbegäran mail.docx", "A 38298-2025")</f>
        <v/>
      </c>
    </row>
    <row r="167" ht="15" customHeight="1">
      <c r="A167" t="inlineStr">
        <is>
          <t>A 37800-2025</t>
        </is>
      </c>
      <c r="B167" s="1" t="n">
        <v>45881.34420138889</v>
      </c>
      <c r="C167" s="1" t="n">
        <v>45998</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42864-2025</t>
        </is>
      </c>
      <c r="B168" s="1" t="n">
        <v>45908</v>
      </c>
      <c r="C168" s="1" t="n">
        <v>45998</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24176-2025</t>
        </is>
      </c>
      <c r="B169" s="1" t="n">
        <v>45796.69832175926</v>
      </c>
      <c r="C169" s="1" t="n">
        <v>45998</v>
      </c>
      <c r="D169" t="inlineStr">
        <is>
          <t>VÄSTERNORRLANDS LÄN</t>
        </is>
      </c>
      <c r="E169" t="inlineStr">
        <is>
          <t>ÅNGE</t>
        </is>
      </c>
      <c r="F169" t="inlineStr">
        <is>
          <t>SCA</t>
        </is>
      </c>
      <c r="G169" t="n">
        <v>3.9</v>
      </c>
      <c r="H169" t="n">
        <v>0</v>
      </c>
      <c r="I169" t="n">
        <v>1</v>
      </c>
      <c r="J169" t="n">
        <v>1</v>
      </c>
      <c r="K169" t="n">
        <v>0</v>
      </c>
      <c r="L169" t="n">
        <v>0</v>
      </c>
      <c r="M169" t="n">
        <v>0</v>
      </c>
      <c r="N169" t="n">
        <v>0</v>
      </c>
      <c r="O169" t="n">
        <v>1</v>
      </c>
      <c r="P169" t="n">
        <v>0</v>
      </c>
      <c r="Q169" t="n">
        <v>2</v>
      </c>
      <c r="R169" s="2" t="inlineStr">
        <is>
          <t>Vitgrynig nållav
Vedticka</t>
        </is>
      </c>
      <c r="S169">
        <f>HYPERLINK("https://klasma.github.io/Logging_2260/artfynd/A 24176-2025 artfynd.xlsx", "A 24176-2025")</f>
        <v/>
      </c>
      <c r="T169">
        <f>HYPERLINK("https://klasma.github.io/Logging_2260/kartor/A 24176-2025 karta.png", "A 24176-2025")</f>
        <v/>
      </c>
      <c r="V169">
        <f>HYPERLINK("https://klasma.github.io/Logging_2260/klagomål/A 24176-2025 FSC-klagomål.docx", "A 24176-2025")</f>
        <v/>
      </c>
      <c r="W169">
        <f>HYPERLINK("https://klasma.github.io/Logging_2260/klagomålsmail/A 24176-2025 FSC-klagomål mail.docx", "A 24176-2025")</f>
        <v/>
      </c>
      <c r="X169">
        <f>HYPERLINK("https://klasma.github.io/Logging_2260/tillsyn/A 24176-2025 tillsynsbegäran.docx", "A 24176-2025")</f>
        <v/>
      </c>
      <c r="Y169">
        <f>HYPERLINK("https://klasma.github.io/Logging_2260/tillsynsmail/A 24176-2025 tillsynsbegäran mail.docx", "A 24176-2025")</f>
        <v/>
      </c>
    </row>
    <row r="170" ht="15" customHeight="1">
      <c r="A170" t="inlineStr">
        <is>
          <t>A 43721-2025</t>
        </is>
      </c>
      <c r="B170" s="1" t="n">
        <v>45912.42800925926</v>
      </c>
      <c r="C170" s="1" t="n">
        <v>45998</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26906-2025</t>
        </is>
      </c>
      <c r="B171" s="1" t="n">
        <v>45811.34552083333</v>
      </c>
      <c r="C171" s="1" t="n">
        <v>45998</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54625-2025</t>
        </is>
      </c>
      <c r="B172" s="1" t="n">
        <v>45966.34552083333</v>
      </c>
      <c r="C172" s="1" t="n">
        <v>45998</v>
      </c>
      <c r="D172" t="inlineStr">
        <is>
          <t>VÄSTERNORRLANDS LÄN</t>
        </is>
      </c>
      <c r="E172" t="inlineStr">
        <is>
          <t>ÅNGE</t>
        </is>
      </c>
      <c r="F172" t="inlineStr">
        <is>
          <t>SCA</t>
        </is>
      </c>
      <c r="G172" t="n">
        <v>2.5</v>
      </c>
      <c r="H172" t="n">
        <v>1</v>
      </c>
      <c r="I172" t="n">
        <v>1</v>
      </c>
      <c r="J172" t="n">
        <v>1</v>
      </c>
      <c r="K172" t="n">
        <v>0</v>
      </c>
      <c r="L172" t="n">
        <v>0</v>
      </c>
      <c r="M172" t="n">
        <v>0</v>
      </c>
      <c r="N172" t="n">
        <v>0</v>
      </c>
      <c r="O172" t="n">
        <v>1</v>
      </c>
      <c r="P172" t="n">
        <v>0</v>
      </c>
      <c r="Q172" t="n">
        <v>2</v>
      </c>
      <c r="R172" s="2" t="inlineStr">
        <is>
          <t>Talltita
Dropptaggsvamp</t>
        </is>
      </c>
      <c r="S172">
        <f>HYPERLINK("https://klasma.github.io/Logging_2260/artfynd/A 54625-2025 artfynd.xlsx", "A 54625-2025")</f>
        <v/>
      </c>
      <c r="T172">
        <f>HYPERLINK("https://klasma.github.io/Logging_2260/kartor/A 54625-2025 karta.png", "A 54625-2025")</f>
        <v/>
      </c>
      <c r="V172">
        <f>HYPERLINK("https://klasma.github.io/Logging_2260/klagomål/A 54625-2025 FSC-klagomål.docx", "A 54625-2025")</f>
        <v/>
      </c>
      <c r="W172">
        <f>HYPERLINK("https://klasma.github.io/Logging_2260/klagomålsmail/A 54625-2025 FSC-klagomål mail.docx", "A 54625-2025")</f>
        <v/>
      </c>
      <c r="X172">
        <f>HYPERLINK("https://klasma.github.io/Logging_2260/tillsyn/A 54625-2025 tillsynsbegäran.docx", "A 54625-2025")</f>
        <v/>
      </c>
      <c r="Y172">
        <f>HYPERLINK("https://klasma.github.io/Logging_2260/tillsynsmail/A 54625-2025 tillsynsbegäran mail.docx", "A 54625-2025")</f>
        <v/>
      </c>
      <c r="Z172">
        <f>HYPERLINK("https://klasma.github.io/Logging_2260/fåglar/A 54625-2025 prioriterade fågelarter.docx", "A 54625-2025")</f>
        <v/>
      </c>
    </row>
    <row r="173" ht="15" customHeight="1">
      <c r="A173" t="inlineStr">
        <is>
          <t>A 47719-2024</t>
        </is>
      </c>
      <c r="B173" s="1" t="n">
        <v>45588.48996527777</v>
      </c>
      <c r="C173" s="1" t="n">
        <v>45998</v>
      </c>
      <c r="D173" t="inlineStr">
        <is>
          <t>VÄSTERNORRLANDS LÄN</t>
        </is>
      </c>
      <c r="E173" t="inlineStr">
        <is>
          <t>ÅNGE</t>
        </is>
      </c>
      <c r="F173" t="inlineStr">
        <is>
          <t>SCA</t>
        </is>
      </c>
      <c r="G173" t="n">
        <v>1.4</v>
      </c>
      <c r="H173" t="n">
        <v>0</v>
      </c>
      <c r="I173" t="n">
        <v>0</v>
      </c>
      <c r="J173" t="n">
        <v>2</v>
      </c>
      <c r="K173" t="n">
        <v>0</v>
      </c>
      <c r="L173" t="n">
        <v>0</v>
      </c>
      <c r="M173" t="n">
        <v>0</v>
      </c>
      <c r="N173" t="n">
        <v>0</v>
      </c>
      <c r="O173" t="n">
        <v>2</v>
      </c>
      <c r="P173" t="n">
        <v>0</v>
      </c>
      <c r="Q173" t="n">
        <v>2</v>
      </c>
      <c r="R173" s="2" t="inlineStr">
        <is>
          <t>Dvärgbägarlav
Vedskivlav</t>
        </is>
      </c>
      <c r="S173">
        <f>HYPERLINK("https://klasma.github.io/Logging_2260/artfynd/A 47719-2024 artfynd.xlsx", "A 47719-2024")</f>
        <v/>
      </c>
      <c r="T173">
        <f>HYPERLINK("https://klasma.github.io/Logging_2260/kartor/A 47719-2024 karta.png", "A 47719-2024")</f>
        <v/>
      </c>
      <c r="V173">
        <f>HYPERLINK("https://klasma.github.io/Logging_2260/klagomål/A 47719-2024 FSC-klagomål.docx", "A 47719-2024")</f>
        <v/>
      </c>
      <c r="W173">
        <f>HYPERLINK("https://klasma.github.io/Logging_2260/klagomålsmail/A 47719-2024 FSC-klagomål mail.docx", "A 47719-2024")</f>
        <v/>
      </c>
      <c r="X173">
        <f>HYPERLINK("https://klasma.github.io/Logging_2260/tillsyn/A 47719-2024 tillsynsbegäran.docx", "A 47719-2024")</f>
        <v/>
      </c>
      <c r="Y173">
        <f>HYPERLINK("https://klasma.github.io/Logging_2260/tillsynsmail/A 47719-2024 tillsynsbegäran mail.docx", "A 47719-2024")</f>
        <v/>
      </c>
    </row>
    <row r="174" ht="15" customHeight="1">
      <c r="A174" t="inlineStr">
        <is>
          <t>A 57594-2022</t>
        </is>
      </c>
      <c r="B174" s="1" t="n">
        <v>44896.97854166666</v>
      </c>
      <c r="C174" s="1" t="n">
        <v>45998</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44896.97878472223</v>
      </c>
      <c r="C175" s="1" t="n">
        <v>45998</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32659-2024</t>
        </is>
      </c>
      <c r="B176" s="1" t="n">
        <v>45513</v>
      </c>
      <c r="C176" s="1" t="n">
        <v>45998</v>
      </c>
      <c r="D176" t="inlineStr">
        <is>
          <t>VÄSTERNORRLANDS LÄN</t>
        </is>
      </c>
      <c r="E176" t="inlineStr">
        <is>
          <t>ÅNGE</t>
        </is>
      </c>
      <c r="F176" t="inlineStr">
        <is>
          <t>SCA</t>
        </is>
      </c>
      <c r="G176" t="n">
        <v>6.9</v>
      </c>
      <c r="H176" t="n">
        <v>0</v>
      </c>
      <c r="I176" t="n">
        <v>0</v>
      </c>
      <c r="J176" t="n">
        <v>2</v>
      </c>
      <c r="K176" t="n">
        <v>0</v>
      </c>
      <c r="L176" t="n">
        <v>0</v>
      </c>
      <c r="M176" t="n">
        <v>0</v>
      </c>
      <c r="N176" t="n">
        <v>0</v>
      </c>
      <c r="O176" t="n">
        <v>2</v>
      </c>
      <c r="P176" t="n">
        <v>0</v>
      </c>
      <c r="Q176" t="n">
        <v>2</v>
      </c>
      <c r="R176" s="2" t="inlineStr">
        <is>
          <t>Lunglav
Stjärntagging</t>
        </is>
      </c>
      <c r="S176">
        <f>HYPERLINK("https://klasma.github.io/Logging_2260/artfynd/A 32659-2024 artfynd.xlsx", "A 32659-2024")</f>
        <v/>
      </c>
      <c r="T176">
        <f>HYPERLINK("https://klasma.github.io/Logging_2260/kartor/A 32659-2024 karta.png", "A 32659-2024")</f>
        <v/>
      </c>
      <c r="V176">
        <f>HYPERLINK("https://klasma.github.io/Logging_2260/klagomål/A 32659-2024 FSC-klagomål.docx", "A 32659-2024")</f>
        <v/>
      </c>
      <c r="W176">
        <f>HYPERLINK("https://klasma.github.io/Logging_2260/klagomålsmail/A 32659-2024 FSC-klagomål mail.docx", "A 32659-2024")</f>
        <v/>
      </c>
      <c r="X176">
        <f>HYPERLINK("https://klasma.github.io/Logging_2260/tillsyn/A 32659-2024 tillsynsbegäran.docx", "A 32659-2024")</f>
        <v/>
      </c>
      <c r="Y176">
        <f>HYPERLINK("https://klasma.github.io/Logging_2260/tillsynsmail/A 32659-2024 tillsynsbegäran mail.docx", "A 32659-2024")</f>
        <v/>
      </c>
    </row>
    <row r="177" ht="15" customHeight="1">
      <c r="A177" t="inlineStr">
        <is>
          <t>A 20367-2022</t>
        </is>
      </c>
      <c r="B177" s="1" t="n">
        <v>44699</v>
      </c>
      <c r="C177" s="1" t="n">
        <v>45998</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45998</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45998</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45998</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45998</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45998</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45998</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29327-2023</t>
        </is>
      </c>
      <c r="B184" s="1" t="n">
        <v>45105.94349537037</v>
      </c>
      <c r="C184" s="1" t="n">
        <v>45998</v>
      </c>
      <c r="D184" t="inlineStr">
        <is>
          <t>VÄSTERNORRLANDS LÄN</t>
        </is>
      </c>
      <c r="E184" t="inlineStr">
        <is>
          <t>ÅNGE</t>
        </is>
      </c>
      <c r="G184" t="n">
        <v>7.8</v>
      </c>
      <c r="H184" t="n">
        <v>0</v>
      </c>
      <c r="I184" t="n">
        <v>0</v>
      </c>
      <c r="J184" t="n">
        <v>1</v>
      </c>
      <c r="K184" t="n">
        <v>0</v>
      </c>
      <c r="L184" t="n">
        <v>0</v>
      </c>
      <c r="M184" t="n">
        <v>0</v>
      </c>
      <c r="N184" t="n">
        <v>0</v>
      </c>
      <c r="O184" t="n">
        <v>1</v>
      </c>
      <c r="P184" t="n">
        <v>0</v>
      </c>
      <c r="Q184" t="n">
        <v>1</v>
      </c>
      <c r="R184" s="2" t="inlineStr">
        <is>
          <t>Mörk kolflarnlav</t>
        </is>
      </c>
      <c r="S184">
        <f>HYPERLINK("https://klasma.github.io/Logging_2260/artfynd/A 29327-2023 artfynd.xlsx", "A 29327-2023")</f>
        <v/>
      </c>
      <c r="T184">
        <f>HYPERLINK("https://klasma.github.io/Logging_2260/kartor/A 29327-2023 karta.png", "A 29327-2023")</f>
        <v/>
      </c>
      <c r="V184">
        <f>HYPERLINK("https://klasma.github.io/Logging_2260/klagomål/A 29327-2023 FSC-klagomål.docx", "A 29327-2023")</f>
        <v/>
      </c>
      <c r="W184">
        <f>HYPERLINK("https://klasma.github.io/Logging_2260/klagomålsmail/A 29327-2023 FSC-klagomål mail.docx", "A 29327-2023")</f>
        <v/>
      </c>
      <c r="X184">
        <f>HYPERLINK("https://klasma.github.io/Logging_2260/tillsyn/A 29327-2023 tillsynsbegäran.docx", "A 29327-2023")</f>
        <v/>
      </c>
      <c r="Y184">
        <f>HYPERLINK("https://klasma.github.io/Logging_2260/tillsynsmail/A 29327-2023 tillsynsbegäran mail.docx", "A 29327-2023")</f>
        <v/>
      </c>
    </row>
    <row r="185" ht="15" customHeight="1">
      <c r="A185" t="inlineStr">
        <is>
          <t>A 43171-2024</t>
        </is>
      </c>
      <c r="B185" s="1" t="n">
        <v>45567</v>
      </c>
      <c r="C185" s="1" t="n">
        <v>45998</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24798-2024</t>
        </is>
      </c>
      <c r="B186" s="1" t="n">
        <v>45460.95277777778</v>
      </c>
      <c r="C186" s="1" t="n">
        <v>45998</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45998</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13934-2024</t>
        </is>
      </c>
      <c r="B188" s="1" t="n">
        <v>45391</v>
      </c>
      <c r="C188" s="1" t="n">
        <v>45998</v>
      </c>
      <c r="D188" t="inlineStr">
        <is>
          <t>VÄSTERNORRLANDS LÄN</t>
        </is>
      </c>
      <c r="E188" t="inlineStr">
        <is>
          <t>ÅNGE</t>
        </is>
      </c>
      <c r="F188" t="inlineStr">
        <is>
          <t>SCA</t>
        </is>
      </c>
      <c r="G188" t="n">
        <v>5.8</v>
      </c>
      <c r="H188" t="n">
        <v>0</v>
      </c>
      <c r="I188" t="n">
        <v>0</v>
      </c>
      <c r="J188" t="n">
        <v>1</v>
      </c>
      <c r="K188" t="n">
        <v>0</v>
      </c>
      <c r="L188" t="n">
        <v>0</v>
      </c>
      <c r="M188" t="n">
        <v>0</v>
      </c>
      <c r="N188" t="n">
        <v>0</v>
      </c>
      <c r="O188" t="n">
        <v>1</v>
      </c>
      <c r="P188" t="n">
        <v>0</v>
      </c>
      <c r="Q188" t="n">
        <v>1</v>
      </c>
      <c r="R188" s="2" t="inlineStr">
        <is>
          <t>Ullticka</t>
        </is>
      </c>
      <c r="S188">
        <f>HYPERLINK("https://klasma.github.io/Logging_2260/artfynd/A 13934-2024 artfynd.xlsx", "A 13934-2024")</f>
        <v/>
      </c>
      <c r="T188">
        <f>HYPERLINK("https://klasma.github.io/Logging_2260/kartor/A 13934-2024 karta.png", "A 13934-2024")</f>
        <v/>
      </c>
      <c r="V188">
        <f>HYPERLINK("https://klasma.github.io/Logging_2260/klagomål/A 13934-2024 FSC-klagomål.docx", "A 13934-2024")</f>
        <v/>
      </c>
      <c r="W188">
        <f>HYPERLINK("https://klasma.github.io/Logging_2260/klagomålsmail/A 13934-2024 FSC-klagomål mail.docx", "A 13934-2024")</f>
        <v/>
      </c>
      <c r="X188">
        <f>HYPERLINK("https://klasma.github.io/Logging_2260/tillsyn/A 13934-2024 tillsynsbegäran.docx", "A 13934-2024")</f>
        <v/>
      </c>
      <c r="Y188">
        <f>HYPERLINK("https://klasma.github.io/Logging_2260/tillsynsmail/A 13934-2024 tillsynsbegäran mail.docx", "A 13934-2024")</f>
        <v/>
      </c>
    </row>
    <row r="189" ht="15" customHeight="1">
      <c r="A189" t="inlineStr">
        <is>
          <t>A 30774-2024</t>
        </is>
      </c>
      <c r="B189" s="1" t="n">
        <v>45496.949375</v>
      </c>
      <c r="C189" s="1" t="n">
        <v>45998</v>
      </c>
      <c r="D189" t="inlineStr">
        <is>
          <t>VÄSTERNORRLANDS LÄN</t>
        </is>
      </c>
      <c r="E189" t="inlineStr">
        <is>
          <t>ÅNGE</t>
        </is>
      </c>
      <c r="F189" t="inlineStr">
        <is>
          <t>SCA</t>
        </is>
      </c>
      <c r="G189" t="n">
        <v>2.2</v>
      </c>
      <c r="H189" t="n">
        <v>1</v>
      </c>
      <c r="I189" t="n">
        <v>0</v>
      </c>
      <c r="J189" t="n">
        <v>0</v>
      </c>
      <c r="K189" t="n">
        <v>0</v>
      </c>
      <c r="L189" t="n">
        <v>0</v>
      </c>
      <c r="M189" t="n">
        <v>0</v>
      </c>
      <c r="N189" t="n">
        <v>0</v>
      </c>
      <c r="O189" t="n">
        <v>0</v>
      </c>
      <c r="P189" t="n">
        <v>0</v>
      </c>
      <c r="Q189" t="n">
        <v>1</v>
      </c>
      <c r="R189" s="2" t="inlineStr">
        <is>
          <t>Tjäder</t>
        </is>
      </c>
      <c r="S189">
        <f>HYPERLINK("https://klasma.github.io/Logging_2260/artfynd/A 30774-2024 artfynd.xlsx", "A 30774-2024")</f>
        <v/>
      </c>
      <c r="T189">
        <f>HYPERLINK("https://klasma.github.io/Logging_2260/kartor/A 30774-2024 karta.png", "A 30774-2024")</f>
        <v/>
      </c>
      <c r="V189">
        <f>HYPERLINK("https://klasma.github.io/Logging_2260/klagomål/A 30774-2024 FSC-klagomål.docx", "A 30774-2024")</f>
        <v/>
      </c>
      <c r="W189">
        <f>HYPERLINK("https://klasma.github.io/Logging_2260/klagomålsmail/A 30774-2024 FSC-klagomål mail.docx", "A 30774-2024")</f>
        <v/>
      </c>
      <c r="X189">
        <f>HYPERLINK("https://klasma.github.io/Logging_2260/tillsyn/A 30774-2024 tillsynsbegäran.docx", "A 30774-2024")</f>
        <v/>
      </c>
      <c r="Y189">
        <f>HYPERLINK("https://klasma.github.io/Logging_2260/tillsynsmail/A 30774-2024 tillsynsbegäran mail.docx", "A 30774-2024")</f>
        <v/>
      </c>
      <c r="Z189">
        <f>HYPERLINK("https://klasma.github.io/Logging_2260/fåglar/A 30774-2024 prioriterade fågelarter.docx", "A 30774-2024")</f>
        <v/>
      </c>
    </row>
    <row r="190" ht="15" customHeight="1">
      <c r="A190" t="inlineStr">
        <is>
          <t>A 31544-2024</t>
        </is>
      </c>
      <c r="B190" s="1" t="n">
        <v>45505</v>
      </c>
      <c r="C190" s="1" t="n">
        <v>45998</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64510-2023</t>
        </is>
      </c>
      <c r="B191" s="1" t="n">
        <v>45281</v>
      </c>
      <c r="C191" s="1" t="n">
        <v>45998</v>
      </c>
      <c r="D191" t="inlineStr">
        <is>
          <t>VÄSTERNORRLANDS LÄN</t>
        </is>
      </c>
      <c r="E191" t="inlineStr">
        <is>
          <t>ÅNGE</t>
        </is>
      </c>
      <c r="G191" t="n">
        <v>3.7</v>
      </c>
      <c r="H191" t="n">
        <v>0</v>
      </c>
      <c r="I191" t="n">
        <v>1</v>
      </c>
      <c r="J191" t="n">
        <v>0</v>
      </c>
      <c r="K191" t="n">
        <v>0</v>
      </c>
      <c r="L191" t="n">
        <v>0</v>
      </c>
      <c r="M191" t="n">
        <v>0</v>
      </c>
      <c r="N191" t="n">
        <v>0</v>
      </c>
      <c r="O191" t="n">
        <v>0</v>
      </c>
      <c r="P191" t="n">
        <v>0</v>
      </c>
      <c r="Q191" t="n">
        <v>1</v>
      </c>
      <c r="R191" s="2" t="inlineStr">
        <is>
          <t>Dropptaggsvamp</t>
        </is>
      </c>
      <c r="S191">
        <f>HYPERLINK("https://klasma.github.io/Logging_2260/artfynd/A 64510-2023 artfynd.xlsx", "A 64510-2023")</f>
        <v/>
      </c>
      <c r="T191">
        <f>HYPERLINK("https://klasma.github.io/Logging_2260/kartor/A 64510-2023 karta.png", "A 64510-2023")</f>
        <v/>
      </c>
      <c r="V191">
        <f>HYPERLINK("https://klasma.github.io/Logging_2260/klagomål/A 64510-2023 FSC-klagomål.docx", "A 64510-2023")</f>
        <v/>
      </c>
      <c r="W191">
        <f>HYPERLINK("https://klasma.github.io/Logging_2260/klagomålsmail/A 64510-2023 FSC-klagomål mail.docx", "A 64510-2023")</f>
        <v/>
      </c>
      <c r="X191">
        <f>HYPERLINK("https://klasma.github.io/Logging_2260/tillsyn/A 64510-2023 tillsynsbegäran.docx", "A 64510-2023")</f>
        <v/>
      </c>
      <c r="Y191">
        <f>HYPERLINK("https://klasma.github.io/Logging_2260/tillsynsmail/A 64510-2023 tillsynsbegäran mail.docx", "A 64510-2023")</f>
        <v/>
      </c>
    </row>
    <row r="192" ht="15" customHeight="1">
      <c r="A192" t="inlineStr">
        <is>
          <t>A 38603-2024</t>
        </is>
      </c>
      <c r="B192" s="1" t="n">
        <v>45546</v>
      </c>
      <c r="C192" s="1" t="n">
        <v>45998</v>
      </c>
      <c r="D192" t="inlineStr">
        <is>
          <t>VÄSTERNORRLANDS LÄN</t>
        </is>
      </c>
      <c r="E192" t="inlineStr">
        <is>
          <t>ÅNGE</t>
        </is>
      </c>
      <c r="F192" t="inlineStr">
        <is>
          <t>SCA</t>
        </is>
      </c>
      <c r="G192" t="n">
        <v>5.6</v>
      </c>
      <c r="H192" t="n">
        <v>0</v>
      </c>
      <c r="I192" t="n">
        <v>0</v>
      </c>
      <c r="J192" t="n">
        <v>0</v>
      </c>
      <c r="K192" t="n">
        <v>1</v>
      </c>
      <c r="L192" t="n">
        <v>0</v>
      </c>
      <c r="M192" t="n">
        <v>0</v>
      </c>
      <c r="N192" t="n">
        <v>0</v>
      </c>
      <c r="O192" t="n">
        <v>1</v>
      </c>
      <c r="P192" t="n">
        <v>1</v>
      </c>
      <c r="Q192" t="n">
        <v>1</v>
      </c>
      <c r="R192" s="2" t="inlineStr">
        <is>
          <t>Rynkskinn</t>
        </is>
      </c>
      <c r="S192">
        <f>HYPERLINK("https://klasma.github.io/Logging_2260/artfynd/A 38603-2024 artfynd.xlsx", "A 38603-2024")</f>
        <v/>
      </c>
      <c r="T192">
        <f>HYPERLINK("https://klasma.github.io/Logging_2260/kartor/A 38603-2024 karta.png", "A 38603-2024")</f>
        <v/>
      </c>
      <c r="V192">
        <f>HYPERLINK("https://klasma.github.io/Logging_2260/klagomål/A 38603-2024 FSC-klagomål.docx", "A 38603-2024")</f>
        <v/>
      </c>
      <c r="W192">
        <f>HYPERLINK("https://klasma.github.io/Logging_2260/klagomålsmail/A 38603-2024 FSC-klagomål mail.docx", "A 38603-2024")</f>
        <v/>
      </c>
      <c r="X192">
        <f>HYPERLINK("https://klasma.github.io/Logging_2260/tillsyn/A 38603-2024 tillsynsbegäran.docx", "A 38603-2024")</f>
        <v/>
      </c>
      <c r="Y192">
        <f>HYPERLINK("https://klasma.github.io/Logging_2260/tillsynsmail/A 38603-2024 tillsynsbegäran mail.docx", "A 38603-2024")</f>
        <v/>
      </c>
    </row>
    <row r="193" ht="15" customHeight="1">
      <c r="A193" t="inlineStr">
        <is>
          <t>A 20192-2025</t>
        </is>
      </c>
      <c r="B193" s="1" t="n">
        <v>45772.60177083333</v>
      </c>
      <c r="C193" s="1" t="n">
        <v>45998</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71366-2021</t>
        </is>
      </c>
      <c r="B194" s="1" t="n">
        <v>44539</v>
      </c>
      <c r="C194" s="1" t="n">
        <v>45998</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34696-2024</t>
        </is>
      </c>
      <c r="B195" s="1" t="n">
        <v>45526</v>
      </c>
      <c r="C195" s="1" t="n">
        <v>45998</v>
      </c>
      <c r="D195" t="inlineStr">
        <is>
          <t>VÄSTERNORRLANDS LÄN</t>
        </is>
      </c>
      <c r="E195" t="inlineStr">
        <is>
          <t>ÅNGE</t>
        </is>
      </c>
      <c r="G195" t="n">
        <v>3.6</v>
      </c>
      <c r="H195" t="n">
        <v>1</v>
      </c>
      <c r="I195" t="n">
        <v>0</v>
      </c>
      <c r="J195" t="n">
        <v>0</v>
      </c>
      <c r="K195" t="n">
        <v>0</v>
      </c>
      <c r="L195" t="n">
        <v>0</v>
      </c>
      <c r="M195" t="n">
        <v>0</v>
      </c>
      <c r="N195" t="n">
        <v>0</v>
      </c>
      <c r="O195" t="n">
        <v>0</v>
      </c>
      <c r="P195" t="n">
        <v>0</v>
      </c>
      <c r="Q195" t="n">
        <v>1</v>
      </c>
      <c r="R195" s="2" t="inlineStr">
        <is>
          <t>Revlummer</t>
        </is>
      </c>
      <c r="S195">
        <f>HYPERLINK("https://klasma.github.io/Logging_2260/artfynd/A 34696-2024 artfynd.xlsx", "A 34696-2024")</f>
        <v/>
      </c>
      <c r="T195">
        <f>HYPERLINK("https://klasma.github.io/Logging_2260/kartor/A 34696-2024 karta.png", "A 34696-2024")</f>
        <v/>
      </c>
      <c r="V195">
        <f>HYPERLINK("https://klasma.github.io/Logging_2260/klagomål/A 34696-2024 FSC-klagomål.docx", "A 34696-2024")</f>
        <v/>
      </c>
      <c r="W195">
        <f>HYPERLINK("https://klasma.github.io/Logging_2260/klagomålsmail/A 34696-2024 FSC-klagomål mail.docx", "A 34696-2024")</f>
        <v/>
      </c>
      <c r="X195">
        <f>HYPERLINK("https://klasma.github.io/Logging_2260/tillsyn/A 34696-2024 tillsynsbegäran.docx", "A 34696-2024")</f>
        <v/>
      </c>
      <c r="Y195">
        <f>HYPERLINK("https://klasma.github.io/Logging_2260/tillsynsmail/A 34696-2024 tillsynsbegäran mail.docx", "A 34696-2024")</f>
        <v/>
      </c>
    </row>
    <row r="196" ht="15" customHeight="1">
      <c r="A196" t="inlineStr">
        <is>
          <t>A 41493-2021</t>
        </is>
      </c>
      <c r="B196" s="1" t="n">
        <v>44424</v>
      </c>
      <c r="C196" s="1" t="n">
        <v>45998</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56091-2024</t>
        </is>
      </c>
      <c r="B197" s="1" t="n">
        <v>45624.40678240741</v>
      </c>
      <c r="C197" s="1" t="n">
        <v>45998</v>
      </c>
      <c r="D197" t="inlineStr">
        <is>
          <t>VÄSTERNORRLANDS LÄN</t>
        </is>
      </c>
      <c r="E197" t="inlineStr">
        <is>
          <t>ÅNGE</t>
        </is>
      </c>
      <c r="F197" t="inlineStr">
        <is>
          <t>SCA</t>
        </is>
      </c>
      <c r="G197" t="n">
        <v>2.5</v>
      </c>
      <c r="H197" t="n">
        <v>0</v>
      </c>
      <c r="I197" t="n">
        <v>0</v>
      </c>
      <c r="J197" t="n">
        <v>1</v>
      </c>
      <c r="K197" t="n">
        <v>0</v>
      </c>
      <c r="L197" t="n">
        <v>0</v>
      </c>
      <c r="M197" t="n">
        <v>0</v>
      </c>
      <c r="N197" t="n">
        <v>0</v>
      </c>
      <c r="O197" t="n">
        <v>1</v>
      </c>
      <c r="P197" t="n">
        <v>0</v>
      </c>
      <c r="Q197" t="n">
        <v>1</v>
      </c>
      <c r="R197" s="2" t="inlineStr">
        <is>
          <t>Mörk kolflarnlav</t>
        </is>
      </c>
      <c r="S197">
        <f>HYPERLINK("https://klasma.github.io/Logging_2260/artfynd/A 56091-2024 artfynd.xlsx", "A 56091-2024")</f>
        <v/>
      </c>
      <c r="T197">
        <f>HYPERLINK("https://klasma.github.io/Logging_2260/kartor/A 56091-2024 karta.png", "A 56091-2024")</f>
        <v/>
      </c>
      <c r="V197">
        <f>HYPERLINK("https://klasma.github.io/Logging_2260/klagomål/A 56091-2024 FSC-klagomål.docx", "A 56091-2024")</f>
        <v/>
      </c>
      <c r="W197">
        <f>HYPERLINK("https://klasma.github.io/Logging_2260/klagomålsmail/A 56091-2024 FSC-klagomål mail.docx", "A 56091-2024")</f>
        <v/>
      </c>
      <c r="X197">
        <f>HYPERLINK("https://klasma.github.io/Logging_2260/tillsyn/A 56091-2024 tillsynsbegäran.docx", "A 56091-2024")</f>
        <v/>
      </c>
      <c r="Y197">
        <f>HYPERLINK("https://klasma.github.io/Logging_2260/tillsynsmail/A 56091-2024 tillsynsbegäran mail.docx", "A 56091-2024")</f>
        <v/>
      </c>
    </row>
    <row r="198" ht="15" customHeight="1">
      <c r="A198" t="inlineStr">
        <is>
          <t>A 25705-2024</t>
        </is>
      </c>
      <c r="B198" s="1" t="n">
        <v>45463.9428587963</v>
      </c>
      <c r="C198" s="1" t="n">
        <v>45998</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31878-2024</t>
        </is>
      </c>
      <c r="B199" s="1" t="n">
        <v>45509</v>
      </c>
      <c r="C199" s="1" t="n">
        <v>45998</v>
      </c>
      <c r="D199" t="inlineStr">
        <is>
          <t>VÄSTERNORRLANDS LÄN</t>
        </is>
      </c>
      <c r="E199" t="inlineStr">
        <is>
          <t>ÅNGE</t>
        </is>
      </c>
      <c r="F199" t="inlineStr">
        <is>
          <t>SCA</t>
        </is>
      </c>
      <c r="G199" t="n">
        <v>5.1</v>
      </c>
      <c r="H199" t="n">
        <v>0</v>
      </c>
      <c r="I199" t="n">
        <v>1</v>
      </c>
      <c r="J199" t="n">
        <v>0</v>
      </c>
      <c r="K199" t="n">
        <v>0</v>
      </c>
      <c r="L199" t="n">
        <v>0</v>
      </c>
      <c r="M199" t="n">
        <v>0</v>
      </c>
      <c r="N199" t="n">
        <v>0</v>
      </c>
      <c r="O199" t="n">
        <v>0</v>
      </c>
      <c r="P199" t="n">
        <v>0</v>
      </c>
      <c r="Q199" t="n">
        <v>1</v>
      </c>
      <c r="R199" s="2" t="inlineStr">
        <is>
          <t>Grönpyrola</t>
        </is>
      </c>
      <c r="S199">
        <f>HYPERLINK("https://klasma.github.io/Logging_2260/artfynd/A 31878-2024 artfynd.xlsx", "A 31878-2024")</f>
        <v/>
      </c>
      <c r="T199">
        <f>HYPERLINK("https://klasma.github.io/Logging_2260/kartor/A 31878-2024 karta.png", "A 31878-2024")</f>
        <v/>
      </c>
      <c r="V199">
        <f>HYPERLINK("https://klasma.github.io/Logging_2260/klagomål/A 31878-2024 FSC-klagomål.docx", "A 31878-2024")</f>
        <v/>
      </c>
      <c r="W199">
        <f>HYPERLINK("https://klasma.github.io/Logging_2260/klagomålsmail/A 31878-2024 FSC-klagomål mail.docx", "A 31878-2024")</f>
        <v/>
      </c>
      <c r="X199">
        <f>HYPERLINK("https://klasma.github.io/Logging_2260/tillsyn/A 31878-2024 tillsynsbegäran.docx", "A 31878-2024")</f>
        <v/>
      </c>
      <c r="Y199">
        <f>HYPERLINK("https://klasma.github.io/Logging_2260/tillsynsmail/A 31878-2024 tillsynsbegäran mail.docx", "A 31878-2024")</f>
        <v/>
      </c>
    </row>
    <row r="200" ht="15" customHeight="1">
      <c r="A200" t="inlineStr">
        <is>
          <t>A 4351-2024</t>
        </is>
      </c>
      <c r="B200" s="1" t="n">
        <v>45324</v>
      </c>
      <c r="C200" s="1" t="n">
        <v>45998</v>
      </c>
      <c r="D200" t="inlineStr">
        <is>
          <t>VÄSTERNORRLANDS LÄN</t>
        </is>
      </c>
      <c r="E200" t="inlineStr">
        <is>
          <t>ÅNGE</t>
        </is>
      </c>
      <c r="F200" t="inlineStr">
        <is>
          <t>SCA</t>
        </is>
      </c>
      <c r="G200" t="n">
        <v>0.5</v>
      </c>
      <c r="H200" t="n">
        <v>0</v>
      </c>
      <c r="I200" t="n">
        <v>0</v>
      </c>
      <c r="J200" t="n">
        <v>1</v>
      </c>
      <c r="K200" t="n">
        <v>0</v>
      </c>
      <c r="L200" t="n">
        <v>0</v>
      </c>
      <c r="M200" t="n">
        <v>0</v>
      </c>
      <c r="N200" t="n">
        <v>0</v>
      </c>
      <c r="O200" t="n">
        <v>1</v>
      </c>
      <c r="P200" t="n">
        <v>0</v>
      </c>
      <c r="Q200" t="n">
        <v>1</v>
      </c>
      <c r="R200" s="2" t="inlineStr">
        <is>
          <t>Garnlav</t>
        </is>
      </c>
      <c r="S200">
        <f>HYPERLINK("https://klasma.github.io/Logging_2260/artfynd/A 4351-2024 artfynd.xlsx", "A 4351-2024")</f>
        <v/>
      </c>
      <c r="T200">
        <f>HYPERLINK("https://klasma.github.io/Logging_2260/kartor/A 4351-2024 karta.png", "A 4351-2024")</f>
        <v/>
      </c>
      <c r="V200">
        <f>HYPERLINK("https://klasma.github.io/Logging_2260/klagomål/A 4351-2024 FSC-klagomål.docx", "A 4351-2024")</f>
        <v/>
      </c>
      <c r="W200">
        <f>HYPERLINK("https://klasma.github.io/Logging_2260/klagomålsmail/A 4351-2024 FSC-klagomål mail.docx", "A 4351-2024")</f>
        <v/>
      </c>
      <c r="X200">
        <f>HYPERLINK("https://klasma.github.io/Logging_2260/tillsyn/A 4351-2024 tillsynsbegäran.docx", "A 4351-2024")</f>
        <v/>
      </c>
      <c r="Y200">
        <f>HYPERLINK("https://klasma.github.io/Logging_2260/tillsynsmail/A 4351-2024 tillsynsbegäran mail.docx", "A 4351-2024")</f>
        <v/>
      </c>
    </row>
    <row r="201" ht="15" customHeight="1">
      <c r="A201" t="inlineStr">
        <is>
          <t>A 27308-2024</t>
        </is>
      </c>
      <c r="B201" s="1" t="n">
        <v>45471</v>
      </c>
      <c r="C201" s="1" t="n">
        <v>45998</v>
      </c>
      <c r="D201" t="inlineStr">
        <is>
          <t>VÄSTERNORRLANDS LÄN</t>
        </is>
      </c>
      <c r="E201" t="inlineStr">
        <is>
          <t>ÅNGE</t>
        </is>
      </c>
      <c r="F201" t="inlineStr">
        <is>
          <t>SCA</t>
        </is>
      </c>
      <c r="G201" t="n">
        <v>15.9</v>
      </c>
      <c r="H201" t="n">
        <v>0</v>
      </c>
      <c r="I201" t="n">
        <v>0</v>
      </c>
      <c r="J201" t="n">
        <v>1</v>
      </c>
      <c r="K201" t="n">
        <v>0</v>
      </c>
      <c r="L201" t="n">
        <v>0</v>
      </c>
      <c r="M201" t="n">
        <v>0</v>
      </c>
      <c r="N201" t="n">
        <v>0</v>
      </c>
      <c r="O201" t="n">
        <v>1</v>
      </c>
      <c r="P201" t="n">
        <v>0</v>
      </c>
      <c r="Q201" t="n">
        <v>1</v>
      </c>
      <c r="R201" s="2" t="inlineStr">
        <is>
          <t>Lunglav</t>
        </is>
      </c>
      <c r="S201">
        <f>HYPERLINK("https://klasma.github.io/Logging_2260/artfynd/A 27308-2024 artfynd.xlsx", "A 27308-2024")</f>
        <v/>
      </c>
      <c r="T201">
        <f>HYPERLINK("https://klasma.github.io/Logging_2260/kartor/A 27308-2024 karta.png", "A 27308-2024")</f>
        <v/>
      </c>
      <c r="V201">
        <f>HYPERLINK("https://klasma.github.io/Logging_2260/klagomål/A 27308-2024 FSC-klagomål.docx", "A 27308-2024")</f>
        <v/>
      </c>
      <c r="W201">
        <f>HYPERLINK("https://klasma.github.io/Logging_2260/klagomålsmail/A 27308-2024 FSC-klagomål mail.docx", "A 27308-2024")</f>
        <v/>
      </c>
      <c r="X201">
        <f>HYPERLINK("https://klasma.github.io/Logging_2260/tillsyn/A 27308-2024 tillsynsbegäran.docx", "A 27308-2024")</f>
        <v/>
      </c>
      <c r="Y201">
        <f>HYPERLINK("https://klasma.github.io/Logging_2260/tillsynsmail/A 27308-2024 tillsynsbegäran mail.docx", "A 27308-2024")</f>
        <v/>
      </c>
    </row>
    <row r="202" ht="15" customHeight="1">
      <c r="A202" t="inlineStr">
        <is>
          <t>A 52424-2023</t>
        </is>
      </c>
      <c r="B202" s="1" t="n">
        <v>45217</v>
      </c>
      <c r="C202" s="1" t="n">
        <v>45998</v>
      </c>
      <c r="D202" t="inlineStr">
        <is>
          <t>VÄSTERNORRLANDS LÄN</t>
        </is>
      </c>
      <c r="E202" t="inlineStr">
        <is>
          <t>ÅNGE</t>
        </is>
      </c>
      <c r="F202" t="inlineStr">
        <is>
          <t>SCA</t>
        </is>
      </c>
      <c r="G202" t="n">
        <v>3.8</v>
      </c>
      <c r="H202" t="n">
        <v>1</v>
      </c>
      <c r="I202" t="n">
        <v>0</v>
      </c>
      <c r="J202" t="n">
        <v>0</v>
      </c>
      <c r="K202" t="n">
        <v>0</v>
      </c>
      <c r="L202" t="n">
        <v>0</v>
      </c>
      <c r="M202" t="n">
        <v>0</v>
      </c>
      <c r="N202" t="n">
        <v>0</v>
      </c>
      <c r="O202" t="n">
        <v>0</v>
      </c>
      <c r="P202" t="n">
        <v>0</v>
      </c>
      <c r="Q202" t="n">
        <v>1</v>
      </c>
      <c r="R202" s="2" t="inlineStr">
        <is>
          <t>Revlummer</t>
        </is>
      </c>
      <c r="S202">
        <f>HYPERLINK("https://klasma.github.io/Logging_2260/artfynd/A 52424-2023 artfynd.xlsx", "A 52424-2023")</f>
        <v/>
      </c>
      <c r="T202">
        <f>HYPERLINK("https://klasma.github.io/Logging_2260/kartor/A 52424-2023 karta.png", "A 52424-2023")</f>
        <v/>
      </c>
      <c r="V202">
        <f>HYPERLINK("https://klasma.github.io/Logging_2260/klagomål/A 52424-2023 FSC-klagomål.docx", "A 52424-2023")</f>
        <v/>
      </c>
      <c r="W202">
        <f>HYPERLINK("https://klasma.github.io/Logging_2260/klagomålsmail/A 52424-2023 FSC-klagomål mail.docx", "A 52424-2023")</f>
        <v/>
      </c>
      <c r="X202">
        <f>HYPERLINK("https://klasma.github.io/Logging_2260/tillsyn/A 52424-2023 tillsynsbegäran.docx", "A 52424-2023")</f>
        <v/>
      </c>
      <c r="Y202">
        <f>HYPERLINK("https://klasma.github.io/Logging_2260/tillsynsmail/A 52424-2023 tillsynsbegäran mail.docx", "A 52424-2023")</f>
        <v/>
      </c>
    </row>
    <row r="203" ht="15" customHeight="1">
      <c r="A203" t="inlineStr">
        <is>
          <t>A 39638-2024</t>
        </is>
      </c>
      <c r="B203" s="1" t="n">
        <v>45552</v>
      </c>
      <c r="C203" s="1" t="n">
        <v>45998</v>
      </c>
      <c r="D203" t="inlineStr">
        <is>
          <t>VÄSTERNORRLANDS LÄN</t>
        </is>
      </c>
      <c r="E203" t="inlineStr">
        <is>
          <t>ÅNGE</t>
        </is>
      </c>
      <c r="G203" t="n">
        <v>3</v>
      </c>
      <c r="H203" t="n">
        <v>1</v>
      </c>
      <c r="I203" t="n">
        <v>0</v>
      </c>
      <c r="J203" t="n">
        <v>0</v>
      </c>
      <c r="K203" t="n">
        <v>0</v>
      </c>
      <c r="L203" t="n">
        <v>0</v>
      </c>
      <c r="M203" t="n">
        <v>0</v>
      </c>
      <c r="N203" t="n">
        <v>0</v>
      </c>
      <c r="O203" t="n">
        <v>0</v>
      </c>
      <c r="P203" t="n">
        <v>0</v>
      </c>
      <c r="Q203" t="n">
        <v>1</v>
      </c>
      <c r="R203" s="2" t="inlineStr">
        <is>
          <t>Tjäder</t>
        </is>
      </c>
      <c r="S203">
        <f>HYPERLINK("https://klasma.github.io/Logging_2260/artfynd/A 39638-2024 artfynd.xlsx", "A 39638-2024")</f>
        <v/>
      </c>
      <c r="T203">
        <f>HYPERLINK("https://klasma.github.io/Logging_2260/kartor/A 39638-2024 karta.png", "A 39638-2024")</f>
        <v/>
      </c>
      <c r="V203">
        <f>HYPERLINK("https://klasma.github.io/Logging_2260/klagomål/A 39638-2024 FSC-klagomål.docx", "A 39638-2024")</f>
        <v/>
      </c>
      <c r="W203">
        <f>HYPERLINK("https://klasma.github.io/Logging_2260/klagomålsmail/A 39638-2024 FSC-klagomål mail.docx", "A 39638-2024")</f>
        <v/>
      </c>
      <c r="X203">
        <f>HYPERLINK("https://klasma.github.io/Logging_2260/tillsyn/A 39638-2024 tillsynsbegäran.docx", "A 39638-2024")</f>
        <v/>
      </c>
      <c r="Y203">
        <f>HYPERLINK("https://klasma.github.io/Logging_2260/tillsynsmail/A 39638-2024 tillsynsbegäran mail.docx", "A 39638-2024")</f>
        <v/>
      </c>
      <c r="Z203">
        <f>HYPERLINK("https://klasma.github.io/Logging_2260/fåglar/A 39638-2024 prioriterade fågelarter.docx", "A 39638-2024")</f>
        <v/>
      </c>
    </row>
    <row r="204" ht="15" customHeight="1">
      <c r="A204" t="inlineStr">
        <is>
          <t>A 54751-2021</t>
        </is>
      </c>
      <c r="B204" s="1" t="n">
        <v>44473</v>
      </c>
      <c r="C204" s="1" t="n">
        <v>45998</v>
      </c>
      <c r="D204" t="inlineStr">
        <is>
          <t>VÄSTERNORRLANDS LÄN</t>
        </is>
      </c>
      <c r="E204" t="inlineStr">
        <is>
          <t>ÅNGE</t>
        </is>
      </c>
      <c r="G204" t="n">
        <v>6.5</v>
      </c>
      <c r="H204" t="n">
        <v>0</v>
      </c>
      <c r="I204" t="n">
        <v>0</v>
      </c>
      <c r="J204" t="n">
        <v>0</v>
      </c>
      <c r="K204" t="n">
        <v>1</v>
      </c>
      <c r="L204" t="n">
        <v>0</v>
      </c>
      <c r="M204" t="n">
        <v>0</v>
      </c>
      <c r="N204" t="n">
        <v>0</v>
      </c>
      <c r="O204" t="n">
        <v>1</v>
      </c>
      <c r="P204" t="n">
        <v>1</v>
      </c>
      <c r="Q204" t="n">
        <v>1</v>
      </c>
      <c r="R204" s="2" t="inlineStr">
        <is>
          <t>Gräddporing</t>
        </is>
      </c>
      <c r="S204">
        <f>HYPERLINK("https://klasma.github.io/Logging_2260/artfynd/A 54751-2021 artfynd.xlsx", "A 54751-2021")</f>
        <v/>
      </c>
      <c r="T204">
        <f>HYPERLINK("https://klasma.github.io/Logging_2260/kartor/A 54751-2021 karta.png", "A 54751-2021")</f>
        <v/>
      </c>
      <c r="V204">
        <f>HYPERLINK("https://klasma.github.io/Logging_2260/klagomål/A 54751-2021 FSC-klagomål.docx", "A 54751-2021")</f>
        <v/>
      </c>
      <c r="W204">
        <f>HYPERLINK("https://klasma.github.io/Logging_2260/klagomålsmail/A 54751-2021 FSC-klagomål mail.docx", "A 54751-2021")</f>
        <v/>
      </c>
      <c r="X204">
        <f>HYPERLINK("https://klasma.github.io/Logging_2260/tillsyn/A 54751-2021 tillsynsbegäran.docx", "A 54751-2021")</f>
        <v/>
      </c>
      <c r="Y204">
        <f>HYPERLINK("https://klasma.github.io/Logging_2260/tillsynsmail/A 54751-2021 tillsynsbegäran mail.docx", "A 54751-2021")</f>
        <v/>
      </c>
    </row>
    <row r="205" ht="15" customHeight="1">
      <c r="A205" t="inlineStr">
        <is>
          <t>A 40214-2024</t>
        </is>
      </c>
      <c r="B205" s="1" t="n">
        <v>45554.59460648148</v>
      </c>
      <c r="C205" s="1" t="n">
        <v>45998</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45998</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31510-2024</t>
        </is>
      </c>
      <c r="B207" s="1" t="n">
        <v>45505</v>
      </c>
      <c r="C207" s="1" t="n">
        <v>45998</v>
      </c>
      <c r="D207" t="inlineStr">
        <is>
          <t>VÄSTERNORRLANDS LÄN</t>
        </is>
      </c>
      <c r="E207" t="inlineStr">
        <is>
          <t>ÅNGE</t>
        </is>
      </c>
      <c r="F207" t="inlineStr">
        <is>
          <t>SCA</t>
        </is>
      </c>
      <c r="G207" t="n">
        <v>6</v>
      </c>
      <c r="H207" t="n">
        <v>1</v>
      </c>
      <c r="I207" t="n">
        <v>0</v>
      </c>
      <c r="J207" t="n">
        <v>0</v>
      </c>
      <c r="K207" t="n">
        <v>1</v>
      </c>
      <c r="L207" t="n">
        <v>0</v>
      </c>
      <c r="M207" t="n">
        <v>0</v>
      </c>
      <c r="N207" t="n">
        <v>0</v>
      </c>
      <c r="O207" t="n">
        <v>1</v>
      </c>
      <c r="P207" t="n">
        <v>1</v>
      </c>
      <c r="Q207" t="n">
        <v>1</v>
      </c>
      <c r="R207" s="2" t="inlineStr">
        <is>
          <t>Doftticka</t>
        </is>
      </c>
      <c r="S207">
        <f>HYPERLINK("https://klasma.github.io/Logging_2260/artfynd/A 31510-2024 artfynd.xlsx", "A 31510-2024")</f>
        <v/>
      </c>
      <c r="T207">
        <f>HYPERLINK("https://klasma.github.io/Logging_2260/kartor/A 31510-2024 karta.png", "A 31510-2024")</f>
        <v/>
      </c>
      <c r="V207">
        <f>HYPERLINK("https://klasma.github.io/Logging_2260/klagomål/A 31510-2024 FSC-klagomål.docx", "A 31510-2024")</f>
        <v/>
      </c>
      <c r="W207">
        <f>HYPERLINK("https://klasma.github.io/Logging_2260/klagomålsmail/A 31510-2024 FSC-klagomål mail.docx", "A 31510-2024")</f>
        <v/>
      </c>
      <c r="X207">
        <f>HYPERLINK("https://klasma.github.io/Logging_2260/tillsyn/A 31510-2024 tillsynsbegäran.docx", "A 31510-2024")</f>
        <v/>
      </c>
      <c r="Y207">
        <f>HYPERLINK("https://klasma.github.io/Logging_2260/tillsynsmail/A 31510-2024 tillsynsbegäran mail.docx", "A 31510-2024")</f>
        <v/>
      </c>
    </row>
    <row r="208" ht="15" customHeight="1">
      <c r="A208" t="inlineStr">
        <is>
          <t>A 39933-2022</t>
        </is>
      </c>
      <c r="B208" s="1" t="n">
        <v>44819</v>
      </c>
      <c r="C208" s="1" t="n">
        <v>45998</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45998</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55015-2023</t>
        </is>
      </c>
      <c r="B210" s="1" t="n">
        <v>45237.32185185186</v>
      </c>
      <c r="C210" s="1" t="n">
        <v>45998</v>
      </c>
      <c r="D210" t="inlineStr">
        <is>
          <t>VÄSTERNORRLANDS LÄN</t>
        </is>
      </c>
      <c r="E210" t="inlineStr">
        <is>
          <t>ÅNGE</t>
        </is>
      </c>
      <c r="F210" t="inlineStr">
        <is>
          <t>Sveaskog</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HYPERLINK("https://klasma.github.io/Logging_2260/artfynd/A 55015-2023 artfynd.xlsx", "A 55015-2023")</f>
        <v/>
      </c>
      <c r="T210">
        <f>HYPERLINK("https://klasma.github.io/Logging_2260/kartor/A 55015-2023 karta.png", "A 55015-2023")</f>
        <v/>
      </c>
      <c r="V210">
        <f>HYPERLINK("https://klasma.github.io/Logging_2260/klagomål/A 55015-2023 FSC-klagomål.docx", "A 55015-2023")</f>
        <v/>
      </c>
      <c r="W210">
        <f>HYPERLINK("https://klasma.github.io/Logging_2260/klagomålsmail/A 55015-2023 FSC-klagomål mail.docx", "A 55015-2023")</f>
        <v/>
      </c>
      <c r="X210">
        <f>HYPERLINK("https://klasma.github.io/Logging_2260/tillsyn/A 55015-2023 tillsynsbegäran.docx", "A 55015-2023")</f>
        <v/>
      </c>
      <c r="Y210">
        <f>HYPERLINK("https://klasma.github.io/Logging_2260/tillsynsmail/A 55015-2023 tillsynsbegäran mail.docx", "A 55015-2023")</f>
        <v/>
      </c>
    </row>
    <row r="211" ht="15" customHeight="1">
      <c r="A211" t="inlineStr">
        <is>
          <t>A 35648-2025</t>
        </is>
      </c>
      <c r="B211" s="1" t="n">
        <v>45859.51670138889</v>
      </c>
      <c r="C211" s="1" t="n">
        <v>45998</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45998</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23490-2025</t>
        </is>
      </c>
      <c r="B213" s="1" t="n">
        <v>45792.46907407408</v>
      </c>
      <c r="C213" s="1" t="n">
        <v>45998</v>
      </c>
      <c r="D213" t="inlineStr">
        <is>
          <t>VÄSTERNORRLANDS LÄN</t>
        </is>
      </c>
      <c r="E213" t="inlineStr">
        <is>
          <t>ÅNGE</t>
        </is>
      </c>
      <c r="F213" t="inlineStr">
        <is>
          <t>SCA</t>
        </is>
      </c>
      <c r="G213" t="n">
        <v>3.3</v>
      </c>
      <c r="H213" t="n">
        <v>0</v>
      </c>
      <c r="I213" t="n">
        <v>0</v>
      </c>
      <c r="J213" t="n">
        <v>1</v>
      </c>
      <c r="K213" t="n">
        <v>0</v>
      </c>
      <c r="L213" t="n">
        <v>0</v>
      </c>
      <c r="M213" t="n">
        <v>0</v>
      </c>
      <c r="N213" t="n">
        <v>0</v>
      </c>
      <c r="O213" t="n">
        <v>1</v>
      </c>
      <c r="P213" t="n">
        <v>0</v>
      </c>
      <c r="Q213" t="n">
        <v>1</v>
      </c>
      <c r="R213" s="2" t="inlineStr">
        <is>
          <t>Garnlav</t>
        </is>
      </c>
      <c r="S213">
        <f>HYPERLINK("https://klasma.github.io/Logging_2260/artfynd/A 23490-2025 artfynd.xlsx", "A 23490-2025")</f>
        <v/>
      </c>
      <c r="T213">
        <f>HYPERLINK("https://klasma.github.io/Logging_2260/kartor/A 23490-2025 karta.png", "A 23490-2025")</f>
        <v/>
      </c>
      <c r="V213">
        <f>HYPERLINK("https://klasma.github.io/Logging_2260/klagomål/A 23490-2025 FSC-klagomål.docx", "A 23490-2025")</f>
        <v/>
      </c>
      <c r="W213">
        <f>HYPERLINK("https://klasma.github.io/Logging_2260/klagomålsmail/A 23490-2025 FSC-klagomål mail.docx", "A 23490-2025")</f>
        <v/>
      </c>
      <c r="X213">
        <f>HYPERLINK("https://klasma.github.io/Logging_2260/tillsyn/A 23490-2025 tillsynsbegäran.docx", "A 23490-2025")</f>
        <v/>
      </c>
      <c r="Y213">
        <f>HYPERLINK("https://klasma.github.io/Logging_2260/tillsynsmail/A 23490-2025 tillsynsbegäran mail.docx", "A 23490-2025")</f>
        <v/>
      </c>
    </row>
    <row r="214" ht="15" customHeight="1">
      <c r="A214" t="inlineStr">
        <is>
          <t>A 37432-2025</t>
        </is>
      </c>
      <c r="B214" s="1" t="n">
        <v>45877.51106481482</v>
      </c>
      <c r="C214" s="1" t="n">
        <v>45998</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47857-2025</t>
        </is>
      </c>
      <c r="B215" s="1" t="n">
        <v>45932.4068287037</v>
      </c>
      <c r="C215" s="1" t="n">
        <v>45998</v>
      </c>
      <c r="D215" t="inlineStr">
        <is>
          <t>VÄSTERNORRLANDS LÄN</t>
        </is>
      </c>
      <c r="E215" t="inlineStr">
        <is>
          <t>ÅNGE</t>
        </is>
      </c>
      <c r="G215" t="n">
        <v>2.5</v>
      </c>
      <c r="H215" t="n">
        <v>1</v>
      </c>
      <c r="I215" t="n">
        <v>0</v>
      </c>
      <c r="J215" t="n">
        <v>1</v>
      </c>
      <c r="K215" t="n">
        <v>0</v>
      </c>
      <c r="L215" t="n">
        <v>0</v>
      </c>
      <c r="M215" t="n">
        <v>0</v>
      </c>
      <c r="N215" t="n">
        <v>0</v>
      </c>
      <c r="O215" t="n">
        <v>1</v>
      </c>
      <c r="P215" t="n">
        <v>0</v>
      </c>
      <c r="Q215" t="n">
        <v>1</v>
      </c>
      <c r="R215" s="2" t="inlineStr">
        <is>
          <t>Kungsörn</t>
        </is>
      </c>
      <c r="S215">
        <f>HYPERLINK("https://klasma.github.io/Logging_2260/artfynd/A 47857-2025 artfynd.xlsx", "A 47857-2025")</f>
        <v/>
      </c>
      <c r="T215">
        <f>HYPERLINK("https://klasma.github.io/Logging_2260/kartor/A 47857-2025 karta.png", "A 47857-2025")</f>
        <v/>
      </c>
      <c r="V215">
        <f>HYPERLINK("https://klasma.github.io/Logging_2260/klagomål/A 47857-2025 FSC-klagomål.docx", "A 47857-2025")</f>
        <v/>
      </c>
      <c r="W215">
        <f>HYPERLINK("https://klasma.github.io/Logging_2260/klagomålsmail/A 47857-2025 FSC-klagomål mail.docx", "A 47857-2025")</f>
        <v/>
      </c>
      <c r="X215">
        <f>HYPERLINK("https://klasma.github.io/Logging_2260/tillsyn/A 47857-2025 tillsynsbegäran.docx", "A 47857-2025")</f>
        <v/>
      </c>
      <c r="Y215">
        <f>HYPERLINK("https://klasma.github.io/Logging_2260/tillsynsmail/A 47857-2025 tillsynsbegäran mail.docx", "A 47857-2025")</f>
        <v/>
      </c>
      <c r="Z215">
        <f>HYPERLINK("https://klasma.github.io/Logging_2260/fåglar/A 47857-2025 prioriterade fågelarter.docx", "A 47857-2025")</f>
        <v/>
      </c>
    </row>
    <row r="216" ht="15" customHeight="1">
      <c r="A216" t="inlineStr">
        <is>
          <t>A 37914-2024</t>
        </is>
      </c>
      <c r="B216" s="1" t="n">
        <v>45544</v>
      </c>
      <c r="C216" s="1" t="n">
        <v>45998</v>
      </c>
      <c r="D216" t="inlineStr">
        <is>
          <t>VÄSTERNORRLANDS LÄN</t>
        </is>
      </c>
      <c r="E216" t="inlineStr">
        <is>
          <t>ÅNGE</t>
        </is>
      </c>
      <c r="F216" t="inlineStr">
        <is>
          <t>SCA</t>
        </is>
      </c>
      <c r="G216" t="n">
        <v>9</v>
      </c>
      <c r="H216" t="n">
        <v>0</v>
      </c>
      <c r="I216" t="n">
        <v>0</v>
      </c>
      <c r="J216" t="n">
        <v>1</v>
      </c>
      <c r="K216" t="n">
        <v>0</v>
      </c>
      <c r="L216" t="n">
        <v>0</v>
      </c>
      <c r="M216" t="n">
        <v>0</v>
      </c>
      <c r="N216" t="n">
        <v>0</v>
      </c>
      <c r="O216" t="n">
        <v>1</v>
      </c>
      <c r="P216" t="n">
        <v>0</v>
      </c>
      <c r="Q216" t="n">
        <v>1</v>
      </c>
      <c r="R216" s="2" t="inlineStr">
        <is>
          <t>Granticka</t>
        </is>
      </c>
      <c r="S216">
        <f>HYPERLINK("https://klasma.github.io/Logging_2260/artfynd/A 37914-2024 artfynd.xlsx", "A 37914-2024")</f>
        <v/>
      </c>
      <c r="T216">
        <f>HYPERLINK("https://klasma.github.io/Logging_2260/kartor/A 37914-2024 karta.png", "A 37914-2024")</f>
        <v/>
      </c>
      <c r="V216">
        <f>HYPERLINK("https://klasma.github.io/Logging_2260/klagomål/A 37914-2024 FSC-klagomål.docx", "A 37914-2024")</f>
        <v/>
      </c>
      <c r="W216">
        <f>HYPERLINK("https://klasma.github.io/Logging_2260/klagomålsmail/A 37914-2024 FSC-klagomål mail.docx", "A 37914-2024")</f>
        <v/>
      </c>
      <c r="X216">
        <f>HYPERLINK("https://klasma.github.io/Logging_2260/tillsyn/A 37914-2024 tillsynsbegäran.docx", "A 37914-2024")</f>
        <v/>
      </c>
      <c r="Y216">
        <f>HYPERLINK("https://klasma.github.io/Logging_2260/tillsynsmail/A 37914-2024 tillsynsbegäran mail.docx", "A 37914-2024")</f>
        <v/>
      </c>
    </row>
    <row r="217" ht="15" customHeight="1">
      <c r="A217" t="inlineStr">
        <is>
          <t>A 48237-2025</t>
        </is>
      </c>
      <c r="B217" s="1" t="n">
        <v>45933</v>
      </c>
      <c r="C217" s="1" t="n">
        <v>45998</v>
      </c>
      <c r="D217" t="inlineStr">
        <is>
          <t>VÄSTERNORRLANDS LÄN</t>
        </is>
      </c>
      <c r="E217" t="inlineStr">
        <is>
          <t>ÅNGE</t>
        </is>
      </c>
      <c r="F217" t="inlineStr">
        <is>
          <t>SCA</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HYPERLINK("https://klasma.github.io/Logging_2260/artfynd/A 48237-2025 artfynd.xlsx", "A 48237-2025")</f>
        <v/>
      </c>
      <c r="T217">
        <f>HYPERLINK("https://klasma.github.io/Logging_2260/kartor/A 48237-2025 karta.png", "A 48237-2025")</f>
        <v/>
      </c>
      <c r="U217">
        <f>HYPERLINK("https://klasma.github.io/Logging_2260/knärot/A 48237-2025 karta knärot.png", "A 48237-2025")</f>
        <v/>
      </c>
      <c r="V217">
        <f>HYPERLINK("https://klasma.github.io/Logging_2260/klagomål/A 48237-2025 FSC-klagomål.docx", "A 48237-2025")</f>
        <v/>
      </c>
      <c r="W217">
        <f>HYPERLINK("https://klasma.github.io/Logging_2260/klagomålsmail/A 48237-2025 FSC-klagomål mail.docx", "A 48237-2025")</f>
        <v/>
      </c>
      <c r="X217">
        <f>HYPERLINK("https://klasma.github.io/Logging_2260/tillsyn/A 48237-2025 tillsynsbegäran.docx", "A 48237-2025")</f>
        <v/>
      </c>
      <c r="Y217">
        <f>HYPERLINK("https://klasma.github.io/Logging_2260/tillsynsmail/A 48237-2025 tillsynsbegäran mail.docx", "A 48237-2025")</f>
        <v/>
      </c>
    </row>
    <row r="218" ht="15" customHeight="1">
      <c r="A218" t="inlineStr">
        <is>
          <t>A 42524-2025</t>
        </is>
      </c>
      <c r="B218" s="1" t="n">
        <v>45905.55262731481</v>
      </c>
      <c r="C218" s="1" t="n">
        <v>45998</v>
      </c>
      <c r="D218" t="inlineStr">
        <is>
          <t>VÄSTERNORRLANDS LÄN</t>
        </is>
      </c>
      <c r="E218" t="inlineStr">
        <is>
          <t>ÅNGE</t>
        </is>
      </c>
      <c r="F218" t="inlineStr">
        <is>
          <t>SCA</t>
        </is>
      </c>
      <c r="G218" t="n">
        <v>1.9</v>
      </c>
      <c r="H218" t="n">
        <v>0</v>
      </c>
      <c r="I218" t="n">
        <v>0</v>
      </c>
      <c r="J218" t="n">
        <v>1</v>
      </c>
      <c r="K218" t="n">
        <v>0</v>
      </c>
      <c r="L218" t="n">
        <v>0</v>
      </c>
      <c r="M218" t="n">
        <v>0</v>
      </c>
      <c r="N218" t="n">
        <v>0</v>
      </c>
      <c r="O218" t="n">
        <v>1</v>
      </c>
      <c r="P218" t="n">
        <v>0</v>
      </c>
      <c r="Q218" t="n">
        <v>1</v>
      </c>
      <c r="R218" s="2" t="inlineStr">
        <is>
          <t>Lunglav</t>
        </is>
      </c>
      <c r="S218">
        <f>HYPERLINK("https://klasma.github.io/Logging_2260/artfynd/A 42524-2025 artfynd.xlsx", "A 42524-2025")</f>
        <v/>
      </c>
      <c r="T218">
        <f>HYPERLINK("https://klasma.github.io/Logging_2260/kartor/A 42524-2025 karta.png", "A 42524-2025")</f>
        <v/>
      </c>
      <c r="V218">
        <f>HYPERLINK("https://klasma.github.io/Logging_2260/klagomål/A 42524-2025 FSC-klagomål.docx", "A 42524-2025")</f>
        <v/>
      </c>
      <c r="W218">
        <f>HYPERLINK("https://klasma.github.io/Logging_2260/klagomålsmail/A 42524-2025 FSC-klagomål mail.docx", "A 42524-2025")</f>
        <v/>
      </c>
      <c r="X218">
        <f>HYPERLINK("https://klasma.github.io/Logging_2260/tillsyn/A 42524-2025 tillsynsbegäran.docx", "A 42524-2025")</f>
        <v/>
      </c>
      <c r="Y218">
        <f>HYPERLINK("https://klasma.github.io/Logging_2260/tillsynsmail/A 42524-2025 tillsynsbegäran mail.docx", "A 42524-2025")</f>
        <v/>
      </c>
    </row>
    <row r="219" ht="15" customHeight="1">
      <c r="A219" t="inlineStr">
        <is>
          <t>A 43590-2025</t>
        </is>
      </c>
      <c r="B219" s="1" t="n">
        <v>45911.65665509259</v>
      </c>
      <c r="C219" s="1" t="n">
        <v>45998</v>
      </c>
      <c r="D219" t="inlineStr">
        <is>
          <t>VÄSTERNORRLANDS LÄN</t>
        </is>
      </c>
      <c r="E219" t="inlineStr">
        <is>
          <t>ÅNGE</t>
        </is>
      </c>
      <c r="F219" t="inlineStr">
        <is>
          <t>SCA</t>
        </is>
      </c>
      <c r="G219" t="n">
        <v>2.9</v>
      </c>
      <c r="H219" t="n">
        <v>0</v>
      </c>
      <c r="I219" t="n">
        <v>0</v>
      </c>
      <c r="J219" t="n">
        <v>1</v>
      </c>
      <c r="K219" t="n">
        <v>0</v>
      </c>
      <c r="L219" t="n">
        <v>0</v>
      </c>
      <c r="M219" t="n">
        <v>0</v>
      </c>
      <c r="N219" t="n">
        <v>0</v>
      </c>
      <c r="O219" t="n">
        <v>1</v>
      </c>
      <c r="P219" t="n">
        <v>0</v>
      </c>
      <c r="Q219" t="n">
        <v>1</v>
      </c>
      <c r="R219" s="2" t="inlineStr">
        <is>
          <t>Granticka</t>
        </is>
      </c>
      <c r="S219">
        <f>HYPERLINK("https://klasma.github.io/Logging_2260/artfynd/A 43590-2025 artfynd.xlsx", "A 43590-2025")</f>
        <v/>
      </c>
      <c r="T219">
        <f>HYPERLINK("https://klasma.github.io/Logging_2260/kartor/A 43590-2025 karta.png", "A 43590-2025")</f>
        <v/>
      </c>
      <c r="V219">
        <f>HYPERLINK("https://klasma.github.io/Logging_2260/klagomål/A 43590-2025 FSC-klagomål.docx", "A 43590-2025")</f>
        <v/>
      </c>
      <c r="W219">
        <f>HYPERLINK("https://klasma.github.io/Logging_2260/klagomålsmail/A 43590-2025 FSC-klagomål mail.docx", "A 43590-2025")</f>
        <v/>
      </c>
      <c r="X219">
        <f>HYPERLINK("https://klasma.github.io/Logging_2260/tillsyn/A 43590-2025 tillsynsbegäran.docx", "A 43590-2025")</f>
        <v/>
      </c>
      <c r="Y219">
        <f>HYPERLINK("https://klasma.github.io/Logging_2260/tillsynsmail/A 43590-2025 tillsynsbegäran mail.docx", "A 43590-2025")</f>
        <v/>
      </c>
    </row>
    <row r="220" ht="15" customHeight="1">
      <c r="A220" t="inlineStr">
        <is>
          <t>A 54386-2024</t>
        </is>
      </c>
      <c r="B220" s="1" t="n">
        <v>45617.44822916666</v>
      </c>
      <c r="C220" s="1" t="n">
        <v>45998</v>
      </c>
      <c r="D220" t="inlineStr">
        <is>
          <t>VÄSTERNORRLANDS LÄN</t>
        </is>
      </c>
      <c r="E220" t="inlineStr">
        <is>
          <t>ÅNGE</t>
        </is>
      </c>
      <c r="F220" t="inlineStr">
        <is>
          <t>SCA</t>
        </is>
      </c>
      <c r="G220" t="n">
        <v>1.9</v>
      </c>
      <c r="H220" t="n">
        <v>0</v>
      </c>
      <c r="I220" t="n">
        <v>0</v>
      </c>
      <c r="J220" t="n">
        <v>1</v>
      </c>
      <c r="K220" t="n">
        <v>0</v>
      </c>
      <c r="L220" t="n">
        <v>0</v>
      </c>
      <c r="M220" t="n">
        <v>0</v>
      </c>
      <c r="N220" t="n">
        <v>0</v>
      </c>
      <c r="O220" t="n">
        <v>1</v>
      </c>
      <c r="P220" t="n">
        <v>0</v>
      </c>
      <c r="Q220" t="n">
        <v>1</v>
      </c>
      <c r="R220" s="2" t="inlineStr">
        <is>
          <t>Reliktbock</t>
        </is>
      </c>
      <c r="S220">
        <f>HYPERLINK("https://klasma.github.io/Logging_2260/artfynd/A 54386-2024 artfynd.xlsx", "A 54386-2024")</f>
        <v/>
      </c>
      <c r="T220">
        <f>HYPERLINK("https://klasma.github.io/Logging_2260/kartor/A 54386-2024 karta.png", "A 54386-2024")</f>
        <v/>
      </c>
      <c r="V220">
        <f>HYPERLINK("https://klasma.github.io/Logging_2260/klagomål/A 54386-2024 FSC-klagomål.docx", "A 54386-2024")</f>
        <v/>
      </c>
      <c r="W220">
        <f>HYPERLINK("https://klasma.github.io/Logging_2260/klagomålsmail/A 54386-2024 FSC-klagomål mail.docx", "A 54386-2024")</f>
        <v/>
      </c>
      <c r="X220">
        <f>HYPERLINK("https://klasma.github.io/Logging_2260/tillsyn/A 54386-2024 tillsynsbegäran.docx", "A 54386-2024")</f>
        <v/>
      </c>
      <c r="Y220">
        <f>HYPERLINK("https://klasma.github.io/Logging_2260/tillsynsmail/A 54386-2024 tillsynsbegäran mail.docx", "A 54386-2024")</f>
        <v/>
      </c>
    </row>
    <row r="221" ht="15" customHeight="1">
      <c r="A221" t="inlineStr">
        <is>
          <t>A 58534-2025</t>
        </is>
      </c>
      <c r="B221" s="1" t="n">
        <v>45985.80396990741</v>
      </c>
      <c r="C221" s="1" t="n">
        <v>45998</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46094-2025</t>
        </is>
      </c>
      <c r="B222" s="1" t="n">
        <v>45924</v>
      </c>
      <c r="C222" s="1" t="n">
        <v>45998</v>
      </c>
      <c r="D222" t="inlineStr">
        <is>
          <t>VÄSTERNORRLANDS LÄN</t>
        </is>
      </c>
      <c r="E222" t="inlineStr">
        <is>
          <t>ÅNGE</t>
        </is>
      </c>
      <c r="F222" t="inlineStr">
        <is>
          <t>SCA</t>
        </is>
      </c>
      <c r="G222" t="n">
        <v>1.1</v>
      </c>
      <c r="H222" t="n">
        <v>1</v>
      </c>
      <c r="I222" t="n">
        <v>0</v>
      </c>
      <c r="J222" t="n">
        <v>1</v>
      </c>
      <c r="K222" t="n">
        <v>0</v>
      </c>
      <c r="L222" t="n">
        <v>0</v>
      </c>
      <c r="M222" t="n">
        <v>0</v>
      </c>
      <c r="N222" t="n">
        <v>0</v>
      </c>
      <c r="O222" t="n">
        <v>1</v>
      </c>
      <c r="P222" t="n">
        <v>0</v>
      </c>
      <c r="Q222" t="n">
        <v>1</v>
      </c>
      <c r="R222" s="2" t="inlineStr">
        <is>
          <t>Utter</t>
        </is>
      </c>
      <c r="S222">
        <f>HYPERLINK("https://klasma.github.io/Logging_2260/artfynd/A 46094-2025 artfynd.xlsx", "A 46094-2025")</f>
        <v/>
      </c>
      <c r="T222">
        <f>HYPERLINK("https://klasma.github.io/Logging_2260/kartor/A 46094-2025 karta.png", "A 46094-2025")</f>
        <v/>
      </c>
      <c r="V222">
        <f>HYPERLINK("https://klasma.github.io/Logging_2260/klagomål/A 46094-2025 FSC-klagomål.docx", "A 46094-2025")</f>
        <v/>
      </c>
      <c r="W222">
        <f>HYPERLINK("https://klasma.github.io/Logging_2260/klagomålsmail/A 46094-2025 FSC-klagomål mail.docx", "A 46094-2025")</f>
        <v/>
      </c>
      <c r="X222">
        <f>HYPERLINK("https://klasma.github.io/Logging_2260/tillsyn/A 46094-2025 tillsynsbegäran.docx", "A 46094-2025")</f>
        <v/>
      </c>
      <c r="Y222">
        <f>HYPERLINK("https://klasma.github.io/Logging_2260/tillsynsmail/A 46094-2025 tillsynsbegäran mail.docx", "A 46094-2025")</f>
        <v/>
      </c>
    </row>
    <row r="223" ht="15" customHeight="1">
      <c r="A223" t="inlineStr">
        <is>
          <t>A 53683-2025</t>
        </is>
      </c>
      <c r="B223" s="1" t="n">
        <v>45960</v>
      </c>
      <c r="C223" s="1" t="n">
        <v>45998</v>
      </c>
      <c r="D223" t="inlineStr">
        <is>
          <t>VÄSTERNORRLANDS LÄN</t>
        </is>
      </c>
      <c r="E223" t="inlineStr">
        <is>
          <t>ÅNGE</t>
        </is>
      </c>
      <c r="F223" t="inlineStr">
        <is>
          <t>SCA</t>
        </is>
      </c>
      <c r="G223" t="n">
        <v>3.6</v>
      </c>
      <c r="H223" t="n">
        <v>0</v>
      </c>
      <c r="I223" t="n">
        <v>1</v>
      </c>
      <c r="J223" t="n">
        <v>0</v>
      </c>
      <c r="K223" t="n">
        <v>0</v>
      </c>
      <c r="L223" t="n">
        <v>0</v>
      </c>
      <c r="M223" t="n">
        <v>0</v>
      </c>
      <c r="N223" t="n">
        <v>0</v>
      </c>
      <c r="O223" t="n">
        <v>0</v>
      </c>
      <c r="P223" t="n">
        <v>0</v>
      </c>
      <c r="Q223" t="n">
        <v>1</v>
      </c>
      <c r="R223" s="2" t="inlineStr">
        <is>
          <t>Ögonpyrola</t>
        </is>
      </c>
      <c r="S223">
        <f>HYPERLINK("https://klasma.github.io/Logging_2260/artfynd/A 53683-2025 artfynd.xlsx", "A 53683-2025")</f>
        <v/>
      </c>
      <c r="T223">
        <f>HYPERLINK("https://klasma.github.io/Logging_2260/kartor/A 53683-2025 karta.png", "A 53683-2025")</f>
        <v/>
      </c>
      <c r="U223">
        <f>HYPERLINK("https://klasma.github.io/Logging_2260/knärot/A 53683-2025 karta knärot.png", "A 53683-2025")</f>
        <v/>
      </c>
      <c r="V223">
        <f>HYPERLINK("https://klasma.github.io/Logging_2260/klagomål/A 53683-2025 FSC-klagomål.docx", "A 53683-2025")</f>
        <v/>
      </c>
      <c r="W223">
        <f>HYPERLINK("https://klasma.github.io/Logging_2260/klagomålsmail/A 53683-2025 FSC-klagomål mail.docx", "A 53683-2025")</f>
        <v/>
      </c>
      <c r="X223">
        <f>HYPERLINK("https://klasma.github.io/Logging_2260/tillsyn/A 53683-2025 tillsynsbegäran.docx", "A 53683-2025")</f>
        <v/>
      </c>
      <c r="Y223">
        <f>HYPERLINK("https://klasma.github.io/Logging_2260/tillsynsmail/A 53683-2025 tillsynsbegäran mail.docx", "A 53683-2025")</f>
        <v/>
      </c>
    </row>
    <row r="224" ht="15" customHeight="1">
      <c r="A224" t="inlineStr">
        <is>
          <t>A 27025-2025</t>
        </is>
      </c>
      <c r="B224" s="1" t="n">
        <v>45811</v>
      </c>
      <c r="C224" s="1" t="n">
        <v>45998</v>
      </c>
      <c r="D224" t="inlineStr">
        <is>
          <t>VÄSTERNORRLANDS LÄN</t>
        </is>
      </c>
      <c r="E224" t="inlineStr">
        <is>
          <t>ÅNGE</t>
        </is>
      </c>
      <c r="G224" t="n">
        <v>25.5</v>
      </c>
      <c r="H224" t="n">
        <v>0</v>
      </c>
      <c r="I224" t="n">
        <v>0</v>
      </c>
      <c r="J224" t="n">
        <v>1</v>
      </c>
      <c r="K224" t="n">
        <v>0</v>
      </c>
      <c r="L224" t="n">
        <v>0</v>
      </c>
      <c r="M224" t="n">
        <v>0</v>
      </c>
      <c r="N224" t="n">
        <v>0</v>
      </c>
      <c r="O224" t="n">
        <v>1</v>
      </c>
      <c r="P224" t="n">
        <v>0</v>
      </c>
      <c r="Q224" t="n">
        <v>1</v>
      </c>
      <c r="R224" s="2" t="inlineStr">
        <is>
          <t>Garnlav</t>
        </is>
      </c>
      <c r="S224">
        <f>HYPERLINK("https://klasma.github.io/Logging_2260/artfynd/A 27025-2025 artfynd.xlsx", "A 27025-2025")</f>
        <v/>
      </c>
      <c r="T224">
        <f>HYPERLINK("https://klasma.github.io/Logging_2260/kartor/A 27025-2025 karta.png", "A 27025-2025")</f>
        <v/>
      </c>
      <c r="U224">
        <f>HYPERLINK("https://klasma.github.io/Logging_2260/knärot/A 27025-2025 karta knärot.png", "A 27025-2025")</f>
        <v/>
      </c>
      <c r="V224">
        <f>HYPERLINK("https://klasma.github.io/Logging_2260/klagomål/A 27025-2025 FSC-klagomål.docx", "A 27025-2025")</f>
        <v/>
      </c>
      <c r="W224">
        <f>HYPERLINK("https://klasma.github.io/Logging_2260/klagomålsmail/A 27025-2025 FSC-klagomål mail.docx", "A 27025-2025")</f>
        <v/>
      </c>
      <c r="X224">
        <f>HYPERLINK("https://klasma.github.io/Logging_2260/tillsyn/A 27025-2025 tillsynsbegäran.docx", "A 27025-2025")</f>
        <v/>
      </c>
      <c r="Y224">
        <f>HYPERLINK("https://klasma.github.io/Logging_2260/tillsynsmail/A 27025-2025 tillsynsbegäran mail.docx", "A 27025-2025")</f>
        <v/>
      </c>
    </row>
    <row r="225" ht="15" customHeight="1">
      <c r="A225" t="inlineStr">
        <is>
          <t>A 57272-2024</t>
        </is>
      </c>
      <c r="B225" s="1" t="n">
        <v>45629.57380787037</v>
      </c>
      <c r="C225" s="1" t="n">
        <v>45998</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57272-2024 artfynd.xlsx", "A 57272-2024")</f>
        <v/>
      </c>
      <c r="T225">
        <f>HYPERLINK("https://klasma.github.io/Logging_2260/kartor/A 57272-2024 karta.png", "A 57272-2024")</f>
        <v/>
      </c>
      <c r="V225">
        <f>HYPERLINK("https://klasma.github.io/Logging_2260/klagomål/A 57272-2024 FSC-klagomål.docx", "A 57272-2024")</f>
        <v/>
      </c>
      <c r="W225">
        <f>HYPERLINK("https://klasma.github.io/Logging_2260/klagomålsmail/A 57272-2024 FSC-klagomål mail.docx", "A 57272-2024")</f>
        <v/>
      </c>
      <c r="X225">
        <f>HYPERLINK("https://klasma.github.io/Logging_2260/tillsyn/A 57272-2024 tillsynsbegäran.docx", "A 57272-2024")</f>
        <v/>
      </c>
      <c r="Y225">
        <f>HYPERLINK("https://klasma.github.io/Logging_2260/tillsynsmail/A 57272-2024 tillsynsbegäran mail.docx", "A 57272-2024")</f>
        <v/>
      </c>
    </row>
    <row r="226" ht="15" customHeight="1">
      <c r="A226" t="inlineStr">
        <is>
          <t>A 1449-2025</t>
        </is>
      </c>
      <c r="B226" s="1" t="n">
        <v>45670.27537037037</v>
      </c>
      <c r="C226" s="1" t="n">
        <v>45998</v>
      </c>
      <c r="D226" t="inlineStr">
        <is>
          <t>VÄSTERNORRLANDS LÄN</t>
        </is>
      </c>
      <c r="E226" t="inlineStr">
        <is>
          <t>ÅNGE</t>
        </is>
      </c>
      <c r="G226" t="n">
        <v>6.3</v>
      </c>
      <c r="H226" t="n">
        <v>0</v>
      </c>
      <c r="I226" t="n">
        <v>1</v>
      </c>
      <c r="J226" t="n">
        <v>0</v>
      </c>
      <c r="K226" t="n">
        <v>0</v>
      </c>
      <c r="L226" t="n">
        <v>0</v>
      </c>
      <c r="M226" t="n">
        <v>0</v>
      </c>
      <c r="N226" t="n">
        <v>0</v>
      </c>
      <c r="O226" t="n">
        <v>0</v>
      </c>
      <c r="P226" t="n">
        <v>0</v>
      </c>
      <c r="Q226" t="n">
        <v>1</v>
      </c>
      <c r="R226" s="2" t="inlineStr">
        <is>
          <t>Korallblylav</t>
        </is>
      </c>
      <c r="S226">
        <f>HYPERLINK("https://klasma.github.io/Logging_2260/artfynd/A 1449-2025 artfynd.xlsx", "A 1449-2025")</f>
        <v/>
      </c>
      <c r="T226">
        <f>HYPERLINK("https://klasma.github.io/Logging_2260/kartor/A 1449-2025 karta.png", "A 1449-2025")</f>
        <v/>
      </c>
      <c r="V226">
        <f>HYPERLINK("https://klasma.github.io/Logging_2260/klagomål/A 1449-2025 FSC-klagomål.docx", "A 1449-2025")</f>
        <v/>
      </c>
      <c r="W226">
        <f>HYPERLINK("https://klasma.github.io/Logging_2260/klagomålsmail/A 1449-2025 FSC-klagomål mail.docx", "A 1449-2025")</f>
        <v/>
      </c>
      <c r="X226">
        <f>HYPERLINK("https://klasma.github.io/Logging_2260/tillsyn/A 1449-2025 tillsynsbegäran.docx", "A 1449-2025")</f>
        <v/>
      </c>
      <c r="Y226">
        <f>HYPERLINK("https://klasma.github.io/Logging_2260/tillsynsmail/A 1449-2025 tillsynsbegäran mail.docx", "A 1449-2025")</f>
        <v/>
      </c>
    </row>
    <row r="227" ht="15" customHeight="1">
      <c r="A227" t="inlineStr">
        <is>
          <t>A 8057-2021</t>
        </is>
      </c>
      <c r="B227" s="1" t="n">
        <v>44238</v>
      </c>
      <c r="C227" s="1" t="n">
        <v>45998</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45998</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45998</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45998</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45998</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45998</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14433-2022</t>
        </is>
      </c>
      <c r="B233" s="1" t="n">
        <v>44652</v>
      </c>
      <c r="C233" s="1" t="n">
        <v>45998</v>
      </c>
      <c r="D233" t="inlineStr">
        <is>
          <t>VÄSTERNORRLANDS LÄN</t>
        </is>
      </c>
      <c r="E233" t="inlineStr">
        <is>
          <t>ÅNGE</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45998</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45998</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45998</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45998</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45998</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45998</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45998</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45998</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45998</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45998</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45998</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45998</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45998</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45998</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45998</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45998</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45998</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45998</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45998</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45998</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45998</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45998</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45998</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45998</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45998</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45998</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45998</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45998</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45998</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45998</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45998</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45998</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45998</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45998</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66560-2021</t>
        </is>
      </c>
      <c r="B268" s="1" t="n">
        <v>44519</v>
      </c>
      <c r="C268" s="1" t="n">
        <v>45998</v>
      </c>
      <c r="D268" t="inlineStr">
        <is>
          <t>VÄSTERNORRLANDS LÄN</t>
        </is>
      </c>
      <c r="E268" t="inlineStr">
        <is>
          <t>ÅNGE</t>
        </is>
      </c>
      <c r="G268" t="n">
        <v>2.6</v>
      </c>
      <c r="H268" t="n">
        <v>0</v>
      </c>
      <c r="I268" t="n">
        <v>0</v>
      </c>
      <c r="J268" t="n">
        <v>0</v>
      </c>
      <c r="K268" t="n">
        <v>0</v>
      </c>
      <c r="L268" t="n">
        <v>0</v>
      </c>
      <c r="M268" t="n">
        <v>0</v>
      </c>
      <c r="N268" t="n">
        <v>0</v>
      </c>
      <c r="O268" t="n">
        <v>0</v>
      </c>
      <c r="P268" t="n">
        <v>0</v>
      </c>
      <c r="Q268" t="n">
        <v>0</v>
      </c>
      <c r="R268" s="2" t="inlineStr"/>
    </row>
    <row r="269" ht="15" customHeight="1">
      <c r="A269" t="inlineStr">
        <is>
          <t>A 24355-2022</t>
        </is>
      </c>
      <c r="B269" s="1" t="n">
        <v>44726.3816087963</v>
      </c>
      <c r="C269" s="1" t="n">
        <v>45998</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39723-2021</t>
        </is>
      </c>
      <c r="B270" s="1" t="n">
        <v>44417.47886574074</v>
      </c>
      <c r="C270" s="1" t="n">
        <v>45998</v>
      </c>
      <c r="D270" t="inlineStr">
        <is>
          <t>VÄSTERNORRLANDS LÄN</t>
        </is>
      </c>
      <c r="E270" t="inlineStr">
        <is>
          <t>ÅNGE</t>
        </is>
      </c>
      <c r="G270" t="n">
        <v>1.1</v>
      </c>
      <c r="H270" t="n">
        <v>0</v>
      </c>
      <c r="I270" t="n">
        <v>0</v>
      </c>
      <c r="J270" t="n">
        <v>0</v>
      </c>
      <c r="K270" t="n">
        <v>0</v>
      </c>
      <c r="L270" t="n">
        <v>0</v>
      </c>
      <c r="M270" t="n">
        <v>0</v>
      </c>
      <c r="N270" t="n">
        <v>0</v>
      </c>
      <c r="O270" t="n">
        <v>0</v>
      </c>
      <c r="P270" t="n">
        <v>0</v>
      </c>
      <c r="Q270" t="n">
        <v>0</v>
      </c>
      <c r="R270" s="2" t="inlineStr"/>
    </row>
    <row r="271" ht="15" customHeight="1">
      <c r="A271" t="inlineStr">
        <is>
          <t>A 35507-2022</t>
        </is>
      </c>
      <c r="B271" s="1" t="n">
        <v>44798</v>
      </c>
      <c r="C271" s="1" t="n">
        <v>45998</v>
      </c>
      <c r="D271" t="inlineStr">
        <is>
          <t>VÄSTERNORRLANDS LÄN</t>
        </is>
      </c>
      <c r="E271" t="inlineStr">
        <is>
          <t>ÅNGE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71651-2021</t>
        </is>
      </c>
      <c r="B272" s="1" t="n">
        <v>44538</v>
      </c>
      <c r="C272" s="1" t="n">
        <v>45998</v>
      </c>
      <c r="D272" t="inlineStr">
        <is>
          <t>VÄSTERNORRLANDS LÄN</t>
        </is>
      </c>
      <c r="E272" t="inlineStr">
        <is>
          <t>ÅNGE</t>
        </is>
      </c>
      <c r="G272" t="n">
        <v>4.4</v>
      </c>
      <c r="H272" t="n">
        <v>0</v>
      </c>
      <c r="I272" t="n">
        <v>0</v>
      </c>
      <c r="J272" t="n">
        <v>0</v>
      </c>
      <c r="K272" t="n">
        <v>0</v>
      </c>
      <c r="L272" t="n">
        <v>0</v>
      </c>
      <c r="M272" t="n">
        <v>0</v>
      </c>
      <c r="N272" t="n">
        <v>0</v>
      </c>
      <c r="O272" t="n">
        <v>0</v>
      </c>
      <c r="P272" t="n">
        <v>0</v>
      </c>
      <c r="Q272" t="n">
        <v>0</v>
      </c>
      <c r="R272" s="2" t="inlineStr"/>
    </row>
    <row r="273" ht="15" customHeight="1">
      <c r="A273" t="inlineStr">
        <is>
          <t>A 58942-2021</t>
        </is>
      </c>
      <c r="B273" s="1" t="n">
        <v>44489.9221875</v>
      </c>
      <c r="C273" s="1" t="n">
        <v>45998</v>
      </c>
      <c r="D273" t="inlineStr">
        <is>
          <t>VÄSTERNORRLANDS LÄN</t>
        </is>
      </c>
      <c r="E273" t="inlineStr">
        <is>
          <t>ÅNGE</t>
        </is>
      </c>
      <c r="G273" t="n">
        <v>5.6</v>
      </c>
      <c r="H273" t="n">
        <v>0</v>
      </c>
      <c r="I273" t="n">
        <v>0</v>
      </c>
      <c r="J273" t="n">
        <v>0</v>
      </c>
      <c r="K273" t="n">
        <v>0</v>
      </c>
      <c r="L273" t="n">
        <v>0</v>
      </c>
      <c r="M273" t="n">
        <v>0</v>
      </c>
      <c r="N273" t="n">
        <v>0</v>
      </c>
      <c r="O273" t="n">
        <v>0</v>
      </c>
      <c r="P273" t="n">
        <v>0</v>
      </c>
      <c r="Q273" t="n">
        <v>0</v>
      </c>
      <c r="R273" s="2" t="inlineStr"/>
    </row>
    <row r="274" ht="15" customHeight="1">
      <c r="A274" t="inlineStr">
        <is>
          <t>A 10680-2022</t>
        </is>
      </c>
      <c r="B274" s="1" t="n">
        <v>44624</v>
      </c>
      <c r="C274" s="1" t="n">
        <v>45998</v>
      </c>
      <c r="D274" t="inlineStr">
        <is>
          <t>VÄSTERNORRLANDS LÄN</t>
        </is>
      </c>
      <c r="E274" t="inlineStr">
        <is>
          <t>ÅNGE</t>
        </is>
      </c>
      <c r="G274" t="n">
        <v>1</v>
      </c>
      <c r="H274" t="n">
        <v>0</v>
      </c>
      <c r="I274" t="n">
        <v>0</v>
      </c>
      <c r="J274" t="n">
        <v>0</v>
      </c>
      <c r="K274" t="n">
        <v>0</v>
      </c>
      <c r="L274" t="n">
        <v>0</v>
      </c>
      <c r="M274" t="n">
        <v>0</v>
      </c>
      <c r="N274" t="n">
        <v>0</v>
      </c>
      <c r="O274" t="n">
        <v>0</v>
      </c>
      <c r="P274" t="n">
        <v>0</v>
      </c>
      <c r="Q274" t="n">
        <v>0</v>
      </c>
      <c r="R274" s="2" t="inlineStr"/>
    </row>
    <row r="275" ht="15" customHeight="1">
      <c r="A275" t="inlineStr">
        <is>
          <t>A 10686-2022</t>
        </is>
      </c>
      <c r="B275" s="1" t="n">
        <v>44624.92680555556</v>
      </c>
      <c r="C275" s="1" t="n">
        <v>45998</v>
      </c>
      <c r="D275" t="inlineStr">
        <is>
          <t>VÄSTERNORRLANDS LÄN</t>
        </is>
      </c>
      <c r="E275" t="inlineStr">
        <is>
          <t>ÅNGE</t>
        </is>
      </c>
      <c r="G275" t="n">
        <v>1.2</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45998</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65770-2020</t>
        </is>
      </c>
      <c r="B277" s="1" t="n">
        <v>44174.55582175926</v>
      </c>
      <c r="C277" s="1" t="n">
        <v>45998</v>
      </c>
      <c r="D277" t="inlineStr">
        <is>
          <t>VÄSTERNORRLANDS LÄN</t>
        </is>
      </c>
      <c r="E277" t="inlineStr">
        <is>
          <t>ÅNGE</t>
        </is>
      </c>
      <c r="G277" t="n">
        <v>1</v>
      </c>
      <c r="H277" t="n">
        <v>0</v>
      </c>
      <c r="I277" t="n">
        <v>0</v>
      </c>
      <c r="J277" t="n">
        <v>0</v>
      </c>
      <c r="K277" t="n">
        <v>0</v>
      </c>
      <c r="L277" t="n">
        <v>0</v>
      </c>
      <c r="M277" t="n">
        <v>0</v>
      </c>
      <c r="N277" t="n">
        <v>0</v>
      </c>
      <c r="O277" t="n">
        <v>0</v>
      </c>
      <c r="P277" t="n">
        <v>0</v>
      </c>
      <c r="Q277" t="n">
        <v>0</v>
      </c>
      <c r="R277" s="2" t="inlineStr"/>
    </row>
    <row r="278" ht="15" customHeight="1">
      <c r="A278" t="inlineStr">
        <is>
          <t>A 62870-2021</t>
        </is>
      </c>
      <c r="B278" s="1" t="n">
        <v>44503</v>
      </c>
      <c r="C278" s="1" t="n">
        <v>45998</v>
      </c>
      <c r="D278" t="inlineStr">
        <is>
          <t>VÄSTERNORRLANDS LÄN</t>
        </is>
      </c>
      <c r="E278" t="inlineStr">
        <is>
          <t>ÅNGE</t>
        </is>
      </c>
      <c r="F278" t="inlineStr">
        <is>
          <t>Övriga statliga verk och myndigheter</t>
        </is>
      </c>
      <c r="G278" t="n">
        <v>3</v>
      </c>
      <c r="H278" t="n">
        <v>0</v>
      </c>
      <c r="I278" t="n">
        <v>0</v>
      </c>
      <c r="J278" t="n">
        <v>0</v>
      </c>
      <c r="K278" t="n">
        <v>0</v>
      </c>
      <c r="L278" t="n">
        <v>0</v>
      </c>
      <c r="M278" t="n">
        <v>0</v>
      </c>
      <c r="N278" t="n">
        <v>0</v>
      </c>
      <c r="O278" t="n">
        <v>0</v>
      </c>
      <c r="P278" t="n">
        <v>0</v>
      </c>
      <c r="Q278" t="n">
        <v>0</v>
      </c>
      <c r="R278" s="2" t="inlineStr"/>
    </row>
    <row r="279" ht="15" customHeight="1">
      <c r="A279" t="inlineStr">
        <is>
          <t>A 30345-2021</t>
        </is>
      </c>
      <c r="B279" s="1" t="n">
        <v>44364</v>
      </c>
      <c r="C279" s="1" t="n">
        <v>45998</v>
      </c>
      <c r="D279" t="inlineStr">
        <is>
          <t>VÄSTERNORRLANDS LÄN</t>
        </is>
      </c>
      <c r="E279" t="inlineStr">
        <is>
          <t>ÅNGE</t>
        </is>
      </c>
      <c r="G279" t="n">
        <v>7.7</v>
      </c>
      <c r="H279" t="n">
        <v>0</v>
      </c>
      <c r="I279" t="n">
        <v>0</v>
      </c>
      <c r="J279" t="n">
        <v>0</v>
      </c>
      <c r="K279" t="n">
        <v>0</v>
      </c>
      <c r="L279" t="n">
        <v>0</v>
      </c>
      <c r="M279" t="n">
        <v>0</v>
      </c>
      <c r="N279" t="n">
        <v>0</v>
      </c>
      <c r="O279" t="n">
        <v>0</v>
      </c>
      <c r="P279" t="n">
        <v>0</v>
      </c>
      <c r="Q279" t="n">
        <v>0</v>
      </c>
      <c r="R279" s="2" t="inlineStr"/>
    </row>
    <row r="280" ht="15" customHeight="1">
      <c r="A280" t="inlineStr">
        <is>
          <t>A 46865-2021</t>
        </is>
      </c>
      <c r="B280" s="1" t="n">
        <v>44446.39883101852</v>
      </c>
      <c r="C280" s="1" t="n">
        <v>45998</v>
      </c>
      <c r="D280" t="inlineStr">
        <is>
          <t>VÄSTERNORRLANDS LÄN</t>
        </is>
      </c>
      <c r="E280" t="inlineStr">
        <is>
          <t>ÅNGE</t>
        </is>
      </c>
      <c r="G280" t="n">
        <v>1.6</v>
      </c>
      <c r="H280" t="n">
        <v>0</v>
      </c>
      <c r="I280" t="n">
        <v>0</v>
      </c>
      <c r="J280" t="n">
        <v>0</v>
      </c>
      <c r="K280" t="n">
        <v>0</v>
      </c>
      <c r="L280" t="n">
        <v>0</v>
      </c>
      <c r="M280" t="n">
        <v>0</v>
      </c>
      <c r="N280" t="n">
        <v>0</v>
      </c>
      <c r="O280" t="n">
        <v>0</v>
      </c>
      <c r="P280" t="n">
        <v>0</v>
      </c>
      <c r="Q280" t="n">
        <v>0</v>
      </c>
      <c r="R280" s="2" t="inlineStr"/>
    </row>
    <row r="281" ht="15" customHeight="1">
      <c r="A281" t="inlineStr">
        <is>
          <t>A 37010-2021</t>
        </is>
      </c>
      <c r="B281" s="1" t="n">
        <v>44393</v>
      </c>
      <c r="C281" s="1" t="n">
        <v>45998</v>
      </c>
      <c r="D281" t="inlineStr">
        <is>
          <t>VÄSTERNORRLANDS LÄN</t>
        </is>
      </c>
      <c r="E281" t="inlineStr">
        <is>
          <t>ÅNGE</t>
        </is>
      </c>
      <c r="F281" t="inlineStr">
        <is>
          <t>Kyrkan</t>
        </is>
      </c>
      <c r="G281" t="n">
        <v>16.8</v>
      </c>
      <c r="H281" t="n">
        <v>0</v>
      </c>
      <c r="I281" t="n">
        <v>0</v>
      </c>
      <c r="J281" t="n">
        <v>0</v>
      </c>
      <c r="K281" t="n">
        <v>0</v>
      </c>
      <c r="L281" t="n">
        <v>0</v>
      </c>
      <c r="M281" t="n">
        <v>0</v>
      </c>
      <c r="N281" t="n">
        <v>0</v>
      </c>
      <c r="O281" t="n">
        <v>0</v>
      </c>
      <c r="P281" t="n">
        <v>0</v>
      </c>
      <c r="Q281" t="n">
        <v>0</v>
      </c>
      <c r="R281" s="2" t="inlineStr"/>
    </row>
    <row r="282" ht="15" customHeight="1">
      <c r="A282" t="inlineStr">
        <is>
          <t>A 9998-2022</t>
        </is>
      </c>
      <c r="B282" s="1" t="n">
        <v>44621.46462962963</v>
      </c>
      <c r="C282" s="1" t="n">
        <v>45998</v>
      </c>
      <c r="D282" t="inlineStr">
        <is>
          <t>VÄSTERNORRLANDS LÄN</t>
        </is>
      </c>
      <c r="E282" t="inlineStr">
        <is>
          <t>ÅNGE</t>
        </is>
      </c>
      <c r="G282" t="n">
        <v>0.6</v>
      </c>
      <c r="H282" t="n">
        <v>0</v>
      </c>
      <c r="I282" t="n">
        <v>0</v>
      </c>
      <c r="J282" t="n">
        <v>0</v>
      </c>
      <c r="K282" t="n">
        <v>0</v>
      </c>
      <c r="L282" t="n">
        <v>0</v>
      </c>
      <c r="M282" t="n">
        <v>0</v>
      </c>
      <c r="N282" t="n">
        <v>0</v>
      </c>
      <c r="O282" t="n">
        <v>0</v>
      </c>
      <c r="P282" t="n">
        <v>0</v>
      </c>
      <c r="Q282" t="n">
        <v>0</v>
      </c>
      <c r="R282" s="2" t="inlineStr"/>
    </row>
    <row r="283" ht="15" customHeight="1">
      <c r="A283" t="inlineStr">
        <is>
          <t>A 14084-2022</t>
        </is>
      </c>
      <c r="B283" s="1" t="n">
        <v>44651</v>
      </c>
      <c r="C283" s="1" t="n">
        <v>45998</v>
      </c>
      <c r="D283" t="inlineStr">
        <is>
          <t>VÄSTERNORRLANDS LÄN</t>
        </is>
      </c>
      <c r="E283" t="inlineStr">
        <is>
          <t>ÅNGE</t>
        </is>
      </c>
      <c r="G283" t="n">
        <v>1</v>
      </c>
      <c r="H283" t="n">
        <v>0</v>
      </c>
      <c r="I283" t="n">
        <v>0</v>
      </c>
      <c r="J283" t="n">
        <v>0</v>
      </c>
      <c r="K283" t="n">
        <v>0</v>
      </c>
      <c r="L283" t="n">
        <v>0</v>
      </c>
      <c r="M283" t="n">
        <v>0</v>
      </c>
      <c r="N283" t="n">
        <v>0</v>
      </c>
      <c r="O283" t="n">
        <v>0</v>
      </c>
      <c r="P283" t="n">
        <v>0</v>
      </c>
      <c r="Q283" t="n">
        <v>0</v>
      </c>
      <c r="R283" s="2" t="inlineStr"/>
    </row>
    <row r="284" ht="15" customHeight="1">
      <c r="A284" t="inlineStr">
        <is>
          <t>A 47654-2022</t>
        </is>
      </c>
      <c r="B284" s="1" t="n">
        <v>44854.45208333333</v>
      </c>
      <c r="C284" s="1" t="n">
        <v>45998</v>
      </c>
      <c r="D284" t="inlineStr">
        <is>
          <t>VÄSTERNORRLANDS LÄN</t>
        </is>
      </c>
      <c r="E284" t="inlineStr">
        <is>
          <t>ÅNGE</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14091-2022</t>
        </is>
      </c>
      <c r="B285" s="1" t="n">
        <v>44651</v>
      </c>
      <c r="C285" s="1" t="n">
        <v>45998</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70899-2021</t>
        </is>
      </c>
      <c r="B286" s="1" t="n">
        <v>44537</v>
      </c>
      <c r="C286" s="1" t="n">
        <v>45998</v>
      </c>
      <c r="D286" t="inlineStr">
        <is>
          <t>VÄSTERNORRLANDS LÄN</t>
        </is>
      </c>
      <c r="E286" t="inlineStr">
        <is>
          <t>ÅNGE</t>
        </is>
      </c>
      <c r="G286" t="n">
        <v>0.8</v>
      </c>
      <c r="H286" t="n">
        <v>0</v>
      </c>
      <c r="I286" t="n">
        <v>0</v>
      </c>
      <c r="J286" t="n">
        <v>0</v>
      </c>
      <c r="K286" t="n">
        <v>0</v>
      </c>
      <c r="L286" t="n">
        <v>0</v>
      </c>
      <c r="M286" t="n">
        <v>0</v>
      </c>
      <c r="N286" t="n">
        <v>0</v>
      </c>
      <c r="O286" t="n">
        <v>0</v>
      </c>
      <c r="P286" t="n">
        <v>0</v>
      </c>
      <c r="Q286" t="n">
        <v>0</v>
      </c>
      <c r="R286" s="2" t="inlineStr"/>
    </row>
    <row r="287" ht="15" customHeight="1">
      <c r="A287" t="inlineStr">
        <is>
          <t>A 21189-2021</t>
        </is>
      </c>
      <c r="B287" s="1" t="n">
        <v>44320</v>
      </c>
      <c r="C287" s="1" t="n">
        <v>45998</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45998</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45998</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45998</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45998</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45998</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19035-2022</t>
        </is>
      </c>
      <c r="B293" s="1" t="n">
        <v>44691</v>
      </c>
      <c r="C293" s="1" t="n">
        <v>45998</v>
      </c>
      <c r="D293" t="inlineStr">
        <is>
          <t>VÄSTERNORRLANDS LÄN</t>
        </is>
      </c>
      <c r="E293" t="inlineStr">
        <is>
          <t>ÅNGE</t>
        </is>
      </c>
      <c r="G293" t="n">
        <v>1.9</v>
      </c>
      <c r="H293" t="n">
        <v>0</v>
      </c>
      <c r="I293" t="n">
        <v>0</v>
      </c>
      <c r="J293" t="n">
        <v>0</v>
      </c>
      <c r="K293" t="n">
        <v>0</v>
      </c>
      <c r="L293" t="n">
        <v>0</v>
      </c>
      <c r="M293" t="n">
        <v>0</v>
      </c>
      <c r="N293" t="n">
        <v>0</v>
      </c>
      <c r="O293" t="n">
        <v>0</v>
      </c>
      <c r="P293" t="n">
        <v>0</v>
      </c>
      <c r="Q293" t="n">
        <v>0</v>
      </c>
      <c r="R293" s="2" t="inlineStr"/>
    </row>
    <row r="294" ht="15" customHeight="1">
      <c r="A294" t="inlineStr">
        <is>
          <t>A 5366-2022</t>
        </is>
      </c>
      <c r="B294" s="1" t="n">
        <v>44594.92107638889</v>
      </c>
      <c r="C294" s="1" t="n">
        <v>45998</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45998</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45998</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55905-2021</t>
        </is>
      </c>
      <c r="B297" s="1" t="n">
        <v>44476.91895833334</v>
      </c>
      <c r="C297" s="1" t="n">
        <v>45998</v>
      </c>
      <c r="D297" t="inlineStr">
        <is>
          <t>VÄSTERNORRLANDS LÄN</t>
        </is>
      </c>
      <c r="E297" t="inlineStr">
        <is>
          <t>ÅNGE</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45998</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35497-2022</t>
        </is>
      </c>
      <c r="B299" s="1" t="n">
        <v>44798</v>
      </c>
      <c r="C299" s="1" t="n">
        <v>45998</v>
      </c>
      <c r="D299" t="inlineStr">
        <is>
          <t>VÄSTERNORRLANDS LÄN</t>
        </is>
      </c>
      <c r="E299" t="inlineStr">
        <is>
          <t>ÅNGE</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17580-2022</t>
        </is>
      </c>
      <c r="B300" s="1" t="n">
        <v>44679</v>
      </c>
      <c r="C300" s="1" t="n">
        <v>45998</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46351-2022</t>
        </is>
      </c>
      <c r="B301" s="1" t="n">
        <v>44847</v>
      </c>
      <c r="C301" s="1" t="n">
        <v>45998</v>
      </c>
      <c r="D301" t="inlineStr">
        <is>
          <t>VÄSTERNORRLANDS LÄN</t>
        </is>
      </c>
      <c r="E301" t="inlineStr">
        <is>
          <t>ÅNGE</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45998</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44413-2022</t>
        </is>
      </c>
      <c r="B303" s="1" t="n">
        <v>44839.92630787037</v>
      </c>
      <c r="C303" s="1" t="n">
        <v>45998</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23016-2021</t>
        </is>
      </c>
      <c r="B304" s="1" t="n">
        <v>44328.92197916667</v>
      </c>
      <c r="C304" s="1" t="n">
        <v>45998</v>
      </c>
      <c r="D304" t="inlineStr">
        <is>
          <t>VÄSTERNORRLANDS LÄN</t>
        </is>
      </c>
      <c r="E304" t="inlineStr">
        <is>
          <t>ÅNGE</t>
        </is>
      </c>
      <c r="G304" t="n">
        <v>1.5</v>
      </c>
      <c r="H304" t="n">
        <v>0</v>
      </c>
      <c r="I304" t="n">
        <v>0</v>
      </c>
      <c r="J304" t="n">
        <v>0</v>
      </c>
      <c r="K304" t="n">
        <v>0</v>
      </c>
      <c r="L304" t="n">
        <v>0</v>
      </c>
      <c r="M304" t="n">
        <v>0</v>
      </c>
      <c r="N304" t="n">
        <v>0</v>
      </c>
      <c r="O304" t="n">
        <v>0</v>
      </c>
      <c r="P304" t="n">
        <v>0</v>
      </c>
      <c r="Q304" t="n">
        <v>0</v>
      </c>
      <c r="R304" s="2" t="inlineStr"/>
    </row>
    <row r="305" ht="15" customHeight="1">
      <c r="A305" t="inlineStr">
        <is>
          <t>A 37605-2021</t>
        </is>
      </c>
      <c r="B305" s="1" t="n">
        <v>44399</v>
      </c>
      <c r="C305" s="1" t="n">
        <v>45998</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37620-2021</t>
        </is>
      </c>
      <c r="B306" s="1" t="n">
        <v>44399</v>
      </c>
      <c r="C306" s="1" t="n">
        <v>45998</v>
      </c>
      <c r="D306" t="inlineStr">
        <is>
          <t>VÄSTERNORRLANDS LÄN</t>
        </is>
      </c>
      <c r="E306" t="inlineStr">
        <is>
          <t>ÅNGE</t>
        </is>
      </c>
      <c r="G306" t="n">
        <v>4.3</v>
      </c>
      <c r="H306" t="n">
        <v>0</v>
      </c>
      <c r="I306" t="n">
        <v>0</v>
      </c>
      <c r="J306" t="n">
        <v>0</v>
      </c>
      <c r="K306" t="n">
        <v>0</v>
      </c>
      <c r="L306" t="n">
        <v>0</v>
      </c>
      <c r="M306" t="n">
        <v>0</v>
      </c>
      <c r="N306" t="n">
        <v>0</v>
      </c>
      <c r="O306" t="n">
        <v>0</v>
      </c>
      <c r="P306" t="n">
        <v>0</v>
      </c>
      <c r="Q306" t="n">
        <v>0</v>
      </c>
      <c r="R306" s="2" t="inlineStr"/>
    </row>
    <row r="307" ht="15" customHeight="1">
      <c r="A307" t="inlineStr">
        <is>
          <t>A 70893-2021</t>
        </is>
      </c>
      <c r="B307" s="1" t="n">
        <v>44538</v>
      </c>
      <c r="C307" s="1" t="n">
        <v>45998</v>
      </c>
      <c r="D307" t="inlineStr">
        <is>
          <t>VÄSTERNORRLANDS LÄN</t>
        </is>
      </c>
      <c r="E307" t="inlineStr">
        <is>
          <t>ÅNGE</t>
        </is>
      </c>
      <c r="G307" t="n">
        <v>6.2</v>
      </c>
      <c r="H307" t="n">
        <v>0</v>
      </c>
      <c r="I307" t="n">
        <v>0</v>
      </c>
      <c r="J307" t="n">
        <v>0</v>
      </c>
      <c r="K307" t="n">
        <v>0</v>
      </c>
      <c r="L307" t="n">
        <v>0</v>
      </c>
      <c r="M307" t="n">
        <v>0</v>
      </c>
      <c r="N307" t="n">
        <v>0</v>
      </c>
      <c r="O307" t="n">
        <v>0</v>
      </c>
      <c r="P307" t="n">
        <v>0</v>
      </c>
      <c r="Q307" t="n">
        <v>0</v>
      </c>
      <c r="R307" s="2" t="inlineStr"/>
    </row>
    <row r="308" ht="15" customHeight="1">
      <c r="A308" t="inlineStr">
        <is>
          <t>A 32536-2022</t>
        </is>
      </c>
      <c r="B308" s="1" t="n">
        <v>44783.30246527777</v>
      </c>
      <c r="C308" s="1" t="n">
        <v>45998</v>
      </c>
      <c r="D308" t="inlineStr">
        <is>
          <t>VÄSTERNORRLANDS LÄN</t>
        </is>
      </c>
      <c r="E308" t="inlineStr">
        <is>
          <t>ÅNGE</t>
        </is>
      </c>
      <c r="G308" t="n">
        <v>0.4</v>
      </c>
      <c r="H308" t="n">
        <v>0</v>
      </c>
      <c r="I308" t="n">
        <v>0</v>
      </c>
      <c r="J308" t="n">
        <v>0</v>
      </c>
      <c r="K308" t="n">
        <v>0</v>
      </c>
      <c r="L308" t="n">
        <v>0</v>
      </c>
      <c r="M308" t="n">
        <v>0</v>
      </c>
      <c r="N308" t="n">
        <v>0</v>
      </c>
      <c r="O308" t="n">
        <v>0</v>
      </c>
      <c r="P308" t="n">
        <v>0</v>
      </c>
      <c r="Q308" t="n">
        <v>0</v>
      </c>
      <c r="R308" s="2" t="inlineStr"/>
    </row>
    <row r="309" ht="15" customHeight="1">
      <c r="A309" t="inlineStr">
        <is>
          <t>A 20369-2022</t>
        </is>
      </c>
      <c r="B309" s="1" t="n">
        <v>44699.41140046297</v>
      </c>
      <c r="C309" s="1" t="n">
        <v>45998</v>
      </c>
      <c r="D309" t="inlineStr">
        <is>
          <t>VÄSTERNORRLANDS LÄN</t>
        </is>
      </c>
      <c r="E309" t="inlineStr">
        <is>
          <t>ÅNGE</t>
        </is>
      </c>
      <c r="G309" t="n">
        <v>5.5</v>
      </c>
      <c r="H309" t="n">
        <v>0</v>
      </c>
      <c r="I309" t="n">
        <v>0</v>
      </c>
      <c r="J309" t="n">
        <v>0</v>
      </c>
      <c r="K309" t="n">
        <v>0</v>
      </c>
      <c r="L309" t="n">
        <v>0</v>
      </c>
      <c r="M309" t="n">
        <v>0</v>
      </c>
      <c r="N309" t="n">
        <v>0</v>
      </c>
      <c r="O309" t="n">
        <v>0</v>
      </c>
      <c r="P309" t="n">
        <v>0</v>
      </c>
      <c r="Q309" t="n">
        <v>0</v>
      </c>
      <c r="R309" s="2" t="inlineStr"/>
    </row>
    <row r="310" ht="15" customHeight="1">
      <c r="A310" t="inlineStr">
        <is>
          <t>A 32631-2022</t>
        </is>
      </c>
      <c r="B310" s="1" t="n">
        <v>44783</v>
      </c>
      <c r="C310" s="1" t="n">
        <v>45998</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45998</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45998</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45998</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68812-2020</t>
        </is>
      </c>
      <c r="B314" s="1" t="n">
        <v>44187</v>
      </c>
      <c r="C314" s="1" t="n">
        <v>45998</v>
      </c>
      <c r="D314" t="inlineStr">
        <is>
          <t>VÄSTERNORRLANDS LÄN</t>
        </is>
      </c>
      <c r="E314" t="inlineStr">
        <is>
          <t>ÅNGE</t>
        </is>
      </c>
      <c r="G314" t="n">
        <v>1.6</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45998</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30495-2022</t>
        </is>
      </c>
      <c r="B316" s="1" t="n">
        <v>44761.9424074074</v>
      </c>
      <c r="C316" s="1" t="n">
        <v>45998</v>
      </c>
      <c r="D316" t="inlineStr">
        <is>
          <t>VÄSTERNORRLANDS LÄN</t>
        </is>
      </c>
      <c r="E316" t="inlineStr">
        <is>
          <t>ÅNGE</t>
        </is>
      </c>
      <c r="F316" t="inlineStr">
        <is>
          <t>SCA</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56907-2021</t>
        </is>
      </c>
      <c r="B317" s="1" t="n">
        <v>44481.93837962963</v>
      </c>
      <c r="C317" s="1" t="n">
        <v>45998</v>
      </c>
      <c r="D317" t="inlineStr">
        <is>
          <t>VÄSTERNORRLANDS LÄN</t>
        </is>
      </c>
      <c r="E317" t="inlineStr">
        <is>
          <t>ÅNGE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12800-2021</t>
        </is>
      </c>
      <c r="B318" s="1" t="n">
        <v>44270.92056712963</v>
      </c>
      <c r="C318" s="1" t="n">
        <v>45998</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45998</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45998</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66229-2021</t>
        </is>
      </c>
      <c r="B321" s="1" t="n">
        <v>44518.3875</v>
      </c>
      <c r="C321" s="1" t="n">
        <v>45998</v>
      </c>
      <c r="D321" t="inlineStr">
        <is>
          <t>VÄSTERNORRLANDS LÄN</t>
        </is>
      </c>
      <c r="E321" t="inlineStr">
        <is>
          <t>ÅNGE</t>
        </is>
      </c>
      <c r="G321" t="n">
        <v>3.5</v>
      </c>
      <c r="H321" t="n">
        <v>0</v>
      </c>
      <c r="I321" t="n">
        <v>0</v>
      </c>
      <c r="J321" t="n">
        <v>0</v>
      </c>
      <c r="K321" t="n">
        <v>0</v>
      </c>
      <c r="L321" t="n">
        <v>0</v>
      </c>
      <c r="M321" t="n">
        <v>0</v>
      </c>
      <c r="N321" t="n">
        <v>0</v>
      </c>
      <c r="O321" t="n">
        <v>0</v>
      </c>
      <c r="P321" t="n">
        <v>0</v>
      </c>
      <c r="Q321" t="n">
        <v>0</v>
      </c>
      <c r="R321" s="2" t="inlineStr"/>
    </row>
    <row r="322" ht="15" customHeight="1">
      <c r="A322" t="inlineStr">
        <is>
          <t>A 66233-2021</t>
        </is>
      </c>
      <c r="B322" s="1" t="n">
        <v>44518.39234953704</v>
      </c>
      <c r="C322" s="1" t="n">
        <v>45998</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51555-2022</t>
        </is>
      </c>
      <c r="B323" s="1" t="n">
        <v>44869.9495949074</v>
      </c>
      <c r="C323" s="1" t="n">
        <v>45998</v>
      </c>
      <c r="D323" t="inlineStr">
        <is>
          <t>VÄSTERNORRLANDS LÄN</t>
        </is>
      </c>
      <c r="E323" t="inlineStr">
        <is>
          <t>ÅNGE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45998</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45998</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35058-2021</t>
        </is>
      </c>
      <c r="B326" s="1" t="n">
        <v>44383</v>
      </c>
      <c r="C326" s="1" t="n">
        <v>45998</v>
      </c>
      <c r="D326" t="inlineStr">
        <is>
          <t>VÄSTERNORRLANDS LÄN</t>
        </is>
      </c>
      <c r="E326" t="inlineStr">
        <is>
          <t>ÅNGE</t>
        </is>
      </c>
      <c r="F326" t="inlineStr">
        <is>
          <t>SCA</t>
        </is>
      </c>
      <c r="G326" t="n">
        <v>0.4</v>
      </c>
      <c r="H326" t="n">
        <v>0</v>
      </c>
      <c r="I326" t="n">
        <v>0</v>
      </c>
      <c r="J326" t="n">
        <v>0</v>
      </c>
      <c r="K326" t="n">
        <v>0</v>
      </c>
      <c r="L326" t="n">
        <v>0</v>
      </c>
      <c r="M326" t="n">
        <v>0</v>
      </c>
      <c r="N326" t="n">
        <v>0</v>
      </c>
      <c r="O326" t="n">
        <v>0</v>
      </c>
      <c r="P326" t="n">
        <v>0</v>
      </c>
      <c r="Q326" t="n">
        <v>0</v>
      </c>
      <c r="R326" s="2" t="inlineStr"/>
    </row>
    <row r="327" ht="15" customHeight="1">
      <c r="A327" t="inlineStr">
        <is>
          <t>A 35079-2021</t>
        </is>
      </c>
      <c r="B327" s="1" t="n">
        <v>44383</v>
      </c>
      <c r="C327" s="1" t="n">
        <v>45998</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65277-2020</t>
        </is>
      </c>
      <c r="B328" s="1" t="n">
        <v>44172</v>
      </c>
      <c r="C328" s="1" t="n">
        <v>45998</v>
      </c>
      <c r="D328" t="inlineStr">
        <is>
          <t>VÄSTERNORRLANDS LÄN</t>
        </is>
      </c>
      <c r="E328" t="inlineStr">
        <is>
          <t>ÅNGE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21642-2021</t>
        </is>
      </c>
      <c r="B329" s="1" t="n">
        <v>44321.94239583334</v>
      </c>
      <c r="C329" s="1" t="n">
        <v>45998</v>
      </c>
      <c r="D329" t="inlineStr">
        <is>
          <t>VÄSTERNORRLANDS LÄN</t>
        </is>
      </c>
      <c r="E329" t="inlineStr">
        <is>
          <t>ÅNGE</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30286-2021</t>
        </is>
      </c>
      <c r="B330" s="1" t="n">
        <v>44363</v>
      </c>
      <c r="C330" s="1" t="n">
        <v>45998</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47443-2022</t>
        </is>
      </c>
      <c r="B331" s="1" t="n">
        <v>44853.59686342593</v>
      </c>
      <c r="C331" s="1" t="n">
        <v>45998</v>
      </c>
      <c r="D331" t="inlineStr">
        <is>
          <t>VÄSTERNORRLANDS LÄN</t>
        </is>
      </c>
      <c r="E331" t="inlineStr">
        <is>
          <t>ÅNGE</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20807-2021</t>
        </is>
      </c>
      <c r="B332" s="1" t="n">
        <v>44316.93965277778</v>
      </c>
      <c r="C332" s="1" t="n">
        <v>45998</v>
      </c>
      <c r="D332" t="inlineStr">
        <is>
          <t>VÄSTERNORRLANDS LÄN</t>
        </is>
      </c>
      <c r="E332" t="inlineStr">
        <is>
          <t>ÅNGE</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17594-2021</t>
        </is>
      </c>
      <c r="B333" s="1" t="n">
        <v>44299</v>
      </c>
      <c r="C333" s="1" t="n">
        <v>45998</v>
      </c>
      <c r="D333" t="inlineStr">
        <is>
          <t>VÄSTERNORRLANDS LÄN</t>
        </is>
      </c>
      <c r="E333" t="inlineStr">
        <is>
          <t>ÅNGE</t>
        </is>
      </c>
      <c r="G333" t="n">
        <v>0.8</v>
      </c>
      <c r="H333" t="n">
        <v>0</v>
      </c>
      <c r="I333" t="n">
        <v>0</v>
      </c>
      <c r="J333" t="n">
        <v>0</v>
      </c>
      <c r="K333" t="n">
        <v>0</v>
      </c>
      <c r="L333" t="n">
        <v>0</v>
      </c>
      <c r="M333" t="n">
        <v>0</v>
      </c>
      <c r="N333" t="n">
        <v>0</v>
      </c>
      <c r="O333" t="n">
        <v>0</v>
      </c>
      <c r="P333" t="n">
        <v>0</v>
      </c>
      <c r="Q333" t="n">
        <v>0</v>
      </c>
      <c r="R333" s="2" t="inlineStr"/>
    </row>
    <row r="334" ht="15" customHeight="1">
      <c r="A334" t="inlineStr">
        <is>
          <t>A 35276-2022</t>
        </is>
      </c>
      <c r="B334" s="1" t="n">
        <v>44798</v>
      </c>
      <c r="C334" s="1" t="n">
        <v>45998</v>
      </c>
      <c r="D334" t="inlineStr">
        <is>
          <t>VÄSTERNORRLANDS LÄN</t>
        </is>
      </c>
      <c r="E334" t="inlineStr">
        <is>
          <t>ÅNGE</t>
        </is>
      </c>
      <c r="G334" t="n">
        <v>15.2</v>
      </c>
      <c r="H334" t="n">
        <v>0</v>
      </c>
      <c r="I334" t="n">
        <v>0</v>
      </c>
      <c r="J334" t="n">
        <v>0</v>
      </c>
      <c r="K334" t="n">
        <v>0</v>
      </c>
      <c r="L334" t="n">
        <v>0</v>
      </c>
      <c r="M334" t="n">
        <v>0</v>
      </c>
      <c r="N334" t="n">
        <v>0</v>
      </c>
      <c r="O334" t="n">
        <v>0</v>
      </c>
      <c r="P334" t="n">
        <v>0</v>
      </c>
      <c r="Q334" t="n">
        <v>0</v>
      </c>
      <c r="R334" s="2" t="inlineStr"/>
    </row>
    <row r="335" ht="15" customHeight="1">
      <c r="A335" t="inlineStr">
        <is>
          <t>A 13149-2021</t>
        </is>
      </c>
      <c r="B335" s="1" t="n">
        <v>44272</v>
      </c>
      <c r="C335" s="1" t="n">
        <v>45998</v>
      </c>
      <c r="D335" t="inlineStr">
        <is>
          <t>VÄSTERNORRLANDS LÄN</t>
        </is>
      </c>
      <c r="E335" t="inlineStr">
        <is>
          <t>ÅNGE</t>
        </is>
      </c>
      <c r="G335" t="n">
        <v>3.4</v>
      </c>
      <c r="H335" t="n">
        <v>0</v>
      </c>
      <c r="I335" t="n">
        <v>0</v>
      </c>
      <c r="J335" t="n">
        <v>0</v>
      </c>
      <c r="K335" t="n">
        <v>0</v>
      </c>
      <c r="L335" t="n">
        <v>0</v>
      </c>
      <c r="M335" t="n">
        <v>0</v>
      </c>
      <c r="N335" t="n">
        <v>0</v>
      </c>
      <c r="O335" t="n">
        <v>0</v>
      </c>
      <c r="P335" t="n">
        <v>0</v>
      </c>
      <c r="Q335" t="n">
        <v>0</v>
      </c>
      <c r="R335" s="2" t="inlineStr"/>
    </row>
    <row r="336" ht="15" customHeight="1">
      <c r="A336" t="inlineStr">
        <is>
          <t>A 11098-2022</t>
        </is>
      </c>
      <c r="B336" s="1" t="n">
        <v>44628</v>
      </c>
      <c r="C336" s="1" t="n">
        <v>45998</v>
      </c>
      <c r="D336" t="inlineStr">
        <is>
          <t>VÄSTERNORRLANDS LÄN</t>
        </is>
      </c>
      <c r="E336" t="inlineStr">
        <is>
          <t>ÅNGE</t>
        </is>
      </c>
      <c r="G336" t="n">
        <v>8.9</v>
      </c>
      <c r="H336" t="n">
        <v>0</v>
      </c>
      <c r="I336" t="n">
        <v>0</v>
      </c>
      <c r="J336" t="n">
        <v>0</v>
      </c>
      <c r="K336" t="n">
        <v>0</v>
      </c>
      <c r="L336" t="n">
        <v>0</v>
      </c>
      <c r="M336" t="n">
        <v>0</v>
      </c>
      <c r="N336" t="n">
        <v>0</v>
      </c>
      <c r="O336" t="n">
        <v>0</v>
      </c>
      <c r="P336" t="n">
        <v>0</v>
      </c>
      <c r="Q336" t="n">
        <v>0</v>
      </c>
      <c r="R336" s="2" t="inlineStr"/>
    </row>
    <row r="337" ht="15" customHeight="1">
      <c r="A337" t="inlineStr">
        <is>
          <t>A 13479-2021</t>
        </is>
      </c>
      <c r="B337" s="1" t="n">
        <v>44273</v>
      </c>
      <c r="C337" s="1" t="n">
        <v>45998</v>
      </c>
      <c r="D337" t="inlineStr">
        <is>
          <t>VÄSTERNORRLANDS LÄN</t>
        </is>
      </c>
      <c r="E337" t="inlineStr">
        <is>
          <t>ÅNGE</t>
        </is>
      </c>
      <c r="G337" t="n">
        <v>0.1</v>
      </c>
      <c r="H337" t="n">
        <v>0</v>
      </c>
      <c r="I337" t="n">
        <v>0</v>
      </c>
      <c r="J337" t="n">
        <v>0</v>
      </c>
      <c r="K337" t="n">
        <v>0</v>
      </c>
      <c r="L337" t="n">
        <v>0</v>
      </c>
      <c r="M337" t="n">
        <v>0</v>
      </c>
      <c r="N337" t="n">
        <v>0</v>
      </c>
      <c r="O337" t="n">
        <v>0</v>
      </c>
      <c r="P337" t="n">
        <v>0</v>
      </c>
      <c r="Q337" t="n">
        <v>0</v>
      </c>
      <c r="R337" s="2" t="inlineStr"/>
    </row>
    <row r="338" ht="15" customHeight="1">
      <c r="A338" t="inlineStr">
        <is>
          <t>A 13510-2021</t>
        </is>
      </c>
      <c r="B338" s="1" t="n">
        <v>44273</v>
      </c>
      <c r="C338" s="1" t="n">
        <v>45998</v>
      </c>
      <c r="D338" t="inlineStr">
        <is>
          <t>VÄSTERNORRLANDS LÄN</t>
        </is>
      </c>
      <c r="E338" t="inlineStr">
        <is>
          <t>ÅNGE</t>
        </is>
      </c>
      <c r="G338" t="n">
        <v>0.4</v>
      </c>
      <c r="H338" t="n">
        <v>0</v>
      </c>
      <c r="I338" t="n">
        <v>0</v>
      </c>
      <c r="J338" t="n">
        <v>0</v>
      </c>
      <c r="K338" t="n">
        <v>0</v>
      </c>
      <c r="L338" t="n">
        <v>0</v>
      </c>
      <c r="M338" t="n">
        <v>0</v>
      </c>
      <c r="N338" t="n">
        <v>0</v>
      </c>
      <c r="O338" t="n">
        <v>0</v>
      </c>
      <c r="P338" t="n">
        <v>0</v>
      </c>
      <c r="Q338" t="n">
        <v>0</v>
      </c>
      <c r="R338" s="2" t="inlineStr"/>
    </row>
    <row r="339" ht="15" customHeight="1">
      <c r="A339" t="inlineStr">
        <is>
          <t>A 4939-2022</t>
        </is>
      </c>
      <c r="B339" s="1" t="n">
        <v>44593.50019675926</v>
      </c>
      <c r="C339" s="1" t="n">
        <v>45998</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65280-2020</t>
        </is>
      </c>
      <c r="B340" s="1" t="n">
        <v>44172</v>
      </c>
      <c r="C340" s="1" t="n">
        <v>45998</v>
      </c>
      <c r="D340" t="inlineStr">
        <is>
          <t>VÄSTERNORRLANDS LÄN</t>
        </is>
      </c>
      <c r="E340" t="inlineStr">
        <is>
          <t>ÅNGE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45998</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42881-2021</t>
        </is>
      </c>
      <c r="B342" s="1" t="n">
        <v>44431.31181712963</v>
      </c>
      <c r="C342" s="1" t="n">
        <v>45998</v>
      </c>
      <c r="D342" t="inlineStr">
        <is>
          <t>VÄSTERNORRLANDS LÄN</t>
        </is>
      </c>
      <c r="E342" t="inlineStr">
        <is>
          <t>ÅNGE</t>
        </is>
      </c>
      <c r="G342" t="n">
        <v>0.5</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45998</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45998</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7633-2022</t>
        </is>
      </c>
      <c r="B345" s="1" t="n">
        <v>44607.71378472223</v>
      </c>
      <c r="C345" s="1" t="n">
        <v>45998</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5822-2021</t>
        </is>
      </c>
      <c r="B346" s="1" t="n">
        <v>44230</v>
      </c>
      <c r="C346" s="1" t="n">
        <v>45998</v>
      </c>
      <c r="D346" t="inlineStr">
        <is>
          <t>VÄSTERNORRLANDS LÄN</t>
        </is>
      </c>
      <c r="E346" t="inlineStr">
        <is>
          <t>ÅNGE</t>
        </is>
      </c>
      <c r="G346" t="n">
        <v>1.5</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45998</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45998</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33408-2021</t>
        </is>
      </c>
      <c r="B349" s="1" t="n">
        <v>44377</v>
      </c>
      <c r="C349" s="1" t="n">
        <v>45998</v>
      </c>
      <c r="D349" t="inlineStr">
        <is>
          <t>VÄSTERNORRLANDS LÄN</t>
        </is>
      </c>
      <c r="E349" t="inlineStr">
        <is>
          <t>ÅNGE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45998</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45998</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50125-2021</t>
        </is>
      </c>
      <c r="B352" s="1" t="n">
        <v>44456</v>
      </c>
      <c r="C352" s="1" t="n">
        <v>45998</v>
      </c>
      <c r="D352" t="inlineStr">
        <is>
          <t>VÄSTERNORRLANDS LÄN</t>
        </is>
      </c>
      <c r="E352" t="inlineStr">
        <is>
          <t>ÅNGE</t>
        </is>
      </c>
      <c r="G352" t="n">
        <v>1.2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45998</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6898-2022</t>
        </is>
      </c>
      <c r="B354" s="1" t="n">
        <v>44602.92141203704</v>
      </c>
      <c r="C354" s="1" t="n">
        <v>45998</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45998</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69736-2021</t>
        </is>
      </c>
      <c r="B356" s="1" t="n">
        <v>44532</v>
      </c>
      <c r="C356" s="1" t="n">
        <v>45998</v>
      </c>
      <c r="D356" t="inlineStr">
        <is>
          <t>VÄSTERNORRLANDS LÄN</t>
        </is>
      </c>
      <c r="E356" t="inlineStr">
        <is>
          <t>ÅNGE</t>
        </is>
      </c>
      <c r="G356" t="n">
        <v>5</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45998</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14587-2021</t>
        </is>
      </c>
      <c r="B358" s="1" t="n">
        <v>44279.91825231481</v>
      </c>
      <c r="C358" s="1" t="n">
        <v>45998</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45998</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45998</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10342-2021</t>
        </is>
      </c>
      <c r="B361" s="1" t="n">
        <v>44257</v>
      </c>
      <c r="C361" s="1" t="n">
        <v>45998</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45998</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5279-2022</t>
        </is>
      </c>
      <c r="B363" s="1" t="n">
        <v>44594</v>
      </c>
      <c r="C363" s="1" t="n">
        <v>45998</v>
      </c>
      <c r="D363" t="inlineStr">
        <is>
          <t>VÄSTERNORRLANDS LÄN</t>
        </is>
      </c>
      <c r="E363" t="inlineStr">
        <is>
          <t>ÅNGE</t>
        </is>
      </c>
      <c r="G363" t="n">
        <v>0.9</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45998</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45998</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38369-2021</t>
        </is>
      </c>
      <c r="B366" s="1" t="n">
        <v>44406</v>
      </c>
      <c r="C366" s="1" t="n">
        <v>45998</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45998</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45998</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57162-2021</t>
        </is>
      </c>
      <c r="B369" s="1" t="n">
        <v>44482</v>
      </c>
      <c r="C369" s="1" t="n">
        <v>45998</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45998</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17963-2022</t>
        </is>
      </c>
      <c r="B371" s="1" t="n">
        <v>44683</v>
      </c>
      <c r="C371" s="1" t="n">
        <v>45998</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45998</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55907-2022</t>
        </is>
      </c>
      <c r="B373" s="1" t="n">
        <v>44888.95457175926</v>
      </c>
      <c r="C373" s="1" t="n">
        <v>45998</v>
      </c>
      <c r="D373" t="inlineStr">
        <is>
          <t>VÄSTERNORRLANDS LÄN</t>
        </is>
      </c>
      <c r="E373" t="inlineStr">
        <is>
          <t>ÅNGE</t>
        </is>
      </c>
      <c r="F373" t="inlineStr">
        <is>
          <t>SCA</t>
        </is>
      </c>
      <c r="G373" t="n">
        <v>8.4</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45998</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31647-2022</t>
        </is>
      </c>
      <c r="B375" s="1" t="n">
        <v>44775.94328703704</v>
      </c>
      <c r="C375" s="1" t="n">
        <v>45998</v>
      </c>
      <c r="D375" t="inlineStr">
        <is>
          <t>VÄSTERNORRLANDS LÄN</t>
        </is>
      </c>
      <c r="E375" t="inlineStr">
        <is>
          <t>ÅNGE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44412-2022</t>
        </is>
      </c>
      <c r="B376" s="1" t="n">
        <v>44839.92626157407</v>
      </c>
      <c r="C376" s="1" t="n">
        <v>45998</v>
      </c>
      <c r="D376" t="inlineStr">
        <is>
          <t>VÄSTERNORRLANDS LÄN</t>
        </is>
      </c>
      <c r="E376" t="inlineStr">
        <is>
          <t>ÅNGE</t>
        </is>
      </c>
      <c r="G376" t="n">
        <v>1.6</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45998</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45998</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51542-2022</t>
        </is>
      </c>
      <c r="B379" s="1" t="n">
        <v>44869.94850694444</v>
      </c>
      <c r="C379" s="1" t="n">
        <v>45998</v>
      </c>
      <c r="D379" t="inlineStr">
        <is>
          <t>VÄSTERNORRLANDS LÄN</t>
        </is>
      </c>
      <c r="E379" t="inlineStr">
        <is>
          <t>ÅNGE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61909-2021</t>
        </is>
      </c>
      <c r="B380" s="1" t="n">
        <v>44502.35310185186</v>
      </c>
      <c r="C380" s="1" t="n">
        <v>45998</v>
      </c>
      <c r="D380" t="inlineStr">
        <is>
          <t>VÄSTERNORRLANDS LÄN</t>
        </is>
      </c>
      <c r="E380" t="inlineStr">
        <is>
          <t>ÅNGE</t>
        </is>
      </c>
      <c r="G380" t="n">
        <v>2.4</v>
      </c>
      <c r="H380" t="n">
        <v>0</v>
      </c>
      <c r="I380" t="n">
        <v>0</v>
      </c>
      <c r="J380" t="n">
        <v>0</v>
      </c>
      <c r="K380" t="n">
        <v>0</v>
      </c>
      <c r="L380" t="n">
        <v>0</v>
      </c>
      <c r="M380" t="n">
        <v>0</v>
      </c>
      <c r="N380" t="n">
        <v>0</v>
      </c>
      <c r="O380" t="n">
        <v>0</v>
      </c>
      <c r="P380" t="n">
        <v>0</v>
      </c>
      <c r="Q380" t="n">
        <v>0</v>
      </c>
      <c r="R380" s="2" t="inlineStr"/>
    </row>
    <row r="381" ht="15" customHeight="1">
      <c r="A381" t="inlineStr">
        <is>
          <t>A 25020-2021</t>
        </is>
      </c>
      <c r="B381" s="1" t="n">
        <v>44341</v>
      </c>
      <c r="C381" s="1" t="n">
        <v>45998</v>
      </c>
      <c r="D381" t="inlineStr">
        <is>
          <t>VÄSTERNORRLANDS LÄN</t>
        </is>
      </c>
      <c r="E381" t="inlineStr">
        <is>
          <t>ÅNGE</t>
        </is>
      </c>
      <c r="G381" t="n">
        <v>3.4</v>
      </c>
      <c r="H381" t="n">
        <v>0</v>
      </c>
      <c r="I381" t="n">
        <v>0</v>
      </c>
      <c r="J381" t="n">
        <v>0</v>
      </c>
      <c r="K381" t="n">
        <v>0</v>
      </c>
      <c r="L381" t="n">
        <v>0</v>
      </c>
      <c r="M381" t="n">
        <v>0</v>
      </c>
      <c r="N381" t="n">
        <v>0</v>
      </c>
      <c r="O381" t="n">
        <v>0</v>
      </c>
      <c r="P381" t="n">
        <v>0</v>
      </c>
      <c r="Q381" t="n">
        <v>0</v>
      </c>
      <c r="R381" s="2" t="inlineStr"/>
    </row>
    <row r="382" ht="15" customHeight="1">
      <c r="A382" t="inlineStr">
        <is>
          <t>A 6263-2022</t>
        </is>
      </c>
      <c r="B382" s="1" t="n">
        <v>44600</v>
      </c>
      <c r="C382" s="1" t="n">
        <v>45998</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45998</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45998</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63170-2023</t>
        </is>
      </c>
      <c r="B385" s="1" t="n">
        <v>45273.57087962963</v>
      </c>
      <c r="C385" s="1" t="n">
        <v>45998</v>
      </c>
      <c r="D385" t="inlineStr">
        <is>
          <t>VÄSTERNORRLANDS LÄN</t>
        </is>
      </c>
      <c r="E385" t="inlineStr">
        <is>
          <t>ÅNGE</t>
        </is>
      </c>
      <c r="F385" t="inlineStr">
        <is>
          <t>Holmen skog AB</t>
        </is>
      </c>
      <c r="G385" t="n">
        <v>4.1</v>
      </c>
      <c r="H385" t="n">
        <v>0</v>
      </c>
      <c r="I385" t="n">
        <v>0</v>
      </c>
      <c r="J385" t="n">
        <v>0</v>
      </c>
      <c r="K385" t="n">
        <v>0</v>
      </c>
      <c r="L385" t="n">
        <v>0</v>
      </c>
      <c r="M385" t="n">
        <v>0</v>
      </c>
      <c r="N385" t="n">
        <v>0</v>
      </c>
      <c r="O385" t="n">
        <v>0</v>
      </c>
      <c r="P385" t="n">
        <v>0</v>
      </c>
      <c r="Q385" t="n">
        <v>0</v>
      </c>
      <c r="R385" s="2" t="inlineStr"/>
    </row>
    <row r="386" ht="15" customHeight="1">
      <c r="A386" t="inlineStr">
        <is>
          <t>A 30273-2023</t>
        </is>
      </c>
      <c r="B386" s="1" t="n">
        <v>45099</v>
      </c>
      <c r="C386" s="1" t="n">
        <v>45998</v>
      </c>
      <c r="D386" t="inlineStr">
        <is>
          <t>VÄSTERNORRLANDS LÄN</t>
        </is>
      </c>
      <c r="E386" t="inlineStr">
        <is>
          <t>ÅNGE</t>
        </is>
      </c>
      <c r="G386" t="n">
        <v>3.9</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45998</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39594-2022</t>
        </is>
      </c>
      <c r="B388" s="1" t="n">
        <v>44818</v>
      </c>
      <c r="C388" s="1" t="n">
        <v>45998</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10313-2022</t>
        </is>
      </c>
      <c r="B389" s="1" t="n">
        <v>44622</v>
      </c>
      <c r="C389" s="1" t="n">
        <v>45998</v>
      </c>
      <c r="D389" t="inlineStr">
        <is>
          <t>VÄSTERNORRLANDS LÄN</t>
        </is>
      </c>
      <c r="E389" t="inlineStr">
        <is>
          <t>ÅNGE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60368-2024</t>
        </is>
      </c>
      <c r="B390" s="1" t="n">
        <v>45643</v>
      </c>
      <c r="C390" s="1" t="n">
        <v>45998</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31729-2024</t>
        </is>
      </c>
      <c r="B391" s="1" t="n">
        <v>45509.35844907408</v>
      </c>
      <c r="C391" s="1" t="n">
        <v>45998</v>
      </c>
      <c r="D391" t="inlineStr">
        <is>
          <t>VÄSTERNORRLANDS LÄN</t>
        </is>
      </c>
      <c r="E391" t="inlineStr">
        <is>
          <t>ÅNGE</t>
        </is>
      </c>
      <c r="G391" t="n">
        <v>1.9</v>
      </c>
      <c r="H391" t="n">
        <v>0</v>
      </c>
      <c r="I391" t="n">
        <v>0</v>
      </c>
      <c r="J391" t="n">
        <v>0</v>
      </c>
      <c r="K391" t="n">
        <v>0</v>
      </c>
      <c r="L391" t="n">
        <v>0</v>
      </c>
      <c r="M391" t="n">
        <v>0</v>
      </c>
      <c r="N391" t="n">
        <v>0</v>
      </c>
      <c r="O391" t="n">
        <v>0</v>
      </c>
      <c r="P391" t="n">
        <v>0</v>
      </c>
      <c r="Q391" t="n">
        <v>0</v>
      </c>
      <c r="R391" s="2" t="inlineStr"/>
    </row>
    <row r="392" ht="15" customHeight="1">
      <c r="A392" t="inlineStr">
        <is>
          <t>A 34783-2021</t>
        </is>
      </c>
      <c r="B392" s="1" t="n">
        <v>44382</v>
      </c>
      <c r="C392" s="1" t="n">
        <v>45998</v>
      </c>
      <c r="D392" t="inlineStr">
        <is>
          <t>VÄSTERNORRLANDS LÄN</t>
        </is>
      </c>
      <c r="E392" t="inlineStr">
        <is>
          <t>ÅNGE</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4187-2025</t>
        </is>
      </c>
      <c r="B393" s="1" t="n">
        <v>45685.44842592593</v>
      </c>
      <c r="C393" s="1" t="n">
        <v>45998</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45998</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45998</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12807-2025</t>
        </is>
      </c>
      <c r="B396" s="1" t="n">
        <v>45733.61537037037</v>
      </c>
      <c r="C396" s="1" t="n">
        <v>45998</v>
      </c>
      <c r="D396" t="inlineStr">
        <is>
          <t>VÄSTERNORRLANDS LÄN</t>
        </is>
      </c>
      <c r="E396" t="inlineStr">
        <is>
          <t>ÅNGE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31325-2022</t>
        </is>
      </c>
      <c r="B397" s="1" t="n">
        <v>44774.41421296296</v>
      </c>
      <c r="C397" s="1" t="n">
        <v>45998</v>
      </c>
      <c r="D397" t="inlineStr">
        <is>
          <t>VÄSTERNORRLANDS LÄN</t>
        </is>
      </c>
      <c r="E397" t="inlineStr">
        <is>
          <t>ÅNGE</t>
        </is>
      </c>
      <c r="G397" t="n">
        <v>6.3</v>
      </c>
      <c r="H397" t="n">
        <v>0</v>
      </c>
      <c r="I397" t="n">
        <v>0</v>
      </c>
      <c r="J397" t="n">
        <v>0</v>
      </c>
      <c r="K397" t="n">
        <v>0</v>
      </c>
      <c r="L397" t="n">
        <v>0</v>
      </c>
      <c r="M397" t="n">
        <v>0</v>
      </c>
      <c r="N397" t="n">
        <v>0</v>
      </c>
      <c r="O397" t="n">
        <v>0</v>
      </c>
      <c r="P397" t="n">
        <v>0</v>
      </c>
      <c r="Q397" t="n">
        <v>0</v>
      </c>
      <c r="R397" s="2" t="inlineStr"/>
    </row>
    <row r="398" ht="15" customHeight="1">
      <c r="A398" t="inlineStr">
        <is>
          <t>A 18668-2023</t>
        </is>
      </c>
      <c r="B398" s="1" t="n">
        <v>45043.57108796296</v>
      </c>
      <c r="C398" s="1" t="n">
        <v>45998</v>
      </c>
      <c r="D398" t="inlineStr">
        <is>
          <t>VÄSTERNORRLANDS LÄN</t>
        </is>
      </c>
      <c r="E398" t="inlineStr">
        <is>
          <t>ÅNGE</t>
        </is>
      </c>
      <c r="G398" t="n">
        <v>3.4</v>
      </c>
      <c r="H398" t="n">
        <v>0</v>
      </c>
      <c r="I398" t="n">
        <v>0</v>
      </c>
      <c r="J398" t="n">
        <v>0</v>
      </c>
      <c r="K398" t="n">
        <v>0</v>
      </c>
      <c r="L398" t="n">
        <v>0</v>
      </c>
      <c r="M398" t="n">
        <v>0</v>
      </c>
      <c r="N398" t="n">
        <v>0</v>
      </c>
      <c r="O398" t="n">
        <v>0</v>
      </c>
      <c r="P398" t="n">
        <v>0</v>
      </c>
      <c r="Q398" t="n">
        <v>0</v>
      </c>
      <c r="R398" s="2" t="inlineStr"/>
    </row>
    <row r="399" ht="15" customHeight="1">
      <c r="A399" t="inlineStr">
        <is>
          <t>A 62261-2022</t>
        </is>
      </c>
      <c r="B399" s="1" t="n">
        <v>44922.94378472222</v>
      </c>
      <c r="C399" s="1" t="n">
        <v>45998</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16524-2025</t>
        </is>
      </c>
      <c r="B400" s="1" t="n">
        <v>45751.64310185185</v>
      </c>
      <c r="C400" s="1" t="n">
        <v>45998</v>
      </c>
      <c r="D400" t="inlineStr">
        <is>
          <t>VÄSTERNORRLANDS LÄN</t>
        </is>
      </c>
      <c r="E400" t="inlineStr">
        <is>
          <t>ÅNGE</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51810-2023</t>
        </is>
      </c>
      <c r="B401" s="1" t="n">
        <v>45222.96583333334</v>
      </c>
      <c r="C401" s="1" t="n">
        <v>45998</v>
      </c>
      <c r="D401" t="inlineStr">
        <is>
          <t>VÄSTERNORRLANDS LÄN</t>
        </is>
      </c>
      <c r="E401" t="inlineStr">
        <is>
          <t>ÅNGE</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47779-2023</t>
        </is>
      </c>
      <c r="B402" s="1" t="n">
        <v>45203.92232638889</v>
      </c>
      <c r="C402" s="1" t="n">
        <v>45998</v>
      </c>
      <c r="D402" t="inlineStr">
        <is>
          <t>VÄSTERNORRLANDS LÄN</t>
        </is>
      </c>
      <c r="E402" t="inlineStr">
        <is>
          <t>ÅNGE</t>
        </is>
      </c>
      <c r="G402" t="n">
        <v>9.6</v>
      </c>
      <c r="H402" t="n">
        <v>0</v>
      </c>
      <c r="I402" t="n">
        <v>0</v>
      </c>
      <c r="J402" t="n">
        <v>0</v>
      </c>
      <c r="K402" t="n">
        <v>0</v>
      </c>
      <c r="L402" t="n">
        <v>0</v>
      </c>
      <c r="M402" t="n">
        <v>0</v>
      </c>
      <c r="N402" t="n">
        <v>0</v>
      </c>
      <c r="O402" t="n">
        <v>0</v>
      </c>
      <c r="P402" t="n">
        <v>0</v>
      </c>
      <c r="Q402" t="n">
        <v>0</v>
      </c>
      <c r="R402" s="2" t="inlineStr"/>
    </row>
    <row r="403" ht="15" customHeight="1">
      <c r="A403" t="inlineStr">
        <is>
          <t>A 25023-2022</t>
        </is>
      </c>
      <c r="B403" s="1" t="n">
        <v>44728</v>
      </c>
      <c r="C403" s="1" t="n">
        <v>45998</v>
      </c>
      <c r="D403" t="inlineStr">
        <is>
          <t>VÄSTERNORRLANDS LÄN</t>
        </is>
      </c>
      <c r="E403" t="inlineStr">
        <is>
          <t>ÅNGE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45998</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31696-2022</t>
        </is>
      </c>
      <c r="B405" s="1" t="n">
        <v>44776</v>
      </c>
      <c r="C405" s="1" t="n">
        <v>45998</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58634-2023</t>
        </is>
      </c>
      <c r="B406" s="1" t="n">
        <v>45251</v>
      </c>
      <c r="C406" s="1" t="n">
        <v>45998</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15369-2024</t>
        </is>
      </c>
      <c r="B407" s="1" t="n">
        <v>45400.92290509259</v>
      </c>
      <c r="C407" s="1" t="n">
        <v>45998</v>
      </c>
      <c r="D407" t="inlineStr">
        <is>
          <t>VÄSTERNORRLANDS LÄN</t>
        </is>
      </c>
      <c r="E407" t="inlineStr">
        <is>
          <t>ÅNGE</t>
        </is>
      </c>
      <c r="G407" t="n">
        <v>0.4</v>
      </c>
      <c r="H407" t="n">
        <v>0</v>
      </c>
      <c r="I407" t="n">
        <v>0</v>
      </c>
      <c r="J407" t="n">
        <v>0</v>
      </c>
      <c r="K407" t="n">
        <v>0</v>
      </c>
      <c r="L407" t="n">
        <v>0</v>
      </c>
      <c r="M407" t="n">
        <v>0</v>
      </c>
      <c r="N407" t="n">
        <v>0</v>
      </c>
      <c r="O407" t="n">
        <v>0</v>
      </c>
      <c r="P407" t="n">
        <v>0</v>
      </c>
      <c r="Q407" t="n">
        <v>0</v>
      </c>
      <c r="R407" s="2" t="inlineStr"/>
    </row>
    <row r="408" ht="15" customHeight="1">
      <c r="A408" t="inlineStr">
        <is>
          <t>A 41825-2022</t>
        </is>
      </c>
      <c r="B408" s="1" t="n">
        <v>44827</v>
      </c>
      <c r="C408" s="1" t="n">
        <v>45998</v>
      </c>
      <c r="D408" t="inlineStr">
        <is>
          <t>VÄSTERNORRLANDS LÄN</t>
        </is>
      </c>
      <c r="E408" t="inlineStr">
        <is>
          <t>ÅNGE</t>
        </is>
      </c>
      <c r="F408" t="inlineStr">
        <is>
          <t>SCA</t>
        </is>
      </c>
      <c r="G408" t="n">
        <v>3.3</v>
      </c>
      <c r="H408" t="n">
        <v>0</v>
      </c>
      <c r="I408" t="n">
        <v>0</v>
      </c>
      <c r="J408" t="n">
        <v>0</v>
      </c>
      <c r="K408" t="n">
        <v>0</v>
      </c>
      <c r="L408" t="n">
        <v>0</v>
      </c>
      <c r="M408" t="n">
        <v>0</v>
      </c>
      <c r="N408" t="n">
        <v>0</v>
      </c>
      <c r="O408" t="n">
        <v>0</v>
      </c>
      <c r="P408" t="n">
        <v>0</v>
      </c>
      <c r="Q408" t="n">
        <v>0</v>
      </c>
      <c r="R408" s="2" t="inlineStr"/>
      <c r="U408">
        <f>HYPERLINK("https://klasma.github.io/Logging_2260/knärot/A 41825-2022 karta knärot.png", "A 41825-2022")</f>
        <v/>
      </c>
      <c r="V408">
        <f>HYPERLINK("https://klasma.github.io/Logging_2260/klagomål/A 41825-2022 FSC-klagomål.docx", "A 41825-2022")</f>
        <v/>
      </c>
      <c r="W408">
        <f>HYPERLINK("https://klasma.github.io/Logging_2260/klagomålsmail/A 41825-2022 FSC-klagomål mail.docx", "A 41825-2022")</f>
        <v/>
      </c>
      <c r="X408">
        <f>HYPERLINK("https://klasma.github.io/Logging_2260/tillsyn/A 41825-2022 tillsynsbegäran.docx", "A 41825-2022")</f>
        <v/>
      </c>
      <c r="Y408">
        <f>HYPERLINK("https://klasma.github.io/Logging_2260/tillsynsmail/A 41825-2022 tillsynsbegäran mail.docx", "A 41825-2022")</f>
        <v/>
      </c>
    </row>
    <row r="409" ht="15" customHeight="1">
      <c r="A409" t="inlineStr">
        <is>
          <t>A 9605-2025</t>
        </is>
      </c>
      <c r="B409" s="1" t="n">
        <v>45715.65657407408</v>
      </c>
      <c r="C409" s="1" t="n">
        <v>45998</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45998</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6610-2025</t>
        </is>
      </c>
      <c r="B411" s="1" t="n">
        <v>45700</v>
      </c>
      <c r="C411" s="1" t="n">
        <v>45998</v>
      </c>
      <c r="D411" t="inlineStr">
        <is>
          <t>VÄSTERNORRLANDS LÄN</t>
        </is>
      </c>
      <c r="E411" t="inlineStr">
        <is>
          <t>ÅNGE</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42958-2024</t>
        </is>
      </c>
      <c r="B412" s="1" t="n">
        <v>45567.37131944444</v>
      </c>
      <c r="C412" s="1" t="n">
        <v>45998</v>
      </c>
      <c r="D412" t="inlineStr">
        <is>
          <t>VÄSTERNORRLANDS LÄN</t>
        </is>
      </c>
      <c r="E412" t="inlineStr">
        <is>
          <t>ÅNGE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45998</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34861-2024</t>
        </is>
      </c>
      <c r="B414" s="1" t="n">
        <v>45527.339375</v>
      </c>
      <c r="C414" s="1" t="n">
        <v>45998</v>
      </c>
      <c r="D414" t="inlineStr">
        <is>
          <t>VÄSTERNORRLANDS LÄN</t>
        </is>
      </c>
      <c r="E414" t="inlineStr">
        <is>
          <t>ÅNGE</t>
        </is>
      </c>
      <c r="F414" t="inlineStr">
        <is>
          <t>SCA</t>
        </is>
      </c>
      <c r="G414" t="n">
        <v>9.1</v>
      </c>
      <c r="H414" t="n">
        <v>0</v>
      </c>
      <c r="I414" t="n">
        <v>0</v>
      </c>
      <c r="J414" t="n">
        <v>0</v>
      </c>
      <c r="K414" t="n">
        <v>0</v>
      </c>
      <c r="L414" t="n">
        <v>0</v>
      </c>
      <c r="M414" t="n">
        <v>0</v>
      </c>
      <c r="N414" t="n">
        <v>0</v>
      </c>
      <c r="O414" t="n">
        <v>0</v>
      </c>
      <c r="P414" t="n">
        <v>0</v>
      </c>
      <c r="Q414" t="n">
        <v>0</v>
      </c>
      <c r="R414" s="2" t="inlineStr"/>
    </row>
    <row r="415" ht="15" customHeight="1">
      <c r="A415" t="inlineStr">
        <is>
          <t>A 27953-2021</t>
        </is>
      </c>
      <c r="B415" s="1" t="n">
        <v>44354.9209375</v>
      </c>
      <c r="C415" s="1" t="n">
        <v>45998</v>
      </c>
      <c r="D415" t="inlineStr">
        <is>
          <t>VÄSTERNORRLANDS LÄN</t>
        </is>
      </c>
      <c r="E415" t="inlineStr">
        <is>
          <t>ÅNGE</t>
        </is>
      </c>
      <c r="G415" t="n">
        <v>2.9</v>
      </c>
      <c r="H415" t="n">
        <v>0</v>
      </c>
      <c r="I415" t="n">
        <v>0</v>
      </c>
      <c r="J415" t="n">
        <v>0</v>
      </c>
      <c r="K415" t="n">
        <v>0</v>
      </c>
      <c r="L415" t="n">
        <v>0</v>
      </c>
      <c r="M415" t="n">
        <v>0</v>
      </c>
      <c r="N415" t="n">
        <v>0</v>
      </c>
      <c r="O415" t="n">
        <v>0</v>
      </c>
      <c r="P415" t="n">
        <v>0</v>
      </c>
      <c r="Q415" t="n">
        <v>0</v>
      </c>
      <c r="R415" s="2" t="inlineStr"/>
    </row>
    <row r="416" ht="15" customHeight="1">
      <c r="A416" t="inlineStr">
        <is>
          <t>A 17601-2024</t>
        </is>
      </c>
      <c r="B416" s="1" t="n">
        <v>45415</v>
      </c>
      <c r="C416" s="1" t="n">
        <v>45998</v>
      </c>
      <c r="D416" t="inlineStr">
        <is>
          <t>VÄSTERNORRLANDS LÄN</t>
        </is>
      </c>
      <c r="E416" t="inlineStr">
        <is>
          <t>ÅNGE</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63709-2023</t>
        </is>
      </c>
      <c r="B417" s="1" t="n">
        <v>45275.95069444444</v>
      </c>
      <c r="C417" s="1" t="n">
        <v>45998</v>
      </c>
      <c r="D417" t="inlineStr">
        <is>
          <t>VÄSTERNORRLANDS LÄN</t>
        </is>
      </c>
      <c r="E417" t="inlineStr">
        <is>
          <t>ÅNGE</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34091-2022</t>
        </is>
      </c>
      <c r="B418" s="1" t="n">
        <v>44791</v>
      </c>
      <c r="C418" s="1" t="n">
        <v>45998</v>
      </c>
      <c r="D418" t="inlineStr">
        <is>
          <t>VÄSTERNORRLANDS LÄN</t>
        </is>
      </c>
      <c r="E418" t="inlineStr">
        <is>
          <t>ÅNGE</t>
        </is>
      </c>
      <c r="G418" t="n">
        <v>10.1</v>
      </c>
      <c r="H418" t="n">
        <v>0</v>
      </c>
      <c r="I418" t="n">
        <v>0</v>
      </c>
      <c r="J418" t="n">
        <v>0</v>
      </c>
      <c r="K418" t="n">
        <v>0</v>
      </c>
      <c r="L418" t="n">
        <v>0</v>
      </c>
      <c r="M418" t="n">
        <v>0</v>
      </c>
      <c r="N418" t="n">
        <v>0</v>
      </c>
      <c r="O418" t="n">
        <v>0</v>
      </c>
      <c r="P418" t="n">
        <v>0</v>
      </c>
      <c r="Q418" t="n">
        <v>0</v>
      </c>
      <c r="R418" s="2" t="inlineStr"/>
    </row>
    <row r="419" ht="15" customHeight="1">
      <c r="A419" t="inlineStr">
        <is>
          <t>A 57846-2022</t>
        </is>
      </c>
      <c r="B419" s="1" t="n">
        <v>44897.95008101852</v>
      </c>
      <c r="C419" s="1" t="n">
        <v>45998</v>
      </c>
      <c r="D419" t="inlineStr">
        <is>
          <t>VÄSTERNORRLANDS LÄN</t>
        </is>
      </c>
      <c r="E419" t="inlineStr">
        <is>
          <t>ÅNGE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36342-2024</t>
        </is>
      </c>
      <c r="B420" s="1" t="n">
        <v>45534.64315972223</v>
      </c>
      <c r="C420" s="1" t="n">
        <v>45998</v>
      </c>
      <c r="D420" t="inlineStr">
        <is>
          <t>VÄSTERNORRLANDS LÄN</t>
        </is>
      </c>
      <c r="E420" t="inlineStr">
        <is>
          <t>ÅNGE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35577-2024</t>
        </is>
      </c>
      <c r="B421" s="1" t="n">
        <v>45531</v>
      </c>
      <c r="C421" s="1" t="n">
        <v>45998</v>
      </c>
      <c r="D421" t="inlineStr">
        <is>
          <t>VÄSTERNORRLANDS LÄN</t>
        </is>
      </c>
      <c r="E421" t="inlineStr">
        <is>
          <t>ÅNGE</t>
        </is>
      </c>
      <c r="F421" t="inlineStr">
        <is>
          <t>SCA</t>
        </is>
      </c>
      <c r="G421" t="n">
        <v>0.1</v>
      </c>
      <c r="H421" t="n">
        <v>0</v>
      </c>
      <c r="I421" t="n">
        <v>0</v>
      </c>
      <c r="J421" t="n">
        <v>0</v>
      </c>
      <c r="K421" t="n">
        <v>0</v>
      </c>
      <c r="L421" t="n">
        <v>0</v>
      </c>
      <c r="M421" t="n">
        <v>0</v>
      </c>
      <c r="N421" t="n">
        <v>0</v>
      </c>
      <c r="O421" t="n">
        <v>0</v>
      </c>
      <c r="P421" t="n">
        <v>0</v>
      </c>
      <c r="Q421" t="n">
        <v>0</v>
      </c>
      <c r="R421" s="2" t="inlineStr"/>
    </row>
    <row r="422" ht="15" customHeight="1">
      <c r="A422" t="inlineStr">
        <is>
          <t>A 35580-2024</t>
        </is>
      </c>
      <c r="B422" s="1" t="n">
        <v>45531</v>
      </c>
      <c r="C422" s="1" t="n">
        <v>45998</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54342-2023</t>
        </is>
      </c>
      <c r="B423" s="1" t="n">
        <v>45232</v>
      </c>
      <c r="C423" s="1" t="n">
        <v>45998</v>
      </c>
      <c r="D423" t="inlineStr">
        <is>
          <t>VÄSTERNORRLANDS LÄN</t>
        </is>
      </c>
      <c r="E423" t="inlineStr">
        <is>
          <t>ÅNGE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54771-2023</t>
        </is>
      </c>
      <c r="B424" s="1" t="n">
        <v>45229</v>
      </c>
      <c r="C424" s="1" t="n">
        <v>45998</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46255-2023</t>
        </is>
      </c>
      <c r="B425" s="1" t="n">
        <v>45196</v>
      </c>
      <c r="C425" s="1" t="n">
        <v>45998</v>
      </c>
      <c r="D425" t="inlineStr">
        <is>
          <t>VÄSTERNORRLANDS LÄN</t>
        </is>
      </c>
      <c r="E425" t="inlineStr">
        <is>
          <t>ÅNGE</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32922-2024</t>
        </is>
      </c>
      <c r="B426" s="1" t="n">
        <v>45516.95263888889</v>
      </c>
      <c r="C426" s="1" t="n">
        <v>45998</v>
      </c>
      <c r="D426" t="inlineStr">
        <is>
          <t>VÄSTERNORRLANDS LÄN</t>
        </is>
      </c>
      <c r="E426" t="inlineStr">
        <is>
          <t>ÅNGE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2365-2024</t>
        </is>
      </c>
      <c r="B427" s="1" t="n">
        <v>45310.59778935185</v>
      </c>
      <c r="C427" s="1" t="n">
        <v>45998</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2372-2024</t>
        </is>
      </c>
      <c r="B428" s="1" t="n">
        <v>45310.6115625</v>
      </c>
      <c r="C428" s="1" t="n">
        <v>45998</v>
      </c>
      <c r="D428" t="inlineStr">
        <is>
          <t>VÄSTERNORRLANDS LÄN</t>
        </is>
      </c>
      <c r="E428" t="inlineStr">
        <is>
          <t>ÅNGE</t>
        </is>
      </c>
      <c r="G428" t="n">
        <v>5.6</v>
      </c>
      <c r="H428" t="n">
        <v>0</v>
      </c>
      <c r="I428" t="n">
        <v>0</v>
      </c>
      <c r="J428" t="n">
        <v>0</v>
      </c>
      <c r="K428" t="n">
        <v>0</v>
      </c>
      <c r="L428" t="n">
        <v>0</v>
      </c>
      <c r="M428" t="n">
        <v>0</v>
      </c>
      <c r="N428" t="n">
        <v>0</v>
      </c>
      <c r="O428" t="n">
        <v>0</v>
      </c>
      <c r="P428" t="n">
        <v>0</v>
      </c>
      <c r="Q428" t="n">
        <v>0</v>
      </c>
      <c r="R428" s="2" t="inlineStr"/>
    </row>
    <row r="429" ht="15" customHeight="1">
      <c r="A429" t="inlineStr">
        <is>
          <t>A 17452-2025</t>
        </is>
      </c>
      <c r="B429" s="1" t="n">
        <v>45757.44842592593</v>
      </c>
      <c r="C429" s="1" t="n">
        <v>45998</v>
      </c>
      <c r="D429" t="inlineStr">
        <is>
          <t>VÄSTERNORRLANDS LÄN</t>
        </is>
      </c>
      <c r="E429" t="inlineStr">
        <is>
          <t>ÅNGE</t>
        </is>
      </c>
      <c r="F429" t="inlineStr">
        <is>
          <t>SCA</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21200-2024</t>
        </is>
      </c>
      <c r="B430" s="1" t="n">
        <v>45440</v>
      </c>
      <c r="C430" s="1" t="n">
        <v>45998</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45998</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45998</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20761-2024</t>
        </is>
      </c>
      <c r="B433" s="1" t="n">
        <v>45436</v>
      </c>
      <c r="C433" s="1" t="n">
        <v>45998</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42857-2022</t>
        </is>
      </c>
      <c r="B434" s="1" t="n">
        <v>44832</v>
      </c>
      <c r="C434" s="1" t="n">
        <v>45998</v>
      </c>
      <c r="D434" t="inlineStr">
        <is>
          <t>VÄSTERNORRLANDS LÄN</t>
        </is>
      </c>
      <c r="E434" t="inlineStr">
        <is>
          <t>ÅNGE</t>
        </is>
      </c>
      <c r="G434" t="n">
        <v>3.4</v>
      </c>
      <c r="H434" t="n">
        <v>0</v>
      </c>
      <c r="I434" t="n">
        <v>0</v>
      </c>
      <c r="J434" t="n">
        <v>0</v>
      </c>
      <c r="K434" t="n">
        <v>0</v>
      </c>
      <c r="L434" t="n">
        <v>0</v>
      </c>
      <c r="M434" t="n">
        <v>0</v>
      </c>
      <c r="N434" t="n">
        <v>0</v>
      </c>
      <c r="O434" t="n">
        <v>0</v>
      </c>
      <c r="P434" t="n">
        <v>0</v>
      </c>
      <c r="Q434" t="n">
        <v>0</v>
      </c>
      <c r="R434" s="2" t="inlineStr"/>
    </row>
    <row r="435" ht="15" customHeight="1">
      <c r="A435" t="inlineStr">
        <is>
          <t>A 15287-2025</t>
        </is>
      </c>
      <c r="B435" s="1" t="n">
        <v>45745</v>
      </c>
      <c r="C435" s="1" t="n">
        <v>45998</v>
      </c>
      <c r="D435" t="inlineStr">
        <is>
          <t>VÄSTERNORRLANDS LÄN</t>
        </is>
      </c>
      <c r="E435" t="inlineStr">
        <is>
          <t>ÅNGE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15288-2025</t>
        </is>
      </c>
      <c r="B436" s="1" t="n">
        <v>45745.34423611111</v>
      </c>
      <c r="C436" s="1" t="n">
        <v>45998</v>
      </c>
      <c r="D436" t="inlineStr">
        <is>
          <t>VÄSTERNORRLANDS LÄN</t>
        </is>
      </c>
      <c r="E436" t="inlineStr">
        <is>
          <t>ÅNGE</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1964-2022</t>
        </is>
      </c>
      <c r="B437" s="1" t="n">
        <v>44575.5050462963</v>
      </c>
      <c r="C437" s="1" t="n">
        <v>45998</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58997-2023</t>
        </is>
      </c>
      <c r="B438" s="1" t="n">
        <v>45252.6352662037</v>
      </c>
      <c r="C438" s="1" t="n">
        <v>45998</v>
      </c>
      <c r="D438" t="inlineStr">
        <is>
          <t>VÄSTERNORRLANDS LÄN</t>
        </is>
      </c>
      <c r="E438" t="inlineStr">
        <is>
          <t>ÅNGE</t>
        </is>
      </c>
      <c r="F438" t="inlineStr">
        <is>
          <t>Övriga Aktiebolag</t>
        </is>
      </c>
      <c r="G438" t="n">
        <v>2.1</v>
      </c>
      <c r="H438" t="n">
        <v>0</v>
      </c>
      <c r="I438" t="n">
        <v>0</v>
      </c>
      <c r="J438" t="n">
        <v>0</v>
      </c>
      <c r="K438" t="n">
        <v>0</v>
      </c>
      <c r="L438" t="n">
        <v>0</v>
      </c>
      <c r="M438" t="n">
        <v>0</v>
      </c>
      <c r="N438" t="n">
        <v>0</v>
      </c>
      <c r="O438" t="n">
        <v>0</v>
      </c>
      <c r="P438" t="n">
        <v>0</v>
      </c>
      <c r="Q438" t="n">
        <v>0</v>
      </c>
      <c r="R438" s="2" t="inlineStr"/>
    </row>
    <row r="439" ht="15" customHeight="1">
      <c r="A439" t="inlineStr">
        <is>
          <t>A 20338-2025</t>
        </is>
      </c>
      <c r="B439" s="1" t="n">
        <v>45775</v>
      </c>
      <c r="C439" s="1" t="n">
        <v>45998</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47792-2022</t>
        </is>
      </c>
      <c r="B440" s="1" t="n">
        <v>44854.95238425926</v>
      </c>
      <c r="C440" s="1" t="n">
        <v>45998</v>
      </c>
      <c r="D440" t="inlineStr">
        <is>
          <t>VÄSTERNORRLANDS LÄN</t>
        </is>
      </c>
      <c r="E440" t="inlineStr">
        <is>
          <t>ÅNGE</t>
        </is>
      </c>
      <c r="F440" t="inlineStr">
        <is>
          <t>SCA</t>
        </is>
      </c>
      <c r="G440" t="n">
        <v>10.9</v>
      </c>
      <c r="H440" t="n">
        <v>0</v>
      </c>
      <c r="I440" t="n">
        <v>0</v>
      </c>
      <c r="J440" t="n">
        <v>0</v>
      </c>
      <c r="K440" t="n">
        <v>0</v>
      </c>
      <c r="L440" t="n">
        <v>0</v>
      </c>
      <c r="M440" t="n">
        <v>0</v>
      </c>
      <c r="N440" t="n">
        <v>0</v>
      </c>
      <c r="O440" t="n">
        <v>0</v>
      </c>
      <c r="P440" t="n">
        <v>0</v>
      </c>
      <c r="Q440" t="n">
        <v>0</v>
      </c>
      <c r="R440" s="2" t="inlineStr"/>
    </row>
    <row r="441" ht="15" customHeight="1">
      <c r="A441" t="inlineStr">
        <is>
          <t>A 36457-2021</t>
        </is>
      </c>
      <c r="B441" s="1" t="n">
        <v>44390.93858796296</v>
      </c>
      <c r="C441" s="1" t="n">
        <v>45998</v>
      </c>
      <c r="D441" t="inlineStr">
        <is>
          <t>VÄSTERNORRLANDS LÄN</t>
        </is>
      </c>
      <c r="E441" t="inlineStr">
        <is>
          <t>ÅNGE</t>
        </is>
      </c>
      <c r="G441" t="n">
        <v>1.6</v>
      </c>
      <c r="H441" t="n">
        <v>0</v>
      </c>
      <c r="I441" t="n">
        <v>0</v>
      </c>
      <c r="J441" t="n">
        <v>0</v>
      </c>
      <c r="K441" t="n">
        <v>0</v>
      </c>
      <c r="L441" t="n">
        <v>0</v>
      </c>
      <c r="M441" t="n">
        <v>0</v>
      </c>
      <c r="N441" t="n">
        <v>0</v>
      </c>
      <c r="O441" t="n">
        <v>0</v>
      </c>
      <c r="P441" t="n">
        <v>0</v>
      </c>
      <c r="Q441" t="n">
        <v>0</v>
      </c>
      <c r="R441" s="2" t="inlineStr"/>
    </row>
    <row r="442" ht="15" customHeight="1">
      <c r="A442" t="inlineStr">
        <is>
          <t>A 18869-2024</t>
        </is>
      </c>
      <c r="B442" s="1" t="n">
        <v>45426</v>
      </c>
      <c r="C442" s="1" t="n">
        <v>45998</v>
      </c>
      <c r="D442" t="inlineStr">
        <is>
          <t>VÄSTERNORRLANDS LÄN</t>
        </is>
      </c>
      <c r="E442" t="inlineStr">
        <is>
          <t>ÅNGE</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24797-2024</t>
        </is>
      </c>
      <c r="B443" s="1" t="n">
        <v>45460.95269675926</v>
      </c>
      <c r="C443" s="1" t="n">
        <v>45998</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56699-2023</t>
        </is>
      </c>
      <c r="B444" s="1" t="n">
        <v>45243</v>
      </c>
      <c r="C444" s="1" t="n">
        <v>45998</v>
      </c>
      <c r="D444" t="inlineStr">
        <is>
          <t>VÄSTERNORRLANDS LÄN</t>
        </is>
      </c>
      <c r="E444" t="inlineStr">
        <is>
          <t>ÅNGE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22680-2024</t>
        </is>
      </c>
      <c r="B445" s="1" t="n">
        <v>45447.94548611111</v>
      </c>
      <c r="C445" s="1" t="n">
        <v>45998</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61928-2021</t>
        </is>
      </c>
      <c r="B446" s="1" t="n">
        <v>44502.38475694445</v>
      </c>
      <c r="C446" s="1" t="n">
        <v>45998</v>
      </c>
      <c r="D446" t="inlineStr">
        <is>
          <t>VÄSTERNORRLANDS LÄN</t>
        </is>
      </c>
      <c r="E446" t="inlineStr">
        <is>
          <t>ÅNGE</t>
        </is>
      </c>
      <c r="G446" t="n">
        <v>1</v>
      </c>
      <c r="H446" t="n">
        <v>0</v>
      </c>
      <c r="I446" t="n">
        <v>0</v>
      </c>
      <c r="J446" t="n">
        <v>0</v>
      </c>
      <c r="K446" t="n">
        <v>0</v>
      </c>
      <c r="L446" t="n">
        <v>0</v>
      </c>
      <c r="M446" t="n">
        <v>0</v>
      </c>
      <c r="N446" t="n">
        <v>0</v>
      </c>
      <c r="O446" t="n">
        <v>0</v>
      </c>
      <c r="P446" t="n">
        <v>0</v>
      </c>
      <c r="Q446" t="n">
        <v>0</v>
      </c>
      <c r="R446" s="2" t="inlineStr"/>
    </row>
    <row r="447" ht="15" customHeight="1">
      <c r="A447" t="inlineStr">
        <is>
          <t>A 16303-2025</t>
        </is>
      </c>
      <c r="B447" s="1" t="n">
        <v>45751.3462037037</v>
      </c>
      <c r="C447" s="1" t="n">
        <v>45998</v>
      </c>
      <c r="D447" t="inlineStr">
        <is>
          <t>VÄSTERNORRLANDS LÄN</t>
        </is>
      </c>
      <c r="E447" t="inlineStr">
        <is>
          <t>ÅNGE</t>
        </is>
      </c>
      <c r="F447" t="inlineStr">
        <is>
          <t>SCA</t>
        </is>
      </c>
      <c r="G447" t="n">
        <v>0.3</v>
      </c>
      <c r="H447" t="n">
        <v>0</v>
      </c>
      <c r="I447" t="n">
        <v>0</v>
      </c>
      <c r="J447" t="n">
        <v>0</v>
      </c>
      <c r="K447" t="n">
        <v>0</v>
      </c>
      <c r="L447" t="n">
        <v>0</v>
      </c>
      <c r="M447" t="n">
        <v>0</v>
      </c>
      <c r="N447" t="n">
        <v>0</v>
      </c>
      <c r="O447" t="n">
        <v>0</v>
      </c>
      <c r="P447" t="n">
        <v>0</v>
      </c>
      <c r="Q447" t="n">
        <v>0</v>
      </c>
      <c r="R447" s="2" t="inlineStr"/>
    </row>
    <row r="448" ht="15" customHeight="1">
      <c r="A448" t="inlineStr">
        <is>
          <t>A 37051-2021</t>
        </is>
      </c>
      <c r="B448" s="1" t="n">
        <v>44393</v>
      </c>
      <c r="C448" s="1" t="n">
        <v>45998</v>
      </c>
      <c r="D448" t="inlineStr">
        <is>
          <t>VÄSTERNORRLANDS LÄN</t>
        </is>
      </c>
      <c r="E448" t="inlineStr">
        <is>
          <t>ÅNGE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23035-2024</t>
        </is>
      </c>
      <c r="B449" s="1" t="n">
        <v>45450.39016203704</v>
      </c>
      <c r="C449" s="1" t="n">
        <v>45998</v>
      </c>
      <c r="D449" t="inlineStr">
        <is>
          <t>VÄSTERNORRLANDS LÄN</t>
        </is>
      </c>
      <c r="E449" t="inlineStr">
        <is>
          <t>ÅNGE</t>
        </is>
      </c>
      <c r="G449" t="n">
        <v>12.1</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45998</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56908-2021</t>
        </is>
      </c>
      <c r="B451" s="1" t="n">
        <v>44481.93844907408</v>
      </c>
      <c r="C451" s="1" t="n">
        <v>45998</v>
      </c>
      <c r="D451" t="inlineStr">
        <is>
          <t>VÄSTERNORRLANDS LÄN</t>
        </is>
      </c>
      <c r="E451" t="inlineStr">
        <is>
          <t>ÅNGE</t>
        </is>
      </c>
      <c r="G451" t="n">
        <v>12</v>
      </c>
      <c r="H451" t="n">
        <v>0</v>
      </c>
      <c r="I451" t="n">
        <v>0</v>
      </c>
      <c r="J451" t="n">
        <v>0</v>
      </c>
      <c r="K451" t="n">
        <v>0</v>
      </c>
      <c r="L451" t="n">
        <v>0</v>
      </c>
      <c r="M451" t="n">
        <v>0</v>
      </c>
      <c r="N451" t="n">
        <v>0</v>
      </c>
      <c r="O451" t="n">
        <v>0</v>
      </c>
      <c r="P451" t="n">
        <v>0</v>
      </c>
      <c r="Q451" t="n">
        <v>0</v>
      </c>
      <c r="R451" s="2" t="inlineStr"/>
    </row>
    <row r="452" ht="15" customHeight="1">
      <c r="A452" t="inlineStr">
        <is>
          <t>A 732-2023</t>
        </is>
      </c>
      <c r="B452" s="1" t="n">
        <v>44931.29981481482</v>
      </c>
      <c r="C452" s="1" t="n">
        <v>45998</v>
      </c>
      <c r="D452" t="inlineStr">
        <is>
          <t>VÄSTERNORRLANDS LÄN</t>
        </is>
      </c>
      <c r="E452" t="inlineStr">
        <is>
          <t>ÅNGE</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5520-2022</t>
        </is>
      </c>
      <c r="B453" s="1" t="n">
        <v>44595</v>
      </c>
      <c r="C453" s="1" t="n">
        <v>45998</v>
      </c>
      <c r="D453" t="inlineStr">
        <is>
          <t>VÄSTERNORRLANDS LÄN</t>
        </is>
      </c>
      <c r="E453" t="inlineStr">
        <is>
          <t>ÅNGE</t>
        </is>
      </c>
      <c r="G453" t="n">
        <v>4.9</v>
      </c>
      <c r="H453" t="n">
        <v>0</v>
      </c>
      <c r="I453" t="n">
        <v>0</v>
      </c>
      <c r="J453" t="n">
        <v>0</v>
      </c>
      <c r="K453" t="n">
        <v>0</v>
      </c>
      <c r="L453" t="n">
        <v>0</v>
      </c>
      <c r="M453" t="n">
        <v>0</v>
      </c>
      <c r="N453" t="n">
        <v>0</v>
      </c>
      <c r="O453" t="n">
        <v>0</v>
      </c>
      <c r="P453" t="n">
        <v>0</v>
      </c>
      <c r="Q453" t="n">
        <v>0</v>
      </c>
      <c r="R453" s="2" t="inlineStr"/>
    </row>
    <row r="454" ht="15" customHeight="1">
      <c r="A454" t="inlineStr">
        <is>
          <t>A 12581-2024</t>
        </is>
      </c>
      <c r="B454" s="1" t="n">
        <v>45379</v>
      </c>
      <c r="C454" s="1" t="n">
        <v>45998</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36786-2024</t>
        </is>
      </c>
      <c r="B455" s="1" t="n">
        <v>45538</v>
      </c>
      <c r="C455" s="1" t="n">
        <v>45998</v>
      </c>
      <c r="D455" t="inlineStr">
        <is>
          <t>VÄSTERNORRLANDS LÄN</t>
        </is>
      </c>
      <c r="E455" t="inlineStr">
        <is>
          <t>ÅNGE</t>
        </is>
      </c>
      <c r="F455" t="inlineStr">
        <is>
          <t>SCA</t>
        </is>
      </c>
      <c r="G455" t="n">
        <v>5.2</v>
      </c>
      <c r="H455" t="n">
        <v>0</v>
      </c>
      <c r="I455" t="n">
        <v>0</v>
      </c>
      <c r="J455" t="n">
        <v>0</v>
      </c>
      <c r="K455" t="n">
        <v>0</v>
      </c>
      <c r="L455" t="n">
        <v>0</v>
      </c>
      <c r="M455" t="n">
        <v>0</v>
      </c>
      <c r="N455" t="n">
        <v>0</v>
      </c>
      <c r="O455" t="n">
        <v>0</v>
      </c>
      <c r="P455" t="n">
        <v>0</v>
      </c>
      <c r="Q455" t="n">
        <v>0</v>
      </c>
      <c r="R455" s="2" t="inlineStr"/>
    </row>
    <row r="456" ht="15" customHeight="1">
      <c r="A456" t="inlineStr">
        <is>
          <t>A 53663-2022</t>
        </is>
      </c>
      <c r="B456" s="1" t="n">
        <v>44879</v>
      </c>
      <c r="C456" s="1" t="n">
        <v>45998</v>
      </c>
      <c r="D456" t="inlineStr">
        <is>
          <t>VÄSTERNORRLANDS LÄN</t>
        </is>
      </c>
      <c r="E456" t="inlineStr">
        <is>
          <t>ÅNGE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49711-2024</t>
        </is>
      </c>
      <c r="B457" s="1" t="n">
        <v>45596.69891203703</v>
      </c>
      <c r="C457" s="1" t="n">
        <v>45998</v>
      </c>
      <c r="D457" t="inlineStr">
        <is>
          <t>VÄSTERNORRLANDS LÄN</t>
        </is>
      </c>
      <c r="E457" t="inlineStr">
        <is>
          <t>ÅNGE</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45998</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24293-2023</t>
        </is>
      </c>
      <c r="B459" s="1" t="n">
        <v>45079.92756944444</v>
      </c>
      <c r="C459" s="1" t="n">
        <v>45998</v>
      </c>
      <c r="D459" t="inlineStr">
        <is>
          <t>VÄSTERNORRLANDS LÄN</t>
        </is>
      </c>
      <c r="E459" t="inlineStr">
        <is>
          <t>ÅNGE</t>
        </is>
      </c>
      <c r="G459" t="n">
        <v>0.8</v>
      </c>
      <c r="H459" t="n">
        <v>0</v>
      </c>
      <c r="I459" t="n">
        <v>0</v>
      </c>
      <c r="J459" t="n">
        <v>0</v>
      </c>
      <c r="K459" t="n">
        <v>0</v>
      </c>
      <c r="L459" t="n">
        <v>0</v>
      </c>
      <c r="M459" t="n">
        <v>0</v>
      </c>
      <c r="N459" t="n">
        <v>0</v>
      </c>
      <c r="O459" t="n">
        <v>0</v>
      </c>
      <c r="P459" t="n">
        <v>0</v>
      </c>
      <c r="Q459" t="n">
        <v>0</v>
      </c>
      <c r="R459" s="2" t="inlineStr"/>
    </row>
    <row r="460" ht="15" customHeight="1">
      <c r="A460" t="inlineStr">
        <is>
          <t>A 13773-2024</t>
        </is>
      </c>
      <c r="B460" s="1" t="n">
        <v>45390.95297453704</v>
      </c>
      <c r="C460" s="1" t="n">
        <v>45998</v>
      </c>
      <c r="D460" t="inlineStr">
        <is>
          <t>VÄSTERNORRLANDS LÄN</t>
        </is>
      </c>
      <c r="E460" t="inlineStr">
        <is>
          <t>ÅNGE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25779-2023</t>
        </is>
      </c>
      <c r="B461" s="1" t="n">
        <v>45090.47439814815</v>
      </c>
      <c r="C461" s="1" t="n">
        <v>45998</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9211-2023</t>
        </is>
      </c>
      <c r="B462" s="1" t="n">
        <v>44980</v>
      </c>
      <c r="C462" s="1" t="n">
        <v>45998</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8627-2023</t>
        </is>
      </c>
      <c r="B463" s="1" t="n">
        <v>44977</v>
      </c>
      <c r="C463" s="1" t="n">
        <v>45998</v>
      </c>
      <c r="D463" t="inlineStr">
        <is>
          <t>VÄSTERNORRLANDS LÄN</t>
        </is>
      </c>
      <c r="E463" t="inlineStr">
        <is>
          <t>ÅNGE</t>
        </is>
      </c>
      <c r="G463" t="n">
        <v>3</v>
      </c>
      <c r="H463" t="n">
        <v>0</v>
      </c>
      <c r="I463" t="n">
        <v>0</v>
      </c>
      <c r="J463" t="n">
        <v>0</v>
      </c>
      <c r="K463" t="n">
        <v>0</v>
      </c>
      <c r="L463" t="n">
        <v>0</v>
      </c>
      <c r="M463" t="n">
        <v>0</v>
      </c>
      <c r="N463" t="n">
        <v>0</v>
      </c>
      <c r="O463" t="n">
        <v>0</v>
      </c>
      <c r="P463" t="n">
        <v>0</v>
      </c>
      <c r="Q463" t="n">
        <v>0</v>
      </c>
      <c r="R463" s="2" t="inlineStr"/>
    </row>
    <row r="464" ht="15" customHeight="1">
      <c r="A464" t="inlineStr">
        <is>
          <t>A 27260-2023</t>
        </is>
      </c>
      <c r="B464" s="1" t="n">
        <v>45092</v>
      </c>
      <c r="C464" s="1" t="n">
        <v>45998</v>
      </c>
      <c r="D464" t="inlineStr">
        <is>
          <t>VÄSTERNORRLANDS LÄN</t>
        </is>
      </c>
      <c r="E464" t="inlineStr">
        <is>
          <t>ÅNGE</t>
        </is>
      </c>
      <c r="G464" t="n">
        <v>2.7</v>
      </c>
      <c r="H464" t="n">
        <v>0</v>
      </c>
      <c r="I464" t="n">
        <v>0</v>
      </c>
      <c r="J464" t="n">
        <v>0</v>
      </c>
      <c r="K464" t="n">
        <v>0</v>
      </c>
      <c r="L464" t="n">
        <v>0</v>
      </c>
      <c r="M464" t="n">
        <v>0</v>
      </c>
      <c r="N464" t="n">
        <v>0</v>
      </c>
      <c r="O464" t="n">
        <v>0</v>
      </c>
      <c r="P464" t="n">
        <v>0</v>
      </c>
      <c r="Q464" t="n">
        <v>0</v>
      </c>
      <c r="R464" s="2" t="inlineStr"/>
    </row>
    <row r="465" ht="15" customHeight="1">
      <c r="A465" t="inlineStr">
        <is>
          <t>A 9567-2024</t>
        </is>
      </c>
      <c r="B465" s="1" t="n">
        <v>45360.03635416667</v>
      </c>
      <c r="C465" s="1" t="n">
        <v>45998</v>
      </c>
      <c r="D465" t="inlineStr">
        <is>
          <t>VÄSTERNORRLANDS LÄN</t>
        </is>
      </c>
      <c r="E465" t="inlineStr">
        <is>
          <t>ÅNGE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45998</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51311-2022</t>
        </is>
      </c>
      <c r="B467" s="1" t="n">
        <v>44868</v>
      </c>
      <c r="C467" s="1" t="n">
        <v>45998</v>
      </c>
      <c r="D467" t="inlineStr">
        <is>
          <t>VÄSTERNORRLANDS LÄN</t>
        </is>
      </c>
      <c r="E467" t="inlineStr">
        <is>
          <t>ÅNGE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33428-2023</t>
        </is>
      </c>
      <c r="B468" s="1" t="n">
        <v>45128.94976851852</v>
      </c>
      <c r="C468" s="1" t="n">
        <v>45998</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34815-2024</t>
        </is>
      </c>
      <c r="B469" s="1" t="n">
        <v>45526.70732638889</v>
      </c>
      <c r="C469" s="1" t="n">
        <v>45998</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56399-2022</t>
        </is>
      </c>
      <c r="B470" s="1" t="n">
        <v>44890</v>
      </c>
      <c r="C470" s="1" t="n">
        <v>45998</v>
      </c>
      <c r="D470" t="inlineStr">
        <is>
          <t>VÄSTERNORRLANDS LÄN</t>
        </is>
      </c>
      <c r="E470" t="inlineStr">
        <is>
          <t>ÅNGE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56434-2021</t>
        </is>
      </c>
      <c r="B471" s="1" t="n">
        <v>44477</v>
      </c>
      <c r="C471" s="1" t="n">
        <v>45998</v>
      </c>
      <c r="D471" t="inlineStr">
        <is>
          <t>VÄSTERNORRLANDS LÄN</t>
        </is>
      </c>
      <c r="E471" t="inlineStr">
        <is>
          <t>ÅNGE</t>
        </is>
      </c>
      <c r="G471" t="n">
        <v>2.7</v>
      </c>
      <c r="H471" t="n">
        <v>0</v>
      </c>
      <c r="I471" t="n">
        <v>0</v>
      </c>
      <c r="J471" t="n">
        <v>0</v>
      </c>
      <c r="K471" t="n">
        <v>0</v>
      </c>
      <c r="L471" t="n">
        <v>0</v>
      </c>
      <c r="M471" t="n">
        <v>0</v>
      </c>
      <c r="N471" t="n">
        <v>0</v>
      </c>
      <c r="O471" t="n">
        <v>0</v>
      </c>
      <c r="P471" t="n">
        <v>0</v>
      </c>
      <c r="Q471" t="n">
        <v>0</v>
      </c>
      <c r="R471" s="2" t="inlineStr"/>
    </row>
    <row r="472" ht="15" customHeight="1">
      <c r="A472" t="inlineStr">
        <is>
          <t>A 54946-2021</t>
        </is>
      </c>
      <c r="B472" s="1" t="n">
        <v>44474.46466435185</v>
      </c>
      <c r="C472" s="1" t="n">
        <v>45998</v>
      </c>
      <c r="D472" t="inlineStr">
        <is>
          <t>VÄSTERNORRLANDS LÄN</t>
        </is>
      </c>
      <c r="E472" t="inlineStr">
        <is>
          <t>ÅNGE</t>
        </is>
      </c>
      <c r="G472" t="n">
        <v>5.4</v>
      </c>
      <c r="H472" t="n">
        <v>0</v>
      </c>
      <c r="I472" t="n">
        <v>0</v>
      </c>
      <c r="J472" t="n">
        <v>0</v>
      </c>
      <c r="K472" t="n">
        <v>0</v>
      </c>
      <c r="L472" t="n">
        <v>0</v>
      </c>
      <c r="M472" t="n">
        <v>0</v>
      </c>
      <c r="N472" t="n">
        <v>0</v>
      </c>
      <c r="O472" t="n">
        <v>0</v>
      </c>
      <c r="P472" t="n">
        <v>0</v>
      </c>
      <c r="Q472" t="n">
        <v>0</v>
      </c>
      <c r="R472" s="2" t="inlineStr"/>
    </row>
    <row r="473" ht="15" customHeight="1">
      <c r="A473" t="inlineStr">
        <is>
          <t>A 57109-2023</t>
        </is>
      </c>
      <c r="B473" s="1" t="n">
        <v>45239</v>
      </c>
      <c r="C473" s="1" t="n">
        <v>45998</v>
      </c>
      <c r="D473" t="inlineStr">
        <is>
          <t>VÄSTERNORRLANDS LÄN</t>
        </is>
      </c>
      <c r="E473" t="inlineStr">
        <is>
          <t>ÅNGE</t>
        </is>
      </c>
      <c r="G473" t="n">
        <v>7</v>
      </c>
      <c r="H473" t="n">
        <v>0</v>
      </c>
      <c r="I473" t="n">
        <v>0</v>
      </c>
      <c r="J473" t="n">
        <v>0</v>
      </c>
      <c r="K473" t="n">
        <v>0</v>
      </c>
      <c r="L473" t="n">
        <v>0</v>
      </c>
      <c r="M473" t="n">
        <v>0</v>
      </c>
      <c r="N473" t="n">
        <v>0</v>
      </c>
      <c r="O473" t="n">
        <v>0</v>
      </c>
      <c r="P473" t="n">
        <v>0</v>
      </c>
      <c r="Q473" t="n">
        <v>0</v>
      </c>
      <c r="R473" s="2" t="inlineStr"/>
    </row>
    <row r="474" ht="15" customHeight="1">
      <c r="A474" t="inlineStr">
        <is>
          <t>A 28506-2024</t>
        </is>
      </c>
      <c r="B474" s="1" t="n">
        <v>45477.9475</v>
      </c>
      <c r="C474" s="1" t="n">
        <v>45998</v>
      </c>
      <c r="D474" t="inlineStr">
        <is>
          <t>VÄSTERNORRLANDS LÄN</t>
        </is>
      </c>
      <c r="E474" t="inlineStr">
        <is>
          <t>ÅNGE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42346-2023</t>
        </is>
      </c>
      <c r="B475" s="1" t="n">
        <v>45180</v>
      </c>
      <c r="C475" s="1" t="n">
        <v>45998</v>
      </c>
      <c r="D475" t="inlineStr">
        <is>
          <t>VÄSTERNORRLANDS LÄN</t>
        </is>
      </c>
      <c r="E475" t="inlineStr">
        <is>
          <t>ÅNGE</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1420-2023</t>
        </is>
      </c>
      <c r="B476" s="1" t="n">
        <v>44936.92762731481</v>
      </c>
      <c r="C476" s="1" t="n">
        <v>45998</v>
      </c>
      <c r="D476" t="inlineStr">
        <is>
          <t>VÄSTERNORRLANDS LÄN</t>
        </is>
      </c>
      <c r="E476" t="inlineStr">
        <is>
          <t>ÅNGE</t>
        </is>
      </c>
      <c r="G476" t="n">
        <v>3.7</v>
      </c>
      <c r="H476" t="n">
        <v>0</v>
      </c>
      <c r="I476" t="n">
        <v>0</v>
      </c>
      <c r="J476" t="n">
        <v>0</v>
      </c>
      <c r="K476" t="n">
        <v>0</v>
      </c>
      <c r="L476" t="n">
        <v>0</v>
      </c>
      <c r="M476" t="n">
        <v>0</v>
      </c>
      <c r="N476" t="n">
        <v>0</v>
      </c>
      <c r="O476" t="n">
        <v>0</v>
      </c>
      <c r="P476" t="n">
        <v>0</v>
      </c>
      <c r="Q476" t="n">
        <v>0</v>
      </c>
      <c r="R476" s="2" t="inlineStr"/>
    </row>
    <row r="477" ht="15" customHeight="1">
      <c r="A477" t="inlineStr">
        <is>
          <t>A 16563-2025</t>
        </is>
      </c>
      <c r="B477" s="1" t="n">
        <v>45752.34430555555</v>
      </c>
      <c r="C477" s="1" t="n">
        <v>45998</v>
      </c>
      <c r="D477" t="inlineStr">
        <is>
          <t>VÄSTERNORRLANDS LÄN</t>
        </is>
      </c>
      <c r="E477" t="inlineStr">
        <is>
          <t>ÅNGE</t>
        </is>
      </c>
      <c r="F477" t="inlineStr">
        <is>
          <t>SCA</t>
        </is>
      </c>
      <c r="G477" t="n">
        <v>24.7</v>
      </c>
      <c r="H477" t="n">
        <v>0</v>
      </c>
      <c r="I477" t="n">
        <v>0</v>
      </c>
      <c r="J477" t="n">
        <v>0</v>
      </c>
      <c r="K477" t="n">
        <v>0</v>
      </c>
      <c r="L477" t="n">
        <v>0</v>
      </c>
      <c r="M477" t="n">
        <v>0</v>
      </c>
      <c r="N477" t="n">
        <v>0</v>
      </c>
      <c r="O477" t="n">
        <v>0</v>
      </c>
      <c r="P477" t="n">
        <v>0</v>
      </c>
      <c r="Q477" t="n">
        <v>0</v>
      </c>
      <c r="R477" s="2" t="inlineStr"/>
    </row>
    <row r="478" ht="15" customHeight="1">
      <c r="A478" t="inlineStr">
        <is>
          <t>A 60205-2023</t>
        </is>
      </c>
      <c r="B478" s="1" t="n">
        <v>45257</v>
      </c>
      <c r="C478" s="1" t="n">
        <v>45998</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33631-2024</t>
        </is>
      </c>
      <c r="B479" s="1" t="n">
        <v>45520</v>
      </c>
      <c r="C479" s="1" t="n">
        <v>45998</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15368-2024</t>
        </is>
      </c>
      <c r="B480" s="1" t="n">
        <v>45400.92284722222</v>
      </c>
      <c r="C480" s="1" t="n">
        <v>45998</v>
      </c>
      <c r="D480" t="inlineStr">
        <is>
          <t>VÄSTERNORRLANDS LÄN</t>
        </is>
      </c>
      <c r="E480" t="inlineStr">
        <is>
          <t>ÅNGE</t>
        </is>
      </c>
      <c r="G480" t="n">
        <v>0.4</v>
      </c>
      <c r="H480" t="n">
        <v>0</v>
      </c>
      <c r="I480" t="n">
        <v>0</v>
      </c>
      <c r="J480" t="n">
        <v>0</v>
      </c>
      <c r="K480" t="n">
        <v>0</v>
      </c>
      <c r="L480" t="n">
        <v>0</v>
      </c>
      <c r="M480" t="n">
        <v>0</v>
      </c>
      <c r="N480" t="n">
        <v>0</v>
      </c>
      <c r="O480" t="n">
        <v>0</v>
      </c>
      <c r="P480" t="n">
        <v>0</v>
      </c>
      <c r="Q480" t="n">
        <v>0</v>
      </c>
      <c r="R480" s="2" t="inlineStr"/>
    </row>
    <row r="481" ht="15" customHeight="1">
      <c r="A481" t="inlineStr">
        <is>
          <t>A 44876-2024</t>
        </is>
      </c>
      <c r="B481" s="1" t="n">
        <v>45575.34474537037</v>
      </c>
      <c r="C481" s="1" t="n">
        <v>45998</v>
      </c>
      <c r="D481" t="inlineStr">
        <is>
          <t>VÄSTERNORRLANDS LÄN</t>
        </is>
      </c>
      <c r="E481" t="inlineStr">
        <is>
          <t>ÅNGE</t>
        </is>
      </c>
      <c r="F481" t="inlineStr">
        <is>
          <t>SCA</t>
        </is>
      </c>
      <c r="G481" t="n">
        <v>12.4</v>
      </c>
      <c r="H481" t="n">
        <v>0</v>
      </c>
      <c r="I481" t="n">
        <v>0</v>
      </c>
      <c r="J481" t="n">
        <v>0</v>
      </c>
      <c r="K481" t="n">
        <v>0</v>
      </c>
      <c r="L481" t="n">
        <v>0</v>
      </c>
      <c r="M481" t="n">
        <v>0</v>
      </c>
      <c r="N481" t="n">
        <v>0</v>
      </c>
      <c r="O481" t="n">
        <v>0</v>
      </c>
      <c r="P481" t="n">
        <v>0</v>
      </c>
      <c r="Q481" t="n">
        <v>0</v>
      </c>
      <c r="R481" s="2" t="inlineStr"/>
    </row>
    <row r="482" ht="15" customHeight="1">
      <c r="A482" t="inlineStr">
        <is>
          <t>A 11088-2024</t>
        </is>
      </c>
      <c r="B482" s="1" t="n">
        <v>45370</v>
      </c>
      <c r="C482" s="1" t="n">
        <v>45998</v>
      </c>
      <c r="D482" t="inlineStr">
        <is>
          <t>VÄSTERNORRLANDS LÄN</t>
        </is>
      </c>
      <c r="E482" t="inlineStr">
        <is>
          <t>ÅNGE</t>
        </is>
      </c>
      <c r="F482" t="inlineStr">
        <is>
          <t>SCA</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45998</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26012-2024</t>
        </is>
      </c>
      <c r="B484" s="1" t="n">
        <v>45467</v>
      </c>
      <c r="C484" s="1" t="n">
        <v>45998</v>
      </c>
      <c r="D484" t="inlineStr">
        <is>
          <t>VÄSTERNORRLANDS LÄN</t>
        </is>
      </c>
      <c r="E484" t="inlineStr">
        <is>
          <t>ÅNGE</t>
        </is>
      </c>
      <c r="F484" t="inlineStr">
        <is>
          <t>SCA</t>
        </is>
      </c>
      <c r="G484" t="n">
        <v>7.5</v>
      </c>
      <c r="H484" t="n">
        <v>0</v>
      </c>
      <c r="I484" t="n">
        <v>0</v>
      </c>
      <c r="J484" t="n">
        <v>0</v>
      </c>
      <c r="K484" t="n">
        <v>0</v>
      </c>
      <c r="L484" t="n">
        <v>0</v>
      </c>
      <c r="M484" t="n">
        <v>0</v>
      </c>
      <c r="N484" t="n">
        <v>0</v>
      </c>
      <c r="O484" t="n">
        <v>0</v>
      </c>
      <c r="P484" t="n">
        <v>0</v>
      </c>
      <c r="Q484" t="n">
        <v>0</v>
      </c>
      <c r="R484" s="2" t="inlineStr"/>
    </row>
    <row r="485" ht="15" customHeight="1">
      <c r="A485" t="inlineStr">
        <is>
          <t>A 57636-2022</t>
        </is>
      </c>
      <c r="B485" s="1" t="n">
        <v>44897</v>
      </c>
      <c r="C485" s="1" t="n">
        <v>45998</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30348-2024</t>
        </is>
      </c>
      <c r="B486" s="1" t="n">
        <v>45490.95524305556</v>
      </c>
      <c r="C486" s="1" t="n">
        <v>45998</v>
      </c>
      <c r="D486" t="inlineStr">
        <is>
          <t>VÄSTERNORRLANDS LÄN</t>
        </is>
      </c>
      <c r="E486" t="inlineStr">
        <is>
          <t>ÅNGE</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31457-2024</t>
        </is>
      </c>
      <c r="B487" s="1" t="n">
        <v>45505</v>
      </c>
      <c r="C487" s="1" t="n">
        <v>45998</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35392-2024</t>
        </is>
      </c>
      <c r="B488" s="1" t="n">
        <v>45531.4025462963</v>
      </c>
      <c r="C488" s="1" t="n">
        <v>45998</v>
      </c>
      <c r="D488" t="inlineStr">
        <is>
          <t>VÄSTERNORRLANDS LÄN</t>
        </is>
      </c>
      <c r="E488" t="inlineStr">
        <is>
          <t>ÅNGE</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43066-2022</t>
        </is>
      </c>
      <c r="B489" s="1" t="n">
        <v>44833</v>
      </c>
      <c r="C489" s="1" t="n">
        <v>45998</v>
      </c>
      <c r="D489" t="inlineStr">
        <is>
          <t>VÄSTERNORRLANDS LÄN</t>
        </is>
      </c>
      <c r="E489" t="inlineStr">
        <is>
          <t>ÅNGE</t>
        </is>
      </c>
      <c r="G489" t="n">
        <v>1.2</v>
      </c>
      <c r="H489" t="n">
        <v>0</v>
      </c>
      <c r="I489" t="n">
        <v>0</v>
      </c>
      <c r="J489" t="n">
        <v>0</v>
      </c>
      <c r="K489" t="n">
        <v>0</v>
      </c>
      <c r="L489" t="n">
        <v>0</v>
      </c>
      <c r="M489" t="n">
        <v>0</v>
      </c>
      <c r="N489" t="n">
        <v>0</v>
      </c>
      <c r="O489" t="n">
        <v>0</v>
      </c>
      <c r="P489" t="n">
        <v>0</v>
      </c>
      <c r="Q489" t="n">
        <v>0</v>
      </c>
      <c r="R489" s="2" t="inlineStr"/>
    </row>
    <row r="490" ht="15" customHeight="1">
      <c r="A490" t="inlineStr">
        <is>
          <t>A 57595-2022</t>
        </is>
      </c>
      <c r="B490" s="1" t="n">
        <v>44896.97862268519</v>
      </c>
      <c r="C490" s="1" t="n">
        <v>45998</v>
      </c>
      <c r="D490" t="inlineStr">
        <is>
          <t>VÄSTERNORRLANDS LÄN</t>
        </is>
      </c>
      <c r="E490" t="inlineStr">
        <is>
          <t>ÅNGE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52685-2024</t>
        </is>
      </c>
      <c r="B491" s="1" t="n">
        <v>45610</v>
      </c>
      <c r="C491" s="1" t="n">
        <v>45998</v>
      </c>
      <c r="D491" t="inlineStr">
        <is>
          <t>VÄSTERNORRLANDS LÄN</t>
        </is>
      </c>
      <c r="E491" t="inlineStr">
        <is>
          <t>ÅNGE</t>
        </is>
      </c>
      <c r="G491" t="n">
        <v>2.3</v>
      </c>
      <c r="H491" t="n">
        <v>0</v>
      </c>
      <c r="I491" t="n">
        <v>0</v>
      </c>
      <c r="J491" t="n">
        <v>0</v>
      </c>
      <c r="K491" t="n">
        <v>0</v>
      </c>
      <c r="L491" t="n">
        <v>0</v>
      </c>
      <c r="M491" t="n">
        <v>0</v>
      </c>
      <c r="N491" t="n">
        <v>0</v>
      </c>
      <c r="O491" t="n">
        <v>0</v>
      </c>
      <c r="P491" t="n">
        <v>0</v>
      </c>
      <c r="Q491" t="n">
        <v>0</v>
      </c>
      <c r="R491" s="2" t="inlineStr"/>
    </row>
    <row r="492" ht="15" customHeight="1">
      <c r="A492" t="inlineStr">
        <is>
          <t>A 55664-2023</t>
        </is>
      </c>
      <c r="B492" s="1" t="n">
        <v>45238.96748842593</v>
      </c>
      <c r="C492" s="1" t="n">
        <v>45998</v>
      </c>
      <c r="D492" t="inlineStr">
        <is>
          <t>VÄSTERNORRLANDS LÄN</t>
        </is>
      </c>
      <c r="E492" t="inlineStr">
        <is>
          <t>ÅNGE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58275-2022</t>
        </is>
      </c>
      <c r="B493" s="1" t="n">
        <v>44901.47865740741</v>
      </c>
      <c r="C493" s="1" t="n">
        <v>45998</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45998</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33783-2024</t>
        </is>
      </c>
      <c r="B495" s="1" t="n">
        <v>45520</v>
      </c>
      <c r="C495" s="1" t="n">
        <v>45998</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45128-2022</t>
        </is>
      </c>
      <c r="B496" s="1" t="n">
        <v>44844.3146412037</v>
      </c>
      <c r="C496" s="1" t="n">
        <v>45998</v>
      </c>
      <c r="D496" t="inlineStr">
        <is>
          <t>VÄSTERNORRLANDS LÄN</t>
        </is>
      </c>
      <c r="E496" t="inlineStr">
        <is>
          <t>ÅNGE</t>
        </is>
      </c>
      <c r="G496" t="n">
        <v>4.1</v>
      </c>
      <c r="H496" t="n">
        <v>0</v>
      </c>
      <c r="I496" t="n">
        <v>0</v>
      </c>
      <c r="J496" t="n">
        <v>0</v>
      </c>
      <c r="K496" t="n">
        <v>0</v>
      </c>
      <c r="L496" t="n">
        <v>0</v>
      </c>
      <c r="M496" t="n">
        <v>0</v>
      </c>
      <c r="N496" t="n">
        <v>0</v>
      </c>
      <c r="O496" t="n">
        <v>0</v>
      </c>
      <c r="P496" t="n">
        <v>0</v>
      </c>
      <c r="Q496" t="n">
        <v>0</v>
      </c>
      <c r="R496" s="2" t="inlineStr"/>
    </row>
    <row r="497" ht="15" customHeight="1">
      <c r="A497" t="inlineStr">
        <is>
          <t>A 26951-2024</t>
        </is>
      </c>
      <c r="B497" s="1" t="n">
        <v>45470.96991898148</v>
      </c>
      <c r="C497" s="1" t="n">
        <v>45998</v>
      </c>
      <c r="D497" t="inlineStr">
        <is>
          <t>VÄSTERNORRLANDS LÄN</t>
        </is>
      </c>
      <c r="E497" t="inlineStr">
        <is>
          <t>ÅNGE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26952-2024</t>
        </is>
      </c>
      <c r="B498" s="1" t="n">
        <v>45470</v>
      </c>
      <c r="C498" s="1" t="n">
        <v>45998</v>
      </c>
      <c r="D498" t="inlineStr">
        <is>
          <t>VÄSTERNORRLANDS LÄN</t>
        </is>
      </c>
      <c r="E498" t="inlineStr">
        <is>
          <t>ÅNGE</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27321-2024</t>
        </is>
      </c>
      <c r="B499" s="1" t="n">
        <v>45471</v>
      </c>
      <c r="C499" s="1" t="n">
        <v>45998</v>
      </c>
      <c r="D499" t="inlineStr">
        <is>
          <t>VÄSTERNORRLANDS LÄN</t>
        </is>
      </c>
      <c r="E499" t="inlineStr">
        <is>
          <t>ÅNGE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37382-2021</t>
        </is>
      </c>
      <c r="B500" s="1" t="n">
        <v>44397</v>
      </c>
      <c r="C500" s="1" t="n">
        <v>45998</v>
      </c>
      <c r="D500" t="inlineStr">
        <is>
          <t>VÄSTERNORRLANDS LÄN</t>
        </is>
      </c>
      <c r="E500" t="inlineStr">
        <is>
          <t>ÅNGE</t>
        </is>
      </c>
      <c r="G500" t="n">
        <v>2.4</v>
      </c>
      <c r="H500" t="n">
        <v>0</v>
      </c>
      <c r="I500" t="n">
        <v>0</v>
      </c>
      <c r="J500" t="n">
        <v>0</v>
      </c>
      <c r="K500" t="n">
        <v>0</v>
      </c>
      <c r="L500" t="n">
        <v>0</v>
      </c>
      <c r="M500" t="n">
        <v>0</v>
      </c>
      <c r="N500" t="n">
        <v>0</v>
      </c>
      <c r="O500" t="n">
        <v>0</v>
      </c>
      <c r="P500" t="n">
        <v>0</v>
      </c>
      <c r="Q500" t="n">
        <v>0</v>
      </c>
      <c r="R500" s="2" t="inlineStr"/>
    </row>
    <row r="501" ht="15" customHeight="1">
      <c r="A501" t="inlineStr">
        <is>
          <t>A 27668-2024</t>
        </is>
      </c>
      <c r="B501" s="1" t="n">
        <v>45474.95435185185</v>
      </c>
      <c r="C501" s="1" t="n">
        <v>45998</v>
      </c>
      <c r="D501" t="inlineStr">
        <is>
          <t>VÄSTERNORRLANDS LÄN</t>
        </is>
      </c>
      <c r="E501" t="inlineStr">
        <is>
          <t>ÅNGE</t>
        </is>
      </c>
      <c r="F501" t="inlineStr">
        <is>
          <t>SCA</t>
        </is>
      </c>
      <c r="G501" t="n">
        <v>5.5</v>
      </c>
      <c r="H501" t="n">
        <v>0</v>
      </c>
      <c r="I501" t="n">
        <v>0</v>
      </c>
      <c r="J501" t="n">
        <v>0</v>
      </c>
      <c r="K501" t="n">
        <v>0</v>
      </c>
      <c r="L501" t="n">
        <v>0</v>
      </c>
      <c r="M501" t="n">
        <v>0</v>
      </c>
      <c r="N501" t="n">
        <v>0</v>
      </c>
      <c r="O501" t="n">
        <v>0</v>
      </c>
      <c r="P501" t="n">
        <v>0</v>
      </c>
      <c r="Q501" t="n">
        <v>0</v>
      </c>
      <c r="R501" s="2" t="inlineStr"/>
    </row>
    <row r="502" ht="15" customHeight="1">
      <c r="A502" t="inlineStr">
        <is>
          <t>A 1116-2023</t>
        </is>
      </c>
      <c r="B502" s="1" t="n">
        <v>44929</v>
      </c>
      <c r="C502" s="1" t="n">
        <v>45998</v>
      </c>
      <c r="D502" t="inlineStr">
        <is>
          <t>VÄSTERNORRLANDS LÄN</t>
        </is>
      </c>
      <c r="E502" t="inlineStr">
        <is>
          <t>ÅNGE</t>
        </is>
      </c>
      <c r="G502" t="n">
        <v>17.2</v>
      </c>
      <c r="H502" t="n">
        <v>0</v>
      </c>
      <c r="I502" t="n">
        <v>0</v>
      </c>
      <c r="J502" t="n">
        <v>0</v>
      </c>
      <c r="K502" t="n">
        <v>0</v>
      </c>
      <c r="L502" t="n">
        <v>0</v>
      </c>
      <c r="M502" t="n">
        <v>0</v>
      </c>
      <c r="N502" t="n">
        <v>0</v>
      </c>
      <c r="O502" t="n">
        <v>0</v>
      </c>
      <c r="P502" t="n">
        <v>0</v>
      </c>
      <c r="Q502" t="n">
        <v>0</v>
      </c>
      <c r="R502" s="2" t="inlineStr"/>
    </row>
    <row r="503" ht="15" customHeight="1">
      <c r="A503" t="inlineStr">
        <is>
          <t>A 29063-2023</t>
        </is>
      </c>
      <c r="B503" s="1" t="n">
        <v>45104.94068287037</v>
      </c>
      <c r="C503" s="1" t="n">
        <v>45998</v>
      </c>
      <c r="D503" t="inlineStr">
        <is>
          <t>VÄSTERNORRLANDS LÄN</t>
        </is>
      </c>
      <c r="E503" t="inlineStr">
        <is>
          <t>ÅNGE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51609-2023</t>
        </is>
      </c>
      <c r="B504" s="1" t="n">
        <v>45215</v>
      </c>
      <c r="C504" s="1" t="n">
        <v>45998</v>
      </c>
      <c r="D504" t="inlineStr">
        <is>
          <t>VÄSTERNORRLANDS LÄN</t>
        </is>
      </c>
      <c r="E504" t="inlineStr">
        <is>
          <t>ÅNGE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53970-2021</t>
        </is>
      </c>
      <c r="B505" s="1" t="n">
        <v>44469</v>
      </c>
      <c r="C505" s="1" t="n">
        <v>45998</v>
      </c>
      <c r="D505" t="inlineStr">
        <is>
          <t>VÄSTERNORRLANDS LÄN</t>
        </is>
      </c>
      <c r="E505" t="inlineStr">
        <is>
          <t>ÅNGE</t>
        </is>
      </c>
      <c r="G505" t="n">
        <v>3.4</v>
      </c>
      <c r="H505" t="n">
        <v>0</v>
      </c>
      <c r="I505" t="n">
        <v>0</v>
      </c>
      <c r="J505" t="n">
        <v>0</v>
      </c>
      <c r="K505" t="n">
        <v>0</v>
      </c>
      <c r="L505" t="n">
        <v>0</v>
      </c>
      <c r="M505" t="n">
        <v>0</v>
      </c>
      <c r="N505" t="n">
        <v>0</v>
      </c>
      <c r="O505" t="n">
        <v>0</v>
      </c>
      <c r="P505" t="n">
        <v>0</v>
      </c>
      <c r="Q505" t="n">
        <v>0</v>
      </c>
      <c r="R505" s="2" t="inlineStr"/>
    </row>
    <row r="506" ht="15" customHeight="1">
      <c r="A506" t="inlineStr">
        <is>
          <t>A 2415-2024</t>
        </is>
      </c>
      <c r="B506" s="1" t="n">
        <v>45310</v>
      </c>
      <c r="C506" s="1" t="n">
        <v>45998</v>
      </c>
      <c r="D506" t="inlineStr">
        <is>
          <t>VÄSTERNORRLANDS LÄN</t>
        </is>
      </c>
      <c r="E506" t="inlineStr">
        <is>
          <t>ÅNGE</t>
        </is>
      </c>
      <c r="F506" t="inlineStr">
        <is>
          <t>Kyrkan</t>
        </is>
      </c>
      <c r="G506" t="n">
        <v>0.2</v>
      </c>
      <c r="H506" t="n">
        <v>0</v>
      </c>
      <c r="I506" t="n">
        <v>0</v>
      </c>
      <c r="J506" t="n">
        <v>0</v>
      </c>
      <c r="K506" t="n">
        <v>0</v>
      </c>
      <c r="L506" t="n">
        <v>0</v>
      </c>
      <c r="M506" t="n">
        <v>0</v>
      </c>
      <c r="N506" t="n">
        <v>0</v>
      </c>
      <c r="O506" t="n">
        <v>0</v>
      </c>
      <c r="P506" t="n">
        <v>0</v>
      </c>
      <c r="Q506" t="n">
        <v>0</v>
      </c>
      <c r="R506" s="2" t="inlineStr"/>
    </row>
    <row r="507" ht="15" customHeight="1">
      <c r="A507" t="inlineStr">
        <is>
          <t>A 6686-2024</t>
        </is>
      </c>
      <c r="B507" s="1" t="n">
        <v>45341</v>
      </c>
      <c r="C507" s="1" t="n">
        <v>45998</v>
      </c>
      <c r="D507" t="inlineStr">
        <is>
          <t>VÄSTERNORRLANDS LÄN</t>
        </is>
      </c>
      <c r="E507" t="inlineStr">
        <is>
          <t>ÅNGE</t>
        </is>
      </c>
      <c r="G507" t="n">
        <v>0.9</v>
      </c>
      <c r="H507" t="n">
        <v>0</v>
      </c>
      <c r="I507" t="n">
        <v>0</v>
      </c>
      <c r="J507" t="n">
        <v>0</v>
      </c>
      <c r="K507" t="n">
        <v>0</v>
      </c>
      <c r="L507" t="n">
        <v>0</v>
      </c>
      <c r="M507" t="n">
        <v>0</v>
      </c>
      <c r="N507" t="n">
        <v>0</v>
      </c>
      <c r="O507" t="n">
        <v>0</v>
      </c>
      <c r="P507" t="n">
        <v>0</v>
      </c>
      <c r="Q507" t="n">
        <v>0</v>
      </c>
      <c r="R507" s="2" t="inlineStr"/>
    </row>
    <row r="508" ht="15" customHeight="1">
      <c r="A508" t="inlineStr">
        <is>
          <t>A 63216-2023</t>
        </is>
      </c>
      <c r="B508" s="1" t="n">
        <v>45273.62721064815</v>
      </c>
      <c r="C508" s="1" t="n">
        <v>45998</v>
      </c>
      <c r="D508" t="inlineStr">
        <is>
          <t>VÄSTERNORRLANDS LÄN</t>
        </is>
      </c>
      <c r="E508" t="inlineStr">
        <is>
          <t>ÅNGE</t>
        </is>
      </c>
      <c r="F508" t="inlineStr">
        <is>
          <t>Holmen skog AB</t>
        </is>
      </c>
      <c r="G508" t="n">
        <v>2.9</v>
      </c>
      <c r="H508" t="n">
        <v>0</v>
      </c>
      <c r="I508" t="n">
        <v>0</v>
      </c>
      <c r="J508" t="n">
        <v>0</v>
      </c>
      <c r="K508" t="n">
        <v>0</v>
      </c>
      <c r="L508" t="n">
        <v>0</v>
      </c>
      <c r="M508" t="n">
        <v>0</v>
      </c>
      <c r="N508" t="n">
        <v>0</v>
      </c>
      <c r="O508" t="n">
        <v>0</v>
      </c>
      <c r="P508" t="n">
        <v>0</v>
      </c>
      <c r="Q508" t="n">
        <v>0</v>
      </c>
      <c r="R508" s="2" t="inlineStr"/>
    </row>
    <row r="509" ht="15" customHeight="1">
      <c r="A509" t="inlineStr">
        <is>
          <t>A 30682-2024</t>
        </is>
      </c>
      <c r="B509" s="1" t="n">
        <v>45495.95109953704</v>
      </c>
      <c r="C509" s="1" t="n">
        <v>45998</v>
      </c>
      <c r="D509" t="inlineStr">
        <is>
          <t>VÄSTERNORRLANDS LÄN</t>
        </is>
      </c>
      <c r="E509" t="inlineStr">
        <is>
          <t>ÅNGE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57287-2022</t>
        </is>
      </c>
      <c r="B510" s="1" t="n">
        <v>44895.95</v>
      </c>
      <c r="C510" s="1" t="n">
        <v>45998</v>
      </c>
      <c r="D510" t="inlineStr">
        <is>
          <t>VÄSTERNORRLANDS LÄN</t>
        </is>
      </c>
      <c r="E510" t="inlineStr">
        <is>
          <t>ÅNGE</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55197-2022</t>
        </is>
      </c>
      <c r="B511" s="1" t="n">
        <v>44886.93714120371</v>
      </c>
      <c r="C511" s="1" t="n">
        <v>45998</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50186-2021</t>
        </is>
      </c>
      <c r="B512" s="1" t="n">
        <v>44456</v>
      </c>
      <c r="C512" s="1" t="n">
        <v>45998</v>
      </c>
      <c r="D512" t="inlineStr">
        <is>
          <t>VÄSTERNORRLANDS LÄN</t>
        </is>
      </c>
      <c r="E512" t="inlineStr">
        <is>
          <t>ÅNGE</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30753-2024</t>
        </is>
      </c>
      <c r="B513" s="1" t="n">
        <v>45496</v>
      </c>
      <c r="C513" s="1" t="n">
        <v>45998</v>
      </c>
      <c r="D513" t="inlineStr">
        <is>
          <t>VÄSTERNORRLANDS LÄN</t>
        </is>
      </c>
      <c r="E513" t="inlineStr">
        <is>
          <t>ÅNGE</t>
        </is>
      </c>
      <c r="G513" t="n">
        <v>1.4</v>
      </c>
      <c r="H513" t="n">
        <v>0</v>
      </c>
      <c r="I513" t="n">
        <v>0</v>
      </c>
      <c r="J513" t="n">
        <v>0</v>
      </c>
      <c r="K513" t="n">
        <v>0</v>
      </c>
      <c r="L513" t="n">
        <v>0</v>
      </c>
      <c r="M513" t="n">
        <v>0</v>
      </c>
      <c r="N513" t="n">
        <v>0</v>
      </c>
      <c r="O513" t="n">
        <v>0</v>
      </c>
      <c r="P513" t="n">
        <v>0</v>
      </c>
      <c r="Q513" t="n">
        <v>0</v>
      </c>
      <c r="R513" s="2" t="inlineStr"/>
    </row>
    <row r="514" ht="15" customHeight="1">
      <c r="A514" t="inlineStr">
        <is>
          <t>A 30754-2024</t>
        </is>
      </c>
      <c r="B514" s="1" t="n">
        <v>45496</v>
      </c>
      <c r="C514" s="1" t="n">
        <v>45998</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38960-2021</t>
        </is>
      </c>
      <c r="B515" s="1" t="n">
        <v>44411</v>
      </c>
      <c r="C515" s="1" t="n">
        <v>45998</v>
      </c>
      <c r="D515" t="inlineStr">
        <is>
          <t>VÄSTERNORRLANDS LÄN</t>
        </is>
      </c>
      <c r="E515" t="inlineStr">
        <is>
          <t>ÅNGE</t>
        </is>
      </c>
      <c r="G515" t="n">
        <v>1</v>
      </c>
      <c r="H515" t="n">
        <v>0</v>
      </c>
      <c r="I515" t="n">
        <v>0</v>
      </c>
      <c r="J515" t="n">
        <v>0</v>
      </c>
      <c r="K515" t="n">
        <v>0</v>
      </c>
      <c r="L515" t="n">
        <v>0</v>
      </c>
      <c r="M515" t="n">
        <v>0</v>
      </c>
      <c r="N515" t="n">
        <v>0</v>
      </c>
      <c r="O515" t="n">
        <v>0</v>
      </c>
      <c r="P515" t="n">
        <v>0</v>
      </c>
      <c r="Q515" t="n">
        <v>0</v>
      </c>
      <c r="R515" s="2" t="inlineStr"/>
    </row>
    <row r="516" ht="15" customHeight="1">
      <c r="A516" t="inlineStr">
        <is>
          <t>A 30365-2021</t>
        </is>
      </c>
      <c r="B516" s="1" t="n">
        <v>44364.45164351852</v>
      </c>
      <c r="C516" s="1" t="n">
        <v>45998</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35581-2024</t>
        </is>
      </c>
      <c r="B517" s="1" t="n">
        <v>45531</v>
      </c>
      <c r="C517" s="1" t="n">
        <v>45998</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65633-2021</t>
        </is>
      </c>
      <c r="B518" s="1" t="n">
        <v>44516.56181712963</v>
      </c>
      <c r="C518" s="1" t="n">
        <v>45998</v>
      </c>
      <c r="D518" t="inlineStr">
        <is>
          <t>VÄSTERNORRLANDS LÄN</t>
        </is>
      </c>
      <c r="E518" t="inlineStr">
        <is>
          <t>ÅNGE</t>
        </is>
      </c>
      <c r="G518" t="n">
        <v>1.7</v>
      </c>
      <c r="H518" t="n">
        <v>0</v>
      </c>
      <c r="I518" t="n">
        <v>0</v>
      </c>
      <c r="J518" t="n">
        <v>0</v>
      </c>
      <c r="K518" t="n">
        <v>0</v>
      </c>
      <c r="L518" t="n">
        <v>0</v>
      </c>
      <c r="M518" t="n">
        <v>0</v>
      </c>
      <c r="N518" t="n">
        <v>0</v>
      </c>
      <c r="O518" t="n">
        <v>0</v>
      </c>
      <c r="P518" t="n">
        <v>0</v>
      </c>
      <c r="Q518" t="n">
        <v>0</v>
      </c>
      <c r="R518" s="2" t="inlineStr"/>
    </row>
    <row r="519" ht="15" customHeight="1">
      <c r="A519" t="inlineStr">
        <is>
          <t>A 17044-2022</t>
        </is>
      </c>
      <c r="B519" s="1" t="n">
        <v>44676</v>
      </c>
      <c r="C519" s="1" t="n">
        <v>45998</v>
      </c>
      <c r="D519" t="inlineStr">
        <is>
          <t>VÄSTERNORRLANDS LÄN</t>
        </is>
      </c>
      <c r="E519" t="inlineStr">
        <is>
          <t>ÅNGE</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57291-2022</t>
        </is>
      </c>
      <c r="B520" s="1" t="n">
        <v>44895</v>
      </c>
      <c r="C520" s="1" t="n">
        <v>45998</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31864-2024</t>
        </is>
      </c>
      <c r="B521" s="1" t="n">
        <v>45509.74791666667</v>
      </c>
      <c r="C521" s="1" t="n">
        <v>45998</v>
      </c>
      <c r="D521" t="inlineStr">
        <is>
          <t>VÄSTERNORRLANDS LÄN</t>
        </is>
      </c>
      <c r="E521" t="inlineStr">
        <is>
          <t>ÅNGE</t>
        </is>
      </c>
      <c r="G521" t="n">
        <v>0.9</v>
      </c>
      <c r="H521" t="n">
        <v>0</v>
      </c>
      <c r="I521" t="n">
        <v>0</v>
      </c>
      <c r="J521" t="n">
        <v>0</v>
      </c>
      <c r="K521" t="n">
        <v>0</v>
      </c>
      <c r="L521" t="n">
        <v>0</v>
      </c>
      <c r="M521" t="n">
        <v>0</v>
      </c>
      <c r="N521" t="n">
        <v>0</v>
      </c>
      <c r="O521" t="n">
        <v>0</v>
      </c>
      <c r="P521" t="n">
        <v>0</v>
      </c>
      <c r="Q521" t="n">
        <v>0</v>
      </c>
      <c r="R521" s="2" t="inlineStr"/>
    </row>
    <row r="522" ht="15" customHeight="1">
      <c r="A522" t="inlineStr">
        <is>
          <t>A 49532-2024</t>
        </is>
      </c>
      <c r="B522" s="1" t="n">
        <v>45596.41797453703</v>
      </c>
      <c r="C522" s="1" t="n">
        <v>45998</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40790-2023</t>
        </is>
      </c>
      <c r="B523" s="1" t="n">
        <v>45170.95814814815</v>
      </c>
      <c r="C523" s="1" t="n">
        <v>45998</v>
      </c>
      <c r="D523" t="inlineStr">
        <is>
          <t>VÄSTERNORRLANDS LÄN</t>
        </is>
      </c>
      <c r="E523" t="inlineStr">
        <is>
          <t>ÅNGE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11310-2023</t>
        </is>
      </c>
      <c r="B524" s="1" t="n">
        <v>44993.01190972222</v>
      </c>
      <c r="C524" s="1" t="n">
        <v>45998</v>
      </c>
      <c r="D524" t="inlineStr">
        <is>
          <t>VÄSTERNORRLANDS LÄN</t>
        </is>
      </c>
      <c r="E524" t="inlineStr">
        <is>
          <t>ÅNGE</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1090-2023</t>
        </is>
      </c>
      <c r="B525" s="1" t="n">
        <v>44929</v>
      </c>
      <c r="C525" s="1" t="n">
        <v>45998</v>
      </c>
      <c r="D525" t="inlineStr">
        <is>
          <t>VÄSTERNORRLANDS LÄN</t>
        </is>
      </c>
      <c r="E525" t="inlineStr">
        <is>
          <t>ÅNGE</t>
        </is>
      </c>
      <c r="G525" t="n">
        <v>0.7</v>
      </c>
      <c r="H525" t="n">
        <v>0</v>
      </c>
      <c r="I525" t="n">
        <v>0</v>
      </c>
      <c r="J525" t="n">
        <v>0</v>
      </c>
      <c r="K525" t="n">
        <v>0</v>
      </c>
      <c r="L525" t="n">
        <v>0</v>
      </c>
      <c r="M525" t="n">
        <v>0</v>
      </c>
      <c r="N525" t="n">
        <v>0</v>
      </c>
      <c r="O525" t="n">
        <v>0</v>
      </c>
      <c r="P525" t="n">
        <v>0</v>
      </c>
      <c r="Q525" t="n">
        <v>0</v>
      </c>
      <c r="R525" s="2" t="inlineStr"/>
    </row>
    <row r="526" ht="15" customHeight="1">
      <c r="A526" t="inlineStr">
        <is>
          <t>A 41507-2024</t>
        </is>
      </c>
      <c r="B526" s="1" t="n">
        <v>45560</v>
      </c>
      <c r="C526" s="1" t="n">
        <v>45998</v>
      </c>
      <c r="D526" t="inlineStr">
        <is>
          <t>VÄSTERNORRLANDS LÄN</t>
        </is>
      </c>
      <c r="E526" t="inlineStr">
        <is>
          <t>ÅNGE</t>
        </is>
      </c>
      <c r="G526" t="n">
        <v>1.2</v>
      </c>
      <c r="H526" t="n">
        <v>0</v>
      </c>
      <c r="I526" t="n">
        <v>0</v>
      </c>
      <c r="J526" t="n">
        <v>0</v>
      </c>
      <c r="K526" t="n">
        <v>0</v>
      </c>
      <c r="L526" t="n">
        <v>0</v>
      </c>
      <c r="M526" t="n">
        <v>0</v>
      </c>
      <c r="N526" t="n">
        <v>0</v>
      </c>
      <c r="O526" t="n">
        <v>0</v>
      </c>
      <c r="P526" t="n">
        <v>0</v>
      </c>
      <c r="Q526" t="n">
        <v>0</v>
      </c>
      <c r="R526" s="2" t="inlineStr"/>
    </row>
    <row r="527" ht="15" customHeight="1">
      <c r="A527" t="inlineStr">
        <is>
          <t>A 6487-2021</t>
        </is>
      </c>
      <c r="B527" s="1" t="n">
        <v>44235</v>
      </c>
      <c r="C527" s="1" t="n">
        <v>45998</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17749-2025</t>
        </is>
      </c>
      <c r="B528" s="1" t="n">
        <v>45758.48380787037</v>
      </c>
      <c r="C528" s="1" t="n">
        <v>45998</v>
      </c>
      <c r="D528" t="inlineStr">
        <is>
          <t>VÄSTERNORRLANDS LÄN</t>
        </is>
      </c>
      <c r="E528" t="inlineStr">
        <is>
          <t>ÅNGE</t>
        </is>
      </c>
      <c r="G528" t="n">
        <v>7.3</v>
      </c>
      <c r="H528" t="n">
        <v>0</v>
      </c>
      <c r="I528" t="n">
        <v>0</v>
      </c>
      <c r="J528" t="n">
        <v>0</v>
      </c>
      <c r="K528" t="n">
        <v>0</v>
      </c>
      <c r="L528" t="n">
        <v>0</v>
      </c>
      <c r="M528" t="n">
        <v>0</v>
      </c>
      <c r="N528" t="n">
        <v>0</v>
      </c>
      <c r="O528" t="n">
        <v>0</v>
      </c>
      <c r="P528" t="n">
        <v>0</v>
      </c>
      <c r="Q528" t="n">
        <v>0</v>
      </c>
      <c r="R528" s="2" t="inlineStr"/>
    </row>
    <row r="529" ht="15" customHeight="1">
      <c r="A529" t="inlineStr">
        <is>
          <t>A 42044-2024</t>
        </is>
      </c>
      <c r="B529" s="1" t="n">
        <v>45561</v>
      </c>
      <c r="C529" s="1" t="n">
        <v>45998</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35426-2024</t>
        </is>
      </c>
      <c r="B530" s="1" t="n">
        <v>45531</v>
      </c>
      <c r="C530" s="1" t="n">
        <v>45998</v>
      </c>
      <c r="D530" t="inlineStr">
        <is>
          <t>VÄSTERNORRLANDS LÄN</t>
        </is>
      </c>
      <c r="E530" t="inlineStr">
        <is>
          <t>ÅNGE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3256-2024</t>
        </is>
      </c>
      <c r="B531" s="1" t="n">
        <v>45316</v>
      </c>
      <c r="C531" s="1" t="n">
        <v>45998</v>
      </c>
      <c r="D531" t="inlineStr">
        <is>
          <t>VÄSTERNORRLANDS LÄN</t>
        </is>
      </c>
      <c r="E531" t="inlineStr">
        <is>
          <t>ÅNGE</t>
        </is>
      </c>
      <c r="G531" t="n">
        <v>3.7</v>
      </c>
      <c r="H531" t="n">
        <v>0</v>
      </c>
      <c r="I531" t="n">
        <v>0</v>
      </c>
      <c r="J531" t="n">
        <v>0</v>
      </c>
      <c r="K531" t="n">
        <v>0</v>
      </c>
      <c r="L531" t="n">
        <v>0</v>
      </c>
      <c r="M531" t="n">
        <v>0</v>
      </c>
      <c r="N531" t="n">
        <v>0</v>
      </c>
      <c r="O531" t="n">
        <v>0</v>
      </c>
      <c r="P531" t="n">
        <v>0</v>
      </c>
      <c r="Q531" t="n">
        <v>0</v>
      </c>
      <c r="R531" s="2" t="inlineStr"/>
    </row>
    <row r="532" ht="15" customHeight="1">
      <c r="A532" t="inlineStr">
        <is>
          <t>A 31545-2024</t>
        </is>
      </c>
      <c r="B532" s="1" t="n">
        <v>45505</v>
      </c>
      <c r="C532" s="1" t="n">
        <v>45998</v>
      </c>
      <c r="D532" t="inlineStr">
        <is>
          <t>VÄSTERNORRLANDS LÄN</t>
        </is>
      </c>
      <c r="E532" t="inlineStr">
        <is>
          <t>ÅNGE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27915-2024</t>
        </is>
      </c>
      <c r="B533" s="1" t="n">
        <v>45475</v>
      </c>
      <c r="C533" s="1" t="n">
        <v>45998</v>
      </c>
      <c r="D533" t="inlineStr">
        <is>
          <t>VÄSTERNORRLANDS LÄN</t>
        </is>
      </c>
      <c r="E533" t="inlineStr">
        <is>
          <t>ÅNGE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6680-2024</t>
        </is>
      </c>
      <c r="B534" s="1" t="n">
        <v>45341</v>
      </c>
      <c r="C534" s="1" t="n">
        <v>45998</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6685-2024</t>
        </is>
      </c>
      <c r="B535" s="1" t="n">
        <v>45341</v>
      </c>
      <c r="C535" s="1" t="n">
        <v>45998</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6689-2024</t>
        </is>
      </c>
      <c r="B536" s="1" t="n">
        <v>45341.9259375</v>
      </c>
      <c r="C536" s="1" t="n">
        <v>45998</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2451-2024</t>
        </is>
      </c>
      <c r="B537" s="1" t="n">
        <v>45312.58627314815</v>
      </c>
      <c r="C537" s="1" t="n">
        <v>45998</v>
      </c>
      <c r="D537" t="inlineStr">
        <is>
          <t>VÄSTERNORRLANDS LÄN</t>
        </is>
      </c>
      <c r="E537" t="inlineStr">
        <is>
          <t>ÅNGE</t>
        </is>
      </c>
      <c r="G537" t="n">
        <v>3.5</v>
      </c>
      <c r="H537" t="n">
        <v>0</v>
      </c>
      <c r="I537" t="n">
        <v>0</v>
      </c>
      <c r="J537" t="n">
        <v>0</v>
      </c>
      <c r="K537" t="n">
        <v>0</v>
      </c>
      <c r="L537" t="n">
        <v>0</v>
      </c>
      <c r="M537" t="n">
        <v>0</v>
      </c>
      <c r="N537" t="n">
        <v>0</v>
      </c>
      <c r="O537" t="n">
        <v>0</v>
      </c>
      <c r="P537" t="n">
        <v>0</v>
      </c>
      <c r="Q537" t="n">
        <v>0</v>
      </c>
      <c r="R537" s="2" t="inlineStr"/>
    </row>
    <row r="538" ht="15" customHeight="1">
      <c r="A538" t="inlineStr">
        <is>
          <t>A 63530-2023</t>
        </is>
      </c>
      <c r="B538" s="1" t="n">
        <v>45274</v>
      </c>
      <c r="C538" s="1" t="n">
        <v>45998</v>
      </c>
      <c r="D538" t="inlineStr">
        <is>
          <t>VÄSTERNORRLANDS LÄN</t>
        </is>
      </c>
      <c r="E538" t="inlineStr">
        <is>
          <t>ÅNGE</t>
        </is>
      </c>
      <c r="G538" t="n">
        <v>1.1</v>
      </c>
      <c r="H538" t="n">
        <v>0</v>
      </c>
      <c r="I538" t="n">
        <v>0</v>
      </c>
      <c r="J538" t="n">
        <v>0</v>
      </c>
      <c r="K538" t="n">
        <v>0</v>
      </c>
      <c r="L538" t="n">
        <v>0</v>
      </c>
      <c r="M538" t="n">
        <v>0</v>
      </c>
      <c r="N538" t="n">
        <v>0</v>
      </c>
      <c r="O538" t="n">
        <v>0</v>
      </c>
      <c r="P538" t="n">
        <v>0</v>
      </c>
      <c r="Q538" t="n">
        <v>0</v>
      </c>
      <c r="R538" s="2" t="inlineStr"/>
    </row>
    <row r="539" ht="15" customHeight="1">
      <c r="A539" t="inlineStr">
        <is>
          <t>A 35488-2024</t>
        </is>
      </c>
      <c r="B539" s="1" t="n">
        <v>45531</v>
      </c>
      <c r="C539" s="1" t="n">
        <v>45998</v>
      </c>
      <c r="D539" t="inlineStr">
        <is>
          <t>VÄSTERNORRLANDS LÄN</t>
        </is>
      </c>
      <c r="E539" t="inlineStr">
        <is>
          <t>ÅNGE</t>
        </is>
      </c>
      <c r="G539" t="n">
        <v>2.4</v>
      </c>
      <c r="H539" t="n">
        <v>0</v>
      </c>
      <c r="I539" t="n">
        <v>0</v>
      </c>
      <c r="J539" t="n">
        <v>0</v>
      </c>
      <c r="K539" t="n">
        <v>0</v>
      </c>
      <c r="L539" t="n">
        <v>0</v>
      </c>
      <c r="M539" t="n">
        <v>0</v>
      </c>
      <c r="N539" t="n">
        <v>0</v>
      </c>
      <c r="O539" t="n">
        <v>0</v>
      </c>
      <c r="P539" t="n">
        <v>0</v>
      </c>
      <c r="Q539" t="n">
        <v>0</v>
      </c>
      <c r="R539" s="2" t="inlineStr"/>
    </row>
    <row r="540" ht="15" customHeight="1">
      <c r="A540" t="inlineStr">
        <is>
          <t>A 35593-2024</t>
        </is>
      </c>
      <c r="B540" s="1" t="n">
        <v>45531</v>
      </c>
      <c r="C540" s="1" t="n">
        <v>45998</v>
      </c>
      <c r="D540" t="inlineStr">
        <is>
          <t>VÄSTERNORRLANDS LÄN</t>
        </is>
      </c>
      <c r="E540" t="inlineStr">
        <is>
          <t>ÅNGE</t>
        </is>
      </c>
      <c r="G540" t="n">
        <v>17.6</v>
      </c>
      <c r="H540" t="n">
        <v>0</v>
      </c>
      <c r="I540" t="n">
        <v>0</v>
      </c>
      <c r="J540" t="n">
        <v>0</v>
      </c>
      <c r="K540" t="n">
        <v>0</v>
      </c>
      <c r="L540" t="n">
        <v>0</v>
      </c>
      <c r="M540" t="n">
        <v>0</v>
      </c>
      <c r="N540" t="n">
        <v>0</v>
      </c>
      <c r="O540" t="n">
        <v>0</v>
      </c>
      <c r="P540" t="n">
        <v>0</v>
      </c>
      <c r="Q540" t="n">
        <v>0</v>
      </c>
      <c r="R540" s="2" t="inlineStr"/>
    </row>
    <row r="541" ht="15" customHeight="1">
      <c r="A541" t="inlineStr">
        <is>
          <t>A 14751-2025</t>
        </is>
      </c>
      <c r="B541" s="1" t="n">
        <v>45742.65863425926</v>
      </c>
      <c r="C541" s="1" t="n">
        <v>45998</v>
      </c>
      <c r="D541" t="inlineStr">
        <is>
          <t>VÄSTERNORRLANDS LÄN</t>
        </is>
      </c>
      <c r="E541" t="inlineStr">
        <is>
          <t>ÅNGE</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3253-2024</t>
        </is>
      </c>
      <c r="B542" s="1" t="n">
        <v>45316</v>
      </c>
      <c r="C542" s="1" t="n">
        <v>45998</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49945-2023</t>
        </is>
      </c>
      <c r="B543" s="1" t="n">
        <v>45215.3625462963</v>
      </c>
      <c r="C543" s="1" t="n">
        <v>45998</v>
      </c>
      <c r="D543" t="inlineStr">
        <is>
          <t>VÄSTERNORRLANDS LÄN</t>
        </is>
      </c>
      <c r="E543" t="inlineStr">
        <is>
          <t>ÅNGE</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10339-2025</t>
        </is>
      </c>
      <c r="B544" s="1" t="n">
        <v>45720</v>
      </c>
      <c r="C544" s="1" t="n">
        <v>45998</v>
      </c>
      <c r="D544" t="inlineStr">
        <is>
          <t>VÄSTERNORRLANDS LÄN</t>
        </is>
      </c>
      <c r="E544" t="inlineStr">
        <is>
          <t>ÅNGE</t>
        </is>
      </c>
      <c r="F544" t="inlineStr">
        <is>
          <t>SCA</t>
        </is>
      </c>
      <c r="G544" t="n">
        <v>3.9</v>
      </c>
      <c r="H544" t="n">
        <v>0</v>
      </c>
      <c r="I544" t="n">
        <v>0</v>
      </c>
      <c r="J544" t="n">
        <v>0</v>
      </c>
      <c r="K544" t="n">
        <v>0</v>
      </c>
      <c r="L544" t="n">
        <v>0</v>
      </c>
      <c r="M544" t="n">
        <v>0</v>
      </c>
      <c r="N544" t="n">
        <v>0</v>
      </c>
      <c r="O544" t="n">
        <v>0</v>
      </c>
      <c r="P544" t="n">
        <v>0</v>
      </c>
      <c r="Q544" t="n">
        <v>0</v>
      </c>
      <c r="R544" s="2" t="inlineStr"/>
    </row>
    <row r="545" ht="15" customHeight="1">
      <c r="A545" t="inlineStr">
        <is>
          <t>A 41083-2024</t>
        </is>
      </c>
      <c r="B545" s="1" t="n">
        <v>45559.40684027778</v>
      </c>
      <c r="C545" s="1" t="n">
        <v>45998</v>
      </c>
      <c r="D545" t="inlineStr">
        <is>
          <t>VÄSTERNORRLANDS LÄN</t>
        </is>
      </c>
      <c r="E545" t="inlineStr">
        <is>
          <t>ÅNGE</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25903-2022</t>
        </is>
      </c>
      <c r="B546" s="1" t="n">
        <v>44733</v>
      </c>
      <c r="C546" s="1" t="n">
        <v>45998</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41766-2024</t>
        </is>
      </c>
      <c r="B547" s="1" t="n">
        <v>45561.34594907407</v>
      </c>
      <c r="C547" s="1" t="n">
        <v>45998</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18067-2025</t>
        </is>
      </c>
      <c r="B548" s="1" t="n">
        <v>45761.49016203704</v>
      </c>
      <c r="C548" s="1" t="n">
        <v>45998</v>
      </c>
      <c r="D548" t="inlineStr">
        <is>
          <t>VÄSTERNORRLANDS LÄN</t>
        </is>
      </c>
      <c r="E548" t="inlineStr">
        <is>
          <t>ÅNGE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19709-2025</t>
        </is>
      </c>
      <c r="B549" s="1" t="n">
        <v>45771.34263888889</v>
      </c>
      <c r="C549" s="1" t="n">
        <v>45998</v>
      </c>
      <c r="D549" t="inlineStr">
        <is>
          <t>VÄSTERNORRLANDS LÄN</t>
        </is>
      </c>
      <c r="E549" t="inlineStr">
        <is>
          <t>ÅNGE</t>
        </is>
      </c>
      <c r="G549" t="n">
        <v>3.8</v>
      </c>
      <c r="H549" t="n">
        <v>0</v>
      </c>
      <c r="I549" t="n">
        <v>0</v>
      </c>
      <c r="J549" t="n">
        <v>0</v>
      </c>
      <c r="K549" t="n">
        <v>0</v>
      </c>
      <c r="L549" t="n">
        <v>0</v>
      </c>
      <c r="M549" t="n">
        <v>0</v>
      </c>
      <c r="N549" t="n">
        <v>0</v>
      </c>
      <c r="O549" t="n">
        <v>0</v>
      </c>
      <c r="P549" t="n">
        <v>0</v>
      </c>
      <c r="Q549" t="n">
        <v>0</v>
      </c>
      <c r="R549" s="2" t="inlineStr"/>
    </row>
    <row r="550" ht="15" customHeight="1">
      <c r="A550" t="inlineStr">
        <is>
          <t>A 51024-2024</t>
        </is>
      </c>
      <c r="B550" s="1" t="n">
        <v>45603.4141087963</v>
      </c>
      <c r="C550" s="1" t="n">
        <v>45998</v>
      </c>
      <c r="D550" t="inlineStr">
        <is>
          <t>VÄSTERNORRLANDS LÄN</t>
        </is>
      </c>
      <c r="E550" t="inlineStr">
        <is>
          <t>ÅNGE</t>
        </is>
      </c>
      <c r="G550" t="n">
        <v>8.9</v>
      </c>
      <c r="H550" t="n">
        <v>0</v>
      </c>
      <c r="I550" t="n">
        <v>0</v>
      </c>
      <c r="J550" t="n">
        <v>0</v>
      </c>
      <c r="K550" t="n">
        <v>0</v>
      </c>
      <c r="L550" t="n">
        <v>0</v>
      </c>
      <c r="M550" t="n">
        <v>0</v>
      </c>
      <c r="N550" t="n">
        <v>0</v>
      </c>
      <c r="O550" t="n">
        <v>0</v>
      </c>
      <c r="P550" t="n">
        <v>0</v>
      </c>
      <c r="Q550" t="n">
        <v>0</v>
      </c>
      <c r="R550" s="2" t="inlineStr"/>
    </row>
    <row r="551" ht="15" customHeight="1">
      <c r="A551" t="inlineStr">
        <is>
          <t>A 1095-2023</t>
        </is>
      </c>
      <c r="B551" s="1" t="n">
        <v>44929</v>
      </c>
      <c r="C551" s="1" t="n">
        <v>45998</v>
      </c>
      <c r="D551" t="inlineStr">
        <is>
          <t>VÄSTERNORRLANDS LÄN</t>
        </is>
      </c>
      <c r="E551" t="inlineStr">
        <is>
          <t>ÅNGE</t>
        </is>
      </c>
      <c r="G551" t="n">
        <v>3.2</v>
      </c>
      <c r="H551" t="n">
        <v>0</v>
      </c>
      <c r="I551" t="n">
        <v>0</v>
      </c>
      <c r="J551" t="n">
        <v>0</v>
      </c>
      <c r="K551" t="n">
        <v>0</v>
      </c>
      <c r="L551" t="n">
        <v>0</v>
      </c>
      <c r="M551" t="n">
        <v>0</v>
      </c>
      <c r="N551" t="n">
        <v>0</v>
      </c>
      <c r="O551" t="n">
        <v>0</v>
      </c>
      <c r="P551" t="n">
        <v>0</v>
      </c>
      <c r="Q551" t="n">
        <v>0</v>
      </c>
      <c r="R551" s="2" t="inlineStr"/>
    </row>
    <row r="552" ht="15" customHeight="1">
      <c r="A552" t="inlineStr">
        <is>
          <t>A 64121-2021</t>
        </is>
      </c>
      <c r="B552" s="1" t="n">
        <v>44510.4730787037</v>
      </c>
      <c r="C552" s="1" t="n">
        <v>45998</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24324-2022</t>
        </is>
      </c>
      <c r="B553" s="1" t="n">
        <v>44725.945</v>
      </c>
      <c r="C553" s="1" t="n">
        <v>45998</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24325-2022</t>
        </is>
      </c>
      <c r="B554" s="1" t="n">
        <v>44725.94506944445</v>
      </c>
      <c r="C554" s="1" t="n">
        <v>45998</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42881-2024</t>
        </is>
      </c>
      <c r="B555" s="1" t="n">
        <v>45566.70916666667</v>
      </c>
      <c r="C555" s="1" t="n">
        <v>45998</v>
      </c>
      <c r="D555" t="inlineStr">
        <is>
          <t>VÄSTERNORRLANDS LÄN</t>
        </is>
      </c>
      <c r="E555" t="inlineStr">
        <is>
          <t>ÅNGE</t>
        </is>
      </c>
      <c r="G555" t="n">
        <v>1.9</v>
      </c>
      <c r="H555" t="n">
        <v>0</v>
      </c>
      <c r="I555" t="n">
        <v>0</v>
      </c>
      <c r="J555" t="n">
        <v>0</v>
      </c>
      <c r="K555" t="n">
        <v>0</v>
      </c>
      <c r="L555" t="n">
        <v>0</v>
      </c>
      <c r="M555" t="n">
        <v>0</v>
      </c>
      <c r="N555" t="n">
        <v>0</v>
      </c>
      <c r="O555" t="n">
        <v>0</v>
      </c>
      <c r="P555" t="n">
        <v>0</v>
      </c>
      <c r="Q555" t="n">
        <v>0</v>
      </c>
      <c r="R555" s="2" t="inlineStr"/>
    </row>
    <row r="556" ht="15" customHeight="1">
      <c r="A556" t="inlineStr">
        <is>
          <t>A 30803-2022</t>
        </is>
      </c>
      <c r="B556" s="1" t="n">
        <v>44764</v>
      </c>
      <c r="C556" s="1" t="n">
        <v>45998</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17744-2025</t>
        </is>
      </c>
      <c r="B557" s="1" t="n">
        <v>45758</v>
      </c>
      <c r="C557" s="1" t="n">
        <v>45998</v>
      </c>
      <c r="D557" t="inlineStr">
        <is>
          <t>VÄSTERNORRLANDS LÄN</t>
        </is>
      </c>
      <c r="E557" t="inlineStr">
        <is>
          <t>ÅNGE</t>
        </is>
      </c>
      <c r="G557" t="n">
        <v>5</v>
      </c>
      <c r="H557" t="n">
        <v>0</v>
      </c>
      <c r="I557" t="n">
        <v>0</v>
      </c>
      <c r="J557" t="n">
        <v>0</v>
      </c>
      <c r="K557" t="n">
        <v>0</v>
      </c>
      <c r="L557" t="n">
        <v>0</v>
      </c>
      <c r="M557" t="n">
        <v>0</v>
      </c>
      <c r="N557" t="n">
        <v>0</v>
      </c>
      <c r="O557" t="n">
        <v>0</v>
      </c>
      <c r="P557" t="n">
        <v>0</v>
      </c>
      <c r="Q557" t="n">
        <v>0</v>
      </c>
      <c r="R557" s="2" t="inlineStr"/>
    </row>
    <row r="558" ht="15" customHeight="1">
      <c r="A558" t="inlineStr">
        <is>
          <t>A 50651-2021</t>
        </is>
      </c>
      <c r="B558" s="1" t="n">
        <v>44459</v>
      </c>
      <c r="C558" s="1" t="n">
        <v>45998</v>
      </c>
      <c r="D558" t="inlineStr">
        <is>
          <t>VÄSTERNORRLANDS LÄN</t>
        </is>
      </c>
      <c r="E558" t="inlineStr">
        <is>
          <t>ÅNGE</t>
        </is>
      </c>
      <c r="G558" t="n">
        <v>20.6</v>
      </c>
      <c r="H558" t="n">
        <v>0</v>
      </c>
      <c r="I558" t="n">
        <v>0</v>
      </c>
      <c r="J558" t="n">
        <v>0</v>
      </c>
      <c r="K558" t="n">
        <v>0</v>
      </c>
      <c r="L558" t="n">
        <v>0</v>
      </c>
      <c r="M558" t="n">
        <v>0</v>
      </c>
      <c r="N558" t="n">
        <v>0</v>
      </c>
      <c r="O558" t="n">
        <v>0</v>
      </c>
      <c r="P558" t="n">
        <v>0</v>
      </c>
      <c r="Q558" t="n">
        <v>0</v>
      </c>
      <c r="R558" s="2" t="inlineStr"/>
    </row>
    <row r="559" ht="15" customHeight="1">
      <c r="A559" t="inlineStr">
        <is>
          <t>A 22752-2023</t>
        </is>
      </c>
      <c r="B559" s="1" t="n">
        <v>45071.94104166667</v>
      </c>
      <c r="C559" s="1" t="n">
        <v>45998</v>
      </c>
      <c r="D559" t="inlineStr">
        <is>
          <t>VÄSTERNORRLANDS LÄN</t>
        </is>
      </c>
      <c r="E559" t="inlineStr">
        <is>
          <t>ÅNGE</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2433-2024</t>
        </is>
      </c>
      <c r="B560" s="1" t="n">
        <v>45310</v>
      </c>
      <c r="C560" s="1" t="n">
        <v>45998</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56615-2023</t>
        </is>
      </c>
      <c r="B561" s="1" t="n">
        <v>45243</v>
      </c>
      <c r="C561" s="1" t="n">
        <v>45998</v>
      </c>
      <c r="D561" t="inlineStr">
        <is>
          <t>VÄSTERNORRLANDS LÄN</t>
        </is>
      </c>
      <c r="E561" t="inlineStr">
        <is>
          <t>ÅNGE</t>
        </is>
      </c>
      <c r="G561" t="n">
        <v>7.4</v>
      </c>
      <c r="H561" t="n">
        <v>0</v>
      </c>
      <c r="I561" t="n">
        <v>0</v>
      </c>
      <c r="J561" t="n">
        <v>0</v>
      </c>
      <c r="K561" t="n">
        <v>0</v>
      </c>
      <c r="L561" t="n">
        <v>0</v>
      </c>
      <c r="M561" t="n">
        <v>0</v>
      </c>
      <c r="N561" t="n">
        <v>0</v>
      </c>
      <c r="O561" t="n">
        <v>0</v>
      </c>
      <c r="P561" t="n">
        <v>0</v>
      </c>
      <c r="Q561" t="n">
        <v>0</v>
      </c>
      <c r="R561" s="2" t="inlineStr"/>
    </row>
    <row r="562" ht="15" customHeight="1">
      <c r="A562" t="inlineStr">
        <is>
          <t>A 61461-2023</t>
        </is>
      </c>
      <c r="B562" s="1" t="n">
        <v>45264.9261574074</v>
      </c>
      <c r="C562" s="1" t="n">
        <v>45998</v>
      </c>
      <c r="D562" t="inlineStr">
        <is>
          <t>VÄSTERNORRLANDS LÄN</t>
        </is>
      </c>
      <c r="E562" t="inlineStr">
        <is>
          <t>ÅNGE</t>
        </is>
      </c>
      <c r="G562" t="n">
        <v>0.9</v>
      </c>
      <c r="H562" t="n">
        <v>0</v>
      </c>
      <c r="I562" t="n">
        <v>0</v>
      </c>
      <c r="J562" t="n">
        <v>0</v>
      </c>
      <c r="K562" t="n">
        <v>0</v>
      </c>
      <c r="L562" t="n">
        <v>0</v>
      </c>
      <c r="M562" t="n">
        <v>0</v>
      </c>
      <c r="N562" t="n">
        <v>0</v>
      </c>
      <c r="O562" t="n">
        <v>0</v>
      </c>
      <c r="P562" t="n">
        <v>0</v>
      </c>
      <c r="Q562" t="n">
        <v>0</v>
      </c>
      <c r="R562" s="2" t="inlineStr"/>
    </row>
    <row r="563" ht="15" customHeight="1">
      <c r="A563" t="inlineStr">
        <is>
          <t>A 60779-2024</t>
        </is>
      </c>
      <c r="B563" s="1" t="n">
        <v>45644</v>
      </c>
      <c r="C563" s="1" t="n">
        <v>45998</v>
      </c>
      <c r="D563" t="inlineStr">
        <is>
          <t>VÄSTERNORRLANDS LÄN</t>
        </is>
      </c>
      <c r="E563" t="inlineStr">
        <is>
          <t>ÅNGE</t>
        </is>
      </c>
      <c r="G563" t="n">
        <v>3.1</v>
      </c>
      <c r="H563" t="n">
        <v>0</v>
      </c>
      <c r="I563" t="n">
        <v>0</v>
      </c>
      <c r="J563" t="n">
        <v>0</v>
      </c>
      <c r="K563" t="n">
        <v>0</v>
      </c>
      <c r="L563" t="n">
        <v>0</v>
      </c>
      <c r="M563" t="n">
        <v>0</v>
      </c>
      <c r="N563" t="n">
        <v>0</v>
      </c>
      <c r="O563" t="n">
        <v>0</v>
      </c>
      <c r="P563" t="n">
        <v>0</v>
      </c>
      <c r="Q563" t="n">
        <v>0</v>
      </c>
      <c r="R563" s="2" t="inlineStr"/>
    </row>
    <row r="564" ht="15" customHeight="1">
      <c r="A564" t="inlineStr">
        <is>
          <t>A 28428-2023</t>
        </is>
      </c>
      <c r="B564" s="1" t="n">
        <v>45102</v>
      </c>
      <c r="C564" s="1" t="n">
        <v>45998</v>
      </c>
      <c r="D564" t="inlineStr">
        <is>
          <t>VÄSTERNORRLANDS LÄN</t>
        </is>
      </c>
      <c r="E564" t="inlineStr">
        <is>
          <t>ÅNGE</t>
        </is>
      </c>
      <c r="F564" t="inlineStr">
        <is>
          <t>Kyrkan</t>
        </is>
      </c>
      <c r="G564" t="n">
        <v>12</v>
      </c>
      <c r="H564" t="n">
        <v>0</v>
      </c>
      <c r="I564" t="n">
        <v>0</v>
      </c>
      <c r="J564" t="n">
        <v>0</v>
      </c>
      <c r="K564" t="n">
        <v>0</v>
      </c>
      <c r="L564" t="n">
        <v>0</v>
      </c>
      <c r="M564" t="n">
        <v>0</v>
      </c>
      <c r="N564" t="n">
        <v>0</v>
      </c>
      <c r="O564" t="n">
        <v>0</v>
      </c>
      <c r="P564" t="n">
        <v>0</v>
      </c>
      <c r="Q564" t="n">
        <v>0</v>
      </c>
      <c r="R564" s="2" t="inlineStr"/>
    </row>
    <row r="565" ht="15" customHeight="1">
      <c r="A565" t="inlineStr">
        <is>
          <t>A 43366-2024</t>
        </is>
      </c>
      <c r="B565" s="1" t="n">
        <v>45568</v>
      </c>
      <c r="C565" s="1" t="n">
        <v>45998</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27661-2024</t>
        </is>
      </c>
      <c r="B566" s="1" t="n">
        <v>45474.95365740741</v>
      </c>
      <c r="C566" s="1" t="n">
        <v>45998</v>
      </c>
      <c r="D566" t="inlineStr">
        <is>
          <t>VÄSTERNORRLANDS LÄN</t>
        </is>
      </c>
      <c r="E566" t="inlineStr">
        <is>
          <t>ÅNGE</t>
        </is>
      </c>
      <c r="F566" t="inlineStr">
        <is>
          <t>SCA</t>
        </is>
      </c>
      <c r="G566" t="n">
        <v>19.1</v>
      </c>
      <c r="H566" t="n">
        <v>0</v>
      </c>
      <c r="I566" t="n">
        <v>0</v>
      </c>
      <c r="J566" t="n">
        <v>0</v>
      </c>
      <c r="K566" t="n">
        <v>0</v>
      </c>
      <c r="L566" t="n">
        <v>0</v>
      </c>
      <c r="M566" t="n">
        <v>0</v>
      </c>
      <c r="N566" t="n">
        <v>0</v>
      </c>
      <c r="O566" t="n">
        <v>0</v>
      </c>
      <c r="P566" t="n">
        <v>0</v>
      </c>
      <c r="Q566" t="n">
        <v>0</v>
      </c>
      <c r="R566" s="2" t="inlineStr"/>
    </row>
    <row r="567" ht="15" customHeight="1">
      <c r="A567" t="inlineStr">
        <is>
          <t>A 45890-2021</t>
        </is>
      </c>
      <c r="B567" s="1" t="n">
        <v>44441</v>
      </c>
      <c r="C567" s="1" t="n">
        <v>45998</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34491-2023</t>
        </is>
      </c>
      <c r="B568" s="1" t="n">
        <v>45139.94775462963</v>
      </c>
      <c r="C568" s="1" t="n">
        <v>45998</v>
      </c>
      <c r="D568" t="inlineStr">
        <is>
          <t>VÄSTERNORRLANDS LÄN</t>
        </is>
      </c>
      <c r="E568" t="inlineStr">
        <is>
          <t>ÅNGE</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10089-2023</t>
        </is>
      </c>
      <c r="B569" s="1" t="n">
        <v>44985</v>
      </c>
      <c r="C569" s="1" t="n">
        <v>45998</v>
      </c>
      <c r="D569" t="inlineStr">
        <is>
          <t>VÄSTERNORRLANDS LÄN</t>
        </is>
      </c>
      <c r="E569" t="inlineStr">
        <is>
          <t>ÅNGE</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10090-2023</t>
        </is>
      </c>
      <c r="B570" s="1" t="n">
        <v>44985.94511574074</v>
      </c>
      <c r="C570" s="1" t="n">
        <v>45998</v>
      </c>
      <c r="D570" t="inlineStr">
        <is>
          <t>VÄSTERNORRLANDS LÄN</t>
        </is>
      </c>
      <c r="E570" t="inlineStr">
        <is>
          <t>ÅNGE</t>
        </is>
      </c>
      <c r="F570" t="inlineStr">
        <is>
          <t>SCA</t>
        </is>
      </c>
      <c r="G570" t="n">
        <v>8.4</v>
      </c>
      <c r="H570" t="n">
        <v>0</v>
      </c>
      <c r="I570" t="n">
        <v>0</v>
      </c>
      <c r="J570" t="n">
        <v>0</v>
      </c>
      <c r="K570" t="n">
        <v>0</v>
      </c>
      <c r="L570" t="n">
        <v>0</v>
      </c>
      <c r="M570" t="n">
        <v>0</v>
      </c>
      <c r="N570" t="n">
        <v>0</v>
      </c>
      <c r="O570" t="n">
        <v>0</v>
      </c>
      <c r="P570" t="n">
        <v>0</v>
      </c>
      <c r="Q570" t="n">
        <v>0</v>
      </c>
      <c r="R570" s="2" t="inlineStr"/>
    </row>
    <row r="571" ht="15" customHeight="1">
      <c r="A571" t="inlineStr">
        <is>
          <t>A 39005-2024</t>
        </is>
      </c>
      <c r="B571" s="1" t="n">
        <v>45548.42743055556</v>
      </c>
      <c r="C571" s="1" t="n">
        <v>45998</v>
      </c>
      <c r="D571" t="inlineStr">
        <is>
          <t>VÄSTERNORRLANDS LÄN</t>
        </is>
      </c>
      <c r="E571" t="inlineStr">
        <is>
          <t>ÅNGE</t>
        </is>
      </c>
      <c r="F571" t="inlineStr">
        <is>
          <t>SCA</t>
        </is>
      </c>
      <c r="G571" t="n">
        <v>2.6</v>
      </c>
      <c r="H571" t="n">
        <v>0</v>
      </c>
      <c r="I571" t="n">
        <v>0</v>
      </c>
      <c r="J571" t="n">
        <v>0</v>
      </c>
      <c r="K571" t="n">
        <v>0</v>
      </c>
      <c r="L571" t="n">
        <v>0</v>
      </c>
      <c r="M571" t="n">
        <v>0</v>
      </c>
      <c r="N571" t="n">
        <v>0</v>
      </c>
      <c r="O571" t="n">
        <v>0</v>
      </c>
      <c r="P571" t="n">
        <v>0</v>
      </c>
      <c r="Q571" t="n">
        <v>0</v>
      </c>
      <c r="R571" s="2" t="inlineStr"/>
      <c r="U571">
        <f>HYPERLINK("https://klasma.github.io/Logging_2260/knärot/A 39005-2024 karta knärot.png", "A 39005-2024")</f>
        <v/>
      </c>
      <c r="V571">
        <f>HYPERLINK("https://klasma.github.io/Logging_2260/klagomål/A 39005-2024 FSC-klagomål.docx", "A 39005-2024")</f>
        <v/>
      </c>
      <c r="W571">
        <f>HYPERLINK("https://klasma.github.io/Logging_2260/klagomålsmail/A 39005-2024 FSC-klagomål mail.docx", "A 39005-2024")</f>
        <v/>
      </c>
      <c r="X571">
        <f>HYPERLINK("https://klasma.github.io/Logging_2260/tillsyn/A 39005-2024 tillsynsbegäran.docx", "A 39005-2024")</f>
        <v/>
      </c>
      <c r="Y571">
        <f>HYPERLINK("https://klasma.github.io/Logging_2260/tillsynsmail/A 39005-2024 tillsynsbegäran mail.docx", "A 39005-2024")</f>
        <v/>
      </c>
    </row>
    <row r="572" ht="15" customHeight="1">
      <c r="A572" t="inlineStr">
        <is>
          <t>A 60003-2023</t>
        </is>
      </c>
      <c r="B572" s="1" t="n">
        <v>45257</v>
      </c>
      <c r="C572" s="1" t="n">
        <v>45998</v>
      </c>
      <c r="D572" t="inlineStr">
        <is>
          <t>VÄSTERNORRLANDS LÄN</t>
        </is>
      </c>
      <c r="E572" t="inlineStr">
        <is>
          <t>ÅNGE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213-2024</t>
        </is>
      </c>
      <c r="B573" s="1" t="n">
        <v>45293</v>
      </c>
      <c r="C573" s="1" t="n">
        <v>45998</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57593-2022</t>
        </is>
      </c>
      <c r="B574" s="1" t="n">
        <v>44896.97847222222</v>
      </c>
      <c r="C574" s="1" t="n">
        <v>45998</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57596-2022</t>
        </is>
      </c>
      <c r="B575" s="1" t="n">
        <v>44896.97871527778</v>
      </c>
      <c r="C575" s="1" t="n">
        <v>45998</v>
      </c>
      <c r="D575" t="inlineStr">
        <is>
          <t>VÄSTERNORRLANDS LÄN</t>
        </is>
      </c>
      <c r="E575" t="inlineStr">
        <is>
          <t>ÅNGE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40788-2024</t>
        </is>
      </c>
      <c r="B576" s="1" t="n">
        <v>45558.50974537037</v>
      </c>
      <c r="C576" s="1" t="n">
        <v>45998</v>
      </c>
      <c r="D576" t="inlineStr">
        <is>
          <t>VÄSTERNORRLANDS LÄN</t>
        </is>
      </c>
      <c r="E576" t="inlineStr">
        <is>
          <t>ÅNGE</t>
        </is>
      </c>
      <c r="G576" t="n">
        <v>4.2</v>
      </c>
      <c r="H576" t="n">
        <v>0</v>
      </c>
      <c r="I576" t="n">
        <v>0</v>
      </c>
      <c r="J576" t="n">
        <v>0</v>
      </c>
      <c r="K576" t="n">
        <v>0</v>
      </c>
      <c r="L576" t="n">
        <v>0</v>
      </c>
      <c r="M576" t="n">
        <v>0</v>
      </c>
      <c r="N576" t="n">
        <v>0</v>
      </c>
      <c r="O576" t="n">
        <v>0</v>
      </c>
      <c r="P576" t="n">
        <v>0</v>
      </c>
      <c r="Q576" t="n">
        <v>0</v>
      </c>
      <c r="R576" s="2" t="inlineStr"/>
    </row>
    <row r="577" ht="15" customHeight="1">
      <c r="A577" t="inlineStr">
        <is>
          <t>A 741-2024</t>
        </is>
      </c>
      <c r="B577" s="1" t="n">
        <v>45300.46591435185</v>
      </c>
      <c r="C577" s="1" t="n">
        <v>45998</v>
      </c>
      <c r="D577" t="inlineStr">
        <is>
          <t>VÄSTERNORRLANDS LÄN</t>
        </is>
      </c>
      <c r="E577" t="inlineStr">
        <is>
          <t>ÅNGE</t>
        </is>
      </c>
      <c r="G577" t="n">
        <v>8</v>
      </c>
      <c r="H577" t="n">
        <v>0</v>
      </c>
      <c r="I577" t="n">
        <v>0</v>
      </c>
      <c r="J577" t="n">
        <v>0</v>
      </c>
      <c r="K577" t="n">
        <v>0</v>
      </c>
      <c r="L577" t="n">
        <v>0</v>
      </c>
      <c r="M577" t="n">
        <v>0</v>
      </c>
      <c r="N577" t="n">
        <v>0</v>
      </c>
      <c r="O577" t="n">
        <v>0</v>
      </c>
      <c r="P577" t="n">
        <v>0</v>
      </c>
      <c r="Q577" t="n">
        <v>0</v>
      </c>
      <c r="R577" s="2" t="inlineStr"/>
    </row>
    <row r="578" ht="15" customHeight="1">
      <c r="A578" t="inlineStr">
        <is>
          <t>A 41222-2024</t>
        </is>
      </c>
      <c r="B578" s="1" t="n">
        <v>45559.55306712963</v>
      </c>
      <c r="C578" s="1" t="n">
        <v>45998</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54611-2023</t>
        </is>
      </c>
      <c r="B579" s="1" t="n">
        <v>45233</v>
      </c>
      <c r="C579" s="1" t="n">
        <v>45998</v>
      </c>
      <c r="D579" t="inlineStr">
        <is>
          <t>VÄSTERNORRLANDS LÄN</t>
        </is>
      </c>
      <c r="E579" t="inlineStr">
        <is>
          <t>ÅNGE</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13091-2024</t>
        </is>
      </c>
      <c r="B580" s="1" t="n">
        <v>45385</v>
      </c>
      <c r="C580" s="1" t="n">
        <v>45998</v>
      </c>
      <c r="D580" t="inlineStr">
        <is>
          <t>VÄSTERNORRLANDS LÄN</t>
        </is>
      </c>
      <c r="E580" t="inlineStr">
        <is>
          <t>ÅNGE</t>
        </is>
      </c>
      <c r="G580" t="n">
        <v>1.1</v>
      </c>
      <c r="H580" t="n">
        <v>0</v>
      </c>
      <c r="I580" t="n">
        <v>0</v>
      </c>
      <c r="J580" t="n">
        <v>0</v>
      </c>
      <c r="K580" t="n">
        <v>0</v>
      </c>
      <c r="L580" t="n">
        <v>0</v>
      </c>
      <c r="M580" t="n">
        <v>0</v>
      </c>
      <c r="N580" t="n">
        <v>0</v>
      </c>
      <c r="O580" t="n">
        <v>0</v>
      </c>
      <c r="P580" t="n">
        <v>0</v>
      </c>
      <c r="Q580" t="n">
        <v>0</v>
      </c>
      <c r="R580" s="2" t="inlineStr"/>
    </row>
    <row r="581" ht="15" customHeight="1">
      <c r="A581" t="inlineStr">
        <is>
          <t>A 3624-2024</t>
        </is>
      </c>
      <c r="B581" s="1" t="n">
        <v>45320.95305555555</v>
      </c>
      <c r="C581" s="1" t="n">
        <v>45998</v>
      </c>
      <c r="D581" t="inlineStr">
        <is>
          <t>VÄSTERNORRLANDS LÄN</t>
        </is>
      </c>
      <c r="E581" t="inlineStr">
        <is>
          <t>ÅNGE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1127-2023</t>
        </is>
      </c>
      <c r="B582" s="1" t="n">
        <v>44929</v>
      </c>
      <c r="C582" s="1" t="n">
        <v>45998</v>
      </c>
      <c r="D582" t="inlineStr">
        <is>
          <t>VÄSTERNORRLANDS LÄN</t>
        </is>
      </c>
      <c r="E582" t="inlineStr">
        <is>
          <t>ÅNGE</t>
        </is>
      </c>
      <c r="G582" t="n">
        <v>10.5</v>
      </c>
      <c r="H582" t="n">
        <v>0</v>
      </c>
      <c r="I582" t="n">
        <v>0</v>
      </c>
      <c r="J582" t="n">
        <v>0</v>
      </c>
      <c r="K582" t="n">
        <v>0</v>
      </c>
      <c r="L582" t="n">
        <v>0</v>
      </c>
      <c r="M582" t="n">
        <v>0</v>
      </c>
      <c r="N582" t="n">
        <v>0</v>
      </c>
      <c r="O582" t="n">
        <v>0</v>
      </c>
      <c r="P582" t="n">
        <v>0</v>
      </c>
      <c r="Q582" t="n">
        <v>0</v>
      </c>
      <c r="R582" s="2" t="inlineStr"/>
    </row>
    <row r="583" ht="15" customHeight="1">
      <c r="A583" t="inlineStr">
        <is>
          <t>A 14673-2025</t>
        </is>
      </c>
      <c r="B583" s="1" t="n">
        <v>45742.55309027778</v>
      </c>
      <c r="C583" s="1" t="n">
        <v>45998</v>
      </c>
      <c r="D583" t="inlineStr">
        <is>
          <t>VÄSTERNORRLANDS LÄN</t>
        </is>
      </c>
      <c r="E583" t="inlineStr">
        <is>
          <t>ÅNGE</t>
        </is>
      </c>
      <c r="G583" t="n">
        <v>2.5</v>
      </c>
      <c r="H583" t="n">
        <v>0</v>
      </c>
      <c r="I583" t="n">
        <v>0</v>
      </c>
      <c r="J583" t="n">
        <v>0</v>
      </c>
      <c r="K583" t="n">
        <v>0</v>
      </c>
      <c r="L583" t="n">
        <v>0</v>
      </c>
      <c r="M583" t="n">
        <v>0</v>
      </c>
      <c r="N583" t="n">
        <v>0</v>
      </c>
      <c r="O583" t="n">
        <v>0</v>
      </c>
      <c r="P583" t="n">
        <v>0</v>
      </c>
      <c r="Q583" t="n">
        <v>0</v>
      </c>
      <c r="R583" s="2" t="inlineStr"/>
    </row>
    <row r="584" ht="15" customHeight="1">
      <c r="A584" t="inlineStr">
        <is>
          <t>A 15032-2025</t>
        </is>
      </c>
      <c r="B584" s="1" t="n">
        <v>45743.67748842593</v>
      </c>
      <c r="C584" s="1" t="n">
        <v>45998</v>
      </c>
      <c r="D584" t="inlineStr">
        <is>
          <t>VÄSTERNORRLANDS LÄN</t>
        </is>
      </c>
      <c r="E584" t="inlineStr">
        <is>
          <t>ÅNGE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7692-2024</t>
        </is>
      </c>
      <c r="B585" s="1" t="n">
        <v>45349</v>
      </c>
      <c r="C585" s="1" t="n">
        <v>45998</v>
      </c>
      <c r="D585" t="inlineStr">
        <is>
          <t>VÄSTERNORRLANDS LÄN</t>
        </is>
      </c>
      <c r="E585" t="inlineStr">
        <is>
          <t>ÅNGE</t>
        </is>
      </c>
      <c r="F585" t="inlineStr">
        <is>
          <t>SCA</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29673-2024</t>
        </is>
      </c>
      <c r="B586" s="1" t="n">
        <v>45484.94210648148</v>
      </c>
      <c r="C586" s="1" t="n">
        <v>45998</v>
      </c>
      <c r="D586" t="inlineStr">
        <is>
          <t>VÄSTERNORRLANDS LÄN</t>
        </is>
      </c>
      <c r="E586" t="inlineStr">
        <is>
          <t>ÅNGE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5602-2025</t>
        </is>
      </c>
      <c r="B587" s="1" t="n">
        <v>45693</v>
      </c>
      <c r="C587" s="1" t="n">
        <v>45998</v>
      </c>
      <c r="D587" t="inlineStr">
        <is>
          <t>VÄSTERNORRLANDS LÄN</t>
        </is>
      </c>
      <c r="E587" t="inlineStr">
        <is>
          <t>ÅNGE</t>
        </is>
      </c>
      <c r="G587" t="n">
        <v>2.5</v>
      </c>
      <c r="H587" t="n">
        <v>0</v>
      </c>
      <c r="I587" t="n">
        <v>0</v>
      </c>
      <c r="J587" t="n">
        <v>0</v>
      </c>
      <c r="K587" t="n">
        <v>0</v>
      </c>
      <c r="L587" t="n">
        <v>0</v>
      </c>
      <c r="M587" t="n">
        <v>0</v>
      </c>
      <c r="N587" t="n">
        <v>0</v>
      </c>
      <c r="O587" t="n">
        <v>0</v>
      </c>
      <c r="P587" t="n">
        <v>0</v>
      </c>
      <c r="Q587" t="n">
        <v>0</v>
      </c>
      <c r="R587" s="2" t="inlineStr"/>
    </row>
    <row r="588" ht="15" customHeight="1">
      <c r="A588" t="inlineStr">
        <is>
          <t>A 41781-2024</t>
        </is>
      </c>
      <c r="B588" s="1" t="n">
        <v>45561.34938657407</v>
      </c>
      <c r="C588" s="1" t="n">
        <v>45998</v>
      </c>
      <c r="D588" t="inlineStr">
        <is>
          <t>VÄSTERNORRLANDS LÄN</t>
        </is>
      </c>
      <c r="E588" t="inlineStr">
        <is>
          <t>ÅNGE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58469-2023</t>
        </is>
      </c>
      <c r="B589" s="1" t="n">
        <v>45250</v>
      </c>
      <c r="C589" s="1" t="n">
        <v>45998</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30751-2024</t>
        </is>
      </c>
      <c r="B590" s="1" t="n">
        <v>45496.69339120371</v>
      </c>
      <c r="C590" s="1" t="n">
        <v>45998</v>
      </c>
      <c r="D590" t="inlineStr">
        <is>
          <t>VÄSTERNORRLANDS LÄN</t>
        </is>
      </c>
      <c r="E590" t="inlineStr">
        <is>
          <t>ÅNGE</t>
        </is>
      </c>
      <c r="G590" t="n">
        <v>0.3</v>
      </c>
      <c r="H590" t="n">
        <v>0</v>
      </c>
      <c r="I590" t="n">
        <v>0</v>
      </c>
      <c r="J590" t="n">
        <v>0</v>
      </c>
      <c r="K590" t="n">
        <v>0</v>
      </c>
      <c r="L590" t="n">
        <v>0</v>
      </c>
      <c r="M590" t="n">
        <v>0</v>
      </c>
      <c r="N590" t="n">
        <v>0</v>
      </c>
      <c r="O590" t="n">
        <v>0</v>
      </c>
      <c r="P590" t="n">
        <v>0</v>
      </c>
      <c r="Q590" t="n">
        <v>0</v>
      </c>
      <c r="R590" s="2" t="inlineStr"/>
    </row>
    <row r="591" ht="15" customHeight="1">
      <c r="A591" t="inlineStr">
        <is>
          <t>A 42090-2024</t>
        </is>
      </c>
      <c r="B591" s="1" t="n">
        <v>45562</v>
      </c>
      <c r="C591" s="1" t="n">
        <v>45998</v>
      </c>
      <c r="D591" t="inlineStr">
        <is>
          <t>VÄSTERNORRLANDS LÄN</t>
        </is>
      </c>
      <c r="E591" t="inlineStr">
        <is>
          <t>ÅNGE</t>
        </is>
      </c>
      <c r="F591" t="inlineStr">
        <is>
          <t>SCA</t>
        </is>
      </c>
      <c r="G591" t="n">
        <v>20.2</v>
      </c>
      <c r="H591" t="n">
        <v>0</v>
      </c>
      <c r="I591" t="n">
        <v>0</v>
      </c>
      <c r="J591" t="n">
        <v>0</v>
      </c>
      <c r="K591" t="n">
        <v>0</v>
      </c>
      <c r="L591" t="n">
        <v>0</v>
      </c>
      <c r="M591" t="n">
        <v>0</v>
      </c>
      <c r="N591" t="n">
        <v>0</v>
      </c>
      <c r="O591" t="n">
        <v>0</v>
      </c>
      <c r="P591" t="n">
        <v>0</v>
      </c>
      <c r="Q591" t="n">
        <v>0</v>
      </c>
      <c r="R591" s="2" t="inlineStr"/>
    </row>
    <row r="592" ht="15" customHeight="1">
      <c r="A592" t="inlineStr">
        <is>
          <t>A 42098-2024</t>
        </is>
      </c>
      <c r="B592" s="1" t="n">
        <v>45562.34532407407</v>
      </c>
      <c r="C592" s="1" t="n">
        <v>45998</v>
      </c>
      <c r="D592" t="inlineStr">
        <is>
          <t>VÄSTERNORRLANDS LÄN</t>
        </is>
      </c>
      <c r="E592" t="inlineStr">
        <is>
          <t>ÅNGE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38099-2024</t>
        </is>
      </c>
      <c r="B593" s="1" t="n">
        <v>45545.35920138889</v>
      </c>
      <c r="C593" s="1" t="n">
        <v>45998</v>
      </c>
      <c r="D593" t="inlineStr">
        <is>
          <t>VÄSTERNORRLANDS LÄN</t>
        </is>
      </c>
      <c r="E593" t="inlineStr">
        <is>
          <t>ÅNGE</t>
        </is>
      </c>
      <c r="F593" t="inlineStr">
        <is>
          <t>Holmen skog AB</t>
        </is>
      </c>
      <c r="G593" t="n">
        <v>3.7</v>
      </c>
      <c r="H593" t="n">
        <v>0</v>
      </c>
      <c r="I593" t="n">
        <v>0</v>
      </c>
      <c r="J593" t="n">
        <v>0</v>
      </c>
      <c r="K593" t="n">
        <v>0</v>
      </c>
      <c r="L593" t="n">
        <v>0</v>
      </c>
      <c r="M593" t="n">
        <v>0</v>
      </c>
      <c r="N593" t="n">
        <v>0</v>
      </c>
      <c r="O593" t="n">
        <v>0</v>
      </c>
      <c r="P593" t="n">
        <v>0</v>
      </c>
      <c r="Q593" t="n">
        <v>0</v>
      </c>
      <c r="R593" s="2" t="inlineStr"/>
    </row>
    <row r="594" ht="15" customHeight="1">
      <c r="A594" t="inlineStr">
        <is>
          <t>A 44636-2024</t>
        </is>
      </c>
      <c r="B594" s="1" t="n">
        <v>45574.51491898148</v>
      </c>
      <c r="C594" s="1" t="n">
        <v>45998</v>
      </c>
      <c r="D594" t="inlineStr">
        <is>
          <t>VÄSTERNORRLANDS LÄN</t>
        </is>
      </c>
      <c r="E594" t="inlineStr">
        <is>
          <t>ÅNGE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55324-2023</t>
        </is>
      </c>
      <c r="B595" s="1" t="n">
        <v>45237.9734837963</v>
      </c>
      <c r="C595" s="1" t="n">
        <v>45998</v>
      </c>
      <c r="D595" t="inlineStr">
        <is>
          <t>VÄSTERNORRLANDS LÄN</t>
        </is>
      </c>
      <c r="E595" t="inlineStr">
        <is>
          <t>ÅNGE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4361-2024</t>
        </is>
      </c>
      <c r="B596" s="1" t="n">
        <v>45325.65047453704</v>
      </c>
      <c r="C596" s="1" t="n">
        <v>45998</v>
      </c>
      <c r="D596" t="inlineStr">
        <is>
          <t>VÄSTERNORRLANDS LÄN</t>
        </is>
      </c>
      <c r="E596" t="inlineStr">
        <is>
          <t>ÅNGE</t>
        </is>
      </c>
      <c r="G596" t="n">
        <v>1.3</v>
      </c>
      <c r="H596" t="n">
        <v>0</v>
      </c>
      <c r="I596" t="n">
        <v>0</v>
      </c>
      <c r="J596" t="n">
        <v>0</v>
      </c>
      <c r="K596" t="n">
        <v>0</v>
      </c>
      <c r="L596" t="n">
        <v>0</v>
      </c>
      <c r="M596" t="n">
        <v>0</v>
      </c>
      <c r="N596" t="n">
        <v>0</v>
      </c>
      <c r="O596" t="n">
        <v>0</v>
      </c>
      <c r="P596" t="n">
        <v>0</v>
      </c>
      <c r="Q596" t="n">
        <v>0</v>
      </c>
      <c r="R596" s="2" t="inlineStr"/>
    </row>
    <row r="597" ht="15" customHeight="1">
      <c r="A597" t="inlineStr">
        <is>
          <t>A 65229-2021</t>
        </is>
      </c>
      <c r="B597" s="1" t="n">
        <v>44515</v>
      </c>
      <c r="C597" s="1" t="n">
        <v>45998</v>
      </c>
      <c r="D597" t="inlineStr">
        <is>
          <t>VÄSTERNORRLANDS LÄN</t>
        </is>
      </c>
      <c r="E597" t="inlineStr">
        <is>
          <t>ÅNGE</t>
        </is>
      </c>
      <c r="G597" t="n">
        <v>12.1</v>
      </c>
      <c r="H597" t="n">
        <v>0</v>
      </c>
      <c r="I597" t="n">
        <v>0</v>
      </c>
      <c r="J597" t="n">
        <v>0</v>
      </c>
      <c r="K597" t="n">
        <v>0</v>
      </c>
      <c r="L597" t="n">
        <v>0</v>
      </c>
      <c r="M597" t="n">
        <v>0</v>
      </c>
      <c r="N597" t="n">
        <v>0</v>
      </c>
      <c r="O597" t="n">
        <v>0</v>
      </c>
      <c r="P597" t="n">
        <v>0</v>
      </c>
      <c r="Q597" t="n">
        <v>0</v>
      </c>
      <c r="R597" s="2" t="inlineStr"/>
    </row>
    <row r="598" ht="15" customHeight="1">
      <c r="A598" t="inlineStr">
        <is>
          <t>A 32069-2023</t>
        </is>
      </c>
      <c r="B598" s="1" t="n">
        <v>45107</v>
      </c>
      <c r="C598" s="1" t="n">
        <v>45998</v>
      </c>
      <c r="D598" t="inlineStr">
        <is>
          <t>VÄSTERNORRLANDS LÄN</t>
        </is>
      </c>
      <c r="E598" t="inlineStr">
        <is>
          <t>ÅNGE</t>
        </is>
      </c>
      <c r="G598" t="n">
        <v>4.4</v>
      </c>
      <c r="H598" t="n">
        <v>0</v>
      </c>
      <c r="I598" t="n">
        <v>0</v>
      </c>
      <c r="J598" t="n">
        <v>0</v>
      </c>
      <c r="K598" t="n">
        <v>0</v>
      </c>
      <c r="L598" t="n">
        <v>0</v>
      </c>
      <c r="M598" t="n">
        <v>0</v>
      </c>
      <c r="N598" t="n">
        <v>0</v>
      </c>
      <c r="O598" t="n">
        <v>0</v>
      </c>
      <c r="P598" t="n">
        <v>0</v>
      </c>
      <c r="Q598" t="n">
        <v>0</v>
      </c>
      <c r="R598" s="2" t="inlineStr"/>
    </row>
    <row r="599" ht="15" customHeight="1">
      <c r="A599" t="inlineStr">
        <is>
          <t>A 64375-2023</t>
        </is>
      </c>
      <c r="B599" s="1" t="n">
        <v>45280</v>
      </c>
      <c r="C599" s="1" t="n">
        <v>45998</v>
      </c>
      <c r="D599" t="inlineStr">
        <is>
          <t>VÄSTERNORRLANDS LÄN</t>
        </is>
      </c>
      <c r="E599" t="inlineStr">
        <is>
          <t>ÅNGE</t>
        </is>
      </c>
      <c r="G599" t="n">
        <v>7.5</v>
      </c>
      <c r="H599" t="n">
        <v>0</v>
      </c>
      <c r="I599" t="n">
        <v>0</v>
      </c>
      <c r="J599" t="n">
        <v>0</v>
      </c>
      <c r="K599" t="n">
        <v>0</v>
      </c>
      <c r="L599" t="n">
        <v>0</v>
      </c>
      <c r="M599" t="n">
        <v>0</v>
      </c>
      <c r="N599" t="n">
        <v>0</v>
      </c>
      <c r="O599" t="n">
        <v>0</v>
      </c>
      <c r="P599" t="n">
        <v>0</v>
      </c>
      <c r="Q599" t="n">
        <v>0</v>
      </c>
      <c r="R599" s="2" t="inlineStr"/>
    </row>
    <row r="600" ht="15" customHeight="1">
      <c r="A600" t="inlineStr">
        <is>
          <t>A 19829-2025</t>
        </is>
      </c>
      <c r="B600" s="1" t="n">
        <v>45771.46944444445</v>
      </c>
      <c r="C600" s="1" t="n">
        <v>45998</v>
      </c>
      <c r="D600" t="inlineStr">
        <is>
          <t>VÄSTERNORRLANDS LÄN</t>
        </is>
      </c>
      <c r="E600" t="inlineStr">
        <is>
          <t>ÅNGE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46015-2024</t>
        </is>
      </c>
      <c r="B601" s="1" t="n">
        <v>45580.67760416667</v>
      </c>
      <c r="C601" s="1" t="n">
        <v>45998</v>
      </c>
      <c r="D601" t="inlineStr">
        <is>
          <t>VÄSTERNORRLANDS LÄN</t>
        </is>
      </c>
      <c r="E601" t="inlineStr">
        <is>
          <t>ÅNGE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41302-2024</t>
        </is>
      </c>
      <c r="B602" s="1" t="n">
        <v>45559.62077546296</v>
      </c>
      <c r="C602" s="1" t="n">
        <v>45998</v>
      </c>
      <c r="D602" t="inlineStr">
        <is>
          <t>VÄSTERNORRLANDS LÄN</t>
        </is>
      </c>
      <c r="E602" t="inlineStr">
        <is>
          <t>ÅNGE</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16576-2023</t>
        </is>
      </c>
      <c r="B603" s="1" t="n">
        <v>45029.94251157407</v>
      </c>
      <c r="C603" s="1" t="n">
        <v>45998</v>
      </c>
      <c r="D603" t="inlineStr">
        <is>
          <t>VÄSTERNORRLANDS LÄN</t>
        </is>
      </c>
      <c r="E603" t="inlineStr">
        <is>
          <t>ÅNGE</t>
        </is>
      </c>
      <c r="F603" t="inlineStr">
        <is>
          <t>SCA</t>
        </is>
      </c>
      <c r="G603" t="n">
        <v>3.6</v>
      </c>
      <c r="H603" t="n">
        <v>0</v>
      </c>
      <c r="I603" t="n">
        <v>0</v>
      </c>
      <c r="J603" t="n">
        <v>0</v>
      </c>
      <c r="K603" t="n">
        <v>0</v>
      </c>
      <c r="L603" t="n">
        <v>0</v>
      </c>
      <c r="M603" t="n">
        <v>0</v>
      </c>
      <c r="N603" t="n">
        <v>0</v>
      </c>
      <c r="O603" t="n">
        <v>0</v>
      </c>
      <c r="P603" t="n">
        <v>0</v>
      </c>
      <c r="Q603" t="n">
        <v>0</v>
      </c>
      <c r="R603" s="2" t="inlineStr"/>
    </row>
    <row r="604" ht="15" customHeight="1">
      <c r="A604" t="inlineStr">
        <is>
          <t>A 60296-2021</t>
        </is>
      </c>
      <c r="B604" s="1" t="n">
        <v>44495</v>
      </c>
      <c r="C604" s="1" t="n">
        <v>45998</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63556-2021</t>
        </is>
      </c>
      <c r="B605" s="1" t="n">
        <v>44508.70231481481</v>
      </c>
      <c r="C605" s="1" t="n">
        <v>45998</v>
      </c>
      <c r="D605" t="inlineStr">
        <is>
          <t>VÄSTERNORRLANDS LÄN</t>
        </is>
      </c>
      <c r="E605" t="inlineStr">
        <is>
          <t>ÅNGE</t>
        </is>
      </c>
      <c r="G605" t="n">
        <v>4.2</v>
      </c>
      <c r="H605" t="n">
        <v>0</v>
      </c>
      <c r="I605" t="n">
        <v>0</v>
      </c>
      <c r="J605" t="n">
        <v>0</v>
      </c>
      <c r="K605" t="n">
        <v>0</v>
      </c>
      <c r="L605" t="n">
        <v>0</v>
      </c>
      <c r="M605" t="n">
        <v>0</v>
      </c>
      <c r="N605" t="n">
        <v>0</v>
      </c>
      <c r="O605" t="n">
        <v>0</v>
      </c>
      <c r="P605" t="n">
        <v>0</v>
      </c>
      <c r="Q605" t="n">
        <v>0</v>
      </c>
      <c r="R605" s="2" t="inlineStr"/>
    </row>
    <row r="606" ht="15" customHeight="1">
      <c r="A606" t="inlineStr">
        <is>
          <t>A 10922-2024</t>
        </is>
      </c>
      <c r="B606" s="1" t="n">
        <v>45370</v>
      </c>
      <c r="C606" s="1" t="n">
        <v>45998</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37503-2023</t>
        </is>
      </c>
      <c r="B607" s="1" t="n">
        <v>45157.5796875</v>
      </c>
      <c r="C607" s="1" t="n">
        <v>45998</v>
      </c>
      <c r="D607" t="inlineStr">
        <is>
          <t>VÄSTERNORRLANDS LÄN</t>
        </is>
      </c>
      <c r="E607" t="inlineStr">
        <is>
          <t>ÅNGE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27468-2024</t>
        </is>
      </c>
      <c r="B608" s="1" t="n">
        <v>45474</v>
      </c>
      <c r="C608" s="1" t="n">
        <v>45998</v>
      </c>
      <c r="D608" t="inlineStr">
        <is>
          <t>VÄSTERNORRLANDS LÄN</t>
        </is>
      </c>
      <c r="E608" t="inlineStr">
        <is>
          <t>ÅNGE</t>
        </is>
      </c>
      <c r="G608" t="n">
        <v>1.3</v>
      </c>
      <c r="H608" t="n">
        <v>0</v>
      </c>
      <c r="I608" t="n">
        <v>0</v>
      </c>
      <c r="J608" t="n">
        <v>0</v>
      </c>
      <c r="K608" t="n">
        <v>0</v>
      </c>
      <c r="L608" t="n">
        <v>0</v>
      </c>
      <c r="M608" t="n">
        <v>0</v>
      </c>
      <c r="N608" t="n">
        <v>0</v>
      </c>
      <c r="O608" t="n">
        <v>0</v>
      </c>
      <c r="P608" t="n">
        <v>0</v>
      </c>
      <c r="Q608" t="n">
        <v>0</v>
      </c>
      <c r="R608" s="2" t="inlineStr"/>
    </row>
    <row r="609" ht="15" customHeight="1">
      <c r="A609" t="inlineStr">
        <is>
          <t>A 50640-2022</t>
        </is>
      </c>
      <c r="B609" s="1" t="n">
        <v>44866.94734953704</v>
      </c>
      <c r="C609" s="1" t="n">
        <v>45998</v>
      </c>
      <c r="D609" t="inlineStr">
        <is>
          <t>VÄSTERNORRLANDS LÄN</t>
        </is>
      </c>
      <c r="E609" t="inlineStr">
        <is>
          <t>ÅNGE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3323-2023</t>
        </is>
      </c>
      <c r="B610" s="1" t="n">
        <v>44945</v>
      </c>
      <c r="C610" s="1" t="n">
        <v>45998</v>
      </c>
      <c r="D610" t="inlineStr">
        <is>
          <t>VÄSTERNORRLANDS LÄN</t>
        </is>
      </c>
      <c r="E610" t="inlineStr">
        <is>
          <t>ÅNGE</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30055-2024</t>
        </is>
      </c>
      <c r="B611" s="1" t="n">
        <v>45488.94767361111</v>
      </c>
      <c r="C611" s="1" t="n">
        <v>45998</v>
      </c>
      <c r="D611" t="inlineStr">
        <is>
          <t>VÄSTERNORRLANDS LÄN</t>
        </is>
      </c>
      <c r="E611" t="inlineStr">
        <is>
          <t>ÅNGE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21089-2024</t>
        </is>
      </c>
      <c r="B612" s="1" t="n">
        <v>45439.94987268518</v>
      </c>
      <c r="C612" s="1" t="n">
        <v>45998</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64950-2023</t>
        </is>
      </c>
      <c r="B613" s="1" t="n">
        <v>45282</v>
      </c>
      <c r="C613" s="1" t="n">
        <v>45998</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42529-2024</t>
        </is>
      </c>
      <c r="B614" s="1" t="n">
        <v>45565.57324074074</v>
      </c>
      <c r="C614" s="1" t="n">
        <v>45998</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51377-2024</t>
        </is>
      </c>
      <c r="B615" s="1" t="n">
        <v>45604.38142361111</v>
      </c>
      <c r="C615" s="1" t="n">
        <v>45998</v>
      </c>
      <c r="D615" t="inlineStr">
        <is>
          <t>VÄSTERNORRLANDS LÄN</t>
        </is>
      </c>
      <c r="E615" t="inlineStr">
        <is>
          <t>ÅNGE</t>
        </is>
      </c>
      <c r="G615" t="n">
        <v>0.6</v>
      </c>
      <c r="H615" t="n">
        <v>0</v>
      </c>
      <c r="I615" t="n">
        <v>0</v>
      </c>
      <c r="J615" t="n">
        <v>0</v>
      </c>
      <c r="K615" t="n">
        <v>0</v>
      </c>
      <c r="L615" t="n">
        <v>0</v>
      </c>
      <c r="M615" t="n">
        <v>0</v>
      </c>
      <c r="N615" t="n">
        <v>0</v>
      </c>
      <c r="O615" t="n">
        <v>0</v>
      </c>
      <c r="P615" t="n">
        <v>0</v>
      </c>
      <c r="Q615" t="n">
        <v>0</v>
      </c>
      <c r="R615" s="2" t="inlineStr"/>
    </row>
    <row r="616" ht="15" customHeight="1">
      <c r="A616" t="inlineStr">
        <is>
          <t>A 60860-2022</t>
        </is>
      </c>
      <c r="B616" s="1" t="n">
        <v>44914</v>
      </c>
      <c r="C616" s="1" t="n">
        <v>45998</v>
      </c>
      <c r="D616" t="inlineStr">
        <is>
          <t>VÄSTERNORRLANDS LÄN</t>
        </is>
      </c>
      <c r="E616" t="inlineStr">
        <is>
          <t>ÅNGE</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3966-2025</t>
        </is>
      </c>
      <c r="B617" s="1" t="n">
        <v>45684.51072916666</v>
      </c>
      <c r="C617" s="1" t="n">
        <v>45998</v>
      </c>
      <c r="D617" t="inlineStr">
        <is>
          <t>VÄSTERNORRLANDS LÄN</t>
        </is>
      </c>
      <c r="E617" t="inlineStr">
        <is>
          <t>ÅNGE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20393-2022</t>
        </is>
      </c>
      <c r="B618" s="1" t="n">
        <v>44699</v>
      </c>
      <c r="C618" s="1" t="n">
        <v>45998</v>
      </c>
      <c r="D618" t="inlineStr">
        <is>
          <t>VÄSTERNORRLANDS LÄN</t>
        </is>
      </c>
      <c r="E618" t="inlineStr">
        <is>
          <t>ÅNGE</t>
        </is>
      </c>
      <c r="G618" t="n">
        <v>6.9</v>
      </c>
      <c r="H618" t="n">
        <v>0</v>
      </c>
      <c r="I618" t="n">
        <v>0</v>
      </c>
      <c r="J618" t="n">
        <v>0</v>
      </c>
      <c r="K618" t="n">
        <v>0</v>
      </c>
      <c r="L618" t="n">
        <v>0</v>
      </c>
      <c r="M618" t="n">
        <v>0</v>
      </c>
      <c r="N618" t="n">
        <v>0</v>
      </c>
      <c r="O618" t="n">
        <v>0</v>
      </c>
      <c r="P618" t="n">
        <v>0</v>
      </c>
      <c r="Q618" t="n">
        <v>0</v>
      </c>
      <c r="R618" s="2" t="inlineStr"/>
    </row>
    <row r="619" ht="15" customHeight="1">
      <c r="A619" t="inlineStr">
        <is>
          <t>A 4727-2023</t>
        </is>
      </c>
      <c r="B619" s="1" t="n">
        <v>44953</v>
      </c>
      <c r="C619" s="1" t="n">
        <v>45998</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35650-2024</t>
        </is>
      </c>
      <c r="B620" s="1" t="n">
        <v>45532.34123842593</v>
      </c>
      <c r="C620" s="1" t="n">
        <v>45998</v>
      </c>
      <c r="D620" t="inlineStr">
        <is>
          <t>VÄSTERNORRLANDS LÄN</t>
        </is>
      </c>
      <c r="E620" t="inlineStr">
        <is>
          <t>ÅNGE</t>
        </is>
      </c>
      <c r="G620" t="n">
        <v>3.8</v>
      </c>
      <c r="H620" t="n">
        <v>0</v>
      </c>
      <c r="I620" t="n">
        <v>0</v>
      </c>
      <c r="J620" t="n">
        <v>0</v>
      </c>
      <c r="K620" t="n">
        <v>0</v>
      </c>
      <c r="L620" t="n">
        <v>0</v>
      </c>
      <c r="M620" t="n">
        <v>0</v>
      </c>
      <c r="N620" t="n">
        <v>0</v>
      </c>
      <c r="O620" t="n">
        <v>0</v>
      </c>
      <c r="P620" t="n">
        <v>0</v>
      </c>
      <c r="Q620" t="n">
        <v>0</v>
      </c>
      <c r="R620" s="2" t="inlineStr"/>
    </row>
    <row r="621" ht="15" customHeight="1">
      <c r="A621" t="inlineStr">
        <is>
          <t>A 3357-2024</t>
        </is>
      </c>
      <c r="B621" s="1" t="n">
        <v>45317</v>
      </c>
      <c r="C621" s="1" t="n">
        <v>45998</v>
      </c>
      <c r="D621" t="inlineStr">
        <is>
          <t>VÄSTERNORRLANDS LÄN</t>
        </is>
      </c>
      <c r="E621" t="inlineStr">
        <is>
          <t>ÅNGE</t>
        </is>
      </c>
      <c r="G621" t="n">
        <v>8</v>
      </c>
      <c r="H621" t="n">
        <v>0</v>
      </c>
      <c r="I621" t="n">
        <v>0</v>
      </c>
      <c r="J621" t="n">
        <v>0</v>
      </c>
      <c r="K621" t="n">
        <v>0</v>
      </c>
      <c r="L621" t="n">
        <v>0</v>
      </c>
      <c r="M621" t="n">
        <v>0</v>
      </c>
      <c r="N621" t="n">
        <v>0</v>
      </c>
      <c r="O621" t="n">
        <v>0</v>
      </c>
      <c r="P621" t="n">
        <v>0</v>
      </c>
      <c r="Q621" t="n">
        <v>0</v>
      </c>
      <c r="R621" s="2" t="inlineStr"/>
    </row>
    <row r="622" ht="15" customHeight="1">
      <c r="A622" t="inlineStr">
        <is>
          <t>A 46332-2023</t>
        </is>
      </c>
      <c r="B622" s="1" t="n">
        <v>45196</v>
      </c>
      <c r="C622" s="1" t="n">
        <v>45998</v>
      </c>
      <c r="D622" t="inlineStr">
        <is>
          <t>VÄSTERNORRLANDS LÄN</t>
        </is>
      </c>
      <c r="E622" t="inlineStr">
        <is>
          <t>ÅNGE</t>
        </is>
      </c>
      <c r="F622" t="inlineStr">
        <is>
          <t>SCA</t>
        </is>
      </c>
      <c r="G622" t="n">
        <v>6.1</v>
      </c>
      <c r="H622" t="n">
        <v>0</v>
      </c>
      <c r="I622" t="n">
        <v>0</v>
      </c>
      <c r="J622" t="n">
        <v>0</v>
      </c>
      <c r="K622" t="n">
        <v>0</v>
      </c>
      <c r="L622" t="n">
        <v>0</v>
      </c>
      <c r="M622" t="n">
        <v>0</v>
      </c>
      <c r="N622" t="n">
        <v>0</v>
      </c>
      <c r="O622" t="n">
        <v>0</v>
      </c>
      <c r="P622" t="n">
        <v>0</v>
      </c>
      <c r="Q622" t="n">
        <v>0</v>
      </c>
      <c r="R622" s="2" t="inlineStr"/>
    </row>
    <row r="623" ht="15" customHeight="1">
      <c r="A623" t="inlineStr">
        <is>
          <t>A 57286-2022</t>
        </is>
      </c>
      <c r="B623" s="1" t="n">
        <v>44895.94991898148</v>
      </c>
      <c r="C623" s="1" t="n">
        <v>45998</v>
      </c>
      <c r="D623" t="inlineStr">
        <is>
          <t>VÄSTERNORRLANDS LÄN</t>
        </is>
      </c>
      <c r="E623" t="inlineStr">
        <is>
          <t>ÅNGE</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16572-2023</t>
        </is>
      </c>
      <c r="B624" s="1" t="n">
        <v>45029.94224537037</v>
      </c>
      <c r="C624" s="1" t="n">
        <v>45998</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54316-2024</t>
        </is>
      </c>
      <c r="B625" s="1" t="n">
        <v>45617.34443287037</v>
      </c>
      <c r="C625" s="1" t="n">
        <v>45998</v>
      </c>
      <c r="D625" t="inlineStr">
        <is>
          <t>VÄSTERNORRLANDS LÄN</t>
        </is>
      </c>
      <c r="E625" t="inlineStr">
        <is>
          <t>ÅNGE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16365-2023</t>
        </is>
      </c>
      <c r="B626" s="1" t="n">
        <v>45028</v>
      </c>
      <c r="C626" s="1" t="n">
        <v>45998</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24063-2023</t>
        </is>
      </c>
      <c r="B627" s="1" t="n">
        <v>45078.94140046297</v>
      </c>
      <c r="C627" s="1" t="n">
        <v>45998</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10087-2023</t>
        </is>
      </c>
      <c r="B628" s="1" t="n">
        <v>44985</v>
      </c>
      <c r="C628" s="1" t="n">
        <v>45998</v>
      </c>
      <c r="D628" t="inlineStr">
        <is>
          <t>VÄSTERNORRLANDS LÄN</t>
        </is>
      </c>
      <c r="E628" t="inlineStr">
        <is>
          <t>ÅNGE</t>
        </is>
      </c>
      <c r="F628" t="inlineStr">
        <is>
          <t>SCA</t>
        </is>
      </c>
      <c r="G628" t="n">
        <v>7.9</v>
      </c>
      <c r="H628" t="n">
        <v>0</v>
      </c>
      <c r="I628" t="n">
        <v>0</v>
      </c>
      <c r="J628" t="n">
        <v>0</v>
      </c>
      <c r="K628" t="n">
        <v>0</v>
      </c>
      <c r="L628" t="n">
        <v>0</v>
      </c>
      <c r="M628" t="n">
        <v>0</v>
      </c>
      <c r="N628" t="n">
        <v>0</v>
      </c>
      <c r="O628" t="n">
        <v>0</v>
      </c>
      <c r="P628" t="n">
        <v>0</v>
      </c>
      <c r="Q628" t="n">
        <v>0</v>
      </c>
      <c r="R628" s="2" t="inlineStr"/>
    </row>
    <row r="629" ht="15" customHeight="1">
      <c r="A629" t="inlineStr">
        <is>
          <t>A 27682-2023</t>
        </is>
      </c>
      <c r="B629" s="1" t="n">
        <v>45097.93758101852</v>
      </c>
      <c r="C629" s="1" t="n">
        <v>45998</v>
      </c>
      <c r="D629" t="inlineStr">
        <is>
          <t>VÄSTERNORRLANDS LÄN</t>
        </is>
      </c>
      <c r="E629" t="inlineStr">
        <is>
          <t>ÅNGE</t>
        </is>
      </c>
      <c r="F629" t="inlineStr">
        <is>
          <t>SCA</t>
        </is>
      </c>
      <c r="G629" t="n">
        <v>3.9</v>
      </c>
      <c r="H629" t="n">
        <v>0</v>
      </c>
      <c r="I629" t="n">
        <v>0</v>
      </c>
      <c r="J629" t="n">
        <v>0</v>
      </c>
      <c r="K629" t="n">
        <v>0</v>
      </c>
      <c r="L629" t="n">
        <v>0</v>
      </c>
      <c r="M629" t="n">
        <v>0</v>
      </c>
      <c r="N629" t="n">
        <v>0</v>
      </c>
      <c r="O629" t="n">
        <v>0</v>
      </c>
      <c r="P629" t="n">
        <v>0</v>
      </c>
      <c r="Q629" t="n">
        <v>0</v>
      </c>
      <c r="R629" s="2" t="inlineStr"/>
    </row>
    <row r="630" ht="15" customHeight="1">
      <c r="A630" t="inlineStr">
        <is>
          <t>A 64945-2023</t>
        </is>
      </c>
      <c r="B630" s="1" t="n">
        <v>45282.94668981482</v>
      </c>
      <c r="C630" s="1" t="n">
        <v>45998</v>
      </c>
      <c r="D630" t="inlineStr">
        <is>
          <t>VÄSTERNORRLANDS LÄN</t>
        </is>
      </c>
      <c r="E630" t="inlineStr">
        <is>
          <t>ÅNGE</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38795-2023</t>
        </is>
      </c>
      <c r="B631" s="1" t="n">
        <v>45162</v>
      </c>
      <c r="C631" s="1" t="n">
        <v>45998</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35979-2023</t>
        </is>
      </c>
      <c r="B632" s="1" t="n">
        <v>45148</v>
      </c>
      <c r="C632" s="1" t="n">
        <v>45998</v>
      </c>
      <c r="D632" t="inlineStr">
        <is>
          <t>VÄSTERNORRLANDS LÄN</t>
        </is>
      </c>
      <c r="E632" t="inlineStr">
        <is>
          <t>ÅNGE</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23018-2021</t>
        </is>
      </c>
      <c r="B633" s="1" t="n">
        <v>44328</v>
      </c>
      <c r="C633" s="1" t="n">
        <v>45998</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31866-2024</t>
        </is>
      </c>
      <c r="B634" s="1" t="n">
        <v>45509</v>
      </c>
      <c r="C634" s="1" t="n">
        <v>45998</v>
      </c>
      <c r="D634" t="inlineStr">
        <is>
          <t>VÄSTERNORRLANDS LÄN</t>
        </is>
      </c>
      <c r="E634" t="inlineStr">
        <is>
          <t>ÅNGE</t>
        </is>
      </c>
      <c r="G634" t="n">
        <v>1.9</v>
      </c>
      <c r="H634" t="n">
        <v>0</v>
      </c>
      <c r="I634" t="n">
        <v>0</v>
      </c>
      <c r="J634" t="n">
        <v>0</v>
      </c>
      <c r="K634" t="n">
        <v>0</v>
      </c>
      <c r="L634" t="n">
        <v>0</v>
      </c>
      <c r="M634" t="n">
        <v>0</v>
      </c>
      <c r="N634" t="n">
        <v>0</v>
      </c>
      <c r="O634" t="n">
        <v>0</v>
      </c>
      <c r="P634" t="n">
        <v>0</v>
      </c>
      <c r="Q634" t="n">
        <v>0</v>
      </c>
      <c r="R634" s="2" t="inlineStr"/>
    </row>
    <row r="635" ht="15" customHeight="1">
      <c r="A635" t="inlineStr">
        <is>
          <t>A 31867-2024</t>
        </is>
      </c>
      <c r="B635" s="1" t="n">
        <v>45509</v>
      </c>
      <c r="C635" s="1" t="n">
        <v>45998</v>
      </c>
      <c r="D635" t="inlineStr">
        <is>
          <t>VÄSTERNORRLANDS LÄN</t>
        </is>
      </c>
      <c r="E635" t="inlineStr">
        <is>
          <t>ÅNGE</t>
        </is>
      </c>
      <c r="G635" t="n">
        <v>7.8</v>
      </c>
      <c r="H635" t="n">
        <v>0</v>
      </c>
      <c r="I635" t="n">
        <v>0</v>
      </c>
      <c r="J635" t="n">
        <v>0</v>
      </c>
      <c r="K635" t="n">
        <v>0</v>
      </c>
      <c r="L635" t="n">
        <v>0</v>
      </c>
      <c r="M635" t="n">
        <v>0</v>
      </c>
      <c r="N635" t="n">
        <v>0</v>
      </c>
      <c r="O635" t="n">
        <v>0</v>
      </c>
      <c r="P635" t="n">
        <v>0</v>
      </c>
      <c r="Q635" t="n">
        <v>0</v>
      </c>
      <c r="R635" s="2" t="inlineStr"/>
    </row>
    <row r="636" ht="15" customHeight="1">
      <c r="A636" t="inlineStr">
        <is>
          <t>A 39178-2024</t>
        </is>
      </c>
      <c r="B636" s="1" t="n">
        <v>45548.65692129629</v>
      </c>
      <c r="C636" s="1" t="n">
        <v>45998</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35582-2024</t>
        </is>
      </c>
      <c r="B637" s="1" t="n">
        <v>45531.64800925926</v>
      </c>
      <c r="C637" s="1" t="n">
        <v>45998</v>
      </c>
      <c r="D637" t="inlineStr">
        <is>
          <t>VÄSTERNORRLANDS LÄN</t>
        </is>
      </c>
      <c r="E637" t="inlineStr">
        <is>
          <t>ÅNGE</t>
        </is>
      </c>
      <c r="G637" t="n">
        <v>4.1</v>
      </c>
      <c r="H637" t="n">
        <v>0</v>
      </c>
      <c r="I637" t="n">
        <v>0</v>
      </c>
      <c r="J637" t="n">
        <v>0</v>
      </c>
      <c r="K637" t="n">
        <v>0</v>
      </c>
      <c r="L637" t="n">
        <v>0</v>
      </c>
      <c r="M637" t="n">
        <v>0</v>
      </c>
      <c r="N637" t="n">
        <v>0</v>
      </c>
      <c r="O637" t="n">
        <v>0</v>
      </c>
      <c r="P637" t="n">
        <v>0</v>
      </c>
      <c r="Q637" t="n">
        <v>0</v>
      </c>
      <c r="R637" s="2" t="inlineStr"/>
    </row>
    <row r="638" ht="15" customHeight="1">
      <c r="A638" t="inlineStr">
        <is>
          <t>A 36466-2024</t>
        </is>
      </c>
      <c r="B638" s="1" t="n">
        <v>45537.35872685185</v>
      </c>
      <c r="C638" s="1" t="n">
        <v>45998</v>
      </c>
      <c r="D638" t="inlineStr">
        <is>
          <t>VÄSTERNORRLANDS LÄN</t>
        </is>
      </c>
      <c r="E638" t="inlineStr">
        <is>
          <t>ÅNGE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52785-2024</t>
        </is>
      </c>
      <c r="B639" s="1" t="n">
        <v>45610.55273148148</v>
      </c>
      <c r="C639" s="1" t="n">
        <v>45998</v>
      </c>
      <c r="D639" t="inlineStr">
        <is>
          <t>VÄSTERNORRLANDS LÄN</t>
        </is>
      </c>
      <c r="E639" t="inlineStr">
        <is>
          <t>ÅNGE</t>
        </is>
      </c>
      <c r="F639" t="inlineStr">
        <is>
          <t>SCA</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52786-2024</t>
        </is>
      </c>
      <c r="B640" s="1" t="n">
        <v>45610.55283564814</v>
      </c>
      <c r="C640" s="1" t="n">
        <v>45998</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29193-2024</t>
        </is>
      </c>
      <c r="B641" s="1" t="n">
        <v>45482.56510416666</v>
      </c>
      <c r="C641" s="1" t="n">
        <v>45998</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42040-2024</t>
        </is>
      </c>
      <c r="B642" s="1" t="n">
        <v>45561.80983796297</v>
      </c>
      <c r="C642" s="1" t="n">
        <v>45998</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48787-2024</t>
        </is>
      </c>
      <c r="B643" s="1" t="n">
        <v>45593.63888888889</v>
      </c>
      <c r="C643" s="1" t="n">
        <v>45998</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58939-2021</t>
        </is>
      </c>
      <c r="B644" s="1" t="n">
        <v>44489</v>
      </c>
      <c r="C644" s="1" t="n">
        <v>45998</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34691-2024</t>
        </is>
      </c>
      <c r="B645" s="1" t="n">
        <v>45526.54516203704</v>
      </c>
      <c r="C645" s="1" t="n">
        <v>45998</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42969-2024</t>
        </is>
      </c>
      <c r="B646" s="1" t="n">
        <v>45567.37300925926</v>
      </c>
      <c r="C646" s="1" t="n">
        <v>45998</v>
      </c>
      <c r="D646" t="inlineStr">
        <is>
          <t>VÄSTERNORRLANDS LÄN</t>
        </is>
      </c>
      <c r="E646" t="inlineStr">
        <is>
          <t>ÅNGE</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54210-2024</t>
        </is>
      </c>
      <c r="B647" s="1" t="n">
        <v>45616.65662037037</v>
      </c>
      <c r="C647" s="1" t="n">
        <v>45998</v>
      </c>
      <c r="D647" t="inlineStr">
        <is>
          <t>VÄSTERNORRLANDS LÄN</t>
        </is>
      </c>
      <c r="E647" t="inlineStr">
        <is>
          <t>ÅNGE</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52683-2024</t>
        </is>
      </c>
      <c r="B648" s="1" t="n">
        <v>45610</v>
      </c>
      <c r="C648" s="1" t="n">
        <v>45998</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37558-2023</t>
        </is>
      </c>
      <c r="B649" s="1" t="n">
        <v>45159.34511574074</v>
      </c>
      <c r="C649" s="1" t="n">
        <v>45998</v>
      </c>
      <c r="D649" t="inlineStr">
        <is>
          <t>VÄSTERNORRLANDS LÄN</t>
        </is>
      </c>
      <c r="E649" t="inlineStr">
        <is>
          <t>ÅNGE</t>
        </is>
      </c>
      <c r="F649" t="inlineStr">
        <is>
          <t>Kyrkan</t>
        </is>
      </c>
      <c r="G649" t="n">
        <v>5.6</v>
      </c>
      <c r="H649" t="n">
        <v>0</v>
      </c>
      <c r="I649" t="n">
        <v>0</v>
      </c>
      <c r="J649" t="n">
        <v>0</v>
      </c>
      <c r="K649" t="n">
        <v>0</v>
      </c>
      <c r="L649" t="n">
        <v>0</v>
      </c>
      <c r="M649" t="n">
        <v>0</v>
      </c>
      <c r="N649" t="n">
        <v>0</v>
      </c>
      <c r="O649" t="n">
        <v>0</v>
      </c>
      <c r="P649" t="n">
        <v>0</v>
      </c>
      <c r="Q649" t="n">
        <v>0</v>
      </c>
      <c r="R649" s="2" t="inlineStr"/>
    </row>
    <row r="650" ht="15" customHeight="1">
      <c r="A650" t="inlineStr">
        <is>
          <t>A 34852-2023</t>
        </is>
      </c>
      <c r="B650" s="1" t="n">
        <v>45141</v>
      </c>
      <c r="C650" s="1" t="n">
        <v>45998</v>
      </c>
      <c r="D650" t="inlineStr">
        <is>
          <t>VÄSTERNORRLANDS LÄN</t>
        </is>
      </c>
      <c r="E650" t="inlineStr">
        <is>
          <t>ÅNGE</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19798-2025</t>
        </is>
      </c>
      <c r="B651" s="1" t="n">
        <v>45771.44824074074</v>
      </c>
      <c r="C651" s="1" t="n">
        <v>45998</v>
      </c>
      <c r="D651" t="inlineStr">
        <is>
          <t>VÄSTERNORRLANDS LÄN</t>
        </is>
      </c>
      <c r="E651" t="inlineStr">
        <is>
          <t>ÅNGE</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52805-2024</t>
        </is>
      </c>
      <c r="B652" s="1" t="n">
        <v>45610.57344907407</v>
      </c>
      <c r="C652" s="1" t="n">
        <v>45998</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61577-2023</t>
        </is>
      </c>
      <c r="B653" s="1" t="n">
        <v>45265.47366898148</v>
      </c>
      <c r="C653" s="1" t="n">
        <v>45998</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1735-2025</t>
        </is>
      </c>
      <c r="B654" s="1" t="n">
        <v>45671.38594907407</v>
      </c>
      <c r="C654" s="1" t="n">
        <v>45998</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45939-2023</t>
        </is>
      </c>
      <c r="B655" s="1" t="n">
        <v>45195.94578703704</v>
      </c>
      <c r="C655" s="1" t="n">
        <v>45998</v>
      </c>
      <c r="D655" t="inlineStr">
        <is>
          <t>VÄSTERNORRLANDS LÄN</t>
        </is>
      </c>
      <c r="E655" t="inlineStr">
        <is>
          <t>ÅNGE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10558-2023</t>
        </is>
      </c>
      <c r="B656" s="1" t="n">
        <v>44987.94438657408</v>
      </c>
      <c r="C656" s="1" t="n">
        <v>45998</v>
      </c>
      <c r="D656" t="inlineStr">
        <is>
          <t>VÄSTERNORRLANDS LÄN</t>
        </is>
      </c>
      <c r="E656" t="inlineStr">
        <is>
          <t>ÅNGE</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61585-2022</t>
        </is>
      </c>
      <c r="B657" s="1" t="n">
        <v>44916.63380787037</v>
      </c>
      <c r="C657" s="1" t="n">
        <v>45998</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3574-2025</t>
        </is>
      </c>
      <c r="B658" s="1" t="n">
        <v>45680.71916666667</v>
      </c>
      <c r="C658" s="1" t="n">
        <v>45998</v>
      </c>
      <c r="D658" t="inlineStr">
        <is>
          <t>VÄSTERNORRLANDS LÄN</t>
        </is>
      </c>
      <c r="E658" t="inlineStr">
        <is>
          <t>ÅNGE</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49487-2024</t>
        </is>
      </c>
      <c r="B659" s="1" t="n">
        <v>45596.35813657408</v>
      </c>
      <c r="C659" s="1" t="n">
        <v>45998</v>
      </c>
      <c r="D659" t="inlineStr">
        <is>
          <t>VÄSTERNORRLANDS LÄN</t>
        </is>
      </c>
      <c r="E659" t="inlineStr">
        <is>
          <t>ÅNGE</t>
        </is>
      </c>
      <c r="G659" t="n">
        <v>4.3</v>
      </c>
      <c r="H659" t="n">
        <v>0</v>
      </c>
      <c r="I659" t="n">
        <v>0</v>
      </c>
      <c r="J659" t="n">
        <v>0</v>
      </c>
      <c r="K659" t="n">
        <v>0</v>
      </c>
      <c r="L659" t="n">
        <v>0</v>
      </c>
      <c r="M659" t="n">
        <v>0</v>
      </c>
      <c r="N659" t="n">
        <v>0</v>
      </c>
      <c r="O659" t="n">
        <v>0</v>
      </c>
      <c r="P659" t="n">
        <v>0</v>
      </c>
      <c r="Q659" t="n">
        <v>0</v>
      </c>
      <c r="R659" s="2" t="inlineStr"/>
    </row>
    <row r="660" ht="15" customHeight="1">
      <c r="A660" t="inlineStr">
        <is>
          <t>A 44606-2024</t>
        </is>
      </c>
      <c r="B660" s="1" t="n">
        <v>45574.51195601852</v>
      </c>
      <c r="C660" s="1" t="n">
        <v>45998</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44626-2024</t>
        </is>
      </c>
      <c r="B661" s="1" t="n">
        <v>45574.51378472222</v>
      </c>
      <c r="C661" s="1" t="n">
        <v>45998</v>
      </c>
      <c r="D661" t="inlineStr">
        <is>
          <t>VÄSTERNORRLANDS LÄN</t>
        </is>
      </c>
      <c r="E661" t="inlineStr">
        <is>
          <t>ÅNGE</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45998</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4186-2025</t>
        </is>
      </c>
      <c r="B663" s="1" t="n">
        <v>45685.44827546296</v>
      </c>
      <c r="C663" s="1" t="n">
        <v>45998</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3022-2023</t>
        </is>
      </c>
      <c r="B664" s="1" t="n">
        <v>44945</v>
      </c>
      <c r="C664" s="1" t="n">
        <v>45998</v>
      </c>
      <c r="D664" t="inlineStr">
        <is>
          <t>VÄSTERNORRLANDS LÄN</t>
        </is>
      </c>
      <c r="E664" t="inlineStr">
        <is>
          <t>ÅNGE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61781-2023</t>
        </is>
      </c>
      <c r="B665" s="1" t="n">
        <v>45265.95708333333</v>
      </c>
      <c r="C665" s="1" t="n">
        <v>45998</v>
      </c>
      <c r="D665" t="inlineStr">
        <is>
          <t>VÄSTERNORRLANDS LÄN</t>
        </is>
      </c>
      <c r="E665" t="inlineStr">
        <is>
          <t>ÅNGE</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39021-2024</t>
        </is>
      </c>
      <c r="B666" s="1" t="n">
        <v>45548</v>
      </c>
      <c r="C666" s="1" t="n">
        <v>45998</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13875-2022</t>
        </is>
      </c>
      <c r="B667" s="1" t="n">
        <v>44649</v>
      </c>
      <c r="C667" s="1" t="n">
        <v>45998</v>
      </c>
      <c r="D667" t="inlineStr">
        <is>
          <t>VÄSTERNORRLANDS LÄN</t>
        </is>
      </c>
      <c r="E667" t="inlineStr">
        <is>
          <t>ÅNGE</t>
        </is>
      </c>
      <c r="G667" t="n">
        <v>1.3</v>
      </c>
      <c r="H667" t="n">
        <v>0</v>
      </c>
      <c r="I667" t="n">
        <v>0</v>
      </c>
      <c r="J667" t="n">
        <v>0</v>
      </c>
      <c r="K667" t="n">
        <v>0</v>
      </c>
      <c r="L667" t="n">
        <v>0</v>
      </c>
      <c r="M667" t="n">
        <v>0</v>
      </c>
      <c r="N667" t="n">
        <v>0</v>
      </c>
      <c r="O667" t="n">
        <v>0</v>
      </c>
      <c r="P667" t="n">
        <v>0</v>
      </c>
      <c r="Q667" t="n">
        <v>0</v>
      </c>
      <c r="R667" s="2" t="inlineStr"/>
    </row>
    <row r="668" ht="15" customHeight="1">
      <c r="A668" t="inlineStr">
        <is>
          <t>A 49187-2024</t>
        </is>
      </c>
      <c r="B668" s="1" t="n">
        <v>45595.34490740741</v>
      </c>
      <c r="C668" s="1" t="n">
        <v>45998</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28873-2024</t>
        </is>
      </c>
      <c r="B669" s="1" t="n">
        <v>45478.94766203704</v>
      </c>
      <c r="C669" s="1" t="n">
        <v>45998</v>
      </c>
      <c r="D669" t="inlineStr">
        <is>
          <t>VÄSTERNORRLANDS LÄN</t>
        </is>
      </c>
      <c r="E669" t="inlineStr">
        <is>
          <t>ÅNGE</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4876-2023</t>
        </is>
      </c>
      <c r="B670" s="1" t="n">
        <v>44957.94023148148</v>
      </c>
      <c r="C670" s="1" t="n">
        <v>45998</v>
      </c>
      <c r="D670" t="inlineStr">
        <is>
          <t>VÄSTERNORRLANDS LÄN</t>
        </is>
      </c>
      <c r="E670" t="inlineStr">
        <is>
          <t>ÅNGE</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31563-2024</t>
        </is>
      </c>
      <c r="B671" s="1" t="n">
        <v>45505</v>
      </c>
      <c r="C671" s="1" t="n">
        <v>45998</v>
      </c>
      <c r="D671" t="inlineStr">
        <is>
          <t>VÄSTERNORRLANDS LÄN</t>
        </is>
      </c>
      <c r="E671" t="inlineStr">
        <is>
          <t>ÅNGE</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3362-2023</t>
        </is>
      </c>
      <c r="B672" s="1" t="n">
        <v>44945</v>
      </c>
      <c r="C672" s="1" t="n">
        <v>45998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44415-2021</t>
        </is>
      </c>
      <c r="B673" s="1" t="n">
        <v>44435</v>
      </c>
      <c r="C673" s="1" t="n">
        <v>45998</v>
      </c>
      <c r="D673" t="inlineStr">
        <is>
          <t>VÄSTERNORRLANDS LÄN</t>
        </is>
      </c>
      <c r="E673" t="inlineStr">
        <is>
          <t>ÅNGE</t>
        </is>
      </c>
      <c r="G673" t="n">
        <v>5.2</v>
      </c>
      <c r="H673" t="n">
        <v>0</v>
      </c>
      <c r="I673" t="n">
        <v>0</v>
      </c>
      <c r="J673" t="n">
        <v>0</v>
      </c>
      <c r="K673" t="n">
        <v>0</v>
      </c>
      <c r="L673" t="n">
        <v>0</v>
      </c>
      <c r="M673" t="n">
        <v>0</v>
      </c>
      <c r="N673" t="n">
        <v>0</v>
      </c>
      <c r="O673" t="n">
        <v>0</v>
      </c>
      <c r="P673" t="n">
        <v>0</v>
      </c>
      <c r="Q673" t="n">
        <v>0</v>
      </c>
      <c r="R673" s="2" t="inlineStr"/>
    </row>
    <row r="674" ht="15" customHeight="1">
      <c r="A674" t="inlineStr">
        <is>
          <t>A 34705-2023</t>
        </is>
      </c>
      <c r="B674" s="1" t="n">
        <v>45140.96452546296</v>
      </c>
      <c r="C674" s="1" t="n">
        <v>45998</v>
      </c>
      <c r="D674" t="inlineStr">
        <is>
          <t>VÄSTERNORRLANDS LÄN</t>
        </is>
      </c>
      <c r="E674" t="inlineStr">
        <is>
          <t>ÅNGE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34750-2023</t>
        </is>
      </c>
      <c r="B675" s="1" t="n">
        <v>45139</v>
      </c>
      <c r="C675" s="1" t="n">
        <v>45998</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69790-2021</t>
        </is>
      </c>
      <c r="B676" s="1" t="n">
        <v>44532.605625</v>
      </c>
      <c r="C676" s="1" t="n">
        <v>45998</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3330-2025</t>
        </is>
      </c>
      <c r="B677" s="1" t="n">
        <v>45679.70041666667</v>
      </c>
      <c r="C677" s="1" t="n">
        <v>45998</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5455-2023</t>
        </is>
      </c>
      <c r="B678" s="1" t="n">
        <v>44959.93983796296</v>
      </c>
      <c r="C678" s="1" t="n">
        <v>45998</v>
      </c>
      <c r="D678" t="inlineStr">
        <is>
          <t>VÄSTERNORRLANDS LÄN</t>
        </is>
      </c>
      <c r="E678" t="inlineStr">
        <is>
          <t>ÅNGE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59986-2021</t>
        </is>
      </c>
      <c r="B679" s="1" t="n">
        <v>44494</v>
      </c>
      <c r="C679" s="1" t="n">
        <v>45998</v>
      </c>
      <c r="D679" t="inlineStr">
        <is>
          <t>VÄSTERNORRLANDS LÄN</t>
        </is>
      </c>
      <c r="E679" t="inlineStr">
        <is>
          <t>ÅNGE</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31229-2023</t>
        </is>
      </c>
      <c r="B680" s="1" t="n">
        <v>45114</v>
      </c>
      <c r="C680" s="1" t="n">
        <v>45998</v>
      </c>
      <c r="D680" t="inlineStr">
        <is>
          <t>VÄSTERNORRLANDS LÄN</t>
        </is>
      </c>
      <c r="E680" t="inlineStr">
        <is>
          <t>ÅNGE</t>
        </is>
      </c>
      <c r="F680" t="inlineStr">
        <is>
          <t>Sveaskog</t>
        </is>
      </c>
      <c r="G680" t="n">
        <v>1.9</v>
      </c>
      <c r="H680" t="n">
        <v>0</v>
      </c>
      <c r="I680" t="n">
        <v>0</v>
      </c>
      <c r="J680" t="n">
        <v>0</v>
      </c>
      <c r="K680" t="n">
        <v>0</v>
      </c>
      <c r="L680" t="n">
        <v>0</v>
      </c>
      <c r="M680" t="n">
        <v>0</v>
      </c>
      <c r="N680" t="n">
        <v>0</v>
      </c>
      <c r="O680" t="n">
        <v>0</v>
      </c>
      <c r="P680" t="n">
        <v>0</v>
      </c>
      <c r="Q680" t="n">
        <v>0</v>
      </c>
      <c r="R680" s="2" t="inlineStr"/>
    </row>
    <row r="681" ht="15" customHeight="1">
      <c r="A681" t="inlineStr">
        <is>
          <t>A 48690-2024</t>
        </is>
      </c>
      <c r="B681" s="1" t="n">
        <v>45593.50704861111</v>
      </c>
      <c r="C681" s="1" t="n">
        <v>45998</v>
      </c>
      <c r="D681" t="inlineStr">
        <is>
          <t>VÄSTERNORRLANDS LÄN</t>
        </is>
      </c>
      <c r="E681" t="inlineStr">
        <is>
          <t>ÅNGE</t>
        </is>
      </c>
      <c r="G681" t="n">
        <v>5</v>
      </c>
      <c r="H681" t="n">
        <v>0</v>
      </c>
      <c r="I681" t="n">
        <v>0</v>
      </c>
      <c r="J681" t="n">
        <v>0</v>
      </c>
      <c r="K681" t="n">
        <v>0</v>
      </c>
      <c r="L681" t="n">
        <v>0</v>
      </c>
      <c r="M681" t="n">
        <v>0</v>
      </c>
      <c r="N681" t="n">
        <v>0</v>
      </c>
      <c r="O681" t="n">
        <v>0</v>
      </c>
      <c r="P681" t="n">
        <v>0</v>
      </c>
      <c r="Q681" t="n">
        <v>0</v>
      </c>
      <c r="R681" s="2" t="inlineStr"/>
    </row>
    <row r="682" ht="15" customHeight="1">
      <c r="A682" t="inlineStr">
        <is>
          <t>A 50235-2021</t>
        </is>
      </c>
      <c r="B682" s="1" t="n">
        <v>44457</v>
      </c>
      <c r="C682" s="1" t="n">
        <v>45998</v>
      </c>
      <c r="D682" t="inlineStr">
        <is>
          <t>VÄSTERNORRLANDS LÄN</t>
        </is>
      </c>
      <c r="E682" t="inlineStr">
        <is>
          <t>ÅNGE</t>
        </is>
      </c>
      <c r="G682" t="n">
        <v>3.8</v>
      </c>
      <c r="H682" t="n">
        <v>0</v>
      </c>
      <c r="I682" t="n">
        <v>0</v>
      </c>
      <c r="J682" t="n">
        <v>0</v>
      </c>
      <c r="K682" t="n">
        <v>0</v>
      </c>
      <c r="L682" t="n">
        <v>0</v>
      </c>
      <c r="M682" t="n">
        <v>0</v>
      </c>
      <c r="N682" t="n">
        <v>0</v>
      </c>
      <c r="O682" t="n">
        <v>0</v>
      </c>
      <c r="P682" t="n">
        <v>0</v>
      </c>
      <c r="Q682" t="n">
        <v>0</v>
      </c>
      <c r="R682" s="2" t="inlineStr"/>
    </row>
    <row r="683" ht="15" customHeight="1">
      <c r="A683" t="inlineStr">
        <is>
          <t>A 47950-2024</t>
        </is>
      </c>
      <c r="B683" s="1" t="n">
        <v>45589.36511574074</v>
      </c>
      <c r="C683" s="1" t="n">
        <v>45998</v>
      </c>
      <c r="D683" t="inlineStr">
        <is>
          <t>VÄSTERNORRLANDS LÄN</t>
        </is>
      </c>
      <c r="E683" t="inlineStr">
        <is>
          <t>ÅNGE</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11299-2023</t>
        </is>
      </c>
      <c r="B684" s="1" t="n">
        <v>44993.01074074074</v>
      </c>
      <c r="C684" s="1" t="n">
        <v>45998</v>
      </c>
      <c r="D684" t="inlineStr">
        <is>
          <t>VÄSTERNORRLANDS LÄN</t>
        </is>
      </c>
      <c r="E684" t="inlineStr">
        <is>
          <t>ÅNGE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11309-2023</t>
        </is>
      </c>
      <c r="B685" s="1" t="n">
        <v>44993.0118287037</v>
      </c>
      <c r="C685" s="1" t="n">
        <v>45998</v>
      </c>
      <c r="D685" t="inlineStr">
        <is>
          <t>VÄSTERNORRLANDS LÄN</t>
        </is>
      </c>
      <c r="E685" t="inlineStr">
        <is>
          <t>ÅNGE</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62834-2021</t>
        </is>
      </c>
      <c r="B686" s="1" t="n">
        <v>44503</v>
      </c>
      <c r="C686" s="1" t="n">
        <v>45998</v>
      </c>
      <c r="D686" t="inlineStr">
        <is>
          <t>VÄSTERNORRLANDS LÄN</t>
        </is>
      </c>
      <c r="E686" t="inlineStr">
        <is>
          <t>ÅNGE</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10557-2023</t>
        </is>
      </c>
      <c r="B687" s="1" t="n">
        <v>44987</v>
      </c>
      <c r="C687" s="1" t="n">
        <v>45998</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19342-2024</t>
        </is>
      </c>
      <c r="B688" s="1" t="n">
        <v>45428</v>
      </c>
      <c r="C688" s="1" t="n">
        <v>45998</v>
      </c>
      <c r="D688" t="inlineStr">
        <is>
          <t>VÄSTERNORRLANDS LÄN</t>
        </is>
      </c>
      <c r="E688" t="inlineStr">
        <is>
          <t>ÅNGE</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8418-2023</t>
        </is>
      </c>
      <c r="B689" s="1" t="n">
        <v>44971</v>
      </c>
      <c r="C689" s="1" t="n">
        <v>45998</v>
      </c>
      <c r="D689" t="inlineStr">
        <is>
          <t>VÄSTERNORRLANDS LÄN</t>
        </is>
      </c>
      <c r="E689" t="inlineStr">
        <is>
          <t>ÅNGE</t>
        </is>
      </c>
      <c r="G689" t="n">
        <v>8.6</v>
      </c>
      <c r="H689" t="n">
        <v>0</v>
      </c>
      <c r="I689" t="n">
        <v>0</v>
      </c>
      <c r="J689" t="n">
        <v>0</v>
      </c>
      <c r="K689" t="n">
        <v>0</v>
      </c>
      <c r="L689" t="n">
        <v>0</v>
      </c>
      <c r="M689" t="n">
        <v>0</v>
      </c>
      <c r="N689" t="n">
        <v>0</v>
      </c>
      <c r="O689" t="n">
        <v>0</v>
      </c>
      <c r="P689" t="n">
        <v>0</v>
      </c>
      <c r="Q689" t="n">
        <v>0</v>
      </c>
      <c r="R689" s="2" t="inlineStr"/>
    </row>
    <row r="690" ht="15" customHeight="1">
      <c r="A690" t="inlineStr">
        <is>
          <t>A 53209-2024</t>
        </is>
      </c>
      <c r="B690" s="1" t="n">
        <v>45612.51079861111</v>
      </c>
      <c r="C690" s="1" t="n">
        <v>45998</v>
      </c>
      <c r="D690" t="inlineStr">
        <is>
          <t>VÄSTERNORRLANDS LÄN</t>
        </is>
      </c>
      <c r="E690" t="inlineStr">
        <is>
          <t>ÅNGE</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4006-2022</t>
        </is>
      </c>
      <c r="B691" s="1" t="n">
        <v>44587.92019675926</v>
      </c>
      <c r="C691" s="1" t="n">
        <v>45998</v>
      </c>
      <c r="D691" t="inlineStr">
        <is>
          <t>VÄSTERNORRLANDS LÄN</t>
        </is>
      </c>
      <c r="E691" t="inlineStr">
        <is>
          <t>ÅNGE</t>
        </is>
      </c>
      <c r="G691" t="n">
        <v>5</v>
      </c>
      <c r="H691" t="n">
        <v>0</v>
      </c>
      <c r="I691" t="n">
        <v>0</v>
      </c>
      <c r="J691" t="n">
        <v>0</v>
      </c>
      <c r="K691" t="n">
        <v>0</v>
      </c>
      <c r="L691" t="n">
        <v>0</v>
      </c>
      <c r="M691" t="n">
        <v>0</v>
      </c>
      <c r="N691" t="n">
        <v>0</v>
      </c>
      <c r="O691" t="n">
        <v>0</v>
      </c>
      <c r="P691" t="n">
        <v>0</v>
      </c>
      <c r="Q691" t="n">
        <v>0</v>
      </c>
      <c r="R691" s="2" t="inlineStr"/>
    </row>
    <row r="692" ht="15" customHeight="1">
      <c r="A692" t="inlineStr">
        <is>
          <t>A 25035-2023</t>
        </is>
      </c>
      <c r="B692" s="1" t="n">
        <v>45085</v>
      </c>
      <c r="C692" s="1" t="n">
        <v>45998</v>
      </c>
      <c r="D692" t="inlineStr">
        <is>
          <t>VÄSTERNORRLANDS LÄN</t>
        </is>
      </c>
      <c r="E692" t="inlineStr">
        <is>
          <t>ÅNGE</t>
        </is>
      </c>
      <c r="G692" t="n">
        <v>0.3</v>
      </c>
      <c r="H692" t="n">
        <v>0</v>
      </c>
      <c r="I692" t="n">
        <v>0</v>
      </c>
      <c r="J692" t="n">
        <v>0</v>
      </c>
      <c r="K692" t="n">
        <v>0</v>
      </c>
      <c r="L692" t="n">
        <v>0</v>
      </c>
      <c r="M692" t="n">
        <v>0</v>
      </c>
      <c r="N692" t="n">
        <v>0</v>
      </c>
      <c r="O692" t="n">
        <v>0</v>
      </c>
      <c r="P692" t="n">
        <v>0</v>
      </c>
      <c r="Q692" t="n">
        <v>0</v>
      </c>
      <c r="R692" s="2" t="inlineStr"/>
    </row>
    <row r="693" ht="15" customHeight="1">
      <c r="A693" t="inlineStr">
        <is>
          <t>A 48725-2024</t>
        </is>
      </c>
      <c r="B693" s="1" t="n">
        <v>45593.55793981482</v>
      </c>
      <c r="C693" s="1" t="n">
        <v>45998</v>
      </c>
      <c r="D693" t="inlineStr">
        <is>
          <t>VÄSTERNORRLANDS LÄN</t>
        </is>
      </c>
      <c r="E693" t="inlineStr">
        <is>
          <t>ÅNGE</t>
        </is>
      </c>
      <c r="G693" t="n">
        <v>1.4</v>
      </c>
      <c r="H693" t="n">
        <v>0</v>
      </c>
      <c r="I693" t="n">
        <v>0</v>
      </c>
      <c r="J693" t="n">
        <v>0</v>
      </c>
      <c r="K693" t="n">
        <v>0</v>
      </c>
      <c r="L693" t="n">
        <v>0</v>
      </c>
      <c r="M693" t="n">
        <v>0</v>
      </c>
      <c r="N693" t="n">
        <v>0</v>
      </c>
      <c r="O693" t="n">
        <v>0</v>
      </c>
      <c r="P693" t="n">
        <v>0</v>
      </c>
      <c r="Q693" t="n">
        <v>0</v>
      </c>
      <c r="R693" s="2" t="inlineStr"/>
    </row>
    <row r="694" ht="15" customHeight="1">
      <c r="A694" t="inlineStr">
        <is>
          <t>A 40755-2023</t>
        </is>
      </c>
      <c r="B694" s="1" t="n">
        <v>45170</v>
      </c>
      <c r="C694" s="1" t="n">
        <v>45998</v>
      </c>
      <c r="D694" t="inlineStr">
        <is>
          <t>VÄSTERNORRLANDS LÄN</t>
        </is>
      </c>
      <c r="E694" t="inlineStr">
        <is>
          <t>ÅNGE</t>
        </is>
      </c>
      <c r="G694" t="n">
        <v>3.6</v>
      </c>
      <c r="H694" t="n">
        <v>0</v>
      </c>
      <c r="I694" t="n">
        <v>0</v>
      </c>
      <c r="J694" t="n">
        <v>0</v>
      </c>
      <c r="K694" t="n">
        <v>0</v>
      </c>
      <c r="L694" t="n">
        <v>0</v>
      </c>
      <c r="M694" t="n">
        <v>0</v>
      </c>
      <c r="N694" t="n">
        <v>0</v>
      </c>
      <c r="O694" t="n">
        <v>0</v>
      </c>
      <c r="P694" t="n">
        <v>0</v>
      </c>
      <c r="Q694" t="n">
        <v>0</v>
      </c>
      <c r="R694" s="2" t="inlineStr"/>
    </row>
    <row r="695" ht="15" customHeight="1">
      <c r="A695" t="inlineStr">
        <is>
          <t>A 41284-2024</t>
        </is>
      </c>
      <c r="B695" s="1" t="n">
        <v>45559.59520833333</v>
      </c>
      <c r="C695" s="1" t="n">
        <v>45998</v>
      </c>
      <c r="D695" t="inlineStr">
        <is>
          <t>VÄSTERNORRLANDS LÄN</t>
        </is>
      </c>
      <c r="E695" t="inlineStr">
        <is>
          <t>ÅNGE</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32901-2023</t>
        </is>
      </c>
      <c r="B696" s="1" t="n">
        <v>45124.95063657407</v>
      </c>
      <c r="C696" s="1" t="n">
        <v>45998</v>
      </c>
      <c r="D696" t="inlineStr">
        <is>
          <t>VÄSTERNORRLANDS LÄN</t>
        </is>
      </c>
      <c r="E696" t="inlineStr">
        <is>
          <t>ÅNGE</t>
        </is>
      </c>
      <c r="F696" t="inlineStr">
        <is>
          <t>SCA</t>
        </is>
      </c>
      <c r="G696" t="n">
        <v>4.8</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44453.43</v>
      </c>
      <c r="C697" s="1" t="n">
        <v>45998</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16903-2024</t>
        </is>
      </c>
      <c r="B698" s="1" t="n">
        <v>45411.63106481481</v>
      </c>
      <c r="C698" s="1" t="n">
        <v>45998</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16915-2024</t>
        </is>
      </c>
      <c r="B699" s="1" t="n">
        <v>45411.65185185185</v>
      </c>
      <c r="C699" s="1" t="n">
        <v>45998</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5613-2024</t>
        </is>
      </c>
      <c r="B700" s="1" t="n">
        <v>45334</v>
      </c>
      <c r="C700" s="1" t="n">
        <v>45998</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1886-2024</t>
        </is>
      </c>
      <c r="B701" s="1" t="n">
        <v>45307.96335648148</v>
      </c>
      <c r="C701" s="1" t="n">
        <v>45998</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54456-2024</t>
        </is>
      </c>
      <c r="B702" s="1" t="n">
        <v>45617.53160879629</v>
      </c>
      <c r="C702" s="1" t="n">
        <v>45998</v>
      </c>
      <c r="D702" t="inlineStr">
        <is>
          <t>VÄSTERNORRLANDS LÄN</t>
        </is>
      </c>
      <c r="E702" t="inlineStr">
        <is>
          <t>ÅNGE</t>
        </is>
      </c>
      <c r="F702" t="inlineStr">
        <is>
          <t>SCA</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44979-2023</t>
        </is>
      </c>
      <c r="B703" s="1" t="n">
        <v>45190.95752314815</v>
      </c>
      <c r="C703" s="1" t="n">
        <v>45998</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25311-2023</t>
        </is>
      </c>
      <c r="B704" s="1" t="n">
        <v>45086.93869212963</v>
      </c>
      <c r="C704" s="1" t="n">
        <v>45998</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17923-2025</t>
        </is>
      </c>
      <c r="B705" s="1" t="n">
        <v>45759.34415509259</v>
      </c>
      <c r="C705" s="1" t="n">
        <v>45998</v>
      </c>
      <c r="D705" t="inlineStr">
        <is>
          <t>VÄSTERNORRLANDS LÄN</t>
        </is>
      </c>
      <c r="E705" t="inlineStr">
        <is>
          <t>ÅNGE</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4904-2024</t>
        </is>
      </c>
      <c r="B706" s="1" t="n">
        <v>45329.47856481482</v>
      </c>
      <c r="C706" s="1" t="n">
        <v>45998</v>
      </c>
      <c r="D706" t="inlineStr">
        <is>
          <t>VÄSTERNORRLANDS LÄN</t>
        </is>
      </c>
      <c r="E706" t="inlineStr">
        <is>
          <t>ÅNGE</t>
        </is>
      </c>
      <c r="G706" t="n">
        <v>3.5</v>
      </c>
      <c r="H706" t="n">
        <v>0</v>
      </c>
      <c r="I706" t="n">
        <v>0</v>
      </c>
      <c r="J706" t="n">
        <v>0</v>
      </c>
      <c r="K706" t="n">
        <v>0</v>
      </c>
      <c r="L706" t="n">
        <v>0</v>
      </c>
      <c r="M706" t="n">
        <v>0</v>
      </c>
      <c r="N706" t="n">
        <v>0</v>
      </c>
      <c r="O706" t="n">
        <v>0</v>
      </c>
      <c r="P706" t="n">
        <v>0</v>
      </c>
      <c r="Q706" t="n">
        <v>0</v>
      </c>
      <c r="R706" s="2" t="inlineStr"/>
    </row>
    <row r="707" ht="15" customHeight="1">
      <c r="A707" t="inlineStr">
        <is>
          <t>A 29462-2024</t>
        </is>
      </c>
      <c r="B707" s="1" t="n">
        <v>45483.96979166667</v>
      </c>
      <c r="C707" s="1" t="n">
        <v>45998</v>
      </c>
      <c r="D707" t="inlineStr">
        <is>
          <t>VÄSTERNORRLANDS LÄN</t>
        </is>
      </c>
      <c r="E707" t="inlineStr">
        <is>
          <t>ÅNGE</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44178-2023</t>
        </is>
      </c>
      <c r="B708" s="1" t="n">
        <v>45183</v>
      </c>
      <c r="C708" s="1" t="n">
        <v>45998</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1582-2025</t>
        </is>
      </c>
      <c r="B709" s="1" t="n">
        <v>45670</v>
      </c>
      <c r="C709" s="1" t="n">
        <v>45998</v>
      </c>
      <c r="D709" t="inlineStr">
        <is>
          <t>VÄSTERNORRLANDS LÄN</t>
        </is>
      </c>
      <c r="E709" t="inlineStr">
        <is>
          <t>ÅNGE</t>
        </is>
      </c>
      <c r="G709" t="n">
        <v>7.3</v>
      </c>
      <c r="H709" t="n">
        <v>0</v>
      </c>
      <c r="I709" t="n">
        <v>0</v>
      </c>
      <c r="J709" t="n">
        <v>0</v>
      </c>
      <c r="K709" t="n">
        <v>0</v>
      </c>
      <c r="L709" t="n">
        <v>0</v>
      </c>
      <c r="M709" t="n">
        <v>0</v>
      </c>
      <c r="N709" t="n">
        <v>0</v>
      </c>
      <c r="O709" t="n">
        <v>0</v>
      </c>
      <c r="P709" t="n">
        <v>0</v>
      </c>
      <c r="Q709" t="n">
        <v>0</v>
      </c>
      <c r="R709" s="2" t="inlineStr"/>
      <c r="U709">
        <f>HYPERLINK("https://klasma.github.io/Logging_2260/knärot/A 1582-2025 karta knärot.png", "A 1582-2025")</f>
        <v/>
      </c>
      <c r="V709">
        <f>HYPERLINK("https://klasma.github.io/Logging_2260/klagomål/A 1582-2025 FSC-klagomål.docx", "A 1582-2025")</f>
        <v/>
      </c>
      <c r="W709">
        <f>HYPERLINK("https://klasma.github.io/Logging_2260/klagomålsmail/A 1582-2025 FSC-klagomål mail.docx", "A 1582-2025")</f>
        <v/>
      </c>
      <c r="X709">
        <f>HYPERLINK("https://klasma.github.io/Logging_2260/tillsyn/A 1582-2025 tillsynsbegäran.docx", "A 1582-2025")</f>
        <v/>
      </c>
      <c r="Y709">
        <f>HYPERLINK("https://klasma.github.io/Logging_2260/tillsynsmail/A 1582-2025 tillsynsbegäran mail.docx", "A 1582-2025")</f>
        <v/>
      </c>
    </row>
    <row r="710" ht="15" customHeight="1">
      <c r="A710" t="inlineStr">
        <is>
          <t>A 8648-2025</t>
        </is>
      </c>
      <c r="B710" s="1" t="n">
        <v>45712.34501157407</v>
      </c>
      <c r="C710" s="1" t="n">
        <v>45998</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27952-2024</t>
        </is>
      </c>
      <c r="B711" s="1" t="n">
        <v>45476.33063657407</v>
      </c>
      <c r="C711" s="1" t="n">
        <v>45998</v>
      </c>
      <c r="D711" t="inlineStr">
        <is>
          <t>VÄSTERNORRLANDS LÄN</t>
        </is>
      </c>
      <c r="E711" t="inlineStr">
        <is>
          <t>ÅNGE</t>
        </is>
      </c>
      <c r="G711" t="n">
        <v>12.2</v>
      </c>
      <c r="H711" t="n">
        <v>0</v>
      </c>
      <c r="I711" t="n">
        <v>0</v>
      </c>
      <c r="J711" t="n">
        <v>0</v>
      </c>
      <c r="K711" t="n">
        <v>0</v>
      </c>
      <c r="L711" t="n">
        <v>0</v>
      </c>
      <c r="M711" t="n">
        <v>0</v>
      </c>
      <c r="N711" t="n">
        <v>0</v>
      </c>
      <c r="O711" t="n">
        <v>0</v>
      </c>
      <c r="P711" t="n">
        <v>0</v>
      </c>
      <c r="Q711" t="n">
        <v>0</v>
      </c>
      <c r="R711" s="2" t="inlineStr"/>
    </row>
    <row r="712" ht="15" customHeight="1">
      <c r="A712" t="inlineStr">
        <is>
          <t>A 32439-2024</t>
        </is>
      </c>
      <c r="B712" s="1" t="n">
        <v>45512</v>
      </c>
      <c r="C712" s="1" t="n">
        <v>45998</v>
      </c>
      <c r="D712" t="inlineStr">
        <is>
          <t>VÄSTERNORRLANDS LÄN</t>
        </is>
      </c>
      <c r="E712" t="inlineStr">
        <is>
          <t>ÅNGE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54908-2021</t>
        </is>
      </c>
      <c r="B713" s="1" t="n">
        <v>44474.39769675926</v>
      </c>
      <c r="C713" s="1" t="n">
        <v>45998</v>
      </c>
      <c r="D713" t="inlineStr">
        <is>
          <t>VÄSTERNORRLANDS LÄN</t>
        </is>
      </c>
      <c r="E713" t="inlineStr">
        <is>
          <t>ÅNGE</t>
        </is>
      </c>
      <c r="G713" t="n">
        <v>7.8</v>
      </c>
      <c r="H713" t="n">
        <v>0</v>
      </c>
      <c r="I713" t="n">
        <v>0</v>
      </c>
      <c r="J713" t="n">
        <v>0</v>
      </c>
      <c r="K713" t="n">
        <v>0</v>
      </c>
      <c r="L713" t="n">
        <v>0</v>
      </c>
      <c r="M713" t="n">
        <v>0</v>
      </c>
      <c r="N713" t="n">
        <v>0</v>
      </c>
      <c r="O713" t="n">
        <v>0</v>
      </c>
      <c r="P713" t="n">
        <v>0</v>
      </c>
      <c r="Q713" t="n">
        <v>0</v>
      </c>
      <c r="R713" s="2" t="inlineStr"/>
    </row>
    <row r="714" ht="15" customHeight="1">
      <c r="A714" t="inlineStr">
        <is>
          <t>A 60363-2024</t>
        </is>
      </c>
      <c r="B714" s="1" t="n">
        <v>45643</v>
      </c>
      <c r="C714" s="1" t="n">
        <v>45998</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51070-2024</t>
        </is>
      </c>
      <c r="B715" s="1" t="n">
        <v>45603</v>
      </c>
      <c r="C715" s="1" t="n">
        <v>45998</v>
      </c>
      <c r="D715" t="inlineStr">
        <is>
          <t>VÄSTERNORRLANDS LÄN</t>
        </is>
      </c>
      <c r="E715" t="inlineStr">
        <is>
          <t>ÅNGE</t>
        </is>
      </c>
      <c r="G715" t="n">
        <v>11.1</v>
      </c>
      <c r="H715" t="n">
        <v>0</v>
      </c>
      <c r="I715" t="n">
        <v>0</v>
      </c>
      <c r="J715" t="n">
        <v>0</v>
      </c>
      <c r="K715" t="n">
        <v>0</v>
      </c>
      <c r="L715" t="n">
        <v>0</v>
      </c>
      <c r="M715" t="n">
        <v>0</v>
      </c>
      <c r="N715" t="n">
        <v>0</v>
      </c>
      <c r="O715" t="n">
        <v>0</v>
      </c>
      <c r="P715" t="n">
        <v>0</v>
      </c>
      <c r="Q715" t="n">
        <v>0</v>
      </c>
      <c r="R715" s="2" t="inlineStr"/>
    </row>
    <row r="716" ht="15" customHeight="1">
      <c r="A716" t="inlineStr">
        <is>
          <t>A 60514-2024</t>
        </is>
      </c>
      <c r="B716" s="1" t="n">
        <v>45643.67474537037</v>
      </c>
      <c r="C716" s="1" t="n">
        <v>45998</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27951-2021</t>
        </is>
      </c>
      <c r="B717" s="1" t="n">
        <v>44354</v>
      </c>
      <c r="C717" s="1" t="n">
        <v>45998</v>
      </c>
      <c r="D717" t="inlineStr">
        <is>
          <t>VÄSTERNORRLANDS LÄN</t>
        </is>
      </c>
      <c r="E717" t="inlineStr">
        <is>
          <t>ÅNGE</t>
        </is>
      </c>
      <c r="G717" t="n">
        <v>3</v>
      </c>
      <c r="H717" t="n">
        <v>0</v>
      </c>
      <c r="I717" t="n">
        <v>0</v>
      </c>
      <c r="J717" t="n">
        <v>0</v>
      </c>
      <c r="K717" t="n">
        <v>0</v>
      </c>
      <c r="L717" t="n">
        <v>0</v>
      </c>
      <c r="M717" t="n">
        <v>0</v>
      </c>
      <c r="N717" t="n">
        <v>0</v>
      </c>
      <c r="O717" t="n">
        <v>0</v>
      </c>
      <c r="P717" t="n">
        <v>0</v>
      </c>
      <c r="Q717" t="n">
        <v>0</v>
      </c>
      <c r="R717" s="2" t="inlineStr"/>
    </row>
    <row r="718" ht="15" customHeight="1">
      <c r="A718" t="inlineStr">
        <is>
          <t>A 22990-2024</t>
        </is>
      </c>
      <c r="B718" s="1" t="n">
        <v>45449.94548611111</v>
      </c>
      <c r="C718" s="1" t="n">
        <v>45998</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52665-2024</t>
        </is>
      </c>
      <c r="B719" s="1" t="n">
        <v>45610.36549768518</v>
      </c>
      <c r="C719" s="1" t="n">
        <v>45998</v>
      </c>
      <c r="D719" t="inlineStr">
        <is>
          <t>VÄSTERNORRLANDS LÄN</t>
        </is>
      </c>
      <c r="E719" t="inlineStr">
        <is>
          <t>ÅNGE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39589-2022</t>
        </is>
      </c>
      <c r="B720" s="1" t="n">
        <v>44818</v>
      </c>
      <c r="C720" s="1" t="n">
        <v>45998</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26011-2024</t>
        </is>
      </c>
      <c r="B721" s="1" t="n">
        <v>45467.95828703704</v>
      </c>
      <c r="C721" s="1" t="n">
        <v>45998</v>
      </c>
      <c r="D721" t="inlineStr">
        <is>
          <t>VÄSTERNORRLANDS LÄN</t>
        </is>
      </c>
      <c r="E721" t="inlineStr">
        <is>
          <t>ÅNGE</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26014-2024</t>
        </is>
      </c>
      <c r="B722" s="1" t="n">
        <v>45467.95862268518</v>
      </c>
      <c r="C722" s="1" t="n">
        <v>45998</v>
      </c>
      <c r="D722" t="inlineStr">
        <is>
          <t>VÄSTERNORRLANDS LÄN</t>
        </is>
      </c>
      <c r="E722" t="inlineStr">
        <is>
          <t>ÅNGE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26019-2024</t>
        </is>
      </c>
      <c r="B723" s="1" t="n">
        <v>45467.96015046296</v>
      </c>
      <c r="C723" s="1" t="n">
        <v>45998</v>
      </c>
      <c r="D723" t="inlineStr">
        <is>
          <t>VÄSTERNORRLANDS LÄN</t>
        </is>
      </c>
      <c r="E723" t="inlineStr">
        <is>
          <t>ÅNGE</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25320-2023</t>
        </is>
      </c>
      <c r="B724" s="1" t="n">
        <v>45086.93929398148</v>
      </c>
      <c r="C724" s="1" t="n">
        <v>45998</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24541-2023</t>
        </is>
      </c>
      <c r="B725" s="1" t="n">
        <v>45082.94135416667</v>
      </c>
      <c r="C725" s="1" t="n">
        <v>45998</v>
      </c>
      <c r="D725" t="inlineStr">
        <is>
          <t>VÄSTERNORRLANDS LÄN</t>
        </is>
      </c>
      <c r="E725" t="inlineStr">
        <is>
          <t>ÅNGE</t>
        </is>
      </c>
      <c r="F725" t="inlineStr">
        <is>
          <t>SCA</t>
        </is>
      </c>
      <c r="G725" t="n">
        <v>6.8</v>
      </c>
      <c r="H725" t="n">
        <v>0</v>
      </c>
      <c r="I725" t="n">
        <v>0</v>
      </c>
      <c r="J725" t="n">
        <v>0</v>
      </c>
      <c r="K725" t="n">
        <v>0</v>
      </c>
      <c r="L725" t="n">
        <v>0</v>
      </c>
      <c r="M725" t="n">
        <v>0</v>
      </c>
      <c r="N725" t="n">
        <v>0</v>
      </c>
      <c r="O725" t="n">
        <v>0</v>
      </c>
      <c r="P725" t="n">
        <v>0</v>
      </c>
      <c r="Q725" t="n">
        <v>0</v>
      </c>
      <c r="R725" s="2" t="inlineStr"/>
    </row>
    <row r="726" ht="15" customHeight="1">
      <c r="A726" t="inlineStr">
        <is>
          <t>A 15778-2025</t>
        </is>
      </c>
      <c r="B726" s="1" t="n">
        <v>45748.60030092593</v>
      </c>
      <c r="C726" s="1" t="n">
        <v>45998</v>
      </c>
      <c r="D726" t="inlineStr">
        <is>
          <t>VÄSTERNORRLANDS LÄN</t>
        </is>
      </c>
      <c r="E726" t="inlineStr">
        <is>
          <t>ÅNGE</t>
        </is>
      </c>
      <c r="F726" t="inlineStr">
        <is>
          <t>SCA</t>
        </is>
      </c>
      <c r="G726" t="n">
        <v>13.6</v>
      </c>
      <c r="H726" t="n">
        <v>0</v>
      </c>
      <c r="I726" t="n">
        <v>0</v>
      </c>
      <c r="J726" t="n">
        <v>0</v>
      </c>
      <c r="K726" t="n">
        <v>0</v>
      </c>
      <c r="L726" t="n">
        <v>0</v>
      </c>
      <c r="M726" t="n">
        <v>0</v>
      </c>
      <c r="N726" t="n">
        <v>0</v>
      </c>
      <c r="O726" t="n">
        <v>0</v>
      </c>
      <c r="P726" t="n">
        <v>0</v>
      </c>
      <c r="Q726" t="n">
        <v>0</v>
      </c>
      <c r="R726" s="2" t="inlineStr"/>
    </row>
    <row r="727" ht="15" customHeight="1">
      <c r="A727" t="inlineStr">
        <is>
          <t>A 41831-2021</t>
        </is>
      </c>
      <c r="B727" s="1" t="n">
        <v>44425.92212962963</v>
      </c>
      <c r="C727" s="1" t="n">
        <v>45998</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17718-2025</t>
        </is>
      </c>
      <c r="B728" s="1" t="n">
        <v>45758.44815972223</v>
      </c>
      <c r="C728" s="1" t="n">
        <v>45998</v>
      </c>
      <c r="D728" t="inlineStr">
        <is>
          <t>VÄSTERNORRLANDS LÄN</t>
        </is>
      </c>
      <c r="E728" t="inlineStr">
        <is>
          <t>ÅNGE</t>
        </is>
      </c>
      <c r="G728" t="n">
        <v>5.1</v>
      </c>
      <c r="H728" t="n">
        <v>0</v>
      </c>
      <c r="I728" t="n">
        <v>0</v>
      </c>
      <c r="J728" t="n">
        <v>0</v>
      </c>
      <c r="K728" t="n">
        <v>0</v>
      </c>
      <c r="L728" t="n">
        <v>0</v>
      </c>
      <c r="M728" t="n">
        <v>0</v>
      </c>
      <c r="N728" t="n">
        <v>0</v>
      </c>
      <c r="O728" t="n">
        <v>0</v>
      </c>
      <c r="P728" t="n">
        <v>0</v>
      </c>
      <c r="Q728" t="n">
        <v>0</v>
      </c>
      <c r="R728" s="2" t="inlineStr"/>
    </row>
    <row r="729" ht="15" customHeight="1">
      <c r="A729" t="inlineStr">
        <is>
          <t>A 18542-2022</t>
        </is>
      </c>
      <c r="B729" s="1" t="n">
        <v>44686</v>
      </c>
      <c r="C729" s="1" t="n">
        <v>45998</v>
      </c>
      <c r="D729" t="inlineStr">
        <is>
          <t>VÄSTERNORRLANDS LÄN</t>
        </is>
      </c>
      <c r="E729" t="inlineStr">
        <is>
          <t>ÅNGE</t>
        </is>
      </c>
      <c r="G729" t="n">
        <v>0.2</v>
      </c>
      <c r="H729" t="n">
        <v>0</v>
      </c>
      <c r="I729" t="n">
        <v>0</v>
      </c>
      <c r="J729" t="n">
        <v>0</v>
      </c>
      <c r="K729" t="n">
        <v>0</v>
      </c>
      <c r="L729" t="n">
        <v>0</v>
      </c>
      <c r="M729" t="n">
        <v>0</v>
      </c>
      <c r="N729" t="n">
        <v>0</v>
      </c>
      <c r="O729" t="n">
        <v>0</v>
      </c>
      <c r="P729" t="n">
        <v>0</v>
      </c>
      <c r="Q729" t="n">
        <v>0</v>
      </c>
      <c r="R729" s="2" t="inlineStr"/>
    </row>
    <row r="730" ht="15" customHeight="1">
      <c r="A730" t="inlineStr">
        <is>
          <t>A 57815-2024</t>
        </is>
      </c>
      <c r="B730" s="1" t="n">
        <v>45631.37068287037</v>
      </c>
      <c r="C730" s="1" t="n">
        <v>45998</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44600-2024</t>
        </is>
      </c>
      <c r="B731" s="1" t="n">
        <v>45574.51113425926</v>
      </c>
      <c r="C731" s="1" t="n">
        <v>45998</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26013-2024</t>
        </is>
      </c>
      <c r="B732" s="1" t="n">
        <v>45467</v>
      </c>
      <c r="C732" s="1" t="n">
        <v>45998</v>
      </c>
      <c r="D732" t="inlineStr">
        <is>
          <t>VÄSTERNORRLANDS LÄN</t>
        </is>
      </c>
      <c r="E732" t="inlineStr">
        <is>
          <t>ÅNGE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25377-2024</t>
        </is>
      </c>
      <c r="B733" s="1" t="n">
        <v>45462.96211805556</v>
      </c>
      <c r="C733" s="1" t="n">
        <v>45998</v>
      </c>
      <c r="D733" t="inlineStr">
        <is>
          <t>VÄSTERNORRLANDS LÄN</t>
        </is>
      </c>
      <c r="E733" t="inlineStr">
        <is>
          <t>ÅNGE</t>
        </is>
      </c>
      <c r="F733" t="inlineStr">
        <is>
          <t>SCA</t>
        </is>
      </c>
      <c r="G733" t="n">
        <v>20.7</v>
      </c>
      <c r="H733" t="n">
        <v>0</v>
      </c>
      <c r="I733" t="n">
        <v>0</v>
      </c>
      <c r="J733" t="n">
        <v>0</v>
      </c>
      <c r="K733" t="n">
        <v>0</v>
      </c>
      <c r="L733" t="n">
        <v>0</v>
      </c>
      <c r="M733" t="n">
        <v>0</v>
      </c>
      <c r="N733" t="n">
        <v>0</v>
      </c>
      <c r="O733" t="n">
        <v>0</v>
      </c>
      <c r="P733" t="n">
        <v>0</v>
      </c>
      <c r="Q733" t="n">
        <v>0</v>
      </c>
      <c r="R733" s="2" t="inlineStr"/>
    </row>
    <row r="734" ht="15" customHeight="1">
      <c r="A734" t="inlineStr">
        <is>
          <t>A 6691-2024</t>
        </is>
      </c>
      <c r="B734" s="1" t="n">
        <v>45341</v>
      </c>
      <c r="C734" s="1" t="n">
        <v>45998</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38246-2024</t>
        </is>
      </c>
      <c r="B735" s="1" t="n">
        <v>45545.57327546296</v>
      </c>
      <c r="C735" s="1" t="n">
        <v>45998</v>
      </c>
      <c r="D735" t="inlineStr">
        <is>
          <t>VÄSTERNORRLANDS LÄN</t>
        </is>
      </c>
      <c r="E735" t="inlineStr">
        <is>
          <t>ÅNGE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56956-2022</t>
        </is>
      </c>
      <c r="B736" s="1" t="n">
        <v>44894</v>
      </c>
      <c r="C736" s="1" t="n">
        <v>45998</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12123-2024</t>
        </is>
      </c>
      <c r="B737" s="1" t="n">
        <v>45377</v>
      </c>
      <c r="C737" s="1" t="n">
        <v>45998</v>
      </c>
      <c r="D737" t="inlineStr">
        <is>
          <t>VÄSTERNORRLANDS LÄN</t>
        </is>
      </c>
      <c r="E737" t="inlineStr">
        <is>
          <t>ÅNGE</t>
        </is>
      </c>
      <c r="G737" t="n">
        <v>2.2</v>
      </c>
      <c r="H737" t="n">
        <v>0</v>
      </c>
      <c r="I737" t="n">
        <v>0</v>
      </c>
      <c r="J737" t="n">
        <v>0</v>
      </c>
      <c r="K737" t="n">
        <v>0</v>
      </c>
      <c r="L737" t="n">
        <v>0</v>
      </c>
      <c r="M737" t="n">
        <v>0</v>
      </c>
      <c r="N737" t="n">
        <v>0</v>
      </c>
      <c r="O737" t="n">
        <v>0</v>
      </c>
      <c r="P737" t="n">
        <v>0</v>
      </c>
      <c r="Q737" t="n">
        <v>0</v>
      </c>
      <c r="R737" s="2" t="inlineStr"/>
    </row>
    <row r="738" ht="15" customHeight="1">
      <c r="A738" t="inlineStr">
        <is>
          <t>A 26943-2024</t>
        </is>
      </c>
      <c r="B738" s="1" t="n">
        <v>45470</v>
      </c>
      <c r="C738" s="1" t="n">
        <v>45998</v>
      </c>
      <c r="D738" t="inlineStr">
        <is>
          <t>VÄSTERNORRLANDS LÄN</t>
        </is>
      </c>
      <c r="E738" t="inlineStr">
        <is>
          <t>ÅNGE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53512-2023</t>
        </is>
      </c>
      <c r="B739" s="1" t="n">
        <v>45230</v>
      </c>
      <c r="C739" s="1" t="n">
        <v>45998</v>
      </c>
      <c r="D739" t="inlineStr">
        <is>
          <t>VÄSTERNORRLANDS LÄN</t>
        </is>
      </c>
      <c r="E739" t="inlineStr">
        <is>
          <t>ÅNGE</t>
        </is>
      </c>
      <c r="F739" t="inlineStr">
        <is>
          <t>Holmen skog AB</t>
        </is>
      </c>
      <c r="G739" t="n">
        <v>3</v>
      </c>
      <c r="H739" t="n">
        <v>0</v>
      </c>
      <c r="I739" t="n">
        <v>0</v>
      </c>
      <c r="J739" t="n">
        <v>0</v>
      </c>
      <c r="K739" t="n">
        <v>0</v>
      </c>
      <c r="L739" t="n">
        <v>0</v>
      </c>
      <c r="M739" t="n">
        <v>0</v>
      </c>
      <c r="N739" t="n">
        <v>0</v>
      </c>
      <c r="O739" t="n">
        <v>0</v>
      </c>
      <c r="P739" t="n">
        <v>0</v>
      </c>
      <c r="Q739" t="n">
        <v>0</v>
      </c>
      <c r="R739" s="2" t="inlineStr"/>
    </row>
    <row r="740" ht="15" customHeight="1">
      <c r="A740" t="inlineStr">
        <is>
          <t>A 12806-2025</t>
        </is>
      </c>
      <c r="B740" s="1" t="n">
        <v>45733.61518518518</v>
      </c>
      <c r="C740" s="1" t="n">
        <v>45998</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20024-2023</t>
        </is>
      </c>
      <c r="B741" s="1" t="n">
        <v>45051</v>
      </c>
      <c r="C741" s="1" t="n">
        <v>45998</v>
      </c>
      <c r="D741" t="inlineStr">
        <is>
          <t>VÄSTERNORRLANDS LÄN</t>
        </is>
      </c>
      <c r="E741" t="inlineStr">
        <is>
          <t>ÅNGE</t>
        </is>
      </c>
      <c r="G741" t="n">
        <v>0.8</v>
      </c>
      <c r="H741" t="n">
        <v>0</v>
      </c>
      <c r="I741" t="n">
        <v>0</v>
      </c>
      <c r="J741" t="n">
        <v>0</v>
      </c>
      <c r="K741" t="n">
        <v>0</v>
      </c>
      <c r="L741" t="n">
        <v>0</v>
      </c>
      <c r="M741" t="n">
        <v>0</v>
      </c>
      <c r="N741" t="n">
        <v>0</v>
      </c>
      <c r="O741" t="n">
        <v>0</v>
      </c>
      <c r="P741" t="n">
        <v>0</v>
      </c>
      <c r="Q741" t="n">
        <v>0</v>
      </c>
      <c r="R741" s="2" t="inlineStr"/>
    </row>
    <row r="742" ht="15" customHeight="1">
      <c r="A742" t="inlineStr">
        <is>
          <t>A 13164-2022</t>
        </is>
      </c>
      <c r="B742" s="1" t="n">
        <v>44644</v>
      </c>
      <c r="C742" s="1" t="n">
        <v>45998</v>
      </c>
      <c r="D742" t="inlineStr">
        <is>
          <t>VÄSTERNORRLANDS LÄN</t>
        </is>
      </c>
      <c r="E742" t="inlineStr">
        <is>
          <t>ÅNGE</t>
        </is>
      </c>
      <c r="G742" t="n">
        <v>1.8</v>
      </c>
      <c r="H742" t="n">
        <v>0</v>
      </c>
      <c r="I742" t="n">
        <v>0</v>
      </c>
      <c r="J742" t="n">
        <v>0</v>
      </c>
      <c r="K742" t="n">
        <v>0</v>
      </c>
      <c r="L742" t="n">
        <v>0</v>
      </c>
      <c r="M742" t="n">
        <v>0</v>
      </c>
      <c r="N742" t="n">
        <v>0</v>
      </c>
      <c r="O742" t="n">
        <v>0</v>
      </c>
      <c r="P742" t="n">
        <v>0</v>
      </c>
      <c r="Q742" t="n">
        <v>0</v>
      </c>
      <c r="R742" s="2" t="inlineStr"/>
    </row>
    <row r="743" ht="15" customHeight="1">
      <c r="A743" t="inlineStr">
        <is>
          <t>A 5456-2024</t>
        </is>
      </c>
      <c r="B743" s="1" t="n">
        <v>45331</v>
      </c>
      <c r="C743" s="1" t="n">
        <v>45998</v>
      </c>
      <c r="D743" t="inlineStr">
        <is>
          <t>VÄSTERNORRLANDS LÄN</t>
        </is>
      </c>
      <c r="E743" t="inlineStr">
        <is>
          <t>ÅNGE</t>
        </is>
      </c>
      <c r="G743" t="n">
        <v>13</v>
      </c>
      <c r="H743" t="n">
        <v>0</v>
      </c>
      <c r="I743" t="n">
        <v>0</v>
      </c>
      <c r="J743" t="n">
        <v>0</v>
      </c>
      <c r="K743" t="n">
        <v>0</v>
      </c>
      <c r="L743" t="n">
        <v>0</v>
      </c>
      <c r="M743" t="n">
        <v>0</v>
      </c>
      <c r="N743" t="n">
        <v>0</v>
      </c>
      <c r="O743" t="n">
        <v>0</v>
      </c>
      <c r="P743" t="n">
        <v>0</v>
      </c>
      <c r="Q743" t="n">
        <v>0</v>
      </c>
      <c r="R743" s="2" t="inlineStr"/>
    </row>
    <row r="744" ht="15" customHeight="1">
      <c r="A744" t="inlineStr">
        <is>
          <t>A 4883-2023</t>
        </is>
      </c>
      <c r="B744" s="1" t="n">
        <v>44957</v>
      </c>
      <c r="C744" s="1" t="n">
        <v>45998</v>
      </c>
      <c r="D744" t="inlineStr">
        <is>
          <t>VÄSTERNORRLANDS LÄN</t>
        </is>
      </c>
      <c r="E744" t="inlineStr">
        <is>
          <t>ÅNGE</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20776-2025</t>
        </is>
      </c>
      <c r="B745" s="1" t="n">
        <v>45776.59410879629</v>
      </c>
      <c r="C745" s="1" t="n">
        <v>45998</v>
      </c>
      <c r="D745" t="inlineStr">
        <is>
          <t>VÄSTERNORRLANDS LÄN</t>
        </is>
      </c>
      <c r="E745" t="inlineStr">
        <is>
          <t>ÅNGE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30474-2024</t>
        </is>
      </c>
      <c r="B746" s="1" t="n">
        <v>45491</v>
      </c>
      <c r="C746" s="1" t="n">
        <v>45998</v>
      </c>
      <c r="D746" t="inlineStr">
        <is>
          <t>VÄSTERNORRLANDS LÄN</t>
        </is>
      </c>
      <c r="E746" t="inlineStr">
        <is>
          <t>ÅNGE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30475-2024</t>
        </is>
      </c>
      <c r="B747" s="1" t="n">
        <v>45491</v>
      </c>
      <c r="C747" s="1" t="n">
        <v>45998</v>
      </c>
      <c r="D747" t="inlineStr">
        <is>
          <t>VÄSTERNORRLANDS LÄN</t>
        </is>
      </c>
      <c r="E747" t="inlineStr">
        <is>
          <t>ÅNGE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8755-2022</t>
        </is>
      </c>
      <c r="B748" s="1" t="n">
        <v>44614</v>
      </c>
      <c r="C748" s="1" t="n">
        <v>45998</v>
      </c>
      <c r="D748" t="inlineStr">
        <is>
          <t>VÄSTERNORRLANDS LÄN</t>
        </is>
      </c>
      <c r="E748" t="inlineStr">
        <is>
          <t>ÅNGE</t>
        </is>
      </c>
      <c r="G748" t="n">
        <v>2</v>
      </c>
      <c r="H748" t="n">
        <v>0</v>
      </c>
      <c r="I748" t="n">
        <v>0</v>
      </c>
      <c r="J748" t="n">
        <v>0</v>
      </c>
      <c r="K748" t="n">
        <v>0</v>
      </c>
      <c r="L748" t="n">
        <v>0</v>
      </c>
      <c r="M748" t="n">
        <v>0</v>
      </c>
      <c r="N748" t="n">
        <v>0</v>
      </c>
      <c r="O748" t="n">
        <v>0</v>
      </c>
      <c r="P748" t="n">
        <v>0</v>
      </c>
      <c r="Q748" t="n">
        <v>0</v>
      </c>
      <c r="R748" s="2" t="inlineStr"/>
    </row>
    <row r="749" ht="15" customHeight="1">
      <c r="A749" t="inlineStr">
        <is>
          <t>A 14889-2022</t>
        </is>
      </c>
      <c r="B749" s="1" t="n">
        <v>44656</v>
      </c>
      <c r="C749" s="1" t="n">
        <v>45998</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20718-2025</t>
        </is>
      </c>
      <c r="B750" s="1" t="n">
        <v>45776.49047453704</v>
      </c>
      <c r="C750" s="1" t="n">
        <v>45998</v>
      </c>
      <c r="D750" t="inlineStr">
        <is>
          <t>VÄSTERNORRLANDS LÄN</t>
        </is>
      </c>
      <c r="E750" t="inlineStr">
        <is>
          <t>ÅNGE</t>
        </is>
      </c>
      <c r="G750" t="n">
        <v>4.7</v>
      </c>
      <c r="H750" t="n">
        <v>0</v>
      </c>
      <c r="I750" t="n">
        <v>0</v>
      </c>
      <c r="J750" t="n">
        <v>0</v>
      </c>
      <c r="K750" t="n">
        <v>0</v>
      </c>
      <c r="L750" t="n">
        <v>0</v>
      </c>
      <c r="M750" t="n">
        <v>0</v>
      </c>
      <c r="N750" t="n">
        <v>0</v>
      </c>
      <c r="O750" t="n">
        <v>0</v>
      </c>
      <c r="P750" t="n">
        <v>0</v>
      </c>
      <c r="Q750" t="n">
        <v>0</v>
      </c>
      <c r="R750" s="2" t="inlineStr"/>
    </row>
    <row r="751" ht="15" customHeight="1">
      <c r="A751" t="inlineStr">
        <is>
          <t>A 30747-2024</t>
        </is>
      </c>
      <c r="B751" s="1" t="n">
        <v>45496</v>
      </c>
      <c r="C751" s="1" t="n">
        <v>45998</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20864-2025</t>
        </is>
      </c>
      <c r="B752" s="1" t="n">
        <v>45777.34417824074</v>
      </c>
      <c r="C752" s="1" t="n">
        <v>45998</v>
      </c>
      <c r="D752" t="inlineStr">
        <is>
          <t>VÄSTERNORRLANDS LÄN</t>
        </is>
      </c>
      <c r="E752" t="inlineStr">
        <is>
          <t>ÅNGE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71965-2021</t>
        </is>
      </c>
      <c r="B753" s="1" t="n">
        <v>44544.32483796297</v>
      </c>
      <c r="C753" s="1" t="n">
        <v>45998</v>
      </c>
      <c r="D753" t="inlineStr">
        <is>
          <t>VÄSTERNORRLANDS LÄN</t>
        </is>
      </c>
      <c r="E753" t="inlineStr">
        <is>
          <t>ÅNGE</t>
        </is>
      </c>
      <c r="G753" t="n">
        <v>0.8</v>
      </c>
      <c r="H753" t="n">
        <v>0</v>
      </c>
      <c r="I753" t="n">
        <v>0</v>
      </c>
      <c r="J753" t="n">
        <v>0</v>
      </c>
      <c r="K753" t="n">
        <v>0</v>
      </c>
      <c r="L753" t="n">
        <v>0</v>
      </c>
      <c r="M753" t="n">
        <v>0</v>
      </c>
      <c r="N753" t="n">
        <v>0</v>
      </c>
      <c r="O753" t="n">
        <v>0</v>
      </c>
      <c r="P753" t="n">
        <v>0</v>
      </c>
      <c r="Q753" t="n">
        <v>0</v>
      </c>
      <c r="R753" s="2" t="inlineStr"/>
    </row>
    <row r="754" ht="15" customHeight="1">
      <c r="A754" t="inlineStr">
        <is>
          <t>A 56574-2024</t>
        </is>
      </c>
      <c r="B754" s="1" t="n">
        <v>45625.59616898148</v>
      </c>
      <c r="C754" s="1" t="n">
        <v>45998</v>
      </c>
      <c r="D754" t="inlineStr">
        <is>
          <t>VÄSTERNORRLANDS LÄN</t>
        </is>
      </c>
      <c r="E754" t="inlineStr">
        <is>
          <t>ÅNGE</t>
        </is>
      </c>
      <c r="G754" t="n">
        <v>0.9</v>
      </c>
      <c r="H754" t="n">
        <v>0</v>
      </c>
      <c r="I754" t="n">
        <v>0</v>
      </c>
      <c r="J754" t="n">
        <v>0</v>
      </c>
      <c r="K754" t="n">
        <v>0</v>
      </c>
      <c r="L754" t="n">
        <v>0</v>
      </c>
      <c r="M754" t="n">
        <v>0</v>
      </c>
      <c r="N754" t="n">
        <v>0</v>
      </c>
      <c r="O754" t="n">
        <v>0</v>
      </c>
      <c r="P754" t="n">
        <v>0</v>
      </c>
      <c r="Q754" t="n">
        <v>0</v>
      </c>
      <c r="R754" s="2" t="inlineStr"/>
    </row>
    <row r="755" ht="15" customHeight="1">
      <c r="A755" t="inlineStr">
        <is>
          <t>A 58087-2024</t>
        </is>
      </c>
      <c r="B755" s="1" t="n">
        <v>45632.34502314815</v>
      </c>
      <c r="C755" s="1" t="n">
        <v>45998</v>
      </c>
      <c r="D755" t="inlineStr">
        <is>
          <t>VÄSTERNORRLANDS LÄN</t>
        </is>
      </c>
      <c r="E755" t="inlineStr">
        <is>
          <t>ÅNGE</t>
        </is>
      </c>
      <c r="G755" t="n">
        <v>2.6</v>
      </c>
      <c r="H755" t="n">
        <v>0</v>
      </c>
      <c r="I755" t="n">
        <v>0</v>
      </c>
      <c r="J755" t="n">
        <v>0</v>
      </c>
      <c r="K755" t="n">
        <v>0</v>
      </c>
      <c r="L755" t="n">
        <v>0</v>
      </c>
      <c r="M755" t="n">
        <v>0</v>
      </c>
      <c r="N755" t="n">
        <v>0</v>
      </c>
      <c r="O755" t="n">
        <v>0</v>
      </c>
      <c r="P755" t="n">
        <v>0</v>
      </c>
      <c r="Q755" t="n">
        <v>0</v>
      </c>
      <c r="R755" s="2" t="inlineStr"/>
    </row>
    <row r="756" ht="15" customHeight="1">
      <c r="A756" t="inlineStr">
        <is>
          <t>A 60817-2024</t>
        </is>
      </c>
      <c r="B756" s="1" t="n">
        <v>45644</v>
      </c>
      <c r="C756" s="1" t="n">
        <v>45998</v>
      </c>
      <c r="D756" t="inlineStr">
        <is>
          <t>VÄSTERNORRLANDS LÄN</t>
        </is>
      </c>
      <c r="E756" t="inlineStr">
        <is>
          <t>ÅNGE</t>
        </is>
      </c>
      <c r="G756" t="n">
        <v>3.2</v>
      </c>
      <c r="H756" t="n">
        <v>0</v>
      </c>
      <c r="I756" t="n">
        <v>0</v>
      </c>
      <c r="J756" t="n">
        <v>0</v>
      </c>
      <c r="K756" t="n">
        <v>0</v>
      </c>
      <c r="L756" t="n">
        <v>0</v>
      </c>
      <c r="M756" t="n">
        <v>0</v>
      </c>
      <c r="N756" t="n">
        <v>0</v>
      </c>
      <c r="O756" t="n">
        <v>0</v>
      </c>
      <c r="P756" t="n">
        <v>0</v>
      </c>
      <c r="Q756" t="n">
        <v>0</v>
      </c>
      <c r="R756" s="2" t="inlineStr"/>
    </row>
    <row r="757" ht="15" customHeight="1">
      <c r="A757" t="inlineStr">
        <is>
          <t>A 58929-2024</t>
        </is>
      </c>
      <c r="B757" s="1" t="n">
        <v>45636.51090277778</v>
      </c>
      <c r="C757" s="1" t="n">
        <v>45998</v>
      </c>
      <c r="D757" t="inlineStr">
        <is>
          <t>VÄSTERNORRLANDS LÄN</t>
        </is>
      </c>
      <c r="E757" t="inlineStr">
        <is>
          <t>ÅNGE</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23225-2024</t>
        </is>
      </c>
      <c r="B758" s="1" t="n">
        <v>45452.9490162037</v>
      </c>
      <c r="C758" s="1" t="n">
        <v>45998</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50231-2024</t>
        </is>
      </c>
      <c r="B759" s="1" t="n">
        <v>45600.55251157407</v>
      </c>
      <c r="C759" s="1" t="n">
        <v>45998</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21068-2025</t>
        </is>
      </c>
      <c r="B760" s="1" t="n">
        <v>45777.59413194445</v>
      </c>
      <c r="C760" s="1" t="n">
        <v>45998</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20868-2025</t>
        </is>
      </c>
      <c r="B761" s="1" t="n">
        <v>45777.34483796296</v>
      </c>
      <c r="C761" s="1" t="n">
        <v>45998</v>
      </c>
      <c r="D761" t="inlineStr">
        <is>
          <t>VÄSTERNORRLANDS LÄN</t>
        </is>
      </c>
      <c r="E761" t="inlineStr">
        <is>
          <t>ÅNGE</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46254-2023</t>
        </is>
      </c>
      <c r="B762" s="1" t="n">
        <v>45196</v>
      </c>
      <c r="C762" s="1" t="n">
        <v>45998</v>
      </c>
      <c r="D762" t="inlineStr">
        <is>
          <t>VÄSTERNORRLANDS LÄN</t>
        </is>
      </c>
      <c r="E762" t="inlineStr">
        <is>
          <t>ÅNGE</t>
        </is>
      </c>
      <c r="F762" t="inlineStr">
        <is>
          <t>SCA</t>
        </is>
      </c>
      <c r="G762" t="n">
        <v>0.1</v>
      </c>
      <c r="H762" t="n">
        <v>0</v>
      </c>
      <c r="I762" t="n">
        <v>0</v>
      </c>
      <c r="J762" t="n">
        <v>0</v>
      </c>
      <c r="K762" t="n">
        <v>0</v>
      </c>
      <c r="L762" t="n">
        <v>0</v>
      </c>
      <c r="M762" t="n">
        <v>0</v>
      </c>
      <c r="N762" t="n">
        <v>0</v>
      </c>
      <c r="O762" t="n">
        <v>0</v>
      </c>
      <c r="P762" t="n">
        <v>0</v>
      </c>
      <c r="Q762" t="n">
        <v>0</v>
      </c>
      <c r="R762" s="2" t="inlineStr"/>
    </row>
    <row r="763" ht="15" customHeight="1">
      <c r="A763" t="inlineStr">
        <is>
          <t>A 46262-2023</t>
        </is>
      </c>
      <c r="B763" s="1" t="n">
        <v>45196.93855324074</v>
      </c>
      <c r="C763" s="1" t="n">
        <v>45998</v>
      </c>
      <c r="D763" t="inlineStr">
        <is>
          <t>VÄSTERNORRLANDS LÄN</t>
        </is>
      </c>
      <c r="E763" t="inlineStr">
        <is>
          <t>ÅNGE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21176-2025</t>
        </is>
      </c>
      <c r="B764" s="1" t="n">
        <v>45779.42798611111</v>
      </c>
      <c r="C764" s="1" t="n">
        <v>45998</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45027-2023</t>
        </is>
      </c>
      <c r="B765" s="1" t="n">
        <v>45190.96303240741</v>
      </c>
      <c r="C765" s="1" t="n">
        <v>45998</v>
      </c>
      <c r="D765" t="inlineStr">
        <is>
          <t>VÄSTERNORRLANDS LÄN</t>
        </is>
      </c>
      <c r="E765" t="inlineStr">
        <is>
          <t>ÅNGE</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21409-2022</t>
        </is>
      </c>
      <c r="B766" s="1" t="n">
        <v>44705.9406712963</v>
      </c>
      <c r="C766" s="1" t="n">
        <v>45998</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55380-2024</t>
        </is>
      </c>
      <c r="B767" s="1" t="n">
        <v>45622.28810185185</v>
      </c>
      <c r="C767" s="1" t="n">
        <v>45998</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33305-2024</t>
        </is>
      </c>
      <c r="B768" s="1" t="n">
        <v>45518</v>
      </c>
      <c r="C768" s="1" t="n">
        <v>45998</v>
      </c>
      <c r="D768" t="inlineStr">
        <is>
          <t>VÄSTERNORRLANDS LÄN</t>
        </is>
      </c>
      <c r="E768" t="inlineStr">
        <is>
          <t>ÅNGE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33306-2024</t>
        </is>
      </c>
      <c r="B769" s="1" t="n">
        <v>45518</v>
      </c>
      <c r="C769" s="1" t="n">
        <v>45998</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22678-2024</t>
        </is>
      </c>
      <c r="B770" s="1" t="n">
        <v>45447.94533564815</v>
      </c>
      <c r="C770" s="1" t="n">
        <v>45998</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10084-2023</t>
        </is>
      </c>
      <c r="B771" s="1" t="n">
        <v>44985.94465277778</v>
      </c>
      <c r="C771" s="1" t="n">
        <v>45998</v>
      </c>
      <c r="D771" t="inlineStr">
        <is>
          <t>VÄSTERNORRLANDS LÄN</t>
        </is>
      </c>
      <c r="E771" t="inlineStr">
        <is>
          <t>ÅNGE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7535-2023</t>
        </is>
      </c>
      <c r="B772" s="1" t="n">
        <v>44971</v>
      </c>
      <c r="C772" s="1" t="n">
        <v>45998</v>
      </c>
      <c r="D772" t="inlineStr">
        <is>
          <t>VÄSTERNORRLANDS LÄN</t>
        </is>
      </c>
      <c r="E772" t="inlineStr">
        <is>
          <t>ÅNGE</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39991-2023</t>
        </is>
      </c>
      <c r="B773" s="1" t="n">
        <v>45168.6043287037</v>
      </c>
      <c r="C773" s="1" t="n">
        <v>45998</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15167-2025</t>
        </is>
      </c>
      <c r="B774" s="1" t="n">
        <v>45744.49009259259</v>
      </c>
      <c r="C774" s="1" t="n">
        <v>45998</v>
      </c>
      <c r="D774" t="inlineStr">
        <is>
          <t>VÄSTERNORRLANDS LÄN</t>
        </is>
      </c>
      <c r="E774" t="inlineStr">
        <is>
          <t>ÅNGE</t>
        </is>
      </c>
      <c r="F774" t="inlineStr">
        <is>
          <t>SCA</t>
        </is>
      </c>
      <c r="G774" t="n">
        <v>6.4</v>
      </c>
      <c r="H774" t="n">
        <v>0</v>
      </c>
      <c r="I774" t="n">
        <v>0</v>
      </c>
      <c r="J774" t="n">
        <v>0</v>
      </c>
      <c r="K774" t="n">
        <v>0</v>
      </c>
      <c r="L774" t="n">
        <v>0</v>
      </c>
      <c r="M774" t="n">
        <v>0</v>
      </c>
      <c r="N774" t="n">
        <v>0</v>
      </c>
      <c r="O774" t="n">
        <v>0</v>
      </c>
      <c r="P774" t="n">
        <v>0</v>
      </c>
      <c r="Q774" t="n">
        <v>0</v>
      </c>
      <c r="R774" s="2" t="inlineStr"/>
    </row>
    <row r="775" ht="15" customHeight="1">
      <c r="A775" t="inlineStr">
        <is>
          <t>A 21197-2025</t>
        </is>
      </c>
      <c r="B775" s="1" t="n">
        <v>45779.46949074074</v>
      </c>
      <c r="C775" s="1" t="n">
        <v>45998</v>
      </c>
      <c r="D775" t="inlineStr">
        <is>
          <t>VÄSTERNORRLANDS LÄN</t>
        </is>
      </c>
      <c r="E775" t="inlineStr">
        <is>
          <t>ÅNGE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30556-2023</t>
        </is>
      </c>
      <c r="B776" s="1" t="n">
        <v>45111.87935185185</v>
      </c>
      <c r="C776" s="1" t="n">
        <v>45998</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37038-2024</t>
        </is>
      </c>
      <c r="B777" s="1" t="n">
        <v>45539.40881944444</v>
      </c>
      <c r="C777" s="1" t="n">
        <v>45998</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21563-2025</t>
        </is>
      </c>
      <c r="B778" s="1" t="n">
        <v>45782.69822916666</v>
      </c>
      <c r="C778" s="1" t="n">
        <v>45998</v>
      </c>
      <c r="D778" t="inlineStr">
        <is>
          <t>VÄSTERNORRLANDS LÄN</t>
        </is>
      </c>
      <c r="E778" t="inlineStr">
        <is>
          <t>ÅNGE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45030-2024</t>
        </is>
      </c>
      <c r="B779" s="1" t="n">
        <v>45575.52089120371</v>
      </c>
      <c r="C779" s="1" t="n">
        <v>45998</v>
      </c>
      <c r="D779" t="inlineStr">
        <is>
          <t>VÄSTERNORRLANDS LÄN</t>
        </is>
      </c>
      <c r="E779" t="inlineStr">
        <is>
          <t>ÅNGE</t>
        </is>
      </c>
      <c r="G779" t="n">
        <v>1.7</v>
      </c>
      <c r="H779" t="n">
        <v>0</v>
      </c>
      <c r="I779" t="n">
        <v>0</v>
      </c>
      <c r="J779" t="n">
        <v>0</v>
      </c>
      <c r="K779" t="n">
        <v>0</v>
      </c>
      <c r="L779" t="n">
        <v>0</v>
      </c>
      <c r="M779" t="n">
        <v>0</v>
      </c>
      <c r="N779" t="n">
        <v>0</v>
      </c>
      <c r="O779" t="n">
        <v>0</v>
      </c>
      <c r="P779" t="n">
        <v>0</v>
      </c>
      <c r="Q779" t="n">
        <v>0</v>
      </c>
      <c r="R779" s="2" t="inlineStr"/>
    </row>
    <row r="780" ht="15" customHeight="1">
      <c r="A780" t="inlineStr">
        <is>
          <t>A 59600-2024</t>
        </is>
      </c>
      <c r="B780" s="1" t="n">
        <v>45638.71763888889</v>
      </c>
      <c r="C780" s="1" t="n">
        <v>45998</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21263-2025</t>
        </is>
      </c>
      <c r="B781" s="1" t="n">
        <v>45779.61233796296</v>
      </c>
      <c r="C781" s="1" t="n">
        <v>45998</v>
      </c>
      <c r="D781" t="inlineStr">
        <is>
          <t>VÄSTERNORRLANDS LÄN</t>
        </is>
      </c>
      <c r="E781" t="inlineStr">
        <is>
          <t>ÅNGE</t>
        </is>
      </c>
      <c r="F781" t="inlineStr">
        <is>
          <t>Sveaskog</t>
        </is>
      </c>
      <c r="G781" t="n">
        <v>14.9</v>
      </c>
      <c r="H781" t="n">
        <v>0</v>
      </c>
      <c r="I781" t="n">
        <v>0</v>
      </c>
      <c r="J781" t="n">
        <v>0</v>
      </c>
      <c r="K781" t="n">
        <v>0</v>
      </c>
      <c r="L781" t="n">
        <v>0</v>
      </c>
      <c r="M781" t="n">
        <v>0</v>
      </c>
      <c r="N781" t="n">
        <v>0</v>
      </c>
      <c r="O781" t="n">
        <v>0</v>
      </c>
      <c r="P781" t="n">
        <v>0</v>
      </c>
      <c r="Q781" t="n">
        <v>0</v>
      </c>
      <c r="R781" s="2" t="inlineStr"/>
    </row>
    <row r="782" ht="15" customHeight="1">
      <c r="A782" t="inlineStr">
        <is>
          <t>A 21174-2025</t>
        </is>
      </c>
      <c r="B782" s="1" t="n">
        <v>45779.42746527777</v>
      </c>
      <c r="C782" s="1" t="n">
        <v>45998</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3133-2024</t>
        </is>
      </c>
      <c r="B783" s="1" t="n">
        <v>45316.55885416667</v>
      </c>
      <c r="C783" s="1" t="n">
        <v>45998</v>
      </c>
      <c r="D783" t="inlineStr">
        <is>
          <t>VÄSTERNORRLANDS LÄN</t>
        </is>
      </c>
      <c r="E783" t="inlineStr">
        <is>
          <t>ÅNGE</t>
        </is>
      </c>
      <c r="F783" t="inlineStr">
        <is>
          <t>Holmen skog AB</t>
        </is>
      </c>
      <c r="G783" t="n">
        <v>1.1</v>
      </c>
      <c r="H783" t="n">
        <v>0</v>
      </c>
      <c r="I783" t="n">
        <v>0</v>
      </c>
      <c r="J783" t="n">
        <v>0</v>
      </c>
      <c r="K783" t="n">
        <v>0</v>
      </c>
      <c r="L783" t="n">
        <v>0</v>
      </c>
      <c r="M783" t="n">
        <v>0</v>
      </c>
      <c r="N783" t="n">
        <v>0</v>
      </c>
      <c r="O783" t="n">
        <v>0</v>
      </c>
      <c r="P783" t="n">
        <v>0</v>
      </c>
      <c r="Q783" t="n">
        <v>0</v>
      </c>
      <c r="R783" s="2" t="inlineStr"/>
    </row>
    <row r="784" ht="15" customHeight="1">
      <c r="A784" t="inlineStr">
        <is>
          <t>A 21251-2025</t>
        </is>
      </c>
      <c r="B784" s="1" t="n">
        <v>45779.57417824074</v>
      </c>
      <c r="C784" s="1" t="n">
        <v>45998</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17210-2022</t>
        </is>
      </c>
      <c r="B785" s="1" t="n">
        <v>44677.92701388889</v>
      </c>
      <c r="C785" s="1" t="n">
        <v>45998</v>
      </c>
      <c r="D785" t="inlineStr">
        <is>
          <t>VÄSTERNORRLANDS LÄN</t>
        </is>
      </c>
      <c r="E785" t="inlineStr">
        <is>
          <t>ÅNGE</t>
        </is>
      </c>
      <c r="G785" t="n">
        <v>1.8</v>
      </c>
      <c r="H785" t="n">
        <v>0</v>
      </c>
      <c r="I785" t="n">
        <v>0</v>
      </c>
      <c r="J785" t="n">
        <v>0</v>
      </c>
      <c r="K785" t="n">
        <v>0</v>
      </c>
      <c r="L785" t="n">
        <v>0</v>
      </c>
      <c r="M785" t="n">
        <v>0</v>
      </c>
      <c r="N785" t="n">
        <v>0</v>
      </c>
      <c r="O785" t="n">
        <v>0</v>
      </c>
      <c r="P785" t="n">
        <v>0</v>
      </c>
      <c r="Q785" t="n">
        <v>0</v>
      </c>
      <c r="R785" s="2" t="inlineStr"/>
    </row>
    <row r="786" ht="15" customHeight="1">
      <c r="A786" t="inlineStr">
        <is>
          <t>A 21712-2025</t>
        </is>
      </c>
      <c r="B786" s="1" t="n">
        <v>45783.53210648148</v>
      </c>
      <c r="C786" s="1" t="n">
        <v>45998</v>
      </c>
      <c r="D786" t="inlineStr">
        <is>
          <t>VÄSTERNORRLANDS LÄN</t>
        </is>
      </c>
      <c r="E786" t="inlineStr">
        <is>
          <t>ÅNGE</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2539-2025</t>
        </is>
      </c>
      <c r="B787" s="1" t="n">
        <v>45674.61581018518</v>
      </c>
      <c r="C787" s="1" t="n">
        <v>45998</v>
      </c>
      <c r="D787" t="inlineStr">
        <is>
          <t>VÄSTERNORRLANDS LÄN</t>
        </is>
      </c>
      <c r="E787" t="inlineStr">
        <is>
          <t>ÅNGE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22187-2024</t>
        </is>
      </c>
      <c r="B788" s="1" t="n">
        <v>45446.35222222222</v>
      </c>
      <c r="C788" s="1" t="n">
        <v>45998</v>
      </c>
      <c r="D788" t="inlineStr">
        <is>
          <t>VÄSTERNORRLANDS LÄN</t>
        </is>
      </c>
      <c r="E788" t="inlineStr">
        <is>
          <t>ÅNGE</t>
        </is>
      </c>
      <c r="G788" t="n">
        <v>2.3</v>
      </c>
      <c r="H788" t="n">
        <v>0</v>
      </c>
      <c r="I788" t="n">
        <v>0</v>
      </c>
      <c r="J788" t="n">
        <v>0</v>
      </c>
      <c r="K788" t="n">
        <v>0</v>
      </c>
      <c r="L788" t="n">
        <v>0</v>
      </c>
      <c r="M788" t="n">
        <v>0</v>
      </c>
      <c r="N788" t="n">
        <v>0</v>
      </c>
      <c r="O788" t="n">
        <v>0</v>
      </c>
      <c r="P788" t="n">
        <v>0</v>
      </c>
      <c r="Q788" t="n">
        <v>0</v>
      </c>
      <c r="R788" s="2" t="inlineStr"/>
    </row>
    <row r="789" ht="15" customHeight="1">
      <c r="A789" t="inlineStr">
        <is>
          <t>A 21883-2025</t>
        </is>
      </c>
      <c r="B789" s="1" t="n">
        <v>45784.41361111111</v>
      </c>
      <c r="C789" s="1" t="n">
        <v>45998</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10195-2024</t>
        </is>
      </c>
      <c r="B790" s="1" t="n">
        <v>45364</v>
      </c>
      <c r="C790" s="1" t="n">
        <v>45998</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5393-2025</t>
        </is>
      </c>
      <c r="B791" s="1" t="n">
        <v>45692.63574074074</v>
      </c>
      <c r="C791" s="1" t="n">
        <v>45998</v>
      </c>
      <c r="D791" t="inlineStr">
        <is>
          <t>VÄSTERNORRLANDS LÄN</t>
        </is>
      </c>
      <c r="E791" t="inlineStr">
        <is>
          <t>ÅNGE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21597-2025</t>
        </is>
      </c>
      <c r="B792" s="1" t="n">
        <v>45783.34493055556</v>
      </c>
      <c r="C792" s="1" t="n">
        <v>45998</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25867-2024</t>
        </is>
      </c>
      <c r="B793" s="1" t="n">
        <v>45463</v>
      </c>
      <c r="C793" s="1" t="n">
        <v>45998</v>
      </c>
      <c r="D793" t="inlineStr">
        <is>
          <t>VÄSTERNORRLANDS LÄN</t>
        </is>
      </c>
      <c r="E793" t="inlineStr">
        <is>
          <t>ÅNGE</t>
        </is>
      </c>
      <c r="G793" t="n">
        <v>2.7</v>
      </c>
      <c r="H793" t="n">
        <v>0</v>
      </c>
      <c r="I793" t="n">
        <v>0</v>
      </c>
      <c r="J793" t="n">
        <v>0</v>
      </c>
      <c r="K793" t="n">
        <v>0</v>
      </c>
      <c r="L793" t="n">
        <v>0</v>
      </c>
      <c r="M793" t="n">
        <v>0</v>
      </c>
      <c r="N793" t="n">
        <v>0</v>
      </c>
      <c r="O793" t="n">
        <v>0</v>
      </c>
      <c r="P793" t="n">
        <v>0</v>
      </c>
      <c r="Q793" t="n">
        <v>0</v>
      </c>
      <c r="R793" s="2" t="inlineStr"/>
    </row>
    <row r="794" ht="15" customHeight="1">
      <c r="A794" t="inlineStr">
        <is>
          <t>A 17669-2023</t>
        </is>
      </c>
      <c r="B794" s="1" t="n">
        <v>45036.94457175926</v>
      </c>
      <c r="C794" s="1" t="n">
        <v>45998</v>
      </c>
      <c r="D794" t="inlineStr">
        <is>
          <t>VÄSTERNORRLANDS LÄN</t>
        </is>
      </c>
      <c r="E794" t="inlineStr">
        <is>
          <t>ÅNGE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29395-2023</t>
        </is>
      </c>
      <c r="B795" s="1" t="n">
        <v>45106.4359837963</v>
      </c>
      <c r="C795" s="1" t="n">
        <v>45998</v>
      </c>
      <c r="D795" t="inlineStr">
        <is>
          <t>VÄSTERNORRLANDS LÄN</t>
        </is>
      </c>
      <c r="E795" t="inlineStr">
        <is>
          <t>ÅNGE</t>
        </is>
      </c>
      <c r="G795" t="n">
        <v>3.5</v>
      </c>
      <c r="H795" t="n">
        <v>0</v>
      </c>
      <c r="I795" t="n">
        <v>0</v>
      </c>
      <c r="J795" t="n">
        <v>0</v>
      </c>
      <c r="K795" t="n">
        <v>0</v>
      </c>
      <c r="L795" t="n">
        <v>0</v>
      </c>
      <c r="M795" t="n">
        <v>0</v>
      </c>
      <c r="N795" t="n">
        <v>0</v>
      </c>
      <c r="O795" t="n">
        <v>0</v>
      </c>
      <c r="P795" t="n">
        <v>0</v>
      </c>
      <c r="Q795" t="n">
        <v>0</v>
      </c>
      <c r="R795" s="2" t="inlineStr"/>
    </row>
    <row r="796" ht="15" customHeight="1">
      <c r="A796" t="inlineStr">
        <is>
          <t>A 34971-2023</t>
        </is>
      </c>
      <c r="B796" s="1" t="n">
        <v>45142.61635416667</v>
      </c>
      <c r="C796" s="1" t="n">
        <v>45998</v>
      </c>
      <c r="D796" t="inlineStr">
        <is>
          <t>VÄSTERNORRLANDS LÄN</t>
        </is>
      </c>
      <c r="E796" t="inlineStr">
        <is>
          <t>ÅNGE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21862-2025</t>
        </is>
      </c>
      <c r="B797" s="1" t="n">
        <v>45784.36519675926</v>
      </c>
      <c r="C797" s="1" t="n">
        <v>45998</v>
      </c>
      <c r="D797" t="inlineStr">
        <is>
          <t>VÄSTERNORRLANDS LÄN</t>
        </is>
      </c>
      <c r="E797" t="inlineStr">
        <is>
          <t>ÅNGE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361-2025</t>
        </is>
      </c>
      <c r="B798" s="1" t="n">
        <v>45660</v>
      </c>
      <c r="C798" s="1" t="n">
        <v>45998</v>
      </c>
      <c r="D798" t="inlineStr">
        <is>
          <t>VÄSTERNORRLANDS LÄN</t>
        </is>
      </c>
      <c r="E798" t="inlineStr">
        <is>
          <t>ÅNGE</t>
        </is>
      </c>
      <c r="G798" t="n">
        <v>4.2</v>
      </c>
      <c r="H798" t="n">
        <v>0</v>
      </c>
      <c r="I798" t="n">
        <v>0</v>
      </c>
      <c r="J798" t="n">
        <v>0</v>
      </c>
      <c r="K798" t="n">
        <v>0</v>
      </c>
      <c r="L798" t="n">
        <v>0</v>
      </c>
      <c r="M798" t="n">
        <v>0</v>
      </c>
      <c r="N798" t="n">
        <v>0</v>
      </c>
      <c r="O798" t="n">
        <v>0</v>
      </c>
      <c r="P798" t="n">
        <v>0</v>
      </c>
      <c r="Q798" t="n">
        <v>0</v>
      </c>
      <c r="R798" s="2" t="inlineStr"/>
    </row>
    <row r="799" ht="15" customHeight="1">
      <c r="A799" t="inlineStr">
        <is>
          <t>A 9480-2022</t>
        </is>
      </c>
      <c r="B799" s="1" t="n">
        <v>44616</v>
      </c>
      <c r="C799" s="1" t="n">
        <v>45998</v>
      </c>
      <c r="D799" t="inlineStr">
        <is>
          <t>VÄSTERNORRLANDS LÄN</t>
        </is>
      </c>
      <c r="E799" t="inlineStr">
        <is>
          <t>ÅNGE</t>
        </is>
      </c>
      <c r="G799" t="n">
        <v>0.3</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45998</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18617-2024</t>
        </is>
      </c>
      <c r="B801" s="1" t="n">
        <v>45425</v>
      </c>
      <c r="C801" s="1" t="n">
        <v>45998</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6690-2024</t>
        </is>
      </c>
      <c r="B802" s="1" t="n">
        <v>45341</v>
      </c>
      <c r="C802" s="1" t="n">
        <v>45998</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8868-2023</t>
        </is>
      </c>
      <c r="B803" s="1" t="n">
        <v>44978</v>
      </c>
      <c r="C803" s="1" t="n">
        <v>45998</v>
      </c>
      <c r="D803" t="inlineStr">
        <is>
          <t>VÄSTERNORRLANDS LÄN</t>
        </is>
      </c>
      <c r="E803" t="inlineStr">
        <is>
          <t>ÅNGE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3977-2025</t>
        </is>
      </c>
      <c r="B804" s="1" t="n">
        <v>45684</v>
      </c>
      <c r="C804" s="1" t="n">
        <v>45998</v>
      </c>
      <c r="D804" t="inlineStr">
        <is>
          <t>VÄSTERNORRLANDS LÄN</t>
        </is>
      </c>
      <c r="E804" t="inlineStr">
        <is>
          <t>ÅNGE</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10917-2024</t>
        </is>
      </c>
      <c r="B805" s="1" t="n">
        <v>45370</v>
      </c>
      <c r="C805" s="1" t="n">
        <v>45998</v>
      </c>
      <c r="D805" t="inlineStr">
        <is>
          <t>VÄSTERNORRLANDS LÄN</t>
        </is>
      </c>
      <c r="E805" t="inlineStr">
        <is>
          <t>ÅNGE</t>
        </is>
      </c>
      <c r="G805" t="n">
        <v>2.2</v>
      </c>
      <c r="H805" t="n">
        <v>0</v>
      </c>
      <c r="I805" t="n">
        <v>0</v>
      </c>
      <c r="J805" t="n">
        <v>0</v>
      </c>
      <c r="K805" t="n">
        <v>0</v>
      </c>
      <c r="L805" t="n">
        <v>0</v>
      </c>
      <c r="M805" t="n">
        <v>0</v>
      </c>
      <c r="N805" t="n">
        <v>0</v>
      </c>
      <c r="O805" t="n">
        <v>0</v>
      </c>
      <c r="P805" t="n">
        <v>0</v>
      </c>
      <c r="Q805" t="n">
        <v>0</v>
      </c>
      <c r="R805" s="2" t="inlineStr"/>
    </row>
    <row r="806" ht="15" customHeight="1">
      <c r="A806" t="inlineStr">
        <is>
          <t>A 21982-2025</t>
        </is>
      </c>
      <c r="B806" s="1" t="n">
        <v>45784.65660879629</v>
      </c>
      <c r="C806" s="1" t="n">
        <v>45998</v>
      </c>
      <c r="D806" t="inlineStr">
        <is>
          <t>VÄSTERNORRLANDS LÄN</t>
        </is>
      </c>
      <c r="E806" t="inlineStr">
        <is>
          <t>ÅNGE</t>
        </is>
      </c>
      <c r="F806" t="inlineStr">
        <is>
          <t>SCA</t>
        </is>
      </c>
      <c r="G806" t="n">
        <v>7.6</v>
      </c>
      <c r="H806" t="n">
        <v>0</v>
      </c>
      <c r="I806" t="n">
        <v>0</v>
      </c>
      <c r="J806" t="n">
        <v>0</v>
      </c>
      <c r="K806" t="n">
        <v>0</v>
      </c>
      <c r="L806" t="n">
        <v>0</v>
      </c>
      <c r="M806" t="n">
        <v>0</v>
      </c>
      <c r="N806" t="n">
        <v>0</v>
      </c>
      <c r="O806" t="n">
        <v>0</v>
      </c>
      <c r="P806" t="n">
        <v>0</v>
      </c>
      <c r="Q806" t="n">
        <v>0</v>
      </c>
      <c r="R806" s="2" t="inlineStr"/>
    </row>
    <row r="807" ht="15" customHeight="1">
      <c r="A807" t="inlineStr">
        <is>
          <t>A 43775-2022</t>
        </is>
      </c>
      <c r="B807" s="1" t="n">
        <v>44837.95053240741</v>
      </c>
      <c r="C807" s="1" t="n">
        <v>45998</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27306-2024</t>
        </is>
      </c>
      <c r="B808" s="1" t="n">
        <v>45471.94454861111</v>
      </c>
      <c r="C808" s="1" t="n">
        <v>45998</v>
      </c>
      <c r="D808" t="inlineStr">
        <is>
          <t>VÄSTERNORRLANDS LÄN</t>
        </is>
      </c>
      <c r="E808" t="inlineStr">
        <is>
          <t>ÅNGE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11396-2024</t>
        </is>
      </c>
      <c r="B809" s="1" t="n">
        <v>45372</v>
      </c>
      <c r="C809" s="1" t="n">
        <v>45998</v>
      </c>
      <c r="D809" t="inlineStr">
        <is>
          <t>VÄSTERNORRLANDS LÄN</t>
        </is>
      </c>
      <c r="E809" t="inlineStr">
        <is>
          <t>ÅNGE</t>
        </is>
      </c>
      <c r="G809" t="n">
        <v>2.2</v>
      </c>
      <c r="H809" t="n">
        <v>0</v>
      </c>
      <c r="I809" t="n">
        <v>0</v>
      </c>
      <c r="J809" t="n">
        <v>0</v>
      </c>
      <c r="K809" t="n">
        <v>0</v>
      </c>
      <c r="L809" t="n">
        <v>0</v>
      </c>
      <c r="M809" t="n">
        <v>0</v>
      </c>
      <c r="N809" t="n">
        <v>0</v>
      </c>
      <c r="O809" t="n">
        <v>0</v>
      </c>
      <c r="P809" t="n">
        <v>0</v>
      </c>
      <c r="Q809" t="n">
        <v>0</v>
      </c>
      <c r="R809" s="2" t="inlineStr"/>
    </row>
    <row r="810" ht="15" customHeight="1">
      <c r="A810" t="inlineStr">
        <is>
          <t>A 25680-2023</t>
        </is>
      </c>
      <c r="B810" s="1" t="n">
        <v>45089</v>
      </c>
      <c r="C810" s="1" t="n">
        <v>45998</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14976-2025</t>
        </is>
      </c>
      <c r="B811" s="1" t="n">
        <v>45743</v>
      </c>
      <c r="C811" s="1" t="n">
        <v>45998</v>
      </c>
      <c r="D811" t="inlineStr">
        <is>
          <t>VÄSTERNORRLANDS LÄN</t>
        </is>
      </c>
      <c r="E811" t="inlineStr">
        <is>
          <t>ÅNGE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59818-2024</t>
        </is>
      </c>
      <c r="B812" s="1" t="n">
        <v>45639.63572916666</v>
      </c>
      <c r="C812" s="1" t="n">
        <v>45998</v>
      </c>
      <c r="D812" t="inlineStr">
        <is>
          <t>VÄSTERNORRLANDS LÄN</t>
        </is>
      </c>
      <c r="E812" t="inlineStr">
        <is>
          <t>ÅNGE</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5249-2025</t>
        </is>
      </c>
      <c r="B813" s="1" t="n">
        <v>45692.34465277778</v>
      </c>
      <c r="C813" s="1" t="n">
        <v>45998</v>
      </c>
      <c r="D813" t="inlineStr">
        <is>
          <t>VÄSTERNORRLANDS LÄN</t>
        </is>
      </c>
      <c r="E813" t="inlineStr">
        <is>
          <t>ÅNGE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1769-2023</t>
        </is>
      </c>
      <c r="B814" s="1" t="n">
        <v>44938.58025462963</v>
      </c>
      <c r="C814" s="1" t="n">
        <v>45998</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1775-2023</t>
        </is>
      </c>
      <c r="B815" s="1" t="n">
        <v>44938</v>
      </c>
      <c r="C815" s="1" t="n">
        <v>45998</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10878-2024</t>
        </is>
      </c>
      <c r="B816" s="1" t="n">
        <v>45370</v>
      </c>
      <c r="C816" s="1" t="n">
        <v>45998</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57271-2024</t>
        </is>
      </c>
      <c r="B817" s="1" t="n">
        <v>45629.57364583333</v>
      </c>
      <c r="C817" s="1" t="n">
        <v>45998</v>
      </c>
      <c r="D817" t="inlineStr">
        <is>
          <t>VÄSTERNORRLANDS LÄN</t>
        </is>
      </c>
      <c r="E817" t="inlineStr">
        <is>
          <t>ÅNGE</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19066-2024</t>
        </is>
      </c>
      <c r="B818" s="1" t="n">
        <v>45427</v>
      </c>
      <c r="C818" s="1" t="n">
        <v>45998</v>
      </c>
      <c r="D818" t="inlineStr">
        <is>
          <t>VÄSTERNORRLANDS LÄN</t>
        </is>
      </c>
      <c r="E818" t="inlineStr">
        <is>
          <t>ÅNGE</t>
        </is>
      </c>
      <c r="G818" t="n">
        <v>0.8</v>
      </c>
      <c r="H818" t="n">
        <v>0</v>
      </c>
      <c r="I818" t="n">
        <v>0</v>
      </c>
      <c r="J818" t="n">
        <v>0</v>
      </c>
      <c r="K818" t="n">
        <v>0</v>
      </c>
      <c r="L818" t="n">
        <v>0</v>
      </c>
      <c r="M818" t="n">
        <v>0</v>
      </c>
      <c r="N818" t="n">
        <v>0</v>
      </c>
      <c r="O818" t="n">
        <v>0</v>
      </c>
      <c r="P818" t="n">
        <v>0</v>
      </c>
      <c r="Q818" t="n">
        <v>0</v>
      </c>
      <c r="R818" s="2" t="inlineStr"/>
    </row>
    <row r="819" ht="15" customHeight="1">
      <c r="A819" t="inlineStr">
        <is>
          <t>A 5369-2022</t>
        </is>
      </c>
      <c r="B819" s="1" t="n">
        <v>44594.92113425926</v>
      </c>
      <c r="C819" s="1" t="n">
        <v>45998</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3629-2023</t>
        </is>
      </c>
      <c r="B820" s="1" t="n">
        <v>44950</v>
      </c>
      <c r="C820" s="1" t="n">
        <v>45998</v>
      </c>
      <c r="D820" t="inlineStr">
        <is>
          <t>VÄSTERNORRLANDS LÄN</t>
        </is>
      </c>
      <c r="E820" t="inlineStr">
        <is>
          <t>ÅNGE</t>
        </is>
      </c>
      <c r="G820" t="n">
        <v>2.5</v>
      </c>
      <c r="H820" t="n">
        <v>0</v>
      </c>
      <c r="I820" t="n">
        <v>0</v>
      </c>
      <c r="J820" t="n">
        <v>0</v>
      </c>
      <c r="K820" t="n">
        <v>0</v>
      </c>
      <c r="L820" t="n">
        <v>0</v>
      </c>
      <c r="M820" t="n">
        <v>0</v>
      </c>
      <c r="N820" t="n">
        <v>0</v>
      </c>
      <c r="O820" t="n">
        <v>0</v>
      </c>
      <c r="P820" t="n">
        <v>0</v>
      </c>
      <c r="Q820" t="n">
        <v>0</v>
      </c>
      <c r="R820" s="2" t="inlineStr"/>
    </row>
    <row r="821" ht="15" customHeight="1">
      <c r="A821" t="inlineStr">
        <is>
          <t>A 3631-2023</t>
        </is>
      </c>
      <c r="B821" s="1" t="n">
        <v>44950</v>
      </c>
      <c r="C821" s="1" t="n">
        <v>45998</v>
      </c>
      <c r="D821" t="inlineStr">
        <is>
          <t>VÄSTERNORRLANDS LÄN</t>
        </is>
      </c>
      <c r="E821" t="inlineStr">
        <is>
          <t>ÅNGE</t>
        </is>
      </c>
      <c r="G821" t="n">
        <v>0.8</v>
      </c>
      <c r="H821" t="n">
        <v>0</v>
      </c>
      <c r="I821" t="n">
        <v>0</v>
      </c>
      <c r="J821" t="n">
        <v>0</v>
      </c>
      <c r="K821" t="n">
        <v>0</v>
      </c>
      <c r="L821" t="n">
        <v>0</v>
      </c>
      <c r="M821" t="n">
        <v>0</v>
      </c>
      <c r="N821" t="n">
        <v>0</v>
      </c>
      <c r="O821" t="n">
        <v>0</v>
      </c>
      <c r="P821" t="n">
        <v>0</v>
      </c>
      <c r="Q821" t="n">
        <v>0</v>
      </c>
      <c r="R821" s="2" t="inlineStr"/>
    </row>
    <row r="822" ht="15" customHeight="1">
      <c r="A822" t="inlineStr">
        <is>
          <t>A 31177-2024</t>
        </is>
      </c>
      <c r="B822" s="1" t="n">
        <v>45503</v>
      </c>
      <c r="C822" s="1" t="n">
        <v>45998</v>
      </c>
      <c r="D822" t="inlineStr">
        <is>
          <t>VÄSTERNORRLANDS LÄN</t>
        </is>
      </c>
      <c r="E822" t="inlineStr">
        <is>
          <t>ÅNGE</t>
        </is>
      </c>
      <c r="G822" t="n">
        <v>10.2</v>
      </c>
      <c r="H822" t="n">
        <v>0</v>
      </c>
      <c r="I822" t="n">
        <v>0</v>
      </c>
      <c r="J822" t="n">
        <v>0</v>
      </c>
      <c r="K822" t="n">
        <v>0</v>
      </c>
      <c r="L822" t="n">
        <v>0</v>
      </c>
      <c r="M822" t="n">
        <v>0</v>
      </c>
      <c r="N822" t="n">
        <v>0</v>
      </c>
      <c r="O822" t="n">
        <v>0</v>
      </c>
      <c r="P822" t="n">
        <v>0</v>
      </c>
      <c r="Q822" t="n">
        <v>0</v>
      </c>
      <c r="R822" s="2" t="inlineStr"/>
    </row>
    <row r="823" ht="15" customHeight="1">
      <c r="A823" t="inlineStr">
        <is>
          <t>A 50179-2024</t>
        </is>
      </c>
      <c r="B823" s="1" t="n">
        <v>45600</v>
      </c>
      <c r="C823" s="1" t="n">
        <v>45998</v>
      </c>
      <c r="D823" t="inlineStr">
        <is>
          <t>VÄSTERNORRLANDS LÄN</t>
        </is>
      </c>
      <c r="E823" t="inlineStr">
        <is>
          <t>ÅNGE</t>
        </is>
      </c>
      <c r="G823" t="n">
        <v>3.6</v>
      </c>
      <c r="H823" t="n">
        <v>0</v>
      </c>
      <c r="I823" t="n">
        <v>0</v>
      </c>
      <c r="J823" t="n">
        <v>0</v>
      </c>
      <c r="K823" t="n">
        <v>0</v>
      </c>
      <c r="L823" t="n">
        <v>0</v>
      </c>
      <c r="M823" t="n">
        <v>0</v>
      </c>
      <c r="N823" t="n">
        <v>0</v>
      </c>
      <c r="O823" t="n">
        <v>0</v>
      </c>
      <c r="P823" t="n">
        <v>0</v>
      </c>
      <c r="Q823" t="n">
        <v>0</v>
      </c>
      <c r="R823" s="2" t="inlineStr"/>
    </row>
    <row r="824" ht="15" customHeight="1">
      <c r="A824" t="inlineStr">
        <is>
          <t>A 2140-2023</t>
        </is>
      </c>
      <c r="B824" s="1" t="n">
        <v>44940</v>
      </c>
      <c r="C824" s="1" t="n">
        <v>45998</v>
      </c>
      <c r="D824" t="inlineStr">
        <is>
          <t>VÄSTERNORRLANDS LÄN</t>
        </is>
      </c>
      <c r="E824" t="inlineStr">
        <is>
          <t>ÅNGE</t>
        </is>
      </c>
      <c r="G824" t="n">
        <v>2.9</v>
      </c>
      <c r="H824" t="n">
        <v>0</v>
      </c>
      <c r="I824" t="n">
        <v>0</v>
      </c>
      <c r="J824" t="n">
        <v>0</v>
      </c>
      <c r="K824" t="n">
        <v>0</v>
      </c>
      <c r="L824" t="n">
        <v>0</v>
      </c>
      <c r="M824" t="n">
        <v>0</v>
      </c>
      <c r="N824" t="n">
        <v>0</v>
      </c>
      <c r="O824" t="n">
        <v>0</v>
      </c>
      <c r="P824" t="n">
        <v>0</v>
      </c>
      <c r="Q824" t="n">
        <v>0</v>
      </c>
      <c r="R824" s="2" t="inlineStr"/>
    </row>
    <row r="825" ht="15" customHeight="1">
      <c r="A825" t="inlineStr">
        <is>
          <t>A 30347-2024</t>
        </is>
      </c>
      <c r="B825" s="1" t="n">
        <v>45490.95515046296</v>
      </c>
      <c r="C825" s="1" t="n">
        <v>45998</v>
      </c>
      <c r="D825" t="inlineStr">
        <is>
          <t>VÄSTERNORRLANDS LÄN</t>
        </is>
      </c>
      <c r="E825" t="inlineStr">
        <is>
          <t>ÅNGE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22755-2023</t>
        </is>
      </c>
      <c r="B826" s="1" t="n">
        <v>45071.94127314815</v>
      </c>
      <c r="C826" s="1" t="n">
        <v>45998</v>
      </c>
      <c r="D826" t="inlineStr">
        <is>
          <t>VÄSTERNORRLANDS LÄN</t>
        </is>
      </c>
      <c r="E826" t="inlineStr">
        <is>
          <t>ÅNGE</t>
        </is>
      </c>
      <c r="F826" t="inlineStr">
        <is>
          <t>SCA</t>
        </is>
      </c>
      <c r="G826" t="n">
        <v>12.6</v>
      </c>
      <c r="H826" t="n">
        <v>0</v>
      </c>
      <c r="I826" t="n">
        <v>0</v>
      </c>
      <c r="J826" t="n">
        <v>0</v>
      </c>
      <c r="K826" t="n">
        <v>0</v>
      </c>
      <c r="L826" t="n">
        <v>0</v>
      </c>
      <c r="M826" t="n">
        <v>0</v>
      </c>
      <c r="N826" t="n">
        <v>0</v>
      </c>
      <c r="O826" t="n">
        <v>0</v>
      </c>
      <c r="P826" t="n">
        <v>0</v>
      </c>
      <c r="Q826" t="n">
        <v>0</v>
      </c>
      <c r="R826" s="2" t="inlineStr"/>
    </row>
    <row r="827" ht="15" customHeight="1">
      <c r="A827" t="inlineStr">
        <is>
          <t>A 54295-2024</t>
        </is>
      </c>
      <c r="B827" s="1" t="n">
        <v>45617</v>
      </c>
      <c r="C827" s="1" t="n">
        <v>45998</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55177-2024</t>
        </is>
      </c>
      <c r="B828" s="1" t="n">
        <v>45621.53179398148</v>
      </c>
      <c r="C828" s="1" t="n">
        <v>45998</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50419-2022</t>
        </is>
      </c>
      <c r="B829" s="1" t="n">
        <v>44861</v>
      </c>
      <c r="C829" s="1" t="n">
        <v>45998</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42881-2023</t>
        </is>
      </c>
      <c r="B830" s="1" t="n">
        <v>45182.45256944445</v>
      </c>
      <c r="C830" s="1" t="n">
        <v>45998</v>
      </c>
      <c r="D830" t="inlineStr">
        <is>
          <t>VÄSTERNORRLANDS LÄN</t>
        </is>
      </c>
      <c r="E830" t="inlineStr">
        <is>
          <t>ÅNGE</t>
        </is>
      </c>
      <c r="G830" t="n">
        <v>3.9</v>
      </c>
      <c r="H830" t="n">
        <v>0</v>
      </c>
      <c r="I830" t="n">
        <v>0</v>
      </c>
      <c r="J830" t="n">
        <v>0</v>
      </c>
      <c r="K830" t="n">
        <v>0</v>
      </c>
      <c r="L830" t="n">
        <v>0</v>
      </c>
      <c r="M830" t="n">
        <v>0</v>
      </c>
      <c r="N830" t="n">
        <v>0</v>
      </c>
      <c r="O830" t="n">
        <v>0</v>
      </c>
      <c r="P830" t="n">
        <v>0</v>
      </c>
      <c r="Q830" t="n">
        <v>0</v>
      </c>
      <c r="R830" s="2" t="inlineStr"/>
    </row>
    <row r="831" ht="15" customHeight="1">
      <c r="A831" t="inlineStr">
        <is>
          <t>A 18430-2025</t>
        </is>
      </c>
      <c r="B831" s="1" t="n">
        <v>45762.63576388889</v>
      </c>
      <c r="C831" s="1" t="n">
        <v>45998</v>
      </c>
      <c r="D831" t="inlineStr">
        <is>
          <t>VÄSTERNORRLANDS LÄN</t>
        </is>
      </c>
      <c r="E831" t="inlineStr">
        <is>
          <t>ÅNGE</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43916-2023</t>
        </is>
      </c>
      <c r="B832" s="1" t="n">
        <v>45187.72152777778</v>
      </c>
      <c r="C832" s="1" t="n">
        <v>45998</v>
      </c>
      <c r="D832" t="inlineStr">
        <is>
          <t>VÄSTERNORRLANDS LÄN</t>
        </is>
      </c>
      <c r="E832" t="inlineStr">
        <is>
          <t>ÅNGE</t>
        </is>
      </c>
      <c r="G832" t="n">
        <v>3.1</v>
      </c>
      <c r="H832" t="n">
        <v>0</v>
      </c>
      <c r="I832" t="n">
        <v>0</v>
      </c>
      <c r="J832" t="n">
        <v>0</v>
      </c>
      <c r="K832" t="n">
        <v>0</v>
      </c>
      <c r="L832" t="n">
        <v>0</v>
      </c>
      <c r="M832" t="n">
        <v>0</v>
      </c>
      <c r="N832" t="n">
        <v>0</v>
      </c>
      <c r="O832" t="n">
        <v>0</v>
      </c>
      <c r="P832" t="n">
        <v>0</v>
      </c>
      <c r="Q832" t="n">
        <v>0</v>
      </c>
      <c r="R832" s="2" t="inlineStr"/>
    </row>
    <row r="833" ht="15" customHeight="1">
      <c r="A833" t="inlineStr">
        <is>
          <t>A 43096-2023</t>
        </is>
      </c>
      <c r="B833" s="1" t="n">
        <v>45182</v>
      </c>
      <c r="C833" s="1" t="n">
        <v>45998</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3322-2025</t>
        </is>
      </c>
      <c r="B834" s="1" t="n">
        <v>45679.6989699074</v>
      </c>
      <c r="C834" s="1" t="n">
        <v>45998</v>
      </c>
      <c r="D834" t="inlineStr">
        <is>
          <t>VÄSTERNORRLANDS LÄN</t>
        </is>
      </c>
      <c r="E834" t="inlineStr">
        <is>
          <t>ÅNGE</t>
        </is>
      </c>
      <c r="F834" t="inlineStr">
        <is>
          <t>SCA</t>
        </is>
      </c>
      <c r="G834" t="n">
        <v>11.1</v>
      </c>
      <c r="H834" t="n">
        <v>0</v>
      </c>
      <c r="I834" t="n">
        <v>0</v>
      </c>
      <c r="J834" t="n">
        <v>0</v>
      </c>
      <c r="K834" t="n">
        <v>0</v>
      </c>
      <c r="L834" t="n">
        <v>0</v>
      </c>
      <c r="M834" t="n">
        <v>0</v>
      </c>
      <c r="N834" t="n">
        <v>0</v>
      </c>
      <c r="O834" t="n">
        <v>0</v>
      </c>
      <c r="P834" t="n">
        <v>0</v>
      </c>
      <c r="Q834" t="n">
        <v>0</v>
      </c>
      <c r="R834" s="2" t="inlineStr"/>
    </row>
    <row r="835" ht="15" customHeight="1">
      <c r="A835" t="inlineStr">
        <is>
          <t>A 3327-2025</t>
        </is>
      </c>
      <c r="B835" s="1" t="n">
        <v>45679.69967592593</v>
      </c>
      <c r="C835" s="1" t="n">
        <v>45998</v>
      </c>
      <c r="D835" t="inlineStr">
        <is>
          <t>VÄSTERNORRLANDS LÄN</t>
        </is>
      </c>
      <c r="E835" t="inlineStr">
        <is>
          <t>ÅNGE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20255-2023</t>
        </is>
      </c>
      <c r="B836" s="1" t="n">
        <v>45055</v>
      </c>
      <c r="C836" s="1" t="n">
        <v>45998</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3947-2025</t>
        </is>
      </c>
      <c r="B837" s="1" t="n">
        <v>45684.49001157407</v>
      </c>
      <c r="C837" s="1" t="n">
        <v>45998</v>
      </c>
      <c r="D837" t="inlineStr">
        <is>
          <t>VÄSTERNORRLANDS LÄN</t>
        </is>
      </c>
      <c r="E837" t="inlineStr">
        <is>
          <t>ÅNGE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54429-2024</t>
        </is>
      </c>
      <c r="B838" s="1" t="n">
        <v>45617.49087962963</v>
      </c>
      <c r="C838" s="1" t="n">
        <v>45998</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15603-2024</t>
        </is>
      </c>
      <c r="B839" s="1" t="n">
        <v>45401.92501157407</v>
      </c>
      <c r="C839" s="1" t="n">
        <v>45998</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52804-2024</t>
        </is>
      </c>
      <c r="B840" s="1" t="n">
        <v>45610.57322916666</v>
      </c>
      <c r="C840" s="1" t="n">
        <v>45998</v>
      </c>
      <c r="D840" t="inlineStr">
        <is>
          <t>VÄSTERNORRLANDS LÄN</t>
        </is>
      </c>
      <c r="E840" t="inlineStr">
        <is>
          <t>ÅNGE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21151-2024</t>
        </is>
      </c>
      <c r="B841" s="1" t="n">
        <v>45440</v>
      </c>
      <c r="C841" s="1" t="n">
        <v>45998</v>
      </c>
      <c r="D841" t="inlineStr">
        <is>
          <t>VÄSTERNORRLANDS LÄN</t>
        </is>
      </c>
      <c r="E841" t="inlineStr">
        <is>
          <t>ÅNGE</t>
        </is>
      </c>
      <c r="G841" t="n">
        <v>3.7</v>
      </c>
      <c r="H841" t="n">
        <v>0</v>
      </c>
      <c r="I841" t="n">
        <v>0</v>
      </c>
      <c r="J841" t="n">
        <v>0</v>
      </c>
      <c r="K841" t="n">
        <v>0</v>
      </c>
      <c r="L841" t="n">
        <v>0</v>
      </c>
      <c r="M841" t="n">
        <v>0</v>
      </c>
      <c r="N841" t="n">
        <v>0</v>
      </c>
      <c r="O841" t="n">
        <v>0</v>
      </c>
      <c r="P841" t="n">
        <v>0</v>
      </c>
      <c r="Q841" t="n">
        <v>0</v>
      </c>
      <c r="R841" s="2" t="inlineStr"/>
    </row>
    <row r="842" ht="15" customHeight="1">
      <c r="A842" t="inlineStr">
        <is>
          <t>A 21686-2025</t>
        </is>
      </c>
      <c r="B842" s="1" t="n">
        <v>45783.490625</v>
      </c>
      <c r="C842" s="1" t="n">
        <v>45998</v>
      </c>
      <c r="D842" t="inlineStr">
        <is>
          <t>VÄSTERNORRLANDS LÄN</t>
        </is>
      </c>
      <c r="E842" t="inlineStr">
        <is>
          <t>ÅNGE</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13706-2023</t>
        </is>
      </c>
      <c r="B843" s="1" t="n">
        <v>45006</v>
      </c>
      <c r="C843" s="1" t="n">
        <v>45998</v>
      </c>
      <c r="D843" t="inlineStr">
        <is>
          <t>VÄSTERNORRLANDS LÄN</t>
        </is>
      </c>
      <c r="E843" t="inlineStr">
        <is>
          <t>ÅNGE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36492-2023</t>
        </is>
      </c>
      <c r="B844" s="1" t="n">
        <v>45152.92479166666</v>
      </c>
      <c r="C844" s="1" t="n">
        <v>45998</v>
      </c>
      <c r="D844" t="inlineStr">
        <is>
          <t>VÄSTERNORRLANDS LÄN</t>
        </is>
      </c>
      <c r="E844" t="inlineStr">
        <is>
          <t>ÅNGE</t>
        </is>
      </c>
      <c r="G844" t="n">
        <v>0.5</v>
      </c>
      <c r="H844" t="n">
        <v>0</v>
      </c>
      <c r="I844" t="n">
        <v>0</v>
      </c>
      <c r="J844" t="n">
        <v>0</v>
      </c>
      <c r="K844" t="n">
        <v>0</v>
      </c>
      <c r="L844" t="n">
        <v>0</v>
      </c>
      <c r="M844" t="n">
        <v>0</v>
      </c>
      <c r="N844" t="n">
        <v>0</v>
      </c>
      <c r="O844" t="n">
        <v>0</v>
      </c>
      <c r="P844" t="n">
        <v>0</v>
      </c>
      <c r="Q844" t="n">
        <v>0</v>
      </c>
      <c r="R844" s="2" t="inlineStr"/>
    </row>
    <row r="845" ht="15" customHeight="1">
      <c r="A845" t="inlineStr">
        <is>
          <t>A 6462-2024</t>
        </is>
      </c>
      <c r="B845" s="1" t="n">
        <v>45338</v>
      </c>
      <c r="C845" s="1" t="n">
        <v>45998</v>
      </c>
      <c r="D845" t="inlineStr">
        <is>
          <t>VÄSTERNORRLANDS LÄN</t>
        </is>
      </c>
      <c r="E845" t="inlineStr">
        <is>
          <t>ÅNGE</t>
        </is>
      </c>
      <c r="F845" t="inlineStr">
        <is>
          <t>Kyrkan</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8650-2024</t>
        </is>
      </c>
      <c r="B846" s="1" t="n">
        <v>45356</v>
      </c>
      <c r="C846" s="1" t="n">
        <v>45998</v>
      </c>
      <c r="D846" t="inlineStr">
        <is>
          <t>VÄSTERNORRLANDS LÄN</t>
        </is>
      </c>
      <c r="E846" t="inlineStr">
        <is>
          <t>ÅNGE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21741-2025</t>
        </is>
      </c>
      <c r="B847" s="1" t="n">
        <v>45783.59415509259</v>
      </c>
      <c r="C847" s="1" t="n">
        <v>45998</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39119-2024</t>
        </is>
      </c>
      <c r="B848" s="1" t="n">
        <v>45548.58939814815</v>
      </c>
      <c r="C848" s="1" t="n">
        <v>45998</v>
      </c>
      <c r="D848" t="inlineStr">
        <is>
          <t>VÄSTERNORRLANDS LÄN</t>
        </is>
      </c>
      <c r="E848" t="inlineStr">
        <is>
          <t>ÅNGE</t>
        </is>
      </c>
      <c r="G848" t="n">
        <v>8</v>
      </c>
      <c r="H848" t="n">
        <v>0</v>
      </c>
      <c r="I848" t="n">
        <v>0</v>
      </c>
      <c r="J848" t="n">
        <v>0</v>
      </c>
      <c r="K848" t="n">
        <v>0</v>
      </c>
      <c r="L848" t="n">
        <v>0</v>
      </c>
      <c r="M848" t="n">
        <v>0</v>
      </c>
      <c r="N848" t="n">
        <v>0</v>
      </c>
      <c r="O848" t="n">
        <v>0</v>
      </c>
      <c r="P848" t="n">
        <v>0</v>
      </c>
      <c r="Q848" t="n">
        <v>0</v>
      </c>
      <c r="R848" s="2" t="inlineStr"/>
    </row>
    <row r="849" ht="15" customHeight="1">
      <c r="A849" t="inlineStr">
        <is>
          <t>A 21685-2025</t>
        </is>
      </c>
      <c r="B849" s="1" t="n">
        <v>45783.49050925926</v>
      </c>
      <c r="C849" s="1" t="n">
        <v>45998</v>
      </c>
      <c r="D849" t="inlineStr">
        <is>
          <t>VÄSTERNORRLANDS LÄN</t>
        </is>
      </c>
      <c r="E849" t="inlineStr">
        <is>
          <t>ÅNGE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26490-2024</t>
        </is>
      </c>
      <c r="B850" s="1" t="n">
        <v>45469</v>
      </c>
      <c r="C850" s="1" t="n">
        <v>45998</v>
      </c>
      <c r="D850" t="inlineStr">
        <is>
          <t>VÄSTERNORRLANDS LÄN</t>
        </is>
      </c>
      <c r="E850" t="inlineStr">
        <is>
          <t>ÅNGE</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33747-2024</t>
        </is>
      </c>
      <c r="B851" s="1" t="n">
        <v>45520</v>
      </c>
      <c r="C851" s="1" t="n">
        <v>45998</v>
      </c>
      <c r="D851" t="inlineStr">
        <is>
          <t>VÄSTERNORRLANDS LÄN</t>
        </is>
      </c>
      <c r="E851" t="inlineStr">
        <is>
          <t>ÅNGE</t>
        </is>
      </c>
      <c r="G851" t="n">
        <v>0.7</v>
      </c>
      <c r="H851" t="n">
        <v>0</v>
      </c>
      <c r="I851" t="n">
        <v>0</v>
      </c>
      <c r="J851" t="n">
        <v>0</v>
      </c>
      <c r="K851" t="n">
        <v>0</v>
      </c>
      <c r="L851" t="n">
        <v>0</v>
      </c>
      <c r="M851" t="n">
        <v>0</v>
      </c>
      <c r="N851" t="n">
        <v>0</v>
      </c>
      <c r="O851" t="n">
        <v>0</v>
      </c>
      <c r="P851" t="n">
        <v>0</v>
      </c>
      <c r="Q851" t="n">
        <v>0</v>
      </c>
      <c r="R851" s="2" t="inlineStr"/>
    </row>
    <row r="852" ht="15" customHeight="1">
      <c r="A852" t="inlineStr">
        <is>
          <t>A 34754-2024</t>
        </is>
      </c>
      <c r="B852" s="1" t="n">
        <v>45526</v>
      </c>
      <c r="C852" s="1" t="n">
        <v>45998</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22411-2023</t>
        </is>
      </c>
      <c r="B853" s="1" t="n">
        <v>45070</v>
      </c>
      <c r="C853" s="1" t="n">
        <v>45998</v>
      </c>
      <c r="D853" t="inlineStr">
        <is>
          <t>VÄSTERNORRLANDS LÄN</t>
        </is>
      </c>
      <c r="E853" t="inlineStr">
        <is>
          <t>ÅNGE</t>
        </is>
      </c>
      <c r="G853" t="n">
        <v>2.8</v>
      </c>
      <c r="H853" t="n">
        <v>0</v>
      </c>
      <c r="I853" t="n">
        <v>0</v>
      </c>
      <c r="J853" t="n">
        <v>0</v>
      </c>
      <c r="K853" t="n">
        <v>0</v>
      </c>
      <c r="L853" t="n">
        <v>0</v>
      </c>
      <c r="M853" t="n">
        <v>0</v>
      </c>
      <c r="N853" t="n">
        <v>0</v>
      </c>
      <c r="O853" t="n">
        <v>0</v>
      </c>
      <c r="P853" t="n">
        <v>0</v>
      </c>
      <c r="Q853" t="n">
        <v>0</v>
      </c>
      <c r="R853" s="2" t="inlineStr"/>
    </row>
    <row r="854" ht="15" customHeight="1">
      <c r="A854" t="inlineStr">
        <is>
          <t>A 4071-2025</t>
        </is>
      </c>
      <c r="B854" s="1" t="n">
        <v>45684.63579861111</v>
      </c>
      <c r="C854" s="1" t="n">
        <v>45998</v>
      </c>
      <c r="D854" t="inlineStr">
        <is>
          <t>VÄSTERNORRLANDS LÄN</t>
        </is>
      </c>
      <c r="E854" t="inlineStr">
        <is>
          <t>ÅNGE</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6619-2025</t>
        </is>
      </c>
      <c r="B855" s="1" t="n">
        <v>45700.36541666667</v>
      </c>
      <c r="C855" s="1" t="n">
        <v>45998</v>
      </c>
      <c r="D855" t="inlineStr">
        <is>
          <t>VÄSTERNORRLANDS LÄN</t>
        </is>
      </c>
      <c r="E855" t="inlineStr">
        <is>
          <t>ÅNGE</t>
        </is>
      </c>
      <c r="F855" t="inlineStr">
        <is>
          <t>SCA</t>
        </is>
      </c>
      <c r="G855" t="n">
        <v>10.3</v>
      </c>
      <c r="H855" t="n">
        <v>0</v>
      </c>
      <c r="I855" t="n">
        <v>0</v>
      </c>
      <c r="J855" t="n">
        <v>0</v>
      </c>
      <c r="K855" t="n">
        <v>0</v>
      </c>
      <c r="L855" t="n">
        <v>0</v>
      </c>
      <c r="M855" t="n">
        <v>0</v>
      </c>
      <c r="N855" t="n">
        <v>0</v>
      </c>
      <c r="O855" t="n">
        <v>0</v>
      </c>
      <c r="P855" t="n">
        <v>0</v>
      </c>
      <c r="Q855" t="n">
        <v>0</v>
      </c>
      <c r="R855" s="2" t="inlineStr"/>
    </row>
    <row r="856" ht="15" customHeight="1">
      <c r="A856" t="inlineStr">
        <is>
          <t>A 59626-2022</t>
        </is>
      </c>
      <c r="B856" s="1" t="n">
        <v>44907.92354166666</v>
      </c>
      <c r="C856" s="1" t="n">
        <v>45998</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8070-2022</t>
        </is>
      </c>
      <c r="B857" s="1" t="n">
        <v>44609.48665509259</v>
      </c>
      <c r="C857" s="1" t="n">
        <v>45998</v>
      </c>
      <c r="D857" t="inlineStr">
        <is>
          <t>VÄSTERNORRLANDS LÄN</t>
        </is>
      </c>
      <c r="E857" t="inlineStr">
        <is>
          <t>ÅNGE</t>
        </is>
      </c>
      <c r="G857" t="n">
        <v>3.5</v>
      </c>
      <c r="H857" t="n">
        <v>0</v>
      </c>
      <c r="I857" t="n">
        <v>0</v>
      </c>
      <c r="J857" t="n">
        <v>0</v>
      </c>
      <c r="K857" t="n">
        <v>0</v>
      </c>
      <c r="L857" t="n">
        <v>0</v>
      </c>
      <c r="M857" t="n">
        <v>0</v>
      </c>
      <c r="N857" t="n">
        <v>0</v>
      </c>
      <c r="O857" t="n">
        <v>0</v>
      </c>
      <c r="P857" t="n">
        <v>0</v>
      </c>
      <c r="Q857" t="n">
        <v>0</v>
      </c>
      <c r="R857" s="2" t="inlineStr"/>
    </row>
    <row r="858" ht="15" customHeight="1">
      <c r="A858" t="inlineStr">
        <is>
          <t>A 14097-2022</t>
        </is>
      </c>
      <c r="B858" s="1" t="n">
        <v>44651</v>
      </c>
      <c r="C858" s="1" t="n">
        <v>45998</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56569-2024</t>
        </is>
      </c>
      <c r="B859" s="1" t="n">
        <v>45625</v>
      </c>
      <c r="C859" s="1" t="n">
        <v>45998</v>
      </c>
      <c r="D859" t="inlineStr">
        <is>
          <t>VÄSTERNORRLANDS LÄN</t>
        </is>
      </c>
      <c r="E859" t="inlineStr">
        <is>
          <t>ÅNGE</t>
        </is>
      </c>
      <c r="G859" t="n">
        <v>4.8</v>
      </c>
      <c r="H859" t="n">
        <v>0</v>
      </c>
      <c r="I859" t="n">
        <v>0</v>
      </c>
      <c r="J859" t="n">
        <v>0</v>
      </c>
      <c r="K859" t="n">
        <v>0</v>
      </c>
      <c r="L859" t="n">
        <v>0</v>
      </c>
      <c r="M859" t="n">
        <v>0</v>
      </c>
      <c r="N859" t="n">
        <v>0</v>
      </c>
      <c r="O859" t="n">
        <v>0</v>
      </c>
      <c r="P859" t="n">
        <v>0</v>
      </c>
      <c r="Q859" t="n">
        <v>0</v>
      </c>
      <c r="R859" s="2" t="inlineStr"/>
    </row>
    <row r="860" ht="15" customHeight="1">
      <c r="A860" t="inlineStr">
        <is>
          <t>A 29667-2024</t>
        </is>
      </c>
      <c r="B860" s="1" t="n">
        <v>45484.94041666666</v>
      </c>
      <c r="C860" s="1" t="n">
        <v>45998</v>
      </c>
      <c r="D860" t="inlineStr">
        <is>
          <t>VÄSTERNORRLANDS LÄN</t>
        </is>
      </c>
      <c r="E860" t="inlineStr">
        <is>
          <t>ÅNGE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39975-2023</t>
        </is>
      </c>
      <c r="B861" s="1" t="n">
        <v>45168.58844907407</v>
      </c>
      <c r="C861" s="1" t="n">
        <v>45998</v>
      </c>
      <c r="D861" t="inlineStr">
        <is>
          <t>VÄSTERNORRLANDS LÄN</t>
        </is>
      </c>
      <c r="E861" t="inlineStr">
        <is>
          <t>ÅNGE</t>
        </is>
      </c>
      <c r="G861" t="n">
        <v>2.2</v>
      </c>
      <c r="H861" t="n">
        <v>0</v>
      </c>
      <c r="I861" t="n">
        <v>0</v>
      </c>
      <c r="J861" t="n">
        <v>0</v>
      </c>
      <c r="K861" t="n">
        <v>0</v>
      </c>
      <c r="L861" t="n">
        <v>0</v>
      </c>
      <c r="M861" t="n">
        <v>0</v>
      </c>
      <c r="N861" t="n">
        <v>0</v>
      </c>
      <c r="O861" t="n">
        <v>0</v>
      </c>
      <c r="P861" t="n">
        <v>0</v>
      </c>
      <c r="Q861" t="n">
        <v>0</v>
      </c>
      <c r="R861" s="2" t="inlineStr"/>
    </row>
    <row r="862" ht="15" customHeight="1">
      <c r="A862" t="inlineStr">
        <is>
          <t>A 57529-2024</t>
        </is>
      </c>
      <c r="B862" s="1" t="n">
        <v>45630</v>
      </c>
      <c r="C862" s="1" t="n">
        <v>45998</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4872-2025</t>
        </is>
      </c>
      <c r="B863" s="1" t="n">
        <v>45688.67619212963</v>
      </c>
      <c r="C863" s="1" t="n">
        <v>45998</v>
      </c>
      <c r="D863" t="inlineStr">
        <is>
          <t>VÄSTERNORRLANDS LÄN</t>
        </is>
      </c>
      <c r="E863" t="inlineStr">
        <is>
          <t>ÅNGE</t>
        </is>
      </c>
      <c r="F863" t="inlineStr">
        <is>
          <t>SCA</t>
        </is>
      </c>
      <c r="G863" t="n">
        <v>31.3</v>
      </c>
      <c r="H863" t="n">
        <v>0</v>
      </c>
      <c r="I863" t="n">
        <v>0</v>
      </c>
      <c r="J863" t="n">
        <v>0</v>
      </c>
      <c r="K863" t="n">
        <v>0</v>
      </c>
      <c r="L863" t="n">
        <v>0</v>
      </c>
      <c r="M863" t="n">
        <v>0</v>
      </c>
      <c r="N863" t="n">
        <v>0</v>
      </c>
      <c r="O863" t="n">
        <v>0</v>
      </c>
      <c r="P863" t="n">
        <v>0</v>
      </c>
      <c r="Q863" t="n">
        <v>0</v>
      </c>
      <c r="R863" s="2" t="inlineStr"/>
      <c r="U863">
        <f>HYPERLINK("https://klasma.github.io/Logging_2260/knärot/A 4872-2025 karta knärot.png", "A 4872-2025")</f>
        <v/>
      </c>
      <c r="V863">
        <f>HYPERLINK("https://klasma.github.io/Logging_2260/klagomål/A 4872-2025 FSC-klagomål.docx", "A 4872-2025")</f>
        <v/>
      </c>
      <c r="W863">
        <f>HYPERLINK("https://klasma.github.io/Logging_2260/klagomålsmail/A 4872-2025 FSC-klagomål mail.docx", "A 4872-2025")</f>
        <v/>
      </c>
      <c r="X863">
        <f>HYPERLINK("https://klasma.github.io/Logging_2260/tillsyn/A 4872-2025 tillsynsbegäran.docx", "A 4872-2025")</f>
        <v/>
      </c>
      <c r="Y863">
        <f>HYPERLINK("https://klasma.github.io/Logging_2260/tillsynsmail/A 4872-2025 tillsynsbegäran mail.docx", "A 4872-2025")</f>
        <v/>
      </c>
    </row>
    <row r="864" ht="15" customHeight="1">
      <c r="A864" t="inlineStr">
        <is>
          <t>A 32776-2022</t>
        </is>
      </c>
      <c r="B864" s="1" t="n">
        <v>44783.94607638889</v>
      </c>
      <c r="C864" s="1" t="n">
        <v>45998</v>
      </c>
      <c r="D864" t="inlineStr">
        <is>
          <t>VÄSTERNORRLANDS LÄN</t>
        </is>
      </c>
      <c r="E864" t="inlineStr">
        <is>
          <t>ÅNGE</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16973-2025</t>
        </is>
      </c>
      <c r="B865" s="1" t="n">
        <v>45755.46967592592</v>
      </c>
      <c r="C865" s="1" t="n">
        <v>45998</v>
      </c>
      <c r="D865" t="inlineStr">
        <is>
          <t>VÄSTERNORRLANDS LÄN</t>
        </is>
      </c>
      <c r="E865" t="inlineStr">
        <is>
          <t>ÅNGE</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11032-2025</t>
        </is>
      </c>
      <c r="B866" s="1" t="n">
        <v>45723.47601851852</v>
      </c>
      <c r="C866" s="1" t="n">
        <v>45998</v>
      </c>
      <c r="D866" t="inlineStr">
        <is>
          <t>VÄSTERNORRLANDS LÄN</t>
        </is>
      </c>
      <c r="E866" t="inlineStr">
        <is>
          <t>ÅNGE</t>
        </is>
      </c>
      <c r="G866" t="n">
        <v>4.4</v>
      </c>
      <c r="H866" t="n">
        <v>0</v>
      </c>
      <c r="I866" t="n">
        <v>0</v>
      </c>
      <c r="J866" t="n">
        <v>0</v>
      </c>
      <c r="K866" t="n">
        <v>0</v>
      </c>
      <c r="L866" t="n">
        <v>0</v>
      </c>
      <c r="M866" t="n">
        <v>0</v>
      </c>
      <c r="N866" t="n">
        <v>0</v>
      </c>
      <c r="O866" t="n">
        <v>0</v>
      </c>
      <c r="P866" t="n">
        <v>0</v>
      </c>
      <c r="Q866" t="n">
        <v>0</v>
      </c>
      <c r="R866" s="2" t="inlineStr"/>
    </row>
    <row r="867" ht="15" customHeight="1">
      <c r="A867" t="inlineStr">
        <is>
          <t>A 56874-2024</t>
        </is>
      </c>
      <c r="B867" s="1" t="n">
        <v>45628</v>
      </c>
      <c r="C867" s="1" t="n">
        <v>45998</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48632-2023</t>
        </is>
      </c>
      <c r="B868" s="1" t="n">
        <v>45208.57944444445</v>
      </c>
      <c r="C868" s="1" t="n">
        <v>45998</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16657-2025</t>
        </is>
      </c>
      <c r="B869" s="1" t="n">
        <v>45754.40700231482</v>
      </c>
      <c r="C869" s="1" t="n">
        <v>45998</v>
      </c>
      <c r="D869" t="inlineStr">
        <is>
          <t>VÄSTERNORRLANDS LÄN</t>
        </is>
      </c>
      <c r="E869" t="inlineStr">
        <is>
          <t>ÅNGE</t>
        </is>
      </c>
      <c r="F869" t="inlineStr">
        <is>
          <t>SCA</t>
        </is>
      </c>
      <c r="G869" t="n">
        <v>5.1</v>
      </c>
      <c r="H869" t="n">
        <v>0</v>
      </c>
      <c r="I869" t="n">
        <v>0</v>
      </c>
      <c r="J869" t="n">
        <v>0</v>
      </c>
      <c r="K869" t="n">
        <v>0</v>
      </c>
      <c r="L869" t="n">
        <v>0</v>
      </c>
      <c r="M869" t="n">
        <v>0</v>
      </c>
      <c r="N869" t="n">
        <v>0</v>
      </c>
      <c r="O869" t="n">
        <v>0</v>
      </c>
      <c r="P869" t="n">
        <v>0</v>
      </c>
      <c r="Q869" t="n">
        <v>0</v>
      </c>
      <c r="R869" s="2" t="inlineStr"/>
    </row>
    <row r="870" ht="15" customHeight="1">
      <c r="A870" t="inlineStr">
        <is>
          <t>A 6608-2025</t>
        </is>
      </c>
      <c r="B870" s="1" t="n">
        <v>45700.34415509259</v>
      </c>
      <c r="C870" s="1" t="n">
        <v>45998</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51871-2024</t>
        </is>
      </c>
      <c r="B871" s="1" t="n">
        <v>45607</v>
      </c>
      <c r="C871" s="1" t="n">
        <v>45998</v>
      </c>
      <c r="D871" t="inlineStr">
        <is>
          <t>VÄSTERNORRLANDS LÄN</t>
        </is>
      </c>
      <c r="E871" t="inlineStr">
        <is>
          <t>ÅNGE</t>
        </is>
      </c>
      <c r="F871" t="inlineStr">
        <is>
          <t>SCA</t>
        </is>
      </c>
      <c r="G871" t="n">
        <v>10.1</v>
      </c>
      <c r="H871" t="n">
        <v>0</v>
      </c>
      <c r="I871" t="n">
        <v>0</v>
      </c>
      <c r="J871" t="n">
        <v>0</v>
      </c>
      <c r="K871" t="n">
        <v>0</v>
      </c>
      <c r="L871" t="n">
        <v>0</v>
      </c>
      <c r="M871" t="n">
        <v>0</v>
      </c>
      <c r="N871" t="n">
        <v>0</v>
      </c>
      <c r="O871" t="n">
        <v>0</v>
      </c>
      <c r="P871" t="n">
        <v>0</v>
      </c>
      <c r="Q871" t="n">
        <v>0</v>
      </c>
      <c r="R871" s="2" t="inlineStr"/>
    </row>
    <row r="872" ht="15" customHeight="1">
      <c r="A872" t="inlineStr">
        <is>
          <t>A 19065-2025</t>
        </is>
      </c>
      <c r="B872" s="1" t="n">
        <v>45765</v>
      </c>
      <c r="C872" s="1" t="n">
        <v>45998</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8747-2022</t>
        </is>
      </c>
      <c r="B873" s="1" t="n">
        <v>44614.33912037037</v>
      </c>
      <c r="C873" s="1" t="n">
        <v>45998</v>
      </c>
      <c r="D873" t="inlineStr">
        <is>
          <t>VÄSTERNORRLANDS LÄN</t>
        </is>
      </c>
      <c r="E873" t="inlineStr">
        <is>
          <t>ÅNGE</t>
        </is>
      </c>
      <c r="G873" t="n">
        <v>1.5</v>
      </c>
      <c r="H873" t="n">
        <v>0</v>
      </c>
      <c r="I873" t="n">
        <v>0</v>
      </c>
      <c r="J873" t="n">
        <v>0</v>
      </c>
      <c r="K873" t="n">
        <v>0</v>
      </c>
      <c r="L873" t="n">
        <v>0</v>
      </c>
      <c r="M873" t="n">
        <v>0</v>
      </c>
      <c r="N873" t="n">
        <v>0</v>
      </c>
      <c r="O873" t="n">
        <v>0</v>
      </c>
      <c r="P873" t="n">
        <v>0</v>
      </c>
      <c r="Q873" t="n">
        <v>0</v>
      </c>
      <c r="R873" s="2" t="inlineStr"/>
    </row>
    <row r="874" ht="15" customHeight="1">
      <c r="A874" t="inlineStr">
        <is>
          <t>A 36290-2023</t>
        </is>
      </c>
      <c r="B874" s="1" t="n">
        <v>45152.35467592593</v>
      </c>
      <c r="C874" s="1" t="n">
        <v>45998</v>
      </c>
      <c r="D874" t="inlineStr">
        <is>
          <t>VÄSTERNORRLANDS LÄN</t>
        </is>
      </c>
      <c r="E874" t="inlineStr">
        <is>
          <t>ÅNGE</t>
        </is>
      </c>
      <c r="F874" t="inlineStr">
        <is>
          <t>Övriga Aktiebolag</t>
        </is>
      </c>
      <c r="G874" t="n">
        <v>3.4</v>
      </c>
      <c r="H874" t="n">
        <v>0</v>
      </c>
      <c r="I874" t="n">
        <v>0</v>
      </c>
      <c r="J874" t="n">
        <v>0</v>
      </c>
      <c r="K874" t="n">
        <v>0</v>
      </c>
      <c r="L874" t="n">
        <v>0</v>
      </c>
      <c r="M874" t="n">
        <v>0</v>
      </c>
      <c r="N874" t="n">
        <v>0</v>
      </c>
      <c r="O874" t="n">
        <v>0</v>
      </c>
      <c r="P874" t="n">
        <v>0</v>
      </c>
      <c r="Q874" t="n">
        <v>0</v>
      </c>
      <c r="R874" s="2" t="inlineStr"/>
    </row>
    <row r="875" ht="15" customHeight="1">
      <c r="A875" t="inlineStr">
        <is>
          <t>A 14888-2022</t>
        </is>
      </c>
      <c r="B875" s="1" t="n">
        <v>44656</v>
      </c>
      <c r="C875" s="1" t="n">
        <v>45998</v>
      </c>
      <c r="D875" t="inlineStr">
        <is>
          <t>VÄSTERNORRLANDS LÄN</t>
        </is>
      </c>
      <c r="E875" t="inlineStr">
        <is>
          <t>ÅNGE</t>
        </is>
      </c>
      <c r="G875" t="n">
        <v>6.2</v>
      </c>
      <c r="H875" t="n">
        <v>0</v>
      </c>
      <c r="I875" t="n">
        <v>0</v>
      </c>
      <c r="J875" t="n">
        <v>0</v>
      </c>
      <c r="K875" t="n">
        <v>0</v>
      </c>
      <c r="L875" t="n">
        <v>0</v>
      </c>
      <c r="M875" t="n">
        <v>0</v>
      </c>
      <c r="N875" t="n">
        <v>0</v>
      </c>
      <c r="O875" t="n">
        <v>0</v>
      </c>
      <c r="P875" t="n">
        <v>0</v>
      </c>
      <c r="Q875" t="n">
        <v>0</v>
      </c>
      <c r="R875" s="2" t="inlineStr"/>
    </row>
    <row r="876" ht="15" customHeight="1">
      <c r="A876" t="inlineStr">
        <is>
          <t>A 48369-2024</t>
        </is>
      </c>
      <c r="B876" s="1" t="n">
        <v>45590.57960648148</v>
      </c>
      <c r="C876" s="1" t="n">
        <v>45998</v>
      </c>
      <c r="D876" t="inlineStr">
        <is>
          <t>VÄSTERNORRLANDS LÄN</t>
        </is>
      </c>
      <c r="E876" t="inlineStr">
        <is>
          <t>ÅNGE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1714-2025</t>
        </is>
      </c>
      <c r="B877" s="1" t="n">
        <v>45671.32474537037</v>
      </c>
      <c r="C877" s="1" t="n">
        <v>45998</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11529-2023</t>
        </is>
      </c>
      <c r="B878" s="1" t="n">
        <v>44993</v>
      </c>
      <c r="C878" s="1" t="n">
        <v>45998</v>
      </c>
      <c r="D878" t="inlineStr">
        <is>
          <t>VÄSTERNORRLANDS LÄN</t>
        </is>
      </c>
      <c r="E878" t="inlineStr">
        <is>
          <t>ÅNGE</t>
        </is>
      </c>
      <c r="G878" t="n">
        <v>8.9</v>
      </c>
      <c r="H878" t="n">
        <v>0</v>
      </c>
      <c r="I878" t="n">
        <v>0</v>
      </c>
      <c r="J878" t="n">
        <v>0</v>
      </c>
      <c r="K878" t="n">
        <v>0</v>
      </c>
      <c r="L878" t="n">
        <v>0</v>
      </c>
      <c r="M878" t="n">
        <v>0</v>
      </c>
      <c r="N878" t="n">
        <v>0</v>
      </c>
      <c r="O878" t="n">
        <v>0</v>
      </c>
      <c r="P878" t="n">
        <v>0</v>
      </c>
      <c r="Q878" t="n">
        <v>0</v>
      </c>
      <c r="R878" s="2" t="inlineStr"/>
    </row>
    <row r="879" ht="15" customHeight="1">
      <c r="A879" t="inlineStr">
        <is>
          <t>A 31182-2024</t>
        </is>
      </c>
      <c r="B879" s="1" t="n">
        <v>45503</v>
      </c>
      <c r="C879" s="1" t="n">
        <v>45998</v>
      </c>
      <c r="D879" t="inlineStr">
        <is>
          <t>VÄSTERNORRLANDS LÄN</t>
        </is>
      </c>
      <c r="E879" t="inlineStr">
        <is>
          <t>ÅNGE</t>
        </is>
      </c>
      <c r="G879" t="n">
        <v>8.6</v>
      </c>
      <c r="H879" t="n">
        <v>0</v>
      </c>
      <c r="I879" t="n">
        <v>0</v>
      </c>
      <c r="J879" t="n">
        <v>0</v>
      </c>
      <c r="K879" t="n">
        <v>0</v>
      </c>
      <c r="L879" t="n">
        <v>0</v>
      </c>
      <c r="M879" t="n">
        <v>0</v>
      </c>
      <c r="N879" t="n">
        <v>0</v>
      </c>
      <c r="O879" t="n">
        <v>0</v>
      </c>
      <c r="P879" t="n">
        <v>0</v>
      </c>
      <c r="Q879" t="n">
        <v>0</v>
      </c>
      <c r="R879" s="2" t="inlineStr"/>
    </row>
    <row r="880" ht="15" customHeight="1">
      <c r="A880" t="inlineStr">
        <is>
          <t>A 55329-2023</t>
        </is>
      </c>
      <c r="B880" s="1" t="n">
        <v>45237</v>
      </c>
      <c r="C880" s="1" t="n">
        <v>45998</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3986-2025</t>
        </is>
      </c>
      <c r="B881" s="1" t="n">
        <v>45684.55262731481</v>
      </c>
      <c r="C881" s="1" t="n">
        <v>45998</v>
      </c>
      <c r="D881" t="inlineStr">
        <is>
          <t>VÄSTERNORRLANDS LÄN</t>
        </is>
      </c>
      <c r="E881" t="inlineStr">
        <is>
          <t>ÅNGE</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46795-2023</t>
        </is>
      </c>
      <c r="B882" s="1" t="n">
        <v>45198</v>
      </c>
      <c r="C882" s="1" t="n">
        <v>45998</v>
      </c>
      <c r="D882" t="inlineStr">
        <is>
          <t>VÄSTERNORRLANDS LÄN</t>
        </is>
      </c>
      <c r="E882" t="inlineStr">
        <is>
          <t>ÅNGE</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41758-2024</t>
        </is>
      </c>
      <c r="B883" s="1" t="n">
        <v>45561.34478009259</v>
      </c>
      <c r="C883" s="1" t="n">
        <v>45998</v>
      </c>
      <c r="D883" t="inlineStr">
        <is>
          <t>VÄSTERNORRLANDS LÄN</t>
        </is>
      </c>
      <c r="E883" t="inlineStr">
        <is>
          <t>ÅNGE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5433-2024</t>
        </is>
      </c>
      <c r="B884" s="1" t="n">
        <v>45331</v>
      </c>
      <c r="C884" s="1" t="n">
        <v>45998</v>
      </c>
      <c r="D884" t="inlineStr">
        <is>
          <t>VÄSTERNORRLANDS LÄN</t>
        </is>
      </c>
      <c r="E884" t="inlineStr">
        <is>
          <t>ÅNGE</t>
        </is>
      </c>
      <c r="G884" t="n">
        <v>2.1</v>
      </c>
      <c r="H884" t="n">
        <v>0</v>
      </c>
      <c r="I884" t="n">
        <v>0</v>
      </c>
      <c r="J884" t="n">
        <v>0</v>
      </c>
      <c r="K884" t="n">
        <v>0</v>
      </c>
      <c r="L884" t="n">
        <v>0</v>
      </c>
      <c r="M884" t="n">
        <v>0</v>
      </c>
      <c r="N884" t="n">
        <v>0</v>
      </c>
      <c r="O884" t="n">
        <v>0</v>
      </c>
      <c r="P884" t="n">
        <v>0</v>
      </c>
      <c r="Q884" t="n">
        <v>0</v>
      </c>
      <c r="R884" s="2" t="inlineStr"/>
    </row>
    <row r="885" ht="15" customHeight="1">
      <c r="A885" t="inlineStr">
        <is>
          <t>A 19926-2025</t>
        </is>
      </c>
      <c r="B885" s="1" t="n">
        <v>45771.6357175926</v>
      </c>
      <c r="C885" s="1" t="n">
        <v>45998</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32257-2024</t>
        </is>
      </c>
      <c r="B886" s="1" t="n">
        <v>45511</v>
      </c>
      <c r="C886" s="1" t="n">
        <v>45998</v>
      </c>
      <c r="D886" t="inlineStr">
        <is>
          <t>VÄSTERNORRLANDS LÄN</t>
        </is>
      </c>
      <c r="E886" t="inlineStr">
        <is>
          <t>ÅNGE</t>
        </is>
      </c>
      <c r="F886" t="inlineStr">
        <is>
          <t>SCA</t>
        </is>
      </c>
      <c r="G886" t="n">
        <v>4.7</v>
      </c>
      <c r="H886" t="n">
        <v>0</v>
      </c>
      <c r="I886" t="n">
        <v>0</v>
      </c>
      <c r="J886" t="n">
        <v>0</v>
      </c>
      <c r="K886" t="n">
        <v>0</v>
      </c>
      <c r="L886" t="n">
        <v>0</v>
      </c>
      <c r="M886" t="n">
        <v>0</v>
      </c>
      <c r="N886" t="n">
        <v>0</v>
      </c>
      <c r="O886" t="n">
        <v>0</v>
      </c>
      <c r="P886" t="n">
        <v>0</v>
      </c>
      <c r="Q886" t="n">
        <v>0</v>
      </c>
      <c r="R886" s="2" t="inlineStr"/>
    </row>
    <row r="887" ht="15" customHeight="1">
      <c r="A887" t="inlineStr">
        <is>
          <t>A 3249-2024</t>
        </is>
      </c>
      <c r="B887" s="1" t="n">
        <v>45316</v>
      </c>
      <c r="C887" s="1" t="n">
        <v>45998</v>
      </c>
      <c r="D887" t="inlineStr">
        <is>
          <t>VÄSTERNORRLANDS LÄN</t>
        </is>
      </c>
      <c r="E887" t="inlineStr">
        <is>
          <t>ÅNGE</t>
        </is>
      </c>
      <c r="G887" t="n">
        <v>0.3</v>
      </c>
      <c r="H887" t="n">
        <v>0</v>
      </c>
      <c r="I887" t="n">
        <v>0</v>
      </c>
      <c r="J887" t="n">
        <v>0</v>
      </c>
      <c r="K887" t="n">
        <v>0</v>
      </c>
      <c r="L887" t="n">
        <v>0</v>
      </c>
      <c r="M887" t="n">
        <v>0</v>
      </c>
      <c r="N887" t="n">
        <v>0</v>
      </c>
      <c r="O887" t="n">
        <v>0</v>
      </c>
      <c r="P887" t="n">
        <v>0</v>
      </c>
      <c r="Q887" t="n">
        <v>0</v>
      </c>
      <c r="R887" s="2" t="inlineStr"/>
    </row>
    <row r="888" ht="15" customHeight="1">
      <c r="A888" t="inlineStr">
        <is>
          <t>A 51055-2023</t>
        </is>
      </c>
      <c r="B888" s="1" t="n">
        <v>45218</v>
      </c>
      <c r="C888" s="1" t="n">
        <v>45998</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6684-2024</t>
        </is>
      </c>
      <c r="B889" s="1" t="n">
        <v>45341.92555555556</v>
      </c>
      <c r="C889" s="1" t="n">
        <v>45998</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4094-2025</t>
        </is>
      </c>
      <c r="B890" s="1" t="n">
        <v>45684.6778125</v>
      </c>
      <c r="C890" s="1" t="n">
        <v>45998</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31492-2024</t>
        </is>
      </c>
      <c r="B891" s="1" t="n">
        <v>45505</v>
      </c>
      <c r="C891" s="1" t="n">
        <v>45998</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113-2025</t>
        </is>
      </c>
      <c r="B892" s="1" t="n">
        <v>45659.5106712963</v>
      </c>
      <c r="C892" s="1" t="n">
        <v>45998</v>
      </c>
      <c r="D892" t="inlineStr">
        <is>
          <t>VÄSTERNORRLANDS LÄN</t>
        </is>
      </c>
      <c r="E892" t="inlineStr">
        <is>
          <t>ÅNGE</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1403-2025</t>
        </is>
      </c>
      <c r="B893" s="1" t="n">
        <v>45667.70548611111</v>
      </c>
      <c r="C893" s="1" t="n">
        <v>45998</v>
      </c>
      <c r="D893" t="inlineStr">
        <is>
          <t>VÄSTERNORRLANDS LÄN</t>
        </is>
      </c>
      <c r="E893" t="inlineStr">
        <is>
          <t>ÅNGE</t>
        </is>
      </c>
      <c r="G893" t="n">
        <v>1.3</v>
      </c>
      <c r="H893" t="n">
        <v>0</v>
      </c>
      <c r="I893" t="n">
        <v>0</v>
      </c>
      <c r="J893" t="n">
        <v>0</v>
      </c>
      <c r="K893" t="n">
        <v>0</v>
      </c>
      <c r="L893" t="n">
        <v>0</v>
      </c>
      <c r="M893" t="n">
        <v>0</v>
      </c>
      <c r="N893" t="n">
        <v>0</v>
      </c>
      <c r="O893" t="n">
        <v>0</v>
      </c>
      <c r="P893" t="n">
        <v>0</v>
      </c>
      <c r="Q893" t="n">
        <v>0</v>
      </c>
      <c r="R893" s="2" t="inlineStr"/>
    </row>
    <row r="894" ht="15" customHeight="1">
      <c r="A894" t="inlineStr">
        <is>
          <t>A 39619-2024</t>
        </is>
      </c>
      <c r="B894" s="1" t="n">
        <v>45552</v>
      </c>
      <c r="C894" s="1" t="n">
        <v>45998</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38800-2024</t>
        </is>
      </c>
      <c r="B895" s="1" t="n">
        <v>45547</v>
      </c>
      <c r="C895" s="1" t="n">
        <v>45998</v>
      </c>
      <c r="D895" t="inlineStr">
        <is>
          <t>VÄSTERNORRLANDS LÄN</t>
        </is>
      </c>
      <c r="E895" t="inlineStr">
        <is>
          <t>ÅNGE</t>
        </is>
      </c>
      <c r="G895" t="n">
        <v>2.6</v>
      </c>
      <c r="H895" t="n">
        <v>0</v>
      </c>
      <c r="I895" t="n">
        <v>0</v>
      </c>
      <c r="J895" t="n">
        <v>0</v>
      </c>
      <c r="K895" t="n">
        <v>0</v>
      </c>
      <c r="L895" t="n">
        <v>0</v>
      </c>
      <c r="M895" t="n">
        <v>0</v>
      </c>
      <c r="N895" t="n">
        <v>0</v>
      </c>
      <c r="O895" t="n">
        <v>0</v>
      </c>
      <c r="P895" t="n">
        <v>0</v>
      </c>
      <c r="Q895" t="n">
        <v>0</v>
      </c>
      <c r="R895" s="2" t="inlineStr"/>
    </row>
    <row r="896" ht="15" customHeight="1">
      <c r="A896" t="inlineStr">
        <is>
          <t>A 39973-2023</t>
        </is>
      </c>
      <c r="B896" s="1" t="n">
        <v>45168.5858912037</v>
      </c>
      <c r="C896" s="1" t="n">
        <v>45998</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20880-2025</t>
        </is>
      </c>
      <c r="B897" s="1" t="n">
        <v>45777</v>
      </c>
      <c r="C897" s="1" t="n">
        <v>45998</v>
      </c>
      <c r="D897" t="inlineStr">
        <is>
          <t>VÄSTERNORRLANDS LÄN</t>
        </is>
      </c>
      <c r="E897" t="inlineStr">
        <is>
          <t>ÅNGE</t>
        </is>
      </c>
      <c r="G897" t="n">
        <v>1.6</v>
      </c>
      <c r="H897" t="n">
        <v>0</v>
      </c>
      <c r="I897" t="n">
        <v>0</v>
      </c>
      <c r="J897" t="n">
        <v>0</v>
      </c>
      <c r="K897" t="n">
        <v>0</v>
      </c>
      <c r="L897" t="n">
        <v>0</v>
      </c>
      <c r="M897" t="n">
        <v>0</v>
      </c>
      <c r="N897" t="n">
        <v>0</v>
      </c>
      <c r="O897" t="n">
        <v>0</v>
      </c>
      <c r="P897" t="n">
        <v>0</v>
      </c>
      <c r="Q897" t="n">
        <v>0</v>
      </c>
      <c r="R897" s="2" t="inlineStr"/>
    </row>
    <row r="898" ht="15" customHeight="1">
      <c r="A898" t="inlineStr">
        <is>
          <t>A 58637-2023</t>
        </is>
      </c>
      <c r="B898" s="1" t="n">
        <v>45251</v>
      </c>
      <c r="C898" s="1" t="n">
        <v>45998</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58774-2023</t>
        </is>
      </c>
      <c r="B899" s="1" t="n">
        <v>45251</v>
      </c>
      <c r="C899" s="1" t="n">
        <v>45998</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4359-2025</t>
        </is>
      </c>
      <c r="B900" s="1" t="n">
        <v>45686.33072916666</v>
      </c>
      <c r="C900" s="1" t="n">
        <v>45998</v>
      </c>
      <c r="D900" t="inlineStr">
        <is>
          <t>VÄSTERNORRLANDS LÄN</t>
        </is>
      </c>
      <c r="E900" t="inlineStr">
        <is>
          <t>ÅNGE</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11399-2025</t>
        </is>
      </c>
      <c r="B901" s="1" t="n">
        <v>45726.57364583333</v>
      </c>
      <c r="C901" s="1" t="n">
        <v>45998</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15822-2025</t>
        </is>
      </c>
      <c r="B902" s="1" t="n">
        <v>45748.70172453704</v>
      </c>
      <c r="C902" s="1" t="n">
        <v>45998</v>
      </c>
      <c r="D902" t="inlineStr">
        <is>
          <t>VÄSTERNORRLANDS LÄN</t>
        </is>
      </c>
      <c r="E902" t="inlineStr">
        <is>
          <t>ÅNGE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57591-2022</t>
        </is>
      </c>
      <c r="B903" s="1" t="n">
        <v>44896.97834490741</v>
      </c>
      <c r="C903" s="1" t="n">
        <v>45998</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17044-2023</t>
        </is>
      </c>
      <c r="B904" s="1" t="n">
        <v>45034</v>
      </c>
      <c r="C904" s="1" t="n">
        <v>45998</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4236-2025</t>
        </is>
      </c>
      <c r="B905" s="1" t="n">
        <v>45685.56534722223</v>
      </c>
      <c r="C905" s="1" t="n">
        <v>45998</v>
      </c>
      <c r="D905" t="inlineStr">
        <is>
          <t>VÄSTERNORRLANDS LÄN</t>
        </is>
      </c>
      <c r="E905" t="inlineStr">
        <is>
          <t>ÅNGE</t>
        </is>
      </c>
      <c r="G905" t="n">
        <v>2.4</v>
      </c>
      <c r="H905" t="n">
        <v>0</v>
      </c>
      <c r="I905" t="n">
        <v>0</v>
      </c>
      <c r="J905" t="n">
        <v>0</v>
      </c>
      <c r="K905" t="n">
        <v>0</v>
      </c>
      <c r="L905" t="n">
        <v>0</v>
      </c>
      <c r="M905" t="n">
        <v>0</v>
      </c>
      <c r="N905" t="n">
        <v>0</v>
      </c>
      <c r="O905" t="n">
        <v>0</v>
      </c>
      <c r="P905" t="n">
        <v>0</v>
      </c>
      <c r="Q905" t="n">
        <v>0</v>
      </c>
      <c r="R905" s="2" t="inlineStr"/>
    </row>
    <row r="906" ht="15" customHeight="1">
      <c r="A906" t="inlineStr">
        <is>
          <t>A 60812-2024</t>
        </is>
      </c>
      <c r="B906" s="1" t="n">
        <v>45644</v>
      </c>
      <c r="C906" s="1" t="n">
        <v>45998</v>
      </c>
      <c r="D906" t="inlineStr">
        <is>
          <t>VÄSTERNORRLANDS LÄN</t>
        </is>
      </c>
      <c r="E906" t="inlineStr">
        <is>
          <t>ÅNGE</t>
        </is>
      </c>
      <c r="G906" t="n">
        <v>3.6</v>
      </c>
      <c r="H906" t="n">
        <v>0</v>
      </c>
      <c r="I906" t="n">
        <v>0</v>
      </c>
      <c r="J906" t="n">
        <v>0</v>
      </c>
      <c r="K906" t="n">
        <v>0</v>
      </c>
      <c r="L906" t="n">
        <v>0</v>
      </c>
      <c r="M906" t="n">
        <v>0</v>
      </c>
      <c r="N906" t="n">
        <v>0</v>
      </c>
      <c r="O906" t="n">
        <v>0</v>
      </c>
      <c r="P906" t="n">
        <v>0</v>
      </c>
      <c r="Q906" t="n">
        <v>0</v>
      </c>
      <c r="R906" s="2" t="inlineStr"/>
    </row>
    <row r="907" ht="15" customHeight="1">
      <c r="A907" t="inlineStr">
        <is>
          <t>A 58943-2022</t>
        </is>
      </c>
      <c r="B907" s="1" t="n">
        <v>44903.64400462963</v>
      </c>
      <c r="C907" s="1" t="n">
        <v>45998</v>
      </c>
      <c r="D907" t="inlineStr">
        <is>
          <t>VÄSTERNORRLANDS LÄN</t>
        </is>
      </c>
      <c r="E907" t="inlineStr">
        <is>
          <t>ÅNGE</t>
        </is>
      </c>
      <c r="G907" t="n">
        <v>5.6</v>
      </c>
      <c r="H907" t="n">
        <v>0</v>
      </c>
      <c r="I907" t="n">
        <v>0</v>
      </c>
      <c r="J907" t="n">
        <v>0</v>
      </c>
      <c r="K907" t="n">
        <v>0</v>
      </c>
      <c r="L907" t="n">
        <v>0</v>
      </c>
      <c r="M907" t="n">
        <v>0</v>
      </c>
      <c r="N907" t="n">
        <v>0</v>
      </c>
      <c r="O907" t="n">
        <v>0</v>
      </c>
      <c r="P907" t="n">
        <v>0</v>
      </c>
      <c r="Q907" t="n">
        <v>0</v>
      </c>
      <c r="R907" s="2" t="inlineStr"/>
    </row>
    <row r="908" ht="15" customHeight="1">
      <c r="A908" t="inlineStr">
        <is>
          <t>A 51131-2022</t>
        </is>
      </c>
      <c r="B908" s="1" t="n">
        <v>44868</v>
      </c>
      <c r="C908" s="1" t="n">
        <v>45998</v>
      </c>
      <c r="D908" t="inlineStr">
        <is>
          <t>VÄSTERNORRLANDS LÄN</t>
        </is>
      </c>
      <c r="E908" t="inlineStr">
        <is>
          <t>ÅNGE</t>
        </is>
      </c>
      <c r="G908" t="n">
        <v>11.1</v>
      </c>
      <c r="H908" t="n">
        <v>0</v>
      </c>
      <c r="I908" t="n">
        <v>0</v>
      </c>
      <c r="J908" t="n">
        <v>0</v>
      </c>
      <c r="K908" t="n">
        <v>0</v>
      </c>
      <c r="L908" t="n">
        <v>0</v>
      </c>
      <c r="M908" t="n">
        <v>0</v>
      </c>
      <c r="N908" t="n">
        <v>0</v>
      </c>
      <c r="O908" t="n">
        <v>0</v>
      </c>
      <c r="P908" t="n">
        <v>0</v>
      </c>
      <c r="Q908" t="n">
        <v>0</v>
      </c>
      <c r="R908" s="2" t="inlineStr"/>
    </row>
    <row r="909" ht="15" customHeight="1">
      <c r="A909" t="inlineStr">
        <is>
          <t>A 1103-2023</t>
        </is>
      </c>
      <c r="B909" s="1" t="n">
        <v>44929</v>
      </c>
      <c r="C909" s="1" t="n">
        <v>45998</v>
      </c>
      <c r="D909" t="inlineStr">
        <is>
          <t>VÄSTERNORRLANDS LÄN</t>
        </is>
      </c>
      <c r="E909" t="inlineStr">
        <is>
          <t>ÅNGE</t>
        </is>
      </c>
      <c r="G909" t="n">
        <v>7.3</v>
      </c>
      <c r="H909" t="n">
        <v>0</v>
      </c>
      <c r="I909" t="n">
        <v>0</v>
      </c>
      <c r="J909" t="n">
        <v>0</v>
      </c>
      <c r="K909" t="n">
        <v>0</v>
      </c>
      <c r="L909" t="n">
        <v>0</v>
      </c>
      <c r="M909" t="n">
        <v>0</v>
      </c>
      <c r="N909" t="n">
        <v>0</v>
      </c>
      <c r="O909" t="n">
        <v>0</v>
      </c>
      <c r="P909" t="n">
        <v>0</v>
      </c>
      <c r="Q909" t="n">
        <v>0</v>
      </c>
      <c r="R909" s="2" t="inlineStr"/>
    </row>
    <row r="910" ht="15" customHeight="1">
      <c r="A910" t="inlineStr">
        <is>
          <t>A 5999-2025</t>
        </is>
      </c>
      <c r="B910" s="1" t="n">
        <v>45695</v>
      </c>
      <c r="C910" s="1" t="n">
        <v>45998</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57526-2024</t>
        </is>
      </c>
      <c r="B911" s="1" t="n">
        <v>45630</v>
      </c>
      <c r="C911" s="1" t="n">
        <v>45998</v>
      </c>
      <c r="D911" t="inlineStr">
        <is>
          <t>VÄSTERNORRLANDS LÄN</t>
        </is>
      </c>
      <c r="E911" t="inlineStr">
        <is>
          <t>ÅNGE</t>
        </is>
      </c>
      <c r="G911" t="n">
        <v>3.2</v>
      </c>
      <c r="H911" t="n">
        <v>0</v>
      </c>
      <c r="I911" t="n">
        <v>0</v>
      </c>
      <c r="J911" t="n">
        <v>0</v>
      </c>
      <c r="K911" t="n">
        <v>0</v>
      </c>
      <c r="L911" t="n">
        <v>0</v>
      </c>
      <c r="M911" t="n">
        <v>0</v>
      </c>
      <c r="N911" t="n">
        <v>0</v>
      </c>
      <c r="O911" t="n">
        <v>0</v>
      </c>
      <c r="P911" t="n">
        <v>0</v>
      </c>
      <c r="Q911" t="n">
        <v>0</v>
      </c>
      <c r="R911" s="2" t="inlineStr"/>
    </row>
    <row r="912" ht="15" customHeight="1">
      <c r="A912" t="inlineStr">
        <is>
          <t>A 26015-2024</t>
        </is>
      </c>
      <c r="B912" s="1" t="n">
        <v>45467.95872685185</v>
      </c>
      <c r="C912" s="1" t="n">
        <v>45998</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26010-2024</t>
        </is>
      </c>
      <c r="B913" s="1" t="n">
        <v>45467.95819444444</v>
      </c>
      <c r="C913" s="1" t="n">
        <v>45998</v>
      </c>
      <c r="D913" t="inlineStr">
        <is>
          <t>VÄSTERNORRLANDS LÄN</t>
        </is>
      </c>
      <c r="E913" t="inlineStr">
        <is>
          <t>ÅNGE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60365-2024</t>
        </is>
      </c>
      <c r="B914" s="1" t="n">
        <v>45643</v>
      </c>
      <c r="C914" s="1" t="n">
        <v>45998</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18456-2024</t>
        </is>
      </c>
      <c r="B915" s="1" t="n">
        <v>45425.46831018518</v>
      </c>
      <c r="C915" s="1" t="n">
        <v>45998</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11871-2025</t>
        </is>
      </c>
      <c r="B916" s="1" t="n">
        <v>45728.42740740741</v>
      </c>
      <c r="C916" s="1" t="n">
        <v>45998</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15799-2025</t>
        </is>
      </c>
      <c r="B917" s="1" t="n">
        <v>45748.64768518518</v>
      </c>
      <c r="C917" s="1" t="n">
        <v>45998</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47488-2023</t>
        </is>
      </c>
      <c r="B918" s="1" t="n">
        <v>45202.94168981481</v>
      </c>
      <c r="C918" s="1" t="n">
        <v>45998</v>
      </c>
      <c r="D918" t="inlineStr">
        <is>
          <t>VÄSTERNORRLANDS LÄN</t>
        </is>
      </c>
      <c r="E918" t="inlineStr">
        <is>
          <t>ÅNGE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54982-2023</t>
        </is>
      </c>
      <c r="B919" s="1" t="n">
        <v>45236</v>
      </c>
      <c r="C919" s="1" t="n">
        <v>45998</v>
      </c>
      <c r="D919" t="inlineStr">
        <is>
          <t>VÄSTERNORRLANDS LÄN</t>
        </is>
      </c>
      <c r="E919" t="inlineStr">
        <is>
          <t>ÅNGE</t>
        </is>
      </c>
      <c r="F919" t="inlineStr">
        <is>
          <t>SCA</t>
        </is>
      </c>
      <c r="G919" t="n">
        <v>26.2</v>
      </c>
      <c r="H919" t="n">
        <v>0</v>
      </c>
      <c r="I919" t="n">
        <v>0</v>
      </c>
      <c r="J919" t="n">
        <v>0</v>
      </c>
      <c r="K919" t="n">
        <v>0</v>
      </c>
      <c r="L919" t="n">
        <v>0</v>
      </c>
      <c r="M919" t="n">
        <v>0</v>
      </c>
      <c r="N919" t="n">
        <v>0</v>
      </c>
      <c r="O919" t="n">
        <v>0</v>
      </c>
      <c r="P919" t="n">
        <v>0</v>
      </c>
      <c r="Q919" t="n">
        <v>0</v>
      </c>
      <c r="R919" s="2" t="inlineStr"/>
    </row>
    <row r="920" ht="15" customHeight="1">
      <c r="A920" t="inlineStr">
        <is>
          <t>A 44180-2023</t>
        </is>
      </c>
      <c r="B920" s="1" t="n">
        <v>45183</v>
      </c>
      <c r="C920" s="1" t="n">
        <v>45998</v>
      </c>
      <c r="D920" t="inlineStr">
        <is>
          <t>VÄSTERNORRLANDS LÄN</t>
        </is>
      </c>
      <c r="E920" t="inlineStr">
        <is>
          <t>ÅNGE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5197-2025</t>
        </is>
      </c>
      <c r="B921" s="1" t="n">
        <v>45691.65701388889</v>
      </c>
      <c r="C921" s="1" t="n">
        <v>45998</v>
      </c>
      <c r="D921" t="inlineStr">
        <is>
          <t>VÄSTERNORRLANDS LÄN</t>
        </is>
      </c>
      <c r="E921" t="inlineStr">
        <is>
          <t>ÅNGE</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57560-2023</t>
        </is>
      </c>
      <c r="B922" s="1" t="n">
        <v>45243</v>
      </c>
      <c r="C922" s="1" t="n">
        <v>45998</v>
      </c>
      <c r="D922" t="inlineStr">
        <is>
          <t>VÄSTERNORRLANDS LÄN</t>
        </is>
      </c>
      <c r="E922" t="inlineStr">
        <is>
          <t>ÅNGE</t>
        </is>
      </c>
      <c r="G922" t="n">
        <v>7.4</v>
      </c>
      <c r="H922" t="n">
        <v>0</v>
      </c>
      <c r="I922" t="n">
        <v>0</v>
      </c>
      <c r="J922" t="n">
        <v>0</v>
      </c>
      <c r="K922" t="n">
        <v>0</v>
      </c>
      <c r="L922" t="n">
        <v>0</v>
      </c>
      <c r="M922" t="n">
        <v>0</v>
      </c>
      <c r="N922" t="n">
        <v>0</v>
      </c>
      <c r="O922" t="n">
        <v>0</v>
      </c>
      <c r="P922" t="n">
        <v>0</v>
      </c>
      <c r="Q922" t="n">
        <v>0</v>
      </c>
      <c r="R922" s="2" t="inlineStr"/>
    </row>
    <row r="923" ht="15" customHeight="1">
      <c r="A923" t="inlineStr">
        <is>
          <t>A 57568-2023</t>
        </is>
      </c>
      <c r="B923" s="1" t="n">
        <v>45246.50484953704</v>
      </c>
      <c r="C923" s="1" t="n">
        <v>45998</v>
      </c>
      <c r="D923" t="inlineStr">
        <is>
          <t>VÄSTERNORRLANDS LÄN</t>
        </is>
      </c>
      <c r="E923" t="inlineStr">
        <is>
          <t>ÅNGE</t>
        </is>
      </c>
      <c r="G923" t="n">
        <v>1.7</v>
      </c>
      <c r="H923" t="n">
        <v>0</v>
      </c>
      <c r="I923" t="n">
        <v>0</v>
      </c>
      <c r="J923" t="n">
        <v>0</v>
      </c>
      <c r="K923" t="n">
        <v>0</v>
      </c>
      <c r="L923" t="n">
        <v>0</v>
      </c>
      <c r="M923" t="n">
        <v>0</v>
      </c>
      <c r="N923" t="n">
        <v>0</v>
      </c>
      <c r="O923" t="n">
        <v>0</v>
      </c>
      <c r="P923" t="n">
        <v>0</v>
      </c>
      <c r="Q923" t="n">
        <v>0</v>
      </c>
      <c r="R923" s="2" t="inlineStr"/>
    </row>
    <row r="924" ht="15" customHeight="1">
      <c r="A924" t="inlineStr">
        <is>
          <t>A 5246-2025</t>
        </is>
      </c>
      <c r="B924" s="1" t="n">
        <v>45692.34427083333</v>
      </c>
      <c r="C924" s="1" t="n">
        <v>45998</v>
      </c>
      <c r="D924" t="inlineStr">
        <is>
          <t>VÄSTERNORRLANDS LÄN</t>
        </is>
      </c>
      <c r="E924" t="inlineStr">
        <is>
          <t>ÅNGE</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41829-2021</t>
        </is>
      </c>
      <c r="B925" s="1" t="n">
        <v>44425.92202546296</v>
      </c>
      <c r="C925" s="1" t="n">
        <v>45998</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45998</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13491-2023</t>
        </is>
      </c>
      <c r="B927" s="1" t="n">
        <v>45005.93929398148</v>
      </c>
      <c r="C927" s="1" t="n">
        <v>45998</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row>
    <row r="928" ht="15" customHeight="1">
      <c r="A928" t="inlineStr">
        <is>
          <t>A 47243-2024</t>
        </is>
      </c>
      <c r="B928" s="1" t="n">
        <v>45586.6987962963</v>
      </c>
      <c r="C928" s="1" t="n">
        <v>45998</v>
      </c>
      <c r="D928" t="inlineStr">
        <is>
          <t>VÄSTERNORRLANDS LÄN</t>
        </is>
      </c>
      <c r="E928" t="inlineStr">
        <is>
          <t>ÅNGE</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37540-2024</t>
        </is>
      </c>
      <c r="B929" s="1" t="n">
        <v>45541.42111111111</v>
      </c>
      <c r="C929" s="1" t="n">
        <v>45998</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42948-2024</t>
        </is>
      </c>
      <c r="B930" s="1" t="n">
        <v>45567.36628472222</v>
      </c>
      <c r="C930" s="1" t="n">
        <v>45998</v>
      </c>
      <c r="D930" t="inlineStr">
        <is>
          <t>VÄSTERNORRLANDS LÄN</t>
        </is>
      </c>
      <c r="E930" t="inlineStr">
        <is>
          <t>ÅNGE</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54585-2024</t>
        </is>
      </c>
      <c r="B931" s="1" t="n">
        <v>45617.65762731482</v>
      </c>
      <c r="C931" s="1" t="n">
        <v>45998</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15404-2025</t>
        </is>
      </c>
      <c r="B932" s="1" t="n">
        <v>45747.44665509259</v>
      </c>
      <c r="C932" s="1" t="n">
        <v>45998</v>
      </c>
      <c r="D932" t="inlineStr">
        <is>
          <t>VÄSTERNORRLANDS LÄN</t>
        </is>
      </c>
      <c r="E932" t="inlineStr">
        <is>
          <t>ÅNGE</t>
        </is>
      </c>
      <c r="G932" t="n">
        <v>11.8</v>
      </c>
      <c r="H932" t="n">
        <v>0</v>
      </c>
      <c r="I932" t="n">
        <v>0</v>
      </c>
      <c r="J932" t="n">
        <v>0</v>
      </c>
      <c r="K932" t="n">
        <v>0</v>
      </c>
      <c r="L932" t="n">
        <v>0</v>
      </c>
      <c r="M932" t="n">
        <v>0</v>
      </c>
      <c r="N932" t="n">
        <v>0</v>
      </c>
      <c r="O932" t="n">
        <v>0</v>
      </c>
      <c r="P932" t="n">
        <v>0</v>
      </c>
      <c r="Q932" t="n">
        <v>0</v>
      </c>
      <c r="R932" s="2" t="inlineStr"/>
    </row>
    <row r="933" ht="15" customHeight="1">
      <c r="A933" t="inlineStr">
        <is>
          <t>A 17703-2025</t>
        </is>
      </c>
      <c r="B933" s="1" t="n">
        <v>45758.4275462963</v>
      </c>
      <c r="C933" s="1" t="n">
        <v>45998</v>
      </c>
      <c r="D933" t="inlineStr">
        <is>
          <t>VÄSTERNORRLANDS LÄN</t>
        </is>
      </c>
      <c r="E933" t="inlineStr">
        <is>
          <t>ÅNGE</t>
        </is>
      </c>
      <c r="G933" t="n">
        <v>2.5</v>
      </c>
      <c r="H933" t="n">
        <v>0</v>
      </c>
      <c r="I933" t="n">
        <v>0</v>
      </c>
      <c r="J933" t="n">
        <v>0</v>
      </c>
      <c r="K933" t="n">
        <v>0</v>
      </c>
      <c r="L933" t="n">
        <v>0</v>
      </c>
      <c r="M933" t="n">
        <v>0</v>
      </c>
      <c r="N933" t="n">
        <v>0</v>
      </c>
      <c r="O933" t="n">
        <v>0</v>
      </c>
      <c r="P933" t="n">
        <v>0</v>
      </c>
      <c r="Q933" t="n">
        <v>0</v>
      </c>
      <c r="R933" s="2" t="inlineStr"/>
    </row>
    <row r="934" ht="15" customHeight="1">
      <c r="A934" t="inlineStr">
        <is>
          <t>A 35577-2025</t>
        </is>
      </c>
      <c r="B934" s="1" t="n">
        <v>45856.67762731481</v>
      </c>
      <c r="C934" s="1" t="n">
        <v>45998</v>
      </c>
      <c r="D934" t="inlineStr">
        <is>
          <t>VÄSTERNORRLANDS LÄN</t>
        </is>
      </c>
      <c r="E934" t="inlineStr">
        <is>
          <t>ÅNGE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35690-2025</t>
        </is>
      </c>
      <c r="B935" s="1" t="n">
        <v>45860.34421296296</v>
      </c>
      <c r="C935" s="1" t="n">
        <v>45998</v>
      </c>
      <c r="D935" t="inlineStr">
        <is>
          <t>VÄSTERNORRLANDS LÄN</t>
        </is>
      </c>
      <c r="E935" t="inlineStr">
        <is>
          <t>ÅNGE</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35781-2025</t>
        </is>
      </c>
      <c r="B936" s="1" t="n">
        <v>45860.70613425926</v>
      </c>
      <c r="C936" s="1" t="n">
        <v>45998</v>
      </c>
      <c r="D936" t="inlineStr">
        <is>
          <t>VÄSTERNORRLANDS LÄN</t>
        </is>
      </c>
      <c r="E936" t="inlineStr">
        <is>
          <t>ÅNGE</t>
        </is>
      </c>
      <c r="G936" t="n">
        <v>2.2</v>
      </c>
      <c r="H936" t="n">
        <v>0</v>
      </c>
      <c r="I936" t="n">
        <v>0</v>
      </c>
      <c r="J936" t="n">
        <v>0</v>
      </c>
      <c r="K936" t="n">
        <v>0</v>
      </c>
      <c r="L936" t="n">
        <v>0</v>
      </c>
      <c r="M936" t="n">
        <v>0</v>
      </c>
      <c r="N936" t="n">
        <v>0</v>
      </c>
      <c r="O936" t="n">
        <v>0</v>
      </c>
      <c r="P936" t="n">
        <v>0</v>
      </c>
      <c r="Q936" t="n">
        <v>0</v>
      </c>
      <c r="R936" s="2" t="inlineStr"/>
    </row>
    <row r="937" ht="15" customHeight="1">
      <c r="A937" t="inlineStr">
        <is>
          <t>A 35766-2025</t>
        </is>
      </c>
      <c r="B937" s="1" t="n">
        <v>45860.63077546296</v>
      </c>
      <c r="C937" s="1" t="n">
        <v>45998</v>
      </c>
      <c r="D937" t="inlineStr">
        <is>
          <t>VÄSTERNORRLANDS LÄN</t>
        </is>
      </c>
      <c r="E937" t="inlineStr">
        <is>
          <t>ÅNGE</t>
        </is>
      </c>
      <c r="G937" t="n">
        <v>10.7</v>
      </c>
      <c r="H937" t="n">
        <v>0</v>
      </c>
      <c r="I937" t="n">
        <v>0</v>
      </c>
      <c r="J937" t="n">
        <v>0</v>
      </c>
      <c r="K937" t="n">
        <v>0</v>
      </c>
      <c r="L937" t="n">
        <v>0</v>
      </c>
      <c r="M937" t="n">
        <v>0</v>
      </c>
      <c r="N937" t="n">
        <v>0</v>
      </c>
      <c r="O937" t="n">
        <v>0</v>
      </c>
      <c r="P937" t="n">
        <v>0</v>
      </c>
      <c r="Q937" t="n">
        <v>0</v>
      </c>
      <c r="R937" s="2" t="inlineStr"/>
    </row>
    <row r="938" ht="15" customHeight="1">
      <c r="A938" t="inlineStr">
        <is>
          <t>A 35826-2025</t>
        </is>
      </c>
      <c r="B938" s="1" t="n">
        <v>45861.48997685185</v>
      </c>
      <c r="C938" s="1" t="n">
        <v>45998</v>
      </c>
      <c r="D938" t="inlineStr">
        <is>
          <t>VÄSTERNORRLANDS LÄN</t>
        </is>
      </c>
      <c r="E938" t="inlineStr">
        <is>
          <t>ÅNGE</t>
        </is>
      </c>
      <c r="G938" t="n">
        <v>2.5</v>
      </c>
      <c r="H938" t="n">
        <v>0</v>
      </c>
      <c r="I938" t="n">
        <v>0</v>
      </c>
      <c r="J938" t="n">
        <v>0</v>
      </c>
      <c r="K938" t="n">
        <v>0</v>
      </c>
      <c r="L938" t="n">
        <v>0</v>
      </c>
      <c r="M938" t="n">
        <v>0</v>
      </c>
      <c r="N938" t="n">
        <v>0</v>
      </c>
      <c r="O938" t="n">
        <v>0</v>
      </c>
      <c r="P938" t="n">
        <v>0</v>
      </c>
      <c r="Q938" t="n">
        <v>0</v>
      </c>
      <c r="R938" s="2" t="inlineStr"/>
    </row>
    <row r="939" ht="15" customHeight="1">
      <c r="A939" t="inlineStr">
        <is>
          <t>A 35838-2025</t>
        </is>
      </c>
      <c r="B939" s="1" t="n">
        <v>45861.53829861111</v>
      </c>
      <c r="C939" s="1" t="n">
        <v>45998</v>
      </c>
      <c r="D939" t="inlineStr">
        <is>
          <t>VÄSTERNORRLANDS LÄN</t>
        </is>
      </c>
      <c r="E939" t="inlineStr">
        <is>
          <t>ÅNGE</t>
        </is>
      </c>
      <c r="F939" t="inlineStr">
        <is>
          <t>Sveaskog</t>
        </is>
      </c>
      <c r="G939" t="n">
        <v>3.9</v>
      </c>
      <c r="H939" t="n">
        <v>0</v>
      </c>
      <c r="I939" t="n">
        <v>0</v>
      </c>
      <c r="J939" t="n">
        <v>0</v>
      </c>
      <c r="K939" t="n">
        <v>0</v>
      </c>
      <c r="L939" t="n">
        <v>0</v>
      </c>
      <c r="M939" t="n">
        <v>0</v>
      </c>
      <c r="N939" t="n">
        <v>0</v>
      </c>
      <c r="O939" t="n">
        <v>0</v>
      </c>
      <c r="P939" t="n">
        <v>0</v>
      </c>
      <c r="Q939" t="n">
        <v>0</v>
      </c>
      <c r="R939" s="2" t="inlineStr"/>
    </row>
    <row r="940" ht="15" customHeight="1">
      <c r="A940" t="inlineStr">
        <is>
          <t>A 35827-2025</t>
        </is>
      </c>
      <c r="B940" s="1" t="n">
        <v>45861.49017361111</v>
      </c>
      <c r="C940" s="1" t="n">
        <v>45998</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9759-2024</t>
        </is>
      </c>
      <c r="B941" s="1" t="n">
        <v>45362</v>
      </c>
      <c r="C941" s="1" t="n">
        <v>45998</v>
      </c>
      <c r="D941" t="inlineStr">
        <is>
          <t>VÄSTERNORRLANDS LÄN</t>
        </is>
      </c>
      <c r="E941" t="inlineStr">
        <is>
          <t>ÅNGE</t>
        </is>
      </c>
      <c r="G941" t="n">
        <v>2.5</v>
      </c>
      <c r="H941" t="n">
        <v>0</v>
      </c>
      <c r="I941" t="n">
        <v>0</v>
      </c>
      <c r="J941" t="n">
        <v>0</v>
      </c>
      <c r="K941" t="n">
        <v>0</v>
      </c>
      <c r="L941" t="n">
        <v>0</v>
      </c>
      <c r="M941" t="n">
        <v>0</v>
      </c>
      <c r="N941" t="n">
        <v>0</v>
      </c>
      <c r="O941" t="n">
        <v>0</v>
      </c>
      <c r="P941" t="n">
        <v>0</v>
      </c>
      <c r="Q941" t="n">
        <v>0</v>
      </c>
      <c r="R941" s="2" t="inlineStr"/>
    </row>
    <row r="942" ht="15" customHeight="1">
      <c r="A942" t="inlineStr">
        <is>
          <t>A 30683-2024</t>
        </is>
      </c>
      <c r="B942" s="1" t="n">
        <v>45495</v>
      </c>
      <c r="C942" s="1" t="n">
        <v>45998</v>
      </c>
      <c r="D942" t="inlineStr">
        <is>
          <t>VÄSTERNORRLANDS LÄN</t>
        </is>
      </c>
      <c r="E942" t="inlineStr">
        <is>
          <t>ÅNGE</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38686-2025</t>
        </is>
      </c>
      <c r="B943" s="1" t="n">
        <v>45884.65658564815</v>
      </c>
      <c r="C943" s="1" t="n">
        <v>45998</v>
      </c>
      <c r="D943" t="inlineStr">
        <is>
          <t>VÄSTERNORRLANDS LÄN</t>
        </is>
      </c>
      <c r="E943" t="inlineStr">
        <is>
          <t>ÅNGE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36205-2025</t>
        </is>
      </c>
      <c r="B944" s="1" t="n">
        <v>45867.44855324074</v>
      </c>
      <c r="C944" s="1" t="n">
        <v>45998</v>
      </c>
      <c r="D944" t="inlineStr">
        <is>
          <t>VÄSTERNORRLANDS LÄN</t>
        </is>
      </c>
      <c r="E944" t="inlineStr">
        <is>
          <t>ÅNGE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22219-2025</t>
        </is>
      </c>
      <c r="B945" s="1" t="n">
        <v>45785.65849537037</v>
      </c>
      <c r="C945" s="1" t="n">
        <v>45998</v>
      </c>
      <c r="D945" t="inlineStr">
        <is>
          <t>VÄSTERNORRLANDS LÄN</t>
        </is>
      </c>
      <c r="E945" t="inlineStr">
        <is>
          <t>ÅNGE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22206-2025</t>
        </is>
      </c>
      <c r="B946" s="1" t="n">
        <v>45785.65699074074</v>
      </c>
      <c r="C946" s="1" t="n">
        <v>45998</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36240-2025</t>
        </is>
      </c>
      <c r="B947" s="1" t="n">
        <v>45867.55298611111</v>
      </c>
      <c r="C947" s="1" t="n">
        <v>45998</v>
      </c>
      <c r="D947" t="inlineStr">
        <is>
          <t>VÄSTERNORRLANDS LÄN</t>
        </is>
      </c>
      <c r="E947" t="inlineStr">
        <is>
          <t>ÅNGE</t>
        </is>
      </c>
      <c r="G947" t="n">
        <v>0.5</v>
      </c>
      <c r="H947" t="n">
        <v>0</v>
      </c>
      <c r="I947" t="n">
        <v>0</v>
      </c>
      <c r="J947" t="n">
        <v>0</v>
      </c>
      <c r="K947" t="n">
        <v>0</v>
      </c>
      <c r="L947" t="n">
        <v>0</v>
      </c>
      <c r="M947" t="n">
        <v>0</v>
      </c>
      <c r="N947" t="n">
        <v>0</v>
      </c>
      <c r="O947" t="n">
        <v>0</v>
      </c>
      <c r="P947" t="n">
        <v>0</v>
      </c>
      <c r="Q947" t="n">
        <v>0</v>
      </c>
      <c r="R947" s="2" t="inlineStr"/>
    </row>
    <row r="948" ht="15" customHeight="1">
      <c r="A948" t="inlineStr">
        <is>
          <t>A 36210-2025</t>
        </is>
      </c>
      <c r="B948" s="1" t="n">
        <v>45867.46930555555</v>
      </c>
      <c r="C948" s="1" t="n">
        <v>45998</v>
      </c>
      <c r="D948" t="inlineStr">
        <is>
          <t>VÄSTERNORRLANDS LÄN</t>
        </is>
      </c>
      <c r="E948" t="inlineStr">
        <is>
          <t>ÅNGE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36236-2025</t>
        </is>
      </c>
      <c r="B949" s="1" t="n">
        <v>45867.55245370371</v>
      </c>
      <c r="C949" s="1" t="n">
        <v>45998</v>
      </c>
      <c r="D949" t="inlineStr">
        <is>
          <t>VÄSTERNORRLANDS LÄN</t>
        </is>
      </c>
      <c r="E949" t="inlineStr">
        <is>
          <t>ÅNGE</t>
        </is>
      </c>
      <c r="G949" t="n">
        <v>0.9</v>
      </c>
      <c r="H949" t="n">
        <v>0</v>
      </c>
      <c r="I949" t="n">
        <v>0</v>
      </c>
      <c r="J949" t="n">
        <v>0</v>
      </c>
      <c r="K949" t="n">
        <v>0</v>
      </c>
      <c r="L949" t="n">
        <v>0</v>
      </c>
      <c r="M949" t="n">
        <v>0</v>
      </c>
      <c r="N949" t="n">
        <v>0</v>
      </c>
      <c r="O949" t="n">
        <v>0</v>
      </c>
      <c r="P949" t="n">
        <v>0</v>
      </c>
      <c r="Q949" t="n">
        <v>0</v>
      </c>
      <c r="R949" s="2" t="inlineStr"/>
    </row>
    <row r="950" ht="15" customHeight="1">
      <c r="A950" t="inlineStr">
        <is>
          <t>A 36248-2025</t>
        </is>
      </c>
      <c r="B950" s="1" t="n">
        <v>45867.57326388889</v>
      </c>
      <c r="C950" s="1" t="n">
        <v>45998</v>
      </c>
      <c r="D950" t="inlineStr">
        <is>
          <t>VÄSTERNORRLANDS LÄN</t>
        </is>
      </c>
      <c r="E950" t="inlineStr">
        <is>
          <t>ÅNGE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38693-2025</t>
        </is>
      </c>
      <c r="B951" s="1" t="n">
        <v>45884.69829861111</v>
      </c>
      <c r="C951" s="1" t="n">
        <v>45998</v>
      </c>
      <c r="D951" t="inlineStr">
        <is>
          <t>VÄSTERNORRLANDS LÄN</t>
        </is>
      </c>
      <c r="E951" t="inlineStr">
        <is>
          <t>ÅNGE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36237-2025</t>
        </is>
      </c>
      <c r="B952" s="1" t="n">
        <v>45867.55263888889</v>
      </c>
      <c r="C952" s="1" t="n">
        <v>45998</v>
      </c>
      <c r="D952" t="inlineStr">
        <is>
          <t>VÄSTERNORRLANDS LÄN</t>
        </is>
      </c>
      <c r="E952" t="inlineStr">
        <is>
          <t>ÅNGE</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36193-2025</t>
        </is>
      </c>
      <c r="B953" s="1" t="n">
        <v>45867.42741898148</v>
      </c>
      <c r="C953" s="1" t="n">
        <v>45998</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36336-2025</t>
        </is>
      </c>
      <c r="B954" s="1" t="n">
        <v>45868.44751157407</v>
      </c>
      <c r="C954" s="1" t="n">
        <v>45998</v>
      </c>
      <c r="D954" t="inlineStr">
        <is>
          <t>VÄSTERNORRLANDS LÄN</t>
        </is>
      </c>
      <c r="E954" t="inlineStr">
        <is>
          <t>ÅNGE</t>
        </is>
      </c>
      <c r="G954" t="n">
        <v>7.3</v>
      </c>
      <c r="H954" t="n">
        <v>0</v>
      </c>
      <c r="I954" t="n">
        <v>0</v>
      </c>
      <c r="J954" t="n">
        <v>0</v>
      </c>
      <c r="K954" t="n">
        <v>0</v>
      </c>
      <c r="L954" t="n">
        <v>0</v>
      </c>
      <c r="M954" t="n">
        <v>0</v>
      </c>
      <c r="N954" t="n">
        <v>0</v>
      </c>
      <c r="O954" t="n">
        <v>0</v>
      </c>
      <c r="P954" t="n">
        <v>0</v>
      </c>
      <c r="Q954" t="n">
        <v>0</v>
      </c>
      <c r="R954" s="2" t="inlineStr"/>
    </row>
    <row r="955" ht="15" customHeight="1">
      <c r="A955" t="inlineStr">
        <is>
          <t>A 36457-2025</t>
        </is>
      </c>
      <c r="B955" s="1" t="n">
        <v>45869.44842592593</v>
      </c>
      <c r="C955" s="1" t="n">
        <v>45998</v>
      </c>
      <c r="D955" t="inlineStr">
        <is>
          <t>VÄSTERNORRLANDS LÄN</t>
        </is>
      </c>
      <c r="E955" t="inlineStr">
        <is>
          <t>ÅNGE</t>
        </is>
      </c>
      <c r="F955" t="inlineStr">
        <is>
          <t>SCA</t>
        </is>
      </c>
      <c r="G955" t="n">
        <v>6.3</v>
      </c>
      <c r="H955" t="n">
        <v>0</v>
      </c>
      <c r="I955" t="n">
        <v>0</v>
      </c>
      <c r="J955" t="n">
        <v>0</v>
      </c>
      <c r="K955" t="n">
        <v>0</v>
      </c>
      <c r="L955" t="n">
        <v>0</v>
      </c>
      <c r="M955" t="n">
        <v>0</v>
      </c>
      <c r="N955" t="n">
        <v>0</v>
      </c>
      <c r="O955" t="n">
        <v>0</v>
      </c>
      <c r="P955" t="n">
        <v>0</v>
      </c>
      <c r="Q955" t="n">
        <v>0</v>
      </c>
      <c r="R955" s="2" t="inlineStr"/>
    </row>
    <row r="956" ht="15" customHeight="1">
      <c r="A956" t="inlineStr">
        <is>
          <t>A 38386-2025</t>
        </is>
      </c>
      <c r="B956" s="1" t="n">
        <v>45883.57430555556</v>
      </c>
      <c r="C956" s="1" t="n">
        <v>45998</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38273-2025</t>
        </is>
      </c>
      <c r="B957" s="1" t="n">
        <v>45883.40740740741</v>
      </c>
      <c r="C957" s="1" t="n">
        <v>45998</v>
      </c>
      <c r="D957" t="inlineStr">
        <is>
          <t>VÄSTERNORRLANDS LÄN</t>
        </is>
      </c>
      <c r="E957" t="inlineStr">
        <is>
          <t>ÅNGE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36456-2025</t>
        </is>
      </c>
      <c r="B958" s="1" t="n">
        <v>45869.44827546296</v>
      </c>
      <c r="C958" s="1" t="n">
        <v>45998</v>
      </c>
      <c r="D958" t="inlineStr">
        <is>
          <t>VÄSTERNORRLANDS LÄN</t>
        </is>
      </c>
      <c r="E958" t="inlineStr">
        <is>
          <t>ÅNGE</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36491-2025</t>
        </is>
      </c>
      <c r="B959" s="1" t="n">
        <v>45869.53173611111</v>
      </c>
      <c r="C959" s="1" t="n">
        <v>45998</v>
      </c>
      <c r="D959" t="inlineStr">
        <is>
          <t>VÄSTERNORRLANDS LÄN</t>
        </is>
      </c>
      <c r="E959" t="inlineStr">
        <is>
          <t>ÅNGE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36873-2025</t>
        </is>
      </c>
      <c r="B960" s="1" t="n">
        <v>45874.42935185185</v>
      </c>
      <c r="C960" s="1" t="n">
        <v>45998</v>
      </c>
      <c r="D960" t="inlineStr">
        <is>
          <t>VÄSTERNORRLANDS LÄN</t>
        </is>
      </c>
      <c r="E960" t="inlineStr">
        <is>
          <t>ÅNGE</t>
        </is>
      </c>
      <c r="F960" t="inlineStr">
        <is>
          <t>SCA</t>
        </is>
      </c>
      <c r="G960" t="n">
        <v>16.9</v>
      </c>
      <c r="H960" t="n">
        <v>0</v>
      </c>
      <c r="I960" t="n">
        <v>0</v>
      </c>
      <c r="J960" t="n">
        <v>0</v>
      </c>
      <c r="K960" t="n">
        <v>0</v>
      </c>
      <c r="L960" t="n">
        <v>0</v>
      </c>
      <c r="M960" t="n">
        <v>0</v>
      </c>
      <c r="N960" t="n">
        <v>0</v>
      </c>
      <c r="O960" t="n">
        <v>0</v>
      </c>
      <c r="P960" t="n">
        <v>0</v>
      </c>
      <c r="Q960" t="n">
        <v>0</v>
      </c>
      <c r="R960" s="2" t="inlineStr"/>
    </row>
    <row r="961" ht="15" customHeight="1">
      <c r="A961" t="inlineStr">
        <is>
          <t>A 38283-2025</t>
        </is>
      </c>
      <c r="B961" s="1" t="n">
        <v>45883.42740740741</v>
      </c>
      <c r="C961" s="1" t="n">
        <v>45998</v>
      </c>
      <c r="D961" t="inlineStr">
        <is>
          <t>VÄSTERNORRLANDS LÄN</t>
        </is>
      </c>
      <c r="E961" t="inlineStr">
        <is>
          <t>ÅNGE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26640-2024</t>
        </is>
      </c>
      <c r="B962" s="1" t="n">
        <v>45469.92831018518</v>
      </c>
      <c r="C962" s="1" t="n">
        <v>45998</v>
      </c>
      <c r="D962" t="inlineStr">
        <is>
          <t>VÄSTERNORRLANDS LÄN</t>
        </is>
      </c>
      <c r="E962" t="inlineStr">
        <is>
          <t>ÅNGE</t>
        </is>
      </c>
      <c r="G962" t="n">
        <v>9.9</v>
      </c>
      <c r="H962" t="n">
        <v>0</v>
      </c>
      <c r="I962" t="n">
        <v>0</v>
      </c>
      <c r="J962" t="n">
        <v>0</v>
      </c>
      <c r="K962" t="n">
        <v>0</v>
      </c>
      <c r="L962" t="n">
        <v>0</v>
      </c>
      <c r="M962" t="n">
        <v>0</v>
      </c>
      <c r="N962" t="n">
        <v>0</v>
      </c>
      <c r="O962" t="n">
        <v>0</v>
      </c>
      <c r="P962" t="n">
        <v>0</v>
      </c>
      <c r="Q962" t="n">
        <v>0</v>
      </c>
      <c r="R962" s="2" t="inlineStr"/>
    </row>
    <row r="963" ht="15" customHeight="1">
      <c r="A963" t="inlineStr">
        <is>
          <t>A 22489-2025</t>
        </is>
      </c>
      <c r="B963" s="1" t="n">
        <v>45786.64946759259</v>
      </c>
      <c r="C963" s="1" t="n">
        <v>45998</v>
      </c>
      <c r="D963" t="inlineStr">
        <is>
          <t>VÄSTERNORRLANDS LÄN</t>
        </is>
      </c>
      <c r="E963" t="inlineStr">
        <is>
          <t>ÅNGE</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36740-2025</t>
        </is>
      </c>
      <c r="B964" s="1" t="n">
        <v>45873.53237268519</v>
      </c>
      <c r="C964" s="1" t="n">
        <v>45998</v>
      </c>
      <c r="D964" t="inlineStr">
        <is>
          <t>VÄSTERNORRLANDS LÄN</t>
        </is>
      </c>
      <c r="E964" t="inlineStr">
        <is>
          <t>ÅNGE</t>
        </is>
      </c>
      <c r="G964" t="n">
        <v>1.1</v>
      </c>
      <c r="H964" t="n">
        <v>0</v>
      </c>
      <c r="I964" t="n">
        <v>0</v>
      </c>
      <c r="J964" t="n">
        <v>0</v>
      </c>
      <c r="K964" t="n">
        <v>0</v>
      </c>
      <c r="L964" t="n">
        <v>0</v>
      </c>
      <c r="M964" t="n">
        <v>0</v>
      </c>
      <c r="N964" t="n">
        <v>0</v>
      </c>
      <c r="O964" t="n">
        <v>0</v>
      </c>
      <c r="P964" t="n">
        <v>0</v>
      </c>
      <c r="Q964" t="n">
        <v>0</v>
      </c>
      <c r="R964" s="2" t="inlineStr"/>
    </row>
    <row r="965" ht="15" customHeight="1">
      <c r="A965" t="inlineStr">
        <is>
          <t>A 38332-2025</t>
        </is>
      </c>
      <c r="B965" s="1" t="n">
        <v>45883.49151620371</v>
      </c>
      <c r="C965" s="1" t="n">
        <v>45998</v>
      </c>
      <c r="D965" t="inlineStr">
        <is>
          <t>VÄSTERNORRLANDS LÄN</t>
        </is>
      </c>
      <c r="E965" t="inlineStr">
        <is>
          <t>ÅNGE</t>
        </is>
      </c>
      <c r="F965" t="inlineStr">
        <is>
          <t>SCA</t>
        </is>
      </c>
      <c r="G965" t="n">
        <v>5.9</v>
      </c>
      <c r="H965" t="n">
        <v>0</v>
      </c>
      <c r="I965" t="n">
        <v>0</v>
      </c>
      <c r="J965" t="n">
        <v>0</v>
      </c>
      <c r="K965" t="n">
        <v>0</v>
      </c>
      <c r="L965" t="n">
        <v>0</v>
      </c>
      <c r="M965" t="n">
        <v>0</v>
      </c>
      <c r="N965" t="n">
        <v>0</v>
      </c>
      <c r="O965" t="n">
        <v>0</v>
      </c>
      <c r="P965" t="n">
        <v>0</v>
      </c>
      <c r="Q965" t="n">
        <v>0</v>
      </c>
      <c r="R965" s="2" t="inlineStr"/>
    </row>
    <row r="966" ht="15" customHeight="1">
      <c r="A966" t="inlineStr">
        <is>
          <t>A 36249-2025</t>
        </is>
      </c>
      <c r="B966" s="1" t="n">
        <v>45867</v>
      </c>
      <c r="C966" s="1" t="n">
        <v>45998</v>
      </c>
      <c r="D966" t="inlineStr">
        <is>
          <t>VÄSTERNORRLANDS LÄN</t>
        </is>
      </c>
      <c r="E966" t="inlineStr">
        <is>
          <t>ÅNGE</t>
        </is>
      </c>
      <c r="F966" t="inlineStr">
        <is>
          <t>SCA</t>
        </is>
      </c>
      <c r="G966" t="n">
        <v>5.7</v>
      </c>
      <c r="H966" t="n">
        <v>0</v>
      </c>
      <c r="I966" t="n">
        <v>0</v>
      </c>
      <c r="J966" t="n">
        <v>0</v>
      </c>
      <c r="K966" t="n">
        <v>0</v>
      </c>
      <c r="L966" t="n">
        <v>0</v>
      </c>
      <c r="M966" t="n">
        <v>0</v>
      </c>
      <c r="N966" t="n">
        <v>0</v>
      </c>
      <c r="O966" t="n">
        <v>0</v>
      </c>
      <c r="P966" t="n">
        <v>0</v>
      </c>
      <c r="Q966" t="n">
        <v>0</v>
      </c>
      <c r="R966" s="2" t="inlineStr"/>
    </row>
    <row r="967" ht="15" customHeight="1">
      <c r="A967" t="inlineStr">
        <is>
          <t>A 22549-2025</t>
        </is>
      </c>
      <c r="B967" s="1" t="n">
        <v>45788.48113425926</v>
      </c>
      <c r="C967" s="1" t="n">
        <v>45998</v>
      </c>
      <c r="D967" t="inlineStr">
        <is>
          <t>VÄSTERNORRLANDS LÄN</t>
        </is>
      </c>
      <c r="E967" t="inlineStr">
        <is>
          <t>ÅNGE</t>
        </is>
      </c>
      <c r="G967" t="n">
        <v>2.6</v>
      </c>
      <c r="H967" t="n">
        <v>0</v>
      </c>
      <c r="I967" t="n">
        <v>0</v>
      </c>
      <c r="J967" t="n">
        <v>0</v>
      </c>
      <c r="K967" t="n">
        <v>0</v>
      </c>
      <c r="L967" t="n">
        <v>0</v>
      </c>
      <c r="M967" t="n">
        <v>0</v>
      </c>
      <c r="N967" t="n">
        <v>0</v>
      </c>
      <c r="O967" t="n">
        <v>0</v>
      </c>
      <c r="P967" t="n">
        <v>0</v>
      </c>
      <c r="Q967" t="n">
        <v>0</v>
      </c>
      <c r="R967" s="2" t="inlineStr"/>
    </row>
    <row r="968" ht="15" customHeight="1">
      <c r="A968" t="inlineStr">
        <is>
          <t>A 42953-2024</t>
        </is>
      </c>
      <c r="B968" s="1" t="n">
        <v>45567</v>
      </c>
      <c r="C968" s="1" t="n">
        <v>45998</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42968-2024</t>
        </is>
      </c>
      <c r="B969" s="1" t="n">
        <v>45567</v>
      </c>
      <c r="C969" s="1" t="n">
        <v>45998</v>
      </c>
      <c r="D969" t="inlineStr">
        <is>
          <t>VÄSTERNORRLANDS LÄN</t>
        </is>
      </c>
      <c r="E969" t="inlineStr">
        <is>
          <t>ÅNGE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36723-2025</t>
        </is>
      </c>
      <c r="B970" s="1" t="n">
        <v>45873.47770833333</v>
      </c>
      <c r="C970" s="1" t="n">
        <v>45998</v>
      </c>
      <c r="D970" t="inlineStr">
        <is>
          <t>VÄSTERNORRLANDS LÄN</t>
        </is>
      </c>
      <c r="E970" t="inlineStr">
        <is>
          <t>ÅNGE</t>
        </is>
      </c>
      <c r="G970" t="n">
        <v>2.8</v>
      </c>
      <c r="H970" t="n">
        <v>0</v>
      </c>
      <c r="I970" t="n">
        <v>0</v>
      </c>
      <c r="J970" t="n">
        <v>0</v>
      </c>
      <c r="K970" t="n">
        <v>0</v>
      </c>
      <c r="L970" t="n">
        <v>0</v>
      </c>
      <c r="M970" t="n">
        <v>0</v>
      </c>
      <c r="N970" t="n">
        <v>0</v>
      </c>
      <c r="O970" t="n">
        <v>0</v>
      </c>
      <c r="P970" t="n">
        <v>0</v>
      </c>
      <c r="Q970" t="n">
        <v>0</v>
      </c>
      <c r="R970" s="2" t="inlineStr"/>
    </row>
    <row r="971" ht="15" customHeight="1">
      <c r="A971" t="inlineStr">
        <is>
          <t>A 36674-2025</t>
        </is>
      </c>
      <c r="B971" s="1" t="n">
        <v>45873.3930787037</v>
      </c>
      <c r="C971" s="1" t="n">
        <v>45998</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58613-2023</t>
        </is>
      </c>
      <c r="B972" s="1" t="n">
        <v>45251.50709490741</v>
      </c>
      <c r="C972" s="1" t="n">
        <v>45998</v>
      </c>
      <c r="D972" t="inlineStr">
        <is>
          <t>VÄSTERNORRLANDS LÄN</t>
        </is>
      </c>
      <c r="E972" t="inlineStr">
        <is>
          <t>ÅNGE</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22926-2025</t>
        </is>
      </c>
      <c r="B973" s="1" t="n">
        <v>45790</v>
      </c>
      <c r="C973" s="1" t="n">
        <v>45998</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22928-2025</t>
        </is>
      </c>
      <c r="B974" s="1" t="n">
        <v>45790.44825231482</v>
      </c>
      <c r="C974" s="1" t="n">
        <v>45998</v>
      </c>
      <c r="D974" t="inlineStr">
        <is>
          <t>VÄSTERNORRLANDS LÄN</t>
        </is>
      </c>
      <c r="E974" t="inlineStr">
        <is>
          <t>ÅNGE</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37045-2025</t>
        </is>
      </c>
      <c r="B975" s="1" t="n">
        <v>45875.34451388889</v>
      </c>
      <c r="C975" s="1" t="n">
        <v>45998</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37047-2025</t>
        </is>
      </c>
      <c r="B976" s="1" t="n">
        <v>45875.34489583333</v>
      </c>
      <c r="C976" s="1" t="n">
        <v>45998</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37275-2025</t>
        </is>
      </c>
      <c r="B977" s="1" t="n">
        <v>45876.49003472222</v>
      </c>
      <c r="C977" s="1" t="n">
        <v>45998</v>
      </c>
      <c r="D977" t="inlineStr">
        <is>
          <t>VÄSTERNORRLANDS LÄN</t>
        </is>
      </c>
      <c r="E977" t="inlineStr">
        <is>
          <t>ÅNGE</t>
        </is>
      </c>
      <c r="G977" t="n">
        <v>3.5</v>
      </c>
      <c r="H977" t="n">
        <v>0</v>
      </c>
      <c r="I977" t="n">
        <v>0</v>
      </c>
      <c r="J977" t="n">
        <v>0</v>
      </c>
      <c r="K977" t="n">
        <v>0</v>
      </c>
      <c r="L977" t="n">
        <v>0</v>
      </c>
      <c r="M977" t="n">
        <v>0</v>
      </c>
      <c r="N977" t="n">
        <v>0</v>
      </c>
      <c r="O977" t="n">
        <v>0</v>
      </c>
      <c r="P977" t="n">
        <v>0</v>
      </c>
      <c r="Q977" t="n">
        <v>0</v>
      </c>
      <c r="R977" s="2" t="inlineStr"/>
    </row>
    <row r="978" ht="15" customHeight="1">
      <c r="A978" t="inlineStr">
        <is>
          <t>A 37303-2025</t>
        </is>
      </c>
      <c r="B978" s="1" t="n">
        <v>45876.59445601852</v>
      </c>
      <c r="C978" s="1" t="n">
        <v>45998</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37233-2025</t>
        </is>
      </c>
      <c r="B979" s="1" t="n">
        <v>45876.34474537037</v>
      </c>
      <c r="C979" s="1" t="n">
        <v>45998</v>
      </c>
      <c r="D979" t="inlineStr">
        <is>
          <t>VÄSTERNORRLANDS LÄN</t>
        </is>
      </c>
      <c r="E979" t="inlineStr">
        <is>
          <t>ÅNGE</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22791-2025</t>
        </is>
      </c>
      <c r="B980" s="1" t="n">
        <v>45789.65663194445</v>
      </c>
      <c r="C980" s="1" t="n">
        <v>45998</v>
      </c>
      <c r="D980" t="inlineStr">
        <is>
          <t>VÄSTERNORRLANDS LÄN</t>
        </is>
      </c>
      <c r="E980" t="inlineStr">
        <is>
          <t>ÅNGE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37108-2025</t>
        </is>
      </c>
      <c r="B981" s="1" t="n">
        <v>45875</v>
      </c>
      <c r="C981" s="1" t="n">
        <v>45998</v>
      </c>
      <c r="D981" t="inlineStr">
        <is>
          <t>VÄSTERNORRLANDS LÄN</t>
        </is>
      </c>
      <c r="E981" t="inlineStr">
        <is>
          <t>ÅNGE</t>
        </is>
      </c>
      <c r="G981" t="n">
        <v>4</v>
      </c>
      <c r="H981" t="n">
        <v>0</v>
      </c>
      <c r="I981" t="n">
        <v>0</v>
      </c>
      <c r="J981" t="n">
        <v>0</v>
      </c>
      <c r="K981" t="n">
        <v>0</v>
      </c>
      <c r="L981" t="n">
        <v>0</v>
      </c>
      <c r="M981" t="n">
        <v>0</v>
      </c>
      <c r="N981" t="n">
        <v>0</v>
      </c>
      <c r="O981" t="n">
        <v>0</v>
      </c>
      <c r="P981" t="n">
        <v>0</v>
      </c>
      <c r="Q981" t="n">
        <v>0</v>
      </c>
      <c r="R981" s="2" t="inlineStr"/>
    </row>
    <row r="982" ht="15" customHeight="1">
      <c r="A982" t="inlineStr">
        <is>
          <t>A 37177-2025</t>
        </is>
      </c>
      <c r="B982" s="1" t="n">
        <v>45875.61539351852</v>
      </c>
      <c r="C982" s="1" t="n">
        <v>45998</v>
      </c>
      <c r="D982" t="inlineStr">
        <is>
          <t>VÄSTERNORRLANDS LÄN</t>
        </is>
      </c>
      <c r="E982" t="inlineStr">
        <is>
          <t>ÅNGE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3352-2021</t>
        </is>
      </c>
      <c r="B983" s="1" t="n">
        <v>44217</v>
      </c>
      <c r="C983" s="1" t="n">
        <v>45998</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42100-2023</t>
        </is>
      </c>
      <c r="B984" s="1" t="n">
        <v>45174</v>
      </c>
      <c r="C984" s="1" t="n">
        <v>45998</v>
      </c>
      <c r="D984" t="inlineStr">
        <is>
          <t>VÄSTERNORRLANDS LÄN</t>
        </is>
      </c>
      <c r="E984" t="inlineStr">
        <is>
          <t>ÅNGE</t>
        </is>
      </c>
      <c r="G984" t="n">
        <v>0.6</v>
      </c>
      <c r="H984" t="n">
        <v>0</v>
      </c>
      <c r="I984" t="n">
        <v>0</v>
      </c>
      <c r="J984" t="n">
        <v>0</v>
      </c>
      <c r="K984" t="n">
        <v>0</v>
      </c>
      <c r="L984" t="n">
        <v>0</v>
      </c>
      <c r="M984" t="n">
        <v>0</v>
      </c>
      <c r="N984" t="n">
        <v>0</v>
      </c>
      <c r="O984" t="n">
        <v>0</v>
      </c>
      <c r="P984" t="n">
        <v>0</v>
      </c>
      <c r="Q984" t="n">
        <v>0</v>
      </c>
      <c r="R984" s="2" t="inlineStr"/>
    </row>
    <row r="985" ht="15" customHeight="1">
      <c r="A985" t="inlineStr">
        <is>
          <t>A 37371-2025</t>
        </is>
      </c>
      <c r="B985" s="1" t="n">
        <v>45877.34472222222</v>
      </c>
      <c r="C985" s="1" t="n">
        <v>45998</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51411-2023</t>
        </is>
      </c>
      <c r="B986" s="1" t="n">
        <v>45219</v>
      </c>
      <c r="C986" s="1" t="n">
        <v>45998</v>
      </c>
      <c r="D986" t="inlineStr">
        <is>
          <t>VÄSTERNORRLANDS LÄN</t>
        </is>
      </c>
      <c r="E986" t="inlineStr">
        <is>
          <t>ÅNGE</t>
        </is>
      </c>
      <c r="G986" t="n">
        <v>2.5</v>
      </c>
      <c r="H986" t="n">
        <v>0</v>
      </c>
      <c r="I986" t="n">
        <v>0</v>
      </c>
      <c r="J986" t="n">
        <v>0</v>
      </c>
      <c r="K986" t="n">
        <v>0</v>
      </c>
      <c r="L986" t="n">
        <v>0</v>
      </c>
      <c r="M986" t="n">
        <v>0</v>
      </c>
      <c r="N986" t="n">
        <v>0</v>
      </c>
      <c r="O986" t="n">
        <v>0</v>
      </c>
      <c r="P986" t="n">
        <v>0</v>
      </c>
      <c r="Q986" t="n">
        <v>0</v>
      </c>
      <c r="R986" s="2" t="inlineStr"/>
    </row>
    <row r="987" ht="15" customHeight="1">
      <c r="A987" t="inlineStr">
        <is>
          <t>A 37384-2025</t>
        </is>
      </c>
      <c r="B987" s="1" t="n">
        <v>45877.3859837963</v>
      </c>
      <c r="C987" s="1" t="n">
        <v>45998</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37663-2025</t>
        </is>
      </c>
      <c r="B988" s="1" t="n">
        <v>45880.51079861111</v>
      </c>
      <c r="C988" s="1" t="n">
        <v>45998</v>
      </c>
      <c r="D988" t="inlineStr">
        <is>
          <t>VÄSTERNORRLANDS LÄN</t>
        </is>
      </c>
      <c r="E988" t="inlineStr">
        <is>
          <t>ÅNGE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1869-2022</t>
        </is>
      </c>
      <c r="B989" s="1" t="n">
        <v>44574</v>
      </c>
      <c r="C989" s="1" t="n">
        <v>45998</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23091-2025</t>
        </is>
      </c>
      <c r="B990" s="1" t="n">
        <v>45791.34456018519</v>
      </c>
      <c r="C990" s="1" t="n">
        <v>45998</v>
      </c>
      <c r="D990" t="inlineStr">
        <is>
          <t>VÄSTERNORRLANDS LÄN</t>
        </is>
      </c>
      <c r="E990" t="inlineStr">
        <is>
          <t>ÅNGE</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37723-2025</t>
        </is>
      </c>
      <c r="B991" s="1" t="n">
        <v>45880.61528935185</v>
      </c>
      <c r="C991" s="1" t="n">
        <v>45998</v>
      </c>
      <c r="D991" t="inlineStr">
        <is>
          <t>VÄSTERNORRLANDS LÄN</t>
        </is>
      </c>
      <c r="E991" t="inlineStr">
        <is>
          <t>ÅNGE</t>
        </is>
      </c>
      <c r="G991" t="n">
        <v>3</v>
      </c>
      <c r="H991" t="n">
        <v>0</v>
      </c>
      <c r="I991" t="n">
        <v>0</v>
      </c>
      <c r="J991" t="n">
        <v>0</v>
      </c>
      <c r="K991" t="n">
        <v>0</v>
      </c>
      <c r="L991" t="n">
        <v>0</v>
      </c>
      <c r="M991" t="n">
        <v>0</v>
      </c>
      <c r="N991" t="n">
        <v>0</v>
      </c>
      <c r="O991" t="n">
        <v>0</v>
      </c>
      <c r="P991" t="n">
        <v>0</v>
      </c>
      <c r="Q991" t="n">
        <v>0</v>
      </c>
      <c r="R991" s="2" t="inlineStr"/>
    </row>
    <row r="992" ht="15" customHeight="1">
      <c r="A992" t="inlineStr">
        <is>
          <t>A 37383-2025</t>
        </is>
      </c>
      <c r="B992" s="1" t="n">
        <v>45877.38581018519</v>
      </c>
      <c r="C992" s="1" t="n">
        <v>45998</v>
      </c>
      <c r="D992" t="inlineStr">
        <is>
          <t>VÄSTERNORRLANDS LÄN</t>
        </is>
      </c>
      <c r="E992" t="inlineStr">
        <is>
          <t>ÅNGE</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37719-2025</t>
        </is>
      </c>
      <c r="B993" s="1" t="n">
        <v>45880.61505787037</v>
      </c>
      <c r="C993" s="1" t="n">
        <v>45998</v>
      </c>
      <c r="D993" t="inlineStr">
        <is>
          <t>VÄSTERNORRLANDS LÄN</t>
        </is>
      </c>
      <c r="E993" t="inlineStr">
        <is>
          <t>ÅNGE</t>
        </is>
      </c>
      <c r="G993" t="n">
        <v>1.7</v>
      </c>
      <c r="H993" t="n">
        <v>0</v>
      </c>
      <c r="I993" t="n">
        <v>0</v>
      </c>
      <c r="J993" t="n">
        <v>0</v>
      </c>
      <c r="K993" t="n">
        <v>0</v>
      </c>
      <c r="L993" t="n">
        <v>0</v>
      </c>
      <c r="M993" t="n">
        <v>0</v>
      </c>
      <c r="N993" t="n">
        <v>0</v>
      </c>
      <c r="O993" t="n">
        <v>0</v>
      </c>
      <c r="P993" t="n">
        <v>0</v>
      </c>
      <c r="Q993" t="n">
        <v>0</v>
      </c>
      <c r="R993" s="2" t="inlineStr"/>
    </row>
    <row r="994" ht="15" customHeight="1">
      <c r="A994" t="inlineStr">
        <is>
          <t>A 23580-2025</t>
        </is>
      </c>
      <c r="B994" s="1" t="n">
        <v>45792.62555555555</v>
      </c>
      <c r="C994" s="1" t="n">
        <v>45998</v>
      </c>
      <c r="D994" t="inlineStr">
        <is>
          <t>VÄSTERNORRLANDS LÄN</t>
        </is>
      </c>
      <c r="E994" t="inlineStr">
        <is>
          <t>ÅNGE</t>
        </is>
      </c>
      <c r="F994" t="inlineStr">
        <is>
          <t>Kyrkan</t>
        </is>
      </c>
      <c r="G994" t="n">
        <v>2.6</v>
      </c>
      <c r="H994" t="n">
        <v>0</v>
      </c>
      <c r="I994" t="n">
        <v>0</v>
      </c>
      <c r="J994" t="n">
        <v>0</v>
      </c>
      <c r="K994" t="n">
        <v>0</v>
      </c>
      <c r="L994" t="n">
        <v>0</v>
      </c>
      <c r="M994" t="n">
        <v>0</v>
      </c>
      <c r="N994" t="n">
        <v>0</v>
      </c>
      <c r="O994" t="n">
        <v>0</v>
      </c>
      <c r="P994" t="n">
        <v>0</v>
      </c>
      <c r="Q994" t="n">
        <v>0</v>
      </c>
      <c r="R994" s="2" t="inlineStr"/>
    </row>
    <row r="995" ht="15" customHeight="1">
      <c r="A995" t="inlineStr">
        <is>
          <t>A 23343-2025</t>
        </is>
      </c>
      <c r="B995" s="1" t="n">
        <v>45791.65702546296</v>
      </c>
      <c r="C995" s="1" t="n">
        <v>45998</v>
      </c>
      <c r="D995" t="inlineStr">
        <is>
          <t>VÄSTERNORRLANDS LÄN</t>
        </is>
      </c>
      <c r="E995" t="inlineStr">
        <is>
          <t>ÅNGE</t>
        </is>
      </c>
      <c r="F995" t="inlineStr">
        <is>
          <t>SCA</t>
        </is>
      </c>
      <c r="G995" t="n">
        <v>12.6</v>
      </c>
      <c r="H995" t="n">
        <v>0</v>
      </c>
      <c r="I995" t="n">
        <v>0</v>
      </c>
      <c r="J995" t="n">
        <v>0</v>
      </c>
      <c r="K995" t="n">
        <v>0</v>
      </c>
      <c r="L995" t="n">
        <v>0</v>
      </c>
      <c r="M995" t="n">
        <v>0</v>
      </c>
      <c r="N995" t="n">
        <v>0</v>
      </c>
      <c r="O995" t="n">
        <v>0</v>
      </c>
      <c r="P995" t="n">
        <v>0</v>
      </c>
      <c r="Q995" t="n">
        <v>0</v>
      </c>
      <c r="R995" s="2" t="inlineStr"/>
    </row>
    <row r="996" ht="15" customHeight="1">
      <c r="A996" t="inlineStr">
        <is>
          <t>A 20110-2023</t>
        </is>
      </c>
      <c r="B996" s="1" t="n">
        <v>45051</v>
      </c>
      <c r="C996" s="1" t="n">
        <v>45998</v>
      </c>
      <c r="D996" t="inlineStr">
        <is>
          <t>VÄSTERNORRLANDS LÄN</t>
        </is>
      </c>
      <c r="E996" t="inlineStr">
        <is>
          <t>ÅNGE</t>
        </is>
      </c>
      <c r="G996" t="n">
        <v>2.5</v>
      </c>
      <c r="H996" t="n">
        <v>0</v>
      </c>
      <c r="I996" t="n">
        <v>0</v>
      </c>
      <c r="J996" t="n">
        <v>0</v>
      </c>
      <c r="K996" t="n">
        <v>0</v>
      </c>
      <c r="L996" t="n">
        <v>0</v>
      </c>
      <c r="M996" t="n">
        <v>0</v>
      </c>
      <c r="N996" t="n">
        <v>0</v>
      </c>
      <c r="O996" t="n">
        <v>0</v>
      </c>
      <c r="P996" t="n">
        <v>0</v>
      </c>
      <c r="Q996" t="n">
        <v>0</v>
      </c>
      <c r="R996" s="2" t="inlineStr"/>
    </row>
    <row r="997" ht="15" customHeight="1">
      <c r="A997" t="inlineStr">
        <is>
          <t>A 34726-2024</t>
        </is>
      </c>
      <c r="B997" s="1" t="n">
        <v>45526.5733912037</v>
      </c>
      <c r="C997" s="1" t="n">
        <v>45998</v>
      </c>
      <c r="D997" t="inlineStr">
        <is>
          <t>VÄSTERNORRLANDS LÄN</t>
        </is>
      </c>
      <c r="E997" t="inlineStr">
        <is>
          <t>ÅNGE</t>
        </is>
      </c>
      <c r="G997" t="n">
        <v>1.9</v>
      </c>
      <c r="H997" t="n">
        <v>0</v>
      </c>
      <c r="I997" t="n">
        <v>0</v>
      </c>
      <c r="J997" t="n">
        <v>0</v>
      </c>
      <c r="K997" t="n">
        <v>0</v>
      </c>
      <c r="L997" t="n">
        <v>0</v>
      </c>
      <c r="M997" t="n">
        <v>0</v>
      </c>
      <c r="N997" t="n">
        <v>0</v>
      </c>
      <c r="O997" t="n">
        <v>0</v>
      </c>
      <c r="P997" t="n">
        <v>0</v>
      </c>
      <c r="Q997" t="n">
        <v>0</v>
      </c>
      <c r="R997" s="2" t="inlineStr"/>
    </row>
    <row r="998" ht="15" customHeight="1">
      <c r="A998" t="inlineStr">
        <is>
          <t>A 23573-2025</t>
        </is>
      </c>
      <c r="B998" s="1" t="n">
        <v>45792.61497685185</v>
      </c>
      <c r="C998" s="1" t="n">
        <v>45998</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38078-2025</t>
        </is>
      </c>
      <c r="B999" s="1" t="n">
        <v>45882.46918981482</v>
      </c>
      <c r="C999" s="1" t="n">
        <v>45998</v>
      </c>
      <c r="D999" t="inlineStr">
        <is>
          <t>VÄSTERNORRLANDS LÄN</t>
        </is>
      </c>
      <c r="E999" t="inlineStr">
        <is>
          <t>ÅNGE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45998</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37919-2025</t>
        </is>
      </c>
      <c r="B1001" s="1" t="n">
        <v>45881.57478009259</v>
      </c>
      <c r="C1001" s="1" t="n">
        <v>45998</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37802-2025</t>
        </is>
      </c>
      <c r="B1002" s="1" t="n">
        <v>45881.34447916667</v>
      </c>
      <c r="C1002" s="1" t="n">
        <v>45998</v>
      </c>
      <c r="D1002" t="inlineStr">
        <is>
          <t>VÄSTERNORRLANDS LÄN</t>
        </is>
      </c>
      <c r="E1002" t="inlineStr">
        <is>
          <t>ÅNGE</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32051-2025</t>
        </is>
      </c>
      <c r="B1003" s="1" t="n">
        <v>45835.44185185185</v>
      </c>
      <c r="C1003" s="1" t="n">
        <v>45998</v>
      </c>
      <c r="D1003" t="inlineStr">
        <is>
          <t>VÄSTERNORRLANDS LÄN</t>
        </is>
      </c>
      <c r="E1003" t="inlineStr">
        <is>
          <t>ÅNGE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20716-2025</t>
        </is>
      </c>
      <c r="B1004" s="1" t="n">
        <v>45776.49026620371</v>
      </c>
      <c r="C1004" s="1" t="n">
        <v>45998</v>
      </c>
      <c r="D1004" t="inlineStr">
        <is>
          <t>VÄSTERNORRLANDS LÄN</t>
        </is>
      </c>
      <c r="E1004" t="inlineStr">
        <is>
          <t>ÅNGE</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65149-2020</t>
        </is>
      </c>
      <c r="B1005" s="1" t="n">
        <v>44172</v>
      </c>
      <c r="C1005" s="1" t="n">
        <v>45998</v>
      </c>
      <c r="D1005" t="inlineStr">
        <is>
          <t>VÄSTERNORRLANDS LÄN</t>
        </is>
      </c>
      <c r="E1005" t="inlineStr">
        <is>
          <t>ÅNGE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38711-2025</t>
        </is>
      </c>
      <c r="B1006" s="1" t="n">
        <v>45886.34450231482</v>
      </c>
      <c r="C1006" s="1" t="n">
        <v>45998</v>
      </c>
      <c r="D1006" t="inlineStr">
        <is>
          <t>VÄSTERNORRLANDS LÄN</t>
        </is>
      </c>
      <c r="E1006" t="inlineStr">
        <is>
          <t>ÅNGE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38715-2025</t>
        </is>
      </c>
      <c r="B1007" s="1" t="n">
        <v>45886.34501157407</v>
      </c>
      <c r="C1007" s="1" t="n">
        <v>45998</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47440-2025</t>
        </is>
      </c>
      <c r="B1008" s="1" t="n">
        <v>45930.63766203704</v>
      </c>
      <c r="C1008" s="1" t="n">
        <v>45998</v>
      </c>
      <c r="D1008" t="inlineStr">
        <is>
          <t>VÄSTERNORRLANDS LÄN</t>
        </is>
      </c>
      <c r="E1008" t="inlineStr">
        <is>
          <t>ÅNGE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39444-2025</t>
        </is>
      </c>
      <c r="B1009" s="1" t="n">
        <v>45889.69826388889</v>
      </c>
      <c r="C1009" s="1" t="n">
        <v>45998</v>
      </c>
      <c r="D1009" t="inlineStr">
        <is>
          <t>VÄSTERNORRLANDS LÄN</t>
        </is>
      </c>
      <c r="E1009" t="inlineStr">
        <is>
          <t>ÅNGE</t>
        </is>
      </c>
      <c r="F1009" t="inlineStr">
        <is>
          <t>SCA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47118-2025</t>
        </is>
      </c>
      <c r="B1010" s="1" t="n">
        <v>45929.67770833334</v>
      </c>
      <c r="C1010" s="1" t="n">
        <v>45998</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47196-2025</t>
        </is>
      </c>
      <c r="B1011" s="1" t="n">
        <v>45930.34520833333</v>
      </c>
      <c r="C1011" s="1" t="n">
        <v>45998</v>
      </c>
      <c r="D1011" t="inlineStr">
        <is>
          <t>VÄSTERNORRLANDS LÄN</t>
        </is>
      </c>
      <c r="E1011" t="inlineStr">
        <is>
          <t>ÅNGE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39434-2025</t>
        </is>
      </c>
      <c r="B1012" s="1" t="n">
        <v>45889.67811342593</v>
      </c>
      <c r="C1012" s="1" t="n">
        <v>45998</v>
      </c>
      <c r="D1012" t="inlineStr">
        <is>
          <t>VÄSTERNORRLANDS LÄN</t>
        </is>
      </c>
      <c r="E1012" t="inlineStr">
        <is>
          <t>ÅNGE</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35578-2025</t>
        </is>
      </c>
      <c r="B1013" s="1" t="n">
        <v>45856.67797453704</v>
      </c>
      <c r="C1013" s="1" t="n">
        <v>45998</v>
      </c>
      <c r="D1013" t="inlineStr">
        <is>
          <t>VÄSTERNORRLANDS LÄN</t>
        </is>
      </c>
      <c r="E1013" t="inlineStr">
        <is>
          <t>ÅNGE</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39768-2025</t>
        </is>
      </c>
      <c r="B1014" s="1" t="n">
        <v>45891.44842592593</v>
      </c>
      <c r="C1014" s="1" t="n">
        <v>45998</v>
      </c>
      <c r="D1014" t="inlineStr">
        <is>
          <t>VÄSTERNORRLANDS LÄN</t>
        </is>
      </c>
      <c r="E1014" t="inlineStr">
        <is>
          <t>ÅNGE</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55556-2025</t>
        </is>
      </c>
      <c r="B1015" s="1" t="n">
        <v>45971.64694444444</v>
      </c>
      <c r="C1015" s="1" t="n">
        <v>45998</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33720-2025</t>
        </is>
      </c>
      <c r="B1016" s="1" t="n">
        <v>45841.90605324074</v>
      </c>
      <c r="C1016" s="1" t="n">
        <v>45998</v>
      </c>
      <c r="D1016" t="inlineStr">
        <is>
          <t>VÄSTERNORRLANDS LÄN</t>
        </is>
      </c>
      <c r="E1016" t="inlineStr">
        <is>
          <t>ÅNGE</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46829-2025</t>
        </is>
      </c>
      <c r="B1017" s="1" t="n">
        <v>45927.34513888889</v>
      </c>
      <c r="C1017" s="1" t="n">
        <v>45998</v>
      </c>
      <c r="D1017" t="inlineStr">
        <is>
          <t>VÄSTERNORRLANDS LÄN</t>
        </is>
      </c>
      <c r="E1017" t="inlineStr">
        <is>
          <t>ÅNGE</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39729-2025</t>
        </is>
      </c>
      <c r="B1018" s="1" t="n">
        <v>45891</v>
      </c>
      <c r="C1018" s="1" t="n">
        <v>45998</v>
      </c>
      <c r="D1018" t="inlineStr">
        <is>
          <t>VÄSTERNORRLANDS LÄN</t>
        </is>
      </c>
      <c r="E1018" t="inlineStr">
        <is>
          <t>ÅNGE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47488-2025</t>
        </is>
      </c>
      <c r="B1019" s="1" t="n">
        <v>45930.69890046296</v>
      </c>
      <c r="C1019" s="1" t="n">
        <v>45998</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55816-2025</t>
        </is>
      </c>
      <c r="B1020" s="1" t="n">
        <v>45972.69851851852</v>
      </c>
      <c r="C1020" s="1" t="n">
        <v>45998</v>
      </c>
      <c r="D1020" t="inlineStr">
        <is>
          <t>VÄSTERNORRLANDS LÄN</t>
        </is>
      </c>
      <c r="E1020" t="inlineStr">
        <is>
          <t>ÅNGE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46897-2025</t>
        </is>
      </c>
      <c r="B1021" s="1" t="n">
        <v>45929.38597222222</v>
      </c>
      <c r="C1021" s="1" t="n">
        <v>45998</v>
      </c>
      <c r="D1021" t="inlineStr">
        <is>
          <t>VÄSTERNORRLANDS LÄN</t>
        </is>
      </c>
      <c r="E1021" t="inlineStr">
        <is>
          <t>ÅNGE</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16450-2025</t>
        </is>
      </c>
      <c r="B1022" s="1" t="n">
        <v>45751.51081018519</v>
      </c>
      <c r="C1022" s="1" t="n">
        <v>45998</v>
      </c>
      <c r="D1022" t="inlineStr">
        <is>
          <t>VÄSTERNORRLANDS LÄN</t>
        </is>
      </c>
      <c r="E1022" t="inlineStr">
        <is>
          <t>ÅNGE</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47377-2025</t>
        </is>
      </c>
      <c r="B1023" s="1" t="n">
        <v>45930.59469907408</v>
      </c>
      <c r="C1023" s="1" t="n">
        <v>45998</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47305-2025</t>
        </is>
      </c>
      <c r="B1024" s="1" t="n">
        <v>45930</v>
      </c>
      <c r="C1024" s="1" t="n">
        <v>45998</v>
      </c>
      <c r="D1024" t="inlineStr">
        <is>
          <t>VÄSTERNORRLANDS LÄN</t>
        </is>
      </c>
      <c r="E1024" t="inlineStr">
        <is>
          <t>ÅNGE</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46933-2025</t>
        </is>
      </c>
      <c r="B1025" s="1" t="n">
        <v>45929.44645833333</v>
      </c>
      <c r="C1025" s="1" t="n">
        <v>45998</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40665-2025</t>
        </is>
      </c>
      <c r="B1026" s="1" t="n">
        <v>45896.65663194445</v>
      </c>
      <c r="C1026" s="1" t="n">
        <v>45998</v>
      </c>
      <c r="D1026" t="inlineStr">
        <is>
          <t>VÄSTERNORRLANDS LÄN</t>
        </is>
      </c>
      <c r="E1026" t="inlineStr">
        <is>
          <t>ÅNGE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47752-2025</t>
        </is>
      </c>
      <c r="B1027" s="1" t="n">
        <v>45931.66358796296</v>
      </c>
      <c r="C1027" s="1" t="n">
        <v>45998</v>
      </c>
      <c r="D1027" t="inlineStr">
        <is>
          <t>VÄSTERNORRLANDS LÄN</t>
        </is>
      </c>
      <c r="E1027" t="inlineStr">
        <is>
          <t>ÅNGE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23590-2025</t>
        </is>
      </c>
      <c r="B1028" s="1" t="n">
        <v>45792.63627314815</v>
      </c>
      <c r="C1028" s="1" t="n">
        <v>45998</v>
      </c>
      <c r="D1028" t="inlineStr">
        <is>
          <t>VÄSTERNORRLANDS LÄN</t>
        </is>
      </c>
      <c r="E1028" t="inlineStr">
        <is>
          <t>ÅNGE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23495-2025</t>
        </is>
      </c>
      <c r="B1029" s="1" t="n">
        <v>45792.46967592592</v>
      </c>
      <c r="C1029" s="1" t="n">
        <v>45998</v>
      </c>
      <c r="D1029" t="inlineStr">
        <is>
          <t>VÄSTERNORRLANDS LÄN</t>
        </is>
      </c>
      <c r="E1029" t="inlineStr">
        <is>
          <t>ÅNGE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4095-2023</t>
        </is>
      </c>
      <c r="B1030" s="1" t="n">
        <v>44952</v>
      </c>
      <c r="C1030" s="1" t="n">
        <v>45998</v>
      </c>
      <c r="D1030" t="inlineStr">
        <is>
          <t>VÄSTERNORRLANDS LÄN</t>
        </is>
      </c>
      <c r="E1030" t="inlineStr">
        <is>
          <t>ÅNGE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23589-2025</t>
        </is>
      </c>
      <c r="B1031" s="1" t="n">
        <v>45792.63618055556</v>
      </c>
      <c r="C1031" s="1" t="n">
        <v>45998</v>
      </c>
      <c r="D1031" t="inlineStr">
        <is>
          <t>VÄSTERNORRLANDS LÄN</t>
        </is>
      </c>
      <c r="E1031" t="inlineStr">
        <is>
          <t>ÅNGE</t>
        </is>
      </c>
      <c r="F1031" t="inlineStr">
        <is>
          <t>SCA</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56077-2025</t>
        </is>
      </c>
      <c r="B1032" s="1" t="n">
        <v>45973.65759259259</v>
      </c>
      <c r="C1032" s="1" t="n">
        <v>45998</v>
      </c>
      <c r="D1032" t="inlineStr">
        <is>
          <t>VÄSTERNORRLANDS LÄN</t>
        </is>
      </c>
      <c r="E1032" t="inlineStr">
        <is>
          <t>ÅNGE</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41179-2025</t>
        </is>
      </c>
      <c r="B1033" s="1" t="n">
        <v>45898.55277777778</v>
      </c>
      <c r="C1033" s="1" t="n">
        <v>45998</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41173-2025</t>
        </is>
      </c>
      <c r="B1034" s="1" t="n">
        <v>45898</v>
      </c>
      <c r="C1034" s="1" t="n">
        <v>45998</v>
      </c>
      <c r="D1034" t="inlineStr">
        <is>
          <t>VÄSTERNORRLANDS LÄN</t>
        </is>
      </c>
      <c r="E1034" t="inlineStr">
        <is>
          <t>ÅNGE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40898-2025</t>
        </is>
      </c>
      <c r="B1035" s="1" t="n">
        <v>45897.61503472222</v>
      </c>
      <c r="C1035" s="1" t="n">
        <v>45998</v>
      </c>
      <c r="D1035" t="inlineStr">
        <is>
          <t>VÄSTERNORRLANDS LÄN</t>
        </is>
      </c>
      <c r="E1035" t="inlineStr">
        <is>
          <t>ÅNGE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40899-2025</t>
        </is>
      </c>
      <c r="B1036" s="1" t="n">
        <v>45897.61528935185</v>
      </c>
      <c r="C1036" s="1" t="n">
        <v>45998</v>
      </c>
      <c r="D1036" t="inlineStr">
        <is>
          <t>VÄSTERNORRLANDS LÄN</t>
        </is>
      </c>
      <c r="E1036" t="inlineStr">
        <is>
          <t>ÅNGE</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48055-2025</t>
        </is>
      </c>
      <c r="B1037" s="1" t="n">
        <v>45932.67922453704</v>
      </c>
      <c r="C1037" s="1" t="n">
        <v>45998</v>
      </c>
      <c r="D1037" t="inlineStr">
        <is>
          <t>VÄSTERNORRLANDS LÄN</t>
        </is>
      </c>
      <c r="E1037" t="inlineStr">
        <is>
          <t>ÅNGE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48069-2025</t>
        </is>
      </c>
      <c r="B1038" s="1" t="n">
        <v>45932.69865740741</v>
      </c>
      <c r="C1038" s="1" t="n">
        <v>45998</v>
      </c>
      <c r="D1038" t="inlineStr">
        <is>
          <t>VÄSTERNORRLANDS LÄN</t>
        </is>
      </c>
      <c r="E1038" t="inlineStr">
        <is>
          <t>ÅNGE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40872-2025</t>
        </is>
      </c>
      <c r="B1039" s="1" t="n">
        <v>45897.574375</v>
      </c>
      <c r="C1039" s="1" t="n">
        <v>45998</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40818-2025</t>
        </is>
      </c>
      <c r="B1040" s="1" t="n">
        <v>45897.48881944444</v>
      </c>
      <c r="C1040" s="1" t="n">
        <v>45998</v>
      </c>
      <c r="D1040" t="inlineStr">
        <is>
          <t>VÄSTERNORRLANDS LÄN</t>
        </is>
      </c>
      <c r="E1040" t="inlineStr">
        <is>
          <t>ÅNGE</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40830-2025</t>
        </is>
      </c>
      <c r="B1041" s="1" t="n">
        <v>45897.51079861111</v>
      </c>
      <c r="C1041" s="1" t="n">
        <v>45998</v>
      </c>
      <c r="D1041" t="inlineStr">
        <is>
          <t>VÄSTERNORRLANDS LÄN</t>
        </is>
      </c>
      <c r="E1041" t="inlineStr">
        <is>
          <t>ÅNGE</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5367-2022</t>
        </is>
      </c>
      <c r="B1042" s="1" t="n">
        <v>44594.92111111111</v>
      </c>
      <c r="C1042" s="1" t="n">
        <v>45998</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41355-2025</t>
        </is>
      </c>
      <c r="B1043" s="1" t="n">
        <v>45900.34425925926</v>
      </c>
      <c r="C1043" s="1" t="n">
        <v>45998</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56741-2025</t>
        </is>
      </c>
      <c r="B1044" s="1" t="n">
        <v>45978.34726851852</v>
      </c>
      <c r="C1044" s="1" t="n">
        <v>45998</v>
      </c>
      <c r="D1044" t="inlineStr">
        <is>
          <t>VÄSTERNORRLANDS LÄN</t>
        </is>
      </c>
      <c r="E1044" t="inlineStr">
        <is>
          <t>ÅNGE</t>
        </is>
      </c>
      <c r="G1044" t="n">
        <v>11.4</v>
      </c>
      <c r="H1044" t="n">
        <v>0</v>
      </c>
      <c r="I1044" t="n">
        <v>0</v>
      </c>
      <c r="J1044" t="n">
        <v>0</v>
      </c>
      <c r="K1044" t="n">
        <v>0</v>
      </c>
      <c r="L1044" t="n">
        <v>0</v>
      </c>
      <c r="M1044" t="n">
        <v>0</v>
      </c>
      <c r="N1044" t="n">
        <v>0</v>
      </c>
      <c r="O1044" t="n">
        <v>0</v>
      </c>
      <c r="P1044" t="n">
        <v>0</v>
      </c>
      <c r="Q1044" t="n">
        <v>0</v>
      </c>
      <c r="R1044" s="2" t="inlineStr"/>
    </row>
    <row r="1045" ht="15" customHeight="1">
      <c r="A1045" t="inlineStr">
        <is>
          <t>A 54627-2025</t>
        </is>
      </c>
      <c r="B1045" s="1" t="n">
        <v>45966.34565972222</v>
      </c>
      <c r="C1045" s="1" t="n">
        <v>45998</v>
      </c>
      <c r="D1045" t="inlineStr">
        <is>
          <t>VÄSTERNORRLANDS LÄN</t>
        </is>
      </c>
      <c r="E1045" t="inlineStr">
        <is>
          <t>ÅNGE</t>
        </is>
      </c>
      <c r="F1045" t="inlineStr">
        <is>
          <t>SCA</t>
        </is>
      </c>
      <c r="G1045" t="n">
        <v>18.5</v>
      </c>
      <c r="H1045" t="n">
        <v>0</v>
      </c>
      <c r="I1045" t="n">
        <v>0</v>
      </c>
      <c r="J1045" t="n">
        <v>0</v>
      </c>
      <c r="K1045" t="n">
        <v>0</v>
      </c>
      <c r="L1045" t="n">
        <v>0</v>
      </c>
      <c r="M1045" t="n">
        <v>0</v>
      </c>
      <c r="N1045" t="n">
        <v>0</v>
      </c>
      <c r="O1045" t="n">
        <v>0</v>
      </c>
      <c r="P1045" t="n">
        <v>0</v>
      </c>
      <c r="Q1045" t="n">
        <v>0</v>
      </c>
      <c r="R1045" s="2" t="inlineStr"/>
    </row>
    <row r="1046" ht="15" customHeight="1">
      <c r="A1046" t="inlineStr">
        <is>
          <t>A 48234-2025</t>
        </is>
      </c>
      <c r="B1046" s="1" t="n">
        <v>45933.53211805555</v>
      </c>
      <c r="C1046" s="1" t="n">
        <v>45998</v>
      </c>
      <c r="D1046" t="inlineStr">
        <is>
          <t>VÄSTERNORRLANDS LÄN</t>
        </is>
      </c>
      <c r="E1046" t="inlineStr">
        <is>
          <t>ÅNGE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48235-2025</t>
        </is>
      </c>
      <c r="B1047" s="1" t="n">
        <v>45933.5321412037</v>
      </c>
      <c r="C1047" s="1" t="n">
        <v>45998</v>
      </c>
      <c r="D1047" t="inlineStr">
        <is>
          <t>VÄSTERNORRLANDS LÄN</t>
        </is>
      </c>
      <c r="E1047" t="inlineStr">
        <is>
          <t>ÅNGE</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41870-2025</t>
        </is>
      </c>
      <c r="B1048" s="1" t="n">
        <v>45903.3446412037</v>
      </c>
      <c r="C1048" s="1" t="n">
        <v>45998</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41872-2025</t>
        </is>
      </c>
      <c r="B1049" s="1" t="n">
        <v>45903.34497685185</v>
      </c>
      <c r="C1049" s="1" t="n">
        <v>45998</v>
      </c>
      <c r="D1049" t="inlineStr">
        <is>
          <t>VÄSTERNORRLANDS LÄN</t>
        </is>
      </c>
      <c r="E1049" t="inlineStr">
        <is>
          <t>ÅNGE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42889-2025</t>
        </is>
      </c>
      <c r="B1050" s="1" t="n">
        <v>45908.65546296296</v>
      </c>
      <c r="C1050" s="1" t="n">
        <v>45998</v>
      </c>
      <c r="D1050" t="inlineStr">
        <is>
          <t>VÄSTERNORRLANDS LÄN</t>
        </is>
      </c>
      <c r="E1050" t="inlineStr">
        <is>
          <t>ÅNGE</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42786-2025</t>
        </is>
      </c>
      <c r="B1051" s="1" t="n">
        <v>45908.51097222222</v>
      </c>
      <c r="C1051" s="1" t="n">
        <v>45998</v>
      </c>
      <c r="D1051" t="inlineStr">
        <is>
          <t>VÄSTERNORRLANDS LÄN</t>
        </is>
      </c>
      <c r="E1051" t="inlineStr">
        <is>
          <t>ÅNGE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5035-2025</t>
        </is>
      </c>
      <c r="B1052" s="1" t="n">
        <v>45691</v>
      </c>
      <c r="C1052" s="1" t="n">
        <v>45998</v>
      </c>
      <c r="D1052" t="inlineStr">
        <is>
          <t>VÄSTERNORRLANDS LÄN</t>
        </is>
      </c>
      <c r="E1052" t="inlineStr">
        <is>
          <t>ÅNGE</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72239-2021</t>
        </is>
      </c>
      <c r="B1053" s="1" t="n">
        <v>44544.9203587963</v>
      </c>
      <c r="C1053" s="1" t="n">
        <v>45998</v>
      </c>
      <c r="D1053" t="inlineStr">
        <is>
          <t>VÄSTERNORRLANDS LÄN</t>
        </is>
      </c>
      <c r="E1053" t="inlineStr">
        <is>
          <t>ÅNGE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42863-2025</t>
        </is>
      </c>
      <c r="B1054" s="1" t="n">
        <v>45908.61527777778</v>
      </c>
      <c r="C1054" s="1" t="n">
        <v>45998</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42731-2025</t>
        </is>
      </c>
      <c r="B1055" s="1" t="n">
        <v>45908.40686342592</v>
      </c>
      <c r="C1055" s="1" t="n">
        <v>45998</v>
      </c>
      <c r="D1055" t="inlineStr">
        <is>
          <t>VÄSTERNORRLANDS LÄN</t>
        </is>
      </c>
      <c r="E1055" t="inlineStr">
        <is>
          <t>ÅNGE</t>
        </is>
      </c>
      <c r="G1055" t="n">
        <v>14.1</v>
      </c>
      <c r="H1055" t="n">
        <v>0</v>
      </c>
      <c r="I1055" t="n">
        <v>0</v>
      </c>
      <c r="J1055" t="n">
        <v>0</v>
      </c>
      <c r="K1055" t="n">
        <v>0</v>
      </c>
      <c r="L1055" t="n">
        <v>0</v>
      </c>
      <c r="M1055" t="n">
        <v>0</v>
      </c>
      <c r="N1055" t="n">
        <v>0</v>
      </c>
      <c r="O1055" t="n">
        <v>0</v>
      </c>
      <c r="P1055" t="n">
        <v>0</v>
      </c>
      <c r="Q1055" t="n">
        <v>0</v>
      </c>
      <c r="R1055" s="2" t="inlineStr"/>
    </row>
    <row r="1056" ht="15" customHeight="1">
      <c r="A1056" t="inlineStr">
        <is>
          <t>A 42785-2025</t>
        </is>
      </c>
      <c r="B1056" s="1" t="n">
        <v>45908.51083333333</v>
      </c>
      <c r="C1056" s="1" t="n">
        <v>45998</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21456-2025</t>
        </is>
      </c>
      <c r="B1057" s="1" t="n">
        <v>45782.55342592593</v>
      </c>
      <c r="C1057" s="1" t="n">
        <v>45998</v>
      </c>
      <c r="D1057" t="inlineStr">
        <is>
          <t>VÄSTERNORRLANDS LÄN</t>
        </is>
      </c>
      <c r="E1057" t="inlineStr">
        <is>
          <t>ÅNGE</t>
        </is>
      </c>
      <c r="F1057" t="inlineStr">
        <is>
          <t>SCA</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3-2025</t>
        </is>
      </c>
      <c r="B1058" s="1" t="n">
        <v>45658.49819444444</v>
      </c>
      <c r="C1058" s="1" t="n">
        <v>45998</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9619-2021</t>
        </is>
      </c>
      <c r="B1059" s="1" t="n">
        <v>44251</v>
      </c>
      <c r="C1059" s="1" t="n">
        <v>45998</v>
      </c>
      <c r="D1059" t="inlineStr">
        <is>
          <t>VÄSTERNORRLANDS LÄN</t>
        </is>
      </c>
      <c r="E1059" t="inlineStr">
        <is>
          <t>ÅNGE</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23252-2025</t>
        </is>
      </c>
      <c r="B1060" s="1" t="n">
        <v>45791.53157407408</v>
      </c>
      <c r="C1060" s="1" t="n">
        <v>45998</v>
      </c>
      <c r="D1060" t="inlineStr">
        <is>
          <t>VÄSTERNORRLANDS LÄN</t>
        </is>
      </c>
      <c r="E1060" t="inlineStr">
        <is>
          <t>ÅNGE</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23529-2025</t>
        </is>
      </c>
      <c r="B1061" s="1" t="n">
        <v>45792.53158564815</v>
      </c>
      <c r="C1061" s="1" t="n">
        <v>45998</v>
      </c>
      <c r="D1061" t="inlineStr">
        <is>
          <t>VÄSTERNORRLANDS LÄN</t>
        </is>
      </c>
      <c r="E1061" t="inlineStr">
        <is>
          <t>ÅNGE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23552-2025</t>
        </is>
      </c>
      <c r="B1062" s="1" t="n">
        <v>45792.5738425926</v>
      </c>
      <c r="C1062" s="1" t="n">
        <v>45998</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42730-2025</t>
        </is>
      </c>
      <c r="B1063" s="1" t="n">
        <v>45908.40666666667</v>
      </c>
      <c r="C1063" s="1" t="n">
        <v>45998</v>
      </c>
      <c r="D1063" t="inlineStr">
        <is>
          <t>VÄSTERNORRLANDS LÄN</t>
        </is>
      </c>
      <c r="E1063" t="inlineStr">
        <is>
          <t>ÅNGE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56419-2025</t>
        </is>
      </c>
      <c r="B1064" s="1" t="n">
        <v>45975.34445601852</v>
      </c>
      <c r="C1064" s="1" t="n">
        <v>45998</v>
      </c>
      <c r="D1064" t="inlineStr">
        <is>
          <t>VÄSTERNORRLANDS LÄN</t>
        </is>
      </c>
      <c r="E1064" t="inlineStr">
        <is>
          <t>ÅNGE</t>
        </is>
      </c>
      <c r="F1064" t="inlineStr">
        <is>
          <t>SCA</t>
        </is>
      </c>
      <c r="G1064" t="n">
        <v>21.4</v>
      </c>
      <c r="H1064" t="n">
        <v>0</v>
      </c>
      <c r="I1064" t="n">
        <v>0</v>
      </c>
      <c r="J1064" t="n">
        <v>0</v>
      </c>
      <c r="K1064" t="n">
        <v>0</v>
      </c>
      <c r="L1064" t="n">
        <v>0</v>
      </c>
      <c r="M1064" t="n">
        <v>0</v>
      </c>
      <c r="N1064" t="n">
        <v>0</v>
      </c>
      <c r="O1064" t="n">
        <v>0</v>
      </c>
      <c r="P1064" t="n">
        <v>0</v>
      </c>
      <c r="Q1064" t="n">
        <v>0</v>
      </c>
      <c r="R1064" s="2" t="inlineStr"/>
    </row>
    <row r="1065" ht="15" customHeight="1">
      <c r="A1065" t="inlineStr">
        <is>
          <t>A 56423-2025</t>
        </is>
      </c>
      <c r="B1065" s="1" t="n">
        <v>45975.34528935186</v>
      </c>
      <c r="C1065" s="1" t="n">
        <v>45998</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c r="U1065">
        <f>HYPERLINK("https://klasma.github.io/Logging_2260/knärot/A 56423-2025 karta knärot.png", "A 56423-2025")</f>
        <v/>
      </c>
      <c r="V1065">
        <f>HYPERLINK("https://klasma.github.io/Logging_2260/klagomål/A 56423-2025 FSC-klagomål.docx", "A 56423-2025")</f>
        <v/>
      </c>
      <c r="W1065">
        <f>HYPERLINK("https://klasma.github.io/Logging_2260/klagomålsmail/A 56423-2025 FSC-klagomål mail.docx", "A 56423-2025")</f>
        <v/>
      </c>
      <c r="X1065">
        <f>HYPERLINK("https://klasma.github.io/Logging_2260/tillsyn/A 56423-2025 tillsynsbegäran.docx", "A 56423-2025")</f>
        <v/>
      </c>
      <c r="Y1065">
        <f>HYPERLINK("https://klasma.github.io/Logging_2260/tillsynsmail/A 56423-2025 tillsynsbegäran mail.docx", "A 56423-2025")</f>
        <v/>
      </c>
    </row>
    <row r="1066" ht="15" customHeight="1">
      <c r="A1066" t="inlineStr">
        <is>
          <t>A 42589-2025</t>
        </is>
      </c>
      <c r="B1066" s="1" t="n">
        <v>45905.63585648148</v>
      </c>
      <c r="C1066" s="1" t="n">
        <v>45998</v>
      </c>
      <c r="D1066" t="inlineStr">
        <is>
          <t>VÄSTERNORRLANDS LÄN</t>
        </is>
      </c>
      <c r="E1066" t="inlineStr">
        <is>
          <t>ÅNGE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42764-2025</t>
        </is>
      </c>
      <c r="B1067" s="1" t="n">
        <v>45908.46943287037</v>
      </c>
      <c r="C1067" s="1" t="n">
        <v>45998</v>
      </c>
      <c r="D1067" t="inlineStr">
        <is>
          <t>VÄSTERNORRLANDS LÄN</t>
        </is>
      </c>
      <c r="E1067" t="inlineStr">
        <is>
          <t>ÅNGE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23748-2025</t>
        </is>
      </c>
      <c r="B1068" s="1" t="n">
        <v>45793.44755787037</v>
      </c>
      <c r="C1068" s="1" t="n">
        <v>45998</v>
      </c>
      <c r="D1068" t="inlineStr">
        <is>
          <t>VÄSTERNORRLANDS LÄN</t>
        </is>
      </c>
      <c r="E1068" t="inlineStr">
        <is>
          <t>ÅNGE</t>
        </is>
      </c>
      <c r="F1068" t="inlineStr">
        <is>
          <t>Sveaskog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55882-2022</t>
        </is>
      </c>
      <c r="B1069" s="1" t="n">
        <v>44888</v>
      </c>
      <c r="C1069" s="1" t="n">
        <v>45998</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43145-2024</t>
        </is>
      </c>
      <c r="B1070" s="1" t="n">
        <v>45567.63030092593</v>
      </c>
      <c r="C1070" s="1" t="n">
        <v>45998</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23899-2025</t>
        </is>
      </c>
      <c r="B1071" s="1" t="n">
        <v>45794.34414351852</v>
      </c>
      <c r="C1071" s="1" t="n">
        <v>45998</v>
      </c>
      <c r="D1071" t="inlineStr">
        <is>
          <t>VÄSTERNORRLANDS LÄN</t>
        </is>
      </c>
      <c r="E1071" t="inlineStr">
        <is>
          <t>ÅNGE</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23917-2025</t>
        </is>
      </c>
      <c r="B1072" s="1" t="n">
        <v>45795.34481481482</v>
      </c>
      <c r="C1072" s="1" t="n">
        <v>45998</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42880-2025</t>
        </is>
      </c>
      <c r="B1073" s="1" t="n">
        <v>45908.63599537037</v>
      </c>
      <c r="C1073" s="1" t="n">
        <v>45998</v>
      </c>
      <c r="D1073" t="inlineStr">
        <is>
          <t>VÄSTERNORRLANDS LÄN</t>
        </is>
      </c>
      <c r="E1073" t="inlineStr">
        <is>
          <t>ÅNGE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45998</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48679-2025</t>
        </is>
      </c>
      <c r="B1075" s="1" t="n">
        <v>45936.59196759259</v>
      </c>
      <c r="C1075" s="1" t="n">
        <v>45998</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39843-2023</t>
        </is>
      </c>
      <c r="B1076" s="1" t="n">
        <v>45168</v>
      </c>
      <c r="C1076" s="1" t="n">
        <v>45998</v>
      </c>
      <c r="D1076" t="inlineStr">
        <is>
          <t>VÄSTERNORRLANDS LÄN</t>
        </is>
      </c>
      <c r="E1076" t="inlineStr">
        <is>
          <t>ÅNGE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43237-2025</t>
        </is>
      </c>
      <c r="B1077" s="1" t="n">
        <v>45910.51670138889</v>
      </c>
      <c r="C1077" s="1" t="n">
        <v>45998</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43250-2025</t>
        </is>
      </c>
      <c r="B1078" s="1" t="n">
        <v>45910.5525462963</v>
      </c>
      <c r="C1078" s="1" t="n">
        <v>45998</v>
      </c>
      <c r="D1078" t="inlineStr">
        <is>
          <t>VÄSTERNORRLANDS LÄN</t>
        </is>
      </c>
      <c r="E1078" t="inlineStr">
        <is>
          <t>ÅNGE</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23975-2025</t>
        </is>
      </c>
      <c r="B1079" s="1" t="n">
        <v>45796.38614583333</v>
      </c>
      <c r="C1079" s="1" t="n">
        <v>45998</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23976-2025</t>
        </is>
      </c>
      <c r="B1080" s="1" t="n">
        <v>45796.38625</v>
      </c>
      <c r="C1080" s="1" t="n">
        <v>45998</v>
      </c>
      <c r="D1080" t="inlineStr">
        <is>
          <t>VÄSTERNORRLANDS LÄN</t>
        </is>
      </c>
      <c r="E1080" t="inlineStr">
        <is>
          <t>ÅNGE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23921-2025</t>
        </is>
      </c>
      <c r="B1081" s="1" t="n">
        <v>45795.34513888889</v>
      </c>
      <c r="C1081" s="1" t="n">
        <v>45998</v>
      </c>
      <c r="D1081" t="inlineStr">
        <is>
          <t>VÄSTERNORRLANDS LÄN</t>
        </is>
      </c>
      <c r="E1081" t="inlineStr">
        <is>
          <t>ÅNGE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53858-2024</t>
        </is>
      </c>
      <c r="B1082" s="1" t="n">
        <v>45615</v>
      </c>
      <c r="C1082" s="1" t="n">
        <v>45998</v>
      </c>
      <c r="D1082" t="inlineStr">
        <is>
          <t>VÄSTERNORRLANDS LÄN</t>
        </is>
      </c>
      <c r="E1082" t="inlineStr">
        <is>
          <t>ÅNGE</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43221-2025</t>
        </is>
      </c>
      <c r="B1083" s="1" t="n">
        <v>45910.47981481482</v>
      </c>
      <c r="C1083" s="1" t="n">
        <v>45998</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45998</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56666-2025</t>
        </is>
      </c>
      <c r="B1085" s="1" t="n">
        <v>45975.67747685185</v>
      </c>
      <c r="C1085" s="1" t="n">
        <v>45998</v>
      </c>
      <c r="D1085" t="inlineStr">
        <is>
          <t>VÄSTERNORRLANDS LÄN</t>
        </is>
      </c>
      <c r="E1085" t="inlineStr">
        <is>
          <t>ÅNGE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43265-2025</t>
        </is>
      </c>
      <c r="B1086" s="1" t="n">
        <v>45910.57377314815</v>
      </c>
      <c r="C1086" s="1" t="n">
        <v>45998</v>
      </c>
      <c r="D1086" t="inlineStr">
        <is>
          <t>VÄSTERNORRLANDS LÄN</t>
        </is>
      </c>
      <c r="E1086" t="inlineStr">
        <is>
          <t>ÅNGE</t>
        </is>
      </c>
      <c r="F1086" t="inlineStr">
        <is>
          <t>SCA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29702-2024</t>
        </is>
      </c>
      <c r="B1087" s="1" t="n">
        <v>45485.31525462963</v>
      </c>
      <c r="C1087" s="1" t="n">
        <v>45998</v>
      </c>
      <c r="D1087" t="inlineStr">
        <is>
          <t>VÄSTERNORRLANDS LÄN</t>
        </is>
      </c>
      <c r="E1087" t="inlineStr">
        <is>
          <t>ÅNGE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43252-2025</t>
        </is>
      </c>
      <c r="B1088" s="1" t="n">
        <v>45910.55292824074</v>
      </c>
      <c r="C1088" s="1" t="n">
        <v>45998</v>
      </c>
      <c r="D1088" t="inlineStr">
        <is>
          <t>VÄSTERNORRLANDS LÄN</t>
        </is>
      </c>
      <c r="E1088" t="inlineStr">
        <is>
          <t>ÅNGE</t>
        </is>
      </c>
      <c r="F1088" t="inlineStr">
        <is>
          <t>SCA</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43091-2025</t>
        </is>
      </c>
      <c r="B1089" s="1" t="n">
        <v>45909.62511574074</v>
      </c>
      <c r="C1089" s="1" t="n">
        <v>45998</v>
      </c>
      <c r="D1089" t="inlineStr">
        <is>
          <t>VÄSTERNORRLANDS LÄN</t>
        </is>
      </c>
      <c r="E1089" t="inlineStr">
        <is>
          <t>ÅNGE</t>
        </is>
      </c>
      <c r="F1089" t="inlineStr">
        <is>
          <t>Kyrkan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26641-2024</t>
        </is>
      </c>
      <c r="B1090" s="1" t="n">
        <v>45469.92836805555</v>
      </c>
      <c r="C1090" s="1" t="n">
        <v>45998</v>
      </c>
      <c r="D1090" t="inlineStr">
        <is>
          <t>VÄSTERNORRLANDS LÄN</t>
        </is>
      </c>
      <c r="E1090" t="inlineStr">
        <is>
          <t>ÅNGE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46249-2024</t>
        </is>
      </c>
      <c r="B1091" s="1" t="n">
        <v>45581.59409722222</v>
      </c>
      <c r="C1091" s="1" t="n">
        <v>45998</v>
      </c>
      <c r="D1091" t="inlineStr">
        <is>
          <t>VÄSTERNORRLANDS LÄN</t>
        </is>
      </c>
      <c r="E1091" t="inlineStr">
        <is>
          <t>ÅNGE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41741-2023</t>
        </is>
      </c>
      <c r="B1092" s="1" t="n">
        <v>45176.42164351852</v>
      </c>
      <c r="C1092" s="1" t="n">
        <v>45998</v>
      </c>
      <c r="D1092" t="inlineStr">
        <is>
          <t>VÄSTERNORRLANDS LÄN</t>
        </is>
      </c>
      <c r="E1092" t="inlineStr">
        <is>
          <t>ÅNGE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43077-2025</t>
        </is>
      </c>
      <c r="B1093" s="1" t="n">
        <v>45909.6046412037</v>
      </c>
      <c r="C1093" s="1" t="n">
        <v>45998</v>
      </c>
      <c r="D1093" t="inlineStr">
        <is>
          <t>VÄSTERNORRLANDS LÄN</t>
        </is>
      </c>
      <c r="E1093" t="inlineStr">
        <is>
          <t>ÅNGE</t>
        </is>
      </c>
      <c r="F1093" t="inlineStr">
        <is>
          <t>Kyrkan</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37992-2024</t>
        </is>
      </c>
      <c r="B1094" s="1" t="n">
        <v>45544.59524305556</v>
      </c>
      <c r="C1094" s="1" t="n">
        <v>45998</v>
      </c>
      <c r="D1094" t="inlineStr">
        <is>
          <t>VÄSTERNORRLANDS LÄN</t>
        </is>
      </c>
      <c r="E1094" t="inlineStr">
        <is>
          <t>ÅNGE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57516-2023</t>
        </is>
      </c>
      <c r="B1095" s="1" t="n">
        <v>45246.44665509259</v>
      </c>
      <c r="C1095" s="1" t="n">
        <v>45998</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23069-2024</t>
        </is>
      </c>
      <c r="B1096" s="1" t="n">
        <v>45450</v>
      </c>
      <c r="C1096" s="1" t="n">
        <v>45998</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41575-2024</t>
        </is>
      </c>
      <c r="B1097" s="1" t="n">
        <v>45560.55106481481</v>
      </c>
      <c r="C1097" s="1" t="n">
        <v>45998</v>
      </c>
      <c r="D1097" t="inlineStr">
        <is>
          <t>VÄSTERNORRLANDS LÄN</t>
        </is>
      </c>
      <c r="E1097" t="inlineStr">
        <is>
          <t>ÅNGE</t>
        </is>
      </c>
      <c r="F1097" t="inlineStr">
        <is>
          <t>Holmen skog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24008-2025</t>
        </is>
      </c>
      <c r="B1098" s="1" t="n">
        <v>45796.43841435185</v>
      </c>
      <c r="C1098" s="1" t="n">
        <v>45998</v>
      </c>
      <c r="D1098" t="inlineStr">
        <is>
          <t>VÄSTERNORRLANDS LÄN</t>
        </is>
      </c>
      <c r="E1098" t="inlineStr">
        <is>
          <t>ÅNGE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19007-2025</t>
        </is>
      </c>
      <c r="B1099" s="1" t="n">
        <v>45764.58515046296</v>
      </c>
      <c r="C1099" s="1" t="n">
        <v>45998</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60004-2023</t>
        </is>
      </c>
      <c r="B1100" s="1" t="n">
        <v>45257</v>
      </c>
      <c r="C1100" s="1" t="n">
        <v>45998</v>
      </c>
      <c r="D1100" t="inlineStr">
        <is>
          <t>VÄSTERNORRLANDS LÄN</t>
        </is>
      </c>
      <c r="E1100" t="inlineStr">
        <is>
          <t>ÅNGE</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43385-2025</t>
        </is>
      </c>
      <c r="B1101" s="1" t="n">
        <v>45911.36508101852</v>
      </c>
      <c r="C1101" s="1" t="n">
        <v>45998</v>
      </c>
      <c r="D1101" t="inlineStr">
        <is>
          <t>VÄSTERNORRLANDS LÄN</t>
        </is>
      </c>
      <c r="E1101" t="inlineStr">
        <is>
          <t>ÅNGE</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43707-2025</t>
        </is>
      </c>
      <c r="B1102" s="1" t="n">
        <v>45912.40668981482</v>
      </c>
      <c r="C1102" s="1" t="n">
        <v>45998</v>
      </c>
      <c r="D1102" t="inlineStr">
        <is>
          <t>VÄSTERNORRLANDS LÄN</t>
        </is>
      </c>
      <c r="E1102" t="inlineStr">
        <is>
          <t>ÅNGE</t>
        </is>
      </c>
      <c r="F1102" t="inlineStr">
        <is>
          <t>SCA</t>
        </is>
      </c>
      <c r="G1102" t="n">
        <v>12.5</v>
      </c>
      <c r="H1102" t="n">
        <v>0</v>
      </c>
      <c r="I1102" t="n">
        <v>0</v>
      </c>
      <c r="J1102" t="n">
        <v>0</v>
      </c>
      <c r="K1102" t="n">
        <v>0</v>
      </c>
      <c r="L1102" t="n">
        <v>0</v>
      </c>
      <c r="M1102" t="n">
        <v>0</v>
      </c>
      <c r="N1102" t="n">
        <v>0</v>
      </c>
      <c r="O1102" t="n">
        <v>0</v>
      </c>
      <c r="P1102" t="n">
        <v>0</v>
      </c>
      <c r="Q1102" t="n">
        <v>0</v>
      </c>
      <c r="R1102" s="2" t="inlineStr"/>
      <c r="U1102">
        <f>HYPERLINK("https://klasma.github.io/Logging_2260/knärot/A 43707-2025 karta knärot.png", "A 43707-2025")</f>
        <v/>
      </c>
      <c r="V1102">
        <f>HYPERLINK("https://klasma.github.io/Logging_2260/klagomål/A 43707-2025 FSC-klagomål.docx", "A 43707-2025")</f>
        <v/>
      </c>
      <c r="W1102">
        <f>HYPERLINK("https://klasma.github.io/Logging_2260/klagomålsmail/A 43707-2025 FSC-klagomål mail.docx", "A 43707-2025")</f>
        <v/>
      </c>
      <c r="X1102">
        <f>HYPERLINK("https://klasma.github.io/Logging_2260/tillsyn/A 43707-2025 tillsynsbegäran.docx", "A 43707-2025")</f>
        <v/>
      </c>
      <c r="Y1102">
        <f>HYPERLINK("https://klasma.github.io/Logging_2260/tillsynsmail/A 43707-2025 tillsynsbegäran mail.docx", "A 43707-2025")</f>
        <v/>
      </c>
    </row>
    <row r="1103" ht="15" customHeight="1">
      <c r="A1103" t="inlineStr">
        <is>
          <t>A 43415-2025</t>
        </is>
      </c>
      <c r="B1103" s="1" t="n">
        <v>45911.40662037037</v>
      </c>
      <c r="C1103" s="1" t="n">
        <v>45998</v>
      </c>
      <c r="D1103" t="inlineStr">
        <is>
          <t>VÄSTERNORRLANDS LÄN</t>
        </is>
      </c>
      <c r="E1103" t="inlineStr">
        <is>
          <t>ÅNGE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43622-2023</t>
        </is>
      </c>
      <c r="B1104" s="1" t="n">
        <v>45184.70777777778</v>
      </c>
      <c r="C1104" s="1" t="n">
        <v>45998</v>
      </c>
      <c r="D1104" t="inlineStr">
        <is>
          <t>VÄSTERNORRLANDS LÄN</t>
        </is>
      </c>
      <c r="E1104" t="inlineStr">
        <is>
          <t>ÅNGE</t>
        </is>
      </c>
      <c r="F1104" t="inlineStr">
        <is>
          <t>Holmen skog AB</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24458-2025</t>
        </is>
      </c>
      <c r="B1105" s="1" t="n">
        <v>45798.34476851852</v>
      </c>
      <c r="C1105" s="1" t="n">
        <v>45998</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29390-2021</t>
        </is>
      </c>
      <c r="B1106" s="1" t="n">
        <v>44361</v>
      </c>
      <c r="C1106" s="1" t="n">
        <v>45998</v>
      </c>
      <c r="D1106" t="inlineStr">
        <is>
          <t>VÄSTERNORRLANDS LÄN</t>
        </is>
      </c>
      <c r="E1106" t="inlineStr">
        <is>
          <t>ÅNGE</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30054-2024</t>
        </is>
      </c>
      <c r="B1107" s="1" t="n">
        <v>45488.94758101852</v>
      </c>
      <c r="C1107" s="1" t="n">
        <v>45998</v>
      </c>
      <c r="D1107" t="inlineStr">
        <is>
          <t>VÄSTERNORRLANDS LÄN</t>
        </is>
      </c>
      <c r="E1107" t="inlineStr">
        <is>
          <t>ÅNGE</t>
        </is>
      </c>
      <c r="F1107" t="inlineStr">
        <is>
          <t>SCA</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38272-2024</t>
        </is>
      </c>
      <c r="B1108" s="1" t="n">
        <v>45545.60392361111</v>
      </c>
      <c r="C1108" s="1" t="n">
        <v>45998</v>
      </c>
      <c r="D1108" t="inlineStr">
        <is>
          <t>VÄSTERNORRLANDS LÄN</t>
        </is>
      </c>
      <c r="E1108" t="inlineStr">
        <is>
          <t>ÅNGE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24357-2025</t>
        </is>
      </c>
      <c r="B1109" s="1" t="n">
        <v>45797.59467592592</v>
      </c>
      <c r="C1109" s="1" t="n">
        <v>45998</v>
      </c>
      <c r="D1109" t="inlineStr">
        <is>
          <t>VÄSTERNORRLANDS LÄN</t>
        </is>
      </c>
      <c r="E1109" t="inlineStr">
        <is>
          <t>ÅNGE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43389-2025</t>
        </is>
      </c>
      <c r="B1110" s="1" t="n">
        <v>45911.36560185185</v>
      </c>
      <c r="C1110" s="1" t="n">
        <v>45998</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43546-2025</t>
        </is>
      </c>
      <c r="B1111" s="1" t="n">
        <v>45911.6153125</v>
      </c>
      <c r="C1111" s="1" t="n">
        <v>45998</v>
      </c>
      <c r="D1111" t="inlineStr">
        <is>
          <t>VÄSTERNORRLANDS LÄN</t>
        </is>
      </c>
      <c r="E1111" t="inlineStr">
        <is>
          <t>ÅNGE</t>
        </is>
      </c>
      <c r="F1111" t="inlineStr">
        <is>
          <t>SCA</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18112-2025</t>
        </is>
      </c>
      <c r="B1112" s="1" t="n">
        <v>45761.57350694444</v>
      </c>
      <c r="C1112" s="1" t="n">
        <v>45998</v>
      </c>
      <c r="D1112" t="inlineStr">
        <is>
          <t>VÄSTERNORRLANDS LÄN</t>
        </is>
      </c>
      <c r="E1112" t="inlineStr">
        <is>
          <t>ÅNGE</t>
        </is>
      </c>
      <c r="F1112" t="inlineStr">
        <is>
          <t>SCA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24207-2025</t>
        </is>
      </c>
      <c r="B1113" s="1" t="n">
        <v>45797.34439814815</v>
      </c>
      <c r="C1113" s="1" t="n">
        <v>45998</v>
      </c>
      <c r="D1113" t="inlineStr">
        <is>
          <t>VÄSTERNORRLANDS LÄN</t>
        </is>
      </c>
      <c r="E1113" t="inlineStr">
        <is>
          <t>ÅNGE</t>
        </is>
      </c>
      <c r="F1113" t="inlineStr">
        <is>
          <t>SCA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24292-2025</t>
        </is>
      </c>
      <c r="B1114" s="1" t="n">
        <v>45797.46657407407</v>
      </c>
      <c r="C1114" s="1" t="n">
        <v>45998</v>
      </c>
      <c r="D1114" t="inlineStr">
        <is>
          <t>VÄSTERNORRLANDS LÄN</t>
        </is>
      </c>
      <c r="E1114" t="inlineStr">
        <is>
          <t>ÅNGE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57457-2025</t>
        </is>
      </c>
      <c r="B1115" s="1" t="n">
        <v>45980.53001157408</v>
      </c>
      <c r="C1115" s="1" t="n">
        <v>45998</v>
      </c>
      <c r="D1115" t="inlineStr">
        <is>
          <t>VÄSTERNORRLANDS LÄN</t>
        </is>
      </c>
      <c r="E1115" t="inlineStr">
        <is>
          <t>ÅNGE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4142-2024</t>
        </is>
      </c>
      <c r="B1116" s="1" t="n">
        <v>45323</v>
      </c>
      <c r="C1116" s="1" t="n">
        <v>45998</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27853-2024</t>
        </is>
      </c>
      <c r="B1117" s="1" t="n">
        <v>45475</v>
      </c>
      <c r="C1117" s="1" t="n">
        <v>45998</v>
      </c>
      <c r="D1117" t="inlineStr">
        <is>
          <t>VÄSTERNORRLANDS LÄN</t>
        </is>
      </c>
      <c r="E1117" t="inlineStr">
        <is>
          <t>ÅNGE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43386-2025</t>
        </is>
      </c>
      <c r="B1118" s="1" t="n">
        <v>45911.36520833334</v>
      </c>
      <c r="C1118" s="1" t="n">
        <v>45998</v>
      </c>
      <c r="D1118" t="inlineStr">
        <is>
          <t>VÄSTERNORRLANDS LÄN</t>
        </is>
      </c>
      <c r="E1118" t="inlineStr">
        <is>
          <t>ÅNGE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10781-2024</t>
        </is>
      </c>
      <c r="B1119" s="1" t="n">
        <v>45369.59635416666</v>
      </c>
      <c r="C1119" s="1" t="n">
        <v>45998</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24627-2025</t>
        </is>
      </c>
      <c r="B1120" s="1" t="n">
        <v>45798.59471064815</v>
      </c>
      <c r="C1120" s="1" t="n">
        <v>45998</v>
      </c>
      <c r="D1120" t="inlineStr">
        <is>
          <t>VÄSTERNORRLANDS LÄN</t>
        </is>
      </c>
      <c r="E1120" t="inlineStr">
        <is>
          <t>ÅNGE</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24209-2025</t>
        </is>
      </c>
      <c r="B1121" s="1" t="n">
        <v>45797.3446875</v>
      </c>
      <c r="C1121" s="1" t="n">
        <v>45998</v>
      </c>
      <c r="D1121" t="inlineStr">
        <is>
          <t>VÄSTERNORRLANDS LÄN</t>
        </is>
      </c>
      <c r="E1121" t="inlineStr">
        <is>
          <t>ÅNGE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24232-2025</t>
        </is>
      </c>
      <c r="B1122" s="1" t="n">
        <v>45797.37846064815</v>
      </c>
      <c r="C1122" s="1" t="n">
        <v>45998</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49377-2025</t>
        </is>
      </c>
      <c r="B1123" s="1" t="n">
        <v>45938.63626157407</v>
      </c>
      <c r="C1123" s="1" t="n">
        <v>45998</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51054-2024</t>
        </is>
      </c>
      <c r="B1124" s="1" t="n">
        <v>45603</v>
      </c>
      <c r="C1124" s="1" t="n">
        <v>45998</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52858-2025</t>
        </is>
      </c>
      <c r="B1125" s="1" t="n">
        <v>45957.50284722223</v>
      </c>
      <c r="C1125" s="1" t="n">
        <v>45998</v>
      </c>
      <c r="D1125" t="inlineStr">
        <is>
          <t>VÄSTERNORRLANDS LÄN</t>
        </is>
      </c>
      <c r="E1125" t="inlineStr">
        <is>
          <t>ÅNGE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49156-2025</t>
        </is>
      </c>
      <c r="B1126" s="1" t="n">
        <v>45938.3458912037</v>
      </c>
      <c r="C1126" s="1" t="n">
        <v>45998</v>
      </c>
      <c r="D1126" t="inlineStr">
        <is>
          <t>VÄSTERNORRLANDS LÄN</t>
        </is>
      </c>
      <c r="E1126" t="inlineStr">
        <is>
          <t>ÅNGE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49179-2025</t>
        </is>
      </c>
      <c r="B1127" s="1" t="n">
        <v>45938.38579861111</v>
      </c>
      <c r="C1127" s="1" t="n">
        <v>45998</v>
      </c>
      <c r="D1127" t="inlineStr">
        <is>
          <t>VÄSTERNORRLANDS LÄN</t>
        </is>
      </c>
      <c r="E1127" t="inlineStr">
        <is>
          <t>ÅNGE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25340-2025</t>
        </is>
      </c>
      <c r="B1128" s="1" t="n">
        <v>45800.60074074074</v>
      </c>
      <c r="C1128" s="1" t="n">
        <v>45998</v>
      </c>
      <c r="D1128" t="inlineStr">
        <is>
          <t>VÄSTERNORRLANDS LÄN</t>
        </is>
      </c>
      <c r="E1128" t="inlineStr">
        <is>
          <t>ÅNGE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49381-2025</t>
        </is>
      </c>
      <c r="B1129" s="1" t="n">
        <v>45938.63694444444</v>
      </c>
      <c r="C1129" s="1" t="n">
        <v>45998</v>
      </c>
      <c r="D1129" t="inlineStr">
        <is>
          <t>VÄSTERNORRLANDS LÄN</t>
        </is>
      </c>
      <c r="E1129" t="inlineStr">
        <is>
          <t>ÅNGE</t>
        </is>
      </c>
      <c r="F1129" t="inlineStr">
        <is>
          <t>SCA</t>
        </is>
      </c>
      <c r="G1129" t="n">
        <v>20.6</v>
      </c>
      <c r="H1129" t="n">
        <v>0</v>
      </c>
      <c r="I1129" t="n">
        <v>0</v>
      </c>
      <c r="J1129" t="n">
        <v>0</v>
      </c>
      <c r="K1129" t="n">
        <v>0</v>
      </c>
      <c r="L1129" t="n">
        <v>0</v>
      </c>
      <c r="M1129" t="n">
        <v>0</v>
      </c>
      <c r="N1129" t="n">
        <v>0</v>
      </c>
      <c r="O1129" t="n">
        <v>0</v>
      </c>
      <c r="P1129" t="n">
        <v>0</v>
      </c>
      <c r="Q1129" t="n">
        <v>0</v>
      </c>
      <c r="R1129" s="2" t="inlineStr"/>
    </row>
    <row r="1130" ht="15" customHeight="1">
      <c r="A1130" t="inlineStr">
        <is>
          <t>A 25273-2025</t>
        </is>
      </c>
      <c r="B1130" s="1" t="n">
        <v>45800.55253472222</v>
      </c>
      <c r="C1130" s="1" t="n">
        <v>45998</v>
      </c>
      <c r="D1130" t="inlineStr">
        <is>
          <t>VÄSTERNORRLANDS LÄN</t>
        </is>
      </c>
      <c r="E1130" t="inlineStr">
        <is>
          <t>ÅNGE</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25352-2025</t>
        </is>
      </c>
      <c r="B1131" s="1" t="n">
        <v>45800.61552083334</v>
      </c>
      <c r="C1131" s="1" t="n">
        <v>45998</v>
      </c>
      <c r="D1131" t="inlineStr">
        <is>
          <t>VÄSTERNORRLANDS LÄN</t>
        </is>
      </c>
      <c r="E1131" t="inlineStr">
        <is>
          <t>ÅNGE</t>
        </is>
      </c>
      <c r="F1131" t="inlineStr">
        <is>
          <t>SCA</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25017-2025</t>
        </is>
      </c>
      <c r="B1132" s="1" t="n">
        <v>45799.63791666667</v>
      </c>
      <c r="C1132" s="1" t="n">
        <v>45998</v>
      </c>
      <c r="D1132" t="inlineStr">
        <is>
          <t>VÄSTERNORRLANDS LÄN</t>
        </is>
      </c>
      <c r="E1132" t="inlineStr">
        <is>
          <t>ÅNGE</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53033-2025</t>
        </is>
      </c>
      <c r="B1133" s="1" t="n">
        <v>45958.34479166667</v>
      </c>
      <c r="C1133" s="1" t="n">
        <v>45998</v>
      </c>
      <c r="D1133" t="inlineStr">
        <is>
          <t>VÄSTERNORRLANDS LÄN</t>
        </is>
      </c>
      <c r="E1133" t="inlineStr">
        <is>
          <t>ÅNGE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25241-2025</t>
        </is>
      </c>
      <c r="B1134" s="1" t="n">
        <v>45800.49053240741</v>
      </c>
      <c r="C1134" s="1" t="n">
        <v>45998</v>
      </c>
      <c r="D1134" t="inlineStr">
        <is>
          <t>VÄSTERNORRLANDS LÄN</t>
        </is>
      </c>
      <c r="E1134" t="inlineStr">
        <is>
          <t>ÅNGE</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57081-2025</t>
        </is>
      </c>
      <c r="B1135" s="1" t="n">
        <v>45979.40826388889</v>
      </c>
      <c r="C1135" s="1" t="n">
        <v>45998</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25274-2025</t>
        </is>
      </c>
      <c r="B1136" s="1" t="n">
        <v>45800.55276620371</v>
      </c>
      <c r="C1136" s="1" t="n">
        <v>45998</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57371-2025</t>
        </is>
      </c>
      <c r="B1137" s="1" t="n">
        <v>45980.38586805556</v>
      </c>
      <c r="C1137" s="1" t="n">
        <v>45998</v>
      </c>
      <c r="D1137" t="inlineStr">
        <is>
          <t>VÄSTERNORRLANDS LÄN</t>
        </is>
      </c>
      <c r="E1137" t="inlineStr">
        <is>
          <t>ÅNGE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57283-2025</t>
        </is>
      </c>
      <c r="B1138" s="1" t="n">
        <v>45979.71918981482</v>
      </c>
      <c r="C1138" s="1" t="n">
        <v>45998</v>
      </c>
      <c r="D1138" t="inlineStr">
        <is>
          <t>VÄSTERNORRLANDS LÄN</t>
        </is>
      </c>
      <c r="E1138" t="inlineStr">
        <is>
          <t>ÅNGE</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57302-2025</t>
        </is>
      </c>
      <c r="B1139" s="1" t="n">
        <v>45979.87184027778</v>
      </c>
      <c r="C1139" s="1" t="n">
        <v>45998</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16593-2023</t>
        </is>
      </c>
      <c r="B1140" s="1" t="n">
        <v>45030</v>
      </c>
      <c r="C1140" s="1" t="n">
        <v>45998</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16600-2023</t>
        </is>
      </c>
      <c r="B1141" s="1" t="n">
        <v>45030</v>
      </c>
      <c r="C1141" s="1" t="n">
        <v>45998</v>
      </c>
      <c r="D1141" t="inlineStr">
        <is>
          <t>VÄSTERNORRLANDS LÄN</t>
        </is>
      </c>
      <c r="E1141" t="inlineStr">
        <is>
          <t>ÅNGE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25332-2025</t>
        </is>
      </c>
      <c r="B1142" s="1" t="n">
        <v>45800.59418981482</v>
      </c>
      <c r="C1142" s="1" t="n">
        <v>45998</v>
      </c>
      <c r="D1142" t="inlineStr">
        <is>
          <t>VÄSTERNORRLANDS LÄN</t>
        </is>
      </c>
      <c r="E1142" t="inlineStr">
        <is>
          <t>ÅNGE</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24852-2025</t>
        </is>
      </c>
      <c r="B1143" s="1" t="n">
        <v>45799.46975694445</v>
      </c>
      <c r="C1143" s="1" t="n">
        <v>45998</v>
      </c>
      <c r="D1143" t="inlineStr">
        <is>
          <t>VÄSTERNORRLANDS LÄN</t>
        </is>
      </c>
      <c r="E1143" t="inlineStr">
        <is>
          <t>ÅNGE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24847-2025</t>
        </is>
      </c>
      <c r="B1144" s="1" t="n">
        <v>45799.46907407408</v>
      </c>
      <c r="C1144" s="1" t="n">
        <v>45998</v>
      </c>
      <c r="D1144" t="inlineStr">
        <is>
          <t>VÄSTERNORRLANDS LÄN</t>
        </is>
      </c>
      <c r="E1144" t="inlineStr">
        <is>
          <t>ÅNGE</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25067-2025</t>
        </is>
      </c>
      <c r="B1145" s="1" t="n">
        <v>45799.71908564815</v>
      </c>
      <c r="C1145" s="1" t="n">
        <v>45998</v>
      </c>
      <c r="D1145" t="inlineStr">
        <is>
          <t>VÄSTERNORRLANDS LÄN</t>
        </is>
      </c>
      <c r="E1145" t="inlineStr">
        <is>
          <t>ÅNGE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57022-2025</t>
        </is>
      </c>
      <c r="B1146" s="1" t="n">
        <v>45978.88921296296</v>
      </c>
      <c r="C1146" s="1" t="n">
        <v>45998</v>
      </c>
      <c r="D1146" t="inlineStr">
        <is>
          <t>VÄSTERNORRLANDS LÄN</t>
        </is>
      </c>
      <c r="E1146" t="inlineStr">
        <is>
          <t>ÅNGE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42488-2024</t>
        </is>
      </c>
      <c r="B1147" s="1" t="n">
        <v>45565.49420138889</v>
      </c>
      <c r="C1147" s="1" t="n">
        <v>45998</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53012-2025</t>
        </is>
      </c>
      <c r="B1148" s="1" t="n">
        <v>45957.80320601852</v>
      </c>
      <c r="C1148" s="1" t="n">
        <v>45998</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51059-2024</t>
        </is>
      </c>
      <c r="B1149" s="1" t="n">
        <v>45603</v>
      </c>
      <c r="C1149" s="1" t="n">
        <v>45998</v>
      </c>
      <c r="D1149" t="inlineStr">
        <is>
          <t>VÄSTERNORRLANDS LÄN</t>
        </is>
      </c>
      <c r="E1149" t="inlineStr">
        <is>
          <t>ÅNGE</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25532-2025</t>
        </is>
      </c>
      <c r="B1150" s="1" t="n">
        <v>45803.4065162037</v>
      </c>
      <c r="C1150" s="1" t="n">
        <v>45998</v>
      </c>
      <c r="D1150" t="inlineStr">
        <is>
          <t>VÄSTERNORRLANDS LÄN</t>
        </is>
      </c>
      <c r="E1150" t="inlineStr">
        <is>
          <t>ÅNGE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25810-2025</t>
        </is>
      </c>
      <c r="B1151" s="1" t="n">
        <v>45804.42083333333</v>
      </c>
      <c r="C1151" s="1" t="n">
        <v>45998</v>
      </c>
      <c r="D1151" t="inlineStr">
        <is>
          <t>VÄSTERNORRLANDS LÄN</t>
        </is>
      </c>
      <c r="E1151" t="inlineStr">
        <is>
          <t>ÅNGE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31863-2024</t>
        </is>
      </c>
      <c r="B1152" s="1" t="n">
        <v>45509.74121527778</v>
      </c>
      <c r="C1152" s="1" t="n">
        <v>45998</v>
      </c>
      <c r="D1152" t="inlineStr">
        <is>
          <t>VÄSTERNORRLANDS LÄN</t>
        </is>
      </c>
      <c r="E1152" t="inlineStr">
        <is>
          <t>ÅNGE</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53651-2023</t>
        </is>
      </c>
      <c r="B1153" s="1" t="n">
        <v>45230.60815972222</v>
      </c>
      <c r="C1153" s="1" t="n">
        <v>45998</v>
      </c>
      <c r="D1153" t="inlineStr">
        <is>
          <t>VÄSTERNORRLANDS LÄN</t>
        </is>
      </c>
      <c r="E1153" t="inlineStr">
        <is>
          <t>ÅNGE</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53013-2025</t>
        </is>
      </c>
      <c r="B1154" s="1" t="n">
        <v>45957.81732638889</v>
      </c>
      <c r="C1154" s="1" t="n">
        <v>45998</v>
      </c>
      <c r="D1154" t="inlineStr">
        <is>
          <t>VÄSTERNORRLANDS LÄN</t>
        </is>
      </c>
      <c r="E1154" t="inlineStr">
        <is>
          <t>ÅNGE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53221-2025</t>
        </is>
      </c>
      <c r="B1155" s="1" t="n">
        <v>45958.60331018519</v>
      </c>
      <c r="C1155" s="1" t="n">
        <v>45998</v>
      </c>
      <c r="D1155" t="inlineStr">
        <is>
          <t>VÄSTERNORRLANDS LÄN</t>
        </is>
      </c>
      <c r="E1155" t="inlineStr">
        <is>
          <t>ÅNGE</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52642-2025</t>
        </is>
      </c>
      <c r="B1156" s="1" t="n">
        <v>45955.34576388889</v>
      </c>
      <c r="C1156" s="1" t="n">
        <v>45998</v>
      </c>
      <c r="D1156" t="inlineStr">
        <is>
          <t>VÄSTERNORRLANDS LÄN</t>
        </is>
      </c>
      <c r="E1156" t="inlineStr">
        <is>
          <t>ÅNGE</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35399-2024</t>
        </is>
      </c>
      <c r="B1157" s="1" t="n">
        <v>45531.40438657408</v>
      </c>
      <c r="C1157" s="1" t="n">
        <v>45998</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36877-2024</t>
        </is>
      </c>
      <c r="B1158" s="1" t="n">
        <v>45538.59418981482</v>
      </c>
      <c r="C1158" s="1" t="n">
        <v>45998</v>
      </c>
      <c r="D1158" t="inlineStr">
        <is>
          <t>VÄSTERNORRLANDS LÄN</t>
        </is>
      </c>
      <c r="E1158" t="inlineStr">
        <is>
          <t>ÅNGE</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25499-2025</t>
        </is>
      </c>
      <c r="B1159" s="1" t="n">
        <v>45803.344375</v>
      </c>
      <c r="C1159" s="1" t="n">
        <v>45998</v>
      </c>
      <c r="D1159" t="inlineStr">
        <is>
          <t>VÄSTERNORRLANDS LÄN</t>
        </is>
      </c>
      <c r="E1159" t="inlineStr">
        <is>
          <t>ÅNGE</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25772-2025</t>
        </is>
      </c>
      <c r="B1160" s="1" t="n">
        <v>45804.34520833333</v>
      </c>
      <c r="C1160" s="1" t="n">
        <v>45998</v>
      </c>
      <c r="D1160" t="inlineStr">
        <is>
          <t>VÄSTERNORRLANDS LÄN</t>
        </is>
      </c>
      <c r="E1160" t="inlineStr">
        <is>
          <t>ÅNGE</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53856-2024</t>
        </is>
      </c>
      <c r="B1161" s="1" t="n">
        <v>45615</v>
      </c>
      <c r="C1161" s="1" t="n">
        <v>45998</v>
      </c>
      <c r="D1161" t="inlineStr">
        <is>
          <t>VÄSTERNORRLANDS LÄN</t>
        </is>
      </c>
      <c r="E1161" t="inlineStr">
        <is>
          <t>ÅNGE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44165-2025</t>
        </is>
      </c>
      <c r="B1162" s="1" t="n">
        <v>45915.59840277778</v>
      </c>
      <c r="C1162" s="1" t="n">
        <v>45998</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15863-2022</t>
        </is>
      </c>
      <c r="B1163" s="1" t="n">
        <v>44664</v>
      </c>
      <c r="C1163" s="1" t="n">
        <v>45998</v>
      </c>
      <c r="D1163" t="inlineStr">
        <is>
          <t>VÄSTERNORRLANDS LÄN</t>
        </is>
      </c>
      <c r="E1163" t="inlineStr">
        <is>
          <t>ÅNGE</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57950-2025</t>
        </is>
      </c>
      <c r="B1164" s="1" t="n">
        <v>45982.34473379629</v>
      </c>
      <c r="C1164" s="1" t="n">
        <v>45998</v>
      </c>
      <c r="D1164" t="inlineStr">
        <is>
          <t>VÄSTERNORRLANDS LÄN</t>
        </is>
      </c>
      <c r="E1164" t="inlineStr">
        <is>
          <t>ÅNGE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57960-2025</t>
        </is>
      </c>
      <c r="B1165" s="1" t="n">
        <v>45982.36494212963</v>
      </c>
      <c r="C1165" s="1" t="n">
        <v>45998</v>
      </c>
      <c r="D1165" t="inlineStr">
        <is>
          <t>VÄSTERNORRLANDS LÄN</t>
        </is>
      </c>
      <c r="E1165" t="inlineStr">
        <is>
          <t>ÅNGE</t>
        </is>
      </c>
      <c r="F1165" t="inlineStr">
        <is>
          <t>SCA</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56849-2025</t>
        </is>
      </c>
      <c r="B1166" s="1" t="n">
        <v>45978.48989583334</v>
      </c>
      <c r="C1166" s="1" t="n">
        <v>45998</v>
      </c>
      <c r="D1166" t="inlineStr">
        <is>
          <t>VÄSTERNORRLANDS LÄN</t>
        </is>
      </c>
      <c r="E1166" t="inlineStr">
        <is>
          <t>ÅNGE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26193-2025</t>
        </is>
      </c>
      <c r="B1167" s="1" t="n">
        <v>45805.48922453704</v>
      </c>
      <c r="C1167" s="1" t="n">
        <v>45998</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57615-2025</t>
        </is>
      </c>
      <c r="B1168" s="1" t="n">
        <v>45981.34431712963</v>
      </c>
      <c r="C1168" s="1" t="n">
        <v>45998</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49562-2025</t>
        </is>
      </c>
      <c r="B1169" s="1" t="n">
        <v>45939.46524305556</v>
      </c>
      <c r="C1169" s="1" t="n">
        <v>45998</v>
      </c>
      <c r="D1169" t="inlineStr">
        <is>
          <t>VÄSTERNORRLANDS LÄN</t>
        </is>
      </c>
      <c r="E1169" t="inlineStr">
        <is>
          <t>ÅNGE</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26388-2025</t>
        </is>
      </c>
      <c r="B1170" s="1" t="n">
        <v>45806.51069444444</v>
      </c>
      <c r="C1170" s="1" t="n">
        <v>45998</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57991-2025</t>
        </is>
      </c>
      <c r="B1171" s="1" t="n">
        <v>45982.42438657407</v>
      </c>
      <c r="C1171" s="1" t="n">
        <v>45998</v>
      </c>
      <c r="D1171" t="inlineStr">
        <is>
          <t>VÄSTERNORRLANDS LÄN</t>
        </is>
      </c>
      <c r="E1171" t="inlineStr">
        <is>
          <t>ÅNGE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26365-2025</t>
        </is>
      </c>
      <c r="B1172" s="1" t="n">
        <v>45806.34412037037</v>
      </c>
      <c r="C1172" s="1" t="n">
        <v>45998</v>
      </c>
      <c r="D1172" t="inlineStr">
        <is>
          <t>VÄSTERNORRLANDS LÄN</t>
        </is>
      </c>
      <c r="E1172" t="inlineStr">
        <is>
          <t>ÅNGE</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49476-2025</t>
        </is>
      </c>
      <c r="B1173" s="1" t="n">
        <v>45939.34506944445</v>
      </c>
      <c r="C1173" s="1" t="n">
        <v>45998</v>
      </c>
      <c r="D1173" t="inlineStr">
        <is>
          <t>VÄSTERNORRLANDS LÄN</t>
        </is>
      </c>
      <c r="E1173" t="inlineStr">
        <is>
          <t>ÅNGE</t>
        </is>
      </c>
      <c r="F1173" t="inlineStr">
        <is>
          <t>SCA</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26389-2025</t>
        </is>
      </c>
      <c r="B1174" s="1" t="n">
        <v>45806.51078703703</v>
      </c>
      <c r="C1174" s="1" t="n">
        <v>45998</v>
      </c>
      <c r="D1174" t="inlineStr">
        <is>
          <t>VÄSTERNORRLANDS LÄN</t>
        </is>
      </c>
      <c r="E1174" t="inlineStr">
        <is>
          <t>ÅNGE</t>
        </is>
      </c>
      <c r="F1174" t="inlineStr">
        <is>
          <t>SCA</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21262-2025</t>
        </is>
      </c>
      <c r="B1175" s="1" t="n">
        <v>45779</v>
      </c>
      <c r="C1175" s="1" t="n">
        <v>45998</v>
      </c>
      <c r="D1175" t="inlineStr">
        <is>
          <t>VÄSTERNORRLANDS LÄN</t>
        </is>
      </c>
      <c r="E1175" t="inlineStr">
        <is>
          <t>ÅNGE</t>
        </is>
      </c>
      <c r="F1175" t="inlineStr">
        <is>
          <t>Sveaskog</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58048-2025</t>
        </is>
      </c>
      <c r="B1176" s="1" t="n">
        <v>45982.5109837963</v>
      </c>
      <c r="C1176" s="1" t="n">
        <v>45998</v>
      </c>
      <c r="D1176" t="inlineStr">
        <is>
          <t>VÄSTERNORRLANDS LÄN</t>
        </is>
      </c>
      <c r="E1176" t="inlineStr">
        <is>
          <t>ÅNGE</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26366-2025</t>
        </is>
      </c>
      <c r="B1177" s="1" t="n">
        <v>45806.34424768519</v>
      </c>
      <c r="C1177" s="1" t="n">
        <v>45998</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53381-2025</t>
        </is>
      </c>
      <c r="B1178" s="1" t="n">
        <v>45959.53690972222</v>
      </c>
      <c r="C1178" s="1" t="n">
        <v>45998</v>
      </c>
      <c r="D1178" t="inlineStr">
        <is>
          <t>VÄSTERNORRLANDS LÄN</t>
        </is>
      </c>
      <c r="E1178" t="inlineStr">
        <is>
          <t>ÅNGE</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26655-2025</t>
        </is>
      </c>
      <c r="B1179" s="1" t="n">
        <v>45810.39047453704</v>
      </c>
      <c r="C1179" s="1" t="n">
        <v>45998</v>
      </c>
      <c r="D1179" t="inlineStr">
        <is>
          <t>VÄSTERNORRLANDS LÄN</t>
        </is>
      </c>
      <c r="E1179" t="inlineStr">
        <is>
          <t>ÅNGE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53713-2025</t>
        </is>
      </c>
      <c r="B1180" s="1" t="n">
        <v>45960.61568287037</v>
      </c>
      <c r="C1180" s="1" t="n">
        <v>45998</v>
      </c>
      <c r="D1180" t="inlineStr">
        <is>
          <t>VÄSTERNORRLANDS LÄN</t>
        </is>
      </c>
      <c r="E1180" t="inlineStr">
        <is>
          <t>ÅNGE</t>
        </is>
      </c>
      <c r="F1180" t="inlineStr">
        <is>
          <t>SCA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25973-2022</t>
        </is>
      </c>
      <c r="B1181" s="1" t="n">
        <v>44734</v>
      </c>
      <c r="C1181" s="1" t="n">
        <v>45998</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49669-2025</t>
        </is>
      </c>
      <c r="B1182" s="1" t="n">
        <v>45939.63710648148</v>
      </c>
      <c r="C1182" s="1" t="n">
        <v>45998</v>
      </c>
      <c r="D1182" t="inlineStr">
        <is>
          <t>VÄSTERNORRLANDS LÄN</t>
        </is>
      </c>
      <c r="E1182" t="inlineStr">
        <is>
          <t>ÅNGE</t>
        </is>
      </c>
      <c r="F1182" t="inlineStr">
        <is>
          <t>SCA</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49603-2025</t>
        </is>
      </c>
      <c r="B1183" s="1" t="n">
        <v>45939.5484375</v>
      </c>
      <c r="C1183" s="1" t="n">
        <v>45998</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44919-2025</t>
        </is>
      </c>
      <c r="B1184" s="1" t="n">
        <v>45918.55246527777</v>
      </c>
      <c r="C1184" s="1" t="n">
        <v>45998</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44935-2025</t>
        </is>
      </c>
      <c r="B1185" s="1" t="n">
        <v>45918.57392361111</v>
      </c>
      <c r="C1185" s="1" t="n">
        <v>45998</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49600-2025</t>
        </is>
      </c>
      <c r="B1186" s="1" t="n">
        <v>45939.54434027777</v>
      </c>
      <c r="C1186" s="1" t="n">
        <v>45998</v>
      </c>
      <c r="D1186" t="inlineStr">
        <is>
          <t>VÄSTERNORRLANDS LÄN</t>
        </is>
      </c>
      <c r="E1186" t="inlineStr">
        <is>
          <t>ÅNGE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49566-2025</t>
        </is>
      </c>
      <c r="B1187" s="1" t="n">
        <v>45939.46939814815</v>
      </c>
      <c r="C1187" s="1" t="n">
        <v>45998</v>
      </c>
      <c r="D1187" t="inlineStr">
        <is>
          <t>VÄSTERNORRLANDS LÄN</t>
        </is>
      </c>
      <c r="E1187" t="inlineStr">
        <is>
          <t>ÅNGE</t>
        </is>
      </c>
      <c r="F1187" t="inlineStr">
        <is>
          <t>SCA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57961-2025</t>
        </is>
      </c>
      <c r="B1188" s="1" t="n">
        <v>45982.36502314815</v>
      </c>
      <c r="C1188" s="1" t="n">
        <v>45998</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26608-2025</t>
        </is>
      </c>
      <c r="B1189" s="1" t="n">
        <v>45809.98600694445</v>
      </c>
      <c r="C1189" s="1" t="n">
        <v>45998</v>
      </c>
      <c r="D1189" t="inlineStr">
        <is>
          <t>VÄSTERNORRLANDS LÄN</t>
        </is>
      </c>
      <c r="E1189" t="inlineStr">
        <is>
          <t>ÅNGE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42242-2023</t>
        </is>
      </c>
      <c r="B1190" s="1" t="n">
        <v>45180.35025462963</v>
      </c>
      <c r="C1190" s="1" t="n">
        <v>45998</v>
      </c>
      <c r="D1190" t="inlineStr">
        <is>
          <t>VÄSTERNORRLANDS LÄN</t>
        </is>
      </c>
      <c r="E1190" t="inlineStr">
        <is>
          <t>ÅNGE</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34629-2025</t>
        </is>
      </c>
      <c r="B1191" s="1" t="n">
        <v>45847.93006944445</v>
      </c>
      <c r="C1191" s="1" t="n">
        <v>45998</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58486-2025</t>
        </is>
      </c>
      <c r="B1192" s="1" t="n">
        <v>45985.65660879629</v>
      </c>
      <c r="C1192" s="1" t="n">
        <v>45998</v>
      </c>
      <c r="D1192" t="inlineStr">
        <is>
          <t>VÄSTERNORRLANDS LÄN</t>
        </is>
      </c>
      <c r="E1192" t="inlineStr">
        <is>
          <t>ÅNGE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58270-2025</t>
        </is>
      </c>
      <c r="B1193" s="1" t="n">
        <v>45985.42633101852</v>
      </c>
      <c r="C1193" s="1" t="n">
        <v>45998</v>
      </c>
      <c r="D1193" t="inlineStr">
        <is>
          <t>VÄSTERNORRLANDS LÄN</t>
        </is>
      </c>
      <c r="E1193" t="inlineStr">
        <is>
          <t>ÅNGE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24552-2023</t>
        </is>
      </c>
      <c r="B1194" s="1" t="n">
        <v>45082.94226851852</v>
      </c>
      <c r="C1194" s="1" t="n">
        <v>45998</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36790-2023</t>
        </is>
      </c>
      <c r="B1195" s="1" t="n">
        <v>45154.36418981481</v>
      </c>
      <c r="C1195" s="1" t="n">
        <v>45998</v>
      </c>
      <c r="D1195" t="inlineStr">
        <is>
          <t>VÄSTERNORRLANDS LÄN</t>
        </is>
      </c>
      <c r="E1195" t="inlineStr">
        <is>
          <t>ÅNGE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58588-2025</t>
        </is>
      </c>
      <c r="B1196" s="1" t="n">
        <v>45986.4065625</v>
      </c>
      <c r="C1196" s="1" t="n">
        <v>45998</v>
      </c>
      <c r="D1196" t="inlineStr">
        <is>
          <t>VÄSTERNORRLANDS LÄN</t>
        </is>
      </c>
      <c r="E1196" t="inlineStr">
        <is>
          <t>ÅNGE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26734-2025</t>
        </is>
      </c>
      <c r="B1197" s="1" t="n">
        <v>45810.51087962963</v>
      </c>
      <c r="C1197" s="1" t="n">
        <v>45998</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53509-2025</t>
        </is>
      </c>
      <c r="B1198" s="1" t="n">
        <v>45960.34506944445</v>
      </c>
      <c r="C1198" s="1" t="n">
        <v>45998</v>
      </c>
      <c r="D1198" t="inlineStr">
        <is>
          <t>VÄSTERNORRLANDS LÄN</t>
        </is>
      </c>
      <c r="E1198" t="inlineStr">
        <is>
          <t>ÅNGE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50210-2025</t>
        </is>
      </c>
      <c r="B1199" s="1" t="n">
        <v>45943.67379629629</v>
      </c>
      <c r="C1199" s="1" t="n">
        <v>45998</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50001-2025</t>
        </is>
      </c>
      <c r="B1200" s="1" t="n">
        <v>45943.34421296296</v>
      </c>
      <c r="C1200" s="1" t="n">
        <v>45998</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58268-2025</t>
        </is>
      </c>
      <c r="B1201" s="1" t="n">
        <v>45985.42450231482</v>
      </c>
      <c r="C1201" s="1" t="n">
        <v>45998</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45403-2025</t>
        </is>
      </c>
      <c r="B1202" s="1" t="n">
        <v>45922.42803240741</v>
      </c>
      <c r="C1202" s="1" t="n">
        <v>45998</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45404-2025</t>
        </is>
      </c>
      <c r="B1203" s="1" t="n">
        <v>45922.42820601852</v>
      </c>
      <c r="C1203" s="1" t="n">
        <v>45998</v>
      </c>
      <c r="D1203" t="inlineStr">
        <is>
          <t>VÄSTERNORRLANDS LÄN</t>
        </is>
      </c>
      <c r="E1203" t="inlineStr">
        <is>
          <t>ÅNGE</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27023-2025</t>
        </is>
      </c>
      <c r="B1204" s="1" t="n">
        <v>45811.57342592593</v>
      </c>
      <c r="C1204" s="1" t="n">
        <v>45998</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27164-2025</t>
        </is>
      </c>
      <c r="B1205" s="1" t="n">
        <v>45812.34430555555</v>
      </c>
      <c r="C1205" s="1" t="n">
        <v>45998</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53985-2025</t>
        </is>
      </c>
      <c r="B1206" s="1" t="n">
        <v>45961.57366898148</v>
      </c>
      <c r="C1206" s="1" t="n">
        <v>45998</v>
      </c>
      <c r="D1206" t="inlineStr">
        <is>
          <t>VÄSTERNORRLANDS LÄN</t>
        </is>
      </c>
      <c r="E1206" t="inlineStr">
        <is>
          <t>ÅNGE</t>
        </is>
      </c>
      <c r="F1206" t="inlineStr">
        <is>
          <t>SCA</t>
        </is>
      </c>
      <c r="G1206" t="n">
        <v>14.2</v>
      </c>
      <c r="H1206" t="n">
        <v>0</v>
      </c>
      <c r="I1206" t="n">
        <v>0</v>
      </c>
      <c r="J1206" t="n">
        <v>0</v>
      </c>
      <c r="K1206" t="n">
        <v>0</v>
      </c>
      <c r="L1206" t="n">
        <v>0</v>
      </c>
      <c r="M1206" t="n">
        <v>0</v>
      </c>
      <c r="N1206" t="n">
        <v>0</v>
      </c>
      <c r="O1206" t="n">
        <v>0</v>
      </c>
      <c r="P1206" t="n">
        <v>0</v>
      </c>
      <c r="Q1206" t="n">
        <v>0</v>
      </c>
      <c r="R1206" s="2" t="inlineStr"/>
    </row>
    <row r="1207" ht="15" customHeight="1">
      <c r="A1207" t="inlineStr">
        <is>
          <t>A 58750-2025</t>
        </is>
      </c>
      <c r="B1207" s="1" t="n">
        <v>45986.64064814815</v>
      </c>
      <c r="C1207" s="1" t="n">
        <v>45998</v>
      </c>
      <c r="D1207" t="inlineStr">
        <is>
          <t>VÄSTERNORRLANDS LÄN</t>
        </is>
      </c>
      <c r="E1207" t="inlineStr">
        <is>
          <t>ÅNGE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58388-2025</t>
        </is>
      </c>
      <c r="B1208" s="1" t="n">
        <v>45985.54685185185</v>
      </c>
      <c r="C1208" s="1" t="n">
        <v>45998</v>
      </c>
      <c r="D1208" t="inlineStr">
        <is>
          <t>VÄSTERNORRLANDS LÄN</t>
        </is>
      </c>
      <c r="E1208" t="inlineStr">
        <is>
          <t>ÅNGE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26901-2025</t>
        </is>
      </c>
      <c r="B1209" s="1" t="n">
        <v>45811.34457175926</v>
      </c>
      <c r="C1209" s="1" t="n">
        <v>45998</v>
      </c>
      <c r="D1209" t="inlineStr">
        <is>
          <t>VÄSTERNORRLANDS LÄN</t>
        </is>
      </c>
      <c r="E1209" t="inlineStr">
        <is>
          <t>ÅNGE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33750-2024</t>
        </is>
      </c>
      <c r="B1210" s="1" t="n">
        <v>45520.56475694444</v>
      </c>
      <c r="C1210" s="1" t="n">
        <v>45998</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50009-2025</t>
        </is>
      </c>
      <c r="B1211" s="1" t="n">
        <v>45943.34527777778</v>
      </c>
      <c r="C1211" s="1" t="n">
        <v>45998</v>
      </c>
      <c r="D1211" t="inlineStr">
        <is>
          <t>VÄSTERNORRLANDS LÄN</t>
        </is>
      </c>
      <c r="E1211" t="inlineStr">
        <is>
          <t>ÅNGE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27165-2025</t>
        </is>
      </c>
      <c r="B1212" s="1" t="n">
        <v>45812.34440972222</v>
      </c>
      <c r="C1212" s="1" t="n">
        <v>45998</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58585-2025</t>
        </is>
      </c>
      <c r="B1213" s="1" t="n">
        <v>45986.39733796296</v>
      </c>
      <c r="C1213" s="1" t="n">
        <v>45998</v>
      </c>
      <c r="D1213" t="inlineStr">
        <is>
          <t>VÄSTERNORRLANDS LÄN</t>
        </is>
      </c>
      <c r="E1213" t="inlineStr">
        <is>
          <t>ÅNGE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5931-2025</t>
        </is>
      </c>
      <c r="B1214" s="1" t="n">
        <v>45695.44827546296</v>
      </c>
      <c r="C1214" s="1" t="n">
        <v>45998</v>
      </c>
      <c r="D1214" t="inlineStr">
        <is>
          <t>VÄSTERNORRLANDS LÄN</t>
        </is>
      </c>
      <c r="E1214" t="inlineStr">
        <is>
          <t>ÅNGE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58366-2025</t>
        </is>
      </c>
      <c r="B1215" s="1" t="n">
        <v>45985.52600694444</v>
      </c>
      <c r="C1215" s="1" t="n">
        <v>45998</v>
      </c>
      <c r="D1215" t="inlineStr">
        <is>
          <t>VÄSTERNORRLANDS LÄN</t>
        </is>
      </c>
      <c r="E1215" t="inlineStr">
        <is>
          <t>ÅNGE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50008-2025</t>
        </is>
      </c>
      <c r="B1216" s="1" t="n">
        <v>45943.34515046296</v>
      </c>
      <c r="C1216" s="1" t="n">
        <v>45998</v>
      </c>
      <c r="D1216" t="inlineStr">
        <is>
          <t>VÄSTERNORRLANDS LÄN</t>
        </is>
      </c>
      <c r="E1216" t="inlineStr">
        <is>
          <t>ÅNGE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45401-2025</t>
        </is>
      </c>
      <c r="B1217" s="1" t="n">
        <v>45922.42767361111</v>
      </c>
      <c r="C1217" s="1" t="n">
        <v>45998</v>
      </c>
      <c r="D1217" t="inlineStr">
        <is>
          <t>VÄSTERNORRLANDS LÄN</t>
        </is>
      </c>
      <c r="E1217" t="inlineStr">
        <is>
          <t>ÅNGE</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58524-2025</t>
        </is>
      </c>
      <c r="B1218" s="1" t="n">
        <v>45985.7190162037</v>
      </c>
      <c r="C1218" s="1" t="n">
        <v>45998</v>
      </c>
      <c r="D1218" t="inlineStr">
        <is>
          <t>VÄSTERNORRLANDS LÄN</t>
        </is>
      </c>
      <c r="E1218" t="inlineStr">
        <is>
          <t>ÅNGE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58599-2025</t>
        </is>
      </c>
      <c r="B1219" s="1" t="n">
        <v>45986.42644675926</v>
      </c>
      <c r="C1219" s="1" t="n">
        <v>45998</v>
      </c>
      <c r="D1219" t="inlineStr">
        <is>
          <t>VÄSTERNORRLANDS LÄN</t>
        </is>
      </c>
      <c r="E1219" t="inlineStr">
        <is>
          <t>ÅNGE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58240-2025</t>
        </is>
      </c>
      <c r="B1220" s="1" t="n">
        <v>45985.38796296297</v>
      </c>
      <c r="C1220" s="1" t="n">
        <v>45998</v>
      </c>
      <c r="D1220" t="inlineStr">
        <is>
          <t>VÄSTERNORRLANDS LÄN</t>
        </is>
      </c>
      <c r="E1220" t="inlineStr">
        <is>
          <t>ÅNGE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54707-2025</t>
        </is>
      </c>
      <c r="B1221" s="1" t="n">
        <v>45966</v>
      </c>
      <c r="C1221" s="1" t="n">
        <v>45998</v>
      </c>
      <c r="D1221" t="inlineStr">
        <is>
          <t>VÄSTERNORRLANDS LÄN</t>
        </is>
      </c>
      <c r="E1221" t="inlineStr">
        <is>
          <t>ÅNGE</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58242-2025</t>
        </is>
      </c>
      <c r="B1222" s="1" t="n">
        <v>45985.38802083334</v>
      </c>
      <c r="C1222" s="1" t="n">
        <v>45998</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27545-2025</t>
        </is>
      </c>
      <c r="B1223" s="1" t="n">
        <v>45813.46942129629</v>
      </c>
      <c r="C1223" s="1" t="n">
        <v>45998</v>
      </c>
      <c r="D1223" t="inlineStr">
        <is>
          <t>VÄSTERNORRLANDS LÄN</t>
        </is>
      </c>
      <c r="E1223" t="inlineStr">
        <is>
          <t>ÅNGE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27572-2025</t>
        </is>
      </c>
      <c r="B1224" s="1" t="n">
        <v>45813.49049768518</v>
      </c>
      <c r="C1224" s="1" t="n">
        <v>45998</v>
      </c>
      <c r="D1224" t="inlineStr">
        <is>
          <t>VÄSTERNORRLANDS LÄN</t>
        </is>
      </c>
      <c r="E1224" t="inlineStr">
        <is>
          <t>ÅNGE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27606-2025</t>
        </is>
      </c>
      <c r="B1225" s="1" t="n">
        <v>45813.53200231482</v>
      </c>
      <c r="C1225" s="1" t="n">
        <v>45998</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53984-2025</t>
        </is>
      </c>
      <c r="B1226" s="1" t="n">
        <v>45961.5734837963</v>
      </c>
      <c r="C1226" s="1" t="n">
        <v>45998</v>
      </c>
      <c r="D1226" t="inlineStr">
        <is>
          <t>VÄSTERNORRLANDS LÄN</t>
        </is>
      </c>
      <c r="E1226" t="inlineStr">
        <is>
          <t>ÅNGE</t>
        </is>
      </c>
      <c r="F1226" t="inlineStr">
        <is>
          <t>SCA</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53999-2025</t>
        </is>
      </c>
      <c r="B1227" s="1" t="n">
        <v>45961</v>
      </c>
      <c r="C1227" s="1" t="n">
        <v>45998</v>
      </c>
      <c r="D1227" t="inlineStr">
        <is>
          <t>VÄSTERNORRLANDS LÄN</t>
        </is>
      </c>
      <c r="E1227" t="inlineStr">
        <is>
          <t>ÅNGE</t>
        </is>
      </c>
      <c r="F1227" t="inlineStr">
        <is>
          <t>SCA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58439-2025</t>
        </is>
      </c>
      <c r="B1228" s="1" t="n">
        <v>45985.61518518518</v>
      </c>
      <c r="C1228" s="1" t="n">
        <v>45998</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58536-2025</t>
        </is>
      </c>
      <c r="B1229" s="1" t="n">
        <v>45985.83274305556</v>
      </c>
      <c r="C1229" s="1" t="n">
        <v>45998</v>
      </c>
      <c r="D1229" t="inlineStr">
        <is>
          <t>VÄSTERNORRLANDS LÄN</t>
        </is>
      </c>
      <c r="E1229" t="inlineStr">
        <is>
          <t>ÅNGE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58639-2025</t>
        </is>
      </c>
      <c r="B1230" s="1" t="n">
        <v>45986.49042824074</v>
      </c>
      <c r="C1230" s="1" t="n">
        <v>45998</v>
      </c>
      <c r="D1230" t="inlineStr">
        <is>
          <t>VÄSTERNORRLANDS LÄN</t>
        </is>
      </c>
      <c r="E1230" t="inlineStr">
        <is>
          <t>ÅNGE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50291-2025</t>
        </is>
      </c>
      <c r="B1231" s="1" t="n">
        <v>45944.40677083333</v>
      </c>
      <c r="C1231" s="1" t="n">
        <v>45998</v>
      </c>
      <c r="D1231" t="inlineStr">
        <is>
          <t>VÄSTERNORRLANDS LÄN</t>
        </is>
      </c>
      <c r="E1231" t="inlineStr">
        <is>
          <t>ÅNGE</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58406-2025</t>
        </is>
      </c>
      <c r="B1232" s="1" t="n">
        <v>45985.56913194444</v>
      </c>
      <c r="C1232" s="1" t="n">
        <v>45998</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27639-2025</t>
        </is>
      </c>
      <c r="B1233" s="1" t="n">
        <v>45813</v>
      </c>
      <c r="C1233" s="1" t="n">
        <v>45998</v>
      </c>
      <c r="D1233" t="inlineStr">
        <is>
          <t>VÄSTERNORRLANDS LÄN</t>
        </is>
      </c>
      <c r="E1233" t="inlineStr">
        <is>
          <t>ÅNGE</t>
        </is>
      </c>
      <c r="G1233" t="n">
        <v>22.9</v>
      </c>
      <c r="H1233" t="n">
        <v>0</v>
      </c>
      <c r="I1233" t="n">
        <v>0</v>
      </c>
      <c r="J1233" t="n">
        <v>0</v>
      </c>
      <c r="K1233" t="n">
        <v>0</v>
      </c>
      <c r="L1233" t="n">
        <v>0</v>
      </c>
      <c r="M1233" t="n">
        <v>0</v>
      </c>
      <c r="N1233" t="n">
        <v>0</v>
      </c>
      <c r="O1233" t="n">
        <v>0</v>
      </c>
      <c r="P1233" t="n">
        <v>0</v>
      </c>
      <c r="Q1233" t="n">
        <v>0</v>
      </c>
      <c r="R1233" s="2" t="inlineStr"/>
    </row>
    <row r="1234" ht="15" customHeight="1">
      <c r="A1234" t="inlineStr">
        <is>
          <t>A 54705-2025</t>
        </is>
      </c>
      <c r="B1234" s="1" t="n">
        <v>45966.4853125</v>
      </c>
      <c r="C1234" s="1" t="n">
        <v>45998</v>
      </c>
      <c r="D1234" t="inlineStr">
        <is>
          <t>VÄSTERNORRLANDS LÄN</t>
        </is>
      </c>
      <c r="E1234" t="inlineStr">
        <is>
          <t>ÅNGE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50767-2025</t>
        </is>
      </c>
      <c r="B1235" s="1" t="n">
        <v>45946</v>
      </c>
      <c r="C1235" s="1" t="n">
        <v>45998</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50769-2025</t>
        </is>
      </c>
      <c r="B1236" s="1" t="n">
        <v>45946.44864583333</v>
      </c>
      <c r="C1236" s="1" t="n">
        <v>45998</v>
      </c>
      <c r="D1236" t="inlineStr">
        <is>
          <t>VÄSTERNORRLANDS LÄN</t>
        </is>
      </c>
      <c r="E1236" t="inlineStr">
        <is>
          <t>ÅNGE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54819-2025</t>
        </is>
      </c>
      <c r="B1237" s="1" t="n">
        <v>45966.65709490741</v>
      </c>
      <c r="C1237" s="1" t="n">
        <v>45998</v>
      </c>
      <c r="D1237" t="inlineStr">
        <is>
          <t>VÄSTERNORRLANDS LÄN</t>
        </is>
      </c>
      <c r="E1237" t="inlineStr">
        <is>
          <t>ÅNGE</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58890-2025</t>
        </is>
      </c>
      <c r="B1238" s="1" t="n">
        <v>45987.49006944444</v>
      </c>
      <c r="C1238" s="1" t="n">
        <v>45998</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45875-2025</t>
        </is>
      </c>
      <c r="B1239" s="1" t="n">
        <v>45923.65690972222</v>
      </c>
      <c r="C1239" s="1" t="n">
        <v>45998</v>
      </c>
      <c r="D1239" t="inlineStr">
        <is>
          <t>VÄSTERNORRLANDS LÄN</t>
        </is>
      </c>
      <c r="E1239" t="inlineStr">
        <is>
          <t>ÅNGE</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28070-2025</t>
        </is>
      </c>
      <c r="B1240" s="1" t="n">
        <v>45817.67739583334</v>
      </c>
      <c r="C1240" s="1" t="n">
        <v>45998</v>
      </c>
      <c r="D1240" t="inlineStr">
        <is>
          <t>VÄSTERNORRLANDS LÄN</t>
        </is>
      </c>
      <c r="E1240" t="inlineStr">
        <is>
          <t>ÅNGE</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54713-2025</t>
        </is>
      </c>
      <c r="B1241" s="1" t="n">
        <v>45966.50446759259</v>
      </c>
      <c r="C1241" s="1" t="n">
        <v>45998</v>
      </c>
      <c r="D1241" t="inlineStr">
        <is>
          <t>VÄSTERNORRLANDS LÄN</t>
        </is>
      </c>
      <c r="E1241" t="inlineStr">
        <is>
          <t>ÅNGE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50460-2025</t>
        </is>
      </c>
      <c r="B1242" s="1" t="n">
        <v>45945.345</v>
      </c>
      <c r="C1242" s="1" t="n">
        <v>45998</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59063-2025</t>
        </is>
      </c>
      <c r="B1243" s="1" t="n">
        <v>45988.40734953704</v>
      </c>
      <c r="C1243" s="1" t="n">
        <v>45998</v>
      </c>
      <c r="D1243" t="inlineStr">
        <is>
          <t>VÄSTERNORRLANDS LÄN</t>
        </is>
      </c>
      <c r="E1243" t="inlineStr">
        <is>
          <t>ÅNGE</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45660-2025</t>
        </is>
      </c>
      <c r="B1244" s="1" t="n">
        <v>45923.34494212963</v>
      </c>
      <c r="C1244" s="1" t="n">
        <v>45998</v>
      </c>
      <c r="D1244" t="inlineStr">
        <is>
          <t>VÄSTERNORRLANDS LÄN</t>
        </is>
      </c>
      <c r="E1244" t="inlineStr">
        <is>
          <t>ÅNGE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59062-2025</t>
        </is>
      </c>
      <c r="B1245" s="1" t="n">
        <v>45988.40723379629</v>
      </c>
      <c r="C1245" s="1" t="n">
        <v>45998</v>
      </c>
      <c r="D1245" t="inlineStr">
        <is>
          <t>VÄSTERNORRLANDS LÄN</t>
        </is>
      </c>
      <c r="E1245" t="inlineStr">
        <is>
          <t>ÅNGE</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46111-2025</t>
        </is>
      </c>
      <c r="B1246" s="1" t="n">
        <v>45924.56684027778</v>
      </c>
      <c r="C1246" s="1" t="n">
        <v>45998</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28085-2025</t>
        </is>
      </c>
      <c r="B1247" s="1" t="n">
        <v>45817.71924768519</v>
      </c>
      <c r="C1247" s="1" t="n">
        <v>45998</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46109-2025</t>
        </is>
      </c>
      <c r="B1248" s="1" t="n">
        <v>45924.5596412037</v>
      </c>
      <c r="C1248" s="1" t="n">
        <v>45998</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28143-2025</t>
        </is>
      </c>
      <c r="B1249" s="1" t="n">
        <v>45818.34546296296</v>
      </c>
      <c r="C1249" s="1" t="n">
        <v>45998</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54702-2025</t>
        </is>
      </c>
      <c r="B1250" s="1" t="n">
        <v>45966.4828587963</v>
      </c>
      <c r="C1250" s="1" t="n">
        <v>45998</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58906-2025</t>
        </is>
      </c>
      <c r="B1251" s="1" t="n">
        <v>45987.51087962963</v>
      </c>
      <c r="C1251" s="1" t="n">
        <v>45998</v>
      </c>
      <c r="D1251" t="inlineStr">
        <is>
          <t>VÄSTERNORRLANDS LÄN</t>
        </is>
      </c>
      <c r="E1251" t="inlineStr">
        <is>
          <t>ÅNGE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58907-2025</t>
        </is>
      </c>
      <c r="B1252" s="1" t="n">
        <v>45987.51108796296</v>
      </c>
      <c r="C1252" s="1" t="n">
        <v>45998</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58823-2025</t>
        </is>
      </c>
      <c r="B1253" s="1" t="n">
        <v>45987.3453125</v>
      </c>
      <c r="C1253" s="1" t="n">
        <v>45998</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28404-2025</t>
        </is>
      </c>
      <c r="B1254" s="1" t="n">
        <v>45819.34532407407</v>
      </c>
      <c r="C1254" s="1" t="n">
        <v>45998</v>
      </c>
      <c r="D1254" t="inlineStr">
        <is>
          <t>VÄSTERNORRLANDS LÄN</t>
        </is>
      </c>
      <c r="E1254" t="inlineStr">
        <is>
          <t>ÅNGE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59065-2025</t>
        </is>
      </c>
      <c r="B1255" s="1" t="n">
        <v>45988.40780092592</v>
      </c>
      <c r="C1255" s="1" t="n">
        <v>45998</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28896-2025</t>
        </is>
      </c>
      <c r="B1256" s="1" t="n">
        <v>45820.63584490741</v>
      </c>
      <c r="C1256" s="1" t="n">
        <v>45998</v>
      </c>
      <c r="D1256" t="inlineStr">
        <is>
          <t>VÄSTERNORRLANDS LÄN</t>
        </is>
      </c>
      <c r="E1256" t="inlineStr">
        <is>
          <t>ÅNGE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54357-2025</t>
        </is>
      </c>
      <c r="B1257" s="1" t="n">
        <v>45965.3858912037</v>
      </c>
      <c r="C1257" s="1" t="n">
        <v>45998</v>
      </c>
      <c r="D1257" t="inlineStr">
        <is>
          <t>VÄSTERNORRLANDS LÄN</t>
        </is>
      </c>
      <c r="E1257" t="inlineStr">
        <is>
          <t>ÅNGE</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54710-2025</t>
        </is>
      </c>
      <c r="B1258" s="1" t="n">
        <v>45966.49515046296</v>
      </c>
      <c r="C1258" s="1" t="n">
        <v>45998</v>
      </c>
      <c r="D1258" t="inlineStr">
        <is>
          <t>VÄSTERNORRLANDS LÄN</t>
        </is>
      </c>
      <c r="E1258" t="inlineStr">
        <is>
          <t>ÅNGE</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50571-2025</t>
        </is>
      </c>
      <c r="B1259" s="1" t="n">
        <v>45945.57443287037</v>
      </c>
      <c r="C1259" s="1" t="n">
        <v>45998</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54680-2025</t>
        </is>
      </c>
      <c r="B1260" s="1" t="n">
        <v>45966.42751157407</v>
      </c>
      <c r="C1260" s="1" t="n">
        <v>45998</v>
      </c>
      <c r="D1260" t="inlineStr">
        <is>
          <t>VÄSTERNORRLANDS LÄN</t>
        </is>
      </c>
      <c r="E1260" t="inlineStr">
        <is>
          <t>ÅNGE</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54346-2025</t>
        </is>
      </c>
      <c r="B1261" s="1" t="n">
        <v>45965.36525462963</v>
      </c>
      <c r="C1261" s="1" t="n">
        <v>45998</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45659-2025</t>
        </is>
      </c>
      <c r="B1262" s="1" t="n">
        <v>45923.34471064815</v>
      </c>
      <c r="C1262" s="1" t="n">
        <v>45998</v>
      </c>
      <c r="D1262" t="inlineStr">
        <is>
          <t>VÄSTERNORRLANDS LÄN</t>
        </is>
      </c>
      <c r="E1262" t="inlineStr">
        <is>
          <t>ÅNGE</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59259-2025</t>
        </is>
      </c>
      <c r="B1263" s="1" t="n">
        <v>45988.65748842592</v>
      </c>
      <c r="C1263" s="1" t="n">
        <v>45998</v>
      </c>
      <c r="D1263" t="inlineStr">
        <is>
          <t>VÄSTERNORRLANDS LÄN</t>
        </is>
      </c>
      <c r="E1263" t="inlineStr">
        <is>
          <t>ÅNGE</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28819-2025</t>
        </is>
      </c>
      <c r="B1264" s="1" t="n">
        <v>45820.53758101852</v>
      </c>
      <c r="C1264" s="1" t="n">
        <v>45998</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28845-2025</t>
        </is>
      </c>
      <c r="B1265" s="1" t="n">
        <v>45820.57324074074</v>
      </c>
      <c r="C1265" s="1" t="n">
        <v>45998</v>
      </c>
      <c r="D1265" t="inlineStr">
        <is>
          <t>VÄSTERNORRLANDS LÄN</t>
        </is>
      </c>
      <c r="E1265" t="inlineStr">
        <is>
          <t>ÅNGE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45970-2025</t>
        </is>
      </c>
      <c r="B1266" s="1" t="n">
        <v>45924.36519675926</v>
      </c>
      <c r="C1266" s="1" t="n">
        <v>45998</v>
      </c>
      <c r="D1266" t="inlineStr">
        <is>
          <t>VÄSTERNORRLANDS LÄN</t>
        </is>
      </c>
      <c r="E1266" t="inlineStr">
        <is>
          <t>ÅNGE</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28814-2025</t>
        </is>
      </c>
      <c r="B1267" s="1" t="n">
        <v>45820.52846064815</v>
      </c>
      <c r="C1267" s="1" t="n">
        <v>45998</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58892-2025</t>
        </is>
      </c>
      <c r="B1268" s="1" t="n">
        <v>45987.49056712963</v>
      </c>
      <c r="C1268" s="1" t="n">
        <v>45998</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28717-2025</t>
        </is>
      </c>
      <c r="B1269" s="1" t="n">
        <v>45820</v>
      </c>
      <c r="C1269" s="1" t="n">
        <v>45998</v>
      </c>
      <c r="D1269" t="inlineStr">
        <is>
          <t>VÄSTERNORRLANDS LÄN</t>
        </is>
      </c>
      <c r="E1269" t="inlineStr">
        <is>
          <t>ÅNGE</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54715-2025</t>
        </is>
      </c>
      <c r="B1270" s="1" t="n">
        <v>45966.50961805556</v>
      </c>
      <c r="C1270" s="1" t="n">
        <v>45998</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29350-2025</t>
        </is>
      </c>
      <c r="B1271" s="1" t="n">
        <v>45824.53206018519</v>
      </c>
      <c r="C1271" s="1" t="n">
        <v>45998</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59064-2025</t>
        </is>
      </c>
      <c r="B1272" s="1" t="n">
        <v>45988.40768518519</v>
      </c>
      <c r="C1272" s="1" t="n">
        <v>45998</v>
      </c>
      <c r="D1272" t="inlineStr">
        <is>
          <t>VÄSTERNORRLANDS LÄN</t>
        </is>
      </c>
      <c r="E1272" t="inlineStr">
        <is>
          <t>ÅNGE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51382-2025</t>
        </is>
      </c>
      <c r="B1273" s="1" t="n">
        <v>45950.46019675926</v>
      </c>
      <c r="C1273" s="1" t="n">
        <v>45998</v>
      </c>
      <c r="D1273" t="inlineStr">
        <is>
          <t>VÄSTERNORRLANDS LÄN</t>
        </is>
      </c>
      <c r="E1273" t="inlineStr">
        <is>
          <t>ÅNGE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29153-2025</t>
        </is>
      </c>
      <c r="B1274" s="1" t="n">
        <v>45821.63574074074</v>
      </c>
      <c r="C1274" s="1" t="n">
        <v>45998</v>
      </c>
      <c r="D1274" t="inlineStr">
        <is>
          <t>VÄSTERNORRLANDS LÄN</t>
        </is>
      </c>
      <c r="E1274" t="inlineStr">
        <is>
          <t>ÅNGE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54197-2025</t>
        </is>
      </c>
      <c r="B1275" s="1" t="n">
        <v>45964</v>
      </c>
      <c r="C1275" s="1" t="n">
        <v>45998</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51393-2025</t>
        </is>
      </c>
      <c r="B1276" s="1" t="n">
        <v>45950.46957175926</v>
      </c>
      <c r="C1276" s="1" t="n">
        <v>45998</v>
      </c>
      <c r="D1276" t="inlineStr">
        <is>
          <t>VÄSTERNORRLANDS LÄN</t>
        </is>
      </c>
      <c r="E1276" t="inlineStr">
        <is>
          <t>ÅNGE</t>
        </is>
      </c>
      <c r="F1276" t="inlineStr">
        <is>
          <t>SCA</t>
        </is>
      </c>
      <c r="G1276" t="n">
        <v>17.9</v>
      </c>
      <c r="H1276" t="n">
        <v>0</v>
      </c>
      <c r="I1276" t="n">
        <v>0</v>
      </c>
      <c r="J1276" t="n">
        <v>0</v>
      </c>
      <c r="K1276" t="n">
        <v>0</v>
      </c>
      <c r="L1276" t="n">
        <v>0</v>
      </c>
      <c r="M1276" t="n">
        <v>0</v>
      </c>
      <c r="N1276" t="n">
        <v>0</v>
      </c>
      <c r="O1276" t="n">
        <v>0</v>
      </c>
      <c r="P1276" t="n">
        <v>0</v>
      </c>
      <c r="Q1276" t="n">
        <v>0</v>
      </c>
      <c r="R1276" s="2" t="inlineStr"/>
    </row>
    <row r="1277" ht="15" customHeight="1">
      <c r="A1277" t="inlineStr">
        <is>
          <t>A 59641-2025</t>
        </is>
      </c>
      <c r="B1277" s="1" t="n">
        <v>45992.4175925926</v>
      </c>
      <c r="C1277" s="1" t="n">
        <v>45998</v>
      </c>
      <c r="D1277" t="inlineStr">
        <is>
          <t>VÄSTERNORRLANDS LÄN</t>
        </is>
      </c>
      <c r="E1277" t="inlineStr">
        <is>
          <t>ÅNGE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59331-2025</t>
        </is>
      </c>
      <c r="B1278" s="1" t="n">
        <v>45989.35978009259</v>
      </c>
      <c r="C1278" s="1" t="n">
        <v>45998</v>
      </c>
      <c r="D1278" t="inlineStr">
        <is>
          <t>VÄSTERNORRLANDS LÄN</t>
        </is>
      </c>
      <c r="E1278" t="inlineStr">
        <is>
          <t>ÅNGE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51109-2025</t>
        </is>
      </c>
      <c r="B1279" s="1" t="n">
        <v>45947.50263888889</v>
      </c>
      <c r="C1279" s="1" t="n">
        <v>45998</v>
      </c>
      <c r="D1279" t="inlineStr">
        <is>
          <t>VÄSTERNORRLANDS LÄN</t>
        </is>
      </c>
      <c r="E1279" t="inlineStr">
        <is>
          <t>ÅNGE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55049-2025</t>
        </is>
      </c>
      <c r="B1280" s="1" t="n">
        <v>45967.66614583333</v>
      </c>
      <c r="C1280" s="1" t="n">
        <v>45998</v>
      </c>
      <c r="D1280" t="inlineStr">
        <is>
          <t>VÄSTERNORRLANDS LÄN</t>
        </is>
      </c>
      <c r="E1280" t="inlineStr">
        <is>
          <t>ÅNGE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46267-2025</t>
        </is>
      </c>
      <c r="B1281" s="1" t="n">
        <v>45925.36578703704</v>
      </c>
      <c r="C1281" s="1" t="n">
        <v>45998</v>
      </c>
      <c r="D1281" t="inlineStr">
        <is>
          <t>VÄSTERNORRLANDS LÄN</t>
        </is>
      </c>
      <c r="E1281" t="inlineStr">
        <is>
          <t>ÅNGE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55160-2025</t>
        </is>
      </c>
      <c r="B1282" s="1" t="n">
        <v>45968.46930555555</v>
      </c>
      <c r="C1282" s="1" t="n">
        <v>45998</v>
      </c>
      <c r="D1282" t="inlineStr">
        <is>
          <t>VÄSTERNORRLANDS LÄN</t>
        </is>
      </c>
      <c r="E1282" t="inlineStr">
        <is>
          <t>ÅNGE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29862-2025</t>
        </is>
      </c>
      <c r="B1283" s="1" t="n">
        <v>45826.3465625</v>
      </c>
      <c r="C1283" s="1" t="n">
        <v>45998</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29882-2025</t>
        </is>
      </c>
      <c r="B1284" s="1" t="n">
        <v>45826.36548611111</v>
      </c>
      <c r="C1284" s="1" t="n">
        <v>45998</v>
      </c>
      <c r="D1284" t="inlineStr">
        <is>
          <t>VÄSTERNORRLANDS LÄN</t>
        </is>
      </c>
      <c r="E1284" t="inlineStr">
        <is>
          <t>ÅNGE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51389-2025</t>
        </is>
      </c>
      <c r="B1285" s="1" t="n">
        <v>45950.46767361111</v>
      </c>
      <c r="C1285" s="1" t="n">
        <v>45998</v>
      </c>
      <c r="D1285" t="inlineStr">
        <is>
          <t>VÄSTERNORRLANDS LÄN</t>
        </is>
      </c>
      <c r="E1285" t="inlineStr">
        <is>
          <t>ÅNGE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46419-2025</t>
        </is>
      </c>
      <c r="B1286" s="1" t="n">
        <v>45925.5949537037</v>
      </c>
      <c r="C1286" s="1" t="n">
        <v>45998</v>
      </c>
      <c r="D1286" t="inlineStr">
        <is>
          <t>VÄSTERNORRLANDS LÄN</t>
        </is>
      </c>
      <c r="E1286" t="inlineStr">
        <is>
          <t>ÅNGE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46416-2025</t>
        </is>
      </c>
      <c r="B1287" s="1" t="n">
        <v>45925.594375</v>
      </c>
      <c r="C1287" s="1" t="n">
        <v>45998</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29916-2025</t>
        </is>
      </c>
      <c r="B1288" s="1" t="n">
        <v>45826.41822916667</v>
      </c>
      <c r="C1288" s="1" t="n">
        <v>45998</v>
      </c>
      <c r="D1288" t="inlineStr">
        <is>
          <t>VÄSTERNORRLANDS LÄN</t>
        </is>
      </c>
      <c r="E1288" t="inlineStr">
        <is>
          <t>ÅNGE</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51416-2025</t>
        </is>
      </c>
      <c r="B1289" s="1" t="n">
        <v>45950.51097222222</v>
      </c>
      <c r="C1289" s="1" t="n">
        <v>45998</v>
      </c>
      <c r="D1289" t="inlineStr">
        <is>
          <t>VÄSTERNORRLANDS LÄN</t>
        </is>
      </c>
      <c r="E1289" t="inlineStr">
        <is>
          <t>ÅNGE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55045-2025</t>
        </is>
      </c>
      <c r="B1290" s="1" t="n">
        <v>45967.66068287037</v>
      </c>
      <c r="C1290" s="1" t="n">
        <v>45998</v>
      </c>
      <c r="D1290" t="inlineStr">
        <is>
          <t>VÄSTERNORRLANDS LÄN</t>
        </is>
      </c>
      <c r="E1290" t="inlineStr">
        <is>
          <t>ÅNGE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29560-2025</t>
        </is>
      </c>
      <c r="B1291" s="1" t="n">
        <v>45825.36497685185</v>
      </c>
      <c r="C1291" s="1" t="n">
        <v>45998</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29786-2025</t>
        </is>
      </c>
      <c r="B1292" s="1" t="n">
        <v>45825.65663194445</v>
      </c>
      <c r="C1292" s="1" t="n">
        <v>45998</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51370-2025</t>
        </is>
      </c>
      <c r="B1293" s="1" t="n">
        <v>45950.44818287037</v>
      </c>
      <c r="C1293" s="1" t="n">
        <v>45998</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30475-2025</t>
        </is>
      </c>
      <c r="B1294" s="1" t="n">
        <v>45828.34444444445</v>
      </c>
      <c r="C1294" s="1" t="n">
        <v>45998</v>
      </c>
      <c r="D1294" t="inlineStr">
        <is>
          <t>VÄSTERNORRLANDS LÄN</t>
        </is>
      </c>
      <c r="E1294" t="inlineStr">
        <is>
          <t>ÅNGE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54926-2025</t>
        </is>
      </c>
      <c r="B1295" s="1" t="n">
        <v>45967.40707175926</v>
      </c>
      <c r="C1295" s="1" t="n">
        <v>45998</v>
      </c>
      <c r="D1295" t="inlineStr">
        <is>
          <t>VÄSTERNORRLANDS LÄN</t>
        </is>
      </c>
      <c r="E1295" t="inlineStr">
        <is>
          <t>ÅNGE</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55038-2025</t>
        </is>
      </c>
      <c r="B1296" s="1" t="n">
        <v>45967.65527777778</v>
      </c>
      <c r="C1296" s="1" t="n">
        <v>45998</v>
      </c>
      <c r="D1296" t="inlineStr">
        <is>
          <t>VÄSTERNORRLANDS LÄN</t>
        </is>
      </c>
      <c r="E1296" t="inlineStr">
        <is>
          <t>ÅNGE</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54925-2025</t>
        </is>
      </c>
      <c r="B1297" s="1" t="n">
        <v>45967.40699074074</v>
      </c>
      <c r="C1297" s="1" t="n">
        <v>45998</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59319-2025</t>
        </is>
      </c>
      <c r="B1298" s="1" t="n">
        <v>45989.33283564815</v>
      </c>
      <c r="C1298" s="1" t="n">
        <v>45998</v>
      </c>
      <c r="D1298" t="inlineStr">
        <is>
          <t>VÄSTERNORRLANDS LÄN</t>
        </is>
      </c>
      <c r="E1298" t="inlineStr">
        <is>
          <t>ÅNGE</t>
        </is>
      </c>
      <c r="F1298" t="inlineStr">
        <is>
          <t>Sveaskog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30875-2025</t>
        </is>
      </c>
      <c r="B1299" s="1" t="n">
        <v>45832.34447916667</v>
      </c>
      <c r="C1299" s="1" t="n">
        <v>45998</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60278-2025</t>
        </is>
      </c>
      <c r="B1300" s="1" t="n">
        <v>45994.63739583334</v>
      </c>
      <c r="C1300" s="1" t="n">
        <v>45998</v>
      </c>
      <c r="D1300" t="inlineStr">
        <is>
          <t>VÄSTERNORRLANDS LÄN</t>
        </is>
      </c>
      <c r="E1300" t="inlineStr">
        <is>
          <t>ÅNGE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31211-2025</t>
        </is>
      </c>
      <c r="B1301" s="1" t="n">
        <v>45832.71938657408</v>
      </c>
      <c r="C1301" s="1" t="n">
        <v>45998</v>
      </c>
      <c r="D1301" t="inlineStr">
        <is>
          <t>VÄSTERNORRLANDS LÄN</t>
        </is>
      </c>
      <c r="E1301" t="inlineStr">
        <is>
          <t>ÅNGE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59815-2025</t>
        </is>
      </c>
      <c r="B1302" s="1" t="n">
        <v>45992.6359837963</v>
      </c>
      <c r="C1302" s="1" t="n">
        <v>45998</v>
      </c>
      <c r="D1302" t="inlineStr">
        <is>
          <t>VÄSTERNORRLANDS LÄN</t>
        </is>
      </c>
      <c r="E1302" t="inlineStr">
        <is>
          <t>ÅNGE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30618-2025</t>
        </is>
      </c>
      <c r="B1303" s="1" t="n">
        <v>45831.46909722222</v>
      </c>
      <c r="C1303" s="1" t="n">
        <v>45998</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52121-2025</t>
        </is>
      </c>
      <c r="B1304" s="1" t="n">
        <v>45952.71921296296</v>
      </c>
      <c r="C1304" s="1" t="n">
        <v>45998</v>
      </c>
      <c r="D1304" t="inlineStr">
        <is>
          <t>VÄSTERNORRLANDS LÄN</t>
        </is>
      </c>
      <c r="E1304" t="inlineStr">
        <is>
          <t>ÅNGE</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59023-2025</t>
        </is>
      </c>
      <c r="B1305" s="1" t="n">
        <v>45988</v>
      </c>
      <c r="C1305" s="1" t="n">
        <v>45998</v>
      </c>
      <c r="D1305" t="inlineStr">
        <is>
          <t>VÄSTERNORRLANDS LÄN</t>
        </is>
      </c>
      <c r="E1305" t="inlineStr">
        <is>
          <t>ÅNGE</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31188-2025</t>
        </is>
      </c>
      <c r="B1306" s="1" t="n">
        <v>45832.67842592593</v>
      </c>
      <c r="C1306" s="1" t="n">
        <v>45998</v>
      </c>
      <c r="D1306" t="inlineStr">
        <is>
          <t>VÄSTERNORRLANDS LÄN</t>
        </is>
      </c>
      <c r="E1306" t="inlineStr">
        <is>
          <t>ÅNGE</t>
        </is>
      </c>
      <c r="F1306" t="inlineStr">
        <is>
          <t>SCA</t>
        </is>
      </c>
      <c r="G1306" t="n">
        <v>14.9</v>
      </c>
      <c r="H1306" t="n">
        <v>0</v>
      </c>
      <c r="I1306" t="n">
        <v>0</v>
      </c>
      <c r="J1306" t="n">
        <v>0</v>
      </c>
      <c r="K1306" t="n">
        <v>0</v>
      </c>
      <c r="L1306" t="n">
        <v>0</v>
      </c>
      <c r="M1306" t="n">
        <v>0</v>
      </c>
      <c r="N1306" t="n">
        <v>0</v>
      </c>
      <c r="O1306" t="n">
        <v>0</v>
      </c>
      <c r="P1306" t="n">
        <v>0</v>
      </c>
      <c r="Q1306" t="n">
        <v>0</v>
      </c>
      <c r="R1306" s="2" t="inlineStr"/>
    </row>
    <row r="1307" ht="15" customHeight="1">
      <c r="A1307" t="inlineStr">
        <is>
          <t>A 60061-2025</t>
        </is>
      </c>
      <c r="B1307" s="1" t="n">
        <v>45993.65673611111</v>
      </c>
      <c r="C1307" s="1" t="n">
        <v>45998</v>
      </c>
      <c r="D1307" t="inlineStr">
        <is>
          <t>VÄSTERNORRLANDS LÄN</t>
        </is>
      </c>
      <c r="E1307" t="inlineStr">
        <is>
          <t>ÅNGE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31042-2025</t>
        </is>
      </c>
      <c r="B1308" s="1" t="n">
        <v>45832.55267361111</v>
      </c>
      <c r="C1308" s="1" t="n">
        <v>45998</v>
      </c>
      <c r="D1308" t="inlineStr">
        <is>
          <t>VÄSTERNORRLANDS LÄN</t>
        </is>
      </c>
      <c r="E1308" t="inlineStr">
        <is>
          <t>ÅNGE</t>
        </is>
      </c>
      <c r="F1308" t="inlineStr">
        <is>
          <t>SCA</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31135-2025</t>
        </is>
      </c>
      <c r="B1309" s="1" t="n">
        <v>45832.63581018519</v>
      </c>
      <c r="C1309" s="1" t="n">
        <v>45998</v>
      </c>
      <c r="D1309" t="inlineStr">
        <is>
          <t>VÄSTERNORRLANDS LÄN</t>
        </is>
      </c>
      <c r="E1309" t="inlineStr">
        <is>
          <t>ÅNGE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60296-2025</t>
        </is>
      </c>
      <c r="B1310" s="1" t="n">
        <v>45994.6568287037</v>
      </c>
      <c r="C1310" s="1" t="n">
        <v>45998</v>
      </c>
      <c r="D1310" t="inlineStr">
        <is>
          <t>VÄSTERNORRLANDS LÄN</t>
        </is>
      </c>
      <c r="E1310" t="inlineStr">
        <is>
          <t>ÅNGE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30892-2025</t>
        </is>
      </c>
      <c r="B1311" s="1" t="n">
        <v>45832.34663194444</v>
      </c>
      <c r="C1311" s="1" t="n">
        <v>45998</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30598-2025</t>
        </is>
      </c>
      <c r="B1312" s="1" t="n">
        <v>45831.44834490741</v>
      </c>
      <c r="C1312" s="1" t="n">
        <v>45998</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60116-2025</t>
        </is>
      </c>
      <c r="B1313" s="1" t="n">
        <v>45994.318125</v>
      </c>
      <c r="C1313" s="1" t="n">
        <v>45998</v>
      </c>
      <c r="D1313" t="inlineStr">
        <is>
          <t>VÄSTERNORRLANDS LÄN</t>
        </is>
      </c>
      <c r="E1313" t="inlineStr">
        <is>
          <t>ÅNGE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60118-2025</t>
        </is>
      </c>
      <c r="B1314" s="1" t="n">
        <v>45994.3242824074</v>
      </c>
      <c r="C1314" s="1" t="n">
        <v>45998</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51857-2025</t>
        </is>
      </c>
      <c r="B1315" s="1" t="n">
        <v>45952.36506944444</v>
      </c>
      <c r="C1315" s="1" t="n">
        <v>45998</v>
      </c>
      <c r="D1315" t="inlineStr">
        <is>
          <t>VÄSTERNORRLANDS LÄN</t>
        </is>
      </c>
      <c r="E1315" t="inlineStr">
        <is>
          <t>ÅNGE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31041-2025</t>
        </is>
      </c>
      <c r="B1316" s="1" t="n">
        <v>45832.55247685185</v>
      </c>
      <c r="C1316" s="1" t="n">
        <v>45998</v>
      </c>
      <c r="D1316" t="inlineStr">
        <is>
          <t>VÄSTERNORRLANDS LÄN</t>
        </is>
      </c>
      <c r="E1316" t="inlineStr">
        <is>
          <t>ÅNGE</t>
        </is>
      </c>
      <c r="F1316" t="inlineStr">
        <is>
          <t>SCA</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31139-2025</t>
        </is>
      </c>
      <c r="B1317" s="1" t="n">
        <v>45832.63633101852</v>
      </c>
      <c r="C1317" s="1" t="n">
        <v>45998</v>
      </c>
      <c r="D1317" t="inlineStr">
        <is>
          <t>VÄSTERNORRLANDS LÄN</t>
        </is>
      </c>
      <c r="E1317" t="inlineStr">
        <is>
          <t>ÅNGE</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30877-2025</t>
        </is>
      </c>
      <c r="B1318" s="1" t="n">
        <v>45832.34478009259</v>
      </c>
      <c r="C1318" s="1" t="n">
        <v>45998</v>
      </c>
      <c r="D1318" t="inlineStr">
        <is>
          <t>VÄSTERNORRLANDS LÄN</t>
        </is>
      </c>
      <c r="E1318" t="inlineStr">
        <is>
          <t>ÅNGE</t>
        </is>
      </c>
      <c r="F1318" t="inlineStr">
        <is>
          <t>SCA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30888-2025</t>
        </is>
      </c>
      <c r="B1319" s="1" t="n">
        <v>45832.34606481482</v>
      </c>
      <c r="C1319" s="1" t="n">
        <v>45998</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60119-2025</t>
        </is>
      </c>
      <c r="B1320" s="1" t="n">
        <v>45994.33081018519</v>
      </c>
      <c r="C1320" s="1" t="n">
        <v>45998</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60134-2025</t>
        </is>
      </c>
      <c r="B1321" s="1" t="n">
        <v>45994.34793981481</v>
      </c>
      <c r="C1321" s="1" t="n">
        <v>45998</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60286-2025</t>
        </is>
      </c>
      <c r="B1322" s="1" t="n">
        <v>45994.64612268518</v>
      </c>
      <c r="C1322" s="1" t="n">
        <v>45998</v>
      </c>
      <c r="D1322" t="inlineStr">
        <is>
          <t>VÄSTERNORRLANDS LÄN</t>
        </is>
      </c>
      <c r="E1322" t="inlineStr">
        <is>
          <t>ÅNGE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60342-2025</t>
        </is>
      </c>
      <c r="B1323" s="1" t="n">
        <v>45994.86804398148</v>
      </c>
      <c r="C1323" s="1" t="n">
        <v>45998</v>
      </c>
      <c r="D1323" t="inlineStr">
        <is>
          <t>VÄSTERNORRLANDS LÄN</t>
        </is>
      </c>
      <c r="E1323" t="inlineStr">
        <is>
          <t>ÅNGE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31275-2025</t>
        </is>
      </c>
      <c r="B1324" s="1" t="n">
        <v>45833.34459490741</v>
      </c>
      <c r="C1324" s="1" t="n">
        <v>45998</v>
      </c>
      <c r="D1324" t="inlineStr">
        <is>
          <t>VÄSTERNORRLANDS LÄN</t>
        </is>
      </c>
      <c r="E1324" t="inlineStr">
        <is>
          <t>ÅNGE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52060-2025</t>
        </is>
      </c>
      <c r="B1325" s="1" t="n">
        <v>45952.63641203703</v>
      </c>
      <c r="C1325" s="1" t="n">
        <v>45998</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51813-2025</t>
        </is>
      </c>
      <c r="B1326" s="1" t="n">
        <v>45951.83082175926</v>
      </c>
      <c r="C1326" s="1" t="n">
        <v>45998</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31452-2025</t>
        </is>
      </c>
      <c r="B1327" s="1" t="n">
        <v>45833.53179398148</v>
      </c>
      <c r="C1327" s="1" t="n">
        <v>45998</v>
      </c>
      <c r="D1327" t="inlineStr">
        <is>
          <t>VÄSTERNORRLANDS LÄN</t>
        </is>
      </c>
      <c r="E1327" t="inlineStr">
        <is>
          <t>ÅNGE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31544-2025</t>
        </is>
      </c>
      <c r="B1328" s="1" t="n">
        <v>45833.63597222222</v>
      </c>
      <c r="C1328" s="1" t="n">
        <v>45998</v>
      </c>
      <c r="D1328" t="inlineStr">
        <is>
          <t>VÄSTERNORRLANDS LÄN</t>
        </is>
      </c>
      <c r="E1328" t="inlineStr">
        <is>
          <t>ÅNGE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31646-2025</t>
        </is>
      </c>
      <c r="B1329" s="1" t="n">
        <v>45834.34563657407</v>
      </c>
      <c r="C1329" s="1" t="n">
        <v>45998</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60124-2025</t>
        </is>
      </c>
      <c r="B1330" s="1" t="n">
        <v>45994.33722222222</v>
      </c>
      <c r="C1330" s="1" t="n">
        <v>45998</v>
      </c>
      <c r="D1330" t="inlineStr">
        <is>
          <t>VÄSTERNORRLANDS LÄN</t>
        </is>
      </c>
      <c r="E1330" t="inlineStr">
        <is>
          <t>ÅNGE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60079-2025</t>
        </is>
      </c>
      <c r="B1331" s="1" t="n">
        <v>45993.6834375</v>
      </c>
      <c r="C1331" s="1" t="n">
        <v>45998</v>
      </c>
      <c r="D1331" t="inlineStr">
        <is>
          <t>VÄSTERNORRLANDS LÄN</t>
        </is>
      </c>
      <c r="E1331" t="inlineStr">
        <is>
          <t>ÅNGE</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59022-2025</t>
        </is>
      </c>
      <c r="B1332" s="1" t="n">
        <v>45988</v>
      </c>
      <c r="C1332" s="1" t="n">
        <v>45998</v>
      </c>
      <c r="D1332" t="inlineStr">
        <is>
          <t>VÄSTERNORRLANDS LÄN</t>
        </is>
      </c>
      <c r="E1332" t="inlineStr">
        <is>
          <t>ÅNGE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31484-2025</t>
        </is>
      </c>
      <c r="B1333" s="1" t="n">
        <v>45833.57418981481</v>
      </c>
      <c r="C1333" s="1" t="n">
        <v>45998</v>
      </c>
      <c r="D1333" t="inlineStr">
        <is>
          <t>VÄSTERNORRLANDS LÄN</t>
        </is>
      </c>
      <c r="E1333" t="inlineStr">
        <is>
          <t>ÅNGE</t>
        </is>
      </c>
      <c r="F1333" t="inlineStr">
        <is>
          <t>SCA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60582-2025</t>
        </is>
      </c>
      <c r="B1334" s="1" t="n">
        <v>45994</v>
      </c>
      <c r="C1334" s="1" t="n">
        <v>45998</v>
      </c>
      <c r="D1334" t="inlineStr">
        <is>
          <t>VÄSTERNORRLANDS LÄN</t>
        </is>
      </c>
      <c r="E1334" t="inlineStr">
        <is>
          <t>ÅNGE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31642-2025</t>
        </is>
      </c>
      <c r="B1335" s="1" t="n">
        <v>45834.34474537037</v>
      </c>
      <c r="C1335" s="1" t="n">
        <v>45998</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31666-2025</t>
        </is>
      </c>
      <c r="B1336" s="1" t="n">
        <v>45834.36519675926</v>
      </c>
      <c r="C1336" s="1" t="n">
        <v>45998</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52392-2025</t>
        </is>
      </c>
      <c r="B1337" s="1" t="n">
        <v>45954.34424768519</v>
      </c>
      <c r="C1337" s="1" t="n">
        <v>45998</v>
      </c>
      <c r="D1337" t="inlineStr">
        <is>
          <t>VÄSTERNORRLANDS LÄN</t>
        </is>
      </c>
      <c r="E1337" t="inlineStr">
        <is>
          <t>ÅNGE</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52335-2025</t>
        </is>
      </c>
      <c r="B1338" s="1" t="n">
        <v>45953.68591435185</v>
      </c>
      <c r="C1338" s="1" t="n">
        <v>45998</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60403-2025</t>
        </is>
      </c>
      <c r="B1339" s="1" t="n">
        <v>45995.42762731481</v>
      </c>
      <c r="C1339" s="1" t="n">
        <v>45998</v>
      </c>
      <c r="D1339" t="inlineStr">
        <is>
          <t>VÄSTERNORRLANDS LÄN</t>
        </is>
      </c>
      <c r="E1339" t="inlineStr">
        <is>
          <t>ÅNGE</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32025-2025</t>
        </is>
      </c>
      <c r="B1340" s="1" t="n">
        <v>45835.40721064815</v>
      </c>
      <c r="C1340" s="1" t="n">
        <v>45998</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26092-2025</t>
        </is>
      </c>
      <c r="B1341" s="1" t="n">
        <v>45805</v>
      </c>
      <c r="C1341" s="1" t="n">
        <v>45998</v>
      </c>
      <c r="D1341" t="inlineStr">
        <is>
          <t>VÄSTERNORRLANDS LÄN</t>
        </is>
      </c>
      <c r="E1341" t="inlineStr">
        <is>
          <t>ÅNGE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52283-2025</t>
        </is>
      </c>
      <c r="B1342" s="1" t="n">
        <v>45953.57346064815</v>
      </c>
      <c r="C1342" s="1" t="n">
        <v>45998</v>
      </c>
      <c r="D1342" t="inlineStr">
        <is>
          <t>VÄSTERNORRLANDS LÄN</t>
        </is>
      </c>
      <c r="E1342" t="inlineStr">
        <is>
          <t>ÅNGE</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52411-2025</t>
        </is>
      </c>
      <c r="B1343" s="1" t="n">
        <v>45954.36518518518</v>
      </c>
      <c r="C1343" s="1" t="n">
        <v>45998</v>
      </c>
      <c r="D1343" t="inlineStr">
        <is>
          <t>VÄSTERNORRLANDS LÄN</t>
        </is>
      </c>
      <c r="E1343" t="inlineStr">
        <is>
          <t>ÅNGE</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52306-2025</t>
        </is>
      </c>
      <c r="B1344" s="1" t="n">
        <v>45953.63600694444</v>
      </c>
      <c r="C1344" s="1" t="n">
        <v>45998</v>
      </c>
      <c r="D1344" t="inlineStr">
        <is>
          <t>VÄSTERNORRLANDS LÄN</t>
        </is>
      </c>
      <c r="E1344" t="inlineStr">
        <is>
          <t>ÅNGE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60402-2025</t>
        </is>
      </c>
      <c r="B1345" s="1" t="n">
        <v>45995.4262962963</v>
      </c>
      <c r="C1345" s="1" t="n">
        <v>45998</v>
      </c>
      <c r="D1345" t="inlineStr">
        <is>
          <t>VÄSTERNORRLANDS LÄN</t>
        </is>
      </c>
      <c r="E1345" t="inlineStr">
        <is>
          <t>ÅNGE</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60590-2025</t>
        </is>
      </c>
      <c r="B1346" s="1" t="n">
        <v>45994</v>
      </c>
      <c r="C1346" s="1" t="n">
        <v>45998</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60604-2025</t>
        </is>
      </c>
      <c r="B1347" s="1" t="n">
        <v>45995</v>
      </c>
      <c r="C1347" s="1" t="n">
        <v>45998</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32024-2025</t>
        </is>
      </c>
      <c r="B1348" s="1" t="n">
        <v>45835.40706018519</v>
      </c>
      <c r="C1348" s="1" t="n">
        <v>45998</v>
      </c>
      <c r="D1348" t="inlineStr">
        <is>
          <t>VÄSTERNORRLANDS LÄN</t>
        </is>
      </c>
      <c r="E1348" t="inlineStr">
        <is>
          <t>ÅNGE</t>
        </is>
      </c>
      <c r="F1348" t="inlineStr">
        <is>
          <t>SCA</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60422-2025</t>
        </is>
      </c>
      <c r="B1349" s="1" t="n">
        <v>45995.46922453704</v>
      </c>
      <c r="C1349" s="1" t="n">
        <v>45998</v>
      </c>
      <c r="D1349" t="inlineStr">
        <is>
          <t>VÄSTERNORRLANDS LÄN</t>
        </is>
      </c>
      <c r="E1349" t="inlineStr">
        <is>
          <t>ÅNGE</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58605-2025</t>
        </is>
      </c>
      <c r="B1350" s="1" t="n">
        <v>45986</v>
      </c>
      <c r="C1350" s="1" t="n">
        <v>45998</v>
      </c>
      <c r="D1350" t="inlineStr">
        <is>
          <t>VÄSTERNORRLANDS LÄN</t>
        </is>
      </c>
      <c r="E1350" t="inlineStr">
        <is>
          <t>ÅNGE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60520-2025</t>
        </is>
      </c>
      <c r="B1351" s="1" t="n">
        <v>45995.63694444444</v>
      </c>
      <c r="C1351" s="1" t="n">
        <v>45998</v>
      </c>
      <c r="D1351" t="inlineStr">
        <is>
          <t>VÄSTERNORRLANDS LÄN</t>
        </is>
      </c>
      <c r="E1351" t="inlineStr">
        <is>
          <t>ÅNGE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39682-2024</t>
        </is>
      </c>
      <c r="B1352" s="1" t="n">
        <v>45552</v>
      </c>
      <c r="C1352" s="1" t="n">
        <v>45998</v>
      </c>
      <c r="D1352" t="inlineStr">
        <is>
          <t>VÄSTERNORRLANDS LÄN</t>
        </is>
      </c>
      <c r="E1352" t="inlineStr">
        <is>
          <t>ÅNGE</t>
        </is>
      </c>
      <c r="G1352" t="n">
        <v>35.4</v>
      </c>
      <c r="H1352" t="n">
        <v>0</v>
      </c>
      <c r="I1352" t="n">
        <v>0</v>
      </c>
      <c r="J1352" t="n">
        <v>0</v>
      </c>
      <c r="K1352" t="n">
        <v>0</v>
      </c>
      <c r="L1352" t="n">
        <v>0</v>
      </c>
      <c r="M1352" t="n">
        <v>0</v>
      </c>
      <c r="N1352" t="n">
        <v>0</v>
      </c>
      <c r="O1352" t="n">
        <v>0</v>
      </c>
      <c r="P1352" t="n">
        <v>0</v>
      </c>
      <c r="Q1352" t="n">
        <v>0</v>
      </c>
      <c r="R1352" s="2" t="inlineStr"/>
    </row>
    <row r="1353" ht="15" customHeight="1">
      <c r="A1353" t="inlineStr">
        <is>
          <t>A 32847-2025</t>
        </is>
      </c>
      <c r="B1353" s="1" t="n">
        <v>45839.57354166666</v>
      </c>
      <c r="C1353" s="1" t="n">
        <v>45998</v>
      </c>
      <c r="D1353" t="inlineStr">
        <is>
          <t>VÄSTERNORRLANDS LÄN</t>
        </is>
      </c>
      <c r="E1353" t="inlineStr">
        <is>
          <t>ÅNGE</t>
        </is>
      </c>
      <c r="F1353" t="inlineStr">
        <is>
          <t>SCA</t>
        </is>
      </c>
      <c r="G1353" t="n">
        <v>9.4</v>
      </c>
      <c r="H1353" t="n">
        <v>0</v>
      </c>
      <c r="I1353" t="n">
        <v>0</v>
      </c>
      <c r="J1353" t="n">
        <v>0</v>
      </c>
      <c r="K1353" t="n">
        <v>0</v>
      </c>
      <c r="L1353" t="n">
        <v>0</v>
      </c>
      <c r="M1353" t="n">
        <v>0</v>
      </c>
      <c r="N1353" t="n">
        <v>0</v>
      </c>
      <c r="O1353" t="n">
        <v>0</v>
      </c>
      <c r="P1353" t="n">
        <v>0</v>
      </c>
      <c r="Q1353" t="n">
        <v>0</v>
      </c>
      <c r="R1353" s="2" t="inlineStr"/>
    </row>
    <row r="1354" ht="15" customHeight="1">
      <c r="A1354" t="inlineStr">
        <is>
          <t>A 17668-2023</t>
        </is>
      </c>
      <c r="B1354" s="1" t="n">
        <v>45036</v>
      </c>
      <c r="C1354" s="1" t="n">
        <v>45998</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8406-2023</t>
        </is>
      </c>
      <c r="B1355" s="1" t="n">
        <v>44971</v>
      </c>
      <c r="C1355" s="1" t="n">
        <v>45998</v>
      </c>
      <c r="D1355" t="inlineStr">
        <is>
          <t>VÄSTERNORRLANDS LÄN</t>
        </is>
      </c>
      <c r="E1355" t="inlineStr">
        <is>
          <t>ÅNGE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4651-2022</t>
        </is>
      </c>
      <c r="B1356" s="1" t="n">
        <v>44592</v>
      </c>
      <c r="C1356" s="1" t="n">
        <v>45998</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45933-2023</t>
        </is>
      </c>
      <c r="B1357" s="1" t="n">
        <v>45195</v>
      </c>
      <c r="C1357" s="1" t="n">
        <v>45998</v>
      </c>
      <c r="D1357" t="inlineStr">
        <is>
          <t>VÄSTERNORRLANDS LÄN</t>
        </is>
      </c>
      <c r="E1357" t="inlineStr">
        <is>
          <t>ÅNGE</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57601-2022</t>
        </is>
      </c>
      <c r="B1358" s="1" t="n">
        <v>44896</v>
      </c>
      <c r="C1358" s="1" t="n">
        <v>45998</v>
      </c>
      <c r="D1358" t="inlineStr">
        <is>
          <t>VÄSTERNORRLANDS LÄN</t>
        </is>
      </c>
      <c r="E1358" t="inlineStr">
        <is>
          <t>ÅNGE</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33782-2025</t>
        </is>
      </c>
      <c r="B1359" s="1" t="n">
        <v>45842.40678240741</v>
      </c>
      <c r="C1359" s="1" t="n">
        <v>45998</v>
      </c>
      <c r="D1359" t="inlineStr">
        <is>
          <t>VÄSTERNORRLANDS LÄN</t>
        </is>
      </c>
      <c r="E1359" t="inlineStr">
        <is>
          <t>ÅNGE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34649-2024</t>
        </is>
      </c>
      <c r="B1360" s="1" t="n">
        <v>45526.48325231481</v>
      </c>
      <c r="C1360" s="1" t="n">
        <v>45998</v>
      </c>
      <c r="D1360" t="inlineStr">
        <is>
          <t>VÄSTERNORRLANDS LÄN</t>
        </is>
      </c>
      <c r="E1360" t="inlineStr">
        <is>
          <t>ÅNGE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33717-2025</t>
        </is>
      </c>
      <c r="B1361" s="1" t="n">
        <v>45841.89357638889</v>
      </c>
      <c r="C1361" s="1" t="n">
        <v>45998</v>
      </c>
      <c r="D1361" t="inlineStr">
        <is>
          <t>VÄSTERNORRLANDS LÄN</t>
        </is>
      </c>
      <c r="E1361" t="inlineStr">
        <is>
          <t>ÅNGE</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33738-2025</t>
        </is>
      </c>
      <c r="B1362" s="1" t="n">
        <v>45842.33795138889</v>
      </c>
      <c r="C1362" s="1" t="n">
        <v>45998</v>
      </c>
      <c r="D1362" t="inlineStr">
        <is>
          <t>VÄSTERNORRLANDS LÄN</t>
        </is>
      </c>
      <c r="E1362" t="inlineStr">
        <is>
          <t>ÅNGE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34679-2024</t>
        </is>
      </c>
      <c r="B1363" s="1" t="n">
        <v>45526</v>
      </c>
      <c r="C1363" s="1" t="n">
        <v>45998</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58445-2022</t>
        </is>
      </c>
      <c r="B1364" s="1" t="n">
        <v>44901.95453703704</v>
      </c>
      <c r="C1364" s="1" t="n">
        <v>45998</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23058-2024</t>
        </is>
      </c>
      <c r="B1365" s="1" t="n">
        <v>45450.44020833333</v>
      </c>
      <c r="C1365" s="1" t="n">
        <v>45998</v>
      </c>
      <c r="D1365" t="inlineStr">
        <is>
          <t>VÄSTERNORRLANDS LÄN</t>
        </is>
      </c>
      <c r="E1365" t="inlineStr">
        <is>
          <t>ÅNGE</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64946-2023</t>
        </is>
      </c>
      <c r="B1366" s="1" t="n">
        <v>45282.94678240741</v>
      </c>
      <c r="C1366" s="1" t="n">
        <v>45998</v>
      </c>
      <c r="D1366" t="inlineStr">
        <is>
          <t>VÄSTERNORRLANDS LÄN</t>
        </is>
      </c>
      <c r="E1366" t="inlineStr">
        <is>
          <t>ÅNGE</t>
        </is>
      </c>
      <c r="F1366" t="inlineStr">
        <is>
          <t>SCA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34019-2025</t>
        </is>
      </c>
      <c r="B1367" s="1" t="n">
        <v>45845.34416666667</v>
      </c>
      <c r="C1367" s="1" t="n">
        <v>45998</v>
      </c>
      <c r="D1367" t="inlineStr">
        <is>
          <t>VÄSTERNORRLANDS LÄN</t>
        </is>
      </c>
      <c r="E1367" t="inlineStr">
        <is>
          <t>ÅNGE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34031-2025</t>
        </is>
      </c>
      <c r="B1368" s="1" t="n">
        <v>45845.36508101852</v>
      </c>
      <c r="C1368" s="1" t="n">
        <v>45998</v>
      </c>
      <c r="D1368" t="inlineStr">
        <is>
          <t>VÄSTERNORRLANDS LÄN</t>
        </is>
      </c>
      <c r="E1368" t="inlineStr">
        <is>
          <t>ÅNGE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34785-2025</t>
        </is>
      </c>
      <c r="B1369" s="1" t="n">
        <v>45848.67771990741</v>
      </c>
      <c r="C1369" s="1" t="n">
        <v>45998</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46681-2023</t>
        </is>
      </c>
      <c r="B1370" s="1" t="n">
        <v>45198</v>
      </c>
      <c r="C1370" s="1" t="n">
        <v>45998</v>
      </c>
      <c r="D1370" t="inlineStr">
        <is>
          <t>VÄSTERNORRLANDS LÄN</t>
        </is>
      </c>
      <c r="E1370" t="inlineStr">
        <is>
          <t>ÅNGE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41586-2024</t>
        </is>
      </c>
      <c r="B1371" s="1" t="n">
        <v>45560.56089120371</v>
      </c>
      <c r="C1371" s="1" t="n">
        <v>45998</v>
      </c>
      <c r="D1371" t="inlineStr">
        <is>
          <t>VÄSTERNORRLANDS LÄN</t>
        </is>
      </c>
      <c r="E1371" t="inlineStr">
        <is>
          <t>ÅNGE</t>
        </is>
      </c>
      <c r="F1371" t="inlineStr">
        <is>
          <t>Holmen skog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34591-2025</t>
        </is>
      </c>
      <c r="B1372" s="1" t="n">
        <v>45847.62920138889</v>
      </c>
      <c r="C1372" s="1" t="n">
        <v>45998</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34593-2025</t>
        </is>
      </c>
      <c r="B1373" s="1" t="n">
        <v>45847.6316087963</v>
      </c>
      <c r="C1373" s="1" t="n">
        <v>45998</v>
      </c>
      <c r="D1373" t="inlineStr">
        <is>
          <t>VÄSTERNORRLANDS LÄN</t>
        </is>
      </c>
      <c r="E1373" t="inlineStr">
        <is>
          <t>ÅNGE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48946-2024</t>
        </is>
      </c>
      <c r="B1374" s="1" t="n">
        <v>45594.42736111111</v>
      </c>
      <c r="C1374" s="1" t="n">
        <v>45998</v>
      </c>
      <c r="D1374" t="inlineStr">
        <is>
          <t>VÄSTERNORRLANDS LÄN</t>
        </is>
      </c>
      <c r="E1374" t="inlineStr">
        <is>
          <t>ÅNGE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22988-2024</t>
        </is>
      </c>
      <c r="B1375" s="1" t="n">
        <v>45449.94530092592</v>
      </c>
      <c r="C1375" s="1" t="n">
        <v>45998</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3023-2023</t>
        </is>
      </c>
      <c r="B1376" s="1" t="n">
        <v>44945</v>
      </c>
      <c r="C1376" s="1" t="n">
        <v>45998</v>
      </c>
      <c r="D1376" t="inlineStr">
        <is>
          <t>VÄSTERNORRLANDS LÄN</t>
        </is>
      </c>
      <c r="E1376" t="inlineStr">
        <is>
          <t>ÅNGE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3025-2023</t>
        </is>
      </c>
      <c r="B1377" s="1" t="n">
        <v>44945</v>
      </c>
      <c r="C1377" s="1" t="n">
        <v>45998</v>
      </c>
      <c r="D1377" t="inlineStr">
        <is>
          <t>VÄSTERNORRLANDS LÄN</t>
        </is>
      </c>
      <c r="E1377" t="inlineStr">
        <is>
          <t>ÅNGE</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38002-2024</t>
        </is>
      </c>
      <c r="B1378" s="1" t="n">
        <v>45544.61484953704</v>
      </c>
      <c r="C1378" s="1" t="n">
        <v>45998</v>
      </c>
      <c r="D1378" t="inlineStr">
        <is>
          <t>VÄSTERNORRLANDS LÄN</t>
        </is>
      </c>
      <c r="E1378" t="inlineStr">
        <is>
          <t>ÅNGE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31568-2024</t>
        </is>
      </c>
      <c r="B1379" s="1" t="n">
        <v>45505.96721064814</v>
      </c>
      <c r="C1379" s="1" t="n">
        <v>45998</v>
      </c>
      <c r="D1379" t="inlineStr">
        <is>
          <t>VÄSTERNORRLANDS LÄN</t>
        </is>
      </c>
      <c r="E1379" t="inlineStr">
        <is>
          <t>ÅNGE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44565-2024</t>
        </is>
      </c>
      <c r="B1380" s="1" t="n">
        <v>45574.47518518518</v>
      </c>
      <c r="C1380" s="1" t="n">
        <v>45998</v>
      </c>
      <c r="D1380" t="inlineStr">
        <is>
          <t>VÄSTERNORRLANDS LÄN</t>
        </is>
      </c>
      <c r="E1380" t="inlineStr">
        <is>
          <t>ÅNGE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19997-2023</t>
        </is>
      </c>
      <c r="B1381" s="1" t="n">
        <v>45054</v>
      </c>
      <c r="C1381" s="1" t="n">
        <v>45998</v>
      </c>
      <c r="D1381" t="inlineStr">
        <is>
          <t>VÄSTERNORRLANDS LÄN</t>
        </is>
      </c>
      <c r="E1381" t="inlineStr">
        <is>
          <t>ÅNGE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3352-2021</t>
        </is>
      </c>
      <c r="B1382" s="1" t="n">
        <v>44217</v>
      </c>
      <c r="C1382" s="1" t="n">
        <v>45998</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35143-2025</t>
        </is>
      </c>
      <c r="B1383" s="1" t="n">
        <v>45852.65660879629</v>
      </c>
      <c r="C1383" s="1" t="n">
        <v>45998</v>
      </c>
      <c r="D1383" t="inlineStr">
        <is>
          <t>VÄSTERNORRLANDS LÄN</t>
        </is>
      </c>
      <c r="E1383" t="inlineStr">
        <is>
          <t>ÅNGE</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35061-2025</t>
        </is>
      </c>
      <c r="B1384" s="1" t="n">
        <v>45852</v>
      </c>
      <c r="C1384" s="1" t="n">
        <v>45998</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45998</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54346-2023</t>
        </is>
      </c>
      <c r="B1386" s="1" t="n">
        <v>45232.96087962963</v>
      </c>
      <c r="C1386" s="1" t="n">
        <v>45998</v>
      </c>
      <c r="D1386" t="inlineStr">
        <is>
          <t>VÄSTERNORRLANDS LÄN</t>
        </is>
      </c>
      <c r="E1386" t="inlineStr">
        <is>
          <t>ÅNGE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55328-2023</t>
        </is>
      </c>
      <c r="B1387" s="1" t="n">
        <v>45237</v>
      </c>
      <c r="C1387" s="1" t="n">
        <v>45998</v>
      </c>
      <c r="D1387" t="inlineStr">
        <is>
          <t>VÄSTERNORRLANDS LÄN</t>
        </is>
      </c>
      <c r="E1387" t="inlineStr">
        <is>
          <t>ÅNGE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35503-2025</t>
        </is>
      </c>
      <c r="B1388" s="1" t="n">
        <v>45856</v>
      </c>
      <c r="C1388" s="1" t="n">
        <v>45998</v>
      </c>
      <c r="D1388" t="inlineStr">
        <is>
          <t>VÄSTERNORRLANDS LÄN</t>
        </is>
      </c>
      <c r="E1388" t="inlineStr">
        <is>
          <t>ÅNGE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35540-2025</t>
        </is>
      </c>
      <c r="B1389" s="1" t="n">
        <v>45856.46912037037</v>
      </c>
      <c r="C1389" s="1" t="n">
        <v>45998</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35548-2025</t>
        </is>
      </c>
      <c r="B1390" s="1" t="n">
        <v>45856.48995370371</v>
      </c>
      <c r="C1390" s="1" t="n">
        <v>45998</v>
      </c>
      <c r="D1390" t="inlineStr">
        <is>
          <t>VÄSTERNORRLANDS LÄN</t>
        </is>
      </c>
      <c r="E1390" t="inlineStr">
        <is>
          <t>ÅNGE</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35575-2025</t>
        </is>
      </c>
      <c r="B1391" s="1" t="n">
        <v>45856.63591435185</v>
      </c>
      <c r="C1391" s="1" t="n">
        <v>45998</v>
      </c>
      <c r="D1391" t="inlineStr">
        <is>
          <t>VÄSTERNORRLANDS LÄN</t>
        </is>
      </c>
      <c r="E1391" t="inlineStr">
        <is>
          <t>ÅNGE</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35497-2025</t>
        </is>
      </c>
      <c r="B1392" s="1" t="n">
        <v>45856.29752314815</v>
      </c>
      <c r="C1392" s="1" t="n">
        <v>45998</v>
      </c>
      <c r="D1392" t="inlineStr">
        <is>
          <t>VÄSTERNORRLANDS LÄN</t>
        </is>
      </c>
      <c r="E1392" t="inlineStr">
        <is>
          <t>ÅNGE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35432-2025</t>
        </is>
      </c>
      <c r="B1393" s="1" t="n">
        <v>45855.44831018519</v>
      </c>
      <c r="C1393" s="1" t="n">
        <v>45998</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11531-2023</t>
        </is>
      </c>
      <c r="B1394" s="1" t="n">
        <v>44993.77038194444</v>
      </c>
      <c r="C1394" s="1" t="n">
        <v>45998</v>
      </c>
      <c r="D1394" t="inlineStr">
        <is>
          <t>VÄSTERNORRLANDS LÄN</t>
        </is>
      </c>
      <c r="E1394" t="inlineStr">
        <is>
          <t>ÅNGE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11532-2023</t>
        </is>
      </c>
      <c r="B1395" s="1" t="n">
        <v>44993.77212962963</v>
      </c>
      <c r="C1395" s="1" t="n">
        <v>45998</v>
      </c>
      <c r="D1395" t="inlineStr">
        <is>
          <t>VÄSTERNORRLANDS LÄN</t>
        </is>
      </c>
      <c r="E1395" t="inlineStr">
        <is>
          <t>ÅNGE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41355-2024</t>
        </is>
      </c>
      <c r="B1396" s="1" t="n">
        <v>45559.69833333333</v>
      </c>
      <c r="C1396" s="1" t="n">
        <v>45998</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45631-2021</t>
        </is>
      </c>
      <c r="B1397" s="1" t="n">
        <v>44440.98045138889</v>
      </c>
      <c r="C1397" s="1" t="n">
        <v>45998</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57592-2022</t>
        </is>
      </c>
      <c r="B1398" s="1" t="n">
        <v>44896.97841435186</v>
      </c>
      <c r="C1398" s="1" t="n">
        <v>45998</v>
      </c>
      <c r="D1398" t="inlineStr">
        <is>
          <t>VÄSTERNORRLANDS LÄN</t>
        </is>
      </c>
      <c r="E1398" t="inlineStr">
        <is>
          <t>ÅNGE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57602-2022</t>
        </is>
      </c>
      <c r="B1399" s="1" t="n">
        <v>44896</v>
      </c>
      <c r="C1399" s="1" t="n">
        <v>45998</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20231-2022</t>
        </is>
      </c>
      <c r="B1400" s="1" t="n">
        <v>44698</v>
      </c>
      <c r="C1400" s="1" t="n">
        <v>45998</v>
      </c>
      <c r="D1400" t="inlineStr">
        <is>
          <t>VÄSTERNORRLANDS LÄN</t>
        </is>
      </c>
      <c r="E1400" t="inlineStr">
        <is>
          <t>ÅNGE</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39985-2023</t>
        </is>
      </c>
      <c r="B1401" s="1" t="n">
        <v>45168</v>
      </c>
      <c r="C1401" s="1" t="n">
        <v>45998</v>
      </c>
      <c r="D1401" t="inlineStr">
        <is>
          <t>VÄSTERNORRLANDS LÄN</t>
        </is>
      </c>
      <c r="E1401" t="inlineStr">
        <is>
          <t>ÅNGE</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58748-2023</t>
        </is>
      </c>
      <c r="B1402" s="1" t="n">
        <v>45251.92936342592</v>
      </c>
      <c r="C1402" s="1" t="n">
        <v>45998</v>
      </c>
      <c r="D1402" t="inlineStr">
        <is>
          <t>VÄSTERNORRLANDS LÄN</t>
        </is>
      </c>
      <c r="E1402" t="inlineStr">
        <is>
          <t>ÅNGE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43552-2023</t>
        </is>
      </c>
      <c r="B1403" s="1" t="n">
        <v>45181</v>
      </c>
      <c r="C1403" s="1" t="n">
        <v>45998</v>
      </c>
      <c r="D1403" t="inlineStr">
        <is>
          <t>VÄSTERNORRLANDS LÄN</t>
        </is>
      </c>
      <c r="E1403" t="inlineStr">
        <is>
          <t>ÅNGE</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46775-2024</t>
        </is>
      </c>
      <c r="B1404" s="1" t="n">
        <v>45583.49711805556</v>
      </c>
      <c r="C1404" s="1" t="n">
        <v>45998</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46780-2024</t>
        </is>
      </c>
      <c r="B1405" s="1" t="n">
        <v>45583.51076388889</v>
      </c>
      <c r="C1405" s="1" t="n">
        <v>45998</v>
      </c>
      <c r="D1405" t="inlineStr">
        <is>
          <t>VÄSTERNORRLANDS LÄN</t>
        </is>
      </c>
      <c r="E1405" t="inlineStr">
        <is>
          <t>ÅNGE</t>
        </is>
      </c>
      <c r="F1405" t="inlineStr">
        <is>
          <t>SCA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18880-2024</t>
        </is>
      </c>
      <c r="B1406" s="1" t="n">
        <v>45426</v>
      </c>
      <c r="C1406" s="1" t="n">
        <v>45998</v>
      </c>
      <c r="D1406" t="inlineStr">
        <is>
          <t>VÄSTERNORRLANDS LÄN</t>
        </is>
      </c>
      <c r="E1406" t="inlineStr">
        <is>
          <t>ÅNGE</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55558-2024</t>
        </is>
      </c>
      <c r="B1407" s="1" t="n">
        <v>45622.52586805556</v>
      </c>
      <c r="C1407" s="1" t="n">
        <v>45998</v>
      </c>
      <c r="D1407" t="inlineStr">
        <is>
          <t>VÄSTERNORRLANDS LÄN</t>
        </is>
      </c>
      <c r="E1407" t="inlineStr">
        <is>
          <t>ÅNGE</t>
        </is>
      </c>
      <c r="F1407" t="inlineStr">
        <is>
          <t>Holmen skog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20229-2022</t>
        </is>
      </c>
      <c r="B1408" s="1" t="n">
        <v>44698.61150462963</v>
      </c>
      <c r="C1408" s="1" t="n">
        <v>45998</v>
      </c>
      <c r="D1408" t="inlineStr">
        <is>
          <t>VÄSTERNORRLANDS LÄN</t>
        </is>
      </c>
      <c r="E1408" t="inlineStr">
        <is>
          <t>ÅNGE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58639-2023</t>
        </is>
      </c>
      <c r="B1409" s="1" t="n">
        <v>45251</v>
      </c>
      <c r="C1409" s="1" t="n">
        <v>45998</v>
      </c>
      <c r="D1409" t="inlineStr">
        <is>
          <t>VÄSTERNORRLANDS LÄN</t>
        </is>
      </c>
      <c r="E1409" t="inlineStr">
        <is>
          <t>ÅNGE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35498-2022</t>
        </is>
      </c>
      <c r="B1410" s="1" t="n">
        <v>44798.94810185185</v>
      </c>
      <c r="C1410" s="1" t="n">
        <v>45998</v>
      </c>
      <c r="D1410" t="inlineStr">
        <is>
          <t>VÄSTERNORRLANDS LÄN</t>
        </is>
      </c>
      <c r="E1410" t="inlineStr">
        <is>
          <t>ÅNGE</t>
        </is>
      </c>
      <c r="F1410" t="inlineStr">
        <is>
          <t>SCA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3347-2024</t>
        </is>
      </c>
      <c r="B1411" s="1" t="n">
        <v>45317</v>
      </c>
      <c r="C1411" s="1" t="n">
        <v>45998</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9382-2025</t>
        </is>
      </c>
      <c r="B1412" s="1" t="n">
        <v>45715.34425925926</v>
      </c>
      <c r="C1412" s="1" t="n">
        <v>45998</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1711-2025</t>
        </is>
      </c>
      <c r="B1413" s="1" t="n">
        <v>45671.31184027778</v>
      </c>
      <c r="C1413" s="1" t="n">
        <v>45998</v>
      </c>
      <c r="D1413" t="inlineStr">
        <is>
          <t>VÄSTERNORRLANDS LÄN</t>
        </is>
      </c>
      <c r="E1413" t="inlineStr">
        <is>
          <t>ÅNGE</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42043-2024</t>
        </is>
      </c>
      <c r="B1414" s="1" t="n">
        <v>45561</v>
      </c>
      <c r="C1414" s="1" t="n">
        <v>45998</v>
      </c>
      <c r="D1414" t="inlineStr">
        <is>
          <t>VÄSTERNORRLANDS LÄN</t>
        </is>
      </c>
      <c r="E1414" t="inlineStr">
        <is>
          <t>ÅNGE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42046-2024</t>
        </is>
      </c>
      <c r="B1415" s="1" t="n">
        <v>45561.83422453704</v>
      </c>
      <c r="C1415" s="1" t="n">
        <v>45998</v>
      </c>
      <c r="D1415" t="inlineStr">
        <is>
          <t>VÄSTERNORRLANDS LÄN</t>
        </is>
      </c>
      <c r="E1415" t="inlineStr">
        <is>
          <t>ÅNGE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55751-2024</t>
        </is>
      </c>
      <c r="B1416" s="1" t="n">
        <v>45623.34409722222</v>
      </c>
      <c r="C1416" s="1" t="n">
        <v>45998</v>
      </c>
      <c r="D1416" t="inlineStr">
        <is>
          <t>VÄSTERNORRLANDS LÄN</t>
        </is>
      </c>
      <c r="E1416" t="inlineStr">
        <is>
          <t>ÅNGE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56232-2024</t>
        </is>
      </c>
      <c r="B1417" s="1" t="n">
        <v>45624</v>
      </c>
      <c r="C1417" s="1" t="n">
        <v>45998</v>
      </c>
      <c r="D1417" t="inlineStr">
        <is>
          <t>VÄSTERNORRLANDS LÄN</t>
        </is>
      </c>
      <c r="E1417" t="inlineStr">
        <is>
          <t>ÅNGE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44635-2024</t>
        </is>
      </c>
      <c r="B1418" s="1" t="n">
        <v>45574.51488425926</v>
      </c>
      <c r="C1418" s="1" t="n">
        <v>45998</v>
      </c>
      <c r="D1418" t="inlineStr">
        <is>
          <t>VÄSTERNORRLANDS LÄN</t>
        </is>
      </c>
      <c r="E1418" t="inlineStr">
        <is>
          <t>ÅNGE</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16191-2023</t>
        </is>
      </c>
      <c r="B1419" s="1" t="n">
        <v>45027.94111111111</v>
      </c>
      <c r="C1419" s="1" t="n">
        <v>45998</v>
      </c>
      <c r="D1419" t="inlineStr">
        <is>
          <t>VÄSTERNORRLANDS LÄN</t>
        </is>
      </c>
      <c r="E1419" t="inlineStr">
        <is>
          <t>ÅNGE</t>
        </is>
      </c>
      <c r="F1419" t="inlineStr">
        <is>
          <t>SCA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17670-2023</t>
        </is>
      </c>
      <c r="B1420" s="1" t="n">
        <v>45036</v>
      </c>
      <c r="C1420" s="1" t="n">
        <v>45998</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59412-2024</t>
        </is>
      </c>
      <c r="B1421" s="1" t="n">
        <v>45638</v>
      </c>
      <c r="C1421" s="1" t="n">
        <v>45998</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44518-2024</t>
        </is>
      </c>
      <c r="B1422" s="1" t="n">
        <v>45574.43376157407</v>
      </c>
      <c r="C1422" s="1" t="n">
        <v>45998</v>
      </c>
      <c r="D1422" t="inlineStr">
        <is>
          <t>VÄSTERNORRLANDS LÄN</t>
        </is>
      </c>
      <c r="E1422" t="inlineStr">
        <is>
          <t>ÅNGE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51124-2024</t>
        </is>
      </c>
      <c r="B1423" s="1" t="n">
        <v>45603.50716435185</v>
      </c>
      <c r="C1423" s="1" t="n">
        <v>45998</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50674-2024</t>
        </is>
      </c>
      <c r="B1424" s="1" t="n">
        <v>45601.85402777778</v>
      </c>
      <c r="C1424" s="1" t="n">
        <v>45998</v>
      </c>
      <c r="D1424" t="inlineStr">
        <is>
          <t>VÄSTERNORRLANDS LÄN</t>
        </is>
      </c>
      <c r="E1424" t="inlineStr">
        <is>
          <t>ÅNGE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54720-2024</t>
        </is>
      </c>
      <c r="B1425" s="1" t="n">
        <v>45618.43715277778</v>
      </c>
      <c r="C1425" s="1" t="n">
        <v>45998</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53336-2024</t>
        </is>
      </c>
      <c r="B1426" s="1" t="n">
        <v>45614.42753472222</v>
      </c>
      <c r="C1426" s="1" t="n">
        <v>45998</v>
      </c>
      <c r="D1426" t="inlineStr">
        <is>
          <t>VÄSTERNORRLANDS LÄN</t>
        </is>
      </c>
      <c r="E1426" t="inlineStr">
        <is>
          <t>ÅNGE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57598-2022</t>
        </is>
      </c>
      <c r="B1427" s="1" t="n">
        <v>44896</v>
      </c>
      <c r="C1427" s="1" t="n">
        <v>45998</v>
      </c>
      <c r="D1427" t="inlineStr">
        <is>
          <t>VÄSTERNORRLANDS LÄN</t>
        </is>
      </c>
      <c r="E1427" t="inlineStr">
        <is>
          <t>ÅNGE</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1975-2025</t>
        </is>
      </c>
      <c r="B1428" s="1" t="n">
        <v>45672.39332175926</v>
      </c>
      <c r="C1428" s="1" t="n">
        <v>45998</v>
      </c>
      <c r="D1428" t="inlineStr">
        <is>
          <t>VÄSTERNORRLANDS LÄN</t>
        </is>
      </c>
      <c r="E1428" t="inlineStr">
        <is>
          <t>ÅNGE</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33429-2023</t>
        </is>
      </c>
      <c r="B1429" s="1" t="n">
        <v>45128.94983796297</v>
      </c>
      <c r="C1429" s="1" t="n">
        <v>45998</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20576-2021</t>
        </is>
      </c>
      <c r="B1430" s="1" t="n">
        <v>44316.3290162037</v>
      </c>
      <c r="C1430" s="1" t="n">
        <v>45998</v>
      </c>
      <c r="D1430" t="inlineStr">
        <is>
          <t>VÄSTERNORRLANDS LÄN</t>
        </is>
      </c>
      <c r="E1430" t="inlineStr">
        <is>
          <t>ÅNGE</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1235-2023</t>
        </is>
      </c>
      <c r="B1431" s="1" t="n">
        <v>44935</v>
      </c>
      <c r="C1431" s="1" t="n">
        <v>45998</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13501-2021</t>
        </is>
      </c>
      <c r="B1432" s="1" t="n">
        <v>44273</v>
      </c>
      <c r="C1432" s="1" t="n">
        <v>45998</v>
      </c>
      <c r="D1432" t="inlineStr">
        <is>
          <t>VÄSTERNORRLANDS LÄN</t>
        </is>
      </c>
      <c r="E1432" t="inlineStr">
        <is>
          <t>ÅNGE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33302-2024</t>
        </is>
      </c>
      <c r="B1433" s="1" t="n">
        <v>45518.96967592592</v>
      </c>
      <c r="C1433" s="1" t="n">
        <v>45998</v>
      </c>
      <c r="D1433" t="inlineStr">
        <is>
          <t>VÄSTERNORRLANDS LÄN</t>
        </is>
      </c>
      <c r="E1433" t="inlineStr">
        <is>
          <t>ÅNGE</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7528-2023</t>
        </is>
      </c>
      <c r="B1434" s="1" t="n">
        <v>44971.97662037037</v>
      </c>
      <c r="C1434" s="1" t="n">
        <v>45998</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34851-2023</t>
        </is>
      </c>
      <c r="B1435" s="1" t="n">
        <v>45141</v>
      </c>
      <c r="C1435" s="1" t="n">
        <v>45998</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26018-2024</t>
        </is>
      </c>
      <c r="B1436" s="1" t="n">
        <v>45467.95998842592</v>
      </c>
      <c r="C1436" s="1" t="n">
        <v>45998</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26021-2024</t>
        </is>
      </c>
      <c r="B1437" s="1" t="n">
        <v>45467</v>
      </c>
      <c r="C1437" s="1" t="n">
        <v>45998</v>
      </c>
      <c r="D1437" t="inlineStr">
        <is>
          <t>VÄSTERNORRLANDS LÄN</t>
        </is>
      </c>
      <c r="E1437" t="inlineStr">
        <is>
          <t>ÅNGE</t>
        </is>
      </c>
      <c r="F1437" t="inlineStr">
        <is>
          <t>SCA</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45932-2023</t>
        </is>
      </c>
      <c r="B1438" s="1" t="n">
        <v>45195</v>
      </c>
      <c r="C1438" s="1" t="n">
        <v>45998</v>
      </c>
      <c r="D1438" t="inlineStr">
        <is>
          <t>VÄSTERNORRLANDS LÄN</t>
        </is>
      </c>
      <c r="E1438" t="inlineStr">
        <is>
          <t>ÅNGE</t>
        </is>
      </c>
      <c r="F1438" t="inlineStr">
        <is>
          <t>SCA</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6-2025</t>
        </is>
      </c>
      <c r="B1439" s="1" t="n">
        <v>45658.50759259259</v>
      </c>
      <c r="C1439" s="1" t="n">
        <v>45998</v>
      </c>
      <c r="D1439" t="inlineStr">
        <is>
          <t>VÄSTERNORRLANDS LÄN</t>
        </is>
      </c>
      <c r="E1439" t="inlineStr">
        <is>
          <t>ÅNGE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39764-2024</t>
        </is>
      </c>
      <c r="B1440" s="1" t="n">
        <v>45552.7190162037</v>
      </c>
      <c r="C1440" s="1" t="n">
        <v>45998</v>
      </c>
      <c r="D1440" t="inlineStr">
        <is>
          <t>VÄSTERNORRLANDS LÄN</t>
        </is>
      </c>
      <c r="E1440" t="inlineStr">
        <is>
          <t>ÅNGE</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53988-2024</t>
        </is>
      </c>
      <c r="B1441" s="1" t="n">
        <v>45616.34408564815</v>
      </c>
      <c r="C1441" s="1" t="n">
        <v>45998</v>
      </c>
      <c r="D1441" t="inlineStr">
        <is>
          <t>VÄSTERNORRLANDS LÄN</t>
        </is>
      </c>
      <c r="E1441" t="inlineStr">
        <is>
          <t>ÅNGE</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54002-2024</t>
        </is>
      </c>
      <c r="B1442" s="1" t="n">
        <v>45616.36491898148</v>
      </c>
      <c r="C1442" s="1" t="n">
        <v>45998</v>
      </c>
      <c r="D1442" t="inlineStr">
        <is>
          <t>VÄSTERNORRLANDS LÄN</t>
        </is>
      </c>
      <c r="E1442" t="inlineStr">
        <is>
          <t>ÅNGE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48697-2024</t>
        </is>
      </c>
      <c r="B1443" s="1" t="n">
        <v>45593.51136574074</v>
      </c>
      <c r="C1443" s="1" t="n">
        <v>45998</v>
      </c>
      <c r="D1443" t="inlineStr">
        <is>
          <t>VÄSTERNORRLANDS LÄN</t>
        </is>
      </c>
      <c r="E1443" t="inlineStr">
        <is>
          <t>ÅNGE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11764-2024</t>
        </is>
      </c>
      <c r="B1444" s="1" t="n">
        <v>45373.94837962963</v>
      </c>
      <c r="C1444" s="1" t="n">
        <v>45998</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54059-2024</t>
        </is>
      </c>
      <c r="B1445" s="1" t="n">
        <v>45616.46943287037</v>
      </c>
      <c r="C1445" s="1" t="n">
        <v>45998</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44158-2024</t>
        </is>
      </c>
      <c r="B1446" s="1" t="n">
        <v>45572</v>
      </c>
      <c r="C1446" s="1" t="n">
        <v>45998</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2299-2025</t>
        </is>
      </c>
      <c r="B1447" s="1" t="n">
        <v>45673.59516203704</v>
      </c>
      <c r="C1447" s="1" t="n">
        <v>45998</v>
      </c>
      <c r="D1447" t="inlineStr">
        <is>
          <t>VÄSTERNORRLANDS LÄN</t>
        </is>
      </c>
      <c r="E1447" t="inlineStr">
        <is>
          <t>ÅNGE</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45998</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17009-2023</t>
        </is>
      </c>
      <c r="B1449" s="1" t="n">
        <v>45033.9455787037</v>
      </c>
      <c r="C1449" s="1" t="n">
        <v>45998</v>
      </c>
      <c r="D1449" t="inlineStr">
        <is>
          <t>VÄSTERNORRLANDS LÄN</t>
        </is>
      </c>
      <c r="E1449" t="inlineStr">
        <is>
          <t>ÅNGE</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60578-2024</t>
        </is>
      </c>
      <c r="B1450" s="1" t="n">
        <v>45644.34434027778</v>
      </c>
      <c r="C1450" s="1" t="n">
        <v>45998</v>
      </c>
      <c r="D1450" t="inlineStr">
        <is>
          <t>VÄSTERNORRLANDS LÄN</t>
        </is>
      </c>
      <c r="E1450" t="inlineStr">
        <is>
          <t>ÅNGE</t>
        </is>
      </c>
      <c r="F1450" t="inlineStr">
        <is>
          <t>SCA</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24977-2021</t>
        </is>
      </c>
      <c r="B1451" s="1" t="n">
        <v>44341.51386574074</v>
      </c>
      <c r="C1451" s="1" t="n">
        <v>45998</v>
      </c>
      <c r="D1451" t="inlineStr">
        <is>
          <t>VÄSTERNORRLANDS LÄN</t>
        </is>
      </c>
      <c r="E1451" t="inlineStr">
        <is>
          <t>ÅNGE</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25034-2023</t>
        </is>
      </c>
      <c r="B1452" s="1" t="n">
        <v>45085</v>
      </c>
      <c r="C1452" s="1" t="n">
        <v>45998</v>
      </c>
      <c r="D1452" t="inlineStr">
        <is>
          <t>VÄSTERNORRLANDS LÄN</t>
        </is>
      </c>
      <c r="E1452" t="inlineStr">
        <is>
          <t>ÅNGE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22597-2021</t>
        </is>
      </c>
      <c r="B1453" s="1" t="n">
        <v>44326</v>
      </c>
      <c r="C1453" s="1" t="n">
        <v>45998</v>
      </c>
      <c r="D1453" t="inlineStr">
        <is>
          <t>VÄSTERNORRLANDS LÄN</t>
        </is>
      </c>
      <c r="E1453" t="inlineStr">
        <is>
          <t>ÅNGE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10282-2025</t>
        </is>
      </c>
      <c r="B1454" s="1" t="n">
        <v>45720.40659722222</v>
      </c>
      <c r="C1454" s="1" t="n">
        <v>45998</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137-2025</t>
        </is>
      </c>
      <c r="B1455" s="1" t="n">
        <v>45659.57684027778</v>
      </c>
      <c r="C1455" s="1" t="n">
        <v>45998</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10071-2023</t>
        </is>
      </c>
      <c r="B1456" s="1" t="n">
        <v>44985.92418981482</v>
      </c>
      <c r="C1456" s="1" t="n">
        <v>45998</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16362-2023</t>
        </is>
      </c>
      <c r="B1457" s="1" t="n">
        <v>45028.9250462963</v>
      </c>
      <c r="C1457" s="1" t="n">
        <v>45998</v>
      </c>
      <c r="D1457" t="inlineStr">
        <is>
          <t>VÄSTERNORRLANDS LÄN</t>
        </is>
      </c>
      <c r="E1457" t="inlineStr">
        <is>
          <t>ÅNGE</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28779-2023</t>
        </is>
      </c>
      <c r="B1458" s="1" t="n">
        <v>45104.34314814815</v>
      </c>
      <c r="C1458" s="1" t="n">
        <v>45998</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63607-2021</t>
        </is>
      </c>
      <c r="B1459" s="1" t="n">
        <v>44508.94650462963</v>
      </c>
      <c r="C1459" s="1" t="n">
        <v>45998</v>
      </c>
      <c r="D1459" t="inlineStr">
        <is>
          <t>VÄSTERNORRLANDS LÄN</t>
        </is>
      </c>
      <c r="E1459" t="inlineStr">
        <is>
          <t>ÅNGE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30235-2024</t>
        </is>
      </c>
      <c r="B1460" s="1" t="n">
        <v>45490.49040509259</v>
      </c>
      <c r="C1460" s="1" t="n">
        <v>45998</v>
      </c>
      <c r="D1460" t="inlineStr">
        <is>
          <t>VÄSTERNORRLANDS LÄN</t>
        </is>
      </c>
      <c r="E1460" t="inlineStr">
        <is>
          <t>ÅNGE</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45174.85951388889</v>
      </c>
      <c r="C1461" s="1" t="n">
        <v>45998</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14927-2025</t>
        </is>
      </c>
      <c r="B1462" s="1" t="n">
        <v>45743</v>
      </c>
      <c r="C1462" s="1" t="n">
        <v>45998</v>
      </c>
      <c r="D1462" t="inlineStr">
        <is>
          <t>VÄSTERNORRLANDS LÄN</t>
        </is>
      </c>
      <c r="E1462" t="inlineStr">
        <is>
          <t>ÅNGE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38284-2022</t>
        </is>
      </c>
      <c r="B1463" s="1" t="n">
        <v>44812.55149305556</v>
      </c>
      <c r="C1463" s="1" t="n">
        <v>45998</v>
      </c>
      <c r="D1463" t="inlineStr">
        <is>
          <t>VÄSTERNORRLANDS LÄN</t>
        </is>
      </c>
      <c r="E1463" t="inlineStr">
        <is>
          <t>ÅNGE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30353-2024</t>
        </is>
      </c>
      <c r="B1464" s="1" t="n">
        <v>45490.95567129629</v>
      </c>
      <c r="C1464" s="1" t="n">
        <v>45998</v>
      </c>
      <c r="D1464" t="inlineStr">
        <is>
          <t>VÄSTERNORRLANDS LÄN</t>
        </is>
      </c>
      <c r="E1464" t="inlineStr">
        <is>
          <t>ÅNGE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16606-2023</t>
        </is>
      </c>
      <c r="B1465" s="1" t="n">
        <v>45030.3990625</v>
      </c>
      <c r="C1465" s="1" t="n">
        <v>45998</v>
      </c>
      <c r="D1465" t="inlineStr">
        <is>
          <t>VÄSTERNORRLANDS LÄN</t>
        </is>
      </c>
      <c r="E1465" t="inlineStr">
        <is>
          <t>ÅNGE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25047-2023</t>
        </is>
      </c>
      <c r="B1466" s="1" t="n">
        <v>45085.94569444445</v>
      </c>
      <c r="C1466" s="1" t="n">
        <v>45998</v>
      </c>
      <c r="D1466" t="inlineStr">
        <is>
          <t>VÄSTERNORRLANDS LÄN</t>
        </is>
      </c>
      <c r="E1466" t="inlineStr">
        <is>
          <t>ÅNGE</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15791-2025</t>
        </is>
      </c>
      <c r="B1467" s="1" t="n">
        <v>45748.631875</v>
      </c>
      <c r="C1467" s="1" t="n">
        <v>45998</v>
      </c>
      <c r="D1467" t="inlineStr">
        <is>
          <t>VÄSTERNORRLANDS LÄN</t>
        </is>
      </c>
      <c r="E1467" t="inlineStr">
        <is>
          <t>ÅNGE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55007-2022</t>
        </is>
      </c>
      <c r="B1468" s="1" t="n">
        <v>44881</v>
      </c>
      <c r="C1468" s="1" t="n">
        <v>45998</v>
      </c>
      <c r="D1468" t="inlineStr">
        <is>
          <t>VÄSTERNORRLANDS LÄN</t>
        </is>
      </c>
      <c r="E1468" t="inlineStr">
        <is>
          <t>ÅNGE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16281-2023</t>
        </is>
      </c>
      <c r="B1469" s="1" t="n">
        <v>45028</v>
      </c>
      <c r="C1469" s="1" t="n">
        <v>45998</v>
      </c>
      <c r="D1469" t="inlineStr">
        <is>
          <t>VÄSTERNORRLANDS LÄN</t>
        </is>
      </c>
      <c r="E1469" t="inlineStr">
        <is>
          <t>ÅNGE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45459-2022</t>
        </is>
      </c>
      <c r="B1470" s="1" t="n">
        <v>44845</v>
      </c>
      <c r="C1470" s="1" t="n">
        <v>45998</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2984-2025</t>
        </is>
      </c>
      <c r="B1471" s="1" t="n">
        <v>45678.51094907407</v>
      </c>
      <c r="C1471" s="1" t="n">
        <v>45998</v>
      </c>
      <c r="D1471" t="inlineStr">
        <is>
          <t>VÄSTERNORRLANDS LÄN</t>
        </is>
      </c>
      <c r="E1471" t="inlineStr">
        <is>
          <t>ÅNGE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10017-2025</t>
        </is>
      </c>
      <c r="B1472" s="1" t="n">
        <v>45719.46957175926</v>
      </c>
      <c r="C1472" s="1" t="n">
        <v>45998</v>
      </c>
      <c r="D1472" t="inlineStr">
        <is>
          <t>VÄSTERNORRLANDS LÄN</t>
        </is>
      </c>
      <c r="E1472" t="inlineStr">
        <is>
          <t>ÅNGE</t>
        </is>
      </c>
      <c r="F1472" t="inlineStr">
        <is>
          <t>SCA</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29270-2024</t>
        </is>
      </c>
      <c r="B1473" s="1" t="n">
        <v>45482.94979166667</v>
      </c>
      <c r="C1473" s="1" t="n">
        <v>45998</v>
      </c>
      <c r="D1473" t="inlineStr">
        <is>
          <t>VÄSTERNORRLANDS LÄN</t>
        </is>
      </c>
      <c r="E1473" t="inlineStr">
        <is>
          <t>ÅNGE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29696-2024</t>
        </is>
      </c>
      <c r="B1474" s="1" t="n">
        <v>45484.94524305555</v>
      </c>
      <c r="C1474" s="1" t="n">
        <v>45998</v>
      </c>
      <c r="D1474" t="inlineStr">
        <is>
          <t>VÄSTERNORRLANDS LÄN</t>
        </is>
      </c>
      <c r="E1474" t="inlineStr">
        <is>
          <t>ÅNGE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33062-2022</t>
        </is>
      </c>
      <c r="B1475" s="1" t="n">
        <v>44785</v>
      </c>
      <c r="C1475" s="1" t="n">
        <v>45998</v>
      </c>
      <c r="D1475" t="inlineStr">
        <is>
          <t>VÄSTERNORRLANDS LÄN</t>
        </is>
      </c>
      <c r="E1475" t="inlineStr">
        <is>
          <t>ÅNGE</t>
        </is>
      </c>
      <c r="G1475" t="n">
        <v>0.5</v>
      </c>
      <c r="H1475" t="n">
        <v>0</v>
      </c>
      <c r="I1475" t="n">
        <v>0</v>
      </c>
      <c r="J1475" t="n">
        <v>0</v>
      </c>
      <c r="K1475" t="n">
        <v>0</v>
      </c>
      <c r="L1475" t="n">
        <v>0</v>
      </c>
      <c r="M1475" t="n">
        <v>0</v>
      </c>
      <c r="N1475" t="n">
        <v>0</v>
      </c>
      <c r="O1475" t="n">
        <v>0</v>
      </c>
      <c r="P1475" t="n">
        <v>0</v>
      </c>
      <c r="Q1475" t="n">
        <v>0</v>
      </c>
      <c r="R1475" s="2" t="inlineStr"/>
    </row>
    <row r="1476">
      <c r="A1476" t="inlineStr">
        <is>
          <t>A 27002-2023</t>
        </is>
      </c>
      <c r="B1476" s="1" t="n">
        <v>45093</v>
      </c>
      <c r="C1476" s="1" t="n">
        <v>45998</v>
      </c>
      <c r="D1476" t="inlineStr">
        <is>
          <t>VÄSTERNORRLANDS LÄN</t>
        </is>
      </c>
      <c r="E1476" t="inlineStr">
        <is>
          <t>ÅNGE</t>
        </is>
      </c>
      <c r="F1476" t="inlineStr">
        <is>
          <t>SCA</t>
        </is>
      </c>
      <c r="G1476" t="n">
        <v>1.9</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2025-12-07T10:27:05Z</dcterms:created>
  <dcterms:modified xmlns:dcterms="http://purl.org/dc/terms/" xmlns:xsi="http://www.w3.org/2001/XMLSchema-instance" xsi:type="dcterms:W3CDTF">2025-12-07T10:27:06Z</dcterms:modified>
</cp:coreProperties>
</file>