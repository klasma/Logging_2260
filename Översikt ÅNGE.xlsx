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45895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45895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45895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45895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45895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45895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45895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45895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45895</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45895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45895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45895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45895</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45895</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45895</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45895</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45895</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45895</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45895</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6429-2022</t>
        </is>
      </c>
      <c r="B38" s="1" t="n">
        <v>44600</v>
      </c>
      <c r="C38" s="1" t="n">
        <v>45895</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25323-2023</t>
        </is>
      </c>
      <c r="B39" s="1" t="n">
        <v>45086</v>
      </c>
      <c r="C39" s="1" t="n">
        <v>45895</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45895</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45895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45895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24054-2025</t>
        </is>
      </c>
      <c r="B43" s="1" t="n">
        <v>45796.50240740741</v>
      </c>
      <c r="C43" s="1" t="n">
        <v>45895</v>
      </c>
      <c r="D43" t="inlineStr">
        <is>
          <t>VÄSTERNORRLANDS LÄN</t>
        </is>
      </c>
      <c r="E43" t="inlineStr">
        <is>
          <t>ÅNGE</t>
        </is>
      </c>
      <c r="G43" t="n">
        <v>4.7</v>
      </c>
      <c r="H43" t="n">
        <v>6</v>
      </c>
      <c r="I43" t="n">
        <v>3</v>
      </c>
      <c r="J43" t="n">
        <v>3</v>
      </c>
      <c r="K43" t="n">
        <v>1</v>
      </c>
      <c r="L43" t="n">
        <v>0</v>
      </c>
      <c r="M43" t="n">
        <v>0</v>
      </c>
      <c r="N43" t="n">
        <v>0</v>
      </c>
      <c r="O43" t="n">
        <v>4</v>
      </c>
      <c r="P43" t="n">
        <v>1</v>
      </c>
      <c r="Q43" t="n">
        <v>10</v>
      </c>
      <c r="R43" s="2" t="inlineStr">
        <is>
          <t>Knärot
Garnlav
Mörk kolflarnlav
Tretåig hackspett
Dropptaggsvamp
Spindelblomster
Vedticka
Kungsfågel
Tjäder
Revlummer</t>
        </is>
      </c>
      <c r="S43">
        <f>HYPERLINK("https://klasma.github.io/Logging_2260/artfynd/A 24054-2025 artfynd.xlsx", "A 24054-2025")</f>
        <v/>
      </c>
      <c r="T43">
        <f>HYPERLINK("https://klasma.github.io/Logging_2260/kartor/A 24054-2025 karta.png", "A 24054-2025")</f>
        <v/>
      </c>
      <c r="U43">
        <f>HYPERLINK("https://klasma.github.io/Logging_2260/knärot/A 24054-2025 karta knärot.png", "A 24054-2025")</f>
        <v/>
      </c>
      <c r="V43">
        <f>HYPERLINK("https://klasma.github.io/Logging_2260/klagomål/A 24054-2025 FSC-klagomål.docx", "A 24054-2025")</f>
        <v/>
      </c>
      <c r="W43">
        <f>HYPERLINK("https://klasma.github.io/Logging_2260/klagomålsmail/A 24054-2025 FSC-klagomål mail.docx", "A 24054-2025")</f>
        <v/>
      </c>
      <c r="X43">
        <f>HYPERLINK("https://klasma.github.io/Logging_2260/tillsyn/A 24054-2025 tillsynsbegäran.docx", "A 24054-2025")</f>
        <v/>
      </c>
      <c r="Y43">
        <f>HYPERLINK("https://klasma.github.io/Logging_2260/tillsynsmail/A 24054-2025 tillsynsbegäran mail.docx", "A 24054-2025")</f>
        <v/>
      </c>
      <c r="Z43">
        <f>HYPERLINK("https://klasma.github.io/Logging_2260/fåglar/A 24054-2025 prioriterade fågelarter.docx", "A 24054-2025")</f>
        <v/>
      </c>
    </row>
    <row r="44" ht="15" customHeight="1">
      <c r="A44" t="inlineStr">
        <is>
          <t>A 30840-2023</t>
        </is>
      </c>
      <c r="B44" s="1" t="n">
        <v>45112</v>
      </c>
      <c r="C44" s="1" t="n">
        <v>45895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34519-2022</t>
        </is>
      </c>
      <c r="B45" s="1" t="n">
        <v>44792</v>
      </c>
      <c r="C45" s="1" t="n">
        <v>45895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45895</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45895</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45895</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45895</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20694-2022</t>
        </is>
      </c>
      <c r="B50" s="1" t="n">
        <v>44700</v>
      </c>
      <c r="C50" s="1" t="n">
        <v>45895</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33783-2025</t>
        </is>
      </c>
      <c r="B51" s="1" t="n">
        <v>45842.40699074074</v>
      </c>
      <c r="C51" s="1" t="n">
        <v>45895</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44607-2021</t>
        </is>
      </c>
      <c r="B52" s="1" t="n">
        <v>44435</v>
      </c>
      <c r="C52" s="1" t="n">
        <v>45895</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22737-2023</t>
        </is>
      </c>
      <c r="B53" s="1" t="n">
        <v>45071</v>
      </c>
      <c r="C53" s="1" t="n">
        <v>45895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40545-2024</t>
        </is>
      </c>
      <c r="B54" s="1" t="n">
        <v>45555</v>
      </c>
      <c r="C54" s="1" t="n">
        <v>45895</v>
      </c>
      <c r="D54" t="inlineStr">
        <is>
          <t>VÄSTERNORRLANDS LÄN</t>
        </is>
      </c>
      <c r="E54" t="inlineStr">
        <is>
          <t>ÅNGE</t>
        </is>
      </c>
      <c r="F54" t="inlineStr">
        <is>
          <t>SCA</t>
        </is>
      </c>
      <c r="G54" t="n">
        <v>9.1</v>
      </c>
      <c r="H54" t="n">
        <v>3</v>
      </c>
      <c r="I54" t="n">
        <v>1</v>
      </c>
      <c r="J54" t="n">
        <v>6</v>
      </c>
      <c r="K54" t="n">
        <v>1</v>
      </c>
      <c r="L54" t="n">
        <v>0</v>
      </c>
      <c r="M54" t="n">
        <v>0</v>
      </c>
      <c r="N54" t="n">
        <v>0</v>
      </c>
      <c r="O54" t="n">
        <v>7</v>
      </c>
      <c r="P54" t="n">
        <v>1</v>
      </c>
      <c r="Q54" t="n">
        <v>8</v>
      </c>
      <c r="R54" s="2" t="inlineStr">
        <is>
          <t>Knärot
Garnlav
Granticka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57843-2024</t>
        </is>
      </c>
      <c r="B55" s="1" t="n">
        <v>45631</v>
      </c>
      <c r="C55" s="1" t="n">
        <v>45895</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45895</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45895</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45895</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45895</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45895</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45895</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45895</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45895</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45895</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45895</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55147-2024</t>
        </is>
      </c>
      <c r="B69" s="1" t="n">
        <v>45621.49002314815</v>
      </c>
      <c r="C69" s="1" t="n">
        <v>45895</v>
      </c>
      <c r="D69" t="inlineStr">
        <is>
          <t>VÄSTERNORRLANDS LÄN</t>
        </is>
      </c>
      <c r="E69" t="inlineStr">
        <is>
          <t>ÅNGE</t>
        </is>
      </c>
      <c r="F69" t="inlineStr">
        <is>
          <t>SCA</t>
        </is>
      </c>
      <c r="G69" t="n">
        <v>1.3</v>
      </c>
      <c r="H69" t="n">
        <v>0</v>
      </c>
      <c r="I69" t="n">
        <v>1</v>
      </c>
      <c r="J69" t="n">
        <v>4</v>
      </c>
      <c r="K69" t="n">
        <v>1</v>
      </c>
      <c r="L69" t="n">
        <v>0</v>
      </c>
      <c r="M69" t="n">
        <v>0</v>
      </c>
      <c r="N69" t="n">
        <v>0</v>
      </c>
      <c r="O69" t="n">
        <v>5</v>
      </c>
      <c r="P69" t="n">
        <v>1</v>
      </c>
      <c r="Q69" t="n">
        <v>6</v>
      </c>
      <c r="R69" s="2" t="inlineStr">
        <is>
          <t>Fläckporing
Blågrå svartspik
Garnlav
Mörk kolflarnlav
Violettgrå tagellav
Dropptaggsvamp</t>
        </is>
      </c>
      <c r="S69">
        <f>HYPERLINK("https://klasma.github.io/Logging_2260/artfynd/A 55147-2024 artfynd.xlsx", "A 55147-2024")</f>
        <v/>
      </c>
      <c r="T69">
        <f>HYPERLINK("https://klasma.github.io/Logging_2260/kartor/A 55147-2024 karta.png", "A 55147-2024")</f>
        <v/>
      </c>
      <c r="U69">
        <f>HYPERLINK("https://klasma.github.io/Logging_2260/knärot/A 55147-2024 karta knärot.png", "A 55147-2024")</f>
        <v/>
      </c>
      <c r="V69">
        <f>HYPERLINK("https://klasma.github.io/Logging_2260/klagomål/A 55147-2024 FSC-klagomål.docx", "A 55147-2024")</f>
        <v/>
      </c>
      <c r="W69">
        <f>HYPERLINK("https://klasma.github.io/Logging_2260/klagomålsmail/A 55147-2024 FSC-klagomål mail.docx", "A 55147-2024")</f>
        <v/>
      </c>
      <c r="X69">
        <f>HYPERLINK("https://klasma.github.io/Logging_2260/tillsyn/A 55147-2024 tillsynsbegäran.docx", "A 55147-2024")</f>
        <v/>
      </c>
      <c r="Y69">
        <f>HYPERLINK("https://klasma.github.io/Logging_2260/tillsynsmail/A 55147-2024 tillsynsbegäran mail.docx", "A 55147-2024")</f>
        <v/>
      </c>
    </row>
    <row r="70" ht="15" customHeight="1">
      <c r="A70" t="inlineStr">
        <is>
          <t>A 10085-2023</t>
        </is>
      </c>
      <c r="B70" s="1" t="n">
        <v>44985.9447337963</v>
      </c>
      <c r="C70" s="1" t="n">
        <v>45895</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19010-2025</t>
        </is>
      </c>
      <c r="B71" s="1" t="n">
        <v>45764</v>
      </c>
      <c r="C71" s="1" t="n">
        <v>45895</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4130-2023</t>
        </is>
      </c>
      <c r="B72" s="1" t="n">
        <v>44952</v>
      </c>
      <c r="C72" s="1" t="n">
        <v>45895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45895</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3348-2021</t>
        </is>
      </c>
      <c r="B74" s="1" t="n">
        <v>44217</v>
      </c>
      <c r="C74" s="1" t="n">
        <v>45895</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26363-2023</t>
        </is>
      </c>
      <c r="B75" s="1" t="n">
        <v>45091</v>
      </c>
      <c r="C75" s="1" t="n">
        <v>45895</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24073-2025</t>
        </is>
      </c>
      <c r="B76" s="1" t="n">
        <v>45796.54840277778</v>
      </c>
      <c r="C76" s="1" t="n">
        <v>45895</v>
      </c>
      <c r="D76" t="inlineStr">
        <is>
          <t>VÄSTERNORRLANDS LÄN</t>
        </is>
      </c>
      <c r="E76" t="inlineStr">
        <is>
          <t>ÅNGE</t>
        </is>
      </c>
      <c r="G76" t="n">
        <v>3.6</v>
      </c>
      <c r="H76" t="n">
        <v>2</v>
      </c>
      <c r="I76" t="n">
        <v>1</v>
      </c>
      <c r="J76" t="n">
        <v>4</v>
      </c>
      <c r="K76" t="n">
        <v>1</v>
      </c>
      <c r="L76" t="n">
        <v>0</v>
      </c>
      <c r="M76" t="n">
        <v>0</v>
      </c>
      <c r="N76" t="n">
        <v>0</v>
      </c>
      <c r="O76" t="n">
        <v>5</v>
      </c>
      <c r="P76" t="n">
        <v>1</v>
      </c>
      <c r="Q76" t="n">
        <v>6</v>
      </c>
      <c r="R76" s="2" t="inlineStr">
        <is>
          <t>Knärot
Garnlav
Lunglav
Mörk kolflarnlav
Tretåig hackspett
Norrlandslav</t>
        </is>
      </c>
      <c r="S76">
        <f>HYPERLINK("https://klasma.github.io/Logging_2260/artfynd/A 24073-2025 artfynd.xlsx", "A 24073-2025")</f>
        <v/>
      </c>
      <c r="T76">
        <f>HYPERLINK("https://klasma.github.io/Logging_2260/kartor/A 24073-2025 karta.png", "A 24073-2025")</f>
        <v/>
      </c>
      <c r="U76">
        <f>HYPERLINK("https://klasma.github.io/Logging_2260/knärot/A 24073-2025 karta knärot.png", "A 24073-2025")</f>
        <v/>
      </c>
      <c r="V76">
        <f>HYPERLINK("https://klasma.github.io/Logging_2260/klagomål/A 24073-2025 FSC-klagomål.docx", "A 24073-2025")</f>
        <v/>
      </c>
      <c r="W76">
        <f>HYPERLINK("https://klasma.github.io/Logging_2260/klagomålsmail/A 24073-2025 FSC-klagomål mail.docx", "A 24073-2025")</f>
        <v/>
      </c>
      <c r="X76">
        <f>HYPERLINK("https://klasma.github.io/Logging_2260/tillsyn/A 24073-2025 tillsynsbegäran.docx", "A 24073-2025")</f>
        <v/>
      </c>
      <c r="Y76">
        <f>HYPERLINK("https://klasma.github.io/Logging_2260/tillsynsmail/A 24073-2025 tillsynsbegäran mail.docx", "A 24073-2025")</f>
        <v/>
      </c>
      <c r="Z76">
        <f>HYPERLINK("https://klasma.github.io/Logging_2260/fåglar/A 24073-2025 prioriterade fågelarter.docx", "A 24073-2025")</f>
        <v/>
      </c>
    </row>
    <row r="77" ht="15" customHeight="1">
      <c r="A77" t="inlineStr">
        <is>
          <t>A 39570-2025</t>
        </is>
      </c>
      <c r="B77" s="1" t="n">
        <v>45890.49009259259</v>
      </c>
      <c r="C77" s="1" t="n">
        <v>45895</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27955-2021</t>
        </is>
      </c>
      <c r="B78" s="1" t="n">
        <v>44354</v>
      </c>
      <c r="C78" s="1" t="n">
        <v>45895</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45895</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45895</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32911-2024</t>
        </is>
      </c>
      <c r="B81" s="1" t="n">
        <v>45516</v>
      </c>
      <c r="C81" s="1" t="n">
        <v>45895</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45895</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45895</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23601-2025</t>
        </is>
      </c>
      <c r="B84" s="1" t="n">
        <v>45792</v>
      </c>
      <c r="C84" s="1" t="n">
        <v>45895</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62640-2020</t>
        </is>
      </c>
      <c r="B85" s="1" t="n">
        <v>44161</v>
      </c>
      <c r="C85" s="1" t="n">
        <v>45895</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55004-2023</t>
        </is>
      </c>
      <c r="B86" s="1" t="n">
        <v>45236</v>
      </c>
      <c r="C86" s="1" t="n">
        <v>45895</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51065-2024</t>
        </is>
      </c>
      <c r="B87" s="1" t="n">
        <v>45603</v>
      </c>
      <c r="C87" s="1" t="n">
        <v>45895</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38322-2025</t>
        </is>
      </c>
      <c r="B88" s="1" t="n">
        <v>45883.49003472222</v>
      </c>
      <c r="C88" s="1" t="n">
        <v>45895</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45895</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13696-2023</t>
        </is>
      </c>
      <c r="B90" s="1" t="n">
        <v>45006</v>
      </c>
      <c r="C90" s="1" t="n">
        <v>45895</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53169-2020</t>
        </is>
      </c>
      <c r="B91" s="1" t="n">
        <v>44120</v>
      </c>
      <c r="C91" s="1" t="n">
        <v>45895</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46548-2023</t>
        </is>
      </c>
      <c r="B92" s="1" t="n">
        <v>45197</v>
      </c>
      <c r="C92" s="1" t="n">
        <v>45895</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723-2025</t>
        </is>
      </c>
      <c r="B93" s="1" t="n">
        <v>45665.38576388889</v>
      </c>
      <c r="C93" s="1" t="n">
        <v>45895</v>
      </c>
      <c r="D93" t="inlineStr">
        <is>
          <t>VÄSTERNORRLANDS LÄN</t>
        </is>
      </c>
      <c r="E93" t="inlineStr">
        <is>
          <t>ÅNGE</t>
        </is>
      </c>
      <c r="G93" t="n">
        <v>4.1</v>
      </c>
      <c r="H93" t="n">
        <v>2</v>
      </c>
      <c r="I93" t="n">
        <v>1</v>
      </c>
      <c r="J93" t="n">
        <v>1</v>
      </c>
      <c r="K93" t="n">
        <v>0</v>
      </c>
      <c r="L93" t="n">
        <v>0</v>
      </c>
      <c r="M93" t="n">
        <v>0</v>
      </c>
      <c r="N93" t="n">
        <v>0</v>
      </c>
      <c r="O93" t="n">
        <v>1</v>
      </c>
      <c r="P93" t="n">
        <v>0</v>
      </c>
      <c r="Q93" t="n">
        <v>4</v>
      </c>
      <c r="R93" s="2" t="inlineStr">
        <is>
          <t>Lunglav
Stuplav
Fläcknycklar
Revlummer</t>
        </is>
      </c>
      <c r="S93">
        <f>HYPERLINK("https://klasma.github.io/Logging_2260/artfynd/A 723-2025 artfynd.xlsx", "A 723-2025")</f>
        <v/>
      </c>
      <c r="T93">
        <f>HYPERLINK("https://klasma.github.io/Logging_2260/kartor/A 723-2025 karta.png", "A 723-2025")</f>
        <v/>
      </c>
      <c r="V93">
        <f>HYPERLINK("https://klasma.github.io/Logging_2260/klagomål/A 723-2025 FSC-klagomål.docx", "A 723-2025")</f>
        <v/>
      </c>
      <c r="W93">
        <f>HYPERLINK("https://klasma.github.io/Logging_2260/klagomålsmail/A 723-2025 FSC-klagomål mail.docx", "A 723-2025")</f>
        <v/>
      </c>
      <c r="X93">
        <f>HYPERLINK("https://klasma.github.io/Logging_2260/tillsyn/A 723-2025 tillsynsbegäran.docx", "A 723-2025")</f>
        <v/>
      </c>
      <c r="Y93">
        <f>HYPERLINK("https://klasma.github.io/Logging_2260/tillsynsmail/A 723-2025 tillsynsbegäran mail.docx", "A 723-2025")</f>
        <v/>
      </c>
    </row>
    <row r="94" ht="15" customHeight="1">
      <c r="A94" t="inlineStr">
        <is>
          <t>A 44558-2024</t>
        </is>
      </c>
      <c r="B94" s="1" t="n">
        <v>45574.47001157407</v>
      </c>
      <c r="C94" s="1" t="n">
        <v>45895</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38326-2024</t>
        </is>
      </c>
      <c r="B95" s="1" t="n">
        <v>45545.67741898148</v>
      </c>
      <c r="C95" s="1" t="n">
        <v>45895</v>
      </c>
      <c r="D95" t="inlineStr">
        <is>
          <t>VÄSTERNORRLANDS LÄN</t>
        </is>
      </c>
      <c r="E95" t="inlineStr">
        <is>
          <t>ÅNGE</t>
        </is>
      </c>
      <c r="F95" t="inlineStr">
        <is>
          <t>SCA</t>
        </is>
      </c>
      <c r="G95" t="n">
        <v>15</v>
      </c>
      <c r="H95" t="n">
        <v>0</v>
      </c>
      <c r="I95" t="n">
        <v>1</v>
      </c>
      <c r="J95" t="n">
        <v>3</v>
      </c>
      <c r="K95" t="n">
        <v>0</v>
      </c>
      <c r="L95" t="n">
        <v>0</v>
      </c>
      <c r="M95" t="n">
        <v>0</v>
      </c>
      <c r="N95" t="n">
        <v>0</v>
      </c>
      <c r="O95" t="n">
        <v>3</v>
      </c>
      <c r="P95" t="n">
        <v>0</v>
      </c>
      <c r="Q95" t="n">
        <v>4</v>
      </c>
      <c r="R95" s="2" t="inlineStr">
        <is>
          <t>Gammelgransskål
Garnlav
Lunglav
Stuplav</t>
        </is>
      </c>
      <c r="S95">
        <f>HYPERLINK("https://klasma.github.io/Logging_2260/artfynd/A 38326-2024 artfynd.xlsx", "A 38326-2024")</f>
        <v/>
      </c>
      <c r="T95">
        <f>HYPERLINK("https://klasma.github.io/Logging_2260/kartor/A 38326-2024 karta.png", "A 38326-2024")</f>
        <v/>
      </c>
      <c r="V95">
        <f>HYPERLINK("https://klasma.github.io/Logging_2260/klagomål/A 38326-2024 FSC-klagomål.docx", "A 38326-2024")</f>
        <v/>
      </c>
      <c r="W95">
        <f>HYPERLINK("https://klasma.github.io/Logging_2260/klagomålsmail/A 38326-2024 FSC-klagomål mail.docx", "A 38326-2024")</f>
        <v/>
      </c>
      <c r="X95">
        <f>HYPERLINK("https://klasma.github.io/Logging_2260/tillsyn/A 38326-2024 tillsynsbegäran.docx", "A 38326-2024")</f>
        <v/>
      </c>
      <c r="Y95">
        <f>HYPERLINK("https://klasma.github.io/Logging_2260/tillsynsmail/A 38326-2024 tillsynsbegäran mail.docx", "A 38326-2024")</f>
        <v/>
      </c>
    </row>
    <row r="96" ht="15" customHeight="1">
      <c r="A96" t="inlineStr">
        <is>
          <t>A 39176-2024</t>
        </is>
      </c>
      <c r="B96" s="1" t="n">
        <v>45548</v>
      </c>
      <c r="C96" s="1" t="n">
        <v>45895</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11029-2025</t>
        </is>
      </c>
      <c r="B97" s="1" t="n">
        <v>45723</v>
      </c>
      <c r="C97" s="1" t="n">
        <v>45895</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38713-2025</t>
        </is>
      </c>
      <c r="B98" s="1" t="n">
        <v>45886.34479166667</v>
      </c>
      <c r="C98" s="1" t="n">
        <v>45895</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26953-2024</t>
        </is>
      </c>
      <c r="B99" s="1" t="n">
        <v>45470</v>
      </c>
      <c r="C99" s="1" t="n">
        <v>45895</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55179-2024</t>
        </is>
      </c>
      <c r="B100" s="1" t="n">
        <v>45621.53204861111</v>
      </c>
      <c r="C100" s="1" t="n">
        <v>45895</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57299-2022</t>
        </is>
      </c>
      <c r="B101" s="1" t="n">
        <v>44895.95090277777</v>
      </c>
      <c r="C101" s="1" t="n">
        <v>45895</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27956-2021</t>
        </is>
      </c>
      <c r="B102" s="1" t="n">
        <v>44354</v>
      </c>
      <c r="C102" s="1" t="n">
        <v>45895</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45895</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45895</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29665-2024</t>
        </is>
      </c>
      <c r="B105" s="1" t="n">
        <v>45484</v>
      </c>
      <c r="C105" s="1" t="n">
        <v>45895</v>
      </c>
      <c r="D105" t="inlineStr">
        <is>
          <t>VÄSTERNORRLANDS LÄN</t>
        </is>
      </c>
      <c r="E105" t="inlineStr">
        <is>
          <t>ÅNGE</t>
        </is>
      </c>
      <c r="F105" t="inlineStr">
        <is>
          <t>SCA</t>
        </is>
      </c>
      <c r="G105" t="n">
        <v>3.3</v>
      </c>
      <c r="H105" t="n">
        <v>1</v>
      </c>
      <c r="I105" t="n">
        <v>0</v>
      </c>
      <c r="J105" t="n">
        <v>3</v>
      </c>
      <c r="K105" t="n">
        <v>0</v>
      </c>
      <c r="L105" t="n">
        <v>0</v>
      </c>
      <c r="M105" t="n">
        <v>0</v>
      </c>
      <c r="N105" t="n">
        <v>0</v>
      </c>
      <c r="O105" t="n">
        <v>3</v>
      </c>
      <c r="P105" t="n">
        <v>0</v>
      </c>
      <c r="Q105" t="n">
        <v>3</v>
      </c>
      <c r="R105" s="2" t="inlineStr">
        <is>
          <t>Garnlav
Granticka
Utter</t>
        </is>
      </c>
      <c r="S105">
        <f>HYPERLINK("https://klasma.github.io/Logging_2260/artfynd/A 29665-2024 artfynd.xlsx", "A 29665-2024")</f>
        <v/>
      </c>
      <c r="T105">
        <f>HYPERLINK("https://klasma.github.io/Logging_2260/kartor/A 29665-2024 karta.png", "A 29665-2024")</f>
        <v/>
      </c>
      <c r="V105">
        <f>HYPERLINK("https://klasma.github.io/Logging_2260/klagomål/A 29665-2024 FSC-klagomål.docx", "A 29665-2024")</f>
        <v/>
      </c>
      <c r="W105">
        <f>HYPERLINK("https://klasma.github.io/Logging_2260/klagomålsmail/A 29665-2024 FSC-klagomål mail.docx", "A 29665-2024")</f>
        <v/>
      </c>
      <c r="X105">
        <f>HYPERLINK("https://klasma.github.io/Logging_2260/tillsyn/A 29665-2024 tillsynsbegäran.docx", "A 29665-2024")</f>
        <v/>
      </c>
      <c r="Y105">
        <f>HYPERLINK("https://klasma.github.io/Logging_2260/tillsynsmail/A 29665-2024 tillsynsbegäran mail.docx", "A 29665-2024")</f>
        <v/>
      </c>
    </row>
    <row r="106" ht="15" customHeight="1">
      <c r="A106" t="inlineStr">
        <is>
          <t>A 29691-2024</t>
        </is>
      </c>
      <c r="B106" s="1" t="n">
        <v>45484.9446875</v>
      </c>
      <c r="C106" s="1" t="n">
        <v>45895</v>
      </c>
      <c r="D106" t="inlineStr">
        <is>
          <t>VÄSTERNORRLANDS LÄN</t>
        </is>
      </c>
      <c r="E106" t="inlineStr">
        <is>
          <t>ÅNGE</t>
        </is>
      </c>
      <c r="F106" t="inlineStr">
        <is>
          <t>SCA</t>
        </is>
      </c>
      <c r="G106" t="n">
        <v>6.8</v>
      </c>
      <c r="H106" t="n">
        <v>0</v>
      </c>
      <c r="I106" t="n">
        <v>1</v>
      </c>
      <c r="J106" t="n">
        <v>2</v>
      </c>
      <c r="K106" t="n">
        <v>0</v>
      </c>
      <c r="L106" t="n">
        <v>0</v>
      </c>
      <c r="M106" t="n">
        <v>0</v>
      </c>
      <c r="N106" t="n">
        <v>0</v>
      </c>
      <c r="O106" t="n">
        <v>2</v>
      </c>
      <c r="P106" t="n">
        <v>0</v>
      </c>
      <c r="Q106" t="n">
        <v>3</v>
      </c>
      <c r="R106" s="2" t="inlineStr">
        <is>
          <t>Lunglav
Rosenticka
Vedticka</t>
        </is>
      </c>
      <c r="S106">
        <f>HYPERLINK("https://klasma.github.io/Logging_2260/artfynd/A 29691-2024 artfynd.xlsx", "A 29691-2024")</f>
        <v/>
      </c>
      <c r="T106">
        <f>HYPERLINK("https://klasma.github.io/Logging_2260/kartor/A 29691-2024 karta.png", "A 29691-2024")</f>
        <v/>
      </c>
      <c r="V106">
        <f>HYPERLINK("https://klasma.github.io/Logging_2260/klagomål/A 29691-2024 FSC-klagomål.docx", "A 29691-2024")</f>
        <v/>
      </c>
      <c r="W106">
        <f>HYPERLINK("https://klasma.github.io/Logging_2260/klagomålsmail/A 29691-2024 FSC-klagomål mail.docx", "A 29691-2024")</f>
        <v/>
      </c>
      <c r="X106">
        <f>HYPERLINK("https://klasma.github.io/Logging_2260/tillsyn/A 29691-2024 tillsynsbegäran.docx", "A 29691-2024")</f>
        <v/>
      </c>
      <c r="Y106">
        <f>HYPERLINK("https://klasma.github.io/Logging_2260/tillsynsmail/A 29691-2024 tillsynsbegäran mail.docx", "A 29691-2024")</f>
        <v/>
      </c>
    </row>
    <row r="107" ht="15" customHeight="1">
      <c r="A107" t="inlineStr">
        <is>
          <t>A 28274-2023</t>
        </is>
      </c>
      <c r="B107" s="1" t="n">
        <v>45099</v>
      </c>
      <c r="C107" s="1" t="n">
        <v>45895</v>
      </c>
      <c r="D107" t="inlineStr">
        <is>
          <t>VÄSTERNORRLANDS LÄN</t>
        </is>
      </c>
      <c r="E107" t="inlineStr">
        <is>
          <t>ÅNGE</t>
        </is>
      </c>
      <c r="G107" t="n">
        <v>19.2</v>
      </c>
      <c r="H107" t="n">
        <v>1</v>
      </c>
      <c r="I107" t="n">
        <v>1</v>
      </c>
      <c r="J107" t="n">
        <v>1</v>
      </c>
      <c r="K107" t="n">
        <v>1</v>
      </c>
      <c r="L107" t="n">
        <v>0</v>
      </c>
      <c r="M107" t="n">
        <v>0</v>
      </c>
      <c r="N107" t="n">
        <v>0</v>
      </c>
      <c r="O107" t="n">
        <v>2</v>
      </c>
      <c r="P107" t="n">
        <v>1</v>
      </c>
      <c r="Q107" t="n">
        <v>3</v>
      </c>
      <c r="R107" s="2" t="inlineStr">
        <is>
          <t>Knärot
Lunglav
Grönpyrola</t>
        </is>
      </c>
      <c r="S107">
        <f>HYPERLINK("https://klasma.github.io/Logging_2260/artfynd/A 28274-2023 artfynd.xlsx", "A 28274-2023")</f>
        <v/>
      </c>
      <c r="T107">
        <f>HYPERLINK("https://klasma.github.io/Logging_2260/kartor/A 28274-2023 karta.png", "A 28274-2023")</f>
        <v/>
      </c>
      <c r="U107">
        <f>HYPERLINK("https://klasma.github.io/Logging_2260/knärot/A 28274-2023 karta knärot.png", "A 28274-2023")</f>
        <v/>
      </c>
      <c r="V107">
        <f>HYPERLINK("https://klasma.github.io/Logging_2260/klagomål/A 28274-2023 FSC-klagomål.docx", "A 28274-2023")</f>
        <v/>
      </c>
      <c r="W107">
        <f>HYPERLINK("https://klasma.github.io/Logging_2260/klagomålsmail/A 28274-2023 FSC-klagomål mail.docx", "A 28274-2023")</f>
        <v/>
      </c>
      <c r="X107">
        <f>HYPERLINK("https://klasma.github.io/Logging_2260/tillsyn/A 28274-2023 tillsynsbegäran.docx", "A 28274-2023")</f>
        <v/>
      </c>
      <c r="Y107">
        <f>HYPERLINK("https://klasma.github.io/Logging_2260/tillsynsmail/A 28274-2023 tillsynsbegäran mail.docx", "A 28274-2023")</f>
        <v/>
      </c>
    </row>
    <row r="108" ht="15" customHeight="1">
      <c r="A108" t="inlineStr">
        <is>
          <t>A 23754-2025</t>
        </is>
      </c>
      <c r="B108" s="1" t="n">
        <v>45793.45782407407</v>
      </c>
      <c r="C108" s="1" t="n">
        <v>45895</v>
      </c>
      <c r="D108" t="inlineStr">
        <is>
          <t>VÄSTERNORRLANDS LÄN</t>
        </is>
      </c>
      <c r="E108" t="inlineStr">
        <is>
          <t>ÅNGE</t>
        </is>
      </c>
      <c r="F108" t="inlineStr">
        <is>
          <t>Sveaskog</t>
        </is>
      </c>
      <c r="G108" t="n">
        <v>4.3</v>
      </c>
      <c r="H108" t="n">
        <v>3</v>
      </c>
      <c r="I108" t="n">
        <v>0</v>
      </c>
      <c r="J108" t="n">
        <v>1</v>
      </c>
      <c r="K108" t="n">
        <v>0</v>
      </c>
      <c r="L108" t="n">
        <v>0</v>
      </c>
      <c r="M108" t="n">
        <v>0</v>
      </c>
      <c r="N108" t="n">
        <v>0</v>
      </c>
      <c r="O108" t="n">
        <v>1</v>
      </c>
      <c r="P108" t="n">
        <v>0</v>
      </c>
      <c r="Q108" t="n">
        <v>3</v>
      </c>
      <c r="R108" s="2" t="inlineStr">
        <is>
          <t>Spillkråka
Tjäder
Blåsippa</t>
        </is>
      </c>
      <c r="S108">
        <f>HYPERLINK("https://klasma.github.io/Logging_2260/artfynd/A 23754-2025 artfynd.xlsx", "A 23754-2025")</f>
        <v/>
      </c>
      <c r="T108">
        <f>HYPERLINK("https://klasma.github.io/Logging_2260/kartor/A 23754-2025 karta.png", "A 23754-2025")</f>
        <v/>
      </c>
      <c r="U108">
        <f>HYPERLINK("https://klasma.github.io/Logging_2260/knärot/A 23754-2025 karta knärot.png", "A 23754-2025")</f>
        <v/>
      </c>
      <c r="V108">
        <f>HYPERLINK("https://klasma.github.io/Logging_2260/klagomål/A 23754-2025 FSC-klagomål.docx", "A 23754-2025")</f>
        <v/>
      </c>
      <c r="W108">
        <f>HYPERLINK("https://klasma.github.io/Logging_2260/klagomålsmail/A 23754-2025 FSC-klagomål mail.docx", "A 23754-2025")</f>
        <v/>
      </c>
      <c r="X108">
        <f>HYPERLINK("https://klasma.github.io/Logging_2260/tillsyn/A 23754-2025 tillsynsbegäran.docx", "A 23754-2025")</f>
        <v/>
      </c>
      <c r="Y108">
        <f>HYPERLINK("https://klasma.github.io/Logging_2260/tillsynsmail/A 23754-2025 tillsynsbegäran mail.docx", "A 23754-2025")</f>
        <v/>
      </c>
      <c r="Z108">
        <f>HYPERLINK("https://klasma.github.io/Logging_2260/fåglar/A 23754-2025 prioriterade fågelarter.docx", "A 23754-2025")</f>
        <v/>
      </c>
    </row>
    <row r="109" ht="15" customHeight="1">
      <c r="A109" t="inlineStr">
        <is>
          <t>A 23759-2025</t>
        </is>
      </c>
      <c r="B109" s="1" t="n">
        <v>45793.46409722222</v>
      </c>
      <c r="C109" s="1" t="n">
        <v>45895</v>
      </c>
      <c r="D109" t="inlineStr">
        <is>
          <t>VÄSTERNORRLANDS LÄN</t>
        </is>
      </c>
      <c r="E109" t="inlineStr">
        <is>
          <t>ÅNGE</t>
        </is>
      </c>
      <c r="F109" t="inlineStr">
        <is>
          <t>Sveaskog</t>
        </is>
      </c>
      <c r="G109" t="n">
        <v>5.2</v>
      </c>
      <c r="H109" t="n">
        <v>0</v>
      </c>
      <c r="I109" t="n">
        <v>1</v>
      </c>
      <c r="J109" t="n">
        <v>2</v>
      </c>
      <c r="K109" t="n">
        <v>0</v>
      </c>
      <c r="L109" t="n">
        <v>0</v>
      </c>
      <c r="M109" t="n">
        <v>0</v>
      </c>
      <c r="N109" t="n">
        <v>0</v>
      </c>
      <c r="O109" t="n">
        <v>2</v>
      </c>
      <c r="P109" t="n">
        <v>0</v>
      </c>
      <c r="Q109" t="n">
        <v>3</v>
      </c>
      <c r="R109" s="2" t="inlineStr">
        <is>
          <t>Lunglav
Skrovellav
Korallblylav</t>
        </is>
      </c>
      <c r="S109">
        <f>HYPERLINK("https://klasma.github.io/Logging_2260/artfynd/A 23759-2025 artfynd.xlsx", "A 23759-2025")</f>
        <v/>
      </c>
      <c r="T109">
        <f>HYPERLINK("https://klasma.github.io/Logging_2260/kartor/A 23759-2025 karta.png", "A 23759-2025")</f>
        <v/>
      </c>
      <c r="V109">
        <f>HYPERLINK("https://klasma.github.io/Logging_2260/klagomål/A 23759-2025 FSC-klagomål.docx", "A 23759-2025")</f>
        <v/>
      </c>
      <c r="W109">
        <f>HYPERLINK("https://klasma.github.io/Logging_2260/klagomålsmail/A 23759-2025 FSC-klagomål mail.docx", "A 23759-2025")</f>
        <v/>
      </c>
      <c r="X109">
        <f>HYPERLINK("https://klasma.github.io/Logging_2260/tillsyn/A 23759-2025 tillsynsbegäran.docx", "A 23759-2025")</f>
        <v/>
      </c>
      <c r="Y109">
        <f>HYPERLINK("https://klasma.github.io/Logging_2260/tillsynsmail/A 23759-2025 tillsynsbegäran mail.docx", "A 23759-2025")</f>
        <v/>
      </c>
    </row>
    <row r="110" ht="15" customHeight="1">
      <c r="A110" t="inlineStr">
        <is>
          <t>A 22996-2023</t>
        </is>
      </c>
      <c r="B110" s="1" t="n">
        <v>45072</v>
      </c>
      <c r="C110" s="1" t="n">
        <v>45895</v>
      </c>
      <c r="D110" t="inlineStr">
        <is>
          <t>VÄSTERNORRLANDS LÄN</t>
        </is>
      </c>
      <c r="E110" t="inlineStr">
        <is>
          <t>ÅNGE</t>
        </is>
      </c>
      <c r="F110" t="inlineStr">
        <is>
          <t>SCA</t>
        </is>
      </c>
      <c r="G110" t="n">
        <v>2.2</v>
      </c>
      <c r="H110" t="n">
        <v>1</v>
      </c>
      <c r="I110" t="n">
        <v>0</v>
      </c>
      <c r="J110" t="n">
        <v>2</v>
      </c>
      <c r="K110" t="n">
        <v>1</v>
      </c>
      <c r="L110" t="n">
        <v>0</v>
      </c>
      <c r="M110" t="n">
        <v>0</v>
      </c>
      <c r="N110" t="n">
        <v>0</v>
      </c>
      <c r="O110" t="n">
        <v>3</v>
      </c>
      <c r="P110" t="n">
        <v>1</v>
      </c>
      <c r="Q110" t="n">
        <v>3</v>
      </c>
      <c r="R110" s="2" t="inlineStr">
        <is>
          <t>Knärot
Garnlav
Vedtrappmossa</t>
        </is>
      </c>
      <c r="S110">
        <f>HYPERLINK("https://klasma.github.io/Logging_2260/artfynd/A 22996-2023 artfynd.xlsx", "A 22996-2023")</f>
        <v/>
      </c>
      <c r="T110">
        <f>HYPERLINK("https://klasma.github.io/Logging_2260/kartor/A 22996-2023 karta.png", "A 22996-2023")</f>
        <v/>
      </c>
      <c r="U110">
        <f>HYPERLINK("https://klasma.github.io/Logging_2260/knärot/A 22996-2023 karta knärot.png", "A 22996-2023")</f>
        <v/>
      </c>
      <c r="V110">
        <f>HYPERLINK("https://klasma.github.io/Logging_2260/klagomål/A 22996-2023 FSC-klagomål.docx", "A 22996-2023")</f>
        <v/>
      </c>
      <c r="W110">
        <f>HYPERLINK("https://klasma.github.io/Logging_2260/klagomålsmail/A 22996-2023 FSC-klagomål mail.docx", "A 22996-2023")</f>
        <v/>
      </c>
      <c r="X110">
        <f>HYPERLINK("https://klasma.github.io/Logging_2260/tillsyn/A 22996-2023 tillsynsbegäran.docx", "A 22996-2023")</f>
        <v/>
      </c>
      <c r="Y110">
        <f>HYPERLINK("https://klasma.github.io/Logging_2260/tillsynsmail/A 22996-2023 tillsynsbegäran mail.docx", "A 22996-2023")</f>
        <v/>
      </c>
    </row>
    <row r="111" ht="15" customHeight="1">
      <c r="A111" t="inlineStr">
        <is>
          <t>A 39179-2024</t>
        </is>
      </c>
      <c r="B111" s="1" t="n">
        <v>45548.65703703704</v>
      </c>
      <c r="C111" s="1" t="n">
        <v>45895</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39708-2024</t>
        </is>
      </c>
      <c r="B112" s="1" t="n">
        <v>45552.59408564815</v>
      </c>
      <c r="C112" s="1" t="n">
        <v>45895</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26679-2025</t>
        </is>
      </c>
      <c r="B113" s="1" t="n">
        <v>45810</v>
      </c>
      <c r="C113" s="1" t="n">
        <v>45895</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47617-2024</t>
        </is>
      </c>
      <c r="B114" s="1" t="n">
        <v>45588.32125</v>
      </c>
      <c r="C114" s="1" t="n">
        <v>45895</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24796-2024</t>
        </is>
      </c>
      <c r="B115" s="1" t="n">
        <v>45460</v>
      </c>
      <c r="C115" s="1" t="n">
        <v>45895</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16307-2025</t>
        </is>
      </c>
      <c r="B116" s="1" t="n">
        <v>45751.34686342593</v>
      </c>
      <c r="C116" s="1" t="n">
        <v>45895</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45895</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45895</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7533-2023</t>
        </is>
      </c>
      <c r="B119" s="1" t="n">
        <v>44971</v>
      </c>
      <c r="C119" s="1" t="n">
        <v>45895</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38238-2025</t>
        </is>
      </c>
      <c r="B120" s="1" t="n">
        <v>45883.36497685185</v>
      </c>
      <c r="C120" s="1" t="n">
        <v>45895</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38664-2025</t>
        </is>
      </c>
      <c r="B121" s="1" t="n">
        <v>45884.61503472222</v>
      </c>
      <c r="C121" s="1" t="n">
        <v>45895</v>
      </c>
      <c r="D121" t="inlineStr">
        <is>
          <t>VÄSTERNORRLANDS LÄN</t>
        </is>
      </c>
      <c r="E121" t="inlineStr">
        <is>
          <t>ÅNGE</t>
        </is>
      </c>
      <c r="F121" t="inlineStr">
        <is>
          <t>SCA</t>
        </is>
      </c>
      <c r="G121" t="n">
        <v>6.4</v>
      </c>
      <c r="H121" t="n">
        <v>1</v>
      </c>
      <c r="I121" t="n">
        <v>0</v>
      </c>
      <c r="J121" t="n">
        <v>2</v>
      </c>
      <c r="K121" t="n">
        <v>1</v>
      </c>
      <c r="L121" t="n">
        <v>0</v>
      </c>
      <c r="M121" t="n">
        <v>0</v>
      </c>
      <c r="N121" t="n">
        <v>0</v>
      </c>
      <c r="O121" t="n">
        <v>3</v>
      </c>
      <c r="P121" t="n">
        <v>1</v>
      </c>
      <c r="Q121" t="n">
        <v>3</v>
      </c>
      <c r="R121" s="2" t="inlineStr">
        <is>
          <t>Knärot
Kolflarnlav
Mörk kolflarnlav</t>
        </is>
      </c>
      <c r="S121">
        <f>HYPERLINK("https://klasma.github.io/Logging_2260/artfynd/A 38664-2025 artfynd.xlsx", "A 38664-2025")</f>
        <v/>
      </c>
      <c r="T121">
        <f>HYPERLINK("https://klasma.github.io/Logging_2260/kartor/A 38664-2025 karta.png", "A 38664-2025")</f>
        <v/>
      </c>
      <c r="U121">
        <f>HYPERLINK("https://klasma.github.io/Logging_2260/knärot/A 38664-2025 karta knärot.png", "A 38664-2025")</f>
        <v/>
      </c>
      <c r="V121">
        <f>HYPERLINK("https://klasma.github.io/Logging_2260/klagomål/A 38664-2025 FSC-klagomål.docx", "A 38664-2025")</f>
        <v/>
      </c>
      <c r="W121">
        <f>HYPERLINK("https://klasma.github.io/Logging_2260/klagomålsmail/A 38664-2025 FSC-klagomål mail.docx", "A 38664-2025")</f>
        <v/>
      </c>
      <c r="X121">
        <f>HYPERLINK("https://klasma.github.io/Logging_2260/tillsyn/A 38664-2025 tillsynsbegäran.docx", "A 38664-2025")</f>
        <v/>
      </c>
      <c r="Y121">
        <f>HYPERLINK("https://klasma.github.io/Logging_2260/tillsynsmail/A 38664-2025 tillsynsbegäran mail.docx", "A 38664-2025")</f>
        <v/>
      </c>
    </row>
    <row r="122" ht="15" customHeight="1">
      <c r="A122" t="inlineStr">
        <is>
          <t>A 39029-2025</t>
        </is>
      </c>
      <c r="B122" s="1" t="n">
        <v>45888.40684027778</v>
      </c>
      <c r="C122" s="1" t="n">
        <v>45895</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39181-2024</t>
        </is>
      </c>
      <c r="B123" s="1" t="n">
        <v>45548</v>
      </c>
      <c r="C123" s="1" t="n">
        <v>45895</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46130-2020</t>
        </is>
      </c>
      <c r="B124" s="1" t="n">
        <v>44091</v>
      </c>
      <c r="C124" s="1" t="n">
        <v>45895</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36635-2021</t>
        </is>
      </c>
      <c r="B125" s="1" t="n">
        <v>44391</v>
      </c>
      <c r="C125" s="1" t="n">
        <v>45895</v>
      </c>
      <c r="D125" t="inlineStr">
        <is>
          <t>VÄSTERNORRLANDS LÄN</t>
        </is>
      </c>
      <c r="E125" t="inlineStr">
        <is>
          <t>ÅNGE</t>
        </is>
      </c>
      <c r="F125" t="inlineStr">
        <is>
          <t>SCA</t>
        </is>
      </c>
      <c r="G125" t="n">
        <v>3.7</v>
      </c>
      <c r="H125" t="n">
        <v>1</v>
      </c>
      <c r="I125" t="n">
        <v>0</v>
      </c>
      <c r="J125" t="n">
        <v>1</v>
      </c>
      <c r="K125" t="n">
        <v>1</v>
      </c>
      <c r="L125" t="n">
        <v>0</v>
      </c>
      <c r="M125" t="n">
        <v>0</v>
      </c>
      <c r="N125" t="n">
        <v>0</v>
      </c>
      <c r="O125" t="n">
        <v>2</v>
      </c>
      <c r="P125" t="n">
        <v>1</v>
      </c>
      <c r="Q125" t="n">
        <v>2</v>
      </c>
      <c r="R125" s="2" t="inlineStr">
        <is>
          <t>Knärot
Tallticka</t>
        </is>
      </c>
      <c r="S125">
        <f>HYPERLINK("https://klasma.github.io/Logging_2260/artfynd/A 36635-2021 artfynd.xlsx", "A 36635-2021")</f>
        <v/>
      </c>
      <c r="T125">
        <f>HYPERLINK("https://klasma.github.io/Logging_2260/kartor/A 36635-2021 karta.png", "A 36635-2021")</f>
        <v/>
      </c>
      <c r="U125">
        <f>HYPERLINK("https://klasma.github.io/Logging_2260/knärot/A 36635-2021 karta knärot.png", "A 36635-2021")</f>
        <v/>
      </c>
      <c r="V125">
        <f>HYPERLINK("https://klasma.github.io/Logging_2260/klagomål/A 36635-2021 FSC-klagomål.docx", "A 36635-2021")</f>
        <v/>
      </c>
      <c r="W125">
        <f>HYPERLINK("https://klasma.github.io/Logging_2260/klagomålsmail/A 36635-2021 FSC-klagomål mail.docx", "A 36635-2021")</f>
        <v/>
      </c>
      <c r="X125">
        <f>HYPERLINK("https://klasma.github.io/Logging_2260/tillsyn/A 36635-2021 tillsynsbegäran.docx", "A 36635-2021")</f>
        <v/>
      </c>
      <c r="Y125">
        <f>HYPERLINK("https://klasma.github.io/Logging_2260/tillsynsmail/A 36635-2021 tillsynsbegäran mail.docx", "A 36635-2021")</f>
        <v/>
      </c>
    </row>
    <row r="126" ht="15" customHeight="1">
      <c r="A126" t="inlineStr">
        <is>
          <t>A 1082-2022</t>
        </is>
      </c>
      <c r="B126" s="1" t="n">
        <v>44571</v>
      </c>
      <c r="C126" s="1" t="n">
        <v>45895</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47798-2022</t>
        </is>
      </c>
      <c r="B127" s="1" t="n">
        <v>44854.95365740741</v>
      </c>
      <c r="C127" s="1" t="n">
        <v>45895</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48152-2022</t>
        </is>
      </c>
      <c r="B128" s="1" t="n">
        <v>44853</v>
      </c>
      <c r="C128" s="1" t="n">
        <v>45895</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44854.95371527778</v>
      </c>
      <c r="C129" s="1" t="n">
        <v>45895</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40965-2021</t>
        </is>
      </c>
      <c r="B130" s="1" t="n">
        <v>44421.57918981482</v>
      </c>
      <c r="C130" s="1" t="n">
        <v>45895</v>
      </c>
      <c r="D130" t="inlineStr">
        <is>
          <t>VÄSTERNORRLANDS LÄN</t>
        </is>
      </c>
      <c r="E130" t="inlineStr">
        <is>
          <t>ÅNGE</t>
        </is>
      </c>
      <c r="F130" t="inlineStr">
        <is>
          <t>Sveaskog</t>
        </is>
      </c>
      <c r="G130" t="n">
        <v>5.4</v>
      </c>
      <c r="H130" t="n">
        <v>1</v>
      </c>
      <c r="I130" t="n">
        <v>1</v>
      </c>
      <c r="J130" t="n">
        <v>1</v>
      </c>
      <c r="K130" t="n">
        <v>0</v>
      </c>
      <c r="L130" t="n">
        <v>0</v>
      </c>
      <c r="M130" t="n">
        <v>0</v>
      </c>
      <c r="N130" t="n">
        <v>0</v>
      </c>
      <c r="O130" t="n">
        <v>1</v>
      </c>
      <c r="P130" t="n">
        <v>0</v>
      </c>
      <c r="Q130" t="n">
        <v>2</v>
      </c>
      <c r="R130" s="2" t="inlineStr">
        <is>
          <t>Skogsfru
Skogsbräsma</t>
        </is>
      </c>
      <c r="S130">
        <f>HYPERLINK("https://klasma.github.io/Logging_2260/artfynd/A 40965-2021 artfynd.xlsx", "A 40965-2021")</f>
        <v/>
      </c>
      <c r="T130">
        <f>HYPERLINK("https://klasma.github.io/Logging_2260/kartor/A 40965-2021 karta.png", "A 40965-2021")</f>
        <v/>
      </c>
      <c r="V130">
        <f>HYPERLINK("https://klasma.github.io/Logging_2260/klagomål/A 40965-2021 FSC-klagomål.docx", "A 40965-2021")</f>
        <v/>
      </c>
      <c r="W130">
        <f>HYPERLINK("https://klasma.github.io/Logging_2260/klagomålsmail/A 40965-2021 FSC-klagomål mail.docx", "A 40965-2021")</f>
        <v/>
      </c>
      <c r="X130">
        <f>HYPERLINK("https://klasma.github.io/Logging_2260/tillsyn/A 40965-2021 tillsynsbegäran.docx", "A 40965-2021")</f>
        <v/>
      </c>
      <c r="Y130">
        <f>HYPERLINK("https://klasma.github.io/Logging_2260/tillsynsmail/A 40965-2021 tillsynsbegäran mail.docx", "A 40965-2021")</f>
        <v/>
      </c>
    </row>
    <row r="131" ht="15" customHeight="1">
      <c r="A131" t="inlineStr">
        <is>
          <t>A 8234-2022</t>
        </is>
      </c>
      <c r="B131" s="1" t="n">
        <v>44609</v>
      </c>
      <c r="C131" s="1" t="n">
        <v>45895</v>
      </c>
      <c r="D131" t="inlineStr">
        <is>
          <t>VÄSTERNORRLANDS LÄN</t>
        </is>
      </c>
      <c r="E131" t="inlineStr">
        <is>
          <t>ÅNGE</t>
        </is>
      </c>
      <c r="F131" t="inlineStr">
        <is>
          <t>SCA</t>
        </is>
      </c>
      <c r="G131" t="n">
        <v>2.3</v>
      </c>
      <c r="H131" t="n">
        <v>1</v>
      </c>
      <c r="I131" t="n">
        <v>0</v>
      </c>
      <c r="J131" t="n">
        <v>1</v>
      </c>
      <c r="K131" t="n">
        <v>0</v>
      </c>
      <c r="L131" t="n">
        <v>0</v>
      </c>
      <c r="M131" t="n">
        <v>0</v>
      </c>
      <c r="N131" t="n">
        <v>0</v>
      </c>
      <c r="O131" t="n">
        <v>1</v>
      </c>
      <c r="P131" t="n">
        <v>0</v>
      </c>
      <c r="Q131" t="n">
        <v>2</v>
      </c>
      <c r="R131" s="2" t="inlineStr">
        <is>
          <t>Garnlav
Revlummer</t>
        </is>
      </c>
      <c r="S131">
        <f>HYPERLINK("https://klasma.github.io/Logging_2260/artfynd/A 8234-2022 artfynd.xlsx", "A 8234-2022")</f>
        <v/>
      </c>
      <c r="T131">
        <f>HYPERLINK("https://klasma.github.io/Logging_2260/kartor/A 8234-2022 karta.png", "A 8234-2022")</f>
        <v/>
      </c>
      <c r="V131">
        <f>HYPERLINK("https://klasma.github.io/Logging_2260/klagomål/A 8234-2022 FSC-klagomål.docx", "A 8234-2022")</f>
        <v/>
      </c>
      <c r="W131">
        <f>HYPERLINK("https://klasma.github.io/Logging_2260/klagomålsmail/A 8234-2022 FSC-klagomål mail.docx", "A 8234-2022")</f>
        <v/>
      </c>
      <c r="X131">
        <f>HYPERLINK("https://klasma.github.io/Logging_2260/tillsyn/A 8234-2022 tillsynsbegäran.docx", "A 8234-2022")</f>
        <v/>
      </c>
      <c r="Y131">
        <f>HYPERLINK("https://klasma.github.io/Logging_2260/tillsynsmail/A 8234-2022 tillsynsbegäran mail.docx", "A 8234-2022")</f>
        <v/>
      </c>
    </row>
    <row r="132" ht="15" customHeight="1">
      <c r="A132" t="inlineStr">
        <is>
          <t>A 8324-2025</t>
        </is>
      </c>
      <c r="B132" s="1" t="n">
        <v>45708.63621527778</v>
      </c>
      <c r="C132" s="1" t="n">
        <v>45895</v>
      </c>
      <c r="D132" t="inlineStr">
        <is>
          <t>VÄSTERNORRLANDS LÄN</t>
        </is>
      </c>
      <c r="E132" t="inlineStr">
        <is>
          <t>ÅNGE</t>
        </is>
      </c>
      <c r="F132" t="inlineStr">
        <is>
          <t>SCA</t>
        </is>
      </c>
      <c r="G132" t="n">
        <v>7.8</v>
      </c>
      <c r="H132" t="n">
        <v>0</v>
      </c>
      <c r="I132" t="n">
        <v>1</v>
      </c>
      <c r="J132" t="n">
        <v>1</v>
      </c>
      <c r="K132" t="n">
        <v>0</v>
      </c>
      <c r="L132" t="n">
        <v>0</v>
      </c>
      <c r="M132" t="n">
        <v>0</v>
      </c>
      <c r="N132" t="n">
        <v>0</v>
      </c>
      <c r="O132" t="n">
        <v>1</v>
      </c>
      <c r="P132" t="n">
        <v>0</v>
      </c>
      <c r="Q132" t="n">
        <v>2</v>
      </c>
      <c r="R132" s="2" t="inlineStr">
        <is>
          <t>Vitgrynig nållav
Bollvitmossa</t>
        </is>
      </c>
      <c r="S132">
        <f>HYPERLINK("https://klasma.github.io/Logging_2260/artfynd/A 8324-2025 artfynd.xlsx", "A 8324-2025")</f>
        <v/>
      </c>
      <c r="T132">
        <f>HYPERLINK("https://klasma.github.io/Logging_2260/kartor/A 8324-2025 karta.png", "A 8324-2025")</f>
        <v/>
      </c>
      <c r="V132">
        <f>HYPERLINK("https://klasma.github.io/Logging_2260/klagomål/A 8324-2025 FSC-klagomål.docx", "A 8324-2025")</f>
        <v/>
      </c>
      <c r="W132">
        <f>HYPERLINK("https://klasma.github.io/Logging_2260/klagomålsmail/A 8324-2025 FSC-klagomål mail.docx", "A 8324-2025")</f>
        <v/>
      </c>
      <c r="X132">
        <f>HYPERLINK("https://klasma.github.io/Logging_2260/tillsyn/A 8324-2025 tillsynsbegäran.docx", "A 8324-2025")</f>
        <v/>
      </c>
      <c r="Y132">
        <f>HYPERLINK("https://klasma.github.io/Logging_2260/tillsynsmail/A 8324-2025 tillsynsbegäran mail.docx", "A 8324-2025")</f>
        <v/>
      </c>
    </row>
    <row r="133" ht="15" customHeight="1">
      <c r="A133" t="inlineStr">
        <is>
          <t>A 4093-2025</t>
        </is>
      </c>
      <c r="B133" s="1" t="n">
        <v>45684.67762731481</v>
      </c>
      <c r="C133" s="1" t="n">
        <v>45895</v>
      </c>
      <c r="D133" t="inlineStr">
        <is>
          <t>VÄSTERNORRLANDS LÄN</t>
        </is>
      </c>
      <c r="E133" t="inlineStr">
        <is>
          <t>ÅNGE</t>
        </is>
      </c>
      <c r="F133" t="inlineStr">
        <is>
          <t>SCA</t>
        </is>
      </c>
      <c r="G133" t="n">
        <v>2.6</v>
      </c>
      <c r="H133" t="n">
        <v>1</v>
      </c>
      <c r="I133" t="n">
        <v>2</v>
      </c>
      <c r="J133" t="n">
        <v>0</v>
      </c>
      <c r="K133" t="n">
        <v>0</v>
      </c>
      <c r="L133" t="n">
        <v>0</v>
      </c>
      <c r="M133" t="n">
        <v>0</v>
      </c>
      <c r="N133" t="n">
        <v>0</v>
      </c>
      <c r="O133" t="n">
        <v>0</v>
      </c>
      <c r="P133" t="n">
        <v>0</v>
      </c>
      <c r="Q133" t="n">
        <v>2</v>
      </c>
      <c r="R133" s="2" t="inlineStr">
        <is>
          <t>Kransrams
Spindelblomster</t>
        </is>
      </c>
      <c r="S133">
        <f>HYPERLINK("https://klasma.github.io/Logging_2260/artfynd/A 4093-2025 artfynd.xlsx", "A 4093-2025")</f>
        <v/>
      </c>
      <c r="T133">
        <f>HYPERLINK("https://klasma.github.io/Logging_2260/kartor/A 4093-2025 karta.png", "A 4093-2025")</f>
        <v/>
      </c>
      <c r="V133">
        <f>HYPERLINK("https://klasma.github.io/Logging_2260/klagomål/A 4093-2025 FSC-klagomål.docx", "A 4093-2025")</f>
        <v/>
      </c>
      <c r="W133">
        <f>HYPERLINK("https://klasma.github.io/Logging_2260/klagomålsmail/A 4093-2025 FSC-klagomål mail.docx", "A 4093-2025")</f>
        <v/>
      </c>
      <c r="X133">
        <f>HYPERLINK("https://klasma.github.io/Logging_2260/tillsyn/A 4093-2025 tillsynsbegäran.docx", "A 4093-2025")</f>
        <v/>
      </c>
      <c r="Y133">
        <f>HYPERLINK("https://klasma.github.io/Logging_2260/tillsynsmail/A 4093-2025 tillsynsbegäran mail.docx", "A 4093-2025")</f>
        <v/>
      </c>
    </row>
    <row r="134" ht="15" customHeight="1">
      <c r="A134" t="inlineStr">
        <is>
          <t>A 21453-2025</t>
        </is>
      </c>
      <c r="B134" s="1" t="n">
        <v>45782.55311342593</v>
      </c>
      <c r="C134" s="1" t="n">
        <v>45895</v>
      </c>
      <c r="D134" t="inlineStr">
        <is>
          <t>VÄSTERNORRLANDS LÄN</t>
        </is>
      </c>
      <c r="E134" t="inlineStr">
        <is>
          <t>ÅNGE</t>
        </is>
      </c>
      <c r="F134" t="inlineStr">
        <is>
          <t>SCA</t>
        </is>
      </c>
      <c r="G134" t="n">
        <v>1</v>
      </c>
      <c r="H134" t="n">
        <v>0</v>
      </c>
      <c r="I134" t="n">
        <v>2</v>
      </c>
      <c r="J134" t="n">
        <v>0</v>
      </c>
      <c r="K134" t="n">
        <v>0</v>
      </c>
      <c r="L134" t="n">
        <v>0</v>
      </c>
      <c r="M134" t="n">
        <v>0</v>
      </c>
      <c r="N134" t="n">
        <v>0</v>
      </c>
      <c r="O134" t="n">
        <v>0</v>
      </c>
      <c r="P134" t="n">
        <v>0</v>
      </c>
      <c r="Q134" t="n">
        <v>2</v>
      </c>
      <c r="R134" s="2" t="inlineStr">
        <is>
          <t>Svart trolldruva
Tibast</t>
        </is>
      </c>
      <c r="S134">
        <f>HYPERLINK("https://klasma.github.io/Logging_2260/artfynd/A 21453-2025 artfynd.xlsx", "A 21453-2025")</f>
        <v/>
      </c>
      <c r="T134">
        <f>HYPERLINK("https://klasma.github.io/Logging_2260/kartor/A 21453-2025 karta.png", "A 21453-2025")</f>
        <v/>
      </c>
      <c r="V134">
        <f>HYPERLINK("https://klasma.github.io/Logging_2260/klagomål/A 21453-2025 FSC-klagomål.docx", "A 21453-2025")</f>
        <v/>
      </c>
      <c r="W134">
        <f>HYPERLINK("https://klasma.github.io/Logging_2260/klagomålsmail/A 21453-2025 FSC-klagomål mail.docx", "A 21453-2025")</f>
        <v/>
      </c>
      <c r="X134">
        <f>HYPERLINK("https://klasma.github.io/Logging_2260/tillsyn/A 21453-2025 tillsynsbegäran.docx", "A 21453-2025")</f>
        <v/>
      </c>
      <c r="Y134">
        <f>HYPERLINK("https://klasma.github.io/Logging_2260/tillsynsmail/A 21453-2025 tillsynsbegäran mail.docx", "A 21453-2025")</f>
        <v/>
      </c>
    </row>
    <row r="135" ht="15" customHeight="1">
      <c r="A135" t="inlineStr">
        <is>
          <t>A 25034-2024</t>
        </is>
      </c>
      <c r="B135" s="1" t="n">
        <v>45461.96458333333</v>
      </c>
      <c r="C135" s="1" t="n">
        <v>45895</v>
      </c>
      <c r="D135" t="inlineStr">
        <is>
          <t>VÄSTERNORRLANDS LÄN</t>
        </is>
      </c>
      <c r="E135" t="inlineStr">
        <is>
          <t>ÅNGE</t>
        </is>
      </c>
      <c r="F135" t="inlineStr">
        <is>
          <t>SCA</t>
        </is>
      </c>
      <c r="G135" t="n">
        <v>3.3</v>
      </c>
      <c r="H135" t="n">
        <v>0</v>
      </c>
      <c r="I135" t="n">
        <v>0</v>
      </c>
      <c r="J135" t="n">
        <v>2</v>
      </c>
      <c r="K135" t="n">
        <v>0</v>
      </c>
      <c r="L135" t="n">
        <v>0</v>
      </c>
      <c r="M135" t="n">
        <v>0</v>
      </c>
      <c r="N135" t="n">
        <v>0</v>
      </c>
      <c r="O135" t="n">
        <v>2</v>
      </c>
      <c r="P135" t="n">
        <v>0</v>
      </c>
      <c r="Q135" t="n">
        <v>2</v>
      </c>
      <c r="R135" s="2" t="inlineStr">
        <is>
          <t>Rosenticka
Ullticka</t>
        </is>
      </c>
      <c r="S135">
        <f>HYPERLINK("https://klasma.github.io/Logging_2260/artfynd/A 25034-2024 artfynd.xlsx", "A 25034-2024")</f>
        <v/>
      </c>
      <c r="T135">
        <f>HYPERLINK("https://klasma.github.io/Logging_2260/kartor/A 25034-2024 karta.png", "A 25034-2024")</f>
        <v/>
      </c>
      <c r="V135">
        <f>HYPERLINK("https://klasma.github.io/Logging_2260/klagomål/A 25034-2024 FSC-klagomål.docx", "A 25034-2024")</f>
        <v/>
      </c>
      <c r="W135">
        <f>HYPERLINK("https://klasma.github.io/Logging_2260/klagomålsmail/A 25034-2024 FSC-klagomål mail.docx", "A 25034-2024")</f>
        <v/>
      </c>
      <c r="X135">
        <f>HYPERLINK("https://klasma.github.io/Logging_2260/tillsyn/A 25034-2024 tillsynsbegäran.docx", "A 25034-2024")</f>
        <v/>
      </c>
      <c r="Y135">
        <f>HYPERLINK("https://klasma.github.io/Logging_2260/tillsynsmail/A 25034-2024 tillsynsbegäran mail.docx", "A 25034-2024")</f>
        <v/>
      </c>
    </row>
    <row r="136" ht="15" customHeight="1">
      <c r="A136" t="inlineStr">
        <is>
          <t>A 24795-2024</t>
        </is>
      </c>
      <c r="B136" s="1" t="n">
        <v>45460.95252314815</v>
      </c>
      <c r="C136" s="1" t="n">
        <v>45895</v>
      </c>
      <c r="D136" t="inlineStr">
        <is>
          <t>VÄSTERNORRLANDS LÄN</t>
        </is>
      </c>
      <c r="E136" t="inlineStr">
        <is>
          <t>ÅNGE</t>
        </is>
      </c>
      <c r="F136" t="inlineStr">
        <is>
          <t>SCA</t>
        </is>
      </c>
      <c r="G136" t="n">
        <v>2.2</v>
      </c>
      <c r="H136" t="n">
        <v>0</v>
      </c>
      <c r="I136" t="n">
        <v>1</v>
      </c>
      <c r="J136" t="n">
        <v>1</v>
      </c>
      <c r="K136" t="n">
        <v>0</v>
      </c>
      <c r="L136" t="n">
        <v>0</v>
      </c>
      <c r="M136" t="n">
        <v>0</v>
      </c>
      <c r="N136" t="n">
        <v>0</v>
      </c>
      <c r="O136" t="n">
        <v>1</v>
      </c>
      <c r="P136" t="n">
        <v>0</v>
      </c>
      <c r="Q136" t="n">
        <v>2</v>
      </c>
      <c r="R136" s="2" t="inlineStr">
        <is>
          <t>Lunglav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57089-2024</t>
        </is>
      </c>
      <c r="B137" s="1" t="n">
        <v>45629.35665509259</v>
      </c>
      <c r="C137" s="1" t="n">
        <v>45895</v>
      </c>
      <c r="D137" t="inlineStr">
        <is>
          <t>VÄSTERNORRLANDS LÄN</t>
        </is>
      </c>
      <c r="E137" t="inlineStr">
        <is>
          <t>ÅNGE</t>
        </is>
      </c>
      <c r="F137" t="inlineStr">
        <is>
          <t>SCA</t>
        </is>
      </c>
      <c r="G137" t="n">
        <v>1.5</v>
      </c>
      <c r="H137" t="n">
        <v>0</v>
      </c>
      <c r="I137" t="n">
        <v>0</v>
      </c>
      <c r="J137" t="n">
        <v>2</v>
      </c>
      <c r="K137" t="n">
        <v>0</v>
      </c>
      <c r="L137" t="n">
        <v>0</v>
      </c>
      <c r="M137" t="n">
        <v>0</v>
      </c>
      <c r="N137" t="n">
        <v>0</v>
      </c>
      <c r="O137" t="n">
        <v>2</v>
      </c>
      <c r="P137" t="n">
        <v>0</v>
      </c>
      <c r="Q137" t="n">
        <v>2</v>
      </c>
      <c r="R137" s="2" t="inlineStr">
        <is>
          <t>Lunglav
Ullticka</t>
        </is>
      </c>
      <c r="S137">
        <f>HYPERLINK("https://klasma.github.io/Logging_2260/artfynd/A 57089-2024 artfynd.xlsx", "A 57089-2024")</f>
        <v/>
      </c>
      <c r="T137">
        <f>HYPERLINK("https://klasma.github.io/Logging_2260/kartor/A 57089-2024 karta.png", "A 57089-2024")</f>
        <v/>
      </c>
      <c r="V137">
        <f>HYPERLINK("https://klasma.github.io/Logging_2260/klagomål/A 57089-2024 FSC-klagomål.docx", "A 57089-2024")</f>
        <v/>
      </c>
      <c r="W137">
        <f>HYPERLINK("https://klasma.github.io/Logging_2260/klagomålsmail/A 57089-2024 FSC-klagomål mail.docx", "A 57089-2024")</f>
        <v/>
      </c>
      <c r="X137">
        <f>HYPERLINK("https://klasma.github.io/Logging_2260/tillsyn/A 57089-2024 tillsynsbegäran.docx", "A 57089-2024")</f>
        <v/>
      </c>
      <c r="Y137">
        <f>HYPERLINK("https://klasma.github.io/Logging_2260/tillsynsmail/A 57089-2024 tillsynsbegäran mail.docx", "A 57089-2024")</f>
        <v/>
      </c>
    </row>
    <row r="138" ht="15" customHeight="1">
      <c r="A138" t="inlineStr">
        <is>
          <t>A 19341-2024</t>
        </is>
      </c>
      <c r="B138" s="1" t="n">
        <v>45428</v>
      </c>
      <c r="C138" s="1" t="n">
        <v>45895</v>
      </c>
      <c r="D138" t="inlineStr">
        <is>
          <t>VÄSTERNORRLANDS LÄN</t>
        </is>
      </c>
      <c r="E138" t="inlineStr">
        <is>
          <t>ÅNGE</t>
        </is>
      </c>
      <c r="F138" t="inlineStr">
        <is>
          <t>SCA</t>
        </is>
      </c>
      <c r="G138" t="n">
        <v>2.5</v>
      </c>
      <c r="H138" t="n">
        <v>0</v>
      </c>
      <c r="I138" t="n">
        <v>0</v>
      </c>
      <c r="J138" t="n">
        <v>2</v>
      </c>
      <c r="K138" t="n">
        <v>0</v>
      </c>
      <c r="L138" t="n">
        <v>0</v>
      </c>
      <c r="M138" t="n">
        <v>0</v>
      </c>
      <c r="N138" t="n">
        <v>0</v>
      </c>
      <c r="O138" t="n">
        <v>2</v>
      </c>
      <c r="P138" t="n">
        <v>0</v>
      </c>
      <c r="Q138" t="n">
        <v>2</v>
      </c>
      <c r="R138" s="2" t="inlineStr">
        <is>
          <t>Granticka
Skrovellav</t>
        </is>
      </c>
      <c r="S138">
        <f>HYPERLINK("https://klasma.github.io/Logging_2260/artfynd/A 19341-2024 artfynd.xlsx", "A 19341-2024")</f>
        <v/>
      </c>
      <c r="T138">
        <f>HYPERLINK("https://klasma.github.io/Logging_2260/kartor/A 19341-2024 karta.png", "A 19341-2024")</f>
        <v/>
      </c>
      <c r="V138">
        <f>HYPERLINK("https://klasma.github.io/Logging_2260/klagomål/A 19341-2024 FSC-klagomål.docx", "A 19341-2024")</f>
        <v/>
      </c>
      <c r="W138">
        <f>HYPERLINK("https://klasma.github.io/Logging_2260/klagomålsmail/A 19341-2024 FSC-klagomål mail.docx", "A 19341-2024")</f>
        <v/>
      </c>
      <c r="X138">
        <f>HYPERLINK("https://klasma.github.io/Logging_2260/tillsyn/A 19341-2024 tillsynsbegäran.docx", "A 19341-2024")</f>
        <v/>
      </c>
      <c r="Y138">
        <f>HYPERLINK("https://klasma.github.io/Logging_2260/tillsynsmail/A 19341-2024 tillsynsbegäran mail.docx", "A 19341-2024")</f>
        <v/>
      </c>
    </row>
    <row r="139" ht="15" customHeight="1">
      <c r="A139" t="inlineStr">
        <is>
          <t>A 165-2025</t>
        </is>
      </c>
      <c r="B139" s="1" t="n">
        <v>45659</v>
      </c>
      <c r="C139" s="1" t="n">
        <v>45895</v>
      </c>
      <c r="D139" t="inlineStr">
        <is>
          <t>VÄSTERNORRLANDS LÄN</t>
        </is>
      </c>
      <c r="E139" t="inlineStr">
        <is>
          <t>ÅNGE</t>
        </is>
      </c>
      <c r="G139" t="n">
        <v>13.9</v>
      </c>
      <c r="H139" t="n">
        <v>1</v>
      </c>
      <c r="I139" t="n">
        <v>0</v>
      </c>
      <c r="J139" t="n">
        <v>2</v>
      </c>
      <c r="K139" t="n">
        <v>0</v>
      </c>
      <c r="L139" t="n">
        <v>0</v>
      </c>
      <c r="M139" t="n">
        <v>0</v>
      </c>
      <c r="N139" t="n">
        <v>0</v>
      </c>
      <c r="O139" t="n">
        <v>2</v>
      </c>
      <c r="P139" t="n">
        <v>0</v>
      </c>
      <c r="Q139" t="n">
        <v>2</v>
      </c>
      <c r="R139" s="2" t="inlineStr">
        <is>
          <t>Doftskinn
Tretåig hackspett</t>
        </is>
      </c>
      <c r="S139">
        <f>HYPERLINK("https://klasma.github.io/Logging_2260/artfynd/A 165-2025 artfynd.xlsx", "A 165-2025")</f>
        <v/>
      </c>
      <c r="T139">
        <f>HYPERLINK("https://klasma.github.io/Logging_2260/kartor/A 165-2025 karta.png", "A 165-2025")</f>
        <v/>
      </c>
      <c r="V139">
        <f>HYPERLINK("https://klasma.github.io/Logging_2260/klagomål/A 165-2025 FSC-klagomål.docx", "A 165-2025")</f>
        <v/>
      </c>
      <c r="W139">
        <f>HYPERLINK("https://klasma.github.io/Logging_2260/klagomålsmail/A 165-2025 FSC-klagomål mail.docx", "A 165-2025")</f>
        <v/>
      </c>
      <c r="X139">
        <f>HYPERLINK("https://klasma.github.io/Logging_2260/tillsyn/A 165-2025 tillsynsbegäran.docx", "A 165-2025")</f>
        <v/>
      </c>
      <c r="Y139">
        <f>HYPERLINK("https://klasma.github.io/Logging_2260/tillsynsmail/A 165-2025 tillsynsbegäran mail.docx", "A 165-2025")</f>
        <v/>
      </c>
      <c r="Z139">
        <f>HYPERLINK("https://klasma.github.io/Logging_2260/fåglar/A 165-2025 prioriterade fågelarter.docx", "A 165-2025")</f>
        <v/>
      </c>
    </row>
    <row r="140" ht="15" customHeight="1">
      <c r="A140" t="inlineStr">
        <is>
          <t>A 51756-2020</t>
        </is>
      </c>
      <c r="B140" s="1" t="n">
        <v>44114</v>
      </c>
      <c r="C140" s="1" t="n">
        <v>45895</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24176-2025</t>
        </is>
      </c>
      <c r="B141" s="1" t="n">
        <v>45796.69832175926</v>
      </c>
      <c r="C141" s="1" t="n">
        <v>45895</v>
      </c>
      <c r="D141" t="inlineStr">
        <is>
          <t>VÄSTERNORRLANDS LÄN</t>
        </is>
      </c>
      <c r="E141" t="inlineStr">
        <is>
          <t>ÅNGE</t>
        </is>
      </c>
      <c r="F141" t="inlineStr">
        <is>
          <t>SCA</t>
        </is>
      </c>
      <c r="G141" t="n">
        <v>3.9</v>
      </c>
      <c r="H141" t="n">
        <v>0</v>
      </c>
      <c r="I141" t="n">
        <v>1</v>
      </c>
      <c r="J141" t="n">
        <v>1</v>
      </c>
      <c r="K141" t="n">
        <v>0</v>
      </c>
      <c r="L141" t="n">
        <v>0</v>
      </c>
      <c r="M141" t="n">
        <v>0</v>
      </c>
      <c r="N141" t="n">
        <v>0</v>
      </c>
      <c r="O141" t="n">
        <v>1</v>
      </c>
      <c r="P141" t="n">
        <v>0</v>
      </c>
      <c r="Q141" t="n">
        <v>2</v>
      </c>
      <c r="R141" s="2" t="inlineStr">
        <is>
          <t>Vitgrynig nållav
Vedticka</t>
        </is>
      </c>
      <c r="S141">
        <f>HYPERLINK("https://klasma.github.io/Logging_2260/artfynd/A 24176-2025 artfynd.xlsx", "A 24176-2025")</f>
        <v/>
      </c>
      <c r="T141">
        <f>HYPERLINK("https://klasma.github.io/Logging_2260/kartor/A 24176-2025 karta.png", "A 24176-2025")</f>
        <v/>
      </c>
      <c r="V141">
        <f>HYPERLINK("https://klasma.github.io/Logging_2260/klagomål/A 24176-2025 FSC-klagomål.docx", "A 24176-2025")</f>
        <v/>
      </c>
      <c r="W141">
        <f>HYPERLINK("https://klasma.github.io/Logging_2260/klagomålsmail/A 24176-2025 FSC-klagomål mail.docx", "A 24176-2025")</f>
        <v/>
      </c>
      <c r="X141">
        <f>HYPERLINK("https://klasma.github.io/Logging_2260/tillsyn/A 24176-2025 tillsynsbegäran.docx", "A 24176-2025")</f>
        <v/>
      </c>
      <c r="Y141">
        <f>HYPERLINK("https://klasma.github.io/Logging_2260/tillsynsmail/A 24176-2025 tillsynsbegäran mail.docx", "A 24176-2025")</f>
        <v/>
      </c>
    </row>
    <row r="142" ht="15" customHeight="1">
      <c r="A142" t="inlineStr">
        <is>
          <t>A 31493-2024</t>
        </is>
      </c>
      <c r="B142" s="1" t="n">
        <v>45505</v>
      </c>
      <c r="C142" s="1" t="n">
        <v>45895</v>
      </c>
      <c r="D142" t="inlineStr">
        <is>
          <t>VÄSTERNORRLANDS LÄN</t>
        </is>
      </c>
      <c r="E142" t="inlineStr">
        <is>
          <t>ÅNGE</t>
        </is>
      </c>
      <c r="F142" t="inlineStr">
        <is>
          <t>SCA</t>
        </is>
      </c>
      <c r="G142" t="n">
        <v>4.4</v>
      </c>
      <c r="H142" t="n">
        <v>1</v>
      </c>
      <c r="I142" t="n">
        <v>1</v>
      </c>
      <c r="J142" t="n">
        <v>0</v>
      </c>
      <c r="K142" t="n">
        <v>1</v>
      </c>
      <c r="L142" t="n">
        <v>0</v>
      </c>
      <c r="M142" t="n">
        <v>0</v>
      </c>
      <c r="N142" t="n">
        <v>0</v>
      </c>
      <c r="O142" t="n">
        <v>1</v>
      </c>
      <c r="P142" t="n">
        <v>1</v>
      </c>
      <c r="Q142" t="n">
        <v>2</v>
      </c>
      <c r="R142" s="2" t="inlineStr">
        <is>
          <t>Knärot
Korallblylav</t>
        </is>
      </c>
      <c r="S142">
        <f>HYPERLINK("https://klasma.github.io/Logging_2260/artfynd/A 31493-2024 artfynd.xlsx", "A 31493-2024")</f>
        <v/>
      </c>
      <c r="T142">
        <f>HYPERLINK("https://klasma.github.io/Logging_2260/kartor/A 31493-2024 karta.png", "A 31493-2024")</f>
        <v/>
      </c>
      <c r="U142">
        <f>HYPERLINK("https://klasma.github.io/Logging_2260/knärot/A 31493-2024 karta knärot.png", "A 31493-2024")</f>
        <v/>
      </c>
      <c r="V142">
        <f>HYPERLINK("https://klasma.github.io/Logging_2260/klagomål/A 31493-2024 FSC-klagomål.docx", "A 31493-2024")</f>
        <v/>
      </c>
      <c r="W142">
        <f>HYPERLINK("https://klasma.github.io/Logging_2260/klagomålsmail/A 31493-2024 FSC-klagomål mail.docx", "A 31493-2024")</f>
        <v/>
      </c>
      <c r="X142">
        <f>HYPERLINK("https://klasma.github.io/Logging_2260/tillsyn/A 31493-2024 tillsynsbegäran.docx", "A 31493-2024")</f>
        <v/>
      </c>
      <c r="Y142">
        <f>HYPERLINK("https://klasma.github.io/Logging_2260/tillsynsmail/A 31493-2024 tillsynsbegäran mail.docx", "A 31493-2024")</f>
        <v/>
      </c>
    </row>
    <row r="143" ht="15" customHeight="1">
      <c r="A143" t="inlineStr">
        <is>
          <t>A 47719-2024</t>
        </is>
      </c>
      <c r="B143" s="1" t="n">
        <v>45588.48996527777</v>
      </c>
      <c r="C143" s="1" t="n">
        <v>45895</v>
      </c>
      <c r="D143" t="inlineStr">
        <is>
          <t>VÄSTERNORRLANDS LÄN</t>
        </is>
      </c>
      <c r="E143" t="inlineStr">
        <is>
          <t>ÅNGE</t>
        </is>
      </c>
      <c r="F143" t="inlineStr">
        <is>
          <t>SCA</t>
        </is>
      </c>
      <c r="G143" t="n">
        <v>1.4</v>
      </c>
      <c r="H143" t="n">
        <v>0</v>
      </c>
      <c r="I143" t="n">
        <v>0</v>
      </c>
      <c r="J143" t="n">
        <v>2</v>
      </c>
      <c r="K143" t="n">
        <v>0</v>
      </c>
      <c r="L143" t="n">
        <v>0</v>
      </c>
      <c r="M143" t="n">
        <v>0</v>
      </c>
      <c r="N143" t="n">
        <v>0</v>
      </c>
      <c r="O143" t="n">
        <v>2</v>
      </c>
      <c r="P143" t="n">
        <v>0</v>
      </c>
      <c r="Q143" t="n">
        <v>2</v>
      </c>
      <c r="R143" s="2" t="inlineStr">
        <is>
          <t>Dvärgbägarlav
Vedskivlav</t>
        </is>
      </c>
      <c r="S143">
        <f>HYPERLINK("https://klasma.github.io/Logging_2260/artfynd/A 47719-2024 artfynd.xlsx", "A 47719-2024")</f>
        <v/>
      </c>
      <c r="T143">
        <f>HYPERLINK("https://klasma.github.io/Logging_2260/kartor/A 47719-2024 karta.png", "A 47719-2024")</f>
        <v/>
      </c>
      <c r="V143">
        <f>HYPERLINK("https://klasma.github.io/Logging_2260/klagomål/A 47719-2024 FSC-klagomål.docx", "A 47719-2024")</f>
        <v/>
      </c>
      <c r="W143">
        <f>HYPERLINK("https://klasma.github.io/Logging_2260/klagomålsmail/A 47719-2024 FSC-klagomål mail.docx", "A 47719-2024")</f>
        <v/>
      </c>
      <c r="X143">
        <f>HYPERLINK("https://klasma.github.io/Logging_2260/tillsyn/A 47719-2024 tillsynsbegäran.docx", "A 47719-2024")</f>
        <v/>
      </c>
      <c r="Y143">
        <f>HYPERLINK("https://klasma.github.io/Logging_2260/tillsynsmail/A 47719-2024 tillsynsbegäran mail.docx", "A 47719-2024")</f>
        <v/>
      </c>
    </row>
    <row r="144" ht="15" customHeight="1">
      <c r="A144" t="inlineStr">
        <is>
          <t>A 26906-2025</t>
        </is>
      </c>
      <c r="B144" s="1" t="n">
        <v>45811.34552083333</v>
      </c>
      <c r="C144" s="1" t="n">
        <v>45895</v>
      </c>
      <c r="D144" t="inlineStr">
        <is>
          <t>VÄSTERNORRLANDS LÄN</t>
        </is>
      </c>
      <c r="E144" t="inlineStr">
        <is>
          <t>ÅNGE</t>
        </is>
      </c>
      <c r="F144" t="inlineStr">
        <is>
          <t>SCA</t>
        </is>
      </c>
      <c r="G144" t="n">
        <v>7</v>
      </c>
      <c r="H144" t="n">
        <v>0</v>
      </c>
      <c r="I144" t="n">
        <v>0</v>
      </c>
      <c r="J144" t="n">
        <v>2</v>
      </c>
      <c r="K144" t="n">
        <v>0</v>
      </c>
      <c r="L144" t="n">
        <v>0</v>
      </c>
      <c r="M144" t="n">
        <v>0</v>
      </c>
      <c r="N144" t="n">
        <v>0</v>
      </c>
      <c r="O144" t="n">
        <v>2</v>
      </c>
      <c r="P144" t="n">
        <v>0</v>
      </c>
      <c r="Q144" t="n">
        <v>2</v>
      </c>
      <c r="R144" s="2" t="inlineStr">
        <is>
          <t>Garnlav
Vitgrynig nållav</t>
        </is>
      </c>
      <c r="S144">
        <f>HYPERLINK("https://klasma.github.io/Logging_2260/artfynd/A 26906-2025 artfynd.xlsx", "A 26906-2025")</f>
        <v/>
      </c>
      <c r="T144">
        <f>HYPERLINK("https://klasma.github.io/Logging_2260/kartor/A 26906-2025 karta.png", "A 26906-2025")</f>
        <v/>
      </c>
      <c r="V144">
        <f>HYPERLINK("https://klasma.github.io/Logging_2260/klagomål/A 26906-2025 FSC-klagomål.docx", "A 26906-2025")</f>
        <v/>
      </c>
      <c r="W144">
        <f>HYPERLINK("https://klasma.github.io/Logging_2260/klagomålsmail/A 26906-2025 FSC-klagomål mail.docx", "A 26906-2025")</f>
        <v/>
      </c>
      <c r="X144">
        <f>HYPERLINK("https://klasma.github.io/Logging_2260/tillsyn/A 26906-2025 tillsynsbegäran.docx", "A 26906-2025")</f>
        <v/>
      </c>
      <c r="Y144">
        <f>HYPERLINK("https://klasma.github.io/Logging_2260/tillsynsmail/A 26906-2025 tillsynsbegäran mail.docx", "A 26906-2025")</f>
        <v/>
      </c>
    </row>
    <row r="145" ht="15" customHeight="1">
      <c r="A145" t="inlineStr">
        <is>
          <t>A 57594-2022</t>
        </is>
      </c>
      <c r="B145" s="1" t="n">
        <v>44896.97854166666</v>
      </c>
      <c r="C145" s="1" t="n">
        <v>45895</v>
      </c>
      <c r="D145" t="inlineStr">
        <is>
          <t>VÄSTERNORRLANDS LÄN</t>
        </is>
      </c>
      <c r="E145" t="inlineStr">
        <is>
          <t>ÅNGE</t>
        </is>
      </c>
      <c r="F145" t="inlineStr">
        <is>
          <t>SCA</t>
        </is>
      </c>
      <c r="G145" t="n">
        <v>5.3</v>
      </c>
      <c r="H145" t="n">
        <v>0</v>
      </c>
      <c r="I145" t="n">
        <v>0</v>
      </c>
      <c r="J145" t="n">
        <v>2</v>
      </c>
      <c r="K145" t="n">
        <v>0</v>
      </c>
      <c r="L145" t="n">
        <v>0</v>
      </c>
      <c r="M145" t="n">
        <v>0</v>
      </c>
      <c r="N145" t="n">
        <v>0</v>
      </c>
      <c r="O145" t="n">
        <v>2</v>
      </c>
      <c r="P145" t="n">
        <v>0</v>
      </c>
      <c r="Q145" t="n">
        <v>2</v>
      </c>
      <c r="R145" s="2" t="inlineStr">
        <is>
          <t>Granticka
Lunglav</t>
        </is>
      </c>
      <c r="S145">
        <f>HYPERLINK("https://klasma.github.io/Logging_2260/artfynd/A 57594-2022 artfynd.xlsx", "A 57594-2022")</f>
        <v/>
      </c>
      <c r="T145">
        <f>HYPERLINK("https://klasma.github.io/Logging_2260/kartor/A 57594-2022 karta.png", "A 57594-2022")</f>
        <v/>
      </c>
      <c r="V145">
        <f>HYPERLINK("https://klasma.github.io/Logging_2260/klagomål/A 57594-2022 FSC-klagomål.docx", "A 57594-2022")</f>
        <v/>
      </c>
      <c r="W145">
        <f>HYPERLINK("https://klasma.github.io/Logging_2260/klagomålsmail/A 57594-2022 FSC-klagomål mail.docx", "A 57594-2022")</f>
        <v/>
      </c>
      <c r="X145">
        <f>HYPERLINK("https://klasma.github.io/Logging_2260/tillsyn/A 57594-2022 tillsynsbegäran.docx", "A 57594-2022")</f>
        <v/>
      </c>
      <c r="Y145">
        <f>HYPERLINK("https://klasma.github.io/Logging_2260/tillsynsmail/A 57594-2022 tillsynsbegäran mail.docx", "A 57594-2022")</f>
        <v/>
      </c>
    </row>
    <row r="146" ht="15" customHeight="1">
      <c r="A146" t="inlineStr">
        <is>
          <t>A 17861-2023</t>
        </is>
      </c>
      <c r="B146" s="1" t="n">
        <v>45037.94171296297</v>
      </c>
      <c r="C146" s="1" t="n">
        <v>45895</v>
      </c>
      <c r="D146" t="inlineStr">
        <is>
          <t>VÄSTERNORRLANDS LÄN</t>
        </is>
      </c>
      <c r="E146" t="inlineStr">
        <is>
          <t>ÅNGE</t>
        </is>
      </c>
      <c r="F146" t="inlineStr">
        <is>
          <t>SCA</t>
        </is>
      </c>
      <c r="G146" t="n">
        <v>1.1</v>
      </c>
      <c r="H146" t="n">
        <v>0</v>
      </c>
      <c r="I146" t="n">
        <v>1</v>
      </c>
      <c r="J146" t="n">
        <v>1</v>
      </c>
      <c r="K146" t="n">
        <v>0</v>
      </c>
      <c r="L146" t="n">
        <v>0</v>
      </c>
      <c r="M146" t="n">
        <v>0</v>
      </c>
      <c r="N146" t="n">
        <v>0</v>
      </c>
      <c r="O146" t="n">
        <v>1</v>
      </c>
      <c r="P146" t="n">
        <v>0</v>
      </c>
      <c r="Q146" t="n">
        <v>2</v>
      </c>
      <c r="R146" s="2" t="inlineStr">
        <is>
          <t>Skrovlig taggsvamp
Dropptaggsvamp</t>
        </is>
      </c>
      <c r="S146">
        <f>HYPERLINK("https://klasma.github.io/Logging_2260/artfynd/A 17861-2023 artfynd.xlsx", "A 17861-2023")</f>
        <v/>
      </c>
      <c r="T146">
        <f>HYPERLINK("https://klasma.github.io/Logging_2260/kartor/A 17861-2023 karta.png", "A 17861-2023")</f>
        <v/>
      </c>
      <c r="V146">
        <f>HYPERLINK("https://klasma.github.io/Logging_2260/klagomål/A 17861-2023 FSC-klagomål.docx", "A 17861-2023")</f>
        <v/>
      </c>
      <c r="W146">
        <f>HYPERLINK("https://klasma.github.io/Logging_2260/klagomålsmail/A 17861-2023 FSC-klagomål mail.docx", "A 17861-2023")</f>
        <v/>
      </c>
      <c r="X146">
        <f>HYPERLINK("https://klasma.github.io/Logging_2260/tillsyn/A 17861-2023 tillsynsbegäran.docx", "A 17861-2023")</f>
        <v/>
      </c>
      <c r="Y146">
        <f>HYPERLINK("https://klasma.github.io/Logging_2260/tillsynsmail/A 17861-2023 tillsynsbegäran mail.docx", "A 17861-2023")</f>
        <v/>
      </c>
    </row>
    <row r="147" ht="15" customHeight="1">
      <c r="A147" t="inlineStr">
        <is>
          <t>A 57597-2022</t>
        </is>
      </c>
      <c r="B147" s="1" t="n">
        <v>44896.97878472223</v>
      </c>
      <c r="C147" s="1" t="n">
        <v>45895</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62861-2021</t>
        </is>
      </c>
      <c r="B148" s="1" t="n">
        <v>44503</v>
      </c>
      <c r="C148" s="1" t="n">
        <v>45895</v>
      </c>
      <c r="D148" t="inlineStr">
        <is>
          <t>VÄSTERNORRLANDS LÄN</t>
        </is>
      </c>
      <c r="E148" t="inlineStr">
        <is>
          <t>ÅNGE</t>
        </is>
      </c>
      <c r="F148" t="inlineStr">
        <is>
          <t>Övriga statliga verk och myndigheter</t>
        </is>
      </c>
      <c r="G148" t="n">
        <v>12.1</v>
      </c>
      <c r="H148" t="n">
        <v>1</v>
      </c>
      <c r="I148" t="n">
        <v>0</v>
      </c>
      <c r="J148" t="n">
        <v>1</v>
      </c>
      <c r="K148" t="n">
        <v>1</v>
      </c>
      <c r="L148" t="n">
        <v>0</v>
      </c>
      <c r="M148" t="n">
        <v>0</v>
      </c>
      <c r="N148" t="n">
        <v>0</v>
      </c>
      <c r="O148" t="n">
        <v>2</v>
      </c>
      <c r="P148" t="n">
        <v>1</v>
      </c>
      <c r="Q148" t="n">
        <v>2</v>
      </c>
      <c r="R148" s="2" t="inlineStr">
        <is>
          <t>Knärot
Rosenticka</t>
        </is>
      </c>
      <c r="S148">
        <f>HYPERLINK("https://klasma.github.io/Logging_2260/artfynd/A 62861-2021 artfynd.xlsx", "A 62861-2021")</f>
        <v/>
      </c>
      <c r="T148">
        <f>HYPERLINK("https://klasma.github.io/Logging_2260/kartor/A 62861-2021 karta.png", "A 62861-2021")</f>
        <v/>
      </c>
      <c r="U148">
        <f>HYPERLINK("https://klasma.github.io/Logging_2260/knärot/A 62861-2021 karta knärot.png", "A 62861-2021")</f>
        <v/>
      </c>
      <c r="V148">
        <f>HYPERLINK("https://klasma.github.io/Logging_2260/klagomål/A 62861-2021 FSC-klagomål.docx", "A 62861-2021")</f>
        <v/>
      </c>
      <c r="W148">
        <f>HYPERLINK("https://klasma.github.io/Logging_2260/klagomålsmail/A 62861-2021 FSC-klagomål mail.docx", "A 62861-2021")</f>
        <v/>
      </c>
      <c r="X148">
        <f>HYPERLINK("https://klasma.github.io/Logging_2260/tillsyn/A 62861-2021 tillsynsbegäran.docx", "A 62861-2021")</f>
        <v/>
      </c>
      <c r="Y148">
        <f>HYPERLINK("https://klasma.github.io/Logging_2260/tillsynsmail/A 62861-2021 tillsynsbegäran mail.docx", "A 62861-2021")</f>
        <v/>
      </c>
    </row>
    <row r="149" ht="15" customHeight="1">
      <c r="A149" t="inlineStr">
        <is>
          <t>A 32659-2024</t>
        </is>
      </c>
      <c r="B149" s="1" t="n">
        <v>45513</v>
      </c>
      <c r="C149" s="1" t="n">
        <v>45895</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36414-2025</t>
        </is>
      </c>
      <c r="B150" s="1" t="n">
        <v>45868.69246527777</v>
      </c>
      <c r="C150" s="1" t="n">
        <v>45895</v>
      </c>
      <c r="D150" t="inlineStr">
        <is>
          <t>VÄSTERNORRLANDS LÄN</t>
        </is>
      </c>
      <c r="E150" t="inlineStr">
        <is>
          <t>ÅNGE</t>
        </is>
      </c>
      <c r="G150" t="n">
        <v>5.4</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36414-2025 artfynd.xlsx", "A 36414-2025")</f>
        <v/>
      </c>
      <c r="T150">
        <f>HYPERLINK("https://klasma.github.io/Logging_2260/kartor/A 36414-2025 karta.png", "A 36414-2025")</f>
        <v/>
      </c>
      <c r="V150">
        <f>HYPERLINK("https://klasma.github.io/Logging_2260/klagomål/A 36414-2025 FSC-klagomål.docx", "A 36414-2025")</f>
        <v/>
      </c>
      <c r="W150">
        <f>HYPERLINK("https://klasma.github.io/Logging_2260/klagomålsmail/A 36414-2025 FSC-klagomål mail.docx", "A 36414-2025")</f>
        <v/>
      </c>
      <c r="X150">
        <f>HYPERLINK("https://klasma.github.io/Logging_2260/tillsyn/A 36414-2025 tillsynsbegäran.docx", "A 36414-2025")</f>
        <v/>
      </c>
      <c r="Y150">
        <f>HYPERLINK("https://klasma.github.io/Logging_2260/tillsynsmail/A 36414-2025 tillsynsbegäran mail.docx", "A 36414-2025")</f>
        <v/>
      </c>
    </row>
    <row r="151" ht="15" customHeight="1">
      <c r="A151" t="inlineStr">
        <is>
          <t>A 55178-2024</t>
        </is>
      </c>
      <c r="B151" s="1" t="n">
        <v>45621</v>
      </c>
      <c r="C151" s="1" t="n">
        <v>45895</v>
      </c>
      <c r="D151" t="inlineStr">
        <is>
          <t>VÄSTERNORRLANDS LÄN</t>
        </is>
      </c>
      <c r="E151" t="inlineStr">
        <is>
          <t>ÅNGE</t>
        </is>
      </c>
      <c r="F151" t="inlineStr">
        <is>
          <t>SCA</t>
        </is>
      </c>
      <c r="G151" t="n">
        <v>4.8</v>
      </c>
      <c r="H151" t="n">
        <v>1</v>
      </c>
      <c r="I151" t="n">
        <v>0</v>
      </c>
      <c r="J151" t="n">
        <v>1</v>
      </c>
      <c r="K151" t="n">
        <v>1</v>
      </c>
      <c r="L151" t="n">
        <v>0</v>
      </c>
      <c r="M151" t="n">
        <v>0</v>
      </c>
      <c r="N151" t="n">
        <v>0</v>
      </c>
      <c r="O151" t="n">
        <v>2</v>
      </c>
      <c r="P151" t="n">
        <v>1</v>
      </c>
      <c r="Q151" t="n">
        <v>2</v>
      </c>
      <c r="R151" s="2" t="inlineStr">
        <is>
          <t>Knärot
Stiftgelélav</t>
        </is>
      </c>
      <c r="S151">
        <f>HYPERLINK("https://klasma.github.io/Logging_2260/artfynd/A 55178-2024 artfynd.xlsx", "A 55178-2024")</f>
        <v/>
      </c>
      <c r="T151">
        <f>HYPERLINK("https://klasma.github.io/Logging_2260/kartor/A 55178-2024 karta.png", "A 55178-2024")</f>
        <v/>
      </c>
      <c r="U151">
        <f>HYPERLINK("https://klasma.github.io/Logging_2260/knärot/A 55178-2024 karta knärot.png", "A 55178-2024")</f>
        <v/>
      </c>
      <c r="V151">
        <f>HYPERLINK("https://klasma.github.io/Logging_2260/klagomål/A 55178-2024 FSC-klagomål.docx", "A 55178-2024")</f>
        <v/>
      </c>
      <c r="W151">
        <f>HYPERLINK("https://klasma.github.io/Logging_2260/klagomålsmail/A 55178-2024 FSC-klagomål mail.docx", "A 55178-2024")</f>
        <v/>
      </c>
      <c r="X151">
        <f>HYPERLINK("https://klasma.github.io/Logging_2260/tillsyn/A 55178-2024 tillsynsbegäran.docx", "A 55178-2024")</f>
        <v/>
      </c>
      <c r="Y151">
        <f>HYPERLINK("https://klasma.github.io/Logging_2260/tillsynsmail/A 55178-2024 tillsynsbegäran mail.docx", "A 55178-2024")</f>
        <v/>
      </c>
    </row>
    <row r="152" ht="15" customHeight="1">
      <c r="A152" t="inlineStr">
        <is>
          <t>A 55591-2021</t>
        </is>
      </c>
      <c r="B152" s="1" t="n">
        <v>44475</v>
      </c>
      <c r="C152" s="1" t="n">
        <v>45895</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58902-2020</t>
        </is>
      </c>
      <c r="B153" s="1" t="n">
        <v>44146</v>
      </c>
      <c r="C153" s="1" t="n">
        <v>45895</v>
      </c>
      <c r="D153" t="inlineStr">
        <is>
          <t>VÄSTERNORRLANDS LÄN</t>
        </is>
      </c>
      <c r="E153" t="inlineStr">
        <is>
          <t>ÅNGE</t>
        </is>
      </c>
      <c r="G153" t="n">
        <v>8.199999999999999</v>
      </c>
      <c r="H153" t="n">
        <v>0</v>
      </c>
      <c r="I153" t="n">
        <v>1</v>
      </c>
      <c r="J153" t="n">
        <v>1</v>
      </c>
      <c r="K153" t="n">
        <v>0</v>
      </c>
      <c r="L153" t="n">
        <v>0</v>
      </c>
      <c r="M153" t="n">
        <v>0</v>
      </c>
      <c r="N153" t="n">
        <v>0</v>
      </c>
      <c r="O153" t="n">
        <v>1</v>
      </c>
      <c r="P153" t="n">
        <v>0</v>
      </c>
      <c r="Q153" t="n">
        <v>2</v>
      </c>
      <c r="R153" s="2" t="inlineStr">
        <is>
          <t>Ullticka
Vedticka</t>
        </is>
      </c>
      <c r="S153">
        <f>HYPERLINK("https://klasma.github.io/Logging_2260/artfynd/A 58902-2020 artfynd.xlsx", "A 58902-2020")</f>
        <v/>
      </c>
      <c r="T153">
        <f>HYPERLINK("https://klasma.github.io/Logging_2260/kartor/A 58902-2020 karta.png", "A 58902-2020")</f>
        <v/>
      </c>
      <c r="V153">
        <f>HYPERLINK("https://klasma.github.io/Logging_2260/klagomål/A 58902-2020 FSC-klagomål.docx", "A 58902-2020")</f>
        <v/>
      </c>
      <c r="W153">
        <f>HYPERLINK("https://klasma.github.io/Logging_2260/klagomålsmail/A 58902-2020 FSC-klagomål mail.docx", "A 58902-2020")</f>
        <v/>
      </c>
      <c r="X153">
        <f>HYPERLINK("https://klasma.github.io/Logging_2260/tillsyn/A 58902-2020 tillsynsbegäran.docx", "A 58902-2020")</f>
        <v/>
      </c>
      <c r="Y153">
        <f>HYPERLINK("https://klasma.github.io/Logging_2260/tillsynsmail/A 58902-2020 tillsynsbegäran mail.docx", "A 58902-2020")</f>
        <v/>
      </c>
    </row>
    <row r="154" ht="15" customHeight="1">
      <c r="A154" t="inlineStr">
        <is>
          <t>A 37800-2025</t>
        </is>
      </c>
      <c r="B154" s="1" t="n">
        <v>45881.34420138889</v>
      </c>
      <c r="C154" s="1" t="n">
        <v>45895</v>
      </c>
      <c r="D154" t="inlineStr">
        <is>
          <t>VÄSTERNORRLANDS LÄN</t>
        </is>
      </c>
      <c r="E154" t="inlineStr">
        <is>
          <t>ÅNGE</t>
        </is>
      </c>
      <c r="F154" t="inlineStr">
        <is>
          <t>SCA</t>
        </is>
      </c>
      <c r="G154" t="n">
        <v>4</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37800-2025 artfynd.xlsx", "A 37800-2025")</f>
        <v/>
      </c>
      <c r="T154">
        <f>HYPERLINK("https://klasma.github.io/Logging_2260/kartor/A 37800-2025 karta.png", "A 37800-2025")</f>
        <v/>
      </c>
      <c r="V154">
        <f>HYPERLINK("https://klasma.github.io/Logging_2260/klagomål/A 37800-2025 FSC-klagomål.docx", "A 37800-2025")</f>
        <v/>
      </c>
      <c r="W154">
        <f>HYPERLINK("https://klasma.github.io/Logging_2260/klagomålsmail/A 37800-2025 FSC-klagomål mail.docx", "A 37800-2025")</f>
        <v/>
      </c>
      <c r="X154">
        <f>HYPERLINK("https://klasma.github.io/Logging_2260/tillsyn/A 37800-2025 tillsynsbegäran.docx", "A 37800-2025")</f>
        <v/>
      </c>
      <c r="Y154">
        <f>HYPERLINK("https://klasma.github.io/Logging_2260/tillsynsmail/A 37800-2025 tillsynsbegäran mail.docx", "A 37800-2025")</f>
        <v/>
      </c>
    </row>
    <row r="155" ht="15" customHeight="1">
      <c r="A155" t="inlineStr">
        <is>
          <t>A 38298-2025</t>
        </is>
      </c>
      <c r="B155" s="1" t="n">
        <v>45883.4568287037</v>
      </c>
      <c r="C155" s="1" t="n">
        <v>45895</v>
      </c>
      <c r="D155" t="inlineStr">
        <is>
          <t>VÄSTERNORRLANDS LÄN</t>
        </is>
      </c>
      <c r="E155" t="inlineStr">
        <is>
          <t>ÅNGE</t>
        </is>
      </c>
      <c r="G155" t="n">
        <v>4.5</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38298-2025 artfynd.xlsx", "A 38298-2025")</f>
        <v/>
      </c>
      <c r="T155">
        <f>HYPERLINK("https://klasma.github.io/Logging_2260/kartor/A 38298-2025 karta.png", "A 38298-2025")</f>
        <v/>
      </c>
      <c r="V155">
        <f>HYPERLINK("https://klasma.github.io/Logging_2260/klagomål/A 38298-2025 FSC-klagomål.docx", "A 38298-2025")</f>
        <v/>
      </c>
      <c r="W155">
        <f>HYPERLINK("https://klasma.github.io/Logging_2260/klagomålsmail/A 38298-2025 FSC-klagomål mail.docx", "A 38298-2025")</f>
        <v/>
      </c>
      <c r="X155">
        <f>HYPERLINK("https://klasma.github.io/Logging_2260/tillsyn/A 38298-2025 tillsynsbegäran.docx", "A 38298-2025")</f>
        <v/>
      </c>
      <c r="Y155">
        <f>HYPERLINK("https://klasma.github.io/Logging_2260/tillsynsmail/A 38298-2025 tillsynsbegäran mail.docx", "A 38298-2025")</f>
        <v/>
      </c>
    </row>
    <row r="156" ht="15" customHeight="1">
      <c r="A156" t="inlineStr">
        <is>
          <t>A 26020-2024</t>
        </is>
      </c>
      <c r="B156" s="1" t="n">
        <v>45467.9603125</v>
      </c>
      <c r="C156" s="1" t="n">
        <v>45895</v>
      </c>
      <c r="D156" t="inlineStr">
        <is>
          <t>VÄSTERNORRLANDS LÄN</t>
        </is>
      </c>
      <c r="E156" t="inlineStr">
        <is>
          <t>ÅNGE</t>
        </is>
      </c>
      <c r="F156" t="inlineStr">
        <is>
          <t>SCA</t>
        </is>
      </c>
      <c r="G156" t="n">
        <v>4.8</v>
      </c>
      <c r="H156" t="n">
        <v>0</v>
      </c>
      <c r="I156" t="n">
        <v>1</v>
      </c>
      <c r="J156" t="n">
        <v>1</v>
      </c>
      <c r="K156" t="n">
        <v>0</v>
      </c>
      <c r="L156" t="n">
        <v>0</v>
      </c>
      <c r="M156" t="n">
        <v>0</v>
      </c>
      <c r="N156" t="n">
        <v>0</v>
      </c>
      <c r="O156" t="n">
        <v>1</v>
      </c>
      <c r="P156" t="n">
        <v>0</v>
      </c>
      <c r="Q156" t="n">
        <v>2</v>
      </c>
      <c r="R156" s="2" t="inlineStr">
        <is>
          <t>Lunglav
Stuplav</t>
        </is>
      </c>
      <c r="S156">
        <f>HYPERLINK("https://klasma.github.io/Logging_2260/artfynd/A 26020-2024 artfynd.xlsx", "A 26020-2024")</f>
        <v/>
      </c>
      <c r="T156">
        <f>HYPERLINK("https://klasma.github.io/Logging_2260/kartor/A 26020-2024 karta.png", "A 26020-2024")</f>
        <v/>
      </c>
      <c r="V156">
        <f>HYPERLINK("https://klasma.github.io/Logging_2260/klagomål/A 26020-2024 FSC-klagomål.docx", "A 26020-2024")</f>
        <v/>
      </c>
      <c r="W156">
        <f>HYPERLINK("https://klasma.github.io/Logging_2260/klagomålsmail/A 26020-2024 FSC-klagomål mail.docx", "A 26020-2024")</f>
        <v/>
      </c>
      <c r="X156">
        <f>HYPERLINK("https://klasma.github.io/Logging_2260/tillsyn/A 26020-2024 tillsynsbegäran.docx", "A 26020-2024")</f>
        <v/>
      </c>
      <c r="Y156">
        <f>HYPERLINK("https://klasma.github.io/Logging_2260/tillsynsmail/A 26020-2024 tillsynsbegäran mail.docx", "A 26020-2024")</f>
        <v/>
      </c>
    </row>
    <row r="157" ht="15" customHeight="1">
      <c r="A157" t="inlineStr">
        <is>
          <t>A 29325-2023</t>
        </is>
      </c>
      <c r="B157" s="1" t="n">
        <v>45105</v>
      </c>
      <c r="C157" s="1" t="n">
        <v>45895</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48374-2024</t>
        </is>
      </c>
      <c r="B158" s="1" t="n">
        <v>45590.58028935185</v>
      </c>
      <c r="C158" s="1" t="n">
        <v>45895</v>
      </c>
      <c r="D158" t="inlineStr">
        <is>
          <t>VÄSTERNORRLANDS LÄN</t>
        </is>
      </c>
      <c r="E158" t="inlineStr">
        <is>
          <t>ÅNGE</t>
        </is>
      </c>
      <c r="G158" t="n">
        <v>6.6</v>
      </c>
      <c r="H158" t="n">
        <v>0</v>
      </c>
      <c r="I158" t="n">
        <v>1</v>
      </c>
      <c r="J158" t="n">
        <v>1</v>
      </c>
      <c r="K158" t="n">
        <v>0</v>
      </c>
      <c r="L158" t="n">
        <v>0</v>
      </c>
      <c r="M158" t="n">
        <v>0</v>
      </c>
      <c r="N158" t="n">
        <v>0</v>
      </c>
      <c r="O158" t="n">
        <v>1</v>
      </c>
      <c r="P158" t="n">
        <v>0</v>
      </c>
      <c r="Q158" t="n">
        <v>2</v>
      </c>
      <c r="R158" s="2" t="inlineStr">
        <is>
          <t>Kolflarnlav
Bollvitmossa</t>
        </is>
      </c>
      <c r="S158">
        <f>HYPERLINK("https://klasma.github.io/Logging_2260/artfynd/A 48374-2024 artfynd.xlsx", "A 48374-2024")</f>
        <v/>
      </c>
      <c r="T158">
        <f>HYPERLINK("https://klasma.github.io/Logging_2260/kartor/A 48374-2024 karta.png", "A 48374-2024")</f>
        <v/>
      </c>
      <c r="V158">
        <f>HYPERLINK("https://klasma.github.io/Logging_2260/klagomål/A 48374-2024 FSC-klagomål.docx", "A 48374-2024")</f>
        <v/>
      </c>
      <c r="W158">
        <f>HYPERLINK("https://klasma.github.io/Logging_2260/klagomålsmail/A 48374-2024 FSC-klagomål mail.docx", "A 48374-2024")</f>
        <v/>
      </c>
      <c r="X158">
        <f>HYPERLINK("https://klasma.github.io/Logging_2260/tillsyn/A 48374-2024 tillsynsbegäran.docx", "A 48374-2024")</f>
        <v/>
      </c>
      <c r="Y158">
        <f>HYPERLINK("https://klasma.github.io/Logging_2260/tillsynsmail/A 48374-2024 tillsynsbegäran mail.docx", "A 48374-2024")</f>
        <v/>
      </c>
    </row>
    <row r="159" ht="15" customHeight="1">
      <c r="A159" t="inlineStr">
        <is>
          <t>A 48695-2024</t>
        </is>
      </c>
      <c r="B159" s="1" t="n">
        <v>45593.5109837963</v>
      </c>
      <c r="C159" s="1" t="n">
        <v>45895</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49871-2024</t>
        </is>
      </c>
      <c r="B160" s="1" t="n">
        <v>45597.4903125</v>
      </c>
      <c r="C160" s="1" t="n">
        <v>45895</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20367-2022</t>
        </is>
      </c>
      <c r="B161" s="1" t="n">
        <v>44699</v>
      </c>
      <c r="C161" s="1" t="n">
        <v>45895</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31136-2022</t>
        </is>
      </c>
      <c r="B162" s="1" t="n">
        <v>44770.40920138889</v>
      </c>
      <c r="C162" s="1" t="n">
        <v>45895</v>
      </c>
      <c r="D162" t="inlineStr">
        <is>
          <t>VÄSTERNORRLANDS LÄN</t>
        </is>
      </c>
      <c r="E162" t="inlineStr">
        <is>
          <t>ÅNGE</t>
        </is>
      </c>
      <c r="F162" t="inlineStr">
        <is>
          <t>Övriga Aktiebolag</t>
        </is>
      </c>
      <c r="G162" t="n">
        <v>4.4</v>
      </c>
      <c r="H162" t="n">
        <v>1</v>
      </c>
      <c r="I162" t="n">
        <v>0</v>
      </c>
      <c r="J162" t="n">
        <v>0</v>
      </c>
      <c r="K162" t="n">
        <v>0</v>
      </c>
      <c r="L162" t="n">
        <v>0</v>
      </c>
      <c r="M162" t="n">
        <v>0</v>
      </c>
      <c r="N162" t="n">
        <v>0</v>
      </c>
      <c r="O162" t="n">
        <v>0</v>
      </c>
      <c r="P162" t="n">
        <v>0</v>
      </c>
      <c r="Q162" t="n">
        <v>1</v>
      </c>
      <c r="R162" s="2" t="inlineStr">
        <is>
          <t>Tjäder</t>
        </is>
      </c>
      <c r="S162">
        <f>HYPERLINK("https://klasma.github.io/Logging_2260/artfynd/A 31136-2022 artfynd.xlsx", "A 31136-2022")</f>
        <v/>
      </c>
      <c r="T162">
        <f>HYPERLINK("https://klasma.github.io/Logging_2260/kartor/A 31136-2022 karta.png", "A 31136-2022")</f>
        <v/>
      </c>
      <c r="V162">
        <f>HYPERLINK("https://klasma.github.io/Logging_2260/klagomål/A 31136-2022 FSC-klagomål.docx", "A 31136-2022")</f>
        <v/>
      </c>
      <c r="W162">
        <f>HYPERLINK("https://klasma.github.io/Logging_2260/klagomålsmail/A 31136-2022 FSC-klagomål mail.docx", "A 31136-2022")</f>
        <v/>
      </c>
      <c r="X162">
        <f>HYPERLINK("https://klasma.github.io/Logging_2260/tillsyn/A 31136-2022 tillsynsbegäran.docx", "A 31136-2022")</f>
        <v/>
      </c>
      <c r="Y162">
        <f>HYPERLINK("https://klasma.github.io/Logging_2260/tillsynsmail/A 31136-2022 tillsynsbegäran mail.docx", "A 31136-2022")</f>
        <v/>
      </c>
      <c r="Z162">
        <f>HYPERLINK("https://klasma.github.io/Logging_2260/fåglar/A 31136-2022 prioriterade fågelarter.docx", "A 31136-2022")</f>
        <v/>
      </c>
    </row>
    <row r="163" ht="15" customHeight="1">
      <c r="A163" t="inlineStr">
        <is>
          <t>A 61479-2021</t>
        </is>
      </c>
      <c r="B163" s="1" t="n">
        <v>44500</v>
      </c>
      <c r="C163" s="1" t="n">
        <v>45895</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31578-2021</t>
        </is>
      </c>
      <c r="B164" s="1" t="n">
        <v>44369</v>
      </c>
      <c r="C164" s="1" t="n">
        <v>45895</v>
      </c>
      <c r="D164" t="inlineStr">
        <is>
          <t>VÄSTERNORRLANDS LÄN</t>
        </is>
      </c>
      <c r="E164" t="inlineStr">
        <is>
          <t>ÅNGE</t>
        </is>
      </c>
      <c r="G164" t="n">
        <v>25.8</v>
      </c>
      <c r="H164" t="n">
        <v>1</v>
      </c>
      <c r="I164" t="n">
        <v>0</v>
      </c>
      <c r="J164" t="n">
        <v>0</v>
      </c>
      <c r="K164" t="n">
        <v>1</v>
      </c>
      <c r="L164" t="n">
        <v>0</v>
      </c>
      <c r="M164" t="n">
        <v>0</v>
      </c>
      <c r="N164" t="n">
        <v>0</v>
      </c>
      <c r="O164" t="n">
        <v>1</v>
      </c>
      <c r="P164" t="n">
        <v>1</v>
      </c>
      <c r="Q164" t="n">
        <v>1</v>
      </c>
      <c r="R164" s="2" t="inlineStr">
        <is>
          <t>Knärot</t>
        </is>
      </c>
      <c r="S164">
        <f>HYPERLINK("https://klasma.github.io/Logging_2260/artfynd/A 31578-2021 artfynd.xlsx", "A 31578-2021")</f>
        <v/>
      </c>
      <c r="T164">
        <f>HYPERLINK("https://klasma.github.io/Logging_2260/kartor/A 31578-2021 karta.png", "A 31578-2021")</f>
        <v/>
      </c>
      <c r="U164">
        <f>HYPERLINK("https://klasma.github.io/Logging_2260/knärot/A 31578-2021 karta knärot.png", "A 31578-2021")</f>
        <v/>
      </c>
      <c r="V164">
        <f>HYPERLINK("https://klasma.github.io/Logging_2260/klagomål/A 31578-2021 FSC-klagomål.docx", "A 31578-2021")</f>
        <v/>
      </c>
      <c r="W164">
        <f>HYPERLINK("https://klasma.github.io/Logging_2260/klagomålsmail/A 31578-2021 FSC-klagomål mail.docx", "A 31578-2021")</f>
        <v/>
      </c>
      <c r="X164">
        <f>HYPERLINK("https://klasma.github.io/Logging_2260/tillsyn/A 31578-2021 tillsynsbegäran.docx", "A 31578-2021")</f>
        <v/>
      </c>
      <c r="Y164">
        <f>HYPERLINK("https://klasma.github.io/Logging_2260/tillsynsmail/A 31578-2021 tillsynsbegäran mail.docx", "A 31578-2021")</f>
        <v/>
      </c>
    </row>
    <row r="165" ht="15" customHeight="1">
      <c r="A165" t="inlineStr">
        <is>
          <t>A 35018-2021</t>
        </is>
      </c>
      <c r="B165" s="1" t="n">
        <v>44383.69549768518</v>
      </c>
      <c r="C165" s="1" t="n">
        <v>45895</v>
      </c>
      <c r="D165" t="inlineStr">
        <is>
          <t>VÄSTERNORRLANDS LÄN</t>
        </is>
      </c>
      <c r="E165" t="inlineStr">
        <is>
          <t>ÅNGE</t>
        </is>
      </c>
      <c r="F165" t="inlineStr">
        <is>
          <t>Sveaskog</t>
        </is>
      </c>
      <c r="G165" t="n">
        <v>9.5</v>
      </c>
      <c r="H165" t="n">
        <v>1</v>
      </c>
      <c r="I165" t="n">
        <v>0</v>
      </c>
      <c r="J165" t="n">
        <v>1</v>
      </c>
      <c r="K165" t="n">
        <v>0</v>
      </c>
      <c r="L165" t="n">
        <v>0</v>
      </c>
      <c r="M165" t="n">
        <v>0</v>
      </c>
      <c r="N165" t="n">
        <v>0</v>
      </c>
      <c r="O165" t="n">
        <v>1</v>
      </c>
      <c r="P165" t="n">
        <v>0</v>
      </c>
      <c r="Q165" t="n">
        <v>1</v>
      </c>
      <c r="R165" s="2" t="inlineStr">
        <is>
          <t>Utter</t>
        </is>
      </c>
      <c r="S165">
        <f>HYPERLINK("https://klasma.github.io/Logging_2260/artfynd/A 35018-2021 artfynd.xlsx", "A 35018-2021")</f>
        <v/>
      </c>
      <c r="T165">
        <f>HYPERLINK("https://klasma.github.io/Logging_2260/kartor/A 35018-2021 karta.png", "A 35018-2021")</f>
        <v/>
      </c>
      <c r="V165">
        <f>HYPERLINK("https://klasma.github.io/Logging_2260/klagomål/A 35018-2021 FSC-klagomål.docx", "A 35018-2021")</f>
        <v/>
      </c>
      <c r="W165">
        <f>HYPERLINK("https://klasma.github.io/Logging_2260/klagomålsmail/A 35018-2021 FSC-klagomål mail.docx", "A 35018-2021")</f>
        <v/>
      </c>
      <c r="X165">
        <f>HYPERLINK("https://klasma.github.io/Logging_2260/tillsyn/A 35018-2021 tillsynsbegäran.docx", "A 35018-2021")</f>
        <v/>
      </c>
      <c r="Y165">
        <f>HYPERLINK("https://klasma.github.io/Logging_2260/tillsynsmail/A 35018-2021 tillsynsbegäran mail.docx", "A 35018-2021")</f>
        <v/>
      </c>
    </row>
    <row r="166" ht="15" customHeight="1">
      <c r="A166" t="inlineStr">
        <is>
          <t>A 5558-2021</t>
        </is>
      </c>
      <c r="B166" s="1" t="n">
        <v>44230</v>
      </c>
      <c r="C166" s="1" t="n">
        <v>45895</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38606-2024</t>
        </is>
      </c>
      <c r="B167" s="1" t="n">
        <v>45546.67804398148</v>
      </c>
      <c r="C167" s="1" t="n">
        <v>45895</v>
      </c>
      <c r="D167" t="inlineStr">
        <is>
          <t>VÄSTERNORRLANDS LÄN</t>
        </is>
      </c>
      <c r="E167" t="inlineStr">
        <is>
          <t>ÅNGE</t>
        </is>
      </c>
      <c r="F167" t="inlineStr">
        <is>
          <t>SCA</t>
        </is>
      </c>
      <c r="G167" t="n">
        <v>2.4</v>
      </c>
      <c r="H167" t="n">
        <v>0</v>
      </c>
      <c r="I167" t="n">
        <v>0</v>
      </c>
      <c r="J167" t="n">
        <v>1</v>
      </c>
      <c r="K167" t="n">
        <v>0</v>
      </c>
      <c r="L167" t="n">
        <v>0</v>
      </c>
      <c r="M167" t="n">
        <v>0</v>
      </c>
      <c r="N167" t="n">
        <v>0</v>
      </c>
      <c r="O167" t="n">
        <v>1</v>
      </c>
      <c r="P167" t="n">
        <v>0</v>
      </c>
      <c r="Q167" t="n">
        <v>1</v>
      </c>
      <c r="R167" s="2" t="inlineStr">
        <is>
          <t>Ullticka</t>
        </is>
      </c>
      <c r="S167">
        <f>HYPERLINK("https://klasma.github.io/Logging_2260/artfynd/A 38606-2024 artfynd.xlsx", "A 38606-2024")</f>
        <v/>
      </c>
      <c r="T167">
        <f>HYPERLINK("https://klasma.github.io/Logging_2260/kartor/A 38606-2024 karta.png", "A 38606-2024")</f>
        <v/>
      </c>
      <c r="V167">
        <f>HYPERLINK("https://klasma.github.io/Logging_2260/klagomål/A 38606-2024 FSC-klagomål.docx", "A 38606-2024")</f>
        <v/>
      </c>
      <c r="W167">
        <f>HYPERLINK("https://klasma.github.io/Logging_2260/klagomålsmail/A 38606-2024 FSC-klagomål mail.docx", "A 38606-2024")</f>
        <v/>
      </c>
      <c r="X167">
        <f>HYPERLINK("https://klasma.github.io/Logging_2260/tillsyn/A 38606-2024 tillsynsbegäran.docx", "A 38606-2024")</f>
        <v/>
      </c>
      <c r="Y167">
        <f>HYPERLINK("https://klasma.github.io/Logging_2260/tillsynsmail/A 38606-2024 tillsynsbegäran mail.docx", "A 38606-2024")</f>
        <v/>
      </c>
    </row>
    <row r="168" ht="15" customHeight="1">
      <c r="A168" t="inlineStr">
        <is>
          <t>A 43171-2024</t>
        </is>
      </c>
      <c r="B168" s="1" t="n">
        <v>45567</v>
      </c>
      <c r="C168" s="1" t="n">
        <v>45895</v>
      </c>
      <c r="D168" t="inlineStr">
        <is>
          <t>VÄSTERNORRLANDS LÄN</t>
        </is>
      </c>
      <c r="E168" t="inlineStr">
        <is>
          <t>ÅNGE</t>
        </is>
      </c>
      <c r="F168" t="inlineStr">
        <is>
          <t>SCA</t>
        </is>
      </c>
      <c r="G168" t="n">
        <v>3.4</v>
      </c>
      <c r="H168" t="n">
        <v>0</v>
      </c>
      <c r="I168" t="n">
        <v>0</v>
      </c>
      <c r="J168" t="n">
        <v>1</v>
      </c>
      <c r="K168" t="n">
        <v>0</v>
      </c>
      <c r="L168" t="n">
        <v>0</v>
      </c>
      <c r="M168" t="n">
        <v>0</v>
      </c>
      <c r="N168" t="n">
        <v>0</v>
      </c>
      <c r="O168" t="n">
        <v>1</v>
      </c>
      <c r="P168" t="n">
        <v>0</v>
      </c>
      <c r="Q168" t="n">
        <v>1</v>
      </c>
      <c r="R168" s="2" t="inlineStr">
        <is>
          <t>Rosenticka</t>
        </is>
      </c>
      <c r="S168">
        <f>HYPERLINK("https://klasma.github.io/Logging_2260/artfynd/A 43171-2024 artfynd.xlsx", "A 43171-2024")</f>
        <v/>
      </c>
      <c r="T168">
        <f>HYPERLINK("https://klasma.github.io/Logging_2260/kartor/A 43171-2024 karta.png", "A 43171-2024")</f>
        <v/>
      </c>
      <c r="V168">
        <f>HYPERLINK("https://klasma.github.io/Logging_2260/klagomål/A 43171-2024 FSC-klagomål.docx", "A 43171-2024")</f>
        <v/>
      </c>
      <c r="W168">
        <f>HYPERLINK("https://klasma.github.io/Logging_2260/klagomålsmail/A 43171-2024 FSC-klagomål mail.docx", "A 43171-2024")</f>
        <v/>
      </c>
      <c r="X168">
        <f>HYPERLINK("https://klasma.github.io/Logging_2260/tillsyn/A 43171-2024 tillsynsbegäran.docx", "A 43171-2024")</f>
        <v/>
      </c>
      <c r="Y168">
        <f>HYPERLINK("https://klasma.github.io/Logging_2260/tillsynsmail/A 43171-2024 tillsynsbegäran mail.docx", "A 43171-2024")</f>
        <v/>
      </c>
    </row>
    <row r="169" ht="15" customHeight="1">
      <c r="A169" t="inlineStr">
        <is>
          <t>A 64510-2023</t>
        </is>
      </c>
      <c r="B169" s="1" t="n">
        <v>45281</v>
      </c>
      <c r="C169" s="1" t="n">
        <v>45895</v>
      </c>
      <c r="D169" t="inlineStr">
        <is>
          <t>VÄSTERNORRLANDS LÄN</t>
        </is>
      </c>
      <c r="E169" t="inlineStr">
        <is>
          <t>ÅNGE</t>
        </is>
      </c>
      <c r="G169" t="n">
        <v>3.7</v>
      </c>
      <c r="H169" t="n">
        <v>0</v>
      </c>
      <c r="I169" t="n">
        <v>1</v>
      </c>
      <c r="J169" t="n">
        <v>0</v>
      </c>
      <c r="K169" t="n">
        <v>0</v>
      </c>
      <c r="L169" t="n">
        <v>0</v>
      </c>
      <c r="M169" t="n">
        <v>0</v>
      </c>
      <c r="N169" t="n">
        <v>0</v>
      </c>
      <c r="O169" t="n">
        <v>0</v>
      </c>
      <c r="P169" t="n">
        <v>0</v>
      </c>
      <c r="Q169" t="n">
        <v>1</v>
      </c>
      <c r="R169" s="2" t="inlineStr">
        <is>
          <t>Dropptaggsvamp</t>
        </is>
      </c>
      <c r="S169">
        <f>HYPERLINK("https://klasma.github.io/Logging_2260/artfynd/A 64510-2023 artfynd.xlsx", "A 64510-2023")</f>
        <v/>
      </c>
      <c r="T169">
        <f>HYPERLINK("https://klasma.github.io/Logging_2260/kartor/A 64510-2023 karta.png", "A 64510-2023")</f>
        <v/>
      </c>
      <c r="V169">
        <f>HYPERLINK("https://klasma.github.io/Logging_2260/klagomål/A 64510-2023 FSC-klagomål.docx", "A 64510-2023")</f>
        <v/>
      </c>
      <c r="W169">
        <f>HYPERLINK("https://klasma.github.io/Logging_2260/klagomålsmail/A 64510-2023 FSC-klagomål mail.docx", "A 64510-2023")</f>
        <v/>
      </c>
      <c r="X169">
        <f>HYPERLINK("https://klasma.github.io/Logging_2260/tillsyn/A 64510-2023 tillsynsbegäran.docx", "A 64510-2023")</f>
        <v/>
      </c>
      <c r="Y169">
        <f>HYPERLINK("https://klasma.github.io/Logging_2260/tillsynsmail/A 64510-2023 tillsynsbegäran mail.docx", "A 64510-2023")</f>
        <v/>
      </c>
    </row>
    <row r="170" ht="15" customHeight="1">
      <c r="A170" t="inlineStr">
        <is>
          <t>A 38603-2024</t>
        </is>
      </c>
      <c r="B170" s="1" t="n">
        <v>45546</v>
      </c>
      <c r="C170" s="1" t="n">
        <v>45895</v>
      </c>
      <c r="D170" t="inlineStr">
        <is>
          <t>VÄSTERNORRLANDS LÄN</t>
        </is>
      </c>
      <c r="E170" t="inlineStr">
        <is>
          <t>ÅNGE</t>
        </is>
      </c>
      <c r="F170" t="inlineStr">
        <is>
          <t>SCA</t>
        </is>
      </c>
      <c r="G170" t="n">
        <v>5.6</v>
      </c>
      <c r="H170" t="n">
        <v>0</v>
      </c>
      <c r="I170" t="n">
        <v>0</v>
      </c>
      <c r="J170" t="n">
        <v>0</v>
      </c>
      <c r="K170" t="n">
        <v>1</v>
      </c>
      <c r="L170" t="n">
        <v>0</v>
      </c>
      <c r="M170" t="n">
        <v>0</v>
      </c>
      <c r="N170" t="n">
        <v>0</v>
      </c>
      <c r="O170" t="n">
        <v>1</v>
      </c>
      <c r="P170" t="n">
        <v>1</v>
      </c>
      <c r="Q170" t="n">
        <v>1</v>
      </c>
      <c r="R170" s="2" t="inlineStr">
        <is>
          <t>Rynkskinn</t>
        </is>
      </c>
      <c r="S170">
        <f>HYPERLINK("https://klasma.github.io/Logging_2260/artfynd/A 38603-2024 artfynd.xlsx", "A 38603-2024")</f>
        <v/>
      </c>
      <c r="T170">
        <f>HYPERLINK("https://klasma.github.io/Logging_2260/kartor/A 38603-2024 karta.png", "A 38603-2024")</f>
        <v/>
      </c>
      <c r="V170">
        <f>HYPERLINK("https://klasma.github.io/Logging_2260/klagomål/A 38603-2024 FSC-klagomål.docx", "A 38603-2024")</f>
        <v/>
      </c>
      <c r="W170">
        <f>HYPERLINK("https://klasma.github.io/Logging_2260/klagomålsmail/A 38603-2024 FSC-klagomål mail.docx", "A 38603-2024")</f>
        <v/>
      </c>
      <c r="X170">
        <f>HYPERLINK("https://klasma.github.io/Logging_2260/tillsyn/A 38603-2024 tillsynsbegäran.docx", "A 38603-2024")</f>
        <v/>
      </c>
      <c r="Y170">
        <f>HYPERLINK("https://klasma.github.io/Logging_2260/tillsynsmail/A 38603-2024 tillsynsbegäran mail.docx", "A 38603-2024")</f>
        <v/>
      </c>
    </row>
    <row r="171" ht="15" customHeight="1">
      <c r="A171" t="inlineStr">
        <is>
          <t>A 20192-2025</t>
        </is>
      </c>
      <c r="B171" s="1" t="n">
        <v>45772.60177083333</v>
      </c>
      <c r="C171" s="1" t="n">
        <v>45895</v>
      </c>
      <c r="D171" t="inlineStr">
        <is>
          <t>VÄSTERNORRLANDS LÄN</t>
        </is>
      </c>
      <c r="E171" t="inlineStr">
        <is>
          <t>ÅNGE</t>
        </is>
      </c>
      <c r="F171" t="inlineStr">
        <is>
          <t>Sveaskog</t>
        </is>
      </c>
      <c r="G171" t="n">
        <v>8.800000000000001</v>
      </c>
      <c r="H171" t="n">
        <v>1</v>
      </c>
      <c r="I171" t="n">
        <v>0</v>
      </c>
      <c r="J171" t="n">
        <v>0</v>
      </c>
      <c r="K171" t="n">
        <v>0</v>
      </c>
      <c r="L171" t="n">
        <v>0</v>
      </c>
      <c r="M171" t="n">
        <v>0</v>
      </c>
      <c r="N171" t="n">
        <v>0</v>
      </c>
      <c r="O171" t="n">
        <v>0</v>
      </c>
      <c r="P171" t="n">
        <v>0</v>
      </c>
      <c r="Q171" t="n">
        <v>1</v>
      </c>
      <c r="R171" s="2" t="inlineStr">
        <is>
          <t>Blåsippa</t>
        </is>
      </c>
      <c r="S171">
        <f>HYPERLINK("https://klasma.github.io/Logging_2260/artfynd/A 20192-2025 artfynd.xlsx", "A 20192-2025")</f>
        <v/>
      </c>
      <c r="T171">
        <f>HYPERLINK("https://klasma.github.io/Logging_2260/kartor/A 20192-2025 karta.png", "A 20192-2025")</f>
        <v/>
      </c>
      <c r="V171">
        <f>HYPERLINK("https://klasma.github.io/Logging_2260/klagomål/A 20192-2025 FSC-klagomål.docx", "A 20192-2025")</f>
        <v/>
      </c>
      <c r="W171">
        <f>HYPERLINK("https://klasma.github.io/Logging_2260/klagomålsmail/A 20192-2025 FSC-klagomål mail.docx", "A 20192-2025")</f>
        <v/>
      </c>
      <c r="X171">
        <f>HYPERLINK("https://klasma.github.io/Logging_2260/tillsyn/A 20192-2025 tillsynsbegäran.docx", "A 20192-2025")</f>
        <v/>
      </c>
      <c r="Y171">
        <f>HYPERLINK("https://klasma.github.io/Logging_2260/tillsynsmail/A 20192-2025 tillsynsbegäran mail.docx", "A 20192-2025")</f>
        <v/>
      </c>
    </row>
    <row r="172" ht="15" customHeight="1">
      <c r="A172" t="inlineStr">
        <is>
          <t>A 4351-2024</t>
        </is>
      </c>
      <c r="B172" s="1" t="n">
        <v>45324</v>
      </c>
      <c r="C172" s="1" t="n">
        <v>45895</v>
      </c>
      <c r="D172" t="inlineStr">
        <is>
          <t>VÄSTERNORRLANDS LÄN</t>
        </is>
      </c>
      <c r="E172" t="inlineStr">
        <is>
          <t>ÅNGE</t>
        </is>
      </c>
      <c r="F172" t="inlineStr">
        <is>
          <t>SCA</t>
        </is>
      </c>
      <c r="G172" t="n">
        <v>0.5</v>
      </c>
      <c r="H172" t="n">
        <v>0</v>
      </c>
      <c r="I172" t="n">
        <v>0</v>
      </c>
      <c r="J172" t="n">
        <v>1</v>
      </c>
      <c r="K172" t="n">
        <v>0</v>
      </c>
      <c r="L172" t="n">
        <v>0</v>
      </c>
      <c r="M172" t="n">
        <v>0</v>
      </c>
      <c r="N172" t="n">
        <v>0</v>
      </c>
      <c r="O172" t="n">
        <v>1</v>
      </c>
      <c r="P172" t="n">
        <v>0</v>
      </c>
      <c r="Q172" t="n">
        <v>1</v>
      </c>
      <c r="R172" s="2" t="inlineStr">
        <is>
          <t>Garnlav</t>
        </is>
      </c>
      <c r="S172">
        <f>HYPERLINK("https://klasma.github.io/Logging_2260/artfynd/A 4351-2024 artfynd.xlsx", "A 4351-2024")</f>
        <v/>
      </c>
      <c r="T172">
        <f>HYPERLINK("https://klasma.github.io/Logging_2260/kartor/A 4351-2024 karta.png", "A 4351-2024")</f>
        <v/>
      </c>
      <c r="V172">
        <f>HYPERLINK("https://klasma.github.io/Logging_2260/klagomål/A 4351-2024 FSC-klagomål.docx", "A 4351-2024")</f>
        <v/>
      </c>
      <c r="W172">
        <f>HYPERLINK("https://klasma.github.io/Logging_2260/klagomålsmail/A 4351-2024 FSC-klagomål mail.docx", "A 4351-2024")</f>
        <v/>
      </c>
      <c r="X172">
        <f>HYPERLINK("https://klasma.github.io/Logging_2260/tillsyn/A 4351-2024 tillsynsbegäran.docx", "A 4351-2024")</f>
        <v/>
      </c>
      <c r="Y172">
        <f>HYPERLINK("https://klasma.github.io/Logging_2260/tillsynsmail/A 4351-2024 tillsynsbegäran mail.docx", "A 4351-2024")</f>
        <v/>
      </c>
    </row>
    <row r="173" ht="15" customHeight="1">
      <c r="A173" t="inlineStr">
        <is>
          <t>A 27308-2024</t>
        </is>
      </c>
      <c r="B173" s="1" t="n">
        <v>45471</v>
      </c>
      <c r="C173" s="1" t="n">
        <v>45895</v>
      </c>
      <c r="D173" t="inlineStr">
        <is>
          <t>VÄSTERNORRLANDS LÄN</t>
        </is>
      </c>
      <c r="E173" t="inlineStr">
        <is>
          <t>ÅNGE</t>
        </is>
      </c>
      <c r="F173" t="inlineStr">
        <is>
          <t>SCA</t>
        </is>
      </c>
      <c r="G173" t="n">
        <v>15.9</v>
      </c>
      <c r="H173" t="n">
        <v>0</v>
      </c>
      <c r="I173" t="n">
        <v>0</v>
      </c>
      <c r="J173" t="n">
        <v>1</v>
      </c>
      <c r="K173" t="n">
        <v>0</v>
      </c>
      <c r="L173" t="n">
        <v>0</v>
      </c>
      <c r="M173" t="n">
        <v>0</v>
      </c>
      <c r="N173" t="n">
        <v>0</v>
      </c>
      <c r="O173" t="n">
        <v>1</v>
      </c>
      <c r="P173" t="n">
        <v>0</v>
      </c>
      <c r="Q173" t="n">
        <v>1</v>
      </c>
      <c r="R173" s="2" t="inlineStr">
        <is>
          <t>Lunglav</t>
        </is>
      </c>
      <c r="S173">
        <f>HYPERLINK("https://klasma.github.io/Logging_2260/artfynd/A 27308-2024 artfynd.xlsx", "A 27308-2024")</f>
        <v/>
      </c>
      <c r="T173">
        <f>HYPERLINK("https://klasma.github.io/Logging_2260/kartor/A 27308-2024 karta.png", "A 27308-2024")</f>
        <v/>
      </c>
      <c r="V173">
        <f>HYPERLINK("https://klasma.github.io/Logging_2260/klagomål/A 27308-2024 FSC-klagomål.docx", "A 27308-2024")</f>
        <v/>
      </c>
      <c r="W173">
        <f>HYPERLINK("https://klasma.github.io/Logging_2260/klagomålsmail/A 27308-2024 FSC-klagomål mail.docx", "A 27308-2024")</f>
        <v/>
      </c>
      <c r="X173">
        <f>HYPERLINK("https://klasma.github.io/Logging_2260/tillsyn/A 27308-2024 tillsynsbegäran.docx", "A 27308-2024")</f>
        <v/>
      </c>
      <c r="Y173">
        <f>HYPERLINK("https://klasma.github.io/Logging_2260/tillsynsmail/A 27308-2024 tillsynsbegäran mail.docx", "A 27308-2024")</f>
        <v/>
      </c>
    </row>
    <row r="174" ht="15" customHeight="1">
      <c r="A174" t="inlineStr">
        <is>
          <t>A 24799-2024</t>
        </is>
      </c>
      <c r="B174" s="1" t="n">
        <v>45460</v>
      </c>
      <c r="C174" s="1" t="n">
        <v>45895</v>
      </c>
      <c r="D174" t="inlineStr">
        <is>
          <t>VÄSTERNORRLANDS LÄN</t>
        </is>
      </c>
      <c r="E174" t="inlineStr">
        <is>
          <t>ÅNGE</t>
        </is>
      </c>
      <c r="F174" t="inlineStr">
        <is>
          <t>SCA</t>
        </is>
      </c>
      <c r="G174" t="n">
        <v>2.8</v>
      </c>
      <c r="H174" t="n">
        <v>1</v>
      </c>
      <c r="I174" t="n">
        <v>0</v>
      </c>
      <c r="J174" t="n">
        <v>0</v>
      </c>
      <c r="K174" t="n">
        <v>1</v>
      </c>
      <c r="L174" t="n">
        <v>0</v>
      </c>
      <c r="M174" t="n">
        <v>0</v>
      </c>
      <c r="N174" t="n">
        <v>0</v>
      </c>
      <c r="O174" t="n">
        <v>1</v>
      </c>
      <c r="P174" t="n">
        <v>1</v>
      </c>
      <c r="Q174" t="n">
        <v>1</v>
      </c>
      <c r="R174" s="2" t="inlineStr">
        <is>
          <t>Doftticka</t>
        </is>
      </c>
      <c r="S174">
        <f>HYPERLINK("https://klasma.github.io/Logging_2260/artfynd/A 24799-2024 artfynd.xlsx", "A 24799-2024")</f>
        <v/>
      </c>
      <c r="T174">
        <f>HYPERLINK("https://klasma.github.io/Logging_2260/kartor/A 24799-2024 karta.png", "A 24799-2024")</f>
        <v/>
      </c>
      <c r="V174">
        <f>HYPERLINK("https://klasma.github.io/Logging_2260/klagomål/A 24799-2024 FSC-klagomål.docx", "A 24799-2024")</f>
        <v/>
      </c>
      <c r="W174">
        <f>HYPERLINK("https://klasma.github.io/Logging_2260/klagomålsmail/A 24799-2024 FSC-klagomål mail.docx", "A 24799-2024")</f>
        <v/>
      </c>
      <c r="X174">
        <f>HYPERLINK("https://klasma.github.io/Logging_2260/tillsyn/A 24799-2024 tillsynsbegäran.docx", "A 24799-2024")</f>
        <v/>
      </c>
      <c r="Y174">
        <f>HYPERLINK("https://klasma.github.io/Logging_2260/tillsynsmail/A 24799-2024 tillsynsbegäran mail.docx", "A 24799-2024")</f>
        <v/>
      </c>
    </row>
    <row r="175" ht="15" customHeight="1">
      <c r="A175" t="inlineStr">
        <is>
          <t>A 71366-2021</t>
        </is>
      </c>
      <c r="B175" s="1" t="n">
        <v>44539</v>
      </c>
      <c r="C175" s="1" t="n">
        <v>45895</v>
      </c>
      <c r="D175" t="inlineStr">
        <is>
          <t>VÄSTERNORRLANDS LÄN</t>
        </is>
      </c>
      <c r="E175" t="inlineStr">
        <is>
          <t>ÅNGE</t>
        </is>
      </c>
      <c r="F175" t="inlineStr">
        <is>
          <t>SCA</t>
        </is>
      </c>
      <c r="G175" t="n">
        <v>2.3</v>
      </c>
      <c r="H175" t="n">
        <v>1</v>
      </c>
      <c r="I175" t="n">
        <v>0</v>
      </c>
      <c r="J175" t="n">
        <v>0</v>
      </c>
      <c r="K175" t="n">
        <v>1</v>
      </c>
      <c r="L175" t="n">
        <v>0</v>
      </c>
      <c r="M175" t="n">
        <v>0</v>
      </c>
      <c r="N175" t="n">
        <v>0</v>
      </c>
      <c r="O175" t="n">
        <v>1</v>
      </c>
      <c r="P175" t="n">
        <v>1</v>
      </c>
      <c r="Q175" t="n">
        <v>1</v>
      </c>
      <c r="R175" s="2" t="inlineStr">
        <is>
          <t>Knärot</t>
        </is>
      </c>
      <c r="S175">
        <f>HYPERLINK("https://klasma.github.io/Logging_2260/artfynd/A 71366-2021 artfynd.xlsx", "A 71366-2021")</f>
        <v/>
      </c>
      <c r="T175">
        <f>HYPERLINK("https://klasma.github.io/Logging_2260/kartor/A 71366-2021 karta.png", "A 71366-2021")</f>
        <v/>
      </c>
      <c r="U175">
        <f>HYPERLINK("https://klasma.github.io/Logging_2260/knärot/A 71366-2021 karta knärot.png", "A 71366-2021")</f>
        <v/>
      </c>
      <c r="V175">
        <f>HYPERLINK("https://klasma.github.io/Logging_2260/klagomål/A 71366-2021 FSC-klagomål.docx", "A 71366-2021")</f>
        <v/>
      </c>
      <c r="W175">
        <f>HYPERLINK("https://klasma.github.io/Logging_2260/klagomålsmail/A 71366-2021 FSC-klagomål mail.docx", "A 71366-2021")</f>
        <v/>
      </c>
      <c r="X175">
        <f>HYPERLINK("https://klasma.github.io/Logging_2260/tillsyn/A 71366-2021 tillsynsbegäran.docx", "A 71366-2021")</f>
        <v/>
      </c>
      <c r="Y175">
        <f>HYPERLINK("https://klasma.github.io/Logging_2260/tillsynsmail/A 71366-2021 tillsynsbegäran mail.docx", "A 71366-2021")</f>
        <v/>
      </c>
    </row>
    <row r="176" ht="15" customHeight="1">
      <c r="A176" t="inlineStr">
        <is>
          <t>A 13934-2024</t>
        </is>
      </c>
      <c r="B176" s="1" t="n">
        <v>45391</v>
      </c>
      <c r="C176" s="1" t="n">
        <v>45895</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56091-2024</t>
        </is>
      </c>
      <c r="B177" s="1" t="n">
        <v>45624.40678240741</v>
      </c>
      <c r="C177" s="1" t="n">
        <v>45895</v>
      </c>
      <c r="D177" t="inlineStr">
        <is>
          <t>VÄSTERNORRLANDS LÄN</t>
        </is>
      </c>
      <c r="E177" t="inlineStr">
        <is>
          <t>ÅNGE</t>
        </is>
      </c>
      <c r="F177" t="inlineStr">
        <is>
          <t>SCA</t>
        </is>
      </c>
      <c r="G177" t="n">
        <v>2.5</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56091-2024 artfynd.xlsx", "A 56091-2024")</f>
        <v/>
      </c>
      <c r="T177">
        <f>HYPERLINK("https://klasma.github.io/Logging_2260/kartor/A 56091-2024 karta.png", "A 56091-2024")</f>
        <v/>
      </c>
      <c r="V177">
        <f>HYPERLINK("https://klasma.github.io/Logging_2260/klagomål/A 56091-2024 FSC-klagomål.docx", "A 56091-2024")</f>
        <v/>
      </c>
      <c r="W177">
        <f>HYPERLINK("https://klasma.github.io/Logging_2260/klagomålsmail/A 56091-2024 FSC-klagomål mail.docx", "A 56091-2024")</f>
        <v/>
      </c>
      <c r="X177">
        <f>HYPERLINK("https://klasma.github.io/Logging_2260/tillsyn/A 56091-2024 tillsynsbegäran.docx", "A 56091-2024")</f>
        <v/>
      </c>
      <c r="Y177">
        <f>HYPERLINK("https://klasma.github.io/Logging_2260/tillsynsmail/A 56091-2024 tillsynsbegäran mail.docx", "A 56091-2024")</f>
        <v/>
      </c>
    </row>
    <row r="178" ht="15" customHeight="1">
      <c r="A178" t="inlineStr">
        <is>
          <t>A 31878-2024</t>
        </is>
      </c>
      <c r="B178" s="1" t="n">
        <v>45509</v>
      </c>
      <c r="C178" s="1" t="n">
        <v>45895</v>
      </c>
      <c r="D178" t="inlineStr">
        <is>
          <t>VÄSTERNORRLANDS LÄN</t>
        </is>
      </c>
      <c r="E178" t="inlineStr">
        <is>
          <t>ÅNGE</t>
        </is>
      </c>
      <c r="F178" t="inlineStr">
        <is>
          <t>SCA</t>
        </is>
      </c>
      <c r="G178" t="n">
        <v>5.1</v>
      </c>
      <c r="H178" t="n">
        <v>0</v>
      </c>
      <c r="I178" t="n">
        <v>1</v>
      </c>
      <c r="J178" t="n">
        <v>0</v>
      </c>
      <c r="K178" t="n">
        <v>0</v>
      </c>
      <c r="L178" t="n">
        <v>0</v>
      </c>
      <c r="M178" t="n">
        <v>0</v>
      </c>
      <c r="N178" t="n">
        <v>0</v>
      </c>
      <c r="O178" t="n">
        <v>0</v>
      </c>
      <c r="P178" t="n">
        <v>0</v>
      </c>
      <c r="Q178" t="n">
        <v>1</v>
      </c>
      <c r="R178" s="2" t="inlineStr">
        <is>
          <t>Grönpyrola</t>
        </is>
      </c>
      <c r="S178">
        <f>HYPERLINK("https://klasma.github.io/Logging_2260/artfynd/A 31878-2024 artfynd.xlsx", "A 31878-2024")</f>
        <v/>
      </c>
      <c r="T178">
        <f>HYPERLINK("https://klasma.github.io/Logging_2260/kartor/A 31878-2024 karta.png", "A 31878-2024")</f>
        <v/>
      </c>
      <c r="V178">
        <f>HYPERLINK("https://klasma.github.io/Logging_2260/klagomål/A 31878-2024 FSC-klagomål.docx", "A 31878-2024")</f>
        <v/>
      </c>
      <c r="W178">
        <f>HYPERLINK("https://klasma.github.io/Logging_2260/klagomålsmail/A 31878-2024 FSC-klagomål mail.docx", "A 31878-2024")</f>
        <v/>
      </c>
      <c r="X178">
        <f>HYPERLINK("https://klasma.github.io/Logging_2260/tillsyn/A 31878-2024 tillsynsbegäran.docx", "A 31878-2024")</f>
        <v/>
      </c>
      <c r="Y178">
        <f>HYPERLINK("https://klasma.github.io/Logging_2260/tillsynsmail/A 31878-2024 tillsynsbegäran mail.docx", "A 31878-2024")</f>
        <v/>
      </c>
    </row>
    <row r="179" ht="15" customHeight="1">
      <c r="A179" t="inlineStr">
        <is>
          <t>A 23490-2025</t>
        </is>
      </c>
      <c r="B179" s="1" t="n">
        <v>45792.46907407408</v>
      </c>
      <c r="C179" s="1" t="n">
        <v>45895</v>
      </c>
      <c r="D179" t="inlineStr">
        <is>
          <t>VÄSTERNORRLANDS LÄN</t>
        </is>
      </c>
      <c r="E179" t="inlineStr">
        <is>
          <t>ÅNGE</t>
        </is>
      </c>
      <c r="F179" t="inlineStr">
        <is>
          <t>SCA</t>
        </is>
      </c>
      <c r="G179" t="n">
        <v>3.3</v>
      </c>
      <c r="H179" t="n">
        <v>0</v>
      </c>
      <c r="I179" t="n">
        <v>0</v>
      </c>
      <c r="J179" t="n">
        <v>1</v>
      </c>
      <c r="K179" t="n">
        <v>0</v>
      </c>
      <c r="L179" t="n">
        <v>0</v>
      </c>
      <c r="M179" t="n">
        <v>0</v>
      </c>
      <c r="N179" t="n">
        <v>0</v>
      </c>
      <c r="O179" t="n">
        <v>1</v>
      </c>
      <c r="P179" t="n">
        <v>0</v>
      </c>
      <c r="Q179" t="n">
        <v>1</v>
      </c>
      <c r="R179" s="2" t="inlineStr">
        <is>
          <t>Garnlav</t>
        </is>
      </c>
      <c r="S179">
        <f>HYPERLINK("https://klasma.github.io/Logging_2260/artfynd/A 23490-2025 artfynd.xlsx", "A 23490-2025")</f>
        <v/>
      </c>
      <c r="T179">
        <f>HYPERLINK("https://klasma.github.io/Logging_2260/kartor/A 23490-2025 karta.png", "A 23490-2025")</f>
        <v/>
      </c>
      <c r="V179">
        <f>HYPERLINK("https://klasma.github.io/Logging_2260/klagomål/A 23490-2025 FSC-klagomål.docx", "A 23490-2025")</f>
        <v/>
      </c>
      <c r="W179">
        <f>HYPERLINK("https://klasma.github.io/Logging_2260/klagomålsmail/A 23490-2025 FSC-klagomål mail.docx", "A 23490-2025")</f>
        <v/>
      </c>
      <c r="X179">
        <f>HYPERLINK("https://klasma.github.io/Logging_2260/tillsyn/A 23490-2025 tillsynsbegäran.docx", "A 23490-2025")</f>
        <v/>
      </c>
      <c r="Y179">
        <f>HYPERLINK("https://klasma.github.io/Logging_2260/tillsynsmail/A 23490-2025 tillsynsbegäran mail.docx", "A 23490-2025")</f>
        <v/>
      </c>
    </row>
    <row r="180" ht="15" customHeight="1">
      <c r="A180" t="inlineStr">
        <is>
          <t>A 31544-2024</t>
        </is>
      </c>
      <c r="B180" s="1" t="n">
        <v>45505</v>
      </c>
      <c r="C180" s="1" t="n">
        <v>45895</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37914-2024</t>
        </is>
      </c>
      <c r="B181" s="1" t="n">
        <v>45544</v>
      </c>
      <c r="C181" s="1" t="n">
        <v>45895</v>
      </c>
      <c r="D181" t="inlineStr">
        <is>
          <t>VÄSTERNORRLANDS LÄN</t>
        </is>
      </c>
      <c r="E181" t="inlineStr">
        <is>
          <t>ÅNGE</t>
        </is>
      </c>
      <c r="F181" t="inlineStr">
        <is>
          <t>SCA</t>
        </is>
      </c>
      <c r="G181" t="n">
        <v>9</v>
      </c>
      <c r="H181" t="n">
        <v>0</v>
      </c>
      <c r="I181" t="n">
        <v>0</v>
      </c>
      <c r="J181" t="n">
        <v>1</v>
      </c>
      <c r="K181" t="n">
        <v>0</v>
      </c>
      <c r="L181" t="n">
        <v>0</v>
      </c>
      <c r="M181" t="n">
        <v>0</v>
      </c>
      <c r="N181" t="n">
        <v>0</v>
      </c>
      <c r="O181" t="n">
        <v>1</v>
      </c>
      <c r="P181" t="n">
        <v>0</v>
      </c>
      <c r="Q181" t="n">
        <v>1</v>
      </c>
      <c r="R181" s="2" t="inlineStr">
        <is>
          <t>Granticka</t>
        </is>
      </c>
      <c r="S181">
        <f>HYPERLINK("https://klasma.github.io/Logging_2260/artfynd/A 37914-2024 artfynd.xlsx", "A 37914-2024")</f>
        <v/>
      </c>
      <c r="T181">
        <f>HYPERLINK("https://klasma.github.io/Logging_2260/kartor/A 37914-2024 karta.png", "A 37914-2024")</f>
        <v/>
      </c>
      <c r="V181">
        <f>HYPERLINK("https://klasma.github.io/Logging_2260/klagomål/A 37914-2024 FSC-klagomål.docx", "A 37914-2024")</f>
        <v/>
      </c>
      <c r="W181">
        <f>HYPERLINK("https://klasma.github.io/Logging_2260/klagomålsmail/A 37914-2024 FSC-klagomål mail.docx", "A 37914-2024")</f>
        <v/>
      </c>
      <c r="X181">
        <f>HYPERLINK("https://klasma.github.io/Logging_2260/tillsyn/A 37914-2024 tillsynsbegäran.docx", "A 37914-2024")</f>
        <v/>
      </c>
      <c r="Y181">
        <f>HYPERLINK("https://klasma.github.io/Logging_2260/tillsynsmail/A 37914-2024 tillsynsbegäran mail.docx", "A 37914-2024")</f>
        <v/>
      </c>
    </row>
    <row r="182" ht="15" customHeight="1">
      <c r="A182" t="inlineStr">
        <is>
          <t>A 31510-2024</t>
        </is>
      </c>
      <c r="B182" s="1" t="n">
        <v>45505</v>
      </c>
      <c r="C182" s="1" t="n">
        <v>45895</v>
      </c>
      <c r="D182" t="inlineStr">
        <is>
          <t>VÄSTERNORRLANDS LÄN</t>
        </is>
      </c>
      <c r="E182" t="inlineStr">
        <is>
          <t>ÅNGE</t>
        </is>
      </c>
      <c r="F182" t="inlineStr">
        <is>
          <t>SCA</t>
        </is>
      </c>
      <c r="G182" t="n">
        <v>6</v>
      </c>
      <c r="H182" t="n">
        <v>1</v>
      </c>
      <c r="I182" t="n">
        <v>0</v>
      </c>
      <c r="J182" t="n">
        <v>0</v>
      </c>
      <c r="K182" t="n">
        <v>1</v>
      </c>
      <c r="L182" t="n">
        <v>0</v>
      </c>
      <c r="M182" t="n">
        <v>0</v>
      </c>
      <c r="N182" t="n">
        <v>0</v>
      </c>
      <c r="O182" t="n">
        <v>1</v>
      </c>
      <c r="P182" t="n">
        <v>1</v>
      </c>
      <c r="Q182" t="n">
        <v>1</v>
      </c>
      <c r="R182" s="2" t="inlineStr">
        <is>
          <t>Doftticka</t>
        </is>
      </c>
      <c r="S182">
        <f>HYPERLINK("https://klasma.github.io/Logging_2260/artfynd/A 31510-2024 artfynd.xlsx", "A 31510-2024")</f>
        <v/>
      </c>
      <c r="T182">
        <f>HYPERLINK("https://klasma.github.io/Logging_2260/kartor/A 31510-2024 karta.png", "A 31510-2024")</f>
        <v/>
      </c>
      <c r="V182">
        <f>HYPERLINK("https://klasma.github.io/Logging_2260/klagomål/A 31510-2024 FSC-klagomål.docx", "A 31510-2024")</f>
        <v/>
      </c>
      <c r="W182">
        <f>HYPERLINK("https://klasma.github.io/Logging_2260/klagomålsmail/A 31510-2024 FSC-klagomål mail.docx", "A 31510-2024")</f>
        <v/>
      </c>
      <c r="X182">
        <f>HYPERLINK("https://klasma.github.io/Logging_2260/tillsyn/A 31510-2024 tillsynsbegäran.docx", "A 31510-2024")</f>
        <v/>
      </c>
      <c r="Y182">
        <f>HYPERLINK("https://klasma.github.io/Logging_2260/tillsynsmail/A 31510-2024 tillsynsbegäran mail.docx", "A 31510-2024")</f>
        <v/>
      </c>
    </row>
    <row r="183" ht="15" customHeight="1">
      <c r="A183" t="inlineStr">
        <is>
          <t>A 54386-2024</t>
        </is>
      </c>
      <c r="B183" s="1" t="n">
        <v>45617.44822916666</v>
      </c>
      <c r="C183" s="1" t="n">
        <v>45895</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55015-2023</t>
        </is>
      </c>
      <c r="B184" s="1" t="n">
        <v>45237.32185185186</v>
      </c>
      <c r="C184" s="1" t="n">
        <v>45895</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35648-2025</t>
        </is>
      </c>
      <c r="B185" s="1" t="n">
        <v>45859.51670138889</v>
      </c>
      <c r="C185" s="1" t="n">
        <v>45895</v>
      </c>
      <c r="D185" t="inlineStr">
        <is>
          <t>VÄSTERNORRLANDS LÄN</t>
        </is>
      </c>
      <c r="E185" t="inlineStr">
        <is>
          <t>ÅNGE</t>
        </is>
      </c>
      <c r="F185" t="inlineStr">
        <is>
          <t>Sveaskog</t>
        </is>
      </c>
      <c r="G185" t="n">
        <v>9.1</v>
      </c>
      <c r="H185" t="n">
        <v>0</v>
      </c>
      <c r="I185" t="n">
        <v>0</v>
      </c>
      <c r="J185" t="n">
        <v>1</v>
      </c>
      <c r="K185" t="n">
        <v>0</v>
      </c>
      <c r="L185" t="n">
        <v>0</v>
      </c>
      <c r="M185" t="n">
        <v>0</v>
      </c>
      <c r="N185" t="n">
        <v>0</v>
      </c>
      <c r="O185" t="n">
        <v>1</v>
      </c>
      <c r="P185" t="n">
        <v>0</v>
      </c>
      <c r="Q185" t="n">
        <v>1</v>
      </c>
      <c r="R185" s="2" t="inlineStr">
        <is>
          <t>Lunglav</t>
        </is>
      </c>
      <c r="S185">
        <f>HYPERLINK("https://klasma.github.io/Logging_2260/artfynd/A 35648-2025 artfynd.xlsx", "A 35648-2025")</f>
        <v/>
      </c>
      <c r="T185">
        <f>HYPERLINK("https://klasma.github.io/Logging_2260/kartor/A 35648-2025 karta.png", "A 35648-2025")</f>
        <v/>
      </c>
      <c r="V185">
        <f>HYPERLINK("https://klasma.github.io/Logging_2260/klagomål/A 35648-2025 FSC-klagomål.docx", "A 35648-2025")</f>
        <v/>
      </c>
      <c r="W185">
        <f>HYPERLINK("https://klasma.github.io/Logging_2260/klagomålsmail/A 35648-2025 FSC-klagomål mail.docx", "A 35648-2025")</f>
        <v/>
      </c>
      <c r="X185">
        <f>HYPERLINK("https://klasma.github.io/Logging_2260/tillsyn/A 35648-2025 tillsynsbegäran.docx", "A 35648-2025")</f>
        <v/>
      </c>
      <c r="Y185">
        <f>HYPERLINK("https://klasma.github.io/Logging_2260/tillsynsmail/A 35648-2025 tillsynsbegäran mail.docx", "A 35648-2025")</f>
        <v/>
      </c>
    </row>
    <row r="186" ht="15" customHeight="1">
      <c r="A186" t="inlineStr">
        <is>
          <t>A 35839-2025</t>
        </is>
      </c>
      <c r="B186" s="1" t="n">
        <v>45861.53943287037</v>
      </c>
      <c r="C186" s="1" t="n">
        <v>45895</v>
      </c>
      <c r="D186" t="inlineStr">
        <is>
          <t>VÄSTERNORRLANDS LÄN</t>
        </is>
      </c>
      <c r="E186" t="inlineStr">
        <is>
          <t>ÅNGE</t>
        </is>
      </c>
      <c r="F186" t="inlineStr">
        <is>
          <t>Sveaskog</t>
        </is>
      </c>
      <c r="G186" t="n">
        <v>7.9</v>
      </c>
      <c r="H186" t="n">
        <v>0</v>
      </c>
      <c r="I186" t="n">
        <v>0</v>
      </c>
      <c r="J186" t="n">
        <v>1</v>
      </c>
      <c r="K186" t="n">
        <v>0</v>
      </c>
      <c r="L186" t="n">
        <v>0</v>
      </c>
      <c r="M186" t="n">
        <v>0</v>
      </c>
      <c r="N186" t="n">
        <v>0</v>
      </c>
      <c r="O186" t="n">
        <v>1</v>
      </c>
      <c r="P186" t="n">
        <v>0</v>
      </c>
      <c r="Q186" t="n">
        <v>1</v>
      </c>
      <c r="R186" s="2" t="inlineStr">
        <is>
          <t>Lunglav</t>
        </is>
      </c>
      <c r="S186">
        <f>HYPERLINK("https://klasma.github.io/Logging_2260/artfynd/A 35839-2025 artfynd.xlsx", "A 35839-2025")</f>
        <v/>
      </c>
      <c r="T186">
        <f>HYPERLINK("https://klasma.github.io/Logging_2260/kartor/A 35839-2025 karta.png", "A 35839-2025")</f>
        <v/>
      </c>
      <c r="V186">
        <f>HYPERLINK("https://klasma.github.io/Logging_2260/klagomål/A 35839-2025 FSC-klagomål.docx", "A 35839-2025")</f>
        <v/>
      </c>
      <c r="W186">
        <f>HYPERLINK("https://klasma.github.io/Logging_2260/klagomålsmail/A 35839-2025 FSC-klagomål mail.docx", "A 35839-2025")</f>
        <v/>
      </c>
      <c r="X186">
        <f>HYPERLINK("https://klasma.github.io/Logging_2260/tillsyn/A 35839-2025 tillsynsbegäran.docx", "A 35839-2025")</f>
        <v/>
      </c>
      <c r="Y186">
        <f>HYPERLINK("https://klasma.github.io/Logging_2260/tillsynsmail/A 35839-2025 tillsynsbegäran mail.docx", "A 35839-2025")</f>
        <v/>
      </c>
    </row>
    <row r="187" ht="15" customHeight="1">
      <c r="A187" t="inlineStr">
        <is>
          <t>A 57272-2024</t>
        </is>
      </c>
      <c r="B187" s="1" t="n">
        <v>45629.57380787037</v>
      </c>
      <c r="C187" s="1" t="n">
        <v>45895</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34696-2024</t>
        </is>
      </c>
      <c r="B188" s="1" t="n">
        <v>45526</v>
      </c>
      <c r="C188" s="1" t="n">
        <v>45895</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41493-2021</t>
        </is>
      </c>
      <c r="B189" s="1" t="n">
        <v>44424</v>
      </c>
      <c r="C189" s="1" t="n">
        <v>45895</v>
      </c>
      <c r="D189" t="inlineStr">
        <is>
          <t>VÄSTERNORRLANDS LÄN</t>
        </is>
      </c>
      <c r="E189" t="inlineStr">
        <is>
          <t>ÅNGE</t>
        </is>
      </c>
      <c r="F189" t="inlineStr">
        <is>
          <t>SCA</t>
        </is>
      </c>
      <c r="G189" t="n">
        <v>8</v>
      </c>
      <c r="H189" t="n">
        <v>1</v>
      </c>
      <c r="I189" t="n">
        <v>0</v>
      </c>
      <c r="J189" t="n">
        <v>0</v>
      </c>
      <c r="K189" t="n">
        <v>1</v>
      </c>
      <c r="L189" t="n">
        <v>0</v>
      </c>
      <c r="M189" t="n">
        <v>0</v>
      </c>
      <c r="N189" t="n">
        <v>0</v>
      </c>
      <c r="O189" t="n">
        <v>1</v>
      </c>
      <c r="P189" t="n">
        <v>1</v>
      </c>
      <c r="Q189" t="n">
        <v>1</v>
      </c>
      <c r="R189" s="2" t="inlineStr">
        <is>
          <t>Knärot</t>
        </is>
      </c>
      <c r="S189">
        <f>HYPERLINK("https://klasma.github.io/Logging_2260/artfynd/A 41493-2021 artfynd.xlsx", "A 41493-2021")</f>
        <v/>
      </c>
      <c r="T189">
        <f>HYPERLINK("https://klasma.github.io/Logging_2260/kartor/A 41493-2021 karta.png", "A 41493-2021")</f>
        <v/>
      </c>
      <c r="U189">
        <f>HYPERLINK("https://klasma.github.io/Logging_2260/knärot/A 41493-2021 karta knärot.png", "A 41493-2021")</f>
        <v/>
      </c>
      <c r="V189">
        <f>HYPERLINK("https://klasma.github.io/Logging_2260/klagomål/A 41493-2021 FSC-klagomål.docx", "A 41493-2021")</f>
        <v/>
      </c>
      <c r="W189">
        <f>HYPERLINK("https://klasma.github.io/Logging_2260/klagomålsmail/A 41493-2021 FSC-klagomål mail.docx", "A 41493-2021")</f>
        <v/>
      </c>
      <c r="X189">
        <f>HYPERLINK("https://klasma.github.io/Logging_2260/tillsyn/A 41493-2021 tillsynsbegäran.docx", "A 41493-2021")</f>
        <v/>
      </c>
      <c r="Y189">
        <f>HYPERLINK("https://klasma.github.io/Logging_2260/tillsynsmail/A 41493-2021 tillsynsbegäran mail.docx", "A 41493-2021")</f>
        <v/>
      </c>
    </row>
    <row r="190" ht="15" customHeight="1">
      <c r="A190" t="inlineStr">
        <is>
          <t>A 1449-2025</t>
        </is>
      </c>
      <c r="B190" s="1" t="n">
        <v>45670.27537037037</v>
      </c>
      <c r="C190" s="1" t="n">
        <v>45895</v>
      </c>
      <c r="D190" t="inlineStr">
        <is>
          <t>VÄSTERNORRLANDS LÄN</t>
        </is>
      </c>
      <c r="E190" t="inlineStr">
        <is>
          <t>ÅNGE</t>
        </is>
      </c>
      <c r="G190" t="n">
        <v>6.3</v>
      </c>
      <c r="H190" t="n">
        <v>0</v>
      </c>
      <c r="I190" t="n">
        <v>1</v>
      </c>
      <c r="J190" t="n">
        <v>0</v>
      </c>
      <c r="K190" t="n">
        <v>0</v>
      </c>
      <c r="L190" t="n">
        <v>0</v>
      </c>
      <c r="M190" t="n">
        <v>0</v>
      </c>
      <c r="N190" t="n">
        <v>0</v>
      </c>
      <c r="O190" t="n">
        <v>0</v>
      </c>
      <c r="P190" t="n">
        <v>0</v>
      </c>
      <c r="Q190" t="n">
        <v>1</v>
      </c>
      <c r="R190" s="2" t="inlineStr">
        <is>
          <t>Korallblylav</t>
        </is>
      </c>
      <c r="S190">
        <f>HYPERLINK("https://klasma.github.io/Logging_2260/artfynd/A 1449-2025 artfynd.xlsx", "A 1449-2025")</f>
        <v/>
      </c>
      <c r="T190">
        <f>HYPERLINK("https://klasma.github.io/Logging_2260/kartor/A 1449-2025 karta.png", "A 1449-2025")</f>
        <v/>
      </c>
      <c r="V190">
        <f>HYPERLINK("https://klasma.github.io/Logging_2260/klagomål/A 1449-2025 FSC-klagomål.docx", "A 1449-2025")</f>
        <v/>
      </c>
      <c r="W190">
        <f>HYPERLINK("https://klasma.github.io/Logging_2260/klagomålsmail/A 1449-2025 FSC-klagomål mail.docx", "A 1449-2025")</f>
        <v/>
      </c>
      <c r="X190">
        <f>HYPERLINK("https://klasma.github.io/Logging_2260/tillsyn/A 1449-2025 tillsynsbegäran.docx", "A 1449-2025")</f>
        <v/>
      </c>
      <c r="Y190">
        <f>HYPERLINK("https://klasma.github.io/Logging_2260/tillsynsmail/A 1449-2025 tillsynsbegäran mail.docx", "A 1449-2025")</f>
        <v/>
      </c>
    </row>
    <row r="191" ht="15" customHeight="1">
      <c r="A191" t="inlineStr">
        <is>
          <t>A 27025-2025</t>
        </is>
      </c>
      <c r="B191" s="1" t="n">
        <v>45811</v>
      </c>
      <c r="C191" s="1" t="n">
        <v>45895</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37432-2025</t>
        </is>
      </c>
      <c r="B192" s="1" t="n">
        <v>45877.51106481482</v>
      </c>
      <c r="C192" s="1" t="n">
        <v>45895</v>
      </c>
      <c r="D192" t="inlineStr">
        <is>
          <t>VÄSTERNORRLANDS LÄN</t>
        </is>
      </c>
      <c r="E192" t="inlineStr">
        <is>
          <t>ÅNGE</t>
        </is>
      </c>
      <c r="F192" t="inlineStr">
        <is>
          <t>SCA</t>
        </is>
      </c>
      <c r="G192" t="n">
        <v>1.2</v>
      </c>
      <c r="H192" t="n">
        <v>1</v>
      </c>
      <c r="I192" t="n">
        <v>1</v>
      </c>
      <c r="J192" t="n">
        <v>0</v>
      </c>
      <c r="K192" t="n">
        <v>0</v>
      </c>
      <c r="L192" t="n">
        <v>0</v>
      </c>
      <c r="M192" t="n">
        <v>0</v>
      </c>
      <c r="N192" t="n">
        <v>0</v>
      </c>
      <c r="O192" t="n">
        <v>0</v>
      </c>
      <c r="P192" t="n">
        <v>0</v>
      </c>
      <c r="Q192" t="n">
        <v>1</v>
      </c>
      <c r="R192" s="2" t="inlineStr">
        <is>
          <t>Spindelblomster</t>
        </is>
      </c>
      <c r="S192">
        <f>HYPERLINK("https://klasma.github.io/Logging_2260/artfynd/A 37432-2025 artfynd.xlsx", "A 37432-2025")</f>
        <v/>
      </c>
      <c r="T192">
        <f>HYPERLINK("https://klasma.github.io/Logging_2260/kartor/A 37432-2025 karta.png", "A 37432-2025")</f>
        <v/>
      </c>
      <c r="V192">
        <f>HYPERLINK("https://klasma.github.io/Logging_2260/klagomål/A 37432-2025 FSC-klagomål.docx", "A 37432-2025")</f>
        <v/>
      </c>
      <c r="W192">
        <f>HYPERLINK("https://klasma.github.io/Logging_2260/klagomålsmail/A 37432-2025 FSC-klagomål mail.docx", "A 37432-2025")</f>
        <v/>
      </c>
      <c r="X192">
        <f>HYPERLINK("https://klasma.github.io/Logging_2260/tillsyn/A 37432-2025 tillsynsbegäran.docx", "A 37432-2025")</f>
        <v/>
      </c>
      <c r="Y192">
        <f>HYPERLINK("https://klasma.github.io/Logging_2260/tillsynsmail/A 37432-2025 tillsynsbegäran mail.docx", "A 37432-2025")</f>
        <v/>
      </c>
    </row>
    <row r="193" ht="15" customHeight="1">
      <c r="A193" t="inlineStr">
        <is>
          <t>A 25705-2024</t>
        </is>
      </c>
      <c r="B193" s="1" t="n">
        <v>45463.9428587963</v>
      </c>
      <c r="C193" s="1" t="n">
        <v>45895</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63983-2020</t>
        </is>
      </c>
      <c r="B194" s="1" t="n">
        <v>44167</v>
      </c>
      <c r="C194" s="1" t="n">
        <v>45895</v>
      </c>
      <c r="D194" t="inlineStr">
        <is>
          <t>VÄSTERNORRLANDS LÄN</t>
        </is>
      </c>
      <c r="E194" t="inlineStr">
        <is>
          <t>ÅNGE</t>
        </is>
      </c>
      <c r="F194" t="inlineStr">
        <is>
          <t>Kommuner</t>
        </is>
      </c>
      <c r="G194" t="n">
        <v>27.1</v>
      </c>
      <c r="H194" t="n">
        <v>1</v>
      </c>
      <c r="I194" t="n">
        <v>0</v>
      </c>
      <c r="J194" t="n">
        <v>0</v>
      </c>
      <c r="K194" t="n">
        <v>1</v>
      </c>
      <c r="L194" t="n">
        <v>0</v>
      </c>
      <c r="M194" t="n">
        <v>0</v>
      </c>
      <c r="N194" t="n">
        <v>0</v>
      </c>
      <c r="O194" t="n">
        <v>1</v>
      </c>
      <c r="P194" t="n">
        <v>1</v>
      </c>
      <c r="Q194" t="n">
        <v>1</v>
      </c>
      <c r="R194" s="2" t="inlineStr">
        <is>
          <t>Knärot</t>
        </is>
      </c>
      <c r="S194">
        <f>HYPERLINK("https://klasma.github.io/Logging_2260/artfynd/A 63983-2020 artfynd.xlsx", "A 63983-2020")</f>
        <v/>
      </c>
      <c r="T194">
        <f>HYPERLINK("https://klasma.github.io/Logging_2260/kartor/A 63983-2020 karta.png", "A 63983-2020")</f>
        <v/>
      </c>
      <c r="U194">
        <f>HYPERLINK("https://klasma.github.io/Logging_2260/knärot/A 63983-2020 karta knärot.png", "A 63983-2020")</f>
        <v/>
      </c>
      <c r="V194">
        <f>HYPERLINK("https://klasma.github.io/Logging_2260/klagomål/A 63983-2020 FSC-klagomål.docx", "A 63983-2020")</f>
        <v/>
      </c>
      <c r="W194">
        <f>HYPERLINK("https://klasma.github.io/Logging_2260/klagomålsmail/A 63983-2020 FSC-klagomål mail.docx", "A 63983-2020")</f>
        <v/>
      </c>
      <c r="X194">
        <f>HYPERLINK("https://klasma.github.io/Logging_2260/tillsyn/A 63983-2020 tillsynsbegäran.docx", "A 63983-2020")</f>
        <v/>
      </c>
      <c r="Y194">
        <f>HYPERLINK("https://klasma.github.io/Logging_2260/tillsynsmail/A 63983-2020 tillsynsbegäran mail.docx", "A 63983-2020")</f>
        <v/>
      </c>
    </row>
    <row r="195" ht="15" customHeight="1">
      <c r="A195" t="inlineStr">
        <is>
          <t>A 29327-2023</t>
        </is>
      </c>
      <c r="B195" s="1" t="n">
        <v>45105.94349537037</v>
      </c>
      <c r="C195" s="1" t="n">
        <v>45895</v>
      </c>
      <c r="D195" t="inlineStr">
        <is>
          <t>VÄSTERNORRLANDS LÄN</t>
        </is>
      </c>
      <c r="E195" t="inlineStr">
        <is>
          <t>ÅNGE</t>
        </is>
      </c>
      <c r="G195" t="n">
        <v>7.8</v>
      </c>
      <c r="H195" t="n">
        <v>0</v>
      </c>
      <c r="I195" t="n">
        <v>0</v>
      </c>
      <c r="J195" t="n">
        <v>1</v>
      </c>
      <c r="K195" t="n">
        <v>0</v>
      </c>
      <c r="L195" t="n">
        <v>0</v>
      </c>
      <c r="M195" t="n">
        <v>0</v>
      </c>
      <c r="N195" t="n">
        <v>0</v>
      </c>
      <c r="O195" t="n">
        <v>1</v>
      </c>
      <c r="P195" t="n">
        <v>0</v>
      </c>
      <c r="Q195" t="n">
        <v>1</v>
      </c>
      <c r="R195" s="2" t="inlineStr">
        <is>
          <t>Mörk kolflarnlav</t>
        </is>
      </c>
      <c r="S195">
        <f>HYPERLINK("https://klasma.github.io/Logging_2260/artfynd/A 29327-2023 artfynd.xlsx", "A 29327-2023")</f>
        <v/>
      </c>
      <c r="T195">
        <f>HYPERLINK("https://klasma.github.io/Logging_2260/kartor/A 29327-2023 karta.png", "A 29327-2023")</f>
        <v/>
      </c>
      <c r="V195">
        <f>HYPERLINK("https://klasma.github.io/Logging_2260/klagomål/A 29327-2023 FSC-klagomål.docx", "A 29327-2023")</f>
        <v/>
      </c>
      <c r="W195">
        <f>HYPERLINK("https://klasma.github.io/Logging_2260/klagomålsmail/A 29327-2023 FSC-klagomål mail.docx", "A 29327-2023")</f>
        <v/>
      </c>
      <c r="X195">
        <f>HYPERLINK("https://klasma.github.io/Logging_2260/tillsyn/A 29327-2023 tillsynsbegäran.docx", "A 29327-2023")</f>
        <v/>
      </c>
      <c r="Y195">
        <f>HYPERLINK("https://klasma.github.io/Logging_2260/tillsynsmail/A 29327-2023 tillsynsbegäran mail.docx", "A 29327-2023")</f>
        <v/>
      </c>
    </row>
    <row r="196" ht="15" customHeight="1">
      <c r="A196" t="inlineStr">
        <is>
          <t>A 52424-2023</t>
        </is>
      </c>
      <c r="B196" s="1" t="n">
        <v>45217</v>
      </c>
      <c r="C196" s="1" t="n">
        <v>45895</v>
      </c>
      <c r="D196" t="inlineStr">
        <is>
          <t>VÄSTERNORRLANDS LÄN</t>
        </is>
      </c>
      <c r="E196" t="inlineStr">
        <is>
          <t>ÅNGE</t>
        </is>
      </c>
      <c r="F196" t="inlineStr">
        <is>
          <t>SCA</t>
        </is>
      </c>
      <c r="G196" t="n">
        <v>3.8</v>
      </c>
      <c r="H196" t="n">
        <v>1</v>
      </c>
      <c r="I196" t="n">
        <v>0</v>
      </c>
      <c r="J196" t="n">
        <v>0</v>
      </c>
      <c r="K196" t="n">
        <v>0</v>
      </c>
      <c r="L196" t="n">
        <v>0</v>
      </c>
      <c r="M196" t="n">
        <v>0</v>
      </c>
      <c r="N196" t="n">
        <v>0</v>
      </c>
      <c r="O196" t="n">
        <v>0</v>
      </c>
      <c r="P196" t="n">
        <v>0</v>
      </c>
      <c r="Q196" t="n">
        <v>1</v>
      </c>
      <c r="R196" s="2" t="inlineStr">
        <is>
          <t>Revlummer</t>
        </is>
      </c>
      <c r="S196">
        <f>HYPERLINK("https://klasma.github.io/Logging_2260/artfynd/A 52424-2023 artfynd.xlsx", "A 52424-2023")</f>
        <v/>
      </c>
      <c r="T196">
        <f>HYPERLINK("https://klasma.github.io/Logging_2260/kartor/A 52424-2023 karta.png", "A 52424-2023")</f>
        <v/>
      </c>
      <c r="V196">
        <f>HYPERLINK("https://klasma.github.io/Logging_2260/klagomål/A 52424-2023 FSC-klagomål.docx", "A 52424-2023")</f>
        <v/>
      </c>
      <c r="W196">
        <f>HYPERLINK("https://klasma.github.io/Logging_2260/klagomålsmail/A 52424-2023 FSC-klagomål mail.docx", "A 52424-2023")</f>
        <v/>
      </c>
      <c r="X196">
        <f>HYPERLINK("https://klasma.github.io/Logging_2260/tillsyn/A 52424-2023 tillsynsbegäran.docx", "A 52424-2023")</f>
        <v/>
      </c>
      <c r="Y196">
        <f>HYPERLINK("https://klasma.github.io/Logging_2260/tillsynsmail/A 52424-2023 tillsynsbegäran mail.docx", "A 52424-2023")</f>
        <v/>
      </c>
    </row>
    <row r="197" ht="15" customHeight="1">
      <c r="A197" t="inlineStr">
        <is>
          <t>A 39638-2024</t>
        </is>
      </c>
      <c r="B197" s="1" t="n">
        <v>45552</v>
      </c>
      <c r="C197" s="1" t="n">
        <v>45895</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54751-2021</t>
        </is>
      </c>
      <c r="B198" s="1" t="n">
        <v>44473</v>
      </c>
      <c r="C198" s="1" t="n">
        <v>45895</v>
      </c>
      <c r="D198" t="inlineStr">
        <is>
          <t>VÄSTERNORRLANDS LÄN</t>
        </is>
      </c>
      <c r="E198" t="inlineStr">
        <is>
          <t>ÅNGE</t>
        </is>
      </c>
      <c r="G198" t="n">
        <v>6.5</v>
      </c>
      <c r="H198" t="n">
        <v>0</v>
      </c>
      <c r="I198" t="n">
        <v>0</v>
      </c>
      <c r="J198" t="n">
        <v>0</v>
      </c>
      <c r="K198" t="n">
        <v>1</v>
      </c>
      <c r="L198" t="n">
        <v>0</v>
      </c>
      <c r="M198" t="n">
        <v>0</v>
      </c>
      <c r="N198" t="n">
        <v>0</v>
      </c>
      <c r="O198" t="n">
        <v>1</v>
      </c>
      <c r="P198" t="n">
        <v>1</v>
      </c>
      <c r="Q198" t="n">
        <v>1</v>
      </c>
      <c r="R198" s="2" t="inlineStr">
        <is>
          <t>Gräddporing</t>
        </is>
      </c>
      <c r="S198">
        <f>HYPERLINK("https://klasma.github.io/Logging_2260/artfynd/A 54751-2021 artfynd.xlsx", "A 54751-2021")</f>
        <v/>
      </c>
      <c r="T198">
        <f>HYPERLINK("https://klasma.github.io/Logging_2260/kartor/A 54751-2021 karta.png", "A 54751-2021")</f>
        <v/>
      </c>
      <c r="V198">
        <f>HYPERLINK("https://klasma.github.io/Logging_2260/klagomål/A 54751-2021 FSC-klagomål.docx", "A 54751-2021")</f>
        <v/>
      </c>
      <c r="W198">
        <f>HYPERLINK("https://klasma.github.io/Logging_2260/klagomålsmail/A 54751-2021 FSC-klagomål mail.docx", "A 54751-2021")</f>
        <v/>
      </c>
      <c r="X198">
        <f>HYPERLINK("https://klasma.github.io/Logging_2260/tillsyn/A 54751-2021 tillsynsbegäran.docx", "A 54751-2021")</f>
        <v/>
      </c>
      <c r="Y198">
        <f>HYPERLINK("https://klasma.github.io/Logging_2260/tillsynsmail/A 54751-2021 tillsynsbegäran mail.docx", "A 54751-2021")</f>
        <v/>
      </c>
    </row>
    <row r="199" ht="15" customHeight="1">
      <c r="A199" t="inlineStr">
        <is>
          <t>A 40214-2024</t>
        </is>
      </c>
      <c r="B199" s="1" t="n">
        <v>45554.59460648148</v>
      </c>
      <c r="C199" s="1" t="n">
        <v>45895</v>
      </c>
      <c r="D199" t="inlineStr">
        <is>
          <t>VÄSTERNORRLANDS LÄN</t>
        </is>
      </c>
      <c r="E199" t="inlineStr">
        <is>
          <t>ÅNGE</t>
        </is>
      </c>
      <c r="F199" t="inlineStr">
        <is>
          <t>SCA</t>
        </is>
      </c>
      <c r="G199" t="n">
        <v>7.7</v>
      </c>
      <c r="H199" t="n">
        <v>0</v>
      </c>
      <c r="I199" t="n">
        <v>0</v>
      </c>
      <c r="J199" t="n">
        <v>1</v>
      </c>
      <c r="K199" t="n">
        <v>0</v>
      </c>
      <c r="L199" t="n">
        <v>0</v>
      </c>
      <c r="M199" t="n">
        <v>0</v>
      </c>
      <c r="N199" t="n">
        <v>0</v>
      </c>
      <c r="O199" t="n">
        <v>1</v>
      </c>
      <c r="P199" t="n">
        <v>0</v>
      </c>
      <c r="Q199" t="n">
        <v>1</v>
      </c>
      <c r="R199" s="2" t="inlineStr">
        <is>
          <t>Lunglav</t>
        </is>
      </c>
      <c r="S199">
        <f>HYPERLINK("https://klasma.github.io/Logging_2260/artfynd/A 40214-2024 artfynd.xlsx", "A 40214-2024")</f>
        <v/>
      </c>
      <c r="T199">
        <f>HYPERLINK("https://klasma.github.io/Logging_2260/kartor/A 40214-2024 karta.png", "A 40214-2024")</f>
        <v/>
      </c>
      <c r="V199">
        <f>HYPERLINK("https://klasma.github.io/Logging_2260/klagomål/A 40214-2024 FSC-klagomål.docx", "A 40214-2024")</f>
        <v/>
      </c>
      <c r="W199">
        <f>HYPERLINK("https://klasma.github.io/Logging_2260/klagomålsmail/A 40214-2024 FSC-klagomål mail.docx", "A 40214-2024")</f>
        <v/>
      </c>
      <c r="X199">
        <f>HYPERLINK("https://klasma.github.io/Logging_2260/tillsyn/A 40214-2024 tillsynsbegäran.docx", "A 40214-2024")</f>
        <v/>
      </c>
      <c r="Y199">
        <f>HYPERLINK("https://klasma.github.io/Logging_2260/tillsynsmail/A 40214-2024 tillsynsbegäran mail.docx", "A 40214-2024")</f>
        <v/>
      </c>
    </row>
    <row r="200" ht="15" customHeight="1">
      <c r="A200" t="inlineStr">
        <is>
          <t>A 30774-2024</t>
        </is>
      </c>
      <c r="B200" s="1" t="n">
        <v>45496.949375</v>
      </c>
      <c r="C200" s="1" t="n">
        <v>45895</v>
      </c>
      <c r="D200" t="inlineStr">
        <is>
          <t>VÄSTERNORRLANDS LÄN</t>
        </is>
      </c>
      <c r="E200" t="inlineStr">
        <is>
          <t>ÅNGE</t>
        </is>
      </c>
      <c r="F200" t="inlineStr">
        <is>
          <t>SCA</t>
        </is>
      </c>
      <c r="G200" t="n">
        <v>2.2</v>
      </c>
      <c r="H200" t="n">
        <v>1</v>
      </c>
      <c r="I200" t="n">
        <v>0</v>
      </c>
      <c r="J200" t="n">
        <v>0</v>
      </c>
      <c r="K200" t="n">
        <v>0</v>
      </c>
      <c r="L200" t="n">
        <v>0</v>
      </c>
      <c r="M200" t="n">
        <v>0</v>
      </c>
      <c r="N200" t="n">
        <v>0</v>
      </c>
      <c r="O200" t="n">
        <v>0</v>
      </c>
      <c r="P200" t="n">
        <v>0</v>
      </c>
      <c r="Q200" t="n">
        <v>1</v>
      </c>
      <c r="R200" s="2" t="inlineStr">
        <is>
          <t>Tjäder</t>
        </is>
      </c>
      <c r="S200">
        <f>HYPERLINK("https://klasma.github.io/Logging_2260/artfynd/A 30774-2024 artfynd.xlsx", "A 30774-2024")</f>
        <v/>
      </c>
      <c r="T200">
        <f>HYPERLINK("https://klasma.github.io/Logging_2260/kartor/A 30774-2024 karta.png", "A 30774-2024")</f>
        <v/>
      </c>
      <c r="V200">
        <f>HYPERLINK("https://klasma.github.io/Logging_2260/klagomål/A 30774-2024 FSC-klagomål.docx", "A 30774-2024")</f>
        <v/>
      </c>
      <c r="W200">
        <f>HYPERLINK("https://klasma.github.io/Logging_2260/klagomålsmail/A 30774-2024 FSC-klagomål mail.docx", "A 30774-2024")</f>
        <v/>
      </c>
      <c r="X200">
        <f>HYPERLINK("https://klasma.github.io/Logging_2260/tillsyn/A 30774-2024 tillsynsbegäran.docx", "A 30774-2024")</f>
        <v/>
      </c>
      <c r="Y200">
        <f>HYPERLINK("https://klasma.github.io/Logging_2260/tillsynsmail/A 30774-2024 tillsynsbegäran mail.docx", "A 30774-2024")</f>
        <v/>
      </c>
      <c r="Z200">
        <f>HYPERLINK("https://klasma.github.io/Logging_2260/fåglar/A 30774-2024 prioriterade fågelarter.docx", "A 30774-2024")</f>
        <v/>
      </c>
    </row>
    <row r="201" ht="15" customHeight="1">
      <c r="A201" t="inlineStr">
        <is>
          <t>A 39180-2024</t>
        </is>
      </c>
      <c r="B201" s="1" t="n">
        <v>45548.6571412037</v>
      </c>
      <c r="C201" s="1" t="n">
        <v>45895</v>
      </c>
      <c r="D201" t="inlineStr">
        <is>
          <t>VÄSTERNORRLANDS LÄN</t>
        </is>
      </c>
      <c r="E201" t="inlineStr">
        <is>
          <t>ÅNGE</t>
        </is>
      </c>
      <c r="F201" t="inlineStr">
        <is>
          <t>SCA</t>
        </is>
      </c>
      <c r="G201" t="n">
        <v>8.699999999999999</v>
      </c>
      <c r="H201" t="n">
        <v>0</v>
      </c>
      <c r="I201" t="n">
        <v>0</v>
      </c>
      <c r="J201" t="n">
        <v>1</v>
      </c>
      <c r="K201" t="n">
        <v>0</v>
      </c>
      <c r="L201" t="n">
        <v>0</v>
      </c>
      <c r="M201" t="n">
        <v>0</v>
      </c>
      <c r="N201" t="n">
        <v>0</v>
      </c>
      <c r="O201" t="n">
        <v>1</v>
      </c>
      <c r="P201" t="n">
        <v>0</v>
      </c>
      <c r="Q201" t="n">
        <v>1</v>
      </c>
      <c r="R201" s="2" t="inlineStr">
        <is>
          <t>Lunglav</t>
        </is>
      </c>
      <c r="S201">
        <f>HYPERLINK("https://klasma.github.io/Logging_2260/artfynd/A 39180-2024 artfynd.xlsx", "A 39180-2024")</f>
        <v/>
      </c>
      <c r="T201">
        <f>HYPERLINK("https://klasma.github.io/Logging_2260/kartor/A 39180-2024 karta.png", "A 39180-2024")</f>
        <v/>
      </c>
      <c r="V201">
        <f>HYPERLINK("https://klasma.github.io/Logging_2260/klagomål/A 39180-2024 FSC-klagomål.docx", "A 39180-2024")</f>
        <v/>
      </c>
      <c r="W201">
        <f>HYPERLINK("https://klasma.github.io/Logging_2260/klagomålsmail/A 39180-2024 FSC-klagomål mail.docx", "A 39180-2024")</f>
        <v/>
      </c>
      <c r="X201">
        <f>HYPERLINK("https://klasma.github.io/Logging_2260/tillsyn/A 39180-2024 tillsynsbegäran.docx", "A 39180-2024")</f>
        <v/>
      </c>
      <c r="Y201">
        <f>HYPERLINK("https://klasma.github.io/Logging_2260/tillsynsmail/A 39180-2024 tillsynsbegäran mail.docx", "A 39180-2024")</f>
        <v/>
      </c>
    </row>
    <row r="202" ht="15" customHeight="1">
      <c r="A202" t="inlineStr">
        <is>
          <t>A 5-2025</t>
        </is>
      </c>
      <c r="B202" s="1" t="n">
        <v>45658.50527777777</v>
      </c>
      <c r="C202" s="1" t="n">
        <v>45895</v>
      </c>
      <c r="D202" t="inlineStr">
        <is>
          <t>VÄSTERNORRLANDS LÄN</t>
        </is>
      </c>
      <c r="E202" t="inlineStr">
        <is>
          <t>ÅNGE</t>
        </is>
      </c>
      <c r="G202" t="n">
        <v>5.7</v>
      </c>
      <c r="H202" t="n">
        <v>1</v>
      </c>
      <c r="I202" t="n">
        <v>0</v>
      </c>
      <c r="J202" t="n">
        <v>0</v>
      </c>
      <c r="K202" t="n">
        <v>0</v>
      </c>
      <c r="L202" t="n">
        <v>0</v>
      </c>
      <c r="M202" t="n">
        <v>0</v>
      </c>
      <c r="N202" t="n">
        <v>0</v>
      </c>
      <c r="O202" t="n">
        <v>0</v>
      </c>
      <c r="P202" t="n">
        <v>0</v>
      </c>
      <c r="Q202" t="n">
        <v>1</v>
      </c>
      <c r="R202" s="2" t="inlineStr">
        <is>
          <t>Vanlig groda</t>
        </is>
      </c>
      <c r="S202">
        <f>HYPERLINK("https://klasma.github.io/Logging_2260/artfynd/A 5-2025 artfynd.xlsx", "A 5-2025")</f>
        <v/>
      </c>
      <c r="T202">
        <f>HYPERLINK("https://klasma.github.io/Logging_2260/kartor/A 5-2025 karta.png", "A 5-2025")</f>
        <v/>
      </c>
      <c r="V202">
        <f>HYPERLINK("https://klasma.github.io/Logging_2260/klagomål/A 5-2025 FSC-klagomål.docx", "A 5-2025")</f>
        <v/>
      </c>
      <c r="W202">
        <f>HYPERLINK("https://klasma.github.io/Logging_2260/klagomålsmail/A 5-2025 FSC-klagomål mail.docx", "A 5-2025")</f>
        <v/>
      </c>
      <c r="X202">
        <f>HYPERLINK("https://klasma.github.io/Logging_2260/tillsyn/A 5-2025 tillsynsbegäran.docx", "A 5-2025")</f>
        <v/>
      </c>
      <c r="Y202">
        <f>HYPERLINK("https://klasma.github.io/Logging_2260/tillsynsmail/A 5-2025 tillsynsbegäran mail.docx", "A 5-2025")</f>
        <v/>
      </c>
    </row>
    <row r="203" ht="15" customHeight="1">
      <c r="A203" t="inlineStr">
        <is>
          <t>A 39933-2022</t>
        </is>
      </c>
      <c r="B203" s="1" t="n">
        <v>44819</v>
      </c>
      <c r="C203" s="1" t="n">
        <v>45895</v>
      </c>
      <c r="D203" t="inlineStr">
        <is>
          <t>VÄSTERNORRLANDS LÄN</t>
        </is>
      </c>
      <c r="E203" t="inlineStr">
        <is>
          <t>ÅNGE</t>
        </is>
      </c>
      <c r="F203" t="inlineStr">
        <is>
          <t>SCA</t>
        </is>
      </c>
      <c r="G203" t="n">
        <v>13.8</v>
      </c>
      <c r="H203" t="n">
        <v>1</v>
      </c>
      <c r="I203" t="n">
        <v>0</v>
      </c>
      <c r="J203" t="n">
        <v>0</v>
      </c>
      <c r="K203" t="n">
        <v>1</v>
      </c>
      <c r="L203" t="n">
        <v>0</v>
      </c>
      <c r="M203" t="n">
        <v>0</v>
      </c>
      <c r="N203" t="n">
        <v>0</v>
      </c>
      <c r="O203" t="n">
        <v>1</v>
      </c>
      <c r="P203" t="n">
        <v>1</v>
      </c>
      <c r="Q203" t="n">
        <v>1</v>
      </c>
      <c r="R203" s="2" t="inlineStr">
        <is>
          <t>Knärot</t>
        </is>
      </c>
      <c r="S203">
        <f>HYPERLINK("https://klasma.github.io/Logging_2260/artfynd/A 39933-2022 artfynd.xlsx", "A 39933-2022")</f>
        <v/>
      </c>
      <c r="T203">
        <f>HYPERLINK("https://klasma.github.io/Logging_2260/kartor/A 39933-2022 karta.png", "A 39933-2022")</f>
        <v/>
      </c>
      <c r="U203">
        <f>HYPERLINK("https://klasma.github.io/Logging_2260/knärot/A 39933-2022 karta knärot.png", "A 39933-2022")</f>
        <v/>
      </c>
      <c r="V203">
        <f>HYPERLINK("https://klasma.github.io/Logging_2260/klagomål/A 39933-2022 FSC-klagomål.docx", "A 39933-2022")</f>
        <v/>
      </c>
      <c r="W203">
        <f>HYPERLINK("https://klasma.github.io/Logging_2260/klagomålsmail/A 39933-2022 FSC-klagomål mail.docx", "A 39933-2022")</f>
        <v/>
      </c>
      <c r="X203">
        <f>HYPERLINK("https://klasma.github.io/Logging_2260/tillsyn/A 39933-2022 tillsynsbegäran.docx", "A 39933-2022")</f>
        <v/>
      </c>
      <c r="Y203">
        <f>HYPERLINK("https://klasma.github.io/Logging_2260/tillsynsmail/A 39933-2022 tillsynsbegäran mail.docx", "A 39933-2022")</f>
        <v/>
      </c>
    </row>
    <row r="204" ht="15" customHeight="1">
      <c r="A204" t="inlineStr">
        <is>
          <t>A 32457-2024</t>
        </is>
      </c>
      <c r="B204" s="1" t="n">
        <v>45512</v>
      </c>
      <c r="C204" s="1" t="n">
        <v>45895</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8057-2021</t>
        </is>
      </c>
      <c r="B205" s="1" t="n">
        <v>44238</v>
      </c>
      <c r="C205" s="1" t="n">
        <v>45895</v>
      </c>
      <c r="D205" t="inlineStr">
        <is>
          <t>VÄSTERNORRLANDS LÄN</t>
        </is>
      </c>
      <c r="E205" t="inlineStr">
        <is>
          <t>ÅNGE</t>
        </is>
      </c>
      <c r="G205" t="n">
        <v>1.2</v>
      </c>
      <c r="H205" t="n">
        <v>0</v>
      </c>
      <c r="I205" t="n">
        <v>0</v>
      </c>
      <c r="J205" t="n">
        <v>0</v>
      </c>
      <c r="K205" t="n">
        <v>0</v>
      </c>
      <c r="L205" t="n">
        <v>0</v>
      </c>
      <c r="M205" t="n">
        <v>0</v>
      </c>
      <c r="N205" t="n">
        <v>0</v>
      </c>
      <c r="O205" t="n">
        <v>0</v>
      </c>
      <c r="P205" t="n">
        <v>0</v>
      </c>
      <c r="Q205" t="n">
        <v>0</v>
      </c>
      <c r="R205" s="2" t="inlineStr"/>
    </row>
    <row r="206" ht="15" customHeight="1">
      <c r="A206" t="inlineStr">
        <is>
          <t>A 47127-2020</t>
        </is>
      </c>
      <c r="B206" s="1" t="n">
        <v>44096</v>
      </c>
      <c r="C206" s="1" t="n">
        <v>45895</v>
      </c>
      <c r="D206" t="inlineStr">
        <is>
          <t>VÄSTERNORRLANDS LÄN</t>
        </is>
      </c>
      <c r="E206" t="inlineStr">
        <is>
          <t>ÅNGE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52627-2020</t>
        </is>
      </c>
      <c r="B207" s="1" t="n">
        <v>44118</v>
      </c>
      <c r="C207" s="1" t="n">
        <v>45895</v>
      </c>
      <c r="D207" t="inlineStr">
        <is>
          <t>VÄSTERNORRLANDS LÄN</t>
        </is>
      </c>
      <c r="E207" t="inlineStr">
        <is>
          <t>ÅNGE</t>
        </is>
      </c>
      <c r="G207" t="n">
        <v>0.8</v>
      </c>
      <c r="H207" t="n">
        <v>0</v>
      </c>
      <c r="I207" t="n">
        <v>0</v>
      </c>
      <c r="J207" t="n">
        <v>0</v>
      </c>
      <c r="K207" t="n">
        <v>0</v>
      </c>
      <c r="L207" t="n">
        <v>0</v>
      </c>
      <c r="M207" t="n">
        <v>0</v>
      </c>
      <c r="N207" t="n">
        <v>0</v>
      </c>
      <c r="O207" t="n">
        <v>0</v>
      </c>
      <c r="P207" t="n">
        <v>0</v>
      </c>
      <c r="Q207" t="n">
        <v>0</v>
      </c>
      <c r="R207" s="2" t="inlineStr"/>
    </row>
    <row r="208" ht="15" customHeight="1">
      <c r="A208" t="inlineStr">
        <is>
          <t>A 52633-2020</t>
        </is>
      </c>
      <c r="B208" s="1" t="n">
        <v>44118</v>
      </c>
      <c r="C208" s="1" t="n">
        <v>45895</v>
      </c>
      <c r="D208" t="inlineStr">
        <is>
          <t>VÄSTERNORRLANDS LÄN</t>
        </is>
      </c>
      <c r="E208" t="inlineStr">
        <is>
          <t>ÅNGE</t>
        </is>
      </c>
      <c r="G208" t="n">
        <v>3.6</v>
      </c>
      <c r="H208" t="n">
        <v>0</v>
      </c>
      <c r="I208" t="n">
        <v>0</v>
      </c>
      <c r="J208" t="n">
        <v>0</v>
      </c>
      <c r="K208" t="n">
        <v>0</v>
      </c>
      <c r="L208" t="n">
        <v>0</v>
      </c>
      <c r="M208" t="n">
        <v>0</v>
      </c>
      <c r="N208" t="n">
        <v>0</v>
      </c>
      <c r="O208" t="n">
        <v>0</v>
      </c>
      <c r="P208" t="n">
        <v>0</v>
      </c>
      <c r="Q208" t="n">
        <v>0</v>
      </c>
      <c r="R208" s="2" t="inlineStr"/>
    </row>
    <row r="209" ht="15" customHeight="1">
      <c r="A209" t="inlineStr">
        <is>
          <t>A 20354-2021</t>
        </is>
      </c>
      <c r="B209" s="1" t="n">
        <v>44312</v>
      </c>
      <c r="C209" s="1" t="n">
        <v>45895</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53474-2020</t>
        </is>
      </c>
      <c r="B210" s="1" t="n">
        <v>44123.68413194444</v>
      </c>
      <c r="C210" s="1" t="n">
        <v>45895</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49343-2020</t>
        </is>
      </c>
      <c r="B211" s="1" t="n">
        <v>44105.56329861111</v>
      </c>
      <c r="C211" s="1" t="n">
        <v>45895</v>
      </c>
      <c r="D211" t="inlineStr">
        <is>
          <t>VÄSTERNORRLANDS LÄN</t>
        </is>
      </c>
      <c r="E211" t="inlineStr">
        <is>
          <t>ÅNGE</t>
        </is>
      </c>
      <c r="G211" t="n">
        <v>1.2</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45895</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53660-2020</t>
        </is>
      </c>
      <c r="B213" s="1" t="n">
        <v>44124</v>
      </c>
      <c r="C213" s="1" t="n">
        <v>45895</v>
      </c>
      <c r="D213" t="inlineStr">
        <is>
          <t>VÄSTERNORRLANDS LÄN</t>
        </is>
      </c>
      <c r="E213" t="inlineStr">
        <is>
          <t>ÅNGE</t>
        </is>
      </c>
      <c r="G213" t="n">
        <v>5.4</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45895</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45895</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45895</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45895</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45895</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14433-2022</t>
        </is>
      </c>
      <c r="B219" s="1" t="n">
        <v>44652</v>
      </c>
      <c r="C219" s="1" t="n">
        <v>45895</v>
      </c>
      <c r="D219" t="inlineStr">
        <is>
          <t>VÄSTERNORRLANDS LÄN</t>
        </is>
      </c>
      <c r="E219" t="inlineStr">
        <is>
          <t>ÅNGE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48876-2021</t>
        </is>
      </c>
      <c r="B220" s="1" t="n">
        <v>44452</v>
      </c>
      <c r="C220" s="1" t="n">
        <v>45895</v>
      </c>
      <c r="D220" t="inlineStr">
        <is>
          <t>VÄSTERNORRLANDS LÄN</t>
        </is>
      </c>
      <c r="E220" t="inlineStr">
        <is>
          <t>ÅNGE</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45895</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39744-2021</t>
        </is>
      </c>
      <c r="B222" s="1" t="n">
        <v>44417</v>
      </c>
      <c r="C222" s="1" t="n">
        <v>45895</v>
      </c>
      <c r="D222" t="inlineStr">
        <is>
          <t>VÄSTERNORRLANDS LÄN</t>
        </is>
      </c>
      <c r="E222" t="inlineStr">
        <is>
          <t>ÅNGE</t>
        </is>
      </c>
      <c r="G222" t="n">
        <v>1.1</v>
      </c>
      <c r="H222" t="n">
        <v>0</v>
      </c>
      <c r="I222" t="n">
        <v>0</v>
      </c>
      <c r="J222" t="n">
        <v>0</v>
      </c>
      <c r="K222" t="n">
        <v>0</v>
      </c>
      <c r="L222" t="n">
        <v>0</v>
      </c>
      <c r="M222" t="n">
        <v>0</v>
      </c>
      <c r="N222" t="n">
        <v>0</v>
      </c>
      <c r="O222" t="n">
        <v>0</v>
      </c>
      <c r="P222" t="n">
        <v>0</v>
      </c>
      <c r="Q222" t="n">
        <v>0</v>
      </c>
      <c r="R222" s="2" t="inlineStr"/>
    </row>
    <row r="223" ht="15" customHeight="1">
      <c r="A223" t="inlineStr">
        <is>
          <t>A 46518-2020</t>
        </is>
      </c>
      <c r="B223" s="1" t="n">
        <v>44095</v>
      </c>
      <c r="C223" s="1" t="n">
        <v>45895</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69271-2020</t>
        </is>
      </c>
      <c r="B224" s="1" t="n">
        <v>44193</v>
      </c>
      <c r="C224" s="1" t="n">
        <v>45895</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74088-2021</t>
        </is>
      </c>
      <c r="B225" s="1" t="n">
        <v>44557.59435185185</v>
      </c>
      <c r="C225" s="1" t="n">
        <v>45895</v>
      </c>
      <c r="D225" t="inlineStr">
        <is>
          <t>VÄSTERNORRLANDS LÄN</t>
        </is>
      </c>
      <c r="E225" t="inlineStr">
        <is>
          <t>ÅNGE</t>
        </is>
      </c>
      <c r="G225" t="n">
        <v>0.6</v>
      </c>
      <c r="H225" t="n">
        <v>0</v>
      </c>
      <c r="I225" t="n">
        <v>0</v>
      </c>
      <c r="J225" t="n">
        <v>0</v>
      </c>
      <c r="K225" t="n">
        <v>0</v>
      </c>
      <c r="L225" t="n">
        <v>0</v>
      </c>
      <c r="M225" t="n">
        <v>0</v>
      </c>
      <c r="N225" t="n">
        <v>0</v>
      </c>
      <c r="O225" t="n">
        <v>0</v>
      </c>
      <c r="P225" t="n">
        <v>0</v>
      </c>
      <c r="Q225" t="n">
        <v>0</v>
      </c>
      <c r="R225" s="2" t="inlineStr"/>
    </row>
    <row r="226" ht="15" customHeight="1">
      <c r="A226" t="inlineStr">
        <is>
          <t>A 65593-2020</t>
        </is>
      </c>
      <c r="B226" s="1" t="n">
        <v>44173</v>
      </c>
      <c r="C226" s="1" t="n">
        <v>45895</v>
      </c>
      <c r="D226" t="inlineStr">
        <is>
          <t>VÄSTERNORRLANDS LÄN</t>
        </is>
      </c>
      <c r="E226" t="inlineStr">
        <is>
          <t>ÅNGE</t>
        </is>
      </c>
      <c r="G226" t="n">
        <v>4</v>
      </c>
      <c r="H226" t="n">
        <v>0</v>
      </c>
      <c r="I226" t="n">
        <v>0</v>
      </c>
      <c r="J226" t="n">
        <v>0</v>
      </c>
      <c r="K226" t="n">
        <v>0</v>
      </c>
      <c r="L226" t="n">
        <v>0</v>
      </c>
      <c r="M226" t="n">
        <v>0</v>
      </c>
      <c r="N226" t="n">
        <v>0</v>
      </c>
      <c r="O226" t="n">
        <v>0</v>
      </c>
      <c r="P226" t="n">
        <v>0</v>
      </c>
      <c r="Q226" t="n">
        <v>0</v>
      </c>
      <c r="R226" s="2" t="inlineStr"/>
    </row>
    <row r="227" ht="15" customHeight="1">
      <c r="A227" t="inlineStr">
        <is>
          <t>A 53173-2020</t>
        </is>
      </c>
      <c r="B227" s="1" t="n">
        <v>44120</v>
      </c>
      <c r="C227" s="1" t="n">
        <v>45895</v>
      </c>
      <c r="D227" t="inlineStr">
        <is>
          <t>VÄSTERNORRLANDS LÄN</t>
        </is>
      </c>
      <c r="E227" t="inlineStr">
        <is>
          <t>ÅNGE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53174-2020</t>
        </is>
      </c>
      <c r="B228" s="1" t="n">
        <v>44120</v>
      </c>
      <c r="C228" s="1" t="n">
        <v>45895</v>
      </c>
      <c r="D228" t="inlineStr">
        <is>
          <t>VÄSTERNORRLANDS LÄN</t>
        </is>
      </c>
      <c r="E228" t="inlineStr">
        <is>
          <t>ÅNGE</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19102-2021</t>
        </is>
      </c>
      <c r="B229" s="1" t="n">
        <v>44308</v>
      </c>
      <c r="C229" s="1" t="n">
        <v>45895</v>
      </c>
      <c r="D229" t="inlineStr">
        <is>
          <t>VÄSTERNORRLANDS LÄN</t>
        </is>
      </c>
      <c r="E229" t="inlineStr">
        <is>
          <t>ÅNGE</t>
        </is>
      </c>
      <c r="G229" t="n">
        <v>3.3</v>
      </c>
      <c r="H229" t="n">
        <v>0</v>
      </c>
      <c r="I229" t="n">
        <v>0</v>
      </c>
      <c r="J229" t="n">
        <v>0</v>
      </c>
      <c r="K229" t="n">
        <v>0</v>
      </c>
      <c r="L229" t="n">
        <v>0</v>
      </c>
      <c r="M229" t="n">
        <v>0</v>
      </c>
      <c r="N229" t="n">
        <v>0</v>
      </c>
      <c r="O229" t="n">
        <v>0</v>
      </c>
      <c r="P229" t="n">
        <v>0</v>
      </c>
      <c r="Q229" t="n">
        <v>0</v>
      </c>
      <c r="R229" s="2" t="inlineStr"/>
    </row>
    <row r="230" ht="15" customHeight="1">
      <c r="A230" t="inlineStr">
        <is>
          <t>A 65594-2020</t>
        </is>
      </c>
      <c r="B230" s="1" t="n">
        <v>44173</v>
      </c>
      <c r="C230" s="1" t="n">
        <v>45895</v>
      </c>
      <c r="D230" t="inlineStr">
        <is>
          <t>VÄSTERNORRLANDS LÄN</t>
        </is>
      </c>
      <c r="E230" t="inlineStr">
        <is>
          <t>ÅNGE</t>
        </is>
      </c>
      <c r="G230" t="n">
        <v>5.9</v>
      </c>
      <c r="H230" t="n">
        <v>0</v>
      </c>
      <c r="I230" t="n">
        <v>0</v>
      </c>
      <c r="J230" t="n">
        <v>0</v>
      </c>
      <c r="K230" t="n">
        <v>0</v>
      </c>
      <c r="L230" t="n">
        <v>0</v>
      </c>
      <c r="M230" t="n">
        <v>0</v>
      </c>
      <c r="N230" t="n">
        <v>0</v>
      </c>
      <c r="O230" t="n">
        <v>0</v>
      </c>
      <c r="P230" t="n">
        <v>0</v>
      </c>
      <c r="Q230" t="n">
        <v>0</v>
      </c>
      <c r="R230" s="2" t="inlineStr"/>
    </row>
    <row r="231" ht="15" customHeight="1">
      <c r="A231" t="inlineStr">
        <is>
          <t>A 71396-2021</t>
        </is>
      </c>
      <c r="B231" s="1" t="n">
        <v>44540.35644675926</v>
      </c>
      <c r="C231" s="1" t="n">
        <v>45895</v>
      </c>
      <c r="D231" t="inlineStr">
        <is>
          <t>VÄSTERNORRLANDS LÄN</t>
        </is>
      </c>
      <c r="E231" t="inlineStr">
        <is>
          <t>ÅNGE</t>
        </is>
      </c>
      <c r="G231" t="n">
        <v>0.5</v>
      </c>
      <c r="H231" t="n">
        <v>0</v>
      </c>
      <c r="I231" t="n">
        <v>0</v>
      </c>
      <c r="J231" t="n">
        <v>0</v>
      </c>
      <c r="K231" t="n">
        <v>0</v>
      </c>
      <c r="L231" t="n">
        <v>0</v>
      </c>
      <c r="M231" t="n">
        <v>0</v>
      </c>
      <c r="N231" t="n">
        <v>0</v>
      </c>
      <c r="O231" t="n">
        <v>0</v>
      </c>
      <c r="P231" t="n">
        <v>0</v>
      </c>
      <c r="Q231" t="n">
        <v>0</v>
      </c>
      <c r="R231" s="2" t="inlineStr"/>
    </row>
    <row r="232" ht="15" customHeight="1">
      <c r="A232" t="inlineStr">
        <is>
          <t>A 66265-2021</t>
        </is>
      </c>
      <c r="B232" s="1" t="n">
        <v>44518.45263888889</v>
      </c>
      <c r="C232" s="1" t="n">
        <v>45895</v>
      </c>
      <c r="D232" t="inlineStr">
        <is>
          <t>VÄSTERNORRLANDS LÄN</t>
        </is>
      </c>
      <c r="E232" t="inlineStr">
        <is>
          <t>ÅNGE</t>
        </is>
      </c>
      <c r="G232" t="n">
        <v>6</v>
      </c>
      <c r="H232" t="n">
        <v>0</v>
      </c>
      <c r="I232" t="n">
        <v>0</v>
      </c>
      <c r="J232" t="n">
        <v>0</v>
      </c>
      <c r="K232" t="n">
        <v>0</v>
      </c>
      <c r="L232" t="n">
        <v>0</v>
      </c>
      <c r="M232" t="n">
        <v>0</v>
      </c>
      <c r="N232" t="n">
        <v>0</v>
      </c>
      <c r="O232" t="n">
        <v>0</v>
      </c>
      <c r="P232" t="n">
        <v>0</v>
      </c>
      <c r="Q232" t="n">
        <v>0</v>
      </c>
      <c r="R232" s="2" t="inlineStr"/>
    </row>
    <row r="233" ht="15" customHeight="1">
      <c r="A233" t="inlineStr">
        <is>
          <t>A 71669-2021</t>
        </is>
      </c>
      <c r="B233" s="1" t="n">
        <v>44538</v>
      </c>
      <c r="C233" s="1" t="n">
        <v>45895</v>
      </c>
      <c r="D233" t="inlineStr">
        <is>
          <t>VÄSTERNORRLANDS LÄN</t>
        </is>
      </c>
      <c r="E233" t="inlineStr">
        <is>
          <t>ÅNGE</t>
        </is>
      </c>
      <c r="G233" t="n">
        <v>2.1</v>
      </c>
      <c r="H233" t="n">
        <v>0</v>
      </c>
      <c r="I233" t="n">
        <v>0</v>
      </c>
      <c r="J233" t="n">
        <v>0</v>
      </c>
      <c r="K233" t="n">
        <v>0</v>
      </c>
      <c r="L233" t="n">
        <v>0</v>
      </c>
      <c r="M233" t="n">
        <v>0</v>
      </c>
      <c r="N233" t="n">
        <v>0</v>
      </c>
      <c r="O233" t="n">
        <v>0</v>
      </c>
      <c r="P233" t="n">
        <v>0</v>
      </c>
      <c r="Q233" t="n">
        <v>0</v>
      </c>
      <c r="R233" s="2" t="inlineStr"/>
    </row>
    <row r="234" ht="15" customHeight="1">
      <c r="A234" t="inlineStr">
        <is>
          <t>A 50258-2020</t>
        </is>
      </c>
      <c r="B234" s="1" t="n">
        <v>44109</v>
      </c>
      <c r="C234" s="1" t="n">
        <v>45895</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50259-2020</t>
        </is>
      </c>
      <c r="B235" s="1" t="n">
        <v>44109</v>
      </c>
      <c r="C235" s="1" t="n">
        <v>45895</v>
      </c>
      <c r="D235" t="inlineStr">
        <is>
          <t>VÄSTERNORRLANDS LÄN</t>
        </is>
      </c>
      <c r="E235" t="inlineStr">
        <is>
          <t>ÅNGE</t>
        </is>
      </c>
      <c r="G235" t="n">
        <v>5.1</v>
      </c>
      <c r="H235" t="n">
        <v>0</v>
      </c>
      <c r="I235" t="n">
        <v>0</v>
      </c>
      <c r="J235" t="n">
        <v>0</v>
      </c>
      <c r="K235" t="n">
        <v>0</v>
      </c>
      <c r="L235" t="n">
        <v>0</v>
      </c>
      <c r="M235" t="n">
        <v>0</v>
      </c>
      <c r="N235" t="n">
        <v>0</v>
      </c>
      <c r="O235" t="n">
        <v>0</v>
      </c>
      <c r="P235" t="n">
        <v>0</v>
      </c>
      <c r="Q235" t="n">
        <v>0</v>
      </c>
      <c r="R235" s="2" t="inlineStr"/>
    </row>
    <row r="236" ht="15" customHeight="1">
      <c r="A236" t="inlineStr">
        <is>
          <t>A 14812-2021</t>
        </is>
      </c>
      <c r="B236" s="1" t="n">
        <v>44280</v>
      </c>
      <c r="C236" s="1" t="n">
        <v>45895</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9619-2021</t>
        </is>
      </c>
      <c r="B237" s="1" t="n">
        <v>44251</v>
      </c>
      <c r="C237" s="1" t="n">
        <v>45895</v>
      </c>
      <c r="D237" t="inlineStr">
        <is>
          <t>VÄSTERNORRLANDS LÄN</t>
        </is>
      </c>
      <c r="E237" t="inlineStr">
        <is>
          <t>ÅNGE</t>
        </is>
      </c>
      <c r="G237" t="n">
        <v>10.4</v>
      </c>
      <c r="H237" t="n">
        <v>0</v>
      </c>
      <c r="I237" t="n">
        <v>0</v>
      </c>
      <c r="J237" t="n">
        <v>0</v>
      </c>
      <c r="K237" t="n">
        <v>0</v>
      </c>
      <c r="L237" t="n">
        <v>0</v>
      </c>
      <c r="M237" t="n">
        <v>0</v>
      </c>
      <c r="N237" t="n">
        <v>0</v>
      </c>
      <c r="O237" t="n">
        <v>0</v>
      </c>
      <c r="P237" t="n">
        <v>0</v>
      </c>
      <c r="Q237" t="n">
        <v>0</v>
      </c>
      <c r="R237" s="2" t="inlineStr"/>
    </row>
    <row r="238" ht="15" customHeight="1">
      <c r="A238" t="inlineStr">
        <is>
          <t>A 46350-2022</t>
        </is>
      </c>
      <c r="B238" s="1" t="n">
        <v>44847.95120370371</v>
      </c>
      <c r="C238" s="1" t="n">
        <v>45895</v>
      </c>
      <c r="D238" t="inlineStr">
        <is>
          <t>VÄSTERNORRLANDS LÄN</t>
        </is>
      </c>
      <c r="E238" t="inlineStr">
        <is>
          <t>ÅNGE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54105-2020</t>
        </is>
      </c>
      <c r="B239" s="1" t="n">
        <v>44125</v>
      </c>
      <c r="C239" s="1" t="n">
        <v>45895</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24819-2021</t>
        </is>
      </c>
      <c r="B240" s="1" t="n">
        <v>44340</v>
      </c>
      <c r="C240" s="1" t="n">
        <v>45895</v>
      </c>
      <c r="D240" t="inlineStr">
        <is>
          <t>VÄSTERNORRLANDS LÄN</t>
        </is>
      </c>
      <c r="E240" t="inlineStr">
        <is>
          <t>ÅNGE</t>
        </is>
      </c>
      <c r="G240" t="n">
        <v>1.5</v>
      </c>
      <c r="H240" t="n">
        <v>0</v>
      </c>
      <c r="I240" t="n">
        <v>0</v>
      </c>
      <c r="J240" t="n">
        <v>0</v>
      </c>
      <c r="K240" t="n">
        <v>0</v>
      </c>
      <c r="L240" t="n">
        <v>0</v>
      </c>
      <c r="M240" t="n">
        <v>0</v>
      </c>
      <c r="N240" t="n">
        <v>0</v>
      </c>
      <c r="O240" t="n">
        <v>0</v>
      </c>
      <c r="P240" t="n">
        <v>0</v>
      </c>
      <c r="Q240" t="n">
        <v>0</v>
      </c>
      <c r="R240" s="2" t="inlineStr"/>
    </row>
    <row r="241" ht="15" customHeight="1">
      <c r="A241" t="inlineStr">
        <is>
          <t>A 53969-2021</t>
        </is>
      </c>
      <c r="B241" s="1" t="n">
        <v>44469</v>
      </c>
      <c r="C241" s="1" t="n">
        <v>45895</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45895</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45895</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63609-2021</t>
        </is>
      </c>
      <c r="B244" s="1" t="n">
        <v>44508.94660879629</v>
      </c>
      <c r="C244" s="1" t="n">
        <v>45895</v>
      </c>
      <c r="D244" t="inlineStr">
        <is>
          <t>VÄSTERNORRLANDS LÄN</t>
        </is>
      </c>
      <c r="E244" t="inlineStr">
        <is>
          <t>ÅNGE</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7158-2022</t>
        </is>
      </c>
      <c r="B245" s="1" t="n">
        <v>44603.96534722222</v>
      </c>
      <c r="C245" s="1" t="n">
        <v>45895</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43093-2020</t>
        </is>
      </c>
      <c r="B246" s="1" t="n">
        <v>44078</v>
      </c>
      <c r="C246" s="1" t="n">
        <v>45895</v>
      </c>
      <c r="D246" t="inlineStr">
        <is>
          <t>VÄSTERNORRLANDS LÄN</t>
        </is>
      </c>
      <c r="E246" t="inlineStr">
        <is>
          <t>ÅNGE</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47282-2022</t>
        </is>
      </c>
      <c r="B247" s="1" t="n">
        <v>44852.95091435185</v>
      </c>
      <c r="C247" s="1" t="n">
        <v>45895</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45895</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45895</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45895</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7649-2022</t>
        </is>
      </c>
      <c r="B251" s="1" t="n">
        <v>44607</v>
      </c>
      <c r="C251" s="1" t="n">
        <v>45895</v>
      </c>
      <c r="D251" t="inlineStr">
        <is>
          <t>VÄSTERNORRLANDS LÄN</t>
        </is>
      </c>
      <c r="E251" t="inlineStr">
        <is>
          <t>ÅNGE</t>
        </is>
      </c>
      <c r="G251" t="n">
        <v>1.9</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45895</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17844-2021</t>
        </is>
      </c>
      <c r="B253" s="1" t="n">
        <v>44300.9187962963</v>
      </c>
      <c r="C253" s="1" t="n">
        <v>45895</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45895</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65437-2021</t>
        </is>
      </c>
      <c r="B255" s="1" t="n">
        <v>44515.93900462963</v>
      </c>
      <c r="C255" s="1" t="n">
        <v>45895</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45895</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45895</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45895</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45895</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45895</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45895</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9998-2022</t>
        </is>
      </c>
      <c r="B262" s="1" t="n">
        <v>44621.46462962963</v>
      </c>
      <c r="C262" s="1" t="n">
        <v>45895</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51427-2021</t>
        </is>
      </c>
      <c r="B263" s="1" t="n">
        <v>44461</v>
      </c>
      <c r="C263" s="1" t="n">
        <v>45895</v>
      </c>
      <c r="D263" t="inlineStr">
        <is>
          <t>VÄSTERNORRLANDS LÄN</t>
        </is>
      </c>
      <c r="E263" t="inlineStr">
        <is>
          <t>ÅNGE</t>
        </is>
      </c>
      <c r="G263" t="n">
        <v>3.2</v>
      </c>
      <c r="H263" t="n">
        <v>0</v>
      </c>
      <c r="I263" t="n">
        <v>0</v>
      </c>
      <c r="J263" t="n">
        <v>0</v>
      </c>
      <c r="K263" t="n">
        <v>0</v>
      </c>
      <c r="L263" t="n">
        <v>0</v>
      </c>
      <c r="M263" t="n">
        <v>0</v>
      </c>
      <c r="N263" t="n">
        <v>0</v>
      </c>
      <c r="O263" t="n">
        <v>0</v>
      </c>
      <c r="P263" t="n">
        <v>0</v>
      </c>
      <c r="Q263" t="n">
        <v>0</v>
      </c>
      <c r="R263" s="2" t="inlineStr"/>
    </row>
    <row r="264" ht="15" customHeight="1">
      <c r="A264" t="inlineStr">
        <is>
          <t>A 47654-2022</t>
        </is>
      </c>
      <c r="B264" s="1" t="n">
        <v>44854.45208333333</v>
      </c>
      <c r="C264" s="1" t="n">
        <v>45895</v>
      </c>
      <c r="D264" t="inlineStr">
        <is>
          <t>VÄSTERNORRLANDS LÄN</t>
        </is>
      </c>
      <c r="E264" t="inlineStr">
        <is>
          <t>ÅNGE</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45895</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45895</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45895</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45895</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45895</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68812-2020</t>
        </is>
      </c>
      <c r="B270" s="1" t="n">
        <v>44187</v>
      </c>
      <c r="C270" s="1" t="n">
        <v>45895</v>
      </c>
      <c r="D270" t="inlineStr">
        <is>
          <t>VÄSTERNORRLANDS LÄN</t>
        </is>
      </c>
      <c r="E270" t="inlineStr">
        <is>
          <t>ÅNGE</t>
        </is>
      </c>
      <c r="G270" t="n">
        <v>1.6</v>
      </c>
      <c r="H270" t="n">
        <v>0</v>
      </c>
      <c r="I270" t="n">
        <v>0</v>
      </c>
      <c r="J270" t="n">
        <v>0</v>
      </c>
      <c r="K270" t="n">
        <v>0</v>
      </c>
      <c r="L270" t="n">
        <v>0</v>
      </c>
      <c r="M270" t="n">
        <v>0</v>
      </c>
      <c r="N270" t="n">
        <v>0</v>
      </c>
      <c r="O270" t="n">
        <v>0</v>
      </c>
      <c r="P270" t="n">
        <v>0</v>
      </c>
      <c r="Q270" t="n">
        <v>0</v>
      </c>
      <c r="R270" s="2" t="inlineStr"/>
    </row>
    <row r="271" ht="15" customHeight="1">
      <c r="A271" t="inlineStr">
        <is>
          <t>A 30495-2022</t>
        </is>
      </c>
      <c r="B271" s="1" t="n">
        <v>44761.9424074074</v>
      </c>
      <c r="C271" s="1" t="n">
        <v>45895</v>
      </c>
      <c r="D271" t="inlineStr">
        <is>
          <t>VÄSTERNORRLANDS LÄN</t>
        </is>
      </c>
      <c r="E271" t="inlineStr">
        <is>
          <t>ÅNGE</t>
        </is>
      </c>
      <c r="F271" t="inlineStr">
        <is>
          <t>SCA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65277-2020</t>
        </is>
      </c>
      <c r="B272" s="1" t="n">
        <v>44172</v>
      </c>
      <c r="C272" s="1" t="n">
        <v>45895</v>
      </c>
      <c r="D272" t="inlineStr">
        <is>
          <t>VÄSTERNORRLANDS LÄN</t>
        </is>
      </c>
      <c r="E272" t="inlineStr">
        <is>
          <t>ÅNGE</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45895</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45895</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45895</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45895</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45895</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45895</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58942-2021</t>
        </is>
      </c>
      <c r="B279" s="1" t="n">
        <v>44489.9221875</v>
      </c>
      <c r="C279" s="1" t="n">
        <v>45895</v>
      </c>
      <c r="D279" t="inlineStr">
        <is>
          <t>VÄSTERNORRLANDS LÄN</t>
        </is>
      </c>
      <c r="E279" t="inlineStr">
        <is>
          <t>ÅNGE</t>
        </is>
      </c>
      <c r="G279" t="n">
        <v>5.6</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45895</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45895</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45895</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45895</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45895</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42751-2020</t>
        </is>
      </c>
      <c r="B285" s="1" t="n">
        <v>44077</v>
      </c>
      <c r="C285" s="1" t="n">
        <v>45895</v>
      </c>
      <c r="D285" t="inlineStr">
        <is>
          <t>VÄSTERNORRLANDS LÄN</t>
        </is>
      </c>
      <c r="E285" t="inlineStr">
        <is>
          <t>ÅNGE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45895</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45895</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45895</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10687-2022</t>
        </is>
      </c>
      <c r="B289" s="1" t="n">
        <v>44624.92684027777</v>
      </c>
      <c r="C289" s="1" t="n">
        <v>45895</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45895</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42289-2020</t>
        </is>
      </c>
      <c r="B291" s="1" t="n">
        <v>44076</v>
      </c>
      <c r="C291" s="1" t="n">
        <v>45895</v>
      </c>
      <c r="D291" t="inlineStr">
        <is>
          <t>VÄSTERNORRLANDS LÄN</t>
        </is>
      </c>
      <c r="E291" t="inlineStr">
        <is>
          <t>ÅNGE</t>
        </is>
      </c>
      <c r="G291" t="n">
        <v>16.7</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45895</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45895</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45895</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45895</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45895</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45895</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45895</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45895</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45895</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45895</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45895</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45895</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45895</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20369-2022</t>
        </is>
      </c>
      <c r="B305" s="1" t="n">
        <v>44699.41140046297</v>
      </c>
      <c r="C305" s="1" t="n">
        <v>45895</v>
      </c>
      <c r="D305" t="inlineStr">
        <is>
          <t>VÄSTERNORRLANDS LÄN</t>
        </is>
      </c>
      <c r="E305" t="inlineStr">
        <is>
          <t>ÅNGE</t>
        </is>
      </c>
      <c r="G305" t="n">
        <v>5.5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45895</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5113-2022</t>
        </is>
      </c>
      <c r="B307" s="1" t="n">
        <v>44593.93362268519</v>
      </c>
      <c r="C307" s="1" t="n">
        <v>45895</v>
      </c>
      <c r="D307" t="inlineStr">
        <is>
          <t>VÄSTERNORRLANDS LÄN</t>
        </is>
      </c>
      <c r="E307" t="inlineStr">
        <is>
          <t>ÅNGE</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31668-2021</t>
        </is>
      </c>
      <c r="B308" s="1" t="n">
        <v>44369</v>
      </c>
      <c r="C308" s="1" t="n">
        <v>45895</v>
      </c>
      <c r="D308" t="inlineStr">
        <is>
          <t>VÄSTERNORRLANDS LÄN</t>
        </is>
      </c>
      <c r="E308" t="inlineStr">
        <is>
          <t>ÅNGE</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32328-2021</t>
        </is>
      </c>
      <c r="B309" s="1" t="n">
        <v>44371.55924768518</v>
      </c>
      <c r="C309" s="1" t="n">
        <v>45895</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6263-2022</t>
        </is>
      </c>
      <c r="B310" s="1" t="n">
        <v>44600</v>
      </c>
      <c r="C310" s="1" t="n">
        <v>45895</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45895</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45895</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49656-2020</t>
        </is>
      </c>
      <c r="B313" s="1" t="n">
        <v>44106</v>
      </c>
      <c r="C313" s="1" t="n">
        <v>45895</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55907-2022</t>
        </is>
      </c>
      <c r="B314" s="1" t="n">
        <v>44888.95457175926</v>
      </c>
      <c r="C314" s="1" t="n">
        <v>45895</v>
      </c>
      <c r="D314" t="inlineStr">
        <is>
          <t>VÄSTERNORRLANDS LÄN</t>
        </is>
      </c>
      <c r="E314" t="inlineStr">
        <is>
          <t>ÅNGE</t>
        </is>
      </c>
      <c r="F314" t="inlineStr">
        <is>
          <t>SCA</t>
        </is>
      </c>
      <c r="G314" t="n">
        <v>8.4</v>
      </c>
      <c r="H314" t="n">
        <v>0</v>
      </c>
      <c r="I314" t="n">
        <v>0</v>
      </c>
      <c r="J314" t="n">
        <v>0</v>
      </c>
      <c r="K314" t="n">
        <v>0</v>
      </c>
      <c r="L314" t="n">
        <v>0</v>
      </c>
      <c r="M314" t="n">
        <v>0</v>
      </c>
      <c r="N314" t="n">
        <v>0</v>
      </c>
      <c r="O314" t="n">
        <v>0</v>
      </c>
      <c r="P314" t="n">
        <v>0</v>
      </c>
      <c r="Q314" t="n">
        <v>0</v>
      </c>
      <c r="R314" s="2" t="inlineStr"/>
    </row>
    <row r="315" ht="15" customHeight="1">
      <c r="A315" t="inlineStr">
        <is>
          <t>A 33408-2021</t>
        </is>
      </c>
      <c r="B315" s="1" t="n">
        <v>44377</v>
      </c>
      <c r="C315" s="1" t="n">
        <v>45895</v>
      </c>
      <c r="D315" t="inlineStr">
        <is>
          <t>VÄSTERNORRLANDS LÄN</t>
        </is>
      </c>
      <c r="E315" t="inlineStr">
        <is>
          <t>ÅNGE</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31647-2022</t>
        </is>
      </c>
      <c r="B316" s="1" t="n">
        <v>44775.94328703704</v>
      </c>
      <c r="C316" s="1" t="n">
        <v>45895</v>
      </c>
      <c r="D316" t="inlineStr">
        <is>
          <t>VÄSTERNORRLANDS LÄN</t>
        </is>
      </c>
      <c r="E316" t="inlineStr">
        <is>
          <t>ÅNGE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45895</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27953-2021</t>
        </is>
      </c>
      <c r="B318" s="1" t="n">
        <v>44354.9209375</v>
      </c>
      <c r="C318" s="1" t="n">
        <v>45895</v>
      </c>
      <c r="D318" t="inlineStr">
        <is>
          <t>VÄSTERNORRLANDS LÄN</t>
        </is>
      </c>
      <c r="E318" t="inlineStr">
        <is>
          <t>ÅNGE</t>
        </is>
      </c>
      <c r="G318" t="n">
        <v>2.9</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45895</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45895</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45895</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24355-2022</t>
        </is>
      </c>
      <c r="B322" s="1" t="n">
        <v>44726.3816087963</v>
      </c>
      <c r="C322" s="1" t="n">
        <v>45895</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45895</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30365-2021</t>
        </is>
      </c>
      <c r="B324" s="1" t="n">
        <v>44364.45164351852</v>
      </c>
      <c r="C324" s="1" t="n">
        <v>45895</v>
      </c>
      <c r="D324" t="inlineStr">
        <is>
          <t>VÄSTERNORRLANDS LÄN</t>
        </is>
      </c>
      <c r="E324" t="inlineStr">
        <is>
          <t>ÅNGE</t>
        </is>
      </c>
      <c r="G324" t="n">
        <v>3.9</v>
      </c>
      <c r="H324" t="n">
        <v>0</v>
      </c>
      <c r="I324" t="n">
        <v>0</v>
      </c>
      <c r="J324" t="n">
        <v>0</v>
      </c>
      <c r="K324" t="n">
        <v>0</v>
      </c>
      <c r="L324" t="n">
        <v>0</v>
      </c>
      <c r="M324" t="n">
        <v>0</v>
      </c>
      <c r="N324" t="n">
        <v>0</v>
      </c>
      <c r="O324" t="n">
        <v>0</v>
      </c>
      <c r="P324" t="n">
        <v>0</v>
      </c>
      <c r="Q324" t="n">
        <v>0</v>
      </c>
      <c r="R324" s="2" t="inlineStr"/>
    </row>
    <row r="325" ht="15" customHeight="1">
      <c r="A325" t="inlineStr">
        <is>
          <t>A 17044-2022</t>
        </is>
      </c>
      <c r="B325" s="1" t="n">
        <v>44676</v>
      </c>
      <c r="C325" s="1" t="n">
        <v>45895</v>
      </c>
      <c r="D325" t="inlineStr">
        <is>
          <t>VÄSTERNORRLANDS LÄN</t>
        </is>
      </c>
      <c r="E325" t="inlineStr">
        <is>
          <t>ÅNGE</t>
        </is>
      </c>
      <c r="F325" t="inlineStr">
        <is>
          <t>Övriga Aktiebolag</t>
        </is>
      </c>
      <c r="G325" t="n">
        <v>0.8</v>
      </c>
      <c r="H325" t="n">
        <v>0</v>
      </c>
      <c r="I325" t="n">
        <v>0</v>
      </c>
      <c r="J325" t="n">
        <v>0</v>
      </c>
      <c r="K325" t="n">
        <v>0</v>
      </c>
      <c r="L325" t="n">
        <v>0</v>
      </c>
      <c r="M325" t="n">
        <v>0</v>
      </c>
      <c r="N325" t="n">
        <v>0</v>
      </c>
      <c r="O325" t="n">
        <v>0</v>
      </c>
      <c r="P325" t="n">
        <v>0</v>
      </c>
      <c r="Q325" t="n">
        <v>0</v>
      </c>
      <c r="R325" s="2" t="inlineStr"/>
    </row>
    <row r="326" ht="15" customHeight="1">
      <c r="A326" t="inlineStr">
        <is>
          <t>A 51494-2022</t>
        </is>
      </c>
      <c r="B326" s="1" t="n">
        <v>44869</v>
      </c>
      <c r="C326" s="1" t="n">
        <v>45895</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35507-2022</t>
        </is>
      </c>
      <c r="B327" s="1" t="n">
        <v>44798</v>
      </c>
      <c r="C327" s="1" t="n">
        <v>45895</v>
      </c>
      <c r="D327" t="inlineStr">
        <is>
          <t>VÄSTERNORRLANDS LÄN</t>
        </is>
      </c>
      <c r="E327" t="inlineStr">
        <is>
          <t>ÅNGE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70899-2021</t>
        </is>
      </c>
      <c r="B328" s="1" t="n">
        <v>44537</v>
      </c>
      <c r="C328" s="1" t="n">
        <v>45895</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74194-2021</t>
        </is>
      </c>
      <c r="B329" s="1" t="n">
        <v>44558.47333333334</v>
      </c>
      <c r="C329" s="1" t="n">
        <v>45895</v>
      </c>
      <c r="D329" t="inlineStr">
        <is>
          <t>VÄSTERNORRLANDS LÄN</t>
        </is>
      </c>
      <c r="E329" t="inlineStr">
        <is>
          <t>ÅNGE</t>
        </is>
      </c>
      <c r="G329" t="n">
        <v>1.9</v>
      </c>
      <c r="H329" t="n">
        <v>0</v>
      </c>
      <c r="I329" t="n">
        <v>0</v>
      </c>
      <c r="J329" t="n">
        <v>0</v>
      </c>
      <c r="K329" t="n">
        <v>0</v>
      </c>
      <c r="L329" t="n">
        <v>0</v>
      </c>
      <c r="M329" t="n">
        <v>0</v>
      </c>
      <c r="N329" t="n">
        <v>0</v>
      </c>
      <c r="O329" t="n">
        <v>0</v>
      </c>
      <c r="P329" t="n">
        <v>0</v>
      </c>
      <c r="Q329" t="n">
        <v>0</v>
      </c>
      <c r="R329" s="2" t="inlineStr"/>
    </row>
    <row r="330" ht="15" customHeight="1">
      <c r="A330" t="inlineStr">
        <is>
          <t>A 10680-2022</t>
        </is>
      </c>
      <c r="B330" s="1" t="n">
        <v>44624</v>
      </c>
      <c r="C330" s="1" t="n">
        <v>45895</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10686-2022</t>
        </is>
      </c>
      <c r="B331" s="1" t="n">
        <v>44624.92680555556</v>
      </c>
      <c r="C331" s="1" t="n">
        <v>45895</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62870-2021</t>
        </is>
      </c>
      <c r="B332" s="1" t="n">
        <v>44503</v>
      </c>
      <c r="C332" s="1" t="n">
        <v>45895</v>
      </c>
      <c r="D332" t="inlineStr">
        <is>
          <t>VÄSTERNORRLANDS LÄN</t>
        </is>
      </c>
      <c r="E332" t="inlineStr">
        <is>
          <t>ÅNGE</t>
        </is>
      </c>
      <c r="F332" t="inlineStr">
        <is>
          <t>Övriga statliga verk och myndigheter</t>
        </is>
      </c>
      <c r="G332" t="n">
        <v>3</v>
      </c>
      <c r="H332" t="n">
        <v>0</v>
      </c>
      <c r="I332" t="n">
        <v>0</v>
      </c>
      <c r="J332" t="n">
        <v>0</v>
      </c>
      <c r="K332" t="n">
        <v>0</v>
      </c>
      <c r="L332" t="n">
        <v>0</v>
      </c>
      <c r="M332" t="n">
        <v>0</v>
      </c>
      <c r="N332" t="n">
        <v>0</v>
      </c>
      <c r="O332" t="n">
        <v>0</v>
      </c>
      <c r="P332" t="n">
        <v>0</v>
      </c>
      <c r="Q332" t="n">
        <v>0</v>
      </c>
      <c r="R332" s="2" t="inlineStr"/>
    </row>
    <row r="333" ht="15" customHeight="1">
      <c r="A333" t="inlineStr">
        <is>
          <t>A 13641-2022</t>
        </is>
      </c>
      <c r="B333" s="1" t="n">
        <v>44648</v>
      </c>
      <c r="C333" s="1" t="n">
        <v>45895</v>
      </c>
      <c r="D333" t="inlineStr">
        <is>
          <t>VÄSTERNORRLANDS LÄN</t>
        </is>
      </c>
      <c r="E333" t="inlineStr">
        <is>
          <t>ÅNGE</t>
        </is>
      </c>
      <c r="G333" t="n">
        <v>4.9</v>
      </c>
      <c r="H333" t="n">
        <v>0</v>
      </c>
      <c r="I333" t="n">
        <v>0</v>
      </c>
      <c r="J333" t="n">
        <v>0</v>
      </c>
      <c r="K333" t="n">
        <v>0</v>
      </c>
      <c r="L333" t="n">
        <v>0</v>
      </c>
      <c r="M333" t="n">
        <v>0</v>
      </c>
      <c r="N333" t="n">
        <v>0</v>
      </c>
      <c r="O333" t="n">
        <v>0</v>
      </c>
      <c r="P333" t="n">
        <v>0</v>
      </c>
      <c r="Q333" t="n">
        <v>0</v>
      </c>
      <c r="R333" s="2" t="inlineStr"/>
    </row>
    <row r="334" ht="15" customHeight="1">
      <c r="A334" t="inlineStr">
        <is>
          <t>A 45810-2020</t>
        </is>
      </c>
      <c r="B334" s="1" t="n">
        <v>44090.88427083333</v>
      </c>
      <c r="C334" s="1" t="n">
        <v>45895</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45895</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60064-2020</t>
        </is>
      </c>
      <c r="B336" s="1" t="n">
        <v>44151</v>
      </c>
      <c r="C336" s="1" t="n">
        <v>45895</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14084-2022</t>
        </is>
      </c>
      <c r="B337" s="1" t="n">
        <v>44651</v>
      </c>
      <c r="C337" s="1" t="n">
        <v>45895</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14091-2022</t>
        </is>
      </c>
      <c r="B338" s="1" t="n">
        <v>44651</v>
      </c>
      <c r="C338" s="1" t="n">
        <v>45895</v>
      </c>
      <c r="D338" t="inlineStr">
        <is>
          <t>VÄSTERNORRLANDS LÄN</t>
        </is>
      </c>
      <c r="E338" t="inlineStr">
        <is>
          <t>ÅNGE</t>
        </is>
      </c>
      <c r="G338" t="n">
        <v>2.4</v>
      </c>
      <c r="H338" t="n">
        <v>0</v>
      </c>
      <c r="I338" t="n">
        <v>0</v>
      </c>
      <c r="J338" t="n">
        <v>0</v>
      </c>
      <c r="K338" t="n">
        <v>0</v>
      </c>
      <c r="L338" t="n">
        <v>0</v>
      </c>
      <c r="M338" t="n">
        <v>0</v>
      </c>
      <c r="N338" t="n">
        <v>0</v>
      </c>
      <c r="O338" t="n">
        <v>0</v>
      </c>
      <c r="P338" t="n">
        <v>0</v>
      </c>
      <c r="Q338" t="n">
        <v>0</v>
      </c>
      <c r="R338" s="2" t="inlineStr"/>
    </row>
    <row r="339" ht="15" customHeight="1">
      <c r="A339" t="inlineStr">
        <is>
          <t>A 48238-2020</t>
        </is>
      </c>
      <c r="B339" s="1" t="n">
        <v>44097</v>
      </c>
      <c r="C339" s="1" t="n">
        <v>45895</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45895</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21189-2021</t>
        </is>
      </c>
      <c r="B341" s="1" t="n">
        <v>44320</v>
      </c>
      <c r="C341" s="1" t="n">
        <v>45895</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45808-2020</t>
        </is>
      </c>
      <c r="B342" s="1" t="n">
        <v>44090</v>
      </c>
      <c r="C342" s="1" t="n">
        <v>45895</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45812-2020</t>
        </is>
      </c>
      <c r="B343" s="1" t="n">
        <v>44090.88556712963</v>
      </c>
      <c r="C343" s="1" t="n">
        <v>45895</v>
      </c>
      <c r="D343" t="inlineStr">
        <is>
          <t>VÄSTERNORRLANDS LÄN</t>
        </is>
      </c>
      <c r="E343" t="inlineStr">
        <is>
          <t>ÅNGE</t>
        </is>
      </c>
      <c r="G343" t="n">
        <v>0.1</v>
      </c>
      <c r="H343" t="n">
        <v>0</v>
      </c>
      <c r="I343" t="n">
        <v>0</v>
      </c>
      <c r="J343" t="n">
        <v>0</v>
      </c>
      <c r="K343" t="n">
        <v>0</v>
      </c>
      <c r="L343" t="n">
        <v>0</v>
      </c>
      <c r="M343" t="n">
        <v>0</v>
      </c>
      <c r="N343" t="n">
        <v>0</v>
      </c>
      <c r="O343" t="n">
        <v>0</v>
      </c>
      <c r="P343" t="n">
        <v>0</v>
      </c>
      <c r="Q343" t="n">
        <v>0</v>
      </c>
      <c r="R343" s="2" t="inlineStr"/>
    </row>
    <row r="344" ht="15" customHeight="1">
      <c r="A344" t="inlineStr">
        <is>
          <t>A 53962-2020</t>
        </is>
      </c>
      <c r="B344" s="1" t="n">
        <v>44125.46759259259</v>
      </c>
      <c r="C344" s="1" t="n">
        <v>45895</v>
      </c>
      <c r="D344" t="inlineStr">
        <is>
          <t>VÄSTERNORRLANDS LÄN</t>
        </is>
      </c>
      <c r="E344" t="inlineStr">
        <is>
          <t>ÅNGE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45895</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35276-2022</t>
        </is>
      </c>
      <c r="B346" s="1" t="n">
        <v>44798</v>
      </c>
      <c r="C346" s="1" t="n">
        <v>45895</v>
      </c>
      <c r="D346" t="inlineStr">
        <is>
          <t>VÄSTERNORRLANDS LÄN</t>
        </is>
      </c>
      <c r="E346" t="inlineStr">
        <is>
          <t>ÅNGE</t>
        </is>
      </c>
      <c r="G346" t="n">
        <v>15.2</v>
      </c>
      <c r="H346" t="n">
        <v>0</v>
      </c>
      <c r="I346" t="n">
        <v>0</v>
      </c>
      <c r="J346" t="n">
        <v>0</v>
      </c>
      <c r="K346" t="n">
        <v>0</v>
      </c>
      <c r="L346" t="n">
        <v>0</v>
      </c>
      <c r="M346" t="n">
        <v>0</v>
      </c>
      <c r="N346" t="n">
        <v>0</v>
      </c>
      <c r="O346" t="n">
        <v>0</v>
      </c>
      <c r="P346" t="n">
        <v>0</v>
      </c>
      <c r="Q346" t="n">
        <v>0</v>
      </c>
      <c r="R346" s="2" t="inlineStr"/>
    </row>
    <row r="347" ht="15" customHeight="1">
      <c r="A347" t="inlineStr">
        <is>
          <t>A 13149-2021</t>
        </is>
      </c>
      <c r="B347" s="1" t="n">
        <v>44272</v>
      </c>
      <c r="C347" s="1" t="n">
        <v>45895</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45895</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65280-2020</t>
        </is>
      </c>
      <c r="B349" s="1" t="n">
        <v>44172</v>
      </c>
      <c r="C349" s="1" t="n">
        <v>45895</v>
      </c>
      <c r="D349" t="inlineStr">
        <is>
          <t>VÄSTERNORRLANDS LÄN</t>
        </is>
      </c>
      <c r="E349" t="inlineStr">
        <is>
          <t>ÅNGE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45895</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45895</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5366-2022</t>
        </is>
      </c>
      <c r="B352" s="1" t="n">
        <v>44594.92107638889</v>
      </c>
      <c r="C352" s="1" t="n">
        <v>45895</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48810-2020</t>
        </is>
      </c>
      <c r="B353" s="1" t="n">
        <v>44103</v>
      </c>
      <c r="C353" s="1" t="n">
        <v>45895</v>
      </c>
      <c r="D353" t="inlineStr">
        <is>
          <t>VÄSTERNORRLANDS LÄN</t>
        </is>
      </c>
      <c r="E353" t="inlineStr">
        <is>
          <t>ÅNGE</t>
        </is>
      </c>
      <c r="F353" t="inlineStr">
        <is>
          <t>SCA</t>
        </is>
      </c>
      <c r="G353" t="n">
        <v>1.8</v>
      </c>
      <c r="H353" t="n">
        <v>0</v>
      </c>
      <c r="I353" t="n">
        <v>0</v>
      </c>
      <c r="J353" t="n">
        <v>0</v>
      </c>
      <c r="K353" t="n">
        <v>0</v>
      </c>
      <c r="L353" t="n">
        <v>0</v>
      </c>
      <c r="M353" t="n">
        <v>0</v>
      </c>
      <c r="N353" t="n">
        <v>0</v>
      </c>
      <c r="O353" t="n">
        <v>0</v>
      </c>
      <c r="P353" t="n">
        <v>0</v>
      </c>
      <c r="Q353" t="n">
        <v>0</v>
      </c>
      <c r="R353" s="2" t="inlineStr"/>
      <c r="U353">
        <f>HYPERLINK("https://klasma.github.io/Logging_2260/knärot/A 48810-2020 karta knärot.png", "A 48810-2020")</f>
        <v/>
      </c>
      <c r="V353">
        <f>HYPERLINK("https://klasma.github.io/Logging_2260/klagomål/A 48810-2020 FSC-klagomål.docx", "A 48810-2020")</f>
        <v/>
      </c>
      <c r="W353">
        <f>HYPERLINK("https://klasma.github.io/Logging_2260/klagomålsmail/A 48810-2020 FSC-klagomål mail.docx", "A 48810-2020")</f>
        <v/>
      </c>
      <c r="X353">
        <f>HYPERLINK("https://klasma.github.io/Logging_2260/tillsyn/A 48810-2020 tillsynsbegäran.docx", "A 48810-2020")</f>
        <v/>
      </c>
      <c r="Y353">
        <f>HYPERLINK("https://klasma.github.io/Logging_2260/tillsynsmail/A 48810-2020 tillsynsbegäran mail.docx", "A 48810-2020")</f>
        <v/>
      </c>
    </row>
    <row r="354" ht="15" customHeight="1">
      <c r="A354" t="inlineStr">
        <is>
          <t>A 33274-2022</t>
        </is>
      </c>
      <c r="B354" s="1" t="n">
        <v>44788</v>
      </c>
      <c r="C354" s="1" t="n">
        <v>45895</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45895</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47660-2022</t>
        </is>
      </c>
      <c r="B356" s="1" t="n">
        <v>44854.45766203704</v>
      </c>
      <c r="C356" s="1" t="n">
        <v>45895</v>
      </c>
      <c r="D356" t="inlineStr">
        <is>
          <t>VÄSTERNORRLANDS LÄN</t>
        </is>
      </c>
      <c r="E356" t="inlineStr">
        <is>
          <t>ÅNGE</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50710-2021</t>
        </is>
      </c>
      <c r="B357" s="1" t="n">
        <v>44460.366875</v>
      </c>
      <c r="C357" s="1" t="n">
        <v>45895</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47411-2020</t>
        </is>
      </c>
      <c r="B358" s="1" t="n">
        <v>44095</v>
      </c>
      <c r="C358" s="1" t="n">
        <v>45895</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46351-2022</t>
        </is>
      </c>
      <c r="B359" s="1" t="n">
        <v>44847</v>
      </c>
      <c r="C359" s="1" t="n">
        <v>45895</v>
      </c>
      <c r="D359" t="inlineStr">
        <is>
          <t>VÄSTERNORRLANDS LÄN</t>
        </is>
      </c>
      <c r="E359" t="inlineStr">
        <is>
          <t>ÅNGE</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51755-2020</t>
        </is>
      </c>
      <c r="B360" s="1" t="n">
        <v>44114</v>
      </c>
      <c r="C360" s="1" t="n">
        <v>45895</v>
      </c>
      <c r="D360" t="inlineStr">
        <is>
          <t>VÄSTERNORRLANDS LÄN</t>
        </is>
      </c>
      <c r="E360" t="inlineStr">
        <is>
          <t>ÅNGE</t>
        </is>
      </c>
      <c r="G360" t="n">
        <v>6.4</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45895</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44413-2022</t>
        </is>
      </c>
      <c r="B362" s="1" t="n">
        <v>44839.92630787037</v>
      </c>
      <c r="C362" s="1" t="n">
        <v>45895</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40476-2022</t>
        </is>
      </c>
      <c r="B363" s="1" t="n">
        <v>44823.54685185185</v>
      </c>
      <c r="C363" s="1" t="n">
        <v>45895</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14813-2022</t>
        </is>
      </c>
      <c r="B364" s="1" t="n">
        <v>44656</v>
      </c>
      <c r="C364" s="1" t="n">
        <v>45895</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50268-2020</t>
        </is>
      </c>
      <c r="B365" s="1" t="n">
        <v>44109</v>
      </c>
      <c r="C365" s="1" t="n">
        <v>45895</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45895</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45895</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50265-2020</t>
        </is>
      </c>
      <c r="B368" s="1" t="n">
        <v>44109</v>
      </c>
      <c r="C368" s="1" t="n">
        <v>45895</v>
      </c>
      <c r="D368" t="inlineStr">
        <is>
          <t>VÄSTERNORRLANDS LÄN</t>
        </is>
      </c>
      <c r="E368" t="inlineStr">
        <is>
          <t>ÅNGE</t>
        </is>
      </c>
      <c r="G368" t="n">
        <v>1.5</v>
      </c>
      <c r="H368" t="n">
        <v>0</v>
      </c>
      <c r="I368" t="n">
        <v>0</v>
      </c>
      <c r="J368" t="n">
        <v>0</v>
      </c>
      <c r="K368" t="n">
        <v>0</v>
      </c>
      <c r="L368" t="n">
        <v>0</v>
      </c>
      <c r="M368" t="n">
        <v>0</v>
      </c>
      <c r="N368" t="n">
        <v>0</v>
      </c>
      <c r="O368" t="n">
        <v>0</v>
      </c>
      <c r="P368" t="n">
        <v>0</v>
      </c>
      <c r="Q368" t="n">
        <v>0</v>
      </c>
      <c r="R368" s="2" t="inlineStr"/>
    </row>
    <row r="369" ht="15" customHeight="1">
      <c r="A369" t="inlineStr">
        <is>
          <t>A 17963-2022</t>
        </is>
      </c>
      <c r="B369" s="1" t="n">
        <v>44683</v>
      </c>
      <c r="C369" s="1" t="n">
        <v>45895</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61909-2021</t>
        </is>
      </c>
      <c r="B370" s="1" t="n">
        <v>44502.35310185186</v>
      </c>
      <c r="C370" s="1" t="n">
        <v>45895</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25020-2021</t>
        </is>
      </c>
      <c r="B371" s="1" t="n">
        <v>44341</v>
      </c>
      <c r="C371" s="1" t="n">
        <v>45895</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56907-2021</t>
        </is>
      </c>
      <c r="B372" s="1" t="n">
        <v>44481.93837962963</v>
      </c>
      <c r="C372" s="1" t="n">
        <v>45895</v>
      </c>
      <c r="D372" t="inlineStr">
        <is>
          <t>VÄSTERNORRLANDS LÄN</t>
        </is>
      </c>
      <c r="E372" t="inlineStr">
        <is>
          <t>ÅNGE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35496-2022</t>
        </is>
      </c>
      <c r="B373" s="1" t="n">
        <v>44798</v>
      </c>
      <c r="C373" s="1" t="n">
        <v>45895</v>
      </c>
      <c r="D373" t="inlineStr">
        <is>
          <t>VÄSTERNORRLANDS LÄN</t>
        </is>
      </c>
      <c r="E373" t="inlineStr">
        <is>
          <t>ÅNGE</t>
        </is>
      </c>
      <c r="F373" t="inlineStr">
        <is>
          <t>SCA</t>
        </is>
      </c>
      <c r="G373" t="n">
        <v>15.6</v>
      </c>
      <c r="H373" t="n">
        <v>0</v>
      </c>
      <c r="I373" t="n">
        <v>0</v>
      </c>
      <c r="J373" t="n">
        <v>0</v>
      </c>
      <c r="K373" t="n">
        <v>0</v>
      </c>
      <c r="L373" t="n">
        <v>0</v>
      </c>
      <c r="M373" t="n">
        <v>0</v>
      </c>
      <c r="N373" t="n">
        <v>0</v>
      </c>
      <c r="O373" t="n">
        <v>0</v>
      </c>
      <c r="P373" t="n">
        <v>0</v>
      </c>
      <c r="Q373" t="n">
        <v>0</v>
      </c>
      <c r="R373" s="2" t="inlineStr"/>
    </row>
    <row r="374" ht="15" customHeight="1">
      <c r="A374" t="inlineStr">
        <is>
          <t>A 53664-2022</t>
        </is>
      </c>
      <c r="B374" s="1" t="n">
        <v>44879.95643518519</v>
      </c>
      <c r="C374" s="1" t="n">
        <v>45895</v>
      </c>
      <c r="D374" t="inlineStr">
        <is>
          <t>VÄSTERNORRLANDS LÄN</t>
        </is>
      </c>
      <c r="E374" t="inlineStr">
        <is>
          <t>ÅNGE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12800-2021</t>
        </is>
      </c>
      <c r="B375" s="1" t="n">
        <v>44270.92056712963</v>
      </c>
      <c r="C375" s="1" t="n">
        <v>45895</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1297-2022</t>
        </is>
      </c>
      <c r="B376" s="1" t="n">
        <v>44572.69135416667</v>
      </c>
      <c r="C376" s="1" t="n">
        <v>45895</v>
      </c>
      <c r="D376" t="inlineStr">
        <is>
          <t>VÄSTERNORRLANDS LÄN</t>
        </is>
      </c>
      <c r="E376" t="inlineStr">
        <is>
          <t>ÅNGE</t>
        </is>
      </c>
      <c r="G376" t="n">
        <v>2.3</v>
      </c>
      <c r="H376" t="n">
        <v>0</v>
      </c>
      <c r="I376" t="n">
        <v>0</v>
      </c>
      <c r="J376" t="n">
        <v>0</v>
      </c>
      <c r="K376" t="n">
        <v>0</v>
      </c>
      <c r="L376" t="n">
        <v>0</v>
      </c>
      <c r="M376" t="n">
        <v>0</v>
      </c>
      <c r="N376" t="n">
        <v>0</v>
      </c>
      <c r="O376" t="n">
        <v>0</v>
      </c>
      <c r="P376" t="n">
        <v>0</v>
      </c>
      <c r="Q376" t="n">
        <v>0</v>
      </c>
      <c r="R376" s="2" t="inlineStr"/>
    </row>
    <row r="377" ht="15" customHeight="1">
      <c r="A377" t="inlineStr">
        <is>
          <t>A 54469-2020</t>
        </is>
      </c>
      <c r="B377" s="1" t="n">
        <v>44126</v>
      </c>
      <c r="C377" s="1" t="n">
        <v>45895</v>
      </c>
      <c r="D377" t="inlineStr">
        <is>
          <t>VÄSTERNORRLANDS LÄN</t>
        </is>
      </c>
      <c r="E377" t="inlineStr">
        <is>
          <t>ÅNGE</t>
        </is>
      </c>
      <c r="G377" t="n">
        <v>4</v>
      </c>
      <c r="H377" t="n">
        <v>0</v>
      </c>
      <c r="I377" t="n">
        <v>0</v>
      </c>
      <c r="J377" t="n">
        <v>0</v>
      </c>
      <c r="K377" t="n">
        <v>0</v>
      </c>
      <c r="L377" t="n">
        <v>0</v>
      </c>
      <c r="M377" t="n">
        <v>0</v>
      </c>
      <c r="N377" t="n">
        <v>0</v>
      </c>
      <c r="O377" t="n">
        <v>0</v>
      </c>
      <c r="P377" t="n">
        <v>0</v>
      </c>
      <c r="Q377" t="n">
        <v>0</v>
      </c>
      <c r="R377" s="2" t="inlineStr"/>
    </row>
    <row r="378" ht="15" customHeight="1">
      <c r="A378" t="inlineStr">
        <is>
          <t>A 53010-2022</t>
        </is>
      </c>
      <c r="B378" s="1" t="n">
        <v>44875</v>
      </c>
      <c r="C378" s="1" t="n">
        <v>45895</v>
      </c>
      <c r="D378" t="inlineStr">
        <is>
          <t>VÄSTERNORRLANDS LÄN</t>
        </is>
      </c>
      <c r="E378" t="inlineStr">
        <is>
          <t>ÅNGE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52504-2020</t>
        </is>
      </c>
      <c r="B379" s="1" t="n">
        <v>44113</v>
      </c>
      <c r="C379" s="1" t="n">
        <v>45895</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10342-2021</t>
        </is>
      </c>
      <c r="B380" s="1" t="n">
        <v>44257</v>
      </c>
      <c r="C380" s="1" t="n">
        <v>45895</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2327-2021</t>
        </is>
      </c>
      <c r="B381" s="1" t="n">
        <v>44214</v>
      </c>
      <c r="C381" s="1" t="n">
        <v>45895</v>
      </c>
      <c r="D381" t="inlineStr">
        <is>
          <t>VÄSTERNORRLANDS LÄN</t>
        </is>
      </c>
      <c r="E381" t="inlineStr">
        <is>
          <t>ÅNGE</t>
        </is>
      </c>
      <c r="G381" t="n">
        <v>6.7</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45895</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21642-2021</t>
        </is>
      </c>
      <c r="B383" s="1" t="n">
        <v>44321.94239583334</v>
      </c>
      <c r="C383" s="1" t="n">
        <v>45895</v>
      </c>
      <c r="D383" t="inlineStr">
        <is>
          <t>VÄSTERNORRLANDS LÄN</t>
        </is>
      </c>
      <c r="E383" t="inlineStr">
        <is>
          <t>ÅNGE</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14587-2021</t>
        </is>
      </c>
      <c r="B384" s="1" t="n">
        <v>44279.91825231481</v>
      </c>
      <c r="C384" s="1" t="n">
        <v>45895</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45895</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42296-2020</t>
        </is>
      </c>
      <c r="B386" s="1" t="n">
        <v>44076.45442129629</v>
      </c>
      <c r="C386" s="1" t="n">
        <v>45895</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45895</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46053-2021</t>
        </is>
      </c>
      <c r="B388" s="1" t="n">
        <v>44441</v>
      </c>
      <c r="C388" s="1" t="n">
        <v>45895</v>
      </c>
      <c r="D388" t="inlineStr">
        <is>
          <t>VÄSTERNORRLANDS LÄN</t>
        </is>
      </c>
      <c r="E388" t="inlineStr">
        <is>
          <t>ÅNGE</t>
        </is>
      </c>
      <c r="F388" t="inlineStr">
        <is>
          <t>SCA</t>
        </is>
      </c>
      <c r="G388" t="n">
        <v>0.2</v>
      </c>
      <c r="H388" t="n">
        <v>0</v>
      </c>
      <c r="I388" t="n">
        <v>0</v>
      </c>
      <c r="J388" t="n">
        <v>0</v>
      </c>
      <c r="K388" t="n">
        <v>0</v>
      </c>
      <c r="L388" t="n">
        <v>0</v>
      </c>
      <c r="M388" t="n">
        <v>0</v>
      </c>
      <c r="N388" t="n">
        <v>0</v>
      </c>
      <c r="O388" t="n">
        <v>0</v>
      </c>
      <c r="P388" t="n">
        <v>0</v>
      </c>
      <c r="Q388" t="n">
        <v>0</v>
      </c>
      <c r="R388" s="2" t="inlineStr"/>
    </row>
    <row r="389" ht="15" customHeight="1">
      <c r="A389" t="inlineStr">
        <is>
          <t>A 5552-2022</t>
        </is>
      </c>
      <c r="B389" s="1" t="n">
        <v>44595.62966435185</v>
      </c>
      <c r="C389" s="1" t="n">
        <v>45895</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35026-2022</t>
        </is>
      </c>
      <c r="B390" s="1" t="n">
        <v>44796</v>
      </c>
      <c r="C390" s="1" t="n">
        <v>45895</v>
      </c>
      <c r="D390" t="inlineStr">
        <is>
          <t>VÄSTERNORRLANDS LÄN</t>
        </is>
      </c>
      <c r="E390" t="inlineStr">
        <is>
          <t>ÅNGE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45145-2021</t>
        </is>
      </c>
      <c r="B391" s="1" t="n">
        <v>44439</v>
      </c>
      <c r="C391" s="1" t="n">
        <v>45895</v>
      </c>
      <c r="D391" t="inlineStr">
        <is>
          <t>VÄSTERNORRLANDS LÄN</t>
        </is>
      </c>
      <c r="E391" t="inlineStr">
        <is>
          <t>ÅNGE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20807-2021</t>
        </is>
      </c>
      <c r="B392" s="1" t="n">
        <v>44316.93965277778</v>
      </c>
      <c r="C392" s="1" t="n">
        <v>45895</v>
      </c>
      <c r="D392" t="inlineStr">
        <is>
          <t>VÄSTERNORRLANDS LÄN</t>
        </is>
      </c>
      <c r="E392" t="inlineStr">
        <is>
          <t>ÅNGE</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71302-2021</t>
        </is>
      </c>
      <c r="B393" s="1" t="n">
        <v>44539.63871527778</v>
      </c>
      <c r="C393" s="1" t="n">
        <v>45895</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17594-2021</t>
        </is>
      </c>
      <c r="B394" s="1" t="n">
        <v>44299</v>
      </c>
      <c r="C394" s="1" t="n">
        <v>45895</v>
      </c>
      <c r="D394" t="inlineStr">
        <is>
          <t>VÄSTERNORRLANDS LÄN</t>
        </is>
      </c>
      <c r="E394" t="inlineStr">
        <is>
          <t>ÅNGE</t>
        </is>
      </c>
      <c r="G394" t="n">
        <v>0.8</v>
      </c>
      <c r="H394" t="n">
        <v>0</v>
      </c>
      <c r="I394" t="n">
        <v>0</v>
      </c>
      <c r="J394" t="n">
        <v>0</v>
      </c>
      <c r="K394" t="n">
        <v>0</v>
      </c>
      <c r="L394" t="n">
        <v>0</v>
      </c>
      <c r="M394" t="n">
        <v>0</v>
      </c>
      <c r="N394" t="n">
        <v>0</v>
      </c>
      <c r="O394" t="n">
        <v>0</v>
      </c>
      <c r="P394" t="n">
        <v>0</v>
      </c>
      <c r="Q394" t="n">
        <v>0</v>
      </c>
      <c r="R394" s="2" t="inlineStr"/>
    </row>
    <row r="395" ht="15" customHeight="1">
      <c r="A395" t="inlineStr">
        <is>
          <t>A 55905-2021</t>
        </is>
      </c>
      <c r="B395" s="1" t="n">
        <v>44476.91895833334</v>
      </c>
      <c r="C395" s="1" t="n">
        <v>45895</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17580-2022</t>
        </is>
      </c>
      <c r="B396" s="1" t="n">
        <v>44679</v>
      </c>
      <c r="C396" s="1" t="n">
        <v>45895</v>
      </c>
      <c r="D396" t="inlineStr">
        <is>
          <t>VÄSTERNORRLANDS LÄN</t>
        </is>
      </c>
      <c r="E396" t="inlineStr">
        <is>
          <t>ÅNGE</t>
        </is>
      </c>
      <c r="G396" t="n">
        <v>0.6</v>
      </c>
      <c r="H396" t="n">
        <v>0</v>
      </c>
      <c r="I396" t="n">
        <v>0</v>
      </c>
      <c r="J396" t="n">
        <v>0</v>
      </c>
      <c r="K396" t="n">
        <v>0</v>
      </c>
      <c r="L396" t="n">
        <v>0</v>
      </c>
      <c r="M396" t="n">
        <v>0</v>
      </c>
      <c r="N396" t="n">
        <v>0</v>
      </c>
      <c r="O396" t="n">
        <v>0</v>
      </c>
      <c r="P396" t="n">
        <v>0</v>
      </c>
      <c r="Q396" t="n">
        <v>0</v>
      </c>
      <c r="R396" s="2" t="inlineStr"/>
    </row>
    <row r="397" ht="15" customHeight="1">
      <c r="A397" t="inlineStr">
        <is>
          <t>A 32535-2022</t>
        </is>
      </c>
      <c r="B397" s="1" t="n">
        <v>44783.29856481482</v>
      </c>
      <c r="C397" s="1" t="n">
        <v>45895</v>
      </c>
      <c r="D397" t="inlineStr">
        <is>
          <t>VÄSTERNORRLANDS LÄN</t>
        </is>
      </c>
      <c r="E397" t="inlineStr">
        <is>
          <t>ÅNGE</t>
        </is>
      </c>
      <c r="G397" t="n">
        <v>10.3</v>
      </c>
      <c r="H397" t="n">
        <v>0</v>
      </c>
      <c r="I397" t="n">
        <v>0</v>
      </c>
      <c r="J397" t="n">
        <v>0</v>
      </c>
      <c r="K397" t="n">
        <v>0</v>
      </c>
      <c r="L397" t="n">
        <v>0</v>
      </c>
      <c r="M397" t="n">
        <v>0</v>
      </c>
      <c r="N397" t="n">
        <v>0</v>
      </c>
      <c r="O397" t="n">
        <v>0</v>
      </c>
      <c r="P397" t="n">
        <v>0</v>
      </c>
      <c r="Q397" t="n">
        <v>0</v>
      </c>
      <c r="R397" s="2" t="inlineStr"/>
    </row>
    <row r="398" ht="15" customHeight="1">
      <c r="A398" t="inlineStr">
        <is>
          <t>A 39594-2022</t>
        </is>
      </c>
      <c r="B398" s="1" t="n">
        <v>44818</v>
      </c>
      <c r="C398" s="1" t="n">
        <v>45895</v>
      </c>
      <c r="D398" t="inlineStr">
        <is>
          <t>VÄSTERNORRLANDS LÄN</t>
        </is>
      </c>
      <c r="E398" t="inlineStr">
        <is>
          <t>ÅNGE</t>
        </is>
      </c>
      <c r="G398" t="n">
        <v>1.4</v>
      </c>
      <c r="H398" t="n">
        <v>0</v>
      </c>
      <c r="I398" t="n">
        <v>0</v>
      </c>
      <c r="J398" t="n">
        <v>0</v>
      </c>
      <c r="K398" t="n">
        <v>0</v>
      </c>
      <c r="L398" t="n">
        <v>0</v>
      </c>
      <c r="M398" t="n">
        <v>0</v>
      </c>
      <c r="N398" t="n">
        <v>0</v>
      </c>
      <c r="O398" t="n">
        <v>0</v>
      </c>
      <c r="P398" t="n">
        <v>0</v>
      </c>
      <c r="Q398" t="n">
        <v>0</v>
      </c>
      <c r="R398" s="2" t="inlineStr"/>
    </row>
    <row r="399" ht="15" customHeight="1">
      <c r="A399" t="inlineStr">
        <is>
          <t>A 10313-2022</t>
        </is>
      </c>
      <c r="B399" s="1" t="n">
        <v>44622</v>
      </c>
      <c r="C399" s="1" t="n">
        <v>45895</v>
      </c>
      <c r="D399" t="inlineStr">
        <is>
          <t>VÄSTERNORRLANDS LÄN</t>
        </is>
      </c>
      <c r="E399" t="inlineStr">
        <is>
          <t>ÅNGE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6732-2022</t>
        </is>
      </c>
      <c r="B400" s="1" t="n">
        <v>44602.46072916667</v>
      </c>
      <c r="C400" s="1" t="n">
        <v>45895</v>
      </c>
      <c r="D400" t="inlineStr">
        <is>
          <t>VÄSTERNORRLANDS LÄN</t>
        </is>
      </c>
      <c r="E400" t="inlineStr">
        <is>
          <t>ÅNGE</t>
        </is>
      </c>
      <c r="G400" t="n">
        <v>1</v>
      </c>
      <c r="H400" t="n">
        <v>0</v>
      </c>
      <c r="I400" t="n">
        <v>0</v>
      </c>
      <c r="J400" t="n">
        <v>0</v>
      </c>
      <c r="K400" t="n">
        <v>0</v>
      </c>
      <c r="L400" t="n">
        <v>0</v>
      </c>
      <c r="M400" t="n">
        <v>0</v>
      </c>
      <c r="N400" t="n">
        <v>0</v>
      </c>
      <c r="O400" t="n">
        <v>0</v>
      </c>
      <c r="P400" t="n">
        <v>0</v>
      </c>
      <c r="Q400" t="n">
        <v>0</v>
      </c>
      <c r="R400" s="2" t="inlineStr"/>
    </row>
    <row r="401" ht="15" customHeight="1">
      <c r="A401" t="inlineStr">
        <is>
          <t>A 25023-2022</t>
        </is>
      </c>
      <c r="B401" s="1" t="n">
        <v>44728</v>
      </c>
      <c r="C401" s="1" t="n">
        <v>45895</v>
      </c>
      <c r="D401" t="inlineStr">
        <is>
          <t>VÄSTERNORRLANDS LÄN</t>
        </is>
      </c>
      <c r="E401" t="inlineStr">
        <is>
          <t>ÅNGE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44412-2022</t>
        </is>
      </c>
      <c r="B402" s="1" t="n">
        <v>44839.92626157407</v>
      </c>
      <c r="C402" s="1" t="n">
        <v>45895</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31696-2022</t>
        </is>
      </c>
      <c r="B403" s="1" t="n">
        <v>44776</v>
      </c>
      <c r="C403" s="1" t="n">
        <v>45895</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58634-2023</t>
        </is>
      </c>
      <c r="B404" s="1" t="n">
        <v>45251</v>
      </c>
      <c r="C404" s="1" t="n">
        <v>45895</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52232-2020</t>
        </is>
      </c>
      <c r="B405" s="1" t="n">
        <v>44111</v>
      </c>
      <c r="C405" s="1" t="n">
        <v>45895</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15369-2024</t>
        </is>
      </c>
      <c r="B406" s="1" t="n">
        <v>45400.92290509259</v>
      </c>
      <c r="C406" s="1" t="n">
        <v>45895</v>
      </c>
      <c r="D406" t="inlineStr">
        <is>
          <t>VÄSTERNORRLANDS LÄN</t>
        </is>
      </c>
      <c r="E406" t="inlineStr">
        <is>
          <t>ÅNGE</t>
        </is>
      </c>
      <c r="G406" t="n">
        <v>0.4</v>
      </c>
      <c r="H406" t="n">
        <v>0</v>
      </c>
      <c r="I406" t="n">
        <v>0</v>
      </c>
      <c r="J406" t="n">
        <v>0</v>
      </c>
      <c r="K406" t="n">
        <v>0</v>
      </c>
      <c r="L406" t="n">
        <v>0</v>
      </c>
      <c r="M406" t="n">
        <v>0</v>
      </c>
      <c r="N406" t="n">
        <v>0</v>
      </c>
      <c r="O406" t="n">
        <v>0</v>
      </c>
      <c r="P406" t="n">
        <v>0</v>
      </c>
      <c r="Q406" t="n">
        <v>0</v>
      </c>
      <c r="R406" s="2" t="inlineStr"/>
    </row>
    <row r="407" ht="15" customHeight="1">
      <c r="A407" t="inlineStr">
        <is>
          <t>A 1095-2023</t>
        </is>
      </c>
      <c r="B407" s="1" t="n">
        <v>44929</v>
      </c>
      <c r="C407" s="1" t="n">
        <v>45895</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64121-2021</t>
        </is>
      </c>
      <c r="B408" s="1" t="n">
        <v>44510.4730787037</v>
      </c>
      <c r="C408" s="1" t="n">
        <v>45895</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9605-2025</t>
        </is>
      </c>
      <c r="B409" s="1" t="n">
        <v>45715.65657407408</v>
      </c>
      <c r="C409" s="1" t="n">
        <v>45895</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16978-2024</t>
        </is>
      </c>
      <c r="B410" s="1" t="n">
        <v>45412.02416666667</v>
      </c>
      <c r="C410" s="1" t="n">
        <v>45895</v>
      </c>
      <c r="D410" t="inlineStr">
        <is>
          <t>VÄSTERNORRLANDS LÄN</t>
        </is>
      </c>
      <c r="E410" t="inlineStr">
        <is>
          <t>ÅNGE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37605-2021</t>
        </is>
      </c>
      <c r="B411" s="1" t="n">
        <v>44399</v>
      </c>
      <c r="C411" s="1" t="n">
        <v>45895</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37620-2021</t>
        </is>
      </c>
      <c r="B412" s="1" t="n">
        <v>44399</v>
      </c>
      <c r="C412" s="1" t="n">
        <v>45895</v>
      </c>
      <c r="D412" t="inlineStr">
        <is>
          <t>VÄSTERNORRLANDS LÄN</t>
        </is>
      </c>
      <c r="E412" t="inlineStr">
        <is>
          <t>ÅNGE</t>
        </is>
      </c>
      <c r="G412" t="n">
        <v>4.3</v>
      </c>
      <c r="H412" t="n">
        <v>0</v>
      </c>
      <c r="I412" t="n">
        <v>0</v>
      </c>
      <c r="J412" t="n">
        <v>0</v>
      </c>
      <c r="K412" t="n">
        <v>0</v>
      </c>
      <c r="L412" t="n">
        <v>0</v>
      </c>
      <c r="M412" t="n">
        <v>0</v>
      </c>
      <c r="N412" t="n">
        <v>0</v>
      </c>
      <c r="O412" t="n">
        <v>0</v>
      </c>
      <c r="P412" t="n">
        <v>0</v>
      </c>
      <c r="Q412" t="n">
        <v>0</v>
      </c>
      <c r="R412" s="2" t="inlineStr"/>
    </row>
    <row r="413" ht="15" customHeight="1">
      <c r="A413" t="inlineStr">
        <is>
          <t>A 20108-2025</t>
        </is>
      </c>
      <c r="B413" s="1" t="n">
        <v>45772.47006944445</v>
      </c>
      <c r="C413" s="1" t="n">
        <v>45895</v>
      </c>
      <c r="D413" t="inlineStr">
        <is>
          <t>VÄSTERNORRLANDS LÄN</t>
        </is>
      </c>
      <c r="E413" t="inlineStr">
        <is>
          <t>ÅNGE</t>
        </is>
      </c>
      <c r="F413" t="inlineStr">
        <is>
          <t>Naturvårdsverket</t>
        </is>
      </c>
      <c r="G413" t="n">
        <v>2</v>
      </c>
      <c r="H413" t="n">
        <v>0</v>
      </c>
      <c r="I413" t="n">
        <v>0</v>
      </c>
      <c r="J413" t="n">
        <v>0</v>
      </c>
      <c r="K413" t="n">
        <v>0</v>
      </c>
      <c r="L413" t="n">
        <v>0</v>
      </c>
      <c r="M413" t="n">
        <v>0</v>
      </c>
      <c r="N413" t="n">
        <v>0</v>
      </c>
      <c r="O413" t="n">
        <v>0</v>
      </c>
      <c r="P413" t="n">
        <v>0</v>
      </c>
      <c r="Q413" t="n">
        <v>0</v>
      </c>
      <c r="R413" s="2" t="inlineStr"/>
    </row>
    <row r="414" ht="15" customHeight="1">
      <c r="A414" t="inlineStr">
        <is>
          <t>A 42881-2024</t>
        </is>
      </c>
      <c r="B414" s="1" t="n">
        <v>45566.70916666667</v>
      </c>
      <c r="C414" s="1" t="n">
        <v>45895</v>
      </c>
      <c r="D414" t="inlineStr">
        <is>
          <t>VÄSTERNORRLANDS LÄN</t>
        </is>
      </c>
      <c r="E414" t="inlineStr">
        <is>
          <t>ÅNGE</t>
        </is>
      </c>
      <c r="G414" t="n">
        <v>1.9</v>
      </c>
      <c r="H414" t="n">
        <v>0</v>
      </c>
      <c r="I414" t="n">
        <v>0</v>
      </c>
      <c r="J414" t="n">
        <v>0</v>
      </c>
      <c r="K414" t="n">
        <v>0</v>
      </c>
      <c r="L414" t="n">
        <v>0</v>
      </c>
      <c r="M414" t="n">
        <v>0</v>
      </c>
      <c r="N414" t="n">
        <v>0</v>
      </c>
      <c r="O414" t="n">
        <v>0</v>
      </c>
      <c r="P414" t="n">
        <v>0</v>
      </c>
      <c r="Q414" t="n">
        <v>0</v>
      </c>
      <c r="R414" s="2" t="inlineStr"/>
    </row>
    <row r="415" ht="15" customHeight="1">
      <c r="A415" t="inlineStr">
        <is>
          <t>A 6610-2025</t>
        </is>
      </c>
      <c r="B415" s="1" t="n">
        <v>45700</v>
      </c>
      <c r="C415" s="1" t="n">
        <v>45895</v>
      </c>
      <c r="D415" t="inlineStr">
        <is>
          <t>VÄSTERNORRLANDS LÄN</t>
        </is>
      </c>
      <c r="E415" t="inlineStr">
        <is>
          <t>ÅNGE</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16853-2023</t>
        </is>
      </c>
      <c r="B416" s="1" t="n">
        <v>45033</v>
      </c>
      <c r="C416" s="1" t="n">
        <v>45895</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50651-2021</t>
        </is>
      </c>
      <c r="B417" s="1" t="n">
        <v>44459</v>
      </c>
      <c r="C417" s="1" t="n">
        <v>45895</v>
      </c>
      <c r="D417" t="inlineStr">
        <is>
          <t>VÄSTERNORRLANDS LÄN</t>
        </is>
      </c>
      <c r="E417" t="inlineStr">
        <is>
          <t>ÅNGE</t>
        </is>
      </c>
      <c r="G417" t="n">
        <v>20.6</v>
      </c>
      <c r="H417" t="n">
        <v>0</v>
      </c>
      <c r="I417" t="n">
        <v>0</v>
      </c>
      <c r="J417" t="n">
        <v>0</v>
      </c>
      <c r="K417" t="n">
        <v>0</v>
      </c>
      <c r="L417" t="n">
        <v>0</v>
      </c>
      <c r="M417" t="n">
        <v>0</v>
      </c>
      <c r="N417" t="n">
        <v>0</v>
      </c>
      <c r="O417" t="n">
        <v>0</v>
      </c>
      <c r="P417" t="n">
        <v>0</v>
      </c>
      <c r="Q417" t="n">
        <v>0</v>
      </c>
      <c r="R417" s="2" t="inlineStr"/>
    </row>
    <row r="418" ht="15" customHeight="1">
      <c r="A418" t="inlineStr">
        <is>
          <t>A 22752-2023</t>
        </is>
      </c>
      <c r="B418" s="1" t="n">
        <v>45071.94104166667</v>
      </c>
      <c r="C418" s="1" t="n">
        <v>45895</v>
      </c>
      <c r="D418" t="inlineStr">
        <is>
          <t>VÄSTERNORRLANDS LÄN</t>
        </is>
      </c>
      <c r="E418" t="inlineStr">
        <is>
          <t>ÅNGE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60779-2024</t>
        </is>
      </c>
      <c r="B419" s="1" t="n">
        <v>45644</v>
      </c>
      <c r="C419" s="1" t="n">
        <v>45895</v>
      </c>
      <c r="D419" t="inlineStr">
        <is>
          <t>VÄSTERNORRLANDS LÄN</t>
        </is>
      </c>
      <c r="E419" t="inlineStr">
        <is>
          <t>ÅNGE</t>
        </is>
      </c>
      <c r="G419" t="n">
        <v>3.1</v>
      </c>
      <c r="H419" t="n">
        <v>0</v>
      </c>
      <c r="I419" t="n">
        <v>0</v>
      </c>
      <c r="J419" t="n">
        <v>0</v>
      </c>
      <c r="K419" t="n">
        <v>0</v>
      </c>
      <c r="L419" t="n">
        <v>0</v>
      </c>
      <c r="M419" t="n">
        <v>0</v>
      </c>
      <c r="N419" t="n">
        <v>0</v>
      </c>
      <c r="O419" t="n">
        <v>0</v>
      </c>
      <c r="P419" t="n">
        <v>0</v>
      </c>
      <c r="Q419" t="n">
        <v>0</v>
      </c>
      <c r="R419" s="2" t="inlineStr"/>
    </row>
    <row r="420" ht="15" customHeight="1">
      <c r="A420" t="inlineStr">
        <is>
          <t>A 53549-2023</t>
        </is>
      </c>
      <c r="B420" s="1" t="n">
        <v>45230</v>
      </c>
      <c r="C420" s="1" t="n">
        <v>45895</v>
      </c>
      <c r="D420" t="inlineStr">
        <is>
          <t>VÄSTERNORRLANDS LÄN</t>
        </is>
      </c>
      <c r="E420" t="inlineStr">
        <is>
          <t>ÅNGE</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28428-2023</t>
        </is>
      </c>
      <c r="B421" s="1" t="n">
        <v>45102</v>
      </c>
      <c r="C421" s="1" t="n">
        <v>45895</v>
      </c>
      <c r="D421" t="inlineStr">
        <is>
          <t>VÄSTERNORRLANDS LÄN</t>
        </is>
      </c>
      <c r="E421" t="inlineStr">
        <is>
          <t>ÅNGE</t>
        </is>
      </c>
      <c r="F421" t="inlineStr">
        <is>
          <t>Kyrkan</t>
        </is>
      </c>
      <c r="G421" t="n">
        <v>12</v>
      </c>
      <c r="H421" t="n">
        <v>0</v>
      </c>
      <c r="I421" t="n">
        <v>0</v>
      </c>
      <c r="J421" t="n">
        <v>0</v>
      </c>
      <c r="K421" t="n">
        <v>0</v>
      </c>
      <c r="L421" t="n">
        <v>0</v>
      </c>
      <c r="M421" t="n">
        <v>0</v>
      </c>
      <c r="N421" t="n">
        <v>0</v>
      </c>
      <c r="O421" t="n">
        <v>0</v>
      </c>
      <c r="P421" t="n">
        <v>0</v>
      </c>
      <c r="Q421" t="n">
        <v>0</v>
      </c>
      <c r="R421" s="2" t="inlineStr"/>
    </row>
    <row r="422" ht="15" customHeight="1">
      <c r="A422" t="inlineStr">
        <is>
          <t>A 43366-2024</t>
        </is>
      </c>
      <c r="B422" s="1" t="n">
        <v>45568</v>
      </c>
      <c r="C422" s="1" t="n">
        <v>45895</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63709-2023</t>
        </is>
      </c>
      <c r="B423" s="1" t="n">
        <v>45275.95069444444</v>
      </c>
      <c r="C423" s="1" t="n">
        <v>45895</v>
      </c>
      <c r="D423" t="inlineStr">
        <is>
          <t>VÄSTERNORRLANDS LÄN</t>
        </is>
      </c>
      <c r="E423" t="inlineStr">
        <is>
          <t>ÅNGE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34091-2022</t>
        </is>
      </c>
      <c r="B424" s="1" t="n">
        <v>44791</v>
      </c>
      <c r="C424" s="1" t="n">
        <v>45895</v>
      </c>
      <c r="D424" t="inlineStr">
        <is>
          <t>VÄSTERNORRLANDS LÄN</t>
        </is>
      </c>
      <c r="E424" t="inlineStr">
        <is>
          <t>ÅNGE</t>
        </is>
      </c>
      <c r="G424" t="n">
        <v>10.1</v>
      </c>
      <c r="H424" t="n">
        <v>0</v>
      </c>
      <c r="I424" t="n">
        <v>0</v>
      </c>
      <c r="J424" t="n">
        <v>0</v>
      </c>
      <c r="K424" t="n">
        <v>0</v>
      </c>
      <c r="L424" t="n">
        <v>0</v>
      </c>
      <c r="M424" t="n">
        <v>0</v>
      </c>
      <c r="N424" t="n">
        <v>0</v>
      </c>
      <c r="O424" t="n">
        <v>0</v>
      </c>
      <c r="P424" t="n">
        <v>0</v>
      </c>
      <c r="Q424" t="n">
        <v>0</v>
      </c>
      <c r="R424" s="2" t="inlineStr"/>
    </row>
    <row r="425" ht="15" customHeight="1">
      <c r="A425" t="inlineStr">
        <is>
          <t>A 70893-2021</t>
        </is>
      </c>
      <c r="B425" s="1" t="n">
        <v>44538</v>
      </c>
      <c r="C425" s="1" t="n">
        <v>45895</v>
      </c>
      <c r="D425" t="inlineStr">
        <is>
          <t>VÄSTERNORRLANDS LÄN</t>
        </is>
      </c>
      <c r="E425" t="inlineStr">
        <is>
          <t>ÅNGE</t>
        </is>
      </c>
      <c r="G425" t="n">
        <v>6.2</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45895</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34491-2023</t>
        </is>
      </c>
      <c r="B427" s="1" t="n">
        <v>45139.94775462963</v>
      </c>
      <c r="C427" s="1" t="n">
        <v>45895</v>
      </c>
      <c r="D427" t="inlineStr">
        <is>
          <t>VÄSTERNORRLANDS LÄN</t>
        </is>
      </c>
      <c r="E427" t="inlineStr">
        <is>
          <t>ÅNGE</t>
        </is>
      </c>
      <c r="F427" t="inlineStr">
        <is>
          <t>SCA</t>
        </is>
      </c>
      <c r="G427" t="n">
        <v>4.8</v>
      </c>
      <c r="H427" t="n">
        <v>0</v>
      </c>
      <c r="I427" t="n">
        <v>0</v>
      </c>
      <c r="J427" t="n">
        <v>0</v>
      </c>
      <c r="K427" t="n">
        <v>0</v>
      </c>
      <c r="L427" t="n">
        <v>0</v>
      </c>
      <c r="M427" t="n">
        <v>0</v>
      </c>
      <c r="N427" t="n">
        <v>0</v>
      </c>
      <c r="O427" t="n">
        <v>0</v>
      </c>
      <c r="P427" t="n">
        <v>0</v>
      </c>
      <c r="Q427" t="n">
        <v>0</v>
      </c>
      <c r="R427" s="2" t="inlineStr"/>
    </row>
    <row r="428" ht="15" customHeight="1">
      <c r="A428" t="inlineStr">
        <is>
          <t>A 10089-2023</t>
        </is>
      </c>
      <c r="B428" s="1" t="n">
        <v>44985</v>
      </c>
      <c r="C428" s="1" t="n">
        <v>45895</v>
      </c>
      <c r="D428" t="inlineStr">
        <is>
          <t>VÄSTERNORRLANDS LÄN</t>
        </is>
      </c>
      <c r="E428" t="inlineStr">
        <is>
          <t>ÅNGE</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10090-2023</t>
        </is>
      </c>
      <c r="B429" s="1" t="n">
        <v>44985.94511574074</v>
      </c>
      <c r="C429" s="1" t="n">
        <v>45895</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39005-2024</t>
        </is>
      </c>
      <c r="B430" s="1" t="n">
        <v>45548.42743055556</v>
      </c>
      <c r="C430" s="1" t="n">
        <v>45895</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35577-2024</t>
        </is>
      </c>
      <c r="B431" s="1" t="n">
        <v>45531</v>
      </c>
      <c r="C431" s="1" t="n">
        <v>45895</v>
      </c>
      <c r="D431" t="inlineStr">
        <is>
          <t>VÄSTERNORRLANDS LÄN</t>
        </is>
      </c>
      <c r="E431" t="inlineStr">
        <is>
          <t>ÅNGE</t>
        </is>
      </c>
      <c r="F431" t="inlineStr">
        <is>
          <t>SCA</t>
        </is>
      </c>
      <c r="G431" t="n">
        <v>0.1</v>
      </c>
      <c r="H431" t="n">
        <v>0</v>
      </c>
      <c r="I431" t="n">
        <v>0</v>
      </c>
      <c r="J431" t="n">
        <v>0</v>
      </c>
      <c r="K431" t="n">
        <v>0</v>
      </c>
      <c r="L431" t="n">
        <v>0</v>
      </c>
      <c r="M431" t="n">
        <v>0</v>
      </c>
      <c r="N431" t="n">
        <v>0</v>
      </c>
      <c r="O431" t="n">
        <v>0</v>
      </c>
      <c r="P431" t="n">
        <v>0</v>
      </c>
      <c r="Q431" t="n">
        <v>0</v>
      </c>
      <c r="R431" s="2" t="inlineStr"/>
    </row>
    <row r="432" ht="15" customHeight="1">
      <c r="A432" t="inlineStr">
        <is>
          <t>A 35580-2024</t>
        </is>
      </c>
      <c r="B432" s="1" t="n">
        <v>45531</v>
      </c>
      <c r="C432" s="1" t="n">
        <v>45895</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51810-2023</t>
        </is>
      </c>
      <c r="B433" s="1" t="n">
        <v>45222.96583333334</v>
      </c>
      <c r="C433" s="1" t="n">
        <v>45895</v>
      </c>
      <c r="D433" t="inlineStr">
        <is>
          <t>VÄSTERNORRLANDS LÄN</t>
        </is>
      </c>
      <c r="E433" t="inlineStr">
        <is>
          <t>ÅNGE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54342-2023</t>
        </is>
      </c>
      <c r="B434" s="1" t="n">
        <v>45232</v>
      </c>
      <c r="C434" s="1" t="n">
        <v>45895</v>
      </c>
      <c r="D434" t="inlineStr">
        <is>
          <t>VÄSTERNORRLANDS LÄN</t>
        </is>
      </c>
      <c r="E434" t="inlineStr">
        <is>
          <t>ÅNGE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57593-2022</t>
        </is>
      </c>
      <c r="B435" s="1" t="n">
        <v>44896.97847222222</v>
      </c>
      <c r="C435" s="1" t="n">
        <v>45895</v>
      </c>
      <c r="D435" t="inlineStr">
        <is>
          <t>VÄSTERNORRLANDS LÄN</t>
        </is>
      </c>
      <c r="E435" t="inlineStr">
        <is>
          <t>ÅNGE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57596-2022</t>
        </is>
      </c>
      <c r="B436" s="1" t="n">
        <v>44896.97871527778</v>
      </c>
      <c r="C436" s="1" t="n">
        <v>45895</v>
      </c>
      <c r="D436" t="inlineStr">
        <is>
          <t>VÄSTERNORRLANDS LÄN</t>
        </is>
      </c>
      <c r="E436" t="inlineStr">
        <is>
          <t>ÅNGE</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46255-2023</t>
        </is>
      </c>
      <c r="B437" s="1" t="n">
        <v>45196</v>
      </c>
      <c r="C437" s="1" t="n">
        <v>45895</v>
      </c>
      <c r="D437" t="inlineStr">
        <is>
          <t>VÄSTERNORRLANDS LÄN</t>
        </is>
      </c>
      <c r="E437" t="inlineStr">
        <is>
          <t>ÅNGE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42529-2024</t>
        </is>
      </c>
      <c r="B438" s="1" t="n">
        <v>45565.57324074074</v>
      </c>
      <c r="C438" s="1" t="n">
        <v>45895</v>
      </c>
      <c r="D438" t="inlineStr">
        <is>
          <t>VÄSTERNORRLANDS LÄN</t>
        </is>
      </c>
      <c r="E438" t="inlineStr">
        <is>
          <t>ÅNGE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2365-2024</t>
        </is>
      </c>
      <c r="B439" s="1" t="n">
        <v>45310.59778935185</v>
      </c>
      <c r="C439" s="1" t="n">
        <v>45895</v>
      </c>
      <c r="D439" t="inlineStr">
        <is>
          <t>VÄSTERNORRLANDS LÄN</t>
        </is>
      </c>
      <c r="E439" t="inlineStr">
        <is>
          <t>ÅNGE</t>
        </is>
      </c>
      <c r="G439" t="n">
        <v>0.5</v>
      </c>
      <c r="H439" t="n">
        <v>0</v>
      </c>
      <c r="I439" t="n">
        <v>0</v>
      </c>
      <c r="J439" t="n">
        <v>0</v>
      </c>
      <c r="K439" t="n">
        <v>0</v>
      </c>
      <c r="L439" t="n">
        <v>0</v>
      </c>
      <c r="M439" t="n">
        <v>0</v>
      </c>
      <c r="N439" t="n">
        <v>0</v>
      </c>
      <c r="O439" t="n">
        <v>0</v>
      </c>
      <c r="P439" t="n">
        <v>0</v>
      </c>
      <c r="Q439" t="n">
        <v>0</v>
      </c>
      <c r="R439" s="2" t="inlineStr"/>
    </row>
    <row r="440" ht="15" customHeight="1">
      <c r="A440" t="inlineStr">
        <is>
          <t>A 41222-2024</t>
        </is>
      </c>
      <c r="B440" s="1" t="n">
        <v>45559.55306712963</v>
      </c>
      <c r="C440" s="1" t="n">
        <v>45895</v>
      </c>
      <c r="D440" t="inlineStr">
        <is>
          <t>VÄSTERNORRLANDS LÄN</t>
        </is>
      </c>
      <c r="E440" t="inlineStr">
        <is>
          <t>ÅNGE</t>
        </is>
      </c>
      <c r="G440" t="n">
        <v>0.4</v>
      </c>
      <c r="H440" t="n">
        <v>0</v>
      </c>
      <c r="I440" t="n">
        <v>0</v>
      </c>
      <c r="J440" t="n">
        <v>0</v>
      </c>
      <c r="K440" t="n">
        <v>0</v>
      </c>
      <c r="L440" t="n">
        <v>0</v>
      </c>
      <c r="M440" t="n">
        <v>0</v>
      </c>
      <c r="N440" t="n">
        <v>0</v>
      </c>
      <c r="O440" t="n">
        <v>0</v>
      </c>
      <c r="P440" t="n">
        <v>0</v>
      </c>
      <c r="Q440" t="n">
        <v>0</v>
      </c>
      <c r="R440" s="2" t="inlineStr"/>
    </row>
    <row r="441" ht="15" customHeight="1">
      <c r="A441" t="inlineStr">
        <is>
          <t>A 2372-2024</t>
        </is>
      </c>
      <c r="B441" s="1" t="n">
        <v>45310.6115625</v>
      </c>
      <c r="C441" s="1" t="n">
        <v>45895</v>
      </c>
      <c r="D441" t="inlineStr">
        <is>
          <t>VÄSTERNORRLANDS LÄN</t>
        </is>
      </c>
      <c r="E441" t="inlineStr">
        <is>
          <t>ÅNGE</t>
        </is>
      </c>
      <c r="G441" t="n">
        <v>5.6</v>
      </c>
      <c r="H441" t="n">
        <v>0</v>
      </c>
      <c r="I441" t="n">
        <v>0</v>
      </c>
      <c r="J441" t="n">
        <v>0</v>
      </c>
      <c r="K441" t="n">
        <v>0</v>
      </c>
      <c r="L441" t="n">
        <v>0</v>
      </c>
      <c r="M441" t="n">
        <v>0</v>
      </c>
      <c r="N441" t="n">
        <v>0</v>
      </c>
      <c r="O441" t="n">
        <v>0</v>
      </c>
      <c r="P441" t="n">
        <v>0</v>
      </c>
      <c r="Q441" t="n">
        <v>0</v>
      </c>
      <c r="R441" s="2" t="inlineStr"/>
    </row>
    <row r="442" ht="15" customHeight="1">
      <c r="A442" t="inlineStr">
        <is>
          <t>A 17452-2025</t>
        </is>
      </c>
      <c r="B442" s="1" t="n">
        <v>45757.44842592593</v>
      </c>
      <c r="C442" s="1" t="n">
        <v>45895</v>
      </c>
      <c r="D442" t="inlineStr">
        <is>
          <t>VÄSTERNORRLANDS LÄN</t>
        </is>
      </c>
      <c r="E442" t="inlineStr">
        <is>
          <t>ÅNGE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41366-2020</t>
        </is>
      </c>
      <c r="B443" s="1" t="n">
        <v>44071</v>
      </c>
      <c r="C443" s="1" t="n">
        <v>45895</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3966-2025</t>
        </is>
      </c>
      <c r="B444" s="1" t="n">
        <v>45684.51072916666</v>
      </c>
      <c r="C444" s="1" t="n">
        <v>45895</v>
      </c>
      <c r="D444" t="inlineStr">
        <is>
          <t>VÄSTERNORRLANDS LÄN</t>
        </is>
      </c>
      <c r="E444" t="inlineStr">
        <is>
          <t>ÅNGE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13091-2024</t>
        </is>
      </c>
      <c r="B445" s="1" t="n">
        <v>45385</v>
      </c>
      <c r="C445" s="1" t="n">
        <v>45895</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3624-2024</t>
        </is>
      </c>
      <c r="B446" s="1" t="n">
        <v>45320.95305555555</v>
      </c>
      <c r="C446" s="1" t="n">
        <v>45895</v>
      </c>
      <c r="D446" t="inlineStr">
        <is>
          <t>VÄSTERNORRLANDS LÄN</t>
        </is>
      </c>
      <c r="E446" t="inlineStr">
        <is>
          <t>ÅNGE</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1127-2023</t>
        </is>
      </c>
      <c r="B447" s="1" t="n">
        <v>44929</v>
      </c>
      <c r="C447" s="1" t="n">
        <v>45895</v>
      </c>
      <c r="D447" t="inlineStr">
        <is>
          <t>VÄSTERNORRLANDS LÄN</t>
        </is>
      </c>
      <c r="E447" t="inlineStr">
        <is>
          <t>ÅNGE</t>
        </is>
      </c>
      <c r="G447" t="n">
        <v>10.5</v>
      </c>
      <c r="H447" t="n">
        <v>0</v>
      </c>
      <c r="I447" t="n">
        <v>0</v>
      </c>
      <c r="J447" t="n">
        <v>0</v>
      </c>
      <c r="K447" t="n">
        <v>0</v>
      </c>
      <c r="L447" t="n">
        <v>0</v>
      </c>
      <c r="M447" t="n">
        <v>0</v>
      </c>
      <c r="N447" t="n">
        <v>0</v>
      </c>
      <c r="O447" t="n">
        <v>0</v>
      </c>
      <c r="P447" t="n">
        <v>0</v>
      </c>
      <c r="Q447" t="n">
        <v>0</v>
      </c>
      <c r="R447" s="2" t="inlineStr"/>
    </row>
    <row r="448" ht="15" customHeight="1">
      <c r="A448" t="inlineStr">
        <is>
          <t>A 54316-2024</t>
        </is>
      </c>
      <c r="B448" s="1" t="n">
        <v>45617.34443287037</v>
      </c>
      <c r="C448" s="1" t="n">
        <v>45895</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41781-2024</t>
        </is>
      </c>
      <c r="B449" s="1" t="n">
        <v>45561.34938657407</v>
      </c>
      <c r="C449" s="1" t="n">
        <v>45895</v>
      </c>
      <c r="D449" t="inlineStr">
        <is>
          <t>VÄSTERNORRLANDS LÄN</t>
        </is>
      </c>
      <c r="E449" t="inlineStr">
        <is>
          <t>ÅNGE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21200-2024</t>
        </is>
      </c>
      <c r="B450" s="1" t="n">
        <v>45440</v>
      </c>
      <c r="C450" s="1" t="n">
        <v>45895</v>
      </c>
      <c r="D450" t="inlineStr">
        <is>
          <t>VÄSTERNORRLANDS LÄN</t>
        </is>
      </c>
      <c r="E450" t="inlineStr">
        <is>
          <t>ÅNGE</t>
        </is>
      </c>
      <c r="G450" t="n">
        <v>1.1</v>
      </c>
      <c r="H450" t="n">
        <v>0</v>
      </c>
      <c r="I450" t="n">
        <v>0</v>
      </c>
      <c r="J450" t="n">
        <v>0</v>
      </c>
      <c r="K450" t="n">
        <v>0</v>
      </c>
      <c r="L450" t="n">
        <v>0</v>
      </c>
      <c r="M450" t="n">
        <v>0</v>
      </c>
      <c r="N450" t="n">
        <v>0</v>
      </c>
      <c r="O450" t="n">
        <v>0</v>
      </c>
      <c r="P450" t="n">
        <v>0</v>
      </c>
      <c r="Q450" t="n">
        <v>0</v>
      </c>
      <c r="R450" s="2" t="inlineStr"/>
    </row>
    <row r="451" ht="15" customHeight="1">
      <c r="A451" t="inlineStr">
        <is>
          <t>A 58469-2023</t>
        </is>
      </c>
      <c r="B451" s="1" t="n">
        <v>45250</v>
      </c>
      <c r="C451" s="1" t="n">
        <v>45895</v>
      </c>
      <c r="D451" t="inlineStr">
        <is>
          <t>VÄSTERNORRLANDS LÄN</t>
        </is>
      </c>
      <c r="E451" t="inlineStr">
        <is>
          <t>ÅNGE</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51383-2022</t>
        </is>
      </c>
      <c r="B452" s="1" t="n">
        <v>44866</v>
      </c>
      <c r="C452" s="1" t="n">
        <v>45895</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51393-2022</t>
        </is>
      </c>
      <c r="B453" s="1" t="n">
        <v>44869.43277777778</v>
      </c>
      <c r="C453" s="1" t="n">
        <v>45895</v>
      </c>
      <c r="D453" t="inlineStr">
        <is>
          <t>VÄSTERNORRLANDS LÄN</t>
        </is>
      </c>
      <c r="E453" t="inlineStr">
        <is>
          <t>ÅNGE</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42090-2024</t>
        </is>
      </c>
      <c r="B454" s="1" t="n">
        <v>45562</v>
      </c>
      <c r="C454" s="1" t="n">
        <v>45895</v>
      </c>
      <c r="D454" t="inlineStr">
        <is>
          <t>VÄSTERNORRLANDS LÄN</t>
        </is>
      </c>
      <c r="E454" t="inlineStr">
        <is>
          <t>ÅNGE</t>
        </is>
      </c>
      <c r="F454" t="inlineStr">
        <is>
          <t>SCA</t>
        </is>
      </c>
      <c r="G454" t="n">
        <v>20.2</v>
      </c>
      <c r="H454" t="n">
        <v>0</v>
      </c>
      <c r="I454" t="n">
        <v>0</v>
      </c>
      <c r="J454" t="n">
        <v>0</v>
      </c>
      <c r="K454" t="n">
        <v>0</v>
      </c>
      <c r="L454" t="n">
        <v>0</v>
      </c>
      <c r="M454" t="n">
        <v>0</v>
      </c>
      <c r="N454" t="n">
        <v>0</v>
      </c>
      <c r="O454" t="n">
        <v>0</v>
      </c>
      <c r="P454" t="n">
        <v>0</v>
      </c>
      <c r="Q454" t="n">
        <v>0</v>
      </c>
      <c r="R454" s="2" t="inlineStr"/>
    </row>
    <row r="455" ht="15" customHeight="1">
      <c r="A455" t="inlineStr">
        <is>
          <t>A 42098-2024</t>
        </is>
      </c>
      <c r="B455" s="1" t="n">
        <v>45562.34532407407</v>
      </c>
      <c r="C455" s="1" t="n">
        <v>45895</v>
      </c>
      <c r="D455" t="inlineStr">
        <is>
          <t>VÄSTERNORRLANDS LÄN</t>
        </is>
      </c>
      <c r="E455" t="inlineStr">
        <is>
          <t>ÅNGE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55324-2023</t>
        </is>
      </c>
      <c r="B456" s="1" t="n">
        <v>45237.9734837963</v>
      </c>
      <c r="C456" s="1" t="n">
        <v>45895</v>
      </c>
      <c r="D456" t="inlineStr">
        <is>
          <t>VÄSTERNORRLANDS LÄN</t>
        </is>
      </c>
      <c r="E456" t="inlineStr">
        <is>
          <t>ÅNGE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4186-2025</t>
        </is>
      </c>
      <c r="B457" s="1" t="n">
        <v>45685.44827546296</v>
      </c>
      <c r="C457" s="1" t="n">
        <v>45895</v>
      </c>
      <c r="D457" t="inlineStr">
        <is>
          <t>VÄSTERNORRLANDS LÄN</t>
        </is>
      </c>
      <c r="E457" t="inlineStr">
        <is>
          <t>ÅNGE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20761-2024</t>
        </is>
      </c>
      <c r="B458" s="1" t="n">
        <v>45436</v>
      </c>
      <c r="C458" s="1" t="n">
        <v>45895</v>
      </c>
      <c r="D458" t="inlineStr">
        <is>
          <t>VÄSTERNORRLANDS LÄN</t>
        </is>
      </c>
      <c r="E458" t="inlineStr">
        <is>
          <t>ÅNGE</t>
        </is>
      </c>
      <c r="G458" t="n">
        <v>1.1</v>
      </c>
      <c r="H458" t="n">
        <v>0</v>
      </c>
      <c r="I458" t="n">
        <v>0</v>
      </c>
      <c r="J458" t="n">
        <v>0</v>
      </c>
      <c r="K458" t="n">
        <v>0</v>
      </c>
      <c r="L458" t="n">
        <v>0</v>
      </c>
      <c r="M458" t="n">
        <v>0</v>
      </c>
      <c r="N458" t="n">
        <v>0</v>
      </c>
      <c r="O458" t="n">
        <v>0</v>
      </c>
      <c r="P458" t="n">
        <v>0</v>
      </c>
      <c r="Q458" t="n">
        <v>0</v>
      </c>
      <c r="R458" s="2" t="inlineStr"/>
    </row>
    <row r="459" ht="15" customHeight="1">
      <c r="A459" t="inlineStr">
        <is>
          <t>A 4361-2024</t>
        </is>
      </c>
      <c r="B459" s="1" t="n">
        <v>45325.65047453704</v>
      </c>
      <c r="C459" s="1" t="n">
        <v>45895</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53209-2024</t>
        </is>
      </c>
      <c r="B460" s="1" t="n">
        <v>45612.51079861111</v>
      </c>
      <c r="C460" s="1" t="n">
        <v>45895</v>
      </c>
      <c r="D460" t="inlineStr">
        <is>
          <t>VÄSTERNORRLANDS LÄN</t>
        </is>
      </c>
      <c r="E460" t="inlineStr">
        <is>
          <t>ÅNGE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42857-2022</t>
        </is>
      </c>
      <c r="B461" s="1" t="n">
        <v>44832</v>
      </c>
      <c r="C461" s="1" t="n">
        <v>45895</v>
      </c>
      <c r="D461" t="inlineStr">
        <is>
          <t>VÄSTERNORRLANDS LÄN</t>
        </is>
      </c>
      <c r="E461" t="inlineStr">
        <is>
          <t>ÅNGE</t>
        </is>
      </c>
      <c r="G461" t="n">
        <v>3.4</v>
      </c>
      <c r="H461" t="n">
        <v>0</v>
      </c>
      <c r="I461" t="n">
        <v>0</v>
      </c>
      <c r="J461" t="n">
        <v>0</v>
      </c>
      <c r="K461" t="n">
        <v>0</v>
      </c>
      <c r="L461" t="n">
        <v>0</v>
      </c>
      <c r="M461" t="n">
        <v>0</v>
      </c>
      <c r="N461" t="n">
        <v>0</v>
      </c>
      <c r="O461" t="n">
        <v>0</v>
      </c>
      <c r="P461" t="n">
        <v>0</v>
      </c>
      <c r="Q461" t="n">
        <v>0</v>
      </c>
      <c r="R461" s="2" t="inlineStr"/>
    </row>
    <row r="462" ht="15" customHeight="1">
      <c r="A462" t="inlineStr">
        <is>
          <t>A 65229-2021</t>
        </is>
      </c>
      <c r="B462" s="1" t="n">
        <v>44515</v>
      </c>
      <c r="C462" s="1" t="n">
        <v>45895</v>
      </c>
      <c r="D462" t="inlineStr">
        <is>
          <t>VÄSTERNORRLANDS LÄN</t>
        </is>
      </c>
      <c r="E462" t="inlineStr">
        <is>
          <t>ÅNGE</t>
        </is>
      </c>
      <c r="G462" t="n">
        <v>12.1</v>
      </c>
      <c r="H462" t="n">
        <v>0</v>
      </c>
      <c r="I462" t="n">
        <v>0</v>
      </c>
      <c r="J462" t="n">
        <v>0</v>
      </c>
      <c r="K462" t="n">
        <v>0</v>
      </c>
      <c r="L462" t="n">
        <v>0</v>
      </c>
      <c r="M462" t="n">
        <v>0</v>
      </c>
      <c r="N462" t="n">
        <v>0</v>
      </c>
      <c r="O462" t="n">
        <v>0</v>
      </c>
      <c r="P462" t="n">
        <v>0</v>
      </c>
      <c r="Q462" t="n">
        <v>0</v>
      </c>
      <c r="R462" s="2" t="inlineStr"/>
    </row>
    <row r="463" ht="15" customHeight="1">
      <c r="A463" t="inlineStr">
        <is>
          <t>A 32069-2023</t>
        </is>
      </c>
      <c r="B463" s="1" t="n">
        <v>45107</v>
      </c>
      <c r="C463" s="1" t="n">
        <v>45895</v>
      </c>
      <c r="D463" t="inlineStr">
        <is>
          <t>VÄSTERNORRLANDS LÄN</t>
        </is>
      </c>
      <c r="E463" t="inlineStr">
        <is>
          <t>ÅNGE</t>
        </is>
      </c>
      <c r="G463" t="n">
        <v>4.4</v>
      </c>
      <c r="H463" t="n">
        <v>0</v>
      </c>
      <c r="I463" t="n">
        <v>0</v>
      </c>
      <c r="J463" t="n">
        <v>0</v>
      </c>
      <c r="K463" t="n">
        <v>0</v>
      </c>
      <c r="L463" t="n">
        <v>0</v>
      </c>
      <c r="M463" t="n">
        <v>0</v>
      </c>
      <c r="N463" t="n">
        <v>0</v>
      </c>
      <c r="O463" t="n">
        <v>0</v>
      </c>
      <c r="P463" t="n">
        <v>0</v>
      </c>
      <c r="Q463" t="n">
        <v>0</v>
      </c>
      <c r="R463" s="2" t="inlineStr"/>
    </row>
    <row r="464" ht="15" customHeight="1">
      <c r="A464" t="inlineStr">
        <is>
          <t>A 15778-2025</t>
        </is>
      </c>
      <c r="B464" s="1" t="n">
        <v>45748.60030092593</v>
      </c>
      <c r="C464" s="1" t="n">
        <v>45895</v>
      </c>
      <c r="D464" t="inlineStr">
        <is>
          <t>VÄSTERNORRLANDS LÄN</t>
        </is>
      </c>
      <c r="E464" t="inlineStr">
        <is>
          <t>ÅNGE</t>
        </is>
      </c>
      <c r="F464" t="inlineStr">
        <is>
          <t>SCA</t>
        </is>
      </c>
      <c r="G464" t="n">
        <v>13.6</v>
      </c>
      <c r="H464" t="n">
        <v>0</v>
      </c>
      <c r="I464" t="n">
        <v>0</v>
      </c>
      <c r="J464" t="n">
        <v>0</v>
      </c>
      <c r="K464" t="n">
        <v>0</v>
      </c>
      <c r="L464" t="n">
        <v>0</v>
      </c>
      <c r="M464" t="n">
        <v>0</v>
      </c>
      <c r="N464" t="n">
        <v>0</v>
      </c>
      <c r="O464" t="n">
        <v>0</v>
      </c>
      <c r="P464" t="n">
        <v>0</v>
      </c>
      <c r="Q464" t="n">
        <v>0</v>
      </c>
      <c r="R464" s="2" t="inlineStr"/>
    </row>
    <row r="465" ht="15" customHeight="1">
      <c r="A465" t="inlineStr">
        <is>
          <t>A 19829-2025</t>
        </is>
      </c>
      <c r="B465" s="1" t="n">
        <v>45771.46944444445</v>
      </c>
      <c r="C465" s="1" t="n">
        <v>45895</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17718-2025</t>
        </is>
      </c>
      <c r="B466" s="1" t="n">
        <v>45758.44815972223</v>
      </c>
      <c r="C466" s="1" t="n">
        <v>45895</v>
      </c>
      <c r="D466" t="inlineStr">
        <is>
          <t>VÄSTERNORRLANDS LÄN</t>
        </is>
      </c>
      <c r="E466" t="inlineStr">
        <is>
          <t>ÅNGE</t>
        </is>
      </c>
      <c r="G466" t="n">
        <v>5.1</v>
      </c>
      <c r="H466" t="n">
        <v>0</v>
      </c>
      <c r="I466" t="n">
        <v>0</v>
      </c>
      <c r="J466" t="n">
        <v>0</v>
      </c>
      <c r="K466" t="n">
        <v>0</v>
      </c>
      <c r="L466" t="n">
        <v>0</v>
      </c>
      <c r="M466" t="n">
        <v>0</v>
      </c>
      <c r="N466" t="n">
        <v>0</v>
      </c>
      <c r="O466" t="n">
        <v>0</v>
      </c>
      <c r="P466" t="n">
        <v>0</v>
      </c>
      <c r="Q466" t="n">
        <v>0</v>
      </c>
      <c r="R466" s="2" t="inlineStr"/>
    </row>
    <row r="467" ht="15" customHeight="1">
      <c r="A467" t="inlineStr">
        <is>
          <t>A 46015-2024</t>
        </is>
      </c>
      <c r="B467" s="1" t="n">
        <v>45580.67760416667</v>
      </c>
      <c r="C467" s="1" t="n">
        <v>45895</v>
      </c>
      <c r="D467" t="inlineStr">
        <is>
          <t>VÄSTERNORRLANDS LÄN</t>
        </is>
      </c>
      <c r="E467" t="inlineStr">
        <is>
          <t>ÅNGE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15287-2025</t>
        </is>
      </c>
      <c r="B468" s="1" t="n">
        <v>45745</v>
      </c>
      <c r="C468" s="1" t="n">
        <v>45895</v>
      </c>
      <c r="D468" t="inlineStr">
        <is>
          <t>VÄSTERNORRLANDS LÄN</t>
        </is>
      </c>
      <c r="E468" t="inlineStr">
        <is>
          <t>ÅNGE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15288-2025</t>
        </is>
      </c>
      <c r="B469" s="1" t="n">
        <v>45745.34423611111</v>
      </c>
      <c r="C469" s="1" t="n">
        <v>45895</v>
      </c>
      <c r="D469" t="inlineStr">
        <is>
          <t>VÄSTERNORRLANDS LÄN</t>
        </is>
      </c>
      <c r="E469" t="inlineStr">
        <is>
          <t>ÅNGE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41302-2024</t>
        </is>
      </c>
      <c r="B470" s="1" t="n">
        <v>45559.62077546296</v>
      </c>
      <c r="C470" s="1" t="n">
        <v>45895</v>
      </c>
      <c r="D470" t="inlineStr">
        <is>
          <t>VÄSTERNORRLANDS LÄN</t>
        </is>
      </c>
      <c r="E470" t="inlineStr">
        <is>
          <t>ÅNGE</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16576-2023</t>
        </is>
      </c>
      <c r="B471" s="1" t="n">
        <v>45029.94251157407</v>
      </c>
      <c r="C471" s="1" t="n">
        <v>45895</v>
      </c>
      <c r="D471" t="inlineStr">
        <is>
          <t>VÄSTERNORRLANDS LÄN</t>
        </is>
      </c>
      <c r="E471" t="inlineStr">
        <is>
          <t>ÅNGE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37503-2023</t>
        </is>
      </c>
      <c r="B472" s="1" t="n">
        <v>45157.5796875</v>
      </c>
      <c r="C472" s="1" t="n">
        <v>45895</v>
      </c>
      <c r="D472" t="inlineStr">
        <is>
          <t>VÄSTERNORRLANDS LÄN</t>
        </is>
      </c>
      <c r="E472" t="inlineStr">
        <is>
          <t>ÅNGE</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3323-2023</t>
        </is>
      </c>
      <c r="B473" s="1" t="n">
        <v>44945</v>
      </c>
      <c r="C473" s="1" t="n">
        <v>45895</v>
      </c>
      <c r="D473" t="inlineStr">
        <is>
          <t>VÄSTERNORRLANDS LÄN</t>
        </is>
      </c>
      <c r="E473" t="inlineStr">
        <is>
          <t>ÅNGE</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38246-2024</t>
        </is>
      </c>
      <c r="B474" s="1" t="n">
        <v>45545.57327546296</v>
      </c>
      <c r="C474" s="1" t="n">
        <v>45895</v>
      </c>
      <c r="D474" t="inlineStr">
        <is>
          <t>VÄSTERNORRLANDS LÄN</t>
        </is>
      </c>
      <c r="E474" t="inlineStr">
        <is>
          <t>ÅNGE</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26943-2024</t>
        </is>
      </c>
      <c r="B475" s="1" t="n">
        <v>45470</v>
      </c>
      <c r="C475" s="1" t="n">
        <v>45895</v>
      </c>
      <c r="D475" t="inlineStr">
        <is>
          <t>VÄSTERNORRLANDS LÄN</t>
        </is>
      </c>
      <c r="E475" t="inlineStr">
        <is>
          <t>ÅNGE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58997-2023</t>
        </is>
      </c>
      <c r="B476" s="1" t="n">
        <v>45252.6352662037</v>
      </c>
      <c r="C476" s="1" t="n">
        <v>45895</v>
      </c>
      <c r="D476" t="inlineStr">
        <is>
          <t>VÄSTERNORRLANDS LÄN</t>
        </is>
      </c>
      <c r="E476" t="inlineStr">
        <is>
          <t>ÅNGE</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53512-2023</t>
        </is>
      </c>
      <c r="B477" s="1" t="n">
        <v>45230</v>
      </c>
      <c r="C477" s="1" t="n">
        <v>45895</v>
      </c>
      <c r="D477" t="inlineStr">
        <is>
          <t>VÄSTERNORRLANDS LÄN</t>
        </is>
      </c>
      <c r="E477" t="inlineStr">
        <is>
          <t>ÅNGE</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47792-2022</t>
        </is>
      </c>
      <c r="B478" s="1" t="n">
        <v>44854.95238425926</v>
      </c>
      <c r="C478" s="1" t="n">
        <v>45895</v>
      </c>
      <c r="D478" t="inlineStr">
        <is>
          <t>VÄSTERNORRLANDS LÄN</t>
        </is>
      </c>
      <c r="E478" t="inlineStr">
        <is>
          <t>ÅNGE</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18869-2024</t>
        </is>
      </c>
      <c r="B479" s="1" t="n">
        <v>45426</v>
      </c>
      <c r="C479" s="1" t="n">
        <v>45895</v>
      </c>
      <c r="D479" t="inlineStr">
        <is>
          <t>VÄSTERNORRLANDS LÄN</t>
        </is>
      </c>
      <c r="E479" t="inlineStr">
        <is>
          <t>ÅNGE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51377-2024</t>
        </is>
      </c>
      <c r="B480" s="1" t="n">
        <v>45604.38142361111</v>
      </c>
      <c r="C480" s="1" t="n">
        <v>45895</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24797-2024</t>
        </is>
      </c>
      <c r="B481" s="1" t="n">
        <v>45460.95269675926</v>
      </c>
      <c r="C481" s="1" t="n">
        <v>45895</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24798-2024</t>
        </is>
      </c>
      <c r="B482" s="1" t="n">
        <v>45460.95277777778</v>
      </c>
      <c r="C482" s="1" t="n">
        <v>45895</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60860-2022</t>
        </is>
      </c>
      <c r="B483" s="1" t="n">
        <v>44914</v>
      </c>
      <c r="C483" s="1" t="n">
        <v>45895</v>
      </c>
      <c r="D483" t="inlineStr">
        <is>
          <t>VÄSTERNORRLANDS LÄN</t>
        </is>
      </c>
      <c r="E483" t="inlineStr">
        <is>
          <t>ÅNGE</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20716-2025</t>
        </is>
      </c>
      <c r="B484" s="1" t="n">
        <v>45776.49026620371</v>
      </c>
      <c r="C484" s="1" t="n">
        <v>45895</v>
      </c>
      <c r="D484" t="inlineStr">
        <is>
          <t>VÄSTERNORRLANDS LÄN</t>
        </is>
      </c>
      <c r="E484" t="inlineStr">
        <is>
          <t>ÅNGE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22680-2024</t>
        </is>
      </c>
      <c r="B485" s="1" t="n">
        <v>45447.94548611111</v>
      </c>
      <c r="C485" s="1" t="n">
        <v>45895</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23035-2024</t>
        </is>
      </c>
      <c r="B486" s="1" t="n">
        <v>45450.39016203704</v>
      </c>
      <c r="C486" s="1" t="n">
        <v>45895</v>
      </c>
      <c r="D486" t="inlineStr">
        <is>
          <t>VÄSTERNORRLANDS LÄN</t>
        </is>
      </c>
      <c r="E486" t="inlineStr">
        <is>
          <t>ÅNGE</t>
        </is>
      </c>
      <c r="G486" t="n">
        <v>12.1</v>
      </c>
      <c r="H486" t="n">
        <v>0</v>
      </c>
      <c r="I486" t="n">
        <v>0</v>
      </c>
      <c r="J486" t="n">
        <v>0</v>
      </c>
      <c r="K486" t="n">
        <v>0</v>
      </c>
      <c r="L486" t="n">
        <v>0</v>
      </c>
      <c r="M486" t="n">
        <v>0</v>
      </c>
      <c r="N486" t="n">
        <v>0</v>
      </c>
      <c r="O486" t="n">
        <v>0</v>
      </c>
      <c r="P486" t="n">
        <v>0</v>
      </c>
      <c r="Q486" t="n">
        <v>0</v>
      </c>
      <c r="R486" s="2" t="inlineStr"/>
    </row>
    <row r="487" ht="15" customHeight="1">
      <c r="A487" t="inlineStr">
        <is>
          <t>A 23063-2024</t>
        </is>
      </c>
      <c r="B487" s="1" t="n">
        <v>45450.44278935185</v>
      </c>
      <c r="C487" s="1" t="n">
        <v>45895</v>
      </c>
      <c r="D487" t="inlineStr">
        <is>
          <t>VÄSTERNORRLANDS LÄN</t>
        </is>
      </c>
      <c r="E487" t="inlineStr">
        <is>
          <t>ÅNGE</t>
        </is>
      </c>
      <c r="G487" t="n">
        <v>0.8</v>
      </c>
      <c r="H487" t="n">
        <v>0</v>
      </c>
      <c r="I487" t="n">
        <v>0</v>
      </c>
      <c r="J487" t="n">
        <v>0</v>
      </c>
      <c r="K487" t="n">
        <v>0</v>
      </c>
      <c r="L487" t="n">
        <v>0</v>
      </c>
      <c r="M487" t="n">
        <v>0</v>
      </c>
      <c r="N487" t="n">
        <v>0</v>
      </c>
      <c r="O487" t="n">
        <v>0</v>
      </c>
      <c r="P487" t="n">
        <v>0</v>
      </c>
      <c r="Q487" t="n">
        <v>0</v>
      </c>
      <c r="R487" s="2" t="inlineStr"/>
    </row>
    <row r="488" ht="15" customHeight="1">
      <c r="A488" t="inlineStr">
        <is>
          <t>A 20696-2025</t>
        </is>
      </c>
      <c r="B488" s="1" t="n">
        <v>45776.46969907408</v>
      </c>
      <c r="C488" s="1" t="n">
        <v>45895</v>
      </c>
      <c r="D488" t="inlineStr">
        <is>
          <t>VÄSTERNORRLANDS LÄN</t>
        </is>
      </c>
      <c r="E488" t="inlineStr">
        <is>
          <t>ÅNGE</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20717-2025</t>
        </is>
      </c>
      <c r="B489" s="1" t="n">
        <v>45776.49040509259</v>
      </c>
      <c r="C489" s="1" t="n">
        <v>45895</v>
      </c>
      <c r="D489" t="inlineStr">
        <is>
          <t>VÄSTERNORRLANDS LÄN</t>
        </is>
      </c>
      <c r="E489" t="inlineStr">
        <is>
          <t>ÅNGE</t>
        </is>
      </c>
      <c r="F489" t="inlineStr">
        <is>
          <t>SCA</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20776-2025</t>
        </is>
      </c>
      <c r="B490" s="1" t="n">
        <v>45776.59410879629</v>
      </c>
      <c r="C490" s="1" t="n">
        <v>45895</v>
      </c>
      <c r="D490" t="inlineStr">
        <is>
          <t>VÄSTERNORRLANDS LÄN</t>
        </is>
      </c>
      <c r="E490" t="inlineStr">
        <is>
          <t>ÅNGE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20718-2025</t>
        </is>
      </c>
      <c r="B491" s="1" t="n">
        <v>45776.49047453704</v>
      </c>
      <c r="C491" s="1" t="n">
        <v>45895</v>
      </c>
      <c r="D491" t="inlineStr">
        <is>
          <t>VÄSTERNORRLANDS LÄN</t>
        </is>
      </c>
      <c r="E491" t="inlineStr">
        <is>
          <t>ÅNGE</t>
        </is>
      </c>
      <c r="G491" t="n">
        <v>4.7</v>
      </c>
      <c r="H491" t="n">
        <v>0</v>
      </c>
      <c r="I491" t="n">
        <v>0</v>
      </c>
      <c r="J491" t="n">
        <v>0</v>
      </c>
      <c r="K491" t="n">
        <v>0</v>
      </c>
      <c r="L491" t="n">
        <v>0</v>
      </c>
      <c r="M491" t="n">
        <v>0</v>
      </c>
      <c r="N491" t="n">
        <v>0</v>
      </c>
      <c r="O491" t="n">
        <v>0</v>
      </c>
      <c r="P491" t="n">
        <v>0</v>
      </c>
      <c r="Q491" t="n">
        <v>0</v>
      </c>
      <c r="R491" s="2" t="inlineStr"/>
    </row>
    <row r="492" ht="15" customHeight="1">
      <c r="A492" t="inlineStr">
        <is>
          <t>A 57286-2022</t>
        </is>
      </c>
      <c r="B492" s="1" t="n">
        <v>44895.94991898148</v>
      </c>
      <c r="C492" s="1" t="n">
        <v>45895</v>
      </c>
      <c r="D492" t="inlineStr">
        <is>
          <t>VÄSTERNORRLANDS LÄN</t>
        </is>
      </c>
      <c r="E492" t="inlineStr">
        <is>
          <t>ÅNGE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12581-2024</t>
        </is>
      </c>
      <c r="B493" s="1" t="n">
        <v>45379</v>
      </c>
      <c r="C493" s="1" t="n">
        <v>45895</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16572-2023</t>
        </is>
      </c>
      <c r="B494" s="1" t="n">
        <v>45029.94224537037</v>
      </c>
      <c r="C494" s="1" t="n">
        <v>45895</v>
      </c>
      <c r="D494" t="inlineStr">
        <is>
          <t>VÄSTERNORRLANDS LÄN</t>
        </is>
      </c>
      <c r="E494" t="inlineStr">
        <is>
          <t>ÅNGE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20864-2025</t>
        </is>
      </c>
      <c r="B495" s="1" t="n">
        <v>45777.34417824074</v>
      </c>
      <c r="C495" s="1" t="n">
        <v>45895</v>
      </c>
      <c r="D495" t="inlineStr">
        <is>
          <t>VÄSTERNORRLANDS LÄN</t>
        </is>
      </c>
      <c r="E495" t="inlineStr">
        <is>
          <t>ÅNGE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16365-2023</t>
        </is>
      </c>
      <c r="B496" s="1" t="n">
        <v>45028</v>
      </c>
      <c r="C496" s="1" t="n">
        <v>45895</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24063-2023</t>
        </is>
      </c>
      <c r="B497" s="1" t="n">
        <v>45078.94140046297</v>
      </c>
      <c r="C497" s="1" t="n">
        <v>45895</v>
      </c>
      <c r="D497" t="inlineStr">
        <is>
          <t>VÄSTERNORRLANDS LÄN</t>
        </is>
      </c>
      <c r="E497" t="inlineStr">
        <is>
          <t>ÅNGE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21068-2025</t>
        </is>
      </c>
      <c r="B498" s="1" t="n">
        <v>45777.59413194445</v>
      </c>
      <c r="C498" s="1" t="n">
        <v>45895</v>
      </c>
      <c r="D498" t="inlineStr">
        <is>
          <t>VÄSTERNORRLANDS LÄN</t>
        </is>
      </c>
      <c r="E498" t="inlineStr">
        <is>
          <t>ÅNGE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20868-2025</t>
        </is>
      </c>
      <c r="B499" s="1" t="n">
        <v>45777.34483796296</v>
      </c>
      <c r="C499" s="1" t="n">
        <v>45895</v>
      </c>
      <c r="D499" t="inlineStr">
        <is>
          <t>VÄSTERNORRLANDS LÄN</t>
        </is>
      </c>
      <c r="E499" t="inlineStr">
        <is>
          <t>ÅNGE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21176-2025</t>
        </is>
      </c>
      <c r="B500" s="1" t="n">
        <v>45779.42798611111</v>
      </c>
      <c r="C500" s="1" t="n">
        <v>45895</v>
      </c>
      <c r="D500" t="inlineStr">
        <is>
          <t>VÄSTERNORRLANDS LÄN</t>
        </is>
      </c>
      <c r="E500" t="inlineStr">
        <is>
          <t>ÅNGE</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21454-2025</t>
        </is>
      </c>
      <c r="B501" s="1" t="n">
        <v>45782.55322916667</v>
      </c>
      <c r="C501" s="1" t="n">
        <v>45895</v>
      </c>
      <c r="D501" t="inlineStr">
        <is>
          <t>VÄSTERNORRLANDS LÄN</t>
        </is>
      </c>
      <c r="E501" t="inlineStr">
        <is>
          <t>ÅNGE</t>
        </is>
      </c>
      <c r="F501" t="inlineStr">
        <is>
          <t>SCA</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24231-2024</t>
        </is>
      </c>
      <c r="B502" s="1" t="n">
        <v>45457.34393518518</v>
      </c>
      <c r="C502" s="1" t="n">
        <v>45895</v>
      </c>
      <c r="D502" t="inlineStr">
        <is>
          <t>VÄSTERNORRLANDS LÄN</t>
        </is>
      </c>
      <c r="E502" t="inlineStr">
        <is>
          <t>ÅNGE</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10087-2023</t>
        </is>
      </c>
      <c r="B503" s="1" t="n">
        <v>44985</v>
      </c>
      <c r="C503" s="1" t="n">
        <v>45895</v>
      </c>
      <c r="D503" t="inlineStr">
        <is>
          <t>VÄSTERNORRLANDS LÄN</t>
        </is>
      </c>
      <c r="E503" t="inlineStr">
        <is>
          <t>ÅNGE</t>
        </is>
      </c>
      <c r="F503" t="inlineStr">
        <is>
          <t>SCA</t>
        </is>
      </c>
      <c r="G503" t="n">
        <v>7.9</v>
      </c>
      <c r="H503" t="n">
        <v>0</v>
      </c>
      <c r="I503" t="n">
        <v>0</v>
      </c>
      <c r="J503" t="n">
        <v>0</v>
      </c>
      <c r="K503" t="n">
        <v>0</v>
      </c>
      <c r="L503" t="n">
        <v>0</v>
      </c>
      <c r="M503" t="n">
        <v>0</v>
      </c>
      <c r="N503" t="n">
        <v>0</v>
      </c>
      <c r="O503" t="n">
        <v>0</v>
      </c>
      <c r="P503" t="n">
        <v>0</v>
      </c>
      <c r="Q503" t="n">
        <v>0</v>
      </c>
      <c r="R503" s="2" t="inlineStr"/>
    </row>
    <row r="504" ht="15" customHeight="1">
      <c r="A504" t="inlineStr">
        <is>
          <t>A 27682-2023</t>
        </is>
      </c>
      <c r="B504" s="1" t="n">
        <v>45097.93758101852</v>
      </c>
      <c r="C504" s="1" t="n">
        <v>45895</v>
      </c>
      <c r="D504" t="inlineStr">
        <is>
          <t>VÄSTERNORRLANDS LÄN</t>
        </is>
      </c>
      <c r="E504" t="inlineStr">
        <is>
          <t>ÅNGE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21456-2025</t>
        </is>
      </c>
      <c r="B505" s="1" t="n">
        <v>45782.55342592593</v>
      </c>
      <c r="C505" s="1" t="n">
        <v>45895</v>
      </c>
      <c r="D505" t="inlineStr">
        <is>
          <t>VÄSTERNORRLANDS LÄN</t>
        </is>
      </c>
      <c r="E505" t="inlineStr">
        <is>
          <t>ÅNGE</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38795-2023</t>
        </is>
      </c>
      <c r="B506" s="1" t="n">
        <v>45162</v>
      </c>
      <c r="C506" s="1" t="n">
        <v>45895</v>
      </c>
      <c r="D506" t="inlineStr">
        <is>
          <t>VÄSTERNORRLANDS LÄN</t>
        </is>
      </c>
      <c r="E506" t="inlineStr">
        <is>
          <t>ÅNGE</t>
        </is>
      </c>
      <c r="G506" t="n">
        <v>0.7</v>
      </c>
      <c r="H506" t="n">
        <v>0</v>
      </c>
      <c r="I506" t="n">
        <v>0</v>
      </c>
      <c r="J506" t="n">
        <v>0</v>
      </c>
      <c r="K506" t="n">
        <v>0</v>
      </c>
      <c r="L506" t="n">
        <v>0</v>
      </c>
      <c r="M506" t="n">
        <v>0</v>
      </c>
      <c r="N506" t="n">
        <v>0</v>
      </c>
      <c r="O506" t="n">
        <v>0</v>
      </c>
      <c r="P506" t="n">
        <v>0</v>
      </c>
      <c r="Q506" t="n">
        <v>0</v>
      </c>
      <c r="R506" s="2" t="inlineStr"/>
    </row>
    <row r="507" ht="15" customHeight="1">
      <c r="A507" t="inlineStr">
        <is>
          <t>A 35979-2023</t>
        </is>
      </c>
      <c r="B507" s="1" t="n">
        <v>45148</v>
      </c>
      <c r="C507" s="1" t="n">
        <v>45895</v>
      </c>
      <c r="D507" t="inlineStr">
        <is>
          <t>VÄSTERNORRLANDS LÄN</t>
        </is>
      </c>
      <c r="E507" t="inlineStr">
        <is>
          <t>ÅNGE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21197-2025</t>
        </is>
      </c>
      <c r="B508" s="1" t="n">
        <v>45779.46949074074</v>
      </c>
      <c r="C508" s="1" t="n">
        <v>45895</v>
      </c>
      <c r="D508" t="inlineStr">
        <is>
          <t>VÄSTERNORRLANDS LÄN</t>
        </is>
      </c>
      <c r="E508" t="inlineStr">
        <is>
          <t>ÅNGE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13773-2024</t>
        </is>
      </c>
      <c r="B509" s="1" t="n">
        <v>45390.95297453704</v>
      </c>
      <c r="C509" s="1" t="n">
        <v>45895</v>
      </c>
      <c r="D509" t="inlineStr">
        <is>
          <t>VÄSTERNORRLANDS LÄN</t>
        </is>
      </c>
      <c r="E509" t="inlineStr">
        <is>
          <t>ÅNGE</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21563-2025</t>
        </is>
      </c>
      <c r="B510" s="1" t="n">
        <v>45782.69822916666</v>
      </c>
      <c r="C510" s="1" t="n">
        <v>45895</v>
      </c>
      <c r="D510" t="inlineStr">
        <is>
          <t>VÄSTERNORRLANDS LÄN</t>
        </is>
      </c>
      <c r="E510" t="inlineStr">
        <is>
          <t>ÅNGE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35582-2024</t>
        </is>
      </c>
      <c r="B511" s="1" t="n">
        <v>45531.64800925926</v>
      </c>
      <c r="C511" s="1" t="n">
        <v>45895</v>
      </c>
      <c r="D511" t="inlineStr">
        <is>
          <t>VÄSTERNORRLANDS LÄN</t>
        </is>
      </c>
      <c r="E511" t="inlineStr">
        <is>
          <t>ÅNGE</t>
        </is>
      </c>
      <c r="G511" t="n">
        <v>4.1</v>
      </c>
      <c r="H511" t="n">
        <v>0</v>
      </c>
      <c r="I511" t="n">
        <v>0</v>
      </c>
      <c r="J511" t="n">
        <v>0</v>
      </c>
      <c r="K511" t="n">
        <v>0</v>
      </c>
      <c r="L511" t="n">
        <v>0</v>
      </c>
      <c r="M511" t="n">
        <v>0</v>
      </c>
      <c r="N511" t="n">
        <v>0</v>
      </c>
      <c r="O511" t="n">
        <v>0</v>
      </c>
      <c r="P511" t="n">
        <v>0</v>
      </c>
      <c r="Q511" t="n">
        <v>0</v>
      </c>
      <c r="R511" s="2" t="inlineStr"/>
    </row>
    <row r="512" ht="15" customHeight="1">
      <c r="A512" t="inlineStr">
        <is>
          <t>A 36466-2024</t>
        </is>
      </c>
      <c r="B512" s="1" t="n">
        <v>45537.35872685185</v>
      </c>
      <c r="C512" s="1" t="n">
        <v>45895</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52785-2024</t>
        </is>
      </c>
      <c r="B513" s="1" t="n">
        <v>45610.55273148148</v>
      </c>
      <c r="C513" s="1" t="n">
        <v>45895</v>
      </c>
      <c r="D513" t="inlineStr">
        <is>
          <t>VÄSTERNORRLANDS LÄN</t>
        </is>
      </c>
      <c r="E513" t="inlineStr">
        <is>
          <t>ÅNGE</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52786-2024</t>
        </is>
      </c>
      <c r="B514" s="1" t="n">
        <v>45610.55283564814</v>
      </c>
      <c r="C514" s="1" t="n">
        <v>45895</v>
      </c>
      <c r="D514" t="inlineStr">
        <is>
          <t>VÄSTERNORRLANDS LÄN</t>
        </is>
      </c>
      <c r="E514" t="inlineStr">
        <is>
          <t>ÅNGE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45030-2024</t>
        </is>
      </c>
      <c r="B515" s="1" t="n">
        <v>45575.52089120371</v>
      </c>
      <c r="C515" s="1" t="n">
        <v>45895</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21263-2025</t>
        </is>
      </c>
      <c r="B516" s="1" t="n">
        <v>45779.61233796296</v>
      </c>
      <c r="C516" s="1" t="n">
        <v>45895</v>
      </c>
      <c r="D516" t="inlineStr">
        <is>
          <t>VÄSTERNORRLANDS LÄN</t>
        </is>
      </c>
      <c r="E516" t="inlineStr">
        <is>
          <t>ÅNGE</t>
        </is>
      </c>
      <c r="F516" t="inlineStr">
        <is>
          <t>Sveaskog</t>
        </is>
      </c>
      <c r="G516" t="n">
        <v>14.9</v>
      </c>
      <c r="H516" t="n">
        <v>0</v>
      </c>
      <c r="I516" t="n">
        <v>0</v>
      </c>
      <c r="J516" t="n">
        <v>0</v>
      </c>
      <c r="K516" t="n">
        <v>0</v>
      </c>
      <c r="L516" t="n">
        <v>0</v>
      </c>
      <c r="M516" t="n">
        <v>0</v>
      </c>
      <c r="N516" t="n">
        <v>0</v>
      </c>
      <c r="O516" t="n">
        <v>0</v>
      </c>
      <c r="P516" t="n">
        <v>0</v>
      </c>
      <c r="Q516" t="n">
        <v>0</v>
      </c>
      <c r="R516" s="2" t="inlineStr"/>
    </row>
    <row r="517" ht="15" customHeight="1">
      <c r="A517" t="inlineStr">
        <is>
          <t>A 21174-2025</t>
        </is>
      </c>
      <c r="B517" s="1" t="n">
        <v>45779.42746527777</v>
      </c>
      <c r="C517" s="1" t="n">
        <v>45895</v>
      </c>
      <c r="D517" t="inlineStr">
        <is>
          <t>VÄSTERNORRLANDS LÄN</t>
        </is>
      </c>
      <c r="E517" t="inlineStr">
        <is>
          <t>ÅNGE</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9567-2024</t>
        </is>
      </c>
      <c r="B518" s="1" t="n">
        <v>45360.03635416667</v>
      </c>
      <c r="C518" s="1" t="n">
        <v>45895</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21251-2025</t>
        </is>
      </c>
      <c r="B519" s="1" t="n">
        <v>45779.57417824074</v>
      </c>
      <c r="C519" s="1" t="n">
        <v>45895</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21791-2025</t>
        </is>
      </c>
      <c r="B520" s="1" t="n">
        <v>45783.67771990741</v>
      </c>
      <c r="C520" s="1" t="n">
        <v>45895</v>
      </c>
      <c r="D520" t="inlineStr">
        <is>
          <t>VÄSTERNORRLANDS LÄN</t>
        </is>
      </c>
      <c r="E520" t="inlineStr">
        <is>
          <t>ÅNGE</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21712-2025</t>
        </is>
      </c>
      <c r="B521" s="1" t="n">
        <v>45783.53210648148</v>
      </c>
      <c r="C521" s="1" t="n">
        <v>45895</v>
      </c>
      <c r="D521" t="inlineStr">
        <is>
          <t>VÄSTERNORRLANDS LÄN</t>
        </is>
      </c>
      <c r="E521" t="inlineStr">
        <is>
          <t>ÅNGE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51311-2022</t>
        </is>
      </c>
      <c r="B522" s="1" t="n">
        <v>44868</v>
      </c>
      <c r="C522" s="1" t="n">
        <v>45895</v>
      </c>
      <c r="D522" t="inlineStr">
        <is>
          <t>VÄSTERNORRLANDS LÄN</t>
        </is>
      </c>
      <c r="E522" t="inlineStr">
        <is>
          <t>ÅNGE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2539-2025</t>
        </is>
      </c>
      <c r="B523" s="1" t="n">
        <v>45674.61581018518</v>
      </c>
      <c r="C523" s="1" t="n">
        <v>45895</v>
      </c>
      <c r="D523" t="inlineStr">
        <is>
          <t>VÄSTERNORRLANDS LÄN</t>
        </is>
      </c>
      <c r="E523" t="inlineStr">
        <is>
          <t>ÅNGE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33428-2023</t>
        </is>
      </c>
      <c r="B524" s="1" t="n">
        <v>45128.94976851852</v>
      </c>
      <c r="C524" s="1" t="n">
        <v>45895</v>
      </c>
      <c r="D524" t="inlineStr">
        <is>
          <t>VÄSTERNORRLANDS LÄN</t>
        </is>
      </c>
      <c r="E524" t="inlineStr">
        <is>
          <t>ÅNGE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22187-2024</t>
        </is>
      </c>
      <c r="B525" s="1" t="n">
        <v>45446.35222222222</v>
      </c>
      <c r="C525" s="1" t="n">
        <v>45895</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48787-2024</t>
        </is>
      </c>
      <c r="B526" s="1" t="n">
        <v>45593.63888888889</v>
      </c>
      <c r="C526" s="1" t="n">
        <v>45895</v>
      </c>
      <c r="D526" t="inlineStr">
        <is>
          <t>VÄSTERNORRLANDS LÄN</t>
        </is>
      </c>
      <c r="E526" t="inlineStr">
        <is>
          <t>ÅNGE</t>
        </is>
      </c>
      <c r="G526" t="n">
        <v>1.7</v>
      </c>
      <c r="H526" t="n">
        <v>0</v>
      </c>
      <c r="I526" t="n">
        <v>0</v>
      </c>
      <c r="J526" t="n">
        <v>0</v>
      </c>
      <c r="K526" t="n">
        <v>0</v>
      </c>
      <c r="L526" t="n">
        <v>0</v>
      </c>
      <c r="M526" t="n">
        <v>0</v>
      </c>
      <c r="N526" t="n">
        <v>0</v>
      </c>
      <c r="O526" t="n">
        <v>0</v>
      </c>
      <c r="P526" t="n">
        <v>0</v>
      </c>
      <c r="Q526" t="n">
        <v>0</v>
      </c>
      <c r="R526" s="2" t="inlineStr"/>
    </row>
    <row r="527" ht="15" customHeight="1">
      <c r="A527" t="inlineStr">
        <is>
          <t>A 21883-2025</t>
        </is>
      </c>
      <c r="B527" s="1" t="n">
        <v>45784.41361111111</v>
      </c>
      <c r="C527" s="1" t="n">
        <v>45895</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58939-2021</t>
        </is>
      </c>
      <c r="B528" s="1" t="n">
        <v>44489</v>
      </c>
      <c r="C528" s="1" t="n">
        <v>45895</v>
      </c>
      <c r="D528" t="inlineStr">
        <is>
          <t>VÄSTERNORRLANDS LÄN</t>
        </is>
      </c>
      <c r="E528" t="inlineStr">
        <is>
          <t>ÅNGE</t>
        </is>
      </c>
      <c r="G528" t="n">
        <v>2.5</v>
      </c>
      <c r="H528" t="n">
        <v>0</v>
      </c>
      <c r="I528" t="n">
        <v>0</v>
      </c>
      <c r="J528" t="n">
        <v>0</v>
      </c>
      <c r="K528" t="n">
        <v>0</v>
      </c>
      <c r="L528" t="n">
        <v>0</v>
      </c>
      <c r="M528" t="n">
        <v>0</v>
      </c>
      <c r="N528" t="n">
        <v>0</v>
      </c>
      <c r="O528" t="n">
        <v>0</v>
      </c>
      <c r="P528" t="n">
        <v>0</v>
      </c>
      <c r="Q528" t="n">
        <v>0</v>
      </c>
      <c r="R528" s="2" t="inlineStr"/>
    </row>
    <row r="529" ht="15" customHeight="1">
      <c r="A529" t="inlineStr">
        <is>
          <t>A 21597-2025</t>
        </is>
      </c>
      <c r="B529" s="1" t="n">
        <v>45783.34493055556</v>
      </c>
      <c r="C529" s="1" t="n">
        <v>45895</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34815-2024</t>
        </is>
      </c>
      <c r="B530" s="1" t="n">
        <v>45526.70732638889</v>
      </c>
      <c r="C530" s="1" t="n">
        <v>45895</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42969-2024</t>
        </is>
      </c>
      <c r="B531" s="1" t="n">
        <v>45567.37300925926</v>
      </c>
      <c r="C531" s="1" t="n">
        <v>45895</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25867-2024</t>
        </is>
      </c>
      <c r="B532" s="1" t="n">
        <v>45463</v>
      </c>
      <c r="C532" s="1" t="n">
        <v>45895</v>
      </c>
      <c r="D532" t="inlineStr">
        <is>
          <t>VÄSTERNORRLANDS LÄN</t>
        </is>
      </c>
      <c r="E532" t="inlineStr">
        <is>
          <t>ÅNGE</t>
        </is>
      </c>
      <c r="G532" t="n">
        <v>2.7</v>
      </c>
      <c r="H532" t="n">
        <v>0</v>
      </c>
      <c r="I532" t="n">
        <v>0</v>
      </c>
      <c r="J532" t="n">
        <v>0</v>
      </c>
      <c r="K532" t="n">
        <v>0</v>
      </c>
      <c r="L532" t="n">
        <v>0</v>
      </c>
      <c r="M532" t="n">
        <v>0</v>
      </c>
      <c r="N532" t="n">
        <v>0</v>
      </c>
      <c r="O532" t="n">
        <v>0</v>
      </c>
      <c r="P532" t="n">
        <v>0</v>
      </c>
      <c r="Q532" t="n">
        <v>0</v>
      </c>
      <c r="R532" s="2" t="inlineStr"/>
    </row>
    <row r="533" ht="15" customHeight="1">
      <c r="A533" t="inlineStr">
        <is>
          <t>A 56399-2022</t>
        </is>
      </c>
      <c r="B533" s="1" t="n">
        <v>44890</v>
      </c>
      <c r="C533" s="1" t="n">
        <v>45895</v>
      </c>
      <c r="D533" t="inlineStr">
        <is>
          <t>VÄSTERNORRLANDS LÄN</t>
        </is>
      </c>
      <c r="E533" t="inlineStr">
        <is>
          <t>ÅNGE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17669-2023</t>
        </is>
      </c>
      <c r="B534" s="1" t="n">
        <v>45036.94457175926</v>
      </c>
      <c r="C534" s="1" t="n">
        <v>45895</v>
      </c>
      <c r="D534" t="inlineStr">
        <is>
          <t>VÄSTERNORRLANDS LÄN</t>
        </is>
      </c>
      <c r="E534" t="inlineStr">
        <is>
          <t>ÅNGE</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52683-2024</t>
        </is>
      </c>
      <c r="B535" s="1" t="n">
        <v>45610</v>
      </c>
      <c r="C535" s="1" t="n">
        <v>45895</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37558-2023</t>
        </is>
      </c>
      <c r="B536" s="1" t="n">
        <v>45159.34511574074</v>
      </c>
      <c r="C536" s="1" t="n">
        <v>45895</v>
      </c>
      <c r="D536" t="inlineStr">
        <is>
          <t>VÄSTERNORRLANDS LÄN</t>
        </is>
      </c>
      <c r="E536" t="inlineStr">
        <is>
          <t>ÅNGE</t>
        </is>
      </c>
      <c r="F536" t="inlineStr">
        <is>
          <t>Kyrkan</t>
        </is>
      </c>
      <c r="G536" t="n">
        <v>5.6</v>
      </c>
      <c r="H536" t="n">
        <v>0</v>
      </c>
      <c r="I536" t="n">
        <v>0</v>
      </c>
      <c r="J536" t="n">
        <v>0</v>
      </c>
      <c r="K536" t="n">
        <v>0</v>
      </c>
      <c r="L536" t="n">
        <v>0</v>
      </c>
      <c r="M536" t="n">
        <v>0</v>
      </c>
      <c r="N536" t="n">
        <v>0</v>
      </c>
      <c r="O536" t="n">
        <v>0</v>
      </c>
      <c r="P536" t="n">
        <v>0</v>
      </c>
      <c r="Q536" t="n">
        <v>0</v>
      </c>
      <c r="R536" s="2" t="inlineStr"/>
    </row>
    <row r="537" ht="15" customHeight="1">
      <c r="A537" t="inlineStr">
        <is>
          <t>A 29395-2023</t>
        </is>
      </c>
      <c r="B537" s="1" t="n">
        <v>45106.4359837963</v>
      </c>
      <c r="C537" s="1" t="n">
        <v>45895</v>
      </c>
      <c r="D537" t="inlineStr">
        <is>
          <t>VÄSTERNORRLANDS LÄN</t>
        </is>
      </c>
      <c r="E537" t="inlineStr">
        <is>
          <t>ÅNGE</t>
        </is>
      </c>
      <c r="G537" t="n">
        <v>3.5</v>
      </c>
      <c r="H537" t="n">
        <v>0</v>
      </c>
      <c r="I537" t="n">
        <v>0</v>
      </c>
      <c r="J537" t="n">
        <v>0</v>
      </c>
      <c r="K537" t="n">
        <v>0</v>
      </c>
      <c r="L537" t="n">
        <v>0</v>
      </c>
      <c r="M537" t="n">
        <v>0</v>
      </c>
      <c r="N537" t="n">
        <v>0</v>
      </c>
      <c r="O537" t="n">
        <v>0</v>
      </c>
      <c r="P537" t="n">
        <v>0</v>
      </c>
      <c r="Q537" t="n">
        <v>0</v>
      </c>
      <c r="R537" s="2" t="inlineStr"/>
    </row>
    <row r="538" ht="15" customHeight="1">
      <c r="A538" t="inlineStr">
        <is>
          <t>A 34852-2023</t>
        </is>
      </c>
      <c r="B538" s="1" t="n">
        <v>45141</v>
      </c>
      <c r="C538" s="1" t="n">
        <v>45895</v>
      </c>
      <c r="D538" t="inlineStr">
        <is>
          <t>VÄSTERNORRLANDS LÄN</t>
        </is>
      </c>
      <c r="E538" t="inlineStr">
        <is>
          <t>ÅNGE</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21862-2025</t>
        </is>
      </c>
      <c r="B539" s="1" t="n">
        <v>45784.36519675926</v>
      </c>
      <c r="C539" s="1" t="n">
        <v>45895</v>
      </c>
      <c r="D539" t="inlineStr">
        <is>
          <t>VÄSTERNORRLANDS LÄN</t>
        </is>
      </c>
      <c r="E539" t="inlineStr">
        <is>
          <t>ÅNGE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19798-2025</t>
        </is>
      </c>
      <c r="B540" s="1" t="n">
        <v>45771.44824074074</v>
      </c>
      <c r="C540" s="1" t="n">
        <v>45895</v>
      </c>
      <c r="D540" t="inlineStr">
        <is>
          <t>VÄSTERNORRLANDS LÄN</t>
        </is>
      </c>
      <c r="E540" t="inlineStr">
        <is>
          <t>ÅNGE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21982-2025</t>
        </is>
      </c>
      <c r="B541" s="1" t="n">
        <v>45784.65660879629</v>
      </c>
      <c r="C541" s="1" t="n">
        <v>45895</v>
      </c>
      <c r="D541" t="inlineStr">
        <is>
          <t>VÄSTERNORRLANDS LÄN</t>
        </is>
      </c>
      <c r="E541" t="inlineStr">
        <is>
          <t>ÅNGE</t>
        </is>
      </c>
      <c r="F541" t="inlineStr">
        <is>
          <t>SCA</t>
        </is>
      </c>
      <c r="G541" t="n">
        <v>7.6</v>
      </c>
      <c r="H541" t="n">
        <v>0</v>
      </c>
      <c r="I541" t="n">
        <v>0</v>
      </c>
      <c r="J541" t="n">
        <v>0</v>
      </c>
      <c r="K541" t="n">
        <v>0</v>
      </c>
      <c r="L541" t="n">
        <v>0</v>
      </c>
      <c r="M541" t="n">
        <v>0</v>
      </c>
      <c r="N541" t="n">
        <v>0</v>
      </c>
      <c r="O541" t="n">
        <v>0</v>
      </c>
      <c r="P541" t="n">
        <v>0</v>
      </c>
      <c r="Q541" t="n">
        <v>0</v>
      </c>
      <c r="R541" s="2" t="inlineStr"/>
    </row>
    <row r="542" ht="15" customHeight="1">
      <c r="A542" t="inlineStr">
        <is>
          <t>A 21792-2025</t>
        </is>
      </c>
      <c r="B542" s="1" t="n">
        <v>45783.6778587963</v>
      </c>
      <c r="C542" s="1" t="n">
        <v>45895</v>
      </c>
      <c r="D542" t="inlineStr">
        <is>
          <t>VÄSTERNORRLANDS LÄN</t>
        </is>
      </c>
      <c r="E542" t="inlineStr">
        <is>
          <t>ÅNGE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28506-2024</t>
        </is>
      </c>
      <c r="B543" s="1" t="n">
        <v>45477.9475</v>
      </c>
      <c r="C543" s="1" t="n">
        <v>45895</v>
      </c>
      <c r="D543" t="inlineStr">
        <is>
          <t>VÄSTERNORRLANDS LÄN</t>
        </is>
      </c>
      <c r="E543" t="inlineStr">
        <is>
          <t>ÅNGE</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54295-2024</t>
        </is>
      </c>
      <c r="B544" s="1" t="n">
        <v>45617</v>
      </c>
      <c r="C544" s="1" t="n">
        <v>45895</v>
      </c>
      <c r="D544" t="inlineStr">
        <is>
          <t>VÄSTERNORRLANDS LÄN</t>
        </is>
      </c>
      <c r="E544" t="inlineStr">
        <is>
          <t>ÅNGE</t>
        </is>
      </c>
      <c r="G544" t="n">
        <v>1.2</v>
      </c>
      <c r="H544" t="n">
        <v>0</v>
      </c>
      <c r="I544" t="n">
        <v>0</v>
      </c>
      <c r="J544" t="n">
        <v>0</v>
      </c>
      <c r="K544" t="n">
        <v>0</v>
      </c>
      <c r="L544" t="n">
        <v>0</v>
      </c>
      <c r="M544" t="n">
        <v>0</v>
      </c>
      <c r="N544" t="n">
        <v>0</v>
      </c>
      <c r="O544" t="n">
        <v>0</v>
      </c>
      <c r="P544" t="n">
        <v>0</v>
      </c>
      <c r="Q544" t="n">
        <v>0</v>
      </c>
      <c r="R544" s="2" t="inlineStr"/>
    </row>
    <row r="545" ht="15" customHeight="1">
      <c r="A545" t="inlineStr">
        <is>
          <t>A 1420-2023</t>
        </is>
      </c>
      <c r="B545" s="1" t="n">
        <v>44936.92762731481</v>
      </c>
      <c r="C545" s="1" t="n">
        <v>45895</v>
      </c>
      <c r="D545" t="inlineStr">
        <is>
          <t>VÄSTERNORRLANDS LÄN</t>
        </is>
      </c>
      <c r="E545" t="inlineStr">
        <is>
          <t>ÅNGE</t>
        </is>
      </c>
      <c r="G545" t="n">
        <v>3.7</v>
      </c>
      <c r="H545" t="n">
        <v>0</v>
      </c>
      <c r="I545" t="n">
        <v>0</v>
      </c>
      <c r="J545" t="n">
        <v>0</v>
      </c>
      <c r="K545" t="n">
        <v>0</v>
      </c>
      <c r="L545" t="n">
        <v>0</v>
      </c>
      <c r="M545" t="n">
        <v>0</v>
      </c>
      <c r="N545" t="n">
        <v>0</v>
      </c>
      <c r="O545" t="n">
        <v>0</v>
      </c>
      <c r="P545" t="n">
        <v>0</v>
      </c>
      <c r="Q545" t="n">
        <v>0</v>
      </c>
      <c r="R545" s="2" t="inlineStr"/>
    </row>
    <row r="546" ht="15" customHeight="1">
      <c r="A546" t="inlineStr">
        <is>
          <t>A 60205-2023</t>
        </is>
      </c>
      <c r="B546" s="1" t="n">
        <v>45257</v>
      </c>
      <c r="C546" s="1" t="n">
        <v>45895</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21686-2025</t>
        </is>
      </c>
      <c r="B547" s="1" t="n">
        <v>45783.490625</v>
      </c>
      <c r="C547" s="1" t="n">
        <v>45895</v>
      </c>
      <c r="D547" t="inlineStr">
        <is>
          <t>VÄSTERNORRLANDS LÄN</t>
        </is>
      </c>
      <c r="E547" t="inlineStr">
        <is>
          <t>ÅNGE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10558-2023</t>
        </is>
      </c>
      <c r="B548" s="1" t="n">
        <v>44987.94438657408</v>
      </c>
      <c r="C548" s="1" t="n">
        <v>45895</v>
      </c>
      <c r="D548" t="inlineStr">
        <is>
          <t>VÄSTERNORRLANDS LÄN</t>
        </is>
      </c>
      <c r="E548" t="inlineStr">
        <is>
          <t>ÅNGE</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21741-2025</t>
        </is>
      </c>
      <c r="B549" s="1" t="n">
        <v>45783.59415509259</v>
      </c>
      <c r="C549" s="1" t="n">
        <v>45895</v>
      </c>
      <c r="D549" t="inlineStr">
        <is>
          <t>VÄSTERNORRLANDS LÄN</t>
        </is>
      </c>
      <c r="E549" t="inlineStr">
        <is>
          <t>ÅNGE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33631-2024</t>
        </is>
      </c>
      <c r="B550" s="1" t="n">
        <v>45520</v>
      </c>
      <c r="C550" s="1" t="n">
        <v>45895</v>
      </c>
      <c r="D550" t="inlineStr">
        <is>
          <t>VÄSTERNORRLANDS LÄN</t>
        </is>
      </c>
      <c r="E550" t="inlineStr">
        <is>
          <t>ÅNGE</t>
        </is>
      </c>
      <c r="G550" t="n">
        <v>1.7</v>
      </c>
      <c r="H550" t="n">
        <v>0</v>
      </c>
      <c r="I550" t="n">
        <v>0</v>
      </c>
      <c r="J550" t="n">
        <v>0</v>
      </c>
      <c r="K550" t="n">
        <v>0</v>
      </c>
      <c r="L550" t="n">
        <v>0</v>
      </c>
      <c r="M550" t="n">
        <v>0</v>
      </c>
      <c r="N550" t="n">
        <v>0</v>
      </c>
      <c r="O550" t="n">
        <v>0</v>
      </c>
      <c r="P550" t="n">
        <v>0</v>
      </c>
      <c r="Q550" t="n">
        <v>0</v>
      </c>
      <c r="R550" s="2" t="inlineStr"/>
    </row>
    <row r="551" ht="15" customHeight="1">
      <c r="A551" t="inlineStr">
        <is>
          <t>A 49487-2024</t>
        </is>
      </c>
      <c r="B551" s="1" t="n">
        <v>45596.35813657408</v>
      </c>
      <c r="C551" s="1" t="n">
        <v>45895</v>
      </c>
      <c r="D551" t="inlineStr">
        <is>
          <t>VÄSTERNORRLANDS LÄN</t>
        </is>
      </c>
      <c r="E551" t="inlineStr">
        <is>
          <t>ÅNGE</t>
        </is>
      </c>
      <c r="G551" t="n">
        <v>4.3</v>
      </c>
      <c r="H551" t="n">
        <v>0</v>
      </c>
      <c r="I551" t="n">
        <v>0</v>
      </c>
      <c r="J551" t="n">
        <v>0</v>
      </c>
      <c r="K551" t="n">
        <v>0</v>
      </c>
      <c r="L551" t="n">
        <v>0</v>
      </c>
      <c r="M551" t="n">
        <v>0</v>
      </c>
      <c r="N551" t="n">
        <v>0</v>
      </c>
      <c r="O551" t="n">
        <v>0</v>
      </c>
      <c r="P551" t="n">
        <v>0</v>
      </c>
      <c r="Q551" t="n">
        <v>0</v>
      </c>
      <c r="R551" s="2" t="inlineStr"/>
    </row>
    <row r="552" ht="15" customHeight="1">
      <c r="A552" t="inlineStr">
        <is>
          <t>A 44606-2024</t>
        </is>
      </c>
      <c r="B552" s="1" t="n">
        <v>45574.51195601852</v>
      </c>
      <c r="C552" s="1" t="n">
        <v>45895</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44626-2024</t>
        </is>
      </c>
      <c r="B553" s="1" t="n">
        <v>45574.51378472222</v>
      </c>
      <c r="C553" s="1" t="n">
        <v>45895</v>
      </c>
      <c r="D553" t="inlineStr">
        <is>
          <t>VÄSTERNORRLANDS LÄN</t>
        </is>
      </c>
      <c r="E553" t="inlineStr">
        <is>
          <t>ÅNGE</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44876-2024</t>
        </is>
      </c>
      <c r="B554" s="1" t="n">
        <v>45575.34474537037</v>
      </c>
      <c r="C554" s="1" t="n">
        <v>45895</v>
      </c>
      <c r="D554" t="inlineStr">
        <is>
          <t>VÄSTERNORRLANDS LÄN</t>
        </is>
      </c>
      <c r="E554" t="inlineStr">
        <is>
          <t>ÅNGE</t>
        </is>
      </c>
      <c r="F554" t="inlineStr">
        <is>
          <t>SCA</t>
        </is>
      </c>
      <c r="G554" t="n">
        <v>12.4</v>
      </c>
      <c r="H554" t="n">
        <v>0</v>
      </c>
      <c r="I554" t="n">
        <v>0</v>
      </c>
      <c r="J554" t="n">
        <v>0</v>
      </c>
      <c r="K554" t="n">
        <v>0</v>
      </c>
      <c r="L554" t="n">
        <v>0</v>
      </c>
      <c r="M554" t="n">
        <v>0</v>
      </c>
      <c r="N554" t="n">
        <v>0</v>
      </c>
      <c r="O554" t="n">
        <v>0</v>
      </c>
      <c r="P554" t="n">
        <v>0</v>
      </c>
      <c r="Q554" t="n">
        <v>0</v>
      </c>
      <c r="R554" s="2" t="inlineStr"/>
    </row>
    <row r="555" ht="15" customHeight="1">
      <c r="A555" t="inlineStr">
        <is>
          <t>A 39119-2024</t>
        </is>
      </c>
      <c r="B555" s="1" t="n">
        <v>45548.58939814815</v>
      </c>
      <c r="C555" s="1" t="n">
        <v>45895</v>
      </c>
      <c r="D555" t="inlineStr">
        <is>
          <t>VÄSTERNORRLANDS LÄN</t>
        </is>
      </c>
      <c r="E555" t="inlineStr">
        <is>
          <t>ÅNGE</t>
        </is>
      </c>
      <c r="G555" t="n">
        <v>8</v>
      </c>
      <c r="H555" t="n">
        <v>0</v>
      </c>
      <c r="I555" t="n">
        <v>0</v>
      </c>
      <c r="J555" t="n">
        <v>0</v>
      </c>
      <c r="K555" t="n">
        <v>0</v>
      </c>
      <c r="L555" t="n">
        <v>0</v>
      </c>
      <c r="M555" t="n">
        <v>0</v>
      </c>
      <c r="N555" t="n">
        <v>0</v>
      </c>
      <c r="O555" t="n">
        <v>0</v>
      </c>
      <c r="P555" t="n">
        <v>0</v>
      </c>
      <c r="Q555" t="n">
        <v>0</v>
      </c>
      <c r="R555" s="2" t="inlineStr"/>
    </row>
    <row r="556" ht="15" customHeight="1">
      <c r="A556" t="inlineStr">
        <is>
          <t>A 21685-2025</t>
        </is>
      </c>
      <c r="B556" s="1" t="n">
        <v>45783.49050925926</v>
      </c>
      <c r="C556" s="1" t="n">
        <v>45895</v>
      </c>
      <c r="D556" t="inlineStr">
        <is>
          <t>VÄSTERNORRLANDS LÄN</t>
        </is>
      </c>
      <c r="E556" t="inlineStr">
        <is>
          <t>ÅNGE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11088-2024</t>
        </is>
      </c>
      <c r="B557" s="1" t="n">
        <v>45370</v>
      </c>
      <c r="C557" s="1" t="n">
        <v>45895</v>
      </c>
      <c r="D557" t="inlineStr">
        <is>
          <t>VÄSTERNORRLANDS LÄN</t>
        </is>
      </c>
      <c r="E557" t="inlineStr">
        <is>
          <t>ÅNGE</t>
        </is>
      </c>
      <c r="F557" t="inlineStr">
        <is>
          <t>SCA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26012-2024</t>
        </is>
      </c>
      <c r="B558" s="1" t="n">
        <v>45467</v>
      </c>
      <c r="C558" s="1" t="n">
        <v>45895</v>
      </c>
      <c r="D558" t="inlineStr">
        <is>
          <t>VÄSTERNORRLANDS LÄN</t>
        </is>
      </c>
      <c r="E558" t="inlineStr">
        <is>
          <t>ÅNGE</t>
        </is>
      </c>
      <c r="F558" t="inlineStr">
        <is>
          <t>SCA</t>
        </is>
      </c>
      <c r="G558" t="n">
        <v>7.5</v>
      </c>
      <c r="H558" t="n">
        <v>0</v>
      </c>
      <c r="I558" t="n">
        <v>0</v>
      </c>
      <c r="J558" t="n">
        <v>0</v>
      </c>
      <c r="K558" t="n">
        <v>0</v>
      </c>
      <c r="L558" t="n">
        <v>0</v>
      </c>
      <c r="M558" t="n">
        <v>0</v>
      </c>
      <c r="N558" t="n">
        <v>0</v>
      </c>
      <c r="O558" t="n">
        <v>0</v>
      </c>
      <c r="P558" t="n">
        <v>0</v>
      </c>
      <c r="Q558" t="n">
        <v>0</v>
      </c>
      <c r="R558" s="2" t="inlineStr"/>
    </row>
    <row r="559" ht="15" customHeight="1">
      <c r="A559" t="inlineStr">
        <is>
          <t>A 61781-2023</t>
        </is>
      </c>
      <c r="B559" s="1" t="n">
        <v>45265.95708333333</v>
      </c>
      <c r="C559" s="1" t="n">
        <v>45895</v>
      </c>
      <c r="D559" t="inlineStr">
        <is>
          <t>VÄSTERNORRLANDS LÄN</t>
        </is>
      </c>
      <c r="E559" t="inlineStr">
        <is>
          <t>ÅNGE</t>
        </is>
      </c>
      <c r="F559" t="inlineStr">
        <is>
          <t>SCA</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32257-2024</t>
        </is>
      </c>
      <c r="B560" s="1" t="n">
        <v>45511</v>
      </c>
      <c r="C560" s="1" t="n">
        <v>45895</v>
      </c>
      <c r="D560" t="inlineStr">
        <is>
          <t>VÄSTERNORRLANDS LÄN</t>
        </is>
      </c>
      <c r="E560" t="inlineStr">
        <is>
          <t>ÅNGE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30348-2024</t>
        </is>
      </c>
      <c r="B561" s="1" t="n">
        <v>45490.95524305556</v>
      </c>
      <c r="C561" s="1" t="n">
        <v>45895</v>
      </c>
      <c r="D561" t="inlineStr">
        <is>
          <t>VÄSTERNORRLANDS LÄN</t>
        </is>
      </c>
      <c r="E561" t="inlineStr">
        <is>
          <t>ÅNGE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31457-2024</t>
        </is>
      </c>
      <c r="B562" s="1" t="n">
        <v>45505</v>
      </c>
      <c r="C562" s="1" t="n">
        <v>45895</v>
      </c>
      <c r="D562" t="inlineStr">
        <is>
          <t>VÄSTERNORRLANDS LÄN</t>
        </is>
      </c>
      <c r="E562" t="inlineStr">
        <is>
          <t>ÅNGE</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35392-2024</t>
        </is>
      </c>
      <c r="B563" s="1" t="n">
        <v>45531.4025462963</v>
      </c>
      <c r="C563" s="1" t="n">
        <v>45895</v>
      </c>
      <c r="D563" t="inlineStr">
        <is>
          <t>VÄSTERNORRLANDS LÄN</t>
        </is>
      </c>
      <c r="E563" t="inlineStr">
        <is>
          <t>ÅNGE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43066-2022</t>
        </is>
      </c>
      <c r="B564" s="1" t="n">
        <v>44833</v>
      </c>
      <c r="C564" s="1" t="n">
        <v>45895</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57595-2022</t>
        </is>
      </c>
      <c r="B565" s="1" t="n">
        <v>44896.97862268519</v>
      </c>
      <c r="C565" s="1" t="n">
        <v>45895</v>
      </c>
      <c r="D565" t="inlineStr">
        <is>
          <t>VÄSTERNORRLANDS LÄN</t>
        </is>
      </c>
      <c r="E565" t="inlineStr">
        <is>
          <t>ÅNGE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49187-2024</t>
        </is>
      </c>
      <c r="B566" s="1" t="n">
        <v>45595.34490740741</v>
      </c>
      <c r="C566" s="1" t="n">
        <v>45895</v>
      </c>
      <c r="D566" t="inlineStr">
        <is>
          <t>VÄSTERNORRLANDS LÄN</t>
        </is>
      </c>
      <c r="E566" t="inlineStr">
        <is>
          <t>ÅNGE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28873-2024</t>
        </is>
      </c>
      <c r="B567" s="1" t="n">
        <v>45478.94766203704</v>
      </c>
      <c r="C567" s="1" t="n">
        <v>45895</v>
      </c>
      <c r="D567" t="inlineStr">
        <is>
          <t>VÄSTERNORRLANDS LÄN</t>
        </is>
      </c>
      <c r="E567" t="inlineStr">
        <is>
          <t>ÅNGE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31563-2024</t>
        </is>
      </c>
      <c r="B568" s="1" t="n">
        <v>45505</v>
      </c>
      <c r="C568" s="1" t="n">
        <v>45895</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31492-2024</t>
        </is>
      </c>
      <c r="B569" s="1" t="n">
        <v>45505</v>
      </c>
      <c r="C569" s="1" t="n">
        <v>45895</v>
      </c>
      <c r="D569" t="inlineStr">
        <is>
          <t>VÄSTERNORRLANDS LÄN</t>
        </is>
      </c>
      <c r="E569" t="inlineStr">
        <is>
          <t>ÅNGE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24232-2024</t>
        </is>
      </c>
      <c r="B570" s="1" t="n">
        <v>45457.34686342593</v>
      </c>
      <c r="C570" s="1" t="n">
        <v>45895</v>
      </c>
      <c r="D570" t="inlineStr">
        <is>
          <t>VÄSTERNORRLANDS LÄN</t>
        </is>
      </c>
      <c r="E570" t="inlineStr">
        <is>
          <t>ÅNGE</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33783-2024</t>
        </is>
      </c>
      <c r="B571" s="1" t="n">
        <v>45520</v>
      </c>
      <c r="C571" s="1" t="n">
        <v>45895</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34705-2023</t>
        </is>
      </c>
      <c r="B572" s="1" t="n">
        <v>45140.96452546296</v>
      </c>
      <c r="C572" s="1" t="n">
        <v>45895</v>
      </c>
      <c r="D572" t="inlineStr">
        <is>
          <t>VÄSTERNORRLANDS LÄN</t>
        </is>
      </c>
      <c r="E572" t="inlineStr">
        <is>
          <t>ÅNGE</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34750-2023</t>
        </is>
      </c>
      <c r="B573" s="1" t="n">
        <v>45139</v>
      </c>
      <c r="C573" s="1" t="n">
        <v>45895</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38800-2024</t>
        </is>
      </c>
      <c r="B574" s="1" t="n">
        <v>45547</v>
      </c>
      <c r="C574" s="1" t="n">
        <v>45895</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69790-2021</t>
        </is>
      </c>
      <c r="B575" s="1" t="n">
        <v>44532.605625</v>
      </c>
      <c r="C575" s="1" t="n">
        <v>45895</v>
      </c>
      <c r="D575" t="inlineStr">
        <is>
          <t>VÄSTERNORRLANDS LÄN</t>
        </is>
      </c>
      <c r="E575" t="inlineStr">
        <is>
          <t>ÅNGE</t>
        </is>
      </c>
      <c r="G575" t="n">
        <v>1.9</v>
      </c>
      <c r="H575" t="n">
        <v>0</v>
      </c>
      <c r="I575" t="n">
        <v>0</v>
      </c>
      <c r="J575" t="n">
        <v>0</v>
      </c>
      <c r="K575" t="n">
        <v>0</v>
      </c>
      <c r="L575" t="n">
        <v>0</v>
      </c>
      <c r="M575" t="n">
        <v>0</v>
      </c>
      <c r="N575" t="n">
        <v>0</v>
      </c>
      <c r="O575" t="n">
        <v>0</v>
      </c>
      <c r="P575" t="n">
        <v>0</v>
      </c>
      <c r="Q575" t="n">
        <v>0</v>
      </c>
      <c r="R575" s="2" t="inlineStr"/>
    </row>
    <row r="576" ht="15" customHeight="1">
      <c r="A576" t="inlineStr">
        <is>
          <t>A 45128-2022</t>
        </is>
      </c>
      <c r="B576" s="1" t="n">
        <v>44844.3146412037</v>
      </c>
      <c r="C576" s="1" t="n">
        <v>45895</v>
      </c>
      <c r="D576" t="inlineStr">
        <is>
          <t>VÄSTERNORRLANDS LÄN</t>
        </is>
      </c>
      <c r="E576" t="inlineStr">
        <is>
          <t>ÅNGE</t>
        </is>
      </c>
      <c r="G576" t="n">
        <v>4.1</v>
      </c>
      <c r="H576" t="n">
        <v>0</v>
      </c>
      <c r="I576" t="n">
        <v>0</v>
      </c>
      <c r="J576" t="n">
        <v>0</v>
      </c>
      <c r="K576" t="n">
        <v>0</v>
      </c>
      <c r="L576" t="n">
        <v>0</v>
      </c>
      <c r="M576" t="n">
        <v>0</v>
      </c>
      <c r="N576" t="n">
        <v>0</v>
      </c>
      <c r="O576" t="n">
        <v>0</v>
      </c>
      <c r="P576" t="n">
        <v>0</v>
      </c>
      <c r="Q576" t="n">
        <v>0</v>
      </c>
      <c r="R576" s="2" t="inlineStr"/>
    </row>
    <row r="577" ht="15" customHeight="1">
      <c r="A577" t="inlineStr">
        <is>
          <t>A 58613-2023</t>
        </is>
      </c>
      <c r="B577" s="1" t="n">
        <v>45251.50709490741</v>
      </c>
      <c r="C577" s="1" t="n">
        <v>45895</v>
      </c>
      <c r="D577" t="inlineStr">
        <is>
          <t>VÄSTERNORRLANDS LÄN</t>
        </is>
      </c>
      <c r="E577" t="inlineStr">
        <is>
          <t>ÅNGE</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3330-2025</t>
        </is>
      </c>
      <c r="B578" s="1" t="n">
        <v>45679.70041666667</v>
      </c>
      <c r="C578" s="1" t="n">
        <v>45895</v>
      </c>
      <c r="D578" t="inlineStr">
        <is>
          <t>VÄSTERNORRLANDS LÄN</t>
        </is>
      </c>
      <c r="E578" t="inlineStr">
        <is>
          <t>ÅNGE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26951-2024</t>
        </is>
      </c>
      <c r="B579" s="1" t="n">
        <v>45470.96991898148</v>
      </c>
      <c r="C579" s="1" t="n">
        <v>45895</v>
      </c>
      <c r="D579" t="inlineStr">
        <is>
          <t>VÄSTERNORRLANDS LÄN</t>
        </is>
      </c>
      <c r="E579" t="inlineStr">
        <is>
          <t>ÅNGE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26952-2024</t>
        </is>
      </c>
      <c r="B580" s="1" t="n">
        <v>45470</v>
      </c>
      <c r="C580" s="1" t="n">
        <v>45895</v>
      </c>
      <c r="D580" t="inlineStr">
        <is>
          <t>VÄSTERNORRLANDS LÄN</t>
        </is>
      </c>
      <c r="E580" t="inlineStr">
        <is>
          <t>ÅNGE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27321-2024</t>
        </is>
      </c>
      <c r="B581" s="1" t="n">
        <v>45471</v>
      </c>
      <c r="C581" s="1" t="n">
        <v>45895</v>
      </c>
      <c r="D581" t="inlineStr">
        <is>
          <t>VÄSTERNORRLANDS LÄN</t>
        </is>
      </c>
      <c r="E581" t="inlineStr">
        <is>
          <t>ÅNGE</t>
        </is>
      </c>
      <c r="F581" t="inlineStr">
        <is>
          <t>SCA</t>
        </is>
      </c>
      <c r="G581" t="n">
        <v>14.1</v>
      </c>
      <c r="H581" t="n">
        <v>0</v>
      </c>
      <c r="I581" t="n">
        <v>0</v>
      </c>
      <c r="J581" t="n">
        <v>0</v>
      </c>
      <c r="K581" t="n">
        <v>0</v>
      </c>
      <c r="L581" t="n">
        <v>0</v>
      </c>
      <c r="M581" t="n">
        <v>0</v>
      </c>
      <c r="N581" t="n">
        <v>0</v>
      </c>
      <c r="O581" t="n">
        <v>0</v>
      </c>
      <c r="P581" t="n">
        <v>0</v>
      </c>
      <c r="Q581" t="n">
        <v>0</v>
      </c>
      <c r="R581" s="2" t="inlineStr"/>
    </row>
    <row r="582" ht="15" customHeight="1">
      <c r="A582" t="inlineStr">
        <is>
          <t>A 37382-2021</t>
        </is>
      </c>
      <c r="B582" s="1" t="n">
        <v>44397</v>
      </c>
      <c r="C582" s="1" t="n">
        <v>45895</v>
      </c>
      <c r="D582" t="inlineStr">
        <is>
          <t>VÄSTERNORRLANDS LÄN</t>
        </is>
      </c>
      <c r="E582" t="inlineStr">
        <is>
          <t>ÅNGE</t>
        </is>
      </c>
      <c r="G582" t="n">
        <v>2.4</v>
      </c>
      <c r="H582" t="n">
        <v>0</v>
      </c>
      <c r="I582" t="n">
        <v>0</v>
      </c>
      <c r="J582" t="n">
        <v>0</v>
      </c>
      <c r="K582" t="n">
        <v>0</v>
      </c>
      <c r="L582" t="n">
        <v>0</v>
      </c>
      <c r="M582" t="n">
        <v>0</v>
      </c>
      <c r="N582" t="n">
        <v>0</v>
      </c>
      <c r="O582" t="n">
        <v>0</v>
      </c>
      <c r="P582" t="n">
        <v>0</v>
      </c>
      <c r="Q582" t="n">
        <v>0</v>
      </c>
      <c r="R582" s="2" t="inlineStr"/>
    </row>
    <row r="583" ht="15" customHeight="1">
      <c r="A583" t="inlineStr">
        <is>
          <t>A 27668-2024</t>
        </is>
      </c>
      <c r="B583" s="1" t="n">
        <v>45474.95435185185</v>
      </c>
      <c r="C583" s="1" t="n">
        <v>45895</v>
      </c>
      <c r="D583" t="inlineStr">
        <is>
          <t>VÄSTERNORRLANDS LÄN</t>
        </is>
      </c>
      <c r="E583" t="inlineStr">
        <is>
          <t>ÅNGE</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31229-2023</t>
        </is>
      </c>
      <c r="B584" s="1" t="n">
        <v>45114</v>
      </c>
      <c r="C584" s="1" t="n">
        <v>45895</v>
      </c>
      <c r="D584" t="inlineStr">
        <is>
          <t>VÄSTERNORRLANDS LÄN</t>
        </is>
      </c>
      <c r="E584" t="inlineStr">
        <is>
          <t>ÅNGE</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1116-2023</t>
        </is>
      </c>
      <c r="B585" s="1" t="n">
        <v>44929</v>
      </c>
      <c r="C585" s="1" t="n">
        <v>45895</v>
      </c>
      <c r="D585" t="inlineStr">
        <is>
          <t>VÄSTERNORRLANDS LÄN</t>
        </is>
      </c>
      <c r="E585" t="inlineStr">
        <is>
          <t>ÅNGE</t>
        </is>
      </c>
      <c r="G585" t="n">
        <v>17.2</v>
      </c>
      <c r="H585" t="n">
        <v>0</v>
      </c>
      <c r="I585" t="n">
        <v>0</v>
      </c>
      <c r="J585" t="n">
        <v>0</v>
      </c>
      <c r="K585" t="n">
        <v>0</v>
      </c>
      <c r="L585" t="n">
        <v>0</v>
      </c>
      <c r="M585" t="n">
        <v>0</v>
      </c>
      <c r="N585" t="n">
        <v>0</v>
      </c>
      <c r="O585" t="n">
        <v>0</v>
      </c>
      <c r="P585" t="n">
        <v>0</v>
      </c>
      <c r="Q585" t="n">
        <v>0</v>
      </c>
      <c r="R585" s="2" t="inlineStr"/>
    </row>
    <row r="586" ht="15" customHeight="1">
      <c r="A586" t="inlineStr">
        <is>
          <t>A 20880-2025</t>
        </is>
      </c>
      <c r="B586" s="1" t="n">
        <v>45777</v>
      </c>
      <c r="C586" s="1" t="n">
        <v>45895</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22219-2025</t>
        </is>
      </c>
      <c r="B587" s="1" t="n">
        <v>45785.65849537037</v>
      </c>
      <c r="C587" s="1" t="n">
        <v>45895</v>
      </c>
      <c r="D587" t="inlineStr">
        <is>
          <t>VÄSTERNORRLANDS LÄN</t>
        </is>
      </c>
      <c r="E587" t="inlineStr">
        <is>
          <t>ÅNGE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22206-2025</t>
        </is>
      </c>
      <c r="B588" s="1" t="n">
        <v>45785.65699074074</v>
      </c>
      <c r="C588" s="1" t="n">
        <v>45895</v>
      </c>
      <c r="D588" t="inlineStr">
        <is>
          <t>VÄSTERNORRLANDS LÄN</t>
        </is>
      </c>
      <c r="E588" t="inlineStr">
        <is>
          <t>ÅNGE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48690-2024</t>
        </is>
      </c>
      <c r="B589" s="1" t="n">
        <v>45593.50704861111</v>
      </c>
      <c r="C589" s="1" t="n">
        <v>45895</v>
      </c>
      <c r="D589" t="inlineStr">
        <is>
          <t>VÄSTERNORRLANDS LÄN</t>
        </is>
      </c>
      <c r="E589" t="inlineStr">
        <is>
          <t>ÅNGE</t>
        </is>
      </c>
      <c r="G589" t="n">
        <v>5</v>
      </c>
      <c r="H589" t="n">
        <v>0</v>
      </c>
      <c r="I589" t="n">
        <v>0</v>
      </c>
      <c r="J589" t="n">
        <v>0</v>
      </c>
      <c r="K589" t="n">
        <v>0</v>
      </c>
      <c r="L589" t="n">
        <v>0</v>
      </c>
      <c r="M589" t="n">
        <v>0</v>
      </c>
      <c r="N589" t="n">
        <v>0</v>
      </c>
      <c r="O589" t="n">
        <v>0</v>
      </c>
      <c r="P589" t="n">
        <v>0</v>
      </c>
      <c r="Q589" t="n">
        <v>0</v>
      </c>
      <c r="R589" s="2" t="inlineStr"/>
    </row>
    <row r="590" ht="15" customHeight="1">
      <c r="A590" t="inlineStr">
        <is>
          <t>A 26957-2024</t>
        </is>
      </c>
      <c r="B590" s="1" t="n">
        <v>45470</v>
      </c>
      <c r="C590" s="1" t="n">
        <v>45895</v>
      </c>
      <c r="D590" t="inlineStr">
        <is>
          <t>VÄSTERNORRLANDS LÄN</t>
        </is>
      </c>
      <c r="E590" t="inlineStr">
        <is>
          <t>ÅNGE</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26640-2024</t>
        </is>
      </c>
      <c r="B591" s="1" t="n">
        <v>45469.92831018518</v>
      </c>
      <c r="C591" s="1" t="n">
        <v>45895</v>
      </c>
      <c r="D591" t="inlineStr">
        <is>
          <t>VÄSTERNORRLANDS LÄN</t>
        </is>
      </c>
      <c r="E591" t="inlineStr">
        <is>
          <t>ÅNGE</t>
        </is>
      </c>
      <c r="G591" t="n">
        <v>9.9</v>
      </c>
      <c r="H591" t="n">
        <v>0</v>
      </c>
      <c r="I591" t="n">
        <v>0</v>
      </c>
      <c r="J591" t="n">
        <v>0</v>
      </c>
      <c r="K591" t="n">
        <v>0</v>
      </c>
      <c r="L591" t="n">
        <v>0</v>
      </c>
      <c r="M591" t="n">
        <v>0</v>
      </c>
      <c r="N591" t="n">
        <v>0</v>
      </c>
      <c r="O591" t="n">
        <v>0</v>
      </c>
      <c r="P591" t="n">
        <v>0</v>
      </c>
      <c r="Q591" t="n">
        <v>0</v>
      </c>
      <c r="R591" s="2" t="inlineStr"/>
    </row>
    <row r="592" ht="15" customHeight="1">
      <c r="A592" t="inlineStr">
        <is>
          <t>A 19342-2024</t>
        </is>
      </c>
      <c r="B592" s="1" t="n">
        <v>45428</v>
      </c>
      <c r="C592" s="1" t="n">
        <v>45895</v>
      </c>
      <c r="D592" t="inlineStr">
        <is>
          <t>VÄSTERNORRLANDS LÄN</t>
        </is>
      </c>
      <c r="E592" t="inlineStr">
        <is>
          <t>ÅNGE</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22489-2025</t>
        </is>
      </c>
      <c r="B593" s="1" t="n">
        <v>45786.64946759259</v>
      </c>
      <c r="C593" s="1" t="n">
        <v>45895</v>
      </c>
      <c r="D593" t="inlineStr">
        <is>
          <t>VÄSTERNORRLANDS LÄN</t>
        </is>
      </c>
      <c r="E593" t="inlineStr">
        <is>
          <t>ÅNGE</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25035-2023</t>
        </is>
      </c>
      <c r="B594" s="1" t="n">
        <v>45085</v>
      </c>
      <c r="C594" s="1" t="n">
        <v>45895</v>
      </c>
      <c r="D594" t="inlineStr">
        <is>
          <t>VÄSTERNORRLANDS LÄN</t>
        </is>
      </c>
      <c r="E594" t="inlineStr">
        <is>
          <t>ÅNGE</t>
        </is>
      </c>
      <c r="G594" t="n">
        <v>0.3</v>
      </c>
      <c r="H594" t="n">
        <v>0</v>
      </c>
      <c r="I594" t="n">
        <v>0</v>
      </c>
      <c r="J594" t="n">
        <v>0</v>
      </c>
      <c r="K594" t="n">
        <v>0</v>
      </c>
      <c r="L594" t="n">
        <v>0</v>
      </c>
      <c r="M594" t="n">
        <v>0</v>
      </c>
      <c r="N594" t="n">
        <v>0</v>
      </c>
      <c r="O594" t="n">
        <v>0</v>
      </c>
      <c r="P594" t="n">
        <v>0</v>
      </c>
      <c r="Q594" t="n">
        <v>0</v>
      </c>
      <c r="R594" s="2" t="inlineStr"/>
    </row>
    <row r="595" ht="15" customHeight="1">
      <c r="A595" t="inlineStr">
        <is>
          <t>A 40755-2023</t>
        </is>
      </c>
      <c r="B595" s="1" t="n">
        <v>45170</v>
      </c>
      <c r="C595" s="1" t="n">
        <v>45895</v>
      </c>
      <c r="D595" t="inlineStr">
        <is>
          <t>VÄSTERNORRLANDS LÄN</t>
        </is>
      </c>
      <c r="E595" t="inlineStr">
        <is>
          <t>ÅNGE</t>
        </is>
      </c>
      <c r="G595" t="n">
        <v>3.6</v>
      </c>
      <c r="H595" t="n">
        <v>0</v>
      </c>
      <c r="I595" t="n">
        <v>0</v>
      </c>
      <c r="J595" t="n">
        <v>0</v>
      </c>
      <c r="K595" t="n">
        <v>0</v>
      </c>
      <c r="L595" t="n">
        <v>0</v>
      </c>
      <c r="M595" t="n">
        <v>0</v>
      </c>
      <c r="N595" t="n">
        <v>0</v>
      </c>
      <c r="O595" t="n">
        <v>0</v>
      </c>
      <c r="P595" t="n">
        <v>0</v>
      </c>
      <c r="Q595" t="n">
        <v>0</v>
      </c>
      <c r="R595" s="2" t="inlineStr"/>
    </row>
    <row r="596" ht="15" customHeight="1">
      <c r="A596" t="inlineStr">
        <is>
          <t>A 41284-2024</t>
        </is>
      </c>
      <c r="B596" s="1" t="n">
        <v>45559.59520833333</v>
      </c>
      <c r="C596" s="1" t="n">
        <v>45895</v>
      </c>
      <c r="D596" t="inlineStr">
        <is>
          <t>VÄSTERNORRLANDS LÄN</t>
        </is>
      </c>
      <c r="E596" t="inlineStr">
        <is>
          <t>ÅNGE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32901-2023</t>
        </is>
      </c>
      <c r="B597" s="1" t="n">
        <v>45124.95063657407</v>
      </c>
      <c r="C597" s="1" t="n">
        <v>45895</v>
      </c>
      <c r="D597" t="inlineStr">
        <is>
          <t>VÄSTERNORRLANDS LÄN</t>
        </is>
      </c>
      <c r="E597" t="inlineStr">
        <is>
          <t>ÅNGE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16903-2024</t>
        </is>
      </c>
      <c r="B598" s="1" t="n">
        <v>45411.63106481481</v>
      </c>
      <c r="C598" s="1" t="n">
        <v>45895</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16915-2024</t>
        </is>
      </c>
      <c r="B599" s="1" t="n">
        <v>45411.65185185185</v>
      </c>
      <c r="C599" s="1" t="n">
        <v>45895</v>
      </c>
      <c r="D599" t="inlineStr">
        <is>
          <t>VÄSTERNORRLANDS LÄN</t>
        </is>
      </c>
      <c r="E599" t="inlineStr">
        <is>
          <t>ÅNGE</t>
        </is>
      </c>
      <c r="G599" t="n">
        <v>2.1</v>
      </c>
      <c r="H599" t="n">
        <v>0</v>
      </c>
      <c r="I599" t="n">
        <v>0</v>
      </c>
      <c r="J599" t="n">
        <v>0</v>
      </c>
      <c r="K599" t="n">
        <v>0</v>
      </c>
      <c r="L599" t="n">
        <v>0</v>
      </c>
      <c r="M599" t="n">
        <v>0</v>
      </c>
      <c r="N599" t="n">
        <v>0</v>
      </c>
      <c r="O599" t="n">
        <v>0</v>
      </c>
      <c r="P599" t="n">
        <v>0</v>
      </c>
      <c r="Q599" t="n">
        <v>0</v>
      </c>
      <c r="R599" s="2" t="inlineStr"/>
    </row>
    <row r="600" ht="15" customHeight="1">
      <c r="A600" t="inlineStr">
        <is>
          <t>A 5613-2024</t>
        </is>
      </c>
      <c r="B600" s="1" t="n">
        <v>45334</v>
      </c>
      <c r="C600" s="1" t="n">
        <v>45895</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22549-2025</t>
        </is>
      </c>
      <c r="B601" s="1" t="n">
        <v>45788.48113425926</v>
      </c>
      <c r="C601" s="1" t="n">
        <v>45895</v>
      </c>
      <c r="D601" t="inlineStr">
        <is>
          <t>VÄSTERNORRLANDS LÄN</t>
        </is>
      </c>
      <c r="E601" t="inlineStr">
        <is>
          <t>ÅNGE</t>
        </is>
      </c>
      <c r="G601" t="n">
        <v>2.6</v>
      </c>
      <c r="H601" t="n">
        <v>0</v>
      </c>
      <c r="I601" t="n">
        <v>0</v>
      </c>
      <c r="J601" t="n">
        <v>0</v>
      </c>
      <c r="K601" t="n">
        <v>0</v>
      </c>
      <c r="L601" t="n">
        <v>0</v>
      </c>
      <c r="M601" t="n">
        <v>0</v>
      </c>
      <c r="N601" t="n">
        <v>0</v>
      </c>
      <c r="O601" t="n">
        <v>0</v>
      </c>
      <c r="P601" t="n">
        <v>0</v>
      </c>
      <c r="Q601" t="n">
        <v>0</v>
      </c>
      <c r="R601" s="2" t="inlineStr"/>
    </row>
    <row r="602" ht="15" customHeight="1">
      <c r="A602" t="inlineStr">
        <is>
          <t>A 54456-2024</t>
        </is>
      </c>
      <c r="B602" s="1" t="n">
        <v>45617.53160879629</v>
      </c>
      <c r="C602" s="1" t="n">
        <v>45895</v>
      </c>
      <c r="D602" t="inlineStr">
        <is>
          <t>VÄSTERNORRLANDS LÄN</t>
        </is>
      </c>
      <c r="E602" t="inlineStr">
        <is>
          <t>ÅNGE</t>
        </is>
      </c>
      <c r="F602" t="inlineStr">
        <is>
          <t>SCA</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25311-2023</t>
        </is>
      </c>
      <c r="B603" s="1" t="n">
        <v>45086.93869212963</v>
      </c>
      <c r="C603" s="1" t="n">
        <v>45895</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4904-2024</t>
        </is>
      </c>
      <c r="B604" s="1" t="n">
        <v>45329.47856481482</v>
      </c>
      <c r="C604" s="1" t="n">
        <v>45895</v>
      </c>
      <c r="D604" t="inlineStr">
        <is>
          <t>VÄSTERNORRLANDS LÄN</t>
        </is>
      </c>
      <c r="E604" t="inlineStr">
        <is>
          <t>ÅNGE</t>
        </is>
      </c>
      <c r="G604" t="n">
        <v>3.5</v>
      </c>
      <c r="H604" t="n">
        <v>0</v>
      </c>
      <c r="I604" t="n">
        <v>0</v>
      </c>
      <c r="J604" t="n">
        <v>0</v>
      </c>
      <c r="K604" t="n">
        <v>0</v>
      </c>
      <c r="L604" t="n">
        <v>0</v>
      </c>
      <c r="M604" t="n">
        <v>0</v>
      </c>
      <c r="N604" t="n">
        <v>0</v>
      </c>
      <c r="O604" t="n">
        <v>0</v>
      </c>
      <c r="P604" t="n">
        <v>0</v>
      </c>
      <c r="Q604" t="n">
        <v>0</v>
      </c>
      <c r="R604" s="2" t="inlineStr"/>
    </row>
    <row r="605" ht="15" customHeight="1">
      <c r="A605" t="inlineStr">
        <is>
          <t>A 29462-2024</t>
        </is>
      </c>
      <c r="B605" s="1" t="n">
        <v>45483.96979166667</v>
      </c>
      <c r="C605" s="1" t="n">
        <v>45895</v>
      </c>
      <c r="D605" t="inlineStr">
        <is>
          <t>VÄSTERNORRLANDS LÄN</t>
        </is>
      </c>
      <c r="E605" t="inlineStr">
        <is>
          <t>ÅNGE</t>
        </is>
      </c>
      <c r="F605" t="inlineStr">
        <is>
          <t>SCA</t>
        </is>
      </c>
      <c r="G605" t="n">
        <v>8.4</v>
      </c>
      <c r="H605" t="n">
        <v>0</v>
      </c>
      <c r="I605" t="n">
        <v>0</v>
      </c>
      <c r="J605" t="n">
        <v>0</v>
      </c>
      <c r="K605" t="n">
        <v>0</v>
      </c>
      <c r="L605" t="n">
        <v>0</v>
      </c>
      <c r="M605" t="n">
        <v>0</v>
      </c>
      <c r="N605" t="n">
        <v>0</v>
      </c>
      <c r="O605" t="n">
        <v>0</v>
      </c>
      <c r="P605" t="n">
        <v>0</v>
      </c>
      <c r="Q605" t="n">
        <v>0</v>
      </c>
      <c r="R605" s="2" t="inlineStr"/>
    </row>
    <row r="606" ht="15" customHeight="1">
      <c r="A606" t="inlineStr">
        <is>
          <t>A 22926-2025</t>
        </is>
      </c>
      <c r="B606" s="1" t="n">
        <v>45790</v>
      </c>
      <c r="C606" s="1" t="n">
        <v>45895</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22928-2025</t>
        </is>
      </c>
      <c r="B607" s="1" t="n">
        <v>45790.44825231482</v>
      </c>
      <c r="C607" s="1" t="n">
        <v>45895</v>
      </c>
      <c r="D607" t="inlineStr">
        <is>
          <t>VÄSTERNORRLANDS LÄN</t>
        </is>
      </c>
      <c r="E607" t="inlineStr">
        <is>
          <t>ÅNGE</t>
        </is>
      </c>
      <c r="F607" t="inlineStr">
        <is>
          <t>SCA</t>
        </is>
      </c>
      <c r="G607" t="n">
        <v>5.7</v>
      </c>
      <c r="H607" t="n">
        <v>0</v>
      </c>
      <c r="I607" t="n">
        <v>0</v>
      </c>
      <c r="J607" t="n">
        <v>0</v>
      </c>
      <c r="K607" t="n">
        <v>0</v>
      </c>
      <c r="L607" t="n">
        <v>0</v>
      </c>
      <c r="M607" t="n">
        <v>0</v>
      </c>
      <c r="N607" t="n">
        <v>0</v>
      </c>
      <c r="O607" t="n">
        <v>0</v>
      </c>
      <c r="P607" t="n">
        <v>0</v>
      </c>
      <c r="Q607" t="n">
        <v>0</v>
      </c>
      <c r="R607" s="2" t="inlineStr"/>
    </row>
    <row r="608" ht="15" customHeight="1">
      <c r="A608" t="inlineStr">
        <is>
          <t>A 44178-2023</t>
        </is>
      </c>
      <c r="B608" s="1" t="n">
        <v>45183</v>
      </c>
      <c r="C608" s="1" t="n">
        <v>45895</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8648-2025</t>
        </is>
      </c>
      <c r="B609" s="1" t="n">
        <v>45712.34501157407</v>
      </c>
      <c r="C609" s="1" t="n">
        <v>45895</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27952-2024</t>
        </is>
      </c>
      <c r="B610" s="1" t="n">
        <v>45476.33063657407</v>
      </c>
      <c r="C610" s="1" t="n">
        <v>45895</v>
      </c>
      <c r="D610" t="inlineStr">
        <is>
          <t>VÄSTERNORRLANDS LÄN</t>
        </is>
      </c>
      <c r="E610" t="inlineStr">
        <is>
          <t>ÅNGE</t>
        </is>
      </c>
      <c r="G610" t="n">
        <v>12.2</v>
      </c>
      <c r="H610" t="n">
        <v>0</v>
      </c>
      <c r="I610" t="n">
        <v>0</v>
      </c>
      <c r="J610" t="n">
        <v>0</v>
      </c>
      <c r="K610" t="n">
        <v>0</v>
      </c>
      <c r="L610" t="n">
        <v>0</v>
      </c>
      <c r="M610" t="n">
        <v>0</v>
      </c>
      <c r="N610" t="n">
        <v>0</v>
      </c>
      <c r="O610" t="n">
        <v>0</v>
      </c>
      <c r="P610" t="n">
        <v>0</v>
      </c>
      <c r="Q610" t="n">
        <v>0</v>
      </c>
      <c r="R610" s="2" t="inlineStr"/>
    </row>
    <row r="611" ht="15" customHeight="1">
      <c r="A611" t="inlineStr">
        <is>
          <t>A 32439-2024</t>
        </is>
      </c>
      <c r="B611" s="1" t="n">
        <v>45512</v>
      </c>
      <c r="C611" s="1" t="n">
        <v>45895</v>
      </c>
      <c r="D611" t="inlineStr">
        <is>
          <t>VÄSTERNORRLANDS LÄN</t>
        </is>
      </c>
      <c r="E611" t="inlineStr">
        <is>
          <t>ÅNGE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51054-2024</t>
        </is>
      </c>
      <c r="B612" s="1" t="n">
        <v>45603</v>
      </c>
      <c r="C612" s="1" t="n">
        <v>45895</v>
      </c>
      <c r="D612" t="inlineStr">
        <is>
          <t>VÄSTERNORRLANDS LÄN</t>
        </is>
      </c>
      <c r="E612" t="inlineStr">
        <is>
          <t>ÅNGE</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60363-2024</t>
        </is>
      </c>
      <c r="B613" s="1" t="n">
        <v>45643</v>
      </c>
      <c r="C613" s="1" t="n">
        <v>45895</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51070-2024</t>
        </is>
      </c>
      <c r="B614" s="1" t="n">
        <v>45603</v>
      </c>
      <c r="C614" s="1" t="n">
        <v>45895</v>
      </c>
      <c r="D614" t="inlineStr">
        <is>
          <t>VÄSTERNORRLANDS LÄN</t>
        </is>
      </c>
      <c r="E614" t="inlineStr">
        <is>
          <t>ÅNGE</t>
        </is>
      </c>
      <c r="G614" t="n">
        <v>11.1</v>
      </c>
      <c r="H614" t="n">
        <v>0</v>
      </c>
      <c r="I614" t="n">
        <v>0</v>
      </c>
      <c r="J614" t="n">
        <v>0</v>
      </c>
      <c r="K614" t="n">
        <v>0</v>
      </c>
      <c r="L614" t="n">
        <v>0</v>
      </c>
      <c r="M614" t="n">
        <v>0</v>
      </c>
      <c r="N614" t="n">
        <v>0</v>
      </c>
      <c r="O614" t="n">
        <v>0</v>
      </c>
      <c r="P614" t="n">
        <v>0</v>
      </c>
      <c r="Q614" t="n">
        <v>0</v>
      </c>
      <c r="R614" s="2" t="inlineStr"/>
    </row>
    <row r="615" ht="15" customHeight="1">
      <c r="A615" t="inlineStr">
        <is>
          <t>A 63216-2023</t>
        </is>
      </c>
      <c r="B615" s="1" t="n">
        <v>45273.62721064815</v>
      </c>
      <c r="C615" s="1" t="n">
        <v>45895</v>
      </c>
      <c r="D615" t="inlineStr">
        <is>
          <t>VÄSTERNORRLANDS LÄN</t>
        </is>
      </c>
      <c r="E615" t="inlineStr">
        <is>
          <t>ÅNGE</t>
        </is>
      </c>
      <c r="F615" t="inlineStr">
        <is>
          <t>Holmen skog AB</t>
        </is>
      </c>
      <c r="G615" t="n">
        <v>2.9</v>
      </c>
      <c r="H615" t="n">
        <v>0</v>
      </c>
      <c r="I615" t="n">
        <v>0</v>
      </c>
      <c r="J615" t="n">
        <v>0</v>
      </c>
      <c r="K615" t="n">
        <v>0</v>
      </c>
      <c r="L615" t="n">
        <v>0</v>
      </c>
      <c r="M615" t="n">
        <v>0</v>
      </c>
      <c r="N615" t="n">
        <v>0</v>
      </c>
      <c r="O615" t="n">
        <v>0</v>
      </c>
      <c r="P615" t="n">
        <v>0</v>
      </c>
      <c r="Q615" t="n">
        <v>0</v>
      </c>
      <c r="R615" s="2" t="inlineStr"/>
    </row>
    <row r="616" ht="15" customHeight="1">
      <c r="A616" t="inlineStr">
        <is>
          <t>A 60514-2024</t>
        </is>
      </c>
      <c r="B616" s="1" t="n">
        <v>45643.67474537037</v>
      </c>
      <c r="C616" s="1" t="n">
        <v>45895</v>
      </c>
      <c r="D616" t="inlineStr">
        <is>
          <t>VÄSTERNORRLANDS LÄN</t>
        </is>
      </c>
      <c r="E616" t="inlineStr">
        <is>
          <t>ÅNGE</t>
        </is>
      </c>
      <c r="G616" t="n">
        <v>2.4</v>
      </c>
      <c r="H616" t="n">
        <v>0</v>
      </c>
      <c r="I616" t="n">
        <v>0</v>
      </c>
      <c r="J616" t="n">
        <v>0</v>
      </c>
      <c r="K616" t="n">
        <v>0</v>
      </c>
      <c r="L616" t="n">
        <v>0</v>
      </c>
      <c r="M616" t="n">
        <v>0</v>
      </c>
      <c r="N616" t="n">
        <v>0</v>
      </c>
      <c r="O616" t="n">
        <v>0</v>
      </c>
      <c r="P616" t="n">
        <v>0</v>
      </c>
      <c r="Q616" t="n">
        <v>0</v>
      </c>
      <c r="R616" s="2" t="inlineStr"/>
    </row>
    <row r="617" ht="15" customHeight="1">
      <c r="A617" t="inlineStr">
        <is>
          <t>A 55197-2022</t>
        </is>
      </c>
      <c r="B617" s="1" t="n">
        <v>44886.93714120371</v>
      </c>
      <c r="C617" s="1" t="n">
        <v>45895</v>
      </c>
      <c r="D617" t="inlineStr">
        <is>
          <t>VÄSTERNORRLANDS LÄN</t>
        </is>
      </c>
      <c r="E617" t="inlineStr">
        <is>
          <t>ÅNGE</t>
        </is>
      </c>
      <c r="G617" t="n">
        <v>1.4</v>
      </c>
      <c r="H617" t="n">
        <v>0</v>
      </c>
      <c r="I617" t="n">
        <v>0</v>
      </c>
      <c r="J617" t="n">
        <v>0</v>
      </c>
      <c r="K617" t="n">
        <v>0</v>
      </c>
      <c r="L617" t="n">
        <v>0</v>
      </c>
      <c r="M617" t="n">
        <v>0</v>
      </c>
      <c r="N617" t="n">
        <v>0</v>
      </c>
      <c r="O617" t="n">
        <v>0</v>
      </c>
      <c r="P617" t="n">
        <v>0</v>
      </c>
      <c r="Q617" t="n">
        <v>0</v>
      </c>
      <c r="R617" s="2" t="inlineStr"/>
    </row>
    <row r="618" ht="15" customHeight="1">
      <c r="A618" t="inlineStr">
        <is>
          <t>A 22791-2025</t>
        </is>
      </c>
      <c r="B618" s="1" t="n">
        <v>45789.65663194445</v>
      </c>
      <c r="C618" s="1" t="n">
        <v>45895</v>
      </c>
      <c r="D618" t="inlineStr">
        <is>
          <t>VÄSTERNORRLANDS LÄN</t>
        </is>
      </c>
      <c r="E618" t="inlineStr">
        <is>
          <t>ÅNGE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52665-2024</t>
        </is>
      </c>
      <c r="B619" s="1" t="n">
        <v>45610.36549768518</v>
      </c>
      <c r="C619" s="1" t="n">
        <v>45895</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50186-2021</t>
        </is>
      </c>
      <c r="B620" s="1" t="n">
        <v>44456</v>
      </c>
      <c r="C620" s="1" t="n">
        <v>45895</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41831-2021</t>
        </is>
      </c>
      <c r="B621" s="1" t="n">
        <v>44425.92212962963</v>
      </c>
      <c r="C621" s="1" t="n">
        <v>45895</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23091-2025</t>
        </is>
      </c>
      <c r="B622" s="1" t="n">
        <v>45791.34456018519</v>
      </c>
      <c r="C622" s="1" t="n">
        <v>45895</v>
      </c>
      <c r="D622" t="inlineStr">
        <is>
          <t>VÄSTERNORRLANDS LÄN</t>
        </is>
      </c>
      <c r="E622" t="inlineStr">
        <is>
          <t>ÅNGE</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57815-2024</t>
        </is>
      </c>
      <c r="B623" s="1" t="n">
        <v>45631.37068287037</v>
      </c>
      <c r="C623" s="1" t="n">
        <v>45895</v>
      </c>
      <c r="D623" t="inlineStr">
        <is>
          <t>VÄSTERNORRLANDS LÄN</t>
        </is>
      </c>
      <c r="E623" t="inlineStr">
        <is>
          <t>ÅNGE</t>
        </is>
      </c>
      <c r="G623" t="n">
        <v>2.6</v>
      </c>
      <c r="H623" t="n">
        <v>0</v>
      </c>
      <c r="I623" t="n">
        <v>0</v>
      </c>
      <c r="J623" t="n">
        <v>0</v>
      </c>
      <c r="K623" t="n">
        <v>0</v>
      </c>
      <c r="L623" t="n">
        <v>0</v>
      </c>
      <c r="M623" t="n">
        <v>0</v>
      </c>
      <c r="N623" t="n">
        <v>0</v>
      </c>
      <c r="O623" t="n">
        <v>0</v>
      </c>
      <c r="P623" t="n">
        <v>0</v>
      </c>
      <c r="Q623" t="n">
        <v>0</v>
      </c>
      <c r="R623" s="2" t="inlineStr"/>
    </row>
    <row r="624" ht="15" customHeight="1">
      <c r="A624" t="inlineStr">
        <is>
          <t>A 6691-2024</t>
        </is>
      </c>
      <c r="B624" s="1" t="n">
        <v>45341</v>
      </c>
      <c r="C624" s="1" t="n">
        <v>45895</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23580-2025</t>
        </is>
      </c>
      <c r="B625" s="1" t="n">
        <v>45792.62555555555</v>
      </c>
      <c r="C625" s="1" t="n">
        <v>45895</v>
      </c>
      <c r="D625" t="inlineStr">
        <is>
          <t>VÄSTERNORRLANDS LÄN</t>
        </is>
      </c>
      <c r="E625" t="inlineStr">
        <is>
          <t>ÅNGE</t>
        </is>
      </c>
      <c r="F625" t="inlineStr">
        <is>
          <t>Kyrkan</t>
        </is>
      </c>
      <c r="G625" t="n">
        <v>2.6</v>
      </c>
      <c r="H625" t="n">
        <v>0</v>
      </c>
      <c r="I625" t="n">
        <v>0</v>
      </c>
      <c r="J625" t="n">
        <v>0</v>
      </c>
      <c r="K625" t="n">
        <v>0</v>
      </c>
      <c r="L625" t="n">
        <v>0</v>
      </c>
      <c r="M625" t="n">
        <v>0</v>
      </c>
      <c r="N625" t="n">
        <v>0</v>
      </c>
      <c r="O625" t="n">
        <v>0</v>
      </c>
      <c r="P625" t="n">
        <v>0</v>
      </c>
      <c r="Q625" t="n">
        <v>0</v>
      </c>
      <c r="R625" s="2" t="inlineStr"/>
    </row>
    <row r="626" ht="15" customHeight="1">
      <c r="A626" t="inlineStr">
        <is>
          <t>A 31864-2024</t>
        </is>
      </c>
      <c r="B626" s="1" t="n">
        <v>45509.74791666667</v>
      </c>
      <c r="C626" s="1" t="n">
        <v>45895</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49532-2024</t>
        </is>
      </c>
      <c r="B627" s="1" t="n">
        <v>45596.41797453703</v>
      </c>
      <c r="C627" s="1" t="n">
        <v>45895</v>
      </c>
      <c r="D627" t="inlineStr">
        <is>
          <t>VÄSTERNORRLANDS LÄN</t>
        </is>
      </c>
      <c r="E627" t="inlineStr">
        <is>
          <t>ÅNGE</t>
        </is>
      </c>
      <c r="G627" t="n">
        <v>3.3</v>
      </c>
      <c r="H627" t="n">
        <v>0</v>
      </c>
      <c r="I627" t="n">
        <v>0</v>
      </c>
      <c r="J627" t="n">
        <v>0</v>
      </c>
      <c r="K627" t="n">
        <v>0</v>
      </c>
      <c r="L627" t="n">
        <v>0</v>
      </c>
      <c r="M627" t="n">
        <v>0</v>
      </c>
      <c r="N627" t="n">
        <v>0</v>
      </c>
      <c r="O627" t="n">
        <v>0</v>
      </c>
      <c r="P627" t="n">
        <v>0</v>
      </c>
      <c r="Q627" t="n">
        <v>0</v>
      </c>
      <c r="R627" s="2" t="inlineStr"/>
    </row>
    <row r="628" ht="15" customHeight="1">
      <c r="A628" t="inlineStr">
        <is>
          <t>A 40790-2023</t>
        </is>
      </c>
      <c r="B628" s="1" t="n">
        <v>45170.95814814815</v>
      </c>
      <c r="C628" s="1" t="n">
        <v>45895</v>
      </c>
      <c r="D628" t="inlineStr">
        <is>
          <t>VÄSTERNORRLANDS LÄN</t>
        </is>
      </c>
      <c r="E628" t="inlineStr">
        <is>
          <t>ÅNGE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12123-2024</t>
        </is>
      </c>
      <c r="B629" s="1" t="n">
        <v>45377</v>
      </c>
      <c r="C629" s="1" t="n">
        <v>45895</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11310-2023</t>
        </is>
      </c>
      <c r="B630" s="1" t="n">
        <v>44993.01190972222</v>
      </c>
      <c r="C630" s="1" t="n">
        <v>45895</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1090-2023</t>
        </is>
      </c>
      <c r="B631" s="1" t="n">
        <v>44929</v>
      </c>
      <c r="C631" s="1" t="n">
        <v>45895</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23343-2025</t>
        </is>
      </c>
      <c r="B632" s="1" t="n">
        <v>45791.65702546296</v>
      </c>
      <c r="C632" s="1" t="n">
        <v>45895</v>
      </c>
      <c r="D632" t="inlineStr">
        <is>
          <t>VÄSTERNORRLANDS LÄN</t>
        </is>
      </c>
      <c r="E632" t="inlineStr">
        <is>
          <t>ÅNGE</t>
        </is>
      </c>
      <c r="F632" t="inlineStr">
        <is>
          <t>SCA</t>
        </is>
      </c>
      <c r="G632" t="n">
        <v>12.6</v>
      </c>
      <c r="H632" t="n">
        <v>0</v>
      </c>
      <c r="I632" t="n">
        <v>0</v>
      </c>
      <c r="J632" t="n">
        <v>0</v>
      </c>
      <c r="K632" t="n">
        <v>0</v>
      </c>
      <c r="L632" t="n">
        <v>0</v>
      </c>
      <c r="M632" t="n">
        <v>0</v>
      </c>
      <c r="N632" t="n">
        <v>0</v>
      </c>
      <c r="O632" t="n">
        <v>0</v>
      </c>
      <c r="P632" t="n">
        <v>0</v>
      </c>
      <c r="Q632" t="n">
        <v>0</v>
      </c>
      <c r="R632" s="2" t="inlineStr"/>
    </row>
    <row r="633" ht="15" customHeight="1">
      <c r="A633" t="inlineStr">
        <is>
          <t>A 23407-2025</t>
        </is>
      </c>
      <c r="B633" s="1" t="n">
        <v>45792.34549768519</v>
      </c>
      <c r="C633" s="1" t="n">
        <v>45895</v>
      </c>
      <c r="D633" t="inlineStr">
        <is>
          <t>VÄSTERNORRLANDS LÄN</t>
        </is>
      </c>
      <c r="E633" t="inlineStr">
        <is>
          <t>ÅNGE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40208-2023</t>
        </is>
      </c>
      <c r="B634" s="1" t="n">
        <v>45168</v>
      </c>
      <c r="C634" s="1" t="n">
        <v>45895</v>
      </c>
      <c r="D634" t="inlineStr">
        <is>
          <t>VÄSTERNORRLANDS LÄN</t>
        </is>
      </c>
      <c r="E634" t="inlineStr">
        <is>
          <t>ÅNGE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23573-2025</t>
        </is>
      </c>
      <c r="B635" s="1" t="n">
        <v>45792.61497685185</v>
      </c>
      <c r="C635" s="1" t="n">
        <v>45895</v>
      </c>
      <c r="D635" t="inlineStr">
        <is>
          <t>VÄSTERNORRLANDS LÄN</t>
        </is>
      </c>
      <c r="E635" t="inlineStr">
        <is>
          <t>ÅNGE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23590-2025</t>
        </is>
      </c>
      <c r="B636" s="1" t="n">
        <v>45792.63627314815</v>
      </c>
      <c r="C636" s="1" t="n">
        <v>45895</v>
      </c>
      <c r="D636" t="inlineStr">
        <is>
          <t>VÄSTERNORRLANDS LÄN</t>
        </is>
      </c>
      <c r="E636" t="inlineStr">
        <is>
          <t>ÅNGE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23495-2025</t>
        </is>
      </c>
      <c r="B637" s="1" t="n">
        <v>45792.46967592592</v>
      </c>
      <c r="C637" s="1" t="n">
        <v>45895</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12806-2025</t>
        </is>
      </c>
      <c r="B638" s="1" t="n">
        <v>45733.61518518518</v>
      </c>
      <c r="C638" s="1" t="n">
        <v>45895</v>
      </c>
      <c r="D638" t="inlineStr">
        <is>
          <t>VÄSTERNORRLANDS LÄN</t>
        </is>
      </c>
      <c r="E638" t="inlineStr">
        <is>
          <t>ÅNGE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20024-2023</t>
        </is>
      </c>
      <c r="B639" s="1" t="n">
        <v>45051</v>
      </c>
      <c r="C639" s="1" t="n">
        <v>45895</v>
      </c>
      <c r="D639" t="inlineStr">
        <is>
          <t>VÄSTERNORRLANDS LÄN</t>
        </is>
      </c>
      <c r="E639" t="inlineStr">
        <is>
          <t>ÅNGE</t>
        </is>
      </c>
      <c r="G639" t="n">
        <v>0.8</v>
      </c>
      <c r="H639" t="n">
        <v>0</v>
      </c>
      <c r="I639" t="n">
        <v>0</v>
      </c>
      <c r="J639" t="n">
        <v>0</v>
      </c>
      <c r="K639" t="n">
        <v>0</v>
      </c>
      <c r="L639" t="n">
        <v>0</v>
      </c>
      <c r="M639" t="n">
        <v>0</v>
      </c>
      <c r="N639" t="n">
        <v>0</v>
      </c>
      <c r="O639" t="n">
        <v>0</v>
      </c>
      <c r="P639" t="n">
        <v>0</v>
      </c>
      <c r="Q639" t="n">
        <v>0</v>
      </c>
      <c r="R639" s="2" t="inlineStr"/>
    </row>
    <row r="640" ht="15" customHeight="1">
      <c r="A640" t="inlineStr">
        <is>
          <t>A 23589-2025</t>
        </is>
      </c>
      <c r="B640" s="1" t="n">
        <v>45792.63618055556</v>
      </c>
      <c r="C640" s="1" t="n">
        <v>45895</v>
      </c>
      <c r="D640" t="inlineStr">
        <is>
          <t>VÄSTERNORRLANDS LÄN</t>
        </is>
      </c>
      <c r="E640" t="inlineStr">
        <is>
          <t>ÅNGE</t>
        </is>
      </c>
      <c r="F640" t="inlineStr">
        <is>
          <t>SCA</t>
        </is>
      </c>
      <c r="G640" t="n">
        <v>10.7</v>
      </c>
      <c r="H640" t="n">
        <v>0</v>
      </c>
      <c r="I640" t="n">
        <v>0</v>
      </c>
      <c r="J640" t="n">
        <v>0</v>
      </c>
      <c r="K640" t="n">
        <v>0</v>
      </c>
      <c r="L640" t="n">
        <v>0</v>
      </c>
      <c r="M640" t="n">
        <v>0</v>
      </c>
      <c r="N640" t="n">
        <v>0</v>
      </c>
      <c r="O640" t="n">
        <v>0</v>
      </c>
      <c r="P640" t="n">
        <v>0</v>
      </c>
      <c r="Q640" t="n">
        <v>0</v>
      </c>
      <c r="R640" s="2" t="inlineStr"/>
    </row>
    <row r="641" ht="15" customHeight="1">
      <c r="A641" t="inlineStr">
        <is>
          <t>A 35426-2024</t>
        </is>
      </c>
      <c r="B641" s="1" t="n">
        <v>45531</v>
      </c>
      <c r="C641" s="1" t="n">
        <v>45895</v>
      </c>
      <c r="D641" t="inlineStr">
        <is>
          <t>VÄSTERNORRLANDS LÄN</t>
        </is>
      </c>
      <c r="E641" t="inlineStr">
        <is>
          <t>ÅNGE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31545-2024</t>
        </is>
      </c>
      <c r="B642" s="1" t="n">
        <v>45505</v>
      </c>
      <c r="C642" s="1" t="n">
        <v>45895</v>
      </c>
      <c r="D642" t="inlineStr">
        <is>
          <t>VÄSTERNORRLANDS LÄN</t>
        </is>
      </c>
      <c r="E642" t="inlineStr">
        <is>
          <t>ÅNGE</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32458-2024</t>
        </is>
      </c>
      <c r="B643" s="1" t="n">
        <v>45512</v>
      </c>
      <c r="C643" s="1" t="n">
        <v>45895</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13164-2022</t>
        </is>
      </c>
      <c r="B644" s="1" t="n">
        <v>44644</v>
      </c>
      <c r="C644" s="1" t="n">
        <v>45895</v>
      </c>
      <c r="D644" t="inlineStr">
        <is>
          <t>VÄSTERNORRLANDS LÄN</t>
        </is>
      </c>
      <c r="E644" t="inlineStr">
        <is>
          <t>ÅNGE</t>
        </is>
      </c>
      <c r="G644" t="n">
        <v>1.8</v>
      </c>
      <c r="H644" t="n">
        <v>0</v>
      </c>
      <c r="I644" t="n">
        <v>0</v>
      </c>
      <c r="J644" t="n">
        <v>0</v>
      </c>
      <c r="K644" t="n">
        <v>0</v>
      </c>
      <c r="L644" t="n">
        <v>0</v>
      </c>
      <c r="M644" t="n">
        <v>0</v>
      </c>
      <c r="N644" t="n">
        <v>0</v>
      </c>
      <c r="O644" t="n">
        <v>0</v>
      </c>
      <c r="P644" t="n">
        <v>0</v>
      </c>
      <c r="Q644" t="n">
        <v>0</v>
      </c>
      <c r="R644" s="2" t="inlineStr"/>
    </row>
    <row r="645" ht="15" customHeight="1">
      <c r="A645" t="inlineStr">
        <is>
          <t>A 5456-2024</t>
        </is>
      </c>
      <c r="B645" s="1" t="n">
        <v>45331</v>
      </c>
      <c r="C645" s="1" t="n">
        <v>45895</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53171-2020</t>
        </is>
      </c>
      <c r="B646" s="1" t="n">
        <v>44120</v>
      </c>
      <c r="C646" s="1" t="n">
        <v>45895</v>
      </c>
      <c r="D646" t="inlineStr">
        <is>
          <t>VÄSTERNORRLANDS LÄN</t>
        </is>
      </c>
      <c r="E646" t="inlineStr">
        <is>
          <t>ÅNGE</t>
        </is>
      </c>
      <c r="F646" t="inlineStr">
        <is>
          <t>SCA</t>
        </is>
      </c>
      <c r="G646" t="n">
        <v>6.9</v>
      </c>
      <c r="H646" t="n">
        <v>0</v>
      </c>
      <c r="I646" t="n">
        <v>0</v>
      </c>
      <c r="J646" t="n">
        <v>0</v>
      </c>
      <c r="K646" t="n">
        <v>0</v>
      </c>
      <c r="L646" t="n">
        <v>0</v>
      </c>
      <c r="M646" t="n">
        <v>0</v>
      </c>
      <c r="N646" t="n">
        <v>0</v>
      </c>
      <c r="O646" t="n">
        <v>0</v>
      </c>
      <c r="P646" t="n">
        <v>0</v>
      </c>
      <c r="Q646" t="n">
        <v>0</v>
      </c>
      <c r="R646" s="2" t="inlineStr"/>
    </row>
    <row r="647" ht="15" customHeight="1">
      <c r="A647" t="inlineStr">
        <is>
          <t>A 30474-2024</t>
        </is>
      </c>
      <c r="B647" s="1" t="n">
        <v>45491</v>
      </c>
      <c r="C647" s="1" t="n">
        <v>45895</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30475-2024</t>
        </is>
      </c>
      <c r="B648" s="1" t="n">
        <v>45491</v>
      </c>
      <c r="C648" s="1" t="n">
        <v>45895</v>
      </c>
      <c r="D648" t="inlineStr">
        <is>
          <t>VÄSTERNORRLANDS LÄN</t>
        </is>
      </c>
      <c r="E648" t="inlineStr">
        <is>
          <t>ÅNGE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27915-2024</t>
        </is>
      </c>
      <c r="B649" s="1" t="n">
        <v>45475</v>
      </c>
      <c r="C649" s="1" t="n">
        <v>45895</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71965-2021</t>
        </is>
      </c>
      <c r="B650" s="1" t="n">
        <v>44544.32483796297</v>
      </c>
      <c r="C650" s="1" t="n">
        <v>45895</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56574-2024</t>
        </is>
      </c>
      <c r="B651" s="1" t="n">
        <v>45625.59616898148</v>
      </c>
      <c r="C651" s="1" t="n">
        <v>45895</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1964-2022</t>
        </is>
      </c>
      <c r="B652" s="1" t="n">
        <v>44575.5050462963</v>
      </c>
      <c r="C652" s="1" t="n">
        <v>45895</v>
      </c>
      <c r="D652" t="inlineStr">
        <is>
          <t>VÄSTERNORRLANDS LÄN</t>
        </is>
      </c>
      <c r="E652" t="inlineStr">
        <is>
          <t>ÅNGE</t>
        </is>
      </c>
      <c r="G652" t="n">
        <v>1.1</v>
      </c>
      <c r="H652" t="n">
        <v>0</v>
      </c>
      <c r="I652" t="n">
        <v>0</v>
      </c>
      <c r="J652" t="n">
        <v>0</v>
      </c>
      <c r="K652" t="n">
        <v>0</v>
      </c>
      <c r="L652" t="n">
        <v>0</v>
      </c>
      <c r="M652" t="n">
        <v>0</v>
      </c>
      <c r="N652" t="n">
        <v>0</v>
      </c>
      <c r="O652" t="n">
        <v>0</v>
      </c>
      <c r="P652" t="n">
        <v>0</v>
      </c>
      <c r="Q652" t="n">
        <v>0</v>
      </c>
      <c r="R652" s="2" t="inlineStr"/>
    </row>
    <row r="653" ht="15" customHeight="1">
      <c r="A653" t="inlineStr">
        <is>
          <t>A 58087-2024</t>
        </is>
      </c>
      <c r="B653" s="1" t="n">
        <v>45632.34502314815</v>
      </c>
      <c r="C653" s="1" t="n">
        <v>45895</v>
      </c>
      <c r="D653" t="inlineStr">
        <is>
          <t>VÄSTERNORRLANDS LÄN</t>
        </is>
      </c>
      <c r="E653" t="inlineStr">
        <is>
          <t>ÅNGE</t>
        </is>
      </c>
      <c r="G653" t="n">
        <v>2.6</v>
      </c>
      <c r="H653" t="n">
        <v>0</v>
      </c>
      <c r="I653" t="n">
        <v>0</v>
      </c>
      <c r="J653" t="n">
        <v>0</v>
      </c>
      <c r="K653" t="n">
        <v>0</v>
      </c>
      <c r="L653" t="n">
        <v>0</v>
      </c>
      <c r="M653" t="n">
        <v>0</v>
      </c>
      <c r="N653" t="n">
        <v>0</v>
      </c>
      <c r="O653" t="n">
        <v>0</v>
      </c>
      <c r="P653" t="n">
        <v>0</v>
      </c>
      <c r="Q653" t="n">
        <v>0</v>
      </c>
      <c r="R653" s="2" t="inlineStr"/>
    </row>
    <row r="654" ht="15" customHeight="1">
      <c r="A654" t="inlineStr">
        <is>
          <t>A 63522-2021</t>
        </is>
      </c>
      <c r="B654" s="1" t="n">
        <v>44508</v>
      </c>
      <c r="C654" s="1" t="n">
        <v>45895</v>
      </c>
      <c r="D654" t="inlineStr">
        <is>
          <t>VÄSTERNORRLANDS LÄN</t>
        </is>
      </c>
      <c r="E654" t="inlineStr">
        <is>
          <t>ÅNGE</t>
        </is>
      </c>
      <c r="F654" t="inlineStr">
        <is>
          <t>Övriga Aktiebolag</t>
        </is>
      </c>
      <c r="G654" t="n">
        <v>3.5</v>
      </c>
      <c r="H654" t="n">
        <v>0</v>
      </c>
      <c r="I654" t="n">
        <v>0</v>
      </c>
      <c r="J654" t="n">
        <v>0</v>
      </c>
      <c r="K654" t="n">
        <v>0</v>
      </c>
      <c r="L654" t="n">
        <v>0</v>
      </c>
      <c r="M654" t="n">
        <v>0</v>
      </c>
      <c r="N654" t="n">
        <v>0</v>
      </c>
      <c r="O654" t="n">
        <v>0</v>
      </c>
      <c r="P654" t="n">
        <v>0</v>
      </c>
      <c r="Q654" t="n">
        <v>0</v>
      </c>
      <c r="R654" s="2" t="inlineStr"/>
    </row>
    <row r="655" ht="15" customHeight="1">
      <c r="A655" t="inlineStr">
        <is>
          <t>A 57287-2022</t>
        </is>
      </c>
      <c r="B655" s="1" t="n">
        <v>44895.95</v>
      </c>
      <c r="C655" s="1" t="n">
        <v>45895</v>
      </c>
      <c r="D655" t="inlineStr">
        <is>
          <t>VÄSTERNORRLANDS LÄN</t>
        </is>
      </c>
      <c r="E655" t="inlineStr">
        <is>
          <t>ÅNGE</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57291-2022</t>
        </is>
      </c>
      <c r="B656" s="1" t="n">
        <v>44895</v>
      </c>
      <c r="C656" s="1" t="n">
        <v>45895</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6680-2024</t>
        </is>
      </c>
      <c r="B657" s="1" t="n">
        <v>45341</v>
      </c>
      <c r="C657" s="1" t="n">
        <v>45895</v>
      </c>
      <c r="D657" t="inlineStr">
        <is>
          <t>VÄSTERNORRLANDS LÄN</t>
        </is>
      </c>
      <c r="E657" t="inlineStr">
        <is>
          <t>ÅNGE</t>
        </is>
      </c>
      <c r="G657" t="n">
        <v>0.9</v>
      </c>
      <c r="H657" t="n">
        <v>0</v>
      </c>
      <c r="I657" t="n">
        <v>0</v>
      </c>
      <c r="J657" t="n">
        <v>0</v>
      </c>
      <c r="K657" t="n">
        <v>0</v>
      </c>
      <c r="L657" t="n">
        <v>0</v>
      </c>
      <c r="M657" t="n">
        <v>0</v>
      </c>
      <c r="N657" t="n">
        <v>0</v>
      </c>
      <c r="O657" t="n">
        <v>0</v>
      </c>
      <c r="P657" t="n">
        <v>0</v>
      </c>
      <c r="Q657" t="n">
        <v>0</v>
      </c>
      <c r="R657" s="2" t="inlineStr"/>
    </row>
    <row r="658" ht="15" customHeight="1">
      <c r="A658" t="inlineStr">
        <is>
          <t>A 6685-2024</t>
        </is>
      </c>
      <c r="B658" s="1" t="n">
        <v>45341</v>
      </c>
      <c r="C658" s="1" t="n">
        <v>45895</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6689-2024</t>
        </is>
      </c>
      <c r="B659" s="1" t="n">
        <v>45341.9259375</v>
      </c>
      <c r="C659" s="1" t="n">
        <v>45895</v>
      </c>
      <c r="D659" t="inlineStr">
        <is>
          <t>VÄSTERNORRLANDS LÄN</t>
        </is>
      </c>
      <c r="E659" t="inlineStr">
        <is>
          <t>ÅNGE</t>
        </is>
      </c>
      <c r="G659" t="n">
        <v>1</v>
      </c>
      <c r="H659" t="n">
        <v>0</v>
      </c>
      <c r="I659" t="n">
        <v>0</v>
      </c>
      <c r="J659" t="n">
        <v>0</v>
      </c>
      <c r="K659" t="n">
        <v>0</v>
      </c>
      <c r="L659" t="n">
        <v>0</v>
      </c>
      <c r="M659" t="n">
        <v>0</v>
      </c>
      <c r="N659" t="n">
        <v>0</v>
      </c>
      <c r="O659" t="n">
        <v>0</v>
      </c>
      <c r="P659" t="n">
        <v>0</v>
      </c>
      <c r="Q659" t="n">
        <v>0</v>
      </c>
      <c r="R659" s="2" t="inlineStr"/>
    </row>
    <row r="660" ht="15" customHeight="1">
      <c r="A660" t="inlineStr">
        <is>
          <t>A 23550-2025</t>
        </is>
      </c>
      <c r="B660" s="1" t="n">
        <v>45792.57361111111</v>
      </c>
      <c r="C660" s="1" t="n">
        <v>45895</v>
      </c>
      <c r="D660" t="inlineStr">
        <is>
          <t>VÄSTERNORRLANDS LÄN</t>
        </is>
      </c>
      <c r="E660" t="inlineStr">
        <is>
          <t>ÅNGE</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35488-2024</t>
        </is>
      </c>
      <c r="B661" s="1" t="n">
        <v>45531</v>
      </c>
      <c r="C661" s="1" t="n">
        <v>45895</v>
      </c>
      <c r="D661" t="inlineStr">
        <is>
          <t>VÄSTERNORRLANDS LÄN</t>
        </is>
      </c>
      <c r="E661" t="inlineStr">
        <is>
          <t>ÅNGE</t>
        </is>
      </c>
      <c r="G661" t="n">
        <v>2.4</v>
      </c>
      <c r="H661" t="n">
        <v>0</v>
      </c>
      <c r="I661" t="n">
        <v>0</v>
      </c>
      <c r="J661" t="n">
        <v>0</v>
      </c>
      <c r="K661" t="n">
        <v>0</v>
      </c>
      <c r="L661" t="n">
        <v>0</v>
      </c>
      <c r="M661" t="n">
        <v>0</v>
      </c>
      <c r="N661" t="n">
        <v>0</v>
      </c>
      <c r="O661" t="n">
        <v>0</v>
      </c>
      <c r="P661" t="n">
        <v>0</v>
      </c>
      <c r="Q661" t="n">
        <v>0</v>
      </c>
      <c r="R661" s="2" t="inlineStr"/>
    </row>
    <row r="662" ht="15" customHeight="1">
      <c r="A662" t="inlineStr">
        <is>
          <t>A 50231-2024</t>
        </is>
      </c>
      <c r="B662" s="1" t="n">
        <v>45600.55251157407</v>
      </c>
      <c r="C662" s="1" t="n">
        <v>45895</v>
      </c>
      <c r="D662" t="inlineStr">
        <is>
          <t>VÄSTERNORRLANDS LÄN</t>
        </is>
      </c>
      <c r="E662" t="inlineStr">
        <is>
          <t>ÅNGE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10025-2025</t>
        </is>
      </c>
      <c r="B663" s="1" t="n">
        <v>45719.49002314815</v>
      </c>
      <c r="C663" s="1" t="n">
        <v>45895</v>
      </c>
      <c r="D663" t="inlineStr">
        <is>
          <t>VÄSTERNORRLANDS LÄN</t>
        </is>
      </c>
      <c r="E663" t="inlineStr">
        <is>
          <t>ÅNGE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35593-2024</t>
        </is>
      </c>
      <c r="B664" s="1" t="n">
        <v>45531</v>
      </c>
      <c r="C664" s="1" t="n">
        <v>45895</v>
      </c>
      <c r="D664" t="inlineStr">
        <is>
          <t>VÄSTERNORRLANDS LÄN</t>
        </is>
      </c>
      <c r="E664" t="inlineStr">
        <is>
          <t>ÅNGE</t>
        </is>
      </c>
      <c r="G664" t="n">
        <v>17.6</v>
      </c>
      <c r="H664" t="n">
        <v>0</v>
      </c>
      <c r="I664" t="n">
        <v>0</v>
      </c>
      <c r="J664" t="n">
        <v>0</v>
      </c>
      <c r="K664" t="n">
        <v>0</v>
      </c>
      <c r="L664" t="n">
        <v>0</v>
      </c>
      <c r="M664" t="n">
        <v>0</v>
      </c>
      <c r="N664" t="n">
        <v>0</v>
      </c>
      <c r="O664" t="n">
        <v>0</v>
      </c>
      <c r="P664" t="n">
        <v>0</v>
      </c>
      <c r="Q664" t="n">
        <v>0</v>
      </c>
      <c r="R664" s="2" t="inlineStr"/>
    </row>
    <row r="665" ht="15" customHeight="1">
      <c r="A665" t="inlineStr">
        <is>
          <t>A 23252-2025</t>
        </is>
      </c>
      <c r="B665" s="1" t="n">
        <v>45791.53157407408</v>
      </c>
      <c r="C665" s="1" t="n">
        <v>45895</v>
      </c>
      <c r="D665" t="inlineStr">
        <is>
          <t>VÄSTERNORRLANDS LÄN</t>
        </is>
      </c>
      <c r="E665" t="inlineStr">
        <is>
          <t>ÅNGE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23529-2025</t>
        </is>
      </c>
      <c r="B666" s="1" t="n">
        <v>45792.53158564815</v>
      </c>
      <c r="C666" s="1" t="n">
        <v>45895</v>
      </c>
      <c r="D666" t="inlineStr">
        <is>
          <t>VÄSTERNORRLANDS LÄN</t>
        </is>
      </c>
      <c r="E666" t="inlineStr">
        <is>
          <t>ÅNGE</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27468-2024</t>
        </is>
      </c>
      <c r="B667" s="1" t="n">
        <v>45474</v>
      </c>
      <c r="C667" s="1" t="n">
        <v>45895</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23552-2025</t>
        </is>
      </c>
      <c r="B668" s="1" t="n">
        <v>45792.5738425926</v>
      </c>
      <c r="C668" s="1" t="n">
        <v>45895</v>
      </c>
      <c r="D668" t="inlineStr">
        <is>
          <t>VÄSTERNORRLANDS LÄN</t>
        </is>
      </c>
      <c r="E668" t="inlineStr">
        <is>
          <t>ÅNGE</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30055-2024</t>
        </is>
      </c>
      <c r="B669" s="1" t="n">
        <v>45488.94767361111</v>
      </c>
      <c r="C669" s="1" t="n">
        <v>45895</v>
      </c>
      <c r="D669" t="inlineStr">
        <is>
          <t>VÄSTERNORRLANDS LÄN</t>
        </is>
      </c>
      <c r="E669" t="inlineStr">
        <is>
          <t>ÅNGE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23748-2025</t>
        </is>
      </c>
      <c r="B670" s="1" t="n">
        <v>45793.44755787037</v>
      </c>
      <c r="C670" s="1" t="n">
        <v>45895</v>
      </c>
      <c r="D670" t="inlineStr">
        <is>
          <t>VÄSTERNORRLANDS LÄN</t>
        </is>
      </c>
      <c r="E670" t="inlineStr">
        <is>
          <t>ÅNGE</t>
        </is>
      </c>
      <c r="F670" t="inlineStr">
        <is>
          <t>Sveaskog</t>
        </is>
      </c>
      <c r="G670" t="n">
        <v>6.5</v>
      </c>
      <c r="H670" t="n">
        <v>0</v>
      </c>
      <c r="I670" t="n">
        <v>0</v>
      </c>
      <c r="J670" t="n">
        <v>0</v>
      </c>
      <c r="K670" t="n">
        <v>0</v>
      </c>
      <c r="L670" t="n">
        <v>0</v>
      </c>
      <c r="M670" t="n">
        <v>0</v>
      </c>
      <c r="N670" t="n">
        <v>0</v>
      </c>
      <c r="O670" t="n">
        <v>0</v>
      </c>
      <c r="P670" t="n">
        <v>0</v>
      </c>
      <c r="Q670" t="n">
        <v>0</v>
      </c>
      <c r="R670" s="2" t="inlineStr"/>
    </row>
    <row r="671" ht="15" customHeight="1">
      <c r="A671" t="inlineStr">
        <is>
          <t>A 43145-2024</t>
        </is>
      </c>
      <c r="B671" s="1" t="n">
        <v>45567.63030092593</v>
      </c>
      <c r="C671" s="1" t="n">
        <v>45895</v>
      </c>
      <c r="D671" t="inlineStr">
        <is>
          <t>VÄSTERNORRLANDS LÄN</t>
        </is>
      </c>
      <c r="E671" t="inlineStr">
        <is>
          <t>ÅNGE</t>
        </is>
      </c>
      <c r="G671" t="n">
        <v>1.4</v>
      </c>
      <c r="H671" t="n">
        <v>0</v>
      </c>
      <c r="I671" t="n">
        <v>0</v>
      </c>
      <c r="J671" t="n">
        <v>0</v>
      </c>
      <c r="K671" t="n">
        <v>0</v>
      </c>
      <c r="L671" t="n">
        <v>0</v>
      </c>
      <c r="M671" t="n">
        <v>0</v>
      </c>
      <c r="N671" t="n">
        <v>0</v>
      </c>
      <c r="O671" t="n">
        <v>0</v>
      </c>
      <c r="P671" t="n">
        <v>0</v>
      </c>
      <c r="Q671" t="n">
        <v>0</v>
      </c>
      <c r="R671" s="2" t="inlineStr"/>
    </row>
    <row r="672" ht="15" customHeight="1">
      <c r="A672" t="inlineStr">
        <is>
          <t>A 23899-2025</t>
        </is>
      </c>
      <c r="B672" s="1" t="n">
        <v>45794.34414351852</v>
      </c>
      <c r="C672" s="1" t="n">
        <v>45895</v>
      </c>
      <c r="D672" t="inlineStr">
        <is>
          <t>VÄSTERNORRLANDS LÄN</t>
        </is>
      </c>
      <c r="E672" t="inlineStr">
        <is>
          <t>ÅNGE</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26011-2024</t>
        </is>
      </c>
      <c r="B673" s="1" t="n">
        <v>45467.95828703704</v>
      </c>
      <c r="C673" s="1" t="n">
        <v>45895</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24014-2025</t>
        </is>
      </c>
      <c r="B674" s="1" t="n">
        <v>45796</v>
      </c>
      <c r="C674" s="1" t="n">
        <v>45895</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23917-2025</t>
        </is>
      </c>
      <c r="B675" s="1" t="n">
        <v>45795.34481481482</v>
      </c>
      <c r="C675" s="1" t="n">
        <v>45895</v>
      </c>
      <c r="D675" t="inlineStr">
        <is>
          <t>VÄSTERNORRLANDS LÄN</t>
        </is>
      </c>
      <c r="E675" t="inlineStr">
        <is>
          <t>ÅNGE</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26014-2024</t>
        </is>
      </c>
      <c r="B676" s="1" t="n">
        <v>45467.95862268518</v>
      </c>
      <c r="C676" s="1" t="n">
        <v>45895</v>
      </c>
      <c r="D676" t="inlineStr">
        <is>
          <t>VÄSTERNORRLANDS LÄN</t>
        </is>
      </c>
      <c r="E676" t="inlineStr">
        <is>
          <t>ÅNGE</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26019-2024</t>
        </is>
      </c>
      <c r="B677" s="1" t="n">
        <v>45467.96015046296</v>
      </c>
      <c r="C677" s="1" t="n">
        <v>45895</v>
      </c>
      <c r="D677" t="inlineStr">
        <is>
          <t>VÄSTERNORRLANDS LÄN</t>
        </is>
      </c>
      <c r="E677" t="inlineStr">
        <is>
          <t>ÅNGE</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3-2025</t>
        </is>
      </c>
      <c r="B678" s="1" t="n">
        <v>45658.49819444444</v>
      </c>
      <c r="C678" s="1" t="n">
        <v>45895</v>
      </c>
      <c r="D678" t="inlineStr">
        <is>
          <t>VÄSTERNORRLANDS LÄN</t>
        </is>
      </c>
      <c r="E678" t="inlineStr">
        <is>
          <t>ÅNGE</t>
        </is>
      </c>
      <c r="G678" t="n">
        <v>2</v>
      </c>
      <c r="H678" t="n">
        <v>0</v>
      </c>
      <c r="I678" t="n">
        <v>0</v>
      </c>
      <c r="J678" t="n">
        <v>0</v>
      </c>
      <c r="K678" t="n">
        <v>0</v>
      </c>
      <c r="L678" t="n">
        <v>0</v>
      </c>
      <c r="M678" t="n">
        <v>0</v>
      </c>
      <c r="N678" t="n">
        <v>0</v>
      </c>
      <c r="O678" t="n">
        <v>0</v>
      </c>
      <c r="P678" t="n">
        <v>0</v>
      </c>
      <c r="Q678" t="n">
        <v>0</v>
      </c>
      <c r="R678" s="2" t="inlineStr"/>
    </row>
    <row r="679" ht="15" customHeight="1">
      <c r="A679" t="inlineStr">
        <is>
          <t>A 59600-2024</t>
        </is>
      </c>
      <c r="B679" s="1" t="n">
        <v>45638.71763888889</v>
      </c>
      <c r="C679" s="1" t="n">
        <v>45895</v>
      </c>
      <c r="D679" t="inlineStr">
        <is>
          <t>VÄSTERNORRLANDS LÄN</t>
        </is>
      </c>
      <c r="E679" t="inlineStr">
        <is>
          <t>ÅNGE</t>
        </is>
      </c>
      <c r="G679" t="n">
        <v>1.3</v>
      </c>
      <c r="H679" t="n">
        <v>0</v>
      </c>
      <c r="I679" t="n">
        <v>0</v>
      </c>
      <c r="J679" t="n">
        <v>0</v>
      </c>
      <c r="K679" t="n">
        <v>0</v>
      </c>
      <c r="L679" t="n">
        <v>0</v>
      </c>
      <c r="M679" t="n">
        <v>0</v>
      </c>
      <c r="N679" t="n">
        <v>0</v>
      </c>
      <c r="O679" t="n">
        <v>0</v>
      </c>
      <c r="P679" t="n">
        <v>0</v>
      </c>
      <c r="Q679" t="n">
        <v>0</v>
      </c>
      <c r="R679" s="2" t="inlineStr"/>
    </row>
    <row r="680" ht="15" customHeight="1">
      <c r="A680" t="inlineStr">
        <is>
          <t>A 56188-2024</t>
        </is>
      </c>
      <c r="B680" s="1" t="n">
        <v>45624.57800925926</v>
      </c>
      <c r="C680" s="1" t="n">
        <v>45895</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14889-2022</t>
        </is>
      </c>
      <c r="B681" s="1" t="n">
        <v>44656</v>
      </c>
      <c r="C681" s="1" t="n">
        <v>45895</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3133-2024</t>
        </is>
      </c>
      <c r="B682" s="1" t="n">
        <v>45316.55885416667</v>
      </c>
      <c r="C682" s="1" t="n">
        <v>45895</v>
      </c>
      <c r="D682" t="inlineStr">
        <is>
          <t>VÄSTERNORRLANDS LÄN</t>
        </is>
      </c>
      <c r="E682" t="inlineStr">
        <is>
          <t>ÅNGE</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39843-2023</t>
        </is>
      </c>
      <c r="B683" s="1" t="n">
        <v>45168</v>
      </c>
      <c r="C683" s="1" t="n">
        <v>45895</v>
      </c>
      <c r="D683" t="inlineStr">
        <is>
          <t>VÄSTERNORRLANDS LÄN</t>
        </is>
      </c>
      <c r="E683" t="inlineStr">
        <is>
          <t>ÅNGE</t>
        </is>
      </c>
      <c r="G683" t="n">
        <v>2.1</v>
      </c>
      <c r="H683" t="n">
        <v>0</v>
      </c>
      <c r="I683" t="n">
        <v>0</v>
      </c>
      <c r="J683" t="n">
        <v>0</v>
      </c>
      <c r="K683" t="n">
        <v>0</v>
      </c>
      <c r="L683" t="n">
        <v>0</v>
      </c>
      <c r="M683" t="n">
        <v>0</v>
      </c>
      <c r="N683" t="n">
        <v>0</v>
      </c>
      <c r="O683" t="n">
        <v>0</v>
      </c>
      <c r="P683" t="n">
        <v>0</v>
      </c>
      <c r="Q683" t="n">
        <v>0</v>
      </c>
      <c r="R683" s="2" t="inlineStr"/>
    </row>
    <row r="684" ht="15" customHeight="1">
      <c r="A684" t="inlineStr">
        <is>
          <t>A 17210-2022</t>
        </is>
      </c>
      <c r="B684" s="1" t="n">
        <v>44677.92701388889</v>
      </c>
      <c r="C684" s="1" t="n">
        <v>45895</v>
      </c>
      <c r="D684" t="inlineStr">
        <is>
          <t>VÄSTERNORRLANDS LÄN</t>
        </is>
      </c>
      <c r="E684" t="inlineStr">
        <is>
          <t>ÅNGE</t>
        </is>
      </c>
      <c r="G684" t="n">
        <v>1.8</v>
      </c>
      <c r="H684" t="n">
        <v>0</v>
      </c>
      <c r="I684" t="n">
        <v>0</v>
      </c>
      <c r="J684" t="n">
        <v>0</v>
      </c>
      <c r="K684" t="n">
        <v>0</v>
      </c>
      <c r="L684" t="n">
        <v>0</v>
      </c>
      <c r="M684" t="n">
        <v>0</v>
      </c>
      <c r="N684" t="n">
        <v>0</v>
      </c>
      <c r="O684" t="n">
        <v>0</v>
      </c>
      <c r="P684" t="n">
        <v>0</v>
      </c>
      <c r="Q684" t="n">
        <v>0</v>
      </c>
      <c r="R684" s="2" t="inlineStr"/>
    </row>
    <row r="685" ht="15" customHeight="1">
      <c r="A685" t="inlineStr">
        <is>
          <t>A 60817-2024</t>
        </is>
      </c>
      <c r="B685" s="1" t="n">
        <v>45644</v>
      </c>
      <c r="C685" s="1" t="n">
        <v>45895</v>
      </c>
      <c r="D685" t="inlineStr">
        <is>
          <t>VÄSTERNORRLANDS LÄN</t>
        </is>
      </c>
      <c r="E685" t="inlineStr">
        <is>
          <t>ÅNGE</t>
        </is>
      </c>
      <c r="G685" t="n">
        <v>3.2</v>
      </c>
      <c r="H685" t="n">
        <v>0</v>
      </c>
      <c r="I685" t="n">
        <v>0</v>
      </c>
      <c r="J685" t="n">
        <v>0</v>
      </c>
      <c r="K685" t="n">
        <v>0</v>
      </c>
      <c r="L685" t="n">
        <v>0</v>
      </c>
      <c r="M685" t="n">
        <v>0</v>
      </c>
      <c r="N685" t="n">
        <v>0</v>
      </c>
      <c r="O685" t="n">
        <v>0</v>
      </c>
      <c r="P685" t="n">
        <v>0</v>
      </c>
      <c r="Q685" t="n">
        <v>0</v>
      </c>
      <c r="R685" s="2" t="inlineStr"/>
    </row>
    <row r="686" ht="15" customHeight="1">
      <c r="A686" t="inlineStr">
        <is>
          <t>A 10195-2024</t>
        </is>
      </c>
      <c r="B686" s="1" t="n">
        <v>45364</v>
      </c>
      <c r="C686" s="1" t="n">
        <v>45895</v>
      </c>
      <c r="D686" t="inlineStr">
        <is>
          <t>VÄSTERNORRLANDS LÄN</t>
        </is>
      </c>
      <c r="E686" t="inlineStr">
        <is>
          <t>ÅNGE</t>
        </is>
      </c>
      <c r="G686" t="n">
        <v>0.7</v>
      </c>
      <c r="H686" t="n">
        <v>0</v>
      </c>
      <c r="I686" t="n">
        <v>0</v>
      </c>
      <c r="J686" t="n">
        <v>0</v>
      </c>
      <c r="K686" t="n">
        <v>0</v>
      </c>
      <c r="L686" t="n">
        <v>0</v>
      </c>
      <c r="M686" t="n">
        <v>0</v>
      </c>
      <c r="N686" t="n">
        <v>0</v>
      </c>
      <c r="O686" t="n">
        <v>0</v>
      </c>
      <c r="P686" t="n">
        <v>0</v>
      </c>
      <c r="Q686" t="n">
        <v>0</v>
      </c>
      <c r="R686" s="2" t="inlineStr"/>
    </row>
    <row r="687" ht="15" customHeight="1">
      <c r="A687" t="inlineStr">
        <is>
          <t>A 23225-2024</t>
        </is>
      </c>
      <c r="B687" s="1" t="n">
        <v>45452.9490162037</v>
      </c>
      <c r="C687" s="1" t="n">
        <v>45895</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23975-2025</t>
        </is>
      </c>
      <c r="B688" s="1" t="n">
        <v>45796.38614583333</v>
      </c>
      <c r="C688" s="1" t="n">
        <v>45895</v>
      </c>
      <c r="D688" t="inlineStr">
        <is>
          <t>VÄSTERNORRLANDS LÄN</t>
        </is>
      </c>
      <c r="E688" t="inlineStr">
        <is>
          <t>ÅNGE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23976-2025</t>
        </is>
      </c>
      <c r="B689" s="1" t="n">
        <v>45796.38625</v>
      </c>
      <c r="C689" s="1" t="n">
        <v>45895</v>
      </c>
      <c r="D689" t="inlineStr">
        <is>
          <t>VÄSTERNORRLANDS LÄN</t>
        </is>
      </c>
      <c r="E689" t="inlineStr">
        <is>
          <t>ÅNGE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23958-2025</t>
        </is>
      </c>
      <c r="B690" s="1" t="n">
        <v>45796</v>
      </c>
      <c r="C690" s="1" t="n">
        <v>45895</v>
      </c>
      <c r="D690" t="inlineStr">
        <is>
          <t>VÄSTERNORRLANDS LÄN</t>
        </is>
      </c>
      <c r="E690" t="inlineStr">
        <is>
          <t>ÅNGE</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361-2025</t>
        </is>
      </c>
      <c r="B691" s="1" t="n">
        <v>45660</v>
      </c>
      <c r="C691" s="1" t="n">
        <v>45895</v>
      </c>
      <c r="D691" t="inlineStr">
        <is>
          <t>VÄSTERNORRLANDS LÄN</t>
        </is>
      </c>
      <c r="E691" t="inlineStr">
        <is>
          <t>ÅNGE</t>
        </is>
      </c>
      <c r="G691" t="n">
        <v>4.2</v>
      </c>
      <c r="H691" t="n">
        <v>0</v>
      </c>
      <c r="I691" t="n">
        <v>0</v>
      </c>
      <c r="J691" t="n">
        <v>0</v>
      </c>
      <c r="K691" t="n">
        <v>0</v>
      </c>
      <c r="L691" t="n">
        <v>0</v>
      </c>
      <c r="M691" t="n">
        <v>0</v>
      </c>
      <c r="N691" t="n">
        <v>0</v>
      </c>
      <c r="O691" t="n">
        <v>0</v>
      </c>
      <c r="P691" t="n">
        <v>0</v>
      </c>
      <c r="Q691" t="n">
        <v>0</v>
      </c>
      <c r="R691" s="2" t="inlineStr"/>
    </row>
    <row r="692" ht="15" customHeight="1">
      <c r="A692" t="inlineStr">
        <is>
          <t>A 33305-2024</t>
        </is>
      </c>
      <c r="B692" s="1" t="n">
        <v>45518</v>
      </c>
      <c r="C692" s="1" t="n">
        <v>45895</v>
      </c>
      <c r="D692" t="inlineStr">
        <is>
          <t>VÄSTERNORRLANDS LÄN</t>
        </is>
      </c>
      <c r="E692" t="inlineStr">
        <is>
          <t>ÅNGE</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33306-2024</t>
        </is>
      </c>
      <c r="B693" s="1" t="n">
        <v>45518</v>
      </c>
      <c r="C693" s="1" t="n">
        <v>45895</v>
      </c>
      <c r="D693" t="inlineStr">
        <is>
          <t>VÄSTERNORRLANDS LÄN</t>
        </is>
      </c>
      <c r="E693" t="inlineStr">
        <is>
          <t>ÅNGE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23921-2025</t>
        </is>
      </c>
      <c r="B694" s="1" t="n">
        <v>45795.34513888889</v>
      </c>
      <c r="C694" s="1" t="n">
        <v>45895</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54079-2023</t>
        </is>
      </c>
      <c r="B695" s="1" t="n">
        <v>45231</v>
      </c>
      <c r="C695" s="1" t="n">
        <v>45895</v>
      </c>
      <c r="D695" t="inlineStr">
        <is>
          <t>VÄSTERNORRLANDS LÄN</t>
        </is>
      </c>
      <c r="E695" t="inlineStr">
        <is>
          <t>ÅNGE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12021-2022</t>
        </is>
      </c>
      <c r="B696" s="1" t="n">
        <v>44635</v>
      </c>
      <c r="C696" s="1" t="n">
        <v>45895</v>
      </c>
      <c r="D696" t="inlineStr">
        <is>
          <t>VÄSTERNORRLANDS LÄN</t>
        </is>
      </c>
      <c r="E696" t="inlineStr">
        <is>
          <t>ÅNGE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7535-2023</t>
        </is>
      </c>
      <c r="B697" s="1" t="n">
        <v>44971</v>
      </c>
      <c r="C697" s="1" t="n">
        <v>45895</v>
      </c>
      <c r="D697" t="inlineStr">
        <is>
          <t>VÄSTERNORRLANDS LÄN</t>
        </is>
      </c>
      <c r="E697" t="inlineStr">
        <is>
          <t>ÅNGE</t>
        </is>
      </c>
      <c r="F697" t="inlineStr">
        <is>
          <t>SCA</t>
        </is>
      </c>
      <c r="G697" t="n">
        <v>14.6</v>
      </c>
      <c r="H697" t="n">
        <v>0</v>
      </c>
      <c r="I697" t="n">
        <v>0</v>
      </c>
      <c r="J697" t="n">
        <v>0</v>
      </c>
      <c r="K697" t="n">
        <v>0</v>
      </c>
      <c r="L697" t="n">
        <v>0</v>
      </c>
      <c r="M697" t="n">
        <v>0</v>
      </c>
      <c r="N697" t="n">
        <v>0</v>
      </c>
      <c r="O697" t="n">
        <v>0</v>
      </c>
      <c r="P697" t="n">
        <v>0</v>
      </c>
      <c r="Q697" t="n">
        <v>0</v>
      </c>
      <c r="R697" s="2" t="inlineStr"/>
    </row>
    <row r="698" ht="15" customHeight="1">
      <c r="A698" t="inlineStr">
        <is>
          <t>A 29702-2024</t>
        </is>
      </c>
      <c r="B698" s="1" t="n">
        <v>45485.31525462963</v>
      </c>
      <c r="C698" s="1" t="n">
        <v>45895</v>
      </c>
      <c r="D698" t="inlineStr">
        <is>
          <t>VÄSTERNORRLANDS LÄN</t>
        </is>
      </c>
      <c r="E698" t="inlineStr">
        <is>
          <t>ÅNGE</t>
        </is>
      </c>
      <c r="G698" t="n">
        <v>2.6</v>
      </c>
      <c r="H698" t="n">
        <v>0</v>
      </c>
      <c r="I698" t="n">
        <v>0</v>
      </c>
      <c r="J698" t="n">
        <v>0</v>
      </c>
      <c r="K698" t="n">
        <v>0</v>
      </c>
      <c r="L698" t="n">
        <v>0</v>
      </c>
      <c r="M698" t="n">
        <v>0</v>
      </c>
      <c r="N698" t="n">
        <v>0</v>
      </c>
      <c r="O698" t="n">
        <v>0</v>
      </c>
      <c r="P698" t="n">
        <v>0</v>
      </c>
      <c r="Q698" t="n">
        <v>0</v>
      </c>
      <c r="R698" s="2" t="inlineStr"/>
    </row>
    <row r="699" ht="15" customHeight="1">
      <c r="A699" t="inlineStr">
        <is>
          <t>A 60401-2020</t>
        </is>
      </c>
      <c r="B699" s="1" t="n">
        <v>44152</v>
      </c>
      <c r="C699" s="1" t="n">
        <v>45895</v>
      </c>
      <c r="D699" t="inlineStr">
        <is>
          <t>VÄSTERNORRLANDS LÄN</t>
        </is>
      </c>
      <c r="E699" t="inlineStr">
        <is>
          <t>ÅNGE</t>
        </is>
      </c>
      <c r="G699" t="n">
        <v>0.8</v>
      </c>
      <c r="H699" t="n">
        <v>0</v>
      </c>
      <c r="I699" t="n">
        <v>0</v>
      </c>
      <c r="J699" t="n">
        <v>0</v>
      </c>
      <c r="K699" t="n">
        <v>0</v>
      </c>
      <c r="L699" t="n">
        <v>0</v>
      </c>
      <c r="M699" t="n">
        <v>0</v>
      </c>
      <c r="N699" t="n">
        <v>0</v>
      </c>
      <c r="O699" t="n">
        <v>0</v>
      </c>
      <c r="P699" t="n">
        <v>0</v>
      </c>
      <c r="Q699" t="n">
        <v>0</v>
      </c>
      <c r="R699" s="2" t="inlineStr"/>
    </row>
    <row r="700" ht="15" customHeight="1">
      <c r="A700" t="inlineStr">
        <is>
          <t>A 6690-2024</t>
        </is>
      </c>
      <c r="B700" s="1" t="n">
        <v>45341</v>
      </c>
      <c r="C700" s="1" t="n">
        <v>45895</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37038-2024</t>
        </is>
      </c>
      <c r="B701" s="1" t="n">
        <v>45539.40881944444</v>
      </c>
      <c r="C701" s="1" t="n">
        <v>45895</v>
      </c>
      <c r="D701" t="inlineStr">
        <is>
          <t>VÄSTERNORRLANDS LÄN</t>
        </is>
      </c>
      <c r="E701" t="inlineStr">
        <is>
          <t>ÅNGE</t>
        </is>
      </c>
      <c r="G701" t="n">
        <v>1.4</v>
      </c>
      <c r="H701" t="n">
        <v>0</v>
      </c>
      <c r="I701" t="n">
        <v>0</v>
      </c>
      <c r="J701" t="n">
        <v>0</v>
      </c>
      <c r="K701" t="n">
        <v>0</v>
      </c>
      <c r="L701" t="n">
        <v>0</v>
      </c>
      <c r="M701" t="n">
        <v>0</v>
      </c>
      <c r="N701" t="n">
        <v>0</v>
      </c>
      <c r="O701" t="n">
        <v>0</v>
      </c>
      <c r="P701" t="n">
        <v>0</v>
      </c>
      <c r="Q701" t="n">
        <v>0</v>
      </c>
      <c r="R701" s="2" t="inlineStr"/>
    </row>
    <row r="702" ht="15" customHeight="1">
      <c r="A702" t="inlineStr">
        <is>
          <t>A 3834-2025</t>
        </is>
      </c>
      <c r="B702" s="1" t="n">
        <v>45682.34517361111</v>
      </c>
      <c r="C702" s="1" t="n">
        <v>45895</v>
      </c>
      <c r="D702" t="inlineStr">
        <is>
          <t>VÄSTERNORRLANDS LÄN</t>
        </is>
      </c>
      <c r="E702" t="inlineStr">
        <is>
          <t>ÅNGE</t>
        </is>
      </c>
      <c r="G702" t="n">
        <v>6.4</v>
      </c>
      <c r="H702" t="n">
        <v>0</v>
      </c>
      <c r="I702" t="n">
        <v>0</v>
      </c>
      <c r="J702" t="n">
        <v>0</v>
      </c>
      <c r="K702" t="n">
        <v>0</v>
      </c>
      <c r="L702" t="n">
        <v>0</v>
      </c>
      <c r="M702" t="n">
        <v>0</v>
      </c>
      <c r="N702" t="n">
        <v>0</v>
      </c>
      <c r="O702" t="n">
        <v>0</v>
      </c>
      <c r="P702" t="n">
        <v>0</v>
      </c>
      <c r="Q702" t="n">
        <v>0</v>
      </c>
      <c r="R702" s="2" t="inlineStr"/>
    </row>
    <row r="703" ht="15" customHeight="1">
      <c r="A703" t="inlineStr">
        <is>
          <t>A 26641-2024</t>
        </is>
      </c>
      <c r="B703" s="1" t="n">
        <v>45469.92836805555</v>
      </c>
      <c r="C703" s="1" t="n">
        <v>45895</v>
      </c>
      <c r="D703" t="inlineStr">
        <is>
          <t>VÄSTERNORRLANDS LÄN</t>
        </is>
      </c>
      <c r="E703" t="inlineStr">
        <is>
          <t>ÅNGE</t>
        </is>
      </c>
      <c r="G703" t="n">
        <v>4.5</v>
      </c>
      <c r="H703" t="n">
        <v>0</v>
      </c>
      <c r="I703" t="n">
        <v>0</v>
      </c>
      <c r="J703" t="n">
        <v>0</v>
      </c>
      <c r="K703" t="n">
        <v>0</v>
      </c>
      <c r="L703" t="n">
        <v>0</v>
      </c>
      <c r="M703" t="n">
        <v>0</v>
      </c>
      <c r="N703" t="n">
        <v>0</v>
      </c>
      <c r="O703" t="n">
        <v>0</v>
      </c>
      <c r="P703" t="n">
        <v>0</v>
      </c>
      <c r="Q703" t="n">
        <v>0</v>
      </c>
      <c r="R703" s="2" t="inlineStr"/>
    </row>
    <row r="704" ht="15" customHeight="1">
      <c r="A704" t="inlineStr">
        <is>
          <t>A 41741-2023</t>
        </is>
      </c>
      <c r="B704" s="1" t="n">
        <v>45176.42164351852</v>
      </c>
      <c r="C704" s="1" t="n">
        <v>45895</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37992-2024</t>
        </is>
      </c>
      <c r="B705" s="1" t="n">
        <v>45544.59524305556</v>
      </c>
      <c r="C705" s="1" t="n">
        <v>45895</v>
      </c>
      <c r="D705" t="inlineStr">
        <is>
          <t>VÄSTERNORRLANDS LÄN</t>
        </is>
      </c>
      <c r="E705" t="inlineStr">
        <is>
          <t>ÅNGE</t>
        </is>
      </c>
      <c r="G705" t="n">
        <v>3.9</v>
      </c>
      <c r="H705" t="n">
        <v>0</v>
      </c>
      <c r="I705" t="n">
        <v>0</v>
      </c>
      <c r="J705" t="n">
        <v>0</v>
      </c>
      <c r="K705" t="n">
        <v>0</v>
      </c>
      <c r="L705" t="n">
        <v>0</v>
      </c>
      <c r="M705" t="n">
        <v>0</v>
      </c>
      <c r="N705" t="n">
        <v>0</v>
      </c>
      <c r="O705" t="n">
        <v>0</v>
      </c>
      <c r="P705" t="n">
        <v>0</v>
      </c>
      <c r="Q705" t="n">
        <v>0</v>
      </c>
      <c r="R705" s="2" t="inlineStr"/>
    </row>
    <row r="706" ht="15" customHeight="1">
      <c r="A706" t="inlineStr">
        <is>
          <t>A 57516-2023</t>
        </is>
      </c>
      <c r="B706" s="1" t="n">
        <v>45246.44665509259</v>
      </c>
      <c r="C706" s="1" t="n">
        <v>45895</v>
      </c>
      <c r="D706" t="inlineStr">
        <is>
          <t>VÄSTERNORRLANDS LÄN</t>
        </is>
      </c>
      <c r="E706" t="inlineStr">
        <is>
          <t>ÅNGE</t>
        </is>
      </c>
      <c r="G706" t="n">
        <v>2.2</v>
      </c>
      <c r="H706" t="n">
        <v>0</v>
      </c>
      <c r="I706" t="n">
        <v>0</v>
      </c>
      <c r="J706" t="n">
        <v>0</v>
      </c>
      <c r="K706" t="n">
        <v>0</v>
      </c>
      <c r="L706" t="n">
        <v>0</v>
      </c>
      <c r="M706" t="n">
        <v>0</v>
      </c>
      <c r="N706" t="n">
        <v>0</v>
      </c>
      <c r="O706" t="n">
        <v>0</v>
      </c>
      <c r="P706" t="n">
        <v>0</v>
      </c>
      <c r="Q706" t="n">
        <v>0</v>
      </c>
      <c r="R706" s="2" t="inlineStr"/>
    </row>
    <row r="707" ht="15" customHeight="1">
      <c r="A707" t="inlineStr">
        <is>
          <t>A 3977-2025</t>
        </is>
      </c>
      <c r="B707" s="1" t="n">
        <v>45684</v>
      </c>
      <c r="C707" s="1" t="n">
        <v>45895</v>
      </c>
      <c r="D707" t="inlineStr">
        <is>
          <t>VÄSTERNORRLANDS LÄN</t>
        </is>
      </c>
      <c r="E707" t="inlineStr">
        <is>
          <t>ÅNGE</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23069-2024</t>
        </is>
      </c>
      <c r="B708" s="1" t="n">
        <v>45450</v>
      </c>
      <c r="C708" s="1" t="n">
        <v>45895</v>
      </c>
      <c r="D708" t="inlineStr">
        <is>
          <t>VÄSTERNORRLANDS LÄN</t>
        </is>
      </c>
      <c r="E708" t="inlineStr">
        <is>
          <t>ÅNGE</t>
        </is>
      </c>
      <c r="G708" t="n">
        <v>1.5</v>
      </c>
      <c r="H708" t="n">
        <v>0</v>
      </c>
      <c r="I708" t="n">
        <v>0</v>
      </c>
      <c r="J708" t="n">
        <v>0</v>
      </c>
      <c r="K708" t="n">
        <v>0</v>
      </c>
      <c r="L708" t="n">
        <v>0</v>
      </c>
      <c r="M708" t="n">
        <v>0</v>
      </c>
      <c r="N708" t="n">
        <v>0</v>
      </c>
      <c r="O708" t="n">
        <v>0</v>
      </c>
      <c r="P708" t="n">
        <v>0</v>
      </c>
      <c r="Q708" t="n">
        <v>0</v>
      </c>
      <c r="R708" s="2" t="inlineStr"/>
    </row>
    <row r="709" ht="15" customHeight="1">
      <c r="A709" t="inlineStr">
        <is>
          <t>A 41575-2024</t>
        </is>
      </c>
      <c r="B709" s="1" t="n">
        <v>45560.55106481481</v>
      </c>
      <c r="C709" s="1" t="n">
        <v>45895</v>
      </c>
      <c r="D709" t="inlineStr">
        <is>
          <t>VÄSTERNORRLANDS LÄN</t>
        </is>
      </c>
      <c r="E709" t="inlineStr">
        <is>
          <t>ÅNGE</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24008-2025</t>
        </is>
      </c>
      <c r="B710" s="1" t="n">
        <v>45796.43841435185</v>
      </c>
      <c r="C710" s="1" t="n">
        <v>45895</v>
      </c>
      <c r="D710" t="inlineStr">
        <is>
          <t>VÄSTERNORRLANDS LÄN</t>
        </is>
      </c>
      <c r="E710" t="inlineStr">
        <is>
          <t>ÅNGE</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19007-2025</t>
        </is>
      </c>
      <c r="B711" s="1" t="n">
        <v>45764.58515046296</v>
      </c>
      <c r="C711" s="1" t="n">
        <v>45895</v>
      </c>
      <c r="D711" t="inlineStr">
        <is>
          <t>VÄSTERNORRLANDS LÄN</t>
        </is>
      </c>
      <c r="E711" t="inlineStr">
        <is>
          <t>ÅNGE</t>
        </is>
      </c>
      <c r="G711" t="n">
        <v>3.7</v>
      </c>
      <c r="H711" t="n">
        <v>0</v>
      </c>
      <c r="I711" t="n">
        <v>0</v>
      </c>
      <c r="J711" t="n">
        <v>0</v>
      </c>
      <c r="K711" t="n">
        <v>0</v>
      </c>
      <c r="L711" t="n">
        <v>0</v>
      </c>
      <c r="M711" t="n">
        <v>0</v>
      </c>
      <c r="N711" t="n">
        <v>0</v>
      </c>
      <c r="O711" t="n">
        <v>0</v>
      </c>
      <c r="P711" t="n">
        <v>0</v>
      </c>
      <c r="Q711" t="n">
        <v>0</v>
      </c>
      <c r="R711" s="2" t="inlineStr"/>
    </row>
    <row r="712" ht="15" customHeight="1">
      <c r="A712" t="inlineStr">
        <is>
          <t>A 60004-2023</t>
        </is>
      </c>
      <c r="B712" s="1" t="n">
        <v>45257</v>
      </c>
      <c r="C712" s="1" t="n">
        <v>45895</v>
      </c>
      <c r="D712" t="inlineStr">
        <is>
          <t>VÄSTERNORRLANDS LÄN</t>
        </is>
      </c>
      <c r="E712" t="inlineStr">
        <is>
          <t>ÅNGE</t>
        </is>
      </c>
      <c r="F712" t="inlineStr">
        <is>
          <t>SCA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14976-2025</t>
        </is>
      </c>
      <c r="B713" s="1" t="n">
        <v>45743</v>
      </c>
      <c r="C713" s="1" t="n">
        <v>45895</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24116-2025</t>
        </is>
      </c>
      <c r="B714" s="1" t="n">
        <v>45796.61498842593</v>
      </c>
      <c r="C714" s="1" t="n">
        <v>45895</v>
      </c>
      <c r="D714" t="inlineStr">
        <is>
          <t>VÄSTERNORRLANDS LÄN</t>
        </is>
      </c>
      <c r="E714" t="inlineStr">
        <is>
          <t>ÅNGE</t>
        </is>
      </c>
      <c r="F714" t="inlineStr">
        <is>
          <t>SCA</t>
        </is>
      </c>
      <c r="G714" t="n">
        <v>14.4</v>
      </c>
      <c r="H714" t="n">
        <v>0</v>
      </c>
      <c r="I714" t="n">
        <v>0</v>
      </c>
      <c r="J714" t="n">
        <v>0</v>
      </c>
      <c r="K714" t="n">
        <v>0</v>
      </c>
      <c r="L714" t="n">
        <v>0</v>
      </c>
      <c r="M714" t="n">
        <v>0</v>
      </c>
      <c r="N714" t="n">
        <v>0</v>
      </c>
      <c r="O714" t="n">
        <v>0</v>
      </c>
      <c r="P714" t="n">
        <v>0</v>
      </c>
      <c r="Q714" t="n">
        <v>0</v>
      </c>
      <c r="R714" s="2" t="inlineStr"/>
    </row>
    <row r="715" ht="15" customHeight="1">
      <c r="A715" t="inlineStr">
        <is>
          <t>A 56189-2024</t>
        </is>
      </c>
      <c r="B715" s="1" t="n">
        <v>45624.57805555555</v>
      </c>
      <c r="C715" s="1" t="n">
        <v>45895</v>
      </c>
      <c r="D715" t="inlineStr">
        <is>
          <t>VÄSTERNORRLANDS LÄN</t>
        </is>
      </c>
      <c r="E715" t="inlineStr">
        <is>
          <t>ÅNGE</t>
        </is>
      </c>
      <c r="G715" t="n">
        <v>1.5</v>
      </c>
      <c r="H715" t="n">
        <v>0</v>
      </c>
      <c r="I715" t="n">
        <v>0</v>
      </c>
      <c r="J715" t="n">
        <v>0</v>
      </c>
      <c r="K715" t="n">
        <v>0</v>
      </c>
      <c r="L715" t="n">
        <v>0</v>
      </c>
      <c r="M715" t="n">
        <v>0</v>
      </c>
      <c r="N715" t="n">
        <v>0</v>
      </c>
      <c r="O715" t="n">
        <v>0</v>
      </c>
      <c r="P715" t="n">
        <v>0</v>
      </c>
      <c r="Q715" t="n">
        <v>0</v>
      </c>
      <c r="R715" s="2" t="inlineStr"/>
    </row>
    <row r="716" ht="15" customHeight="1">
      <c r="A716" t="inlineStr">
        <is>
          <t>A 56191-2024</t>
        </is>
      </c>
      <c r="B716" s="1" t="n">
        <v>45624.57814814815</v>
      </c>
      <c r="C716" s="1" t="n">
        <v>45895</v>
      </c>
      <c r="D716" t="inlineStr">
        <is>
          <t>VÄSTERNORRLANDS LÄN</t>
        </is>
      </c>
      <c r="E716" t="inlineStr">
        <is>
          <t>ÅNGE</t>
        </is>
      </c>
      <c r="G716" t="n">
        <v>1.7</v>
      </c>
      <c r="H716" t="n">
        <v>0</v>
      </c>
      <c r="I716" t="n">
        <v>0</v>
      </c>
      <c r="J716" t="n">
        <v>0</v>
      </c>
      <c r="K716" t="n">
        <v>0</v>
      </c>
      <c r="L716" t="n">
        <v>0</v>
      </c>
      <c r="M716" t="n">
        <v>0</v>
      </c>
      <c r="N716" t="n">
        <v>0</v>
      </c>
      <c r="O716" t="n">
        <v>0</v>
      </c>
      <c r="P716" t="n">
        <v>0</v>
      </c>
      <c r="Q716" t="n">
        <v>0</v>
      </c>
      <c r="R716" s="2" t="inlineStr"/>
    </row>
    <row r="717" ht="15" customHeight="1">
      <c r="A717" t="inlineStr">
        <is>
          <t>A 43622-2023</t>
        </is>
      </c>
      <c r="B717" s="1" t="n">
        <v>45184.70777777778</v>
      </c>
      <c r="C717" s="1" t="n">
        <v>45895</v>
      </c>
      <c r="D717" t="inlineStr">
        <is>
          <t>VÄSTERNORRLANDS LÄN</t>
        </is>
      </c>
      <c r="E717" t="inlineStr">
        <is>
          <t>ÅNGE</t>
        </is>
      </c>
      <c r="F717" t="inlineStr">
        <is>
          <t>Holmen skog AB</t>
        </is>
      </c>
      <c r="G717" t="n">
        <v>5.9</v>
      </c>
      <c r="H717" t="n">
        <v>0</v>
      </c>
      <c r="I717" t="n">
        <v>0</v>
      </c>
      <c r="J717" t="n">
        <v>0</v>
      </c>
      <c r="K717" t="n">
        <v>0</v>
      </c>
      <c r="L717" t="n">
        <v>0</v>
      </c>
      <c r="M717" t="n">
        <v>0</v>
      </c>
      <c r="N717" t="n">
        <v>0</v>
      </c>
      <c r="O717" t="n">
        <v>0</v>
      </c>
      <c r="P717" t="n">
        <v>0</v>
      </c>
      <c r="Q717" t="n">
        <v>0</v>
      </c>
      <c r="R717" s="2" t="inlineStr"/>
    </row>
    <row r="718" ht="15" customHeight="1">
      <c r="A718" t="inlineStr">
        <is>
          <t>A 59626-2022</t>
        </is>
      </c>
      <c r="B718" s="1" t="n">
        <v>44907.92354166666</v>
      </c>
      <c r="C718" s="1" t="n">
        <v>45895</v>
      </c>
      <c r="D718" t="inlineStr">
        <is>
          <t>VÄSTERNORRLANDS LÄN</t>
        </is>
      </c>
      <c r="E718" t="inlineStr">
        <is>
          <t>ÅNGE</t>
        </is>
      </c>
      <c r="G718" t="n">
        <v>1.4</v>
      </c>
      <c r="H718" t="n">
        <v>0</v>
      </c>
      <c r="I718" t="n">
        <v>0</v>
      </c>
      <c r="J718" t="n">
        <v>0</v>
      </c>
      <c r="K718" t="n">
        <v>0</v>
      </c>
      <c r="L718" t="n">
        <v>0</v>
      </c>
      <c r="M718" t="n">
        <v>0</v>
      </c>
      <c r="N718" t="n">
        <v>0</v>
      </c>
      <c r="O718" t="n">
        <v>0</v>
      </c>
      <c r="P718" t="n">
        <v>0</v>
      </c>
      <c r="Q718" t="n">
        <v>0</v>
      </c>
      <c r="R718" s="2" t="inlineStr"/>
    </row>
    <row r="719" ht="15" customHeight="1">
      <c r="A719" t="inlineStr">
        <is>
          <t>A 24458-2025</t>
        </is>
      </c>
      <c r="B719" s="1" t="n">
        <v>45798.34476851852</v>
      </c>
      <c r="C719" s="1" t="n">
        <v>45895</v>
      </c>
      <c r="D719" t="inlineStr">
        <is>
          <t>VÄSTERNORRLANDS LÄN</t>
        </is>
      </c>
      <c r="E719" t="inlineStr">
        <is>
          <t>ÅNGE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3249-2024</t>
        </is>
      </c>
      <c r="B720" s="1" t="n">
        <v>45316</v>
      </c>
      <c r="C720" s="1" t="n">
        <v>45895</v>
      </c>
      <c r="D720" t="inlineStr">
        <is>
          <t>VÄSTERNORRLANDS LÄN</t>
        </is>
      </c>
      <c r="E720" t="inlineStr">
        <is>
          <t>ÅNGE</t>
        </is>
      </c>
      <c r="G720" t="n">
        <v>0.3</v>
      </c>
      <c r="H720" t="n">
        <v>0</v>
      </c>
      <c r="I720" t="n">
        <v>0</v>
      </c>
      <c r="J720" t="n">
        <v>0</v>
      </c>
      <c r="K720" t="n">
        <v>0</v>
      </c>
      <c r="L720" t="n">
        <v>0</v>
      </c>
      <c r="M720" t="n">
        <v>0</v>
      </c>
      <c r="N720" t="n">
        <v>0</v>
      </c>
      <c r="O720" t="n">
        <v>0</v>
      </c>
      <c r="P720" t="n">
        <v>0</v>
      </c>
      <c r="Q720" t="n">
        <v>0</v>
      </c>
      <c r="R720" s="2" t="inlineStr"/>
    </row>
    <row r="721" ht="15" customHeight="1">
      <c r="A721" t="inlineStr">
        <is>
          <t>A 5249-2025</t>
        </is>
      </c>
      <c r="B721" s="1" t="n">
        <v>45692.34465277778</v>
      </c>
      <c r="C721" s="1" t="n">
        <v>45895</v>
      </c>
      <c r="D721" t="inlineStr">
        <is>
          <t>VÄSTERNORRLANDS LÄN</t>
        </is>
      </c>
      <c r="E721" t="inlineStr">
        <is>
          <t>ÅNGE</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29390-2021</t>
        </is>
      </c>
      <c r="B722" s="1" t="n">
        <v>44361</v>
      </c>
      <c r="C722" s="1" t="n">
        <v>45895</v>
      </c>
      <c r="D722" t="inlineStr">
        <is>
          <t>VÄSTERNORRLANDS LÄN</t>
        </is>
      </c>
      <c r="E722" t="inlineStr">
        <is>
          <t>ÅNGE</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30054-2024</t>
        </is>
      </c>
      <c r="B723" s="1" t="n">
        <v>45488.94758101852</v>
      </c>
      <c r="C723" s="1" t="n">
        <v>45895</v>
      </c>
      <c r="D723" t="inlineStr">
        <is>
          <t>VÄSTERNORRLANDS LÄN</t>
        </is>
      </c>
      <c r="E723" t="inlineStr">
        <is>
          <t>ÅNGE</t>
        </is>
      </c>
      <c r="F723" t="inlineStr">
        <is>
          <t>SCA</t>
        </is>
      </c>
      <c r="G723" t="n">
        <v>11.7</v>
      </c>
      <c r="H723" t="n">
        <v>0</v>
      </c>
      <c r="I723" t="n">
        <v>0</v>
      </c>
      <c r="J723" t="n">
        <v>0</v>
      </c>
      <c r="K723" t="n">
        <v>0</v>
      </c>
      <c r="L723" t="n">
        <v>0</v>
      </c>
      <c r="M723" t="n">
        <v>0</v>
      </c>
      <c r="N723" t="n">
        <v>0</v>
      </c>
      <c r="O723" t="n">
        <v>0</v>
      </c>
      <c r="P723" t="n">
        <v>0</v>
      </c>
      <c r="Q723" t="n">
        <v>0</v>
      </c>
      <c r="R723" s="2" t="inlineStr"/>
    </row>
    <row r="724" ht="15" customHeight="1">
      <c r="A724" t="inlineStr">
        <is>
          <t>A 9759-2024</t>
        </is>
      </c>
      <c r="B724" s="1" t="n">
        <v>45362</v>
      </c>
      <c r="C724" s="1" t="n">
        <v>45895</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57271-2024</t>
        </is>
      </c>
      <c r="B725" s="1" t="n">
        <v>45629.57364583333</v>
      </c>
      <c r="C725" s="1" t="n">
        <v>45895</v>
      </c>
      <c r="D725" t="inlineStr">
        <is>
          <t>VÄSTERNORRLANDS LÄN</t>
        </is>
      </c>
      <c r="E725" t="inlineStr">
        <is>
          <t>ÅNGE</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24357-2025</t>
        </is>
      </c>
      <c r="B726" s="1" t="n">
        <v>45797.59467592592</v>
      </c>
      <c r="C726" s="1" t="n">
        <v>45895</v>
      </c>
      <c r="D726" t="inlineStr">
        <is>
          <t>VÄSTERNORRLANDS LÄN</t>
        </is>
      </c>
      <c r="E726" t="inlineStr">
        <is>
          <t>ÅNGE</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5369-2022</t>
        </is>
      </c>
      <c r="B727" s="1" t="n">
        <v>44594.92113425926</v>
      </c>
      <c r="C727" s="1" t="n">
        <v>45895</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24207-2025</t>
        </is>
      </c>
      <c r="B728" s="1" t="n">
        <v>45797.34439814815</v>
      </c>
      <c r="C728" s="1" t="n">
        <v>45895</v>
      </c>
      <c r="D728" t="inlineStr">
        <is>
          <t>VÄSTERNORRLANDS LÄN</t>
        </is>
      </c>
      <c r="E728" t="inlineStr">
        <is>
          <t>ÅNGE</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4-2025</t>
        </is>
      </c>
      <c r="B729" s="1" t="n">
        <v>45658.50107638889</v>
      </c>
      <c r="C729" s="1" t="n">
        <v>45895</v>
      </c>
      <c r="D729" t="inlineStr">
        <is>
          <t>VÄSTERNORRLANDS LÄN</t>
        </is>
      </c>
      <c r="E729" t="inlineStr">
        <is>
          <t>ÅNGE</t>
        </is>
      </c>
      <c r="G729" t="n">
        <v>10.1</v>
      </c>
      <c r="H729" t="n">
        <v>0</v>
      </c>
      <c r="I729" t="n">
        <v>0</v>
      </c>
      <c r="J729" t="n">
        <v>0</v>
      </c>
      <c r="K729" t="n">
        <v>0</v>
      </c>
      <c r="L729" t="n">
        <v>0</v>
      </c>
      <c r="M729" t="n">
        <v>0</v>
      </c>
      <c r="N729" t="n">
        <v>0</v>
      </c>
      <c r="O729" t="n">
        <v>0</v>
      </c>
      <c r="P729" t="n">
        <v>0</v>
      </c>
      <c r="Q729" t="n">
        <v>0</v>
      </c>
      <c r="R729" s="2" t="inlineStr"/>
    </row>
    <row r="730" ht="15" customHeight="1">
      <c r="A730" t="inlineStr">
        <is>
          <t>A 24292-2025</t>
        </is>
      </c>
      <c r="B730" s="1" t="n">
        <v>45797.46657407407</v>
      </c>
      <c r="C730" s="1" t="n">
        <v>45895</v>
      </c>
      <c r="D730" t="inlineStr">
        <is>
          <t>VÄSTERNORRLANDS LÄN</t>
        </is>
      </c>
      <c r="E730" t="inlineStr">
        <is>
          <t>ÅNGE</t>
        </is>
      </c>
      <c r="G730" t="n">
        <v>2.8</v>
      </c>
      <c r="H730" t="n">
        <v>0</v>
      </c>
      <c r="I730" t="n">
        <v>0</v>
      </c>
      <c r="J730" t="n">
        <v>0</v>
      </c>
      <c r="K730" t="n">
        <v>0</v>
      </c>
      <c r="L730" t="n">
        <v>0</v>
      </c>
      <c r="M730" t="n">
        <v>0</v>
      </c>
      <c r="N730" t="n">
        <v>0</v>
      </c>
      <c r="O730" t="n">
        <v>0</v>
      </c>
      <c r="P730" t="n">
        <v>0</v>
      </c>
      <c r="Q730" t="n">
        <v>0</v>
      </c>
      <c r="R730" s="2" t="inlineStr"/>
    </row>
    <row r="731" ht="15" customHeight="1">
      <c r="A731" t="inlineStr">
        <is>
          <t>A 42953-2024</t>
        </is>
      </c>
      <c r="B731" s="1" t="n">
        <v>45567</v>
      </c>
      <c r="C731" s="1" t="n">
        <v>45895</v>
      </c>
      <c r="D731" t="inlineStr">
        <is>
          <t>VÄSTERNORRLANDS LÄN</t>
        </is>
      </c>
      <c r="E731" t="inlineStr">
        <is>
          <t>ÅNGE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42968-2024</t>
        </is>
      </c>
      <c r="B732" s="1" t="n">
        <v>45567</v>
      </c>
      <c r="C732" s="1" t="n">
        <v>45895</v>
      </c>
      <c r="D732" t="inlineStr">
        <is>
          <t>VÄSTERNORRLANDS LÄN</t>
        </is>
      </c>
      <c r="E732" t="inlineStr">
        <is>
          <t>ÅNGE</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22755-2023</t>
        </is>
      </c>
      <c r="B733" s="1" t="n">
        <v>45071.94127314815</v>
      </c>
      <c r="C733" s="1" t="n">
        <v>45895</v>
      </c>
      <c r="D733" t="inlineStr">
        <is>
          <t>VÄSTERNORRLANDS LÄN</t>
        </is>
      </c>
      <c r="E733" t="inlineStr">
        <is>
          <t>ÅNGE</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4142-2024</t>
        </is>
      </c>
      <c r="B734" s="1" t="n">
        <v>45323</v>
      </c>
      <c r="C734" s="1" t="n">
        <v>45895</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27853-2024</t>
        </is>
      </c>
      <c r="B735" s="1" t="n">
        <v>45475</v>
      </c>
      <c r="C735" s="1" t="n">
        <v>45895</v>
      </c>
      <c r="D735" t="inlineStr">
        <is>
          <t>VÄSTERNORRLANDS LÄN</t>
        </is>
      </c>
      <c r="E735" t="inlineStr">
        <is>
          <t>ÅNGE</t>
        </is>
      </c>
      <c r="G735" t="n">
        <v>3.7</v>
      </c>
      <c r="H735" t="n">
        <v>0</v>
      </c>
      <c r="I735" t="n">
        <v>0</v>
      </c>
      <c r="J735" t="n">
        <v>0</v>
      </c>
      <c r="K735" t="n">
        <v>0</v>
      </c>
      <c r="L735" t="n">
        <v>0</v>
      </c>
      <c r="M735" t="n">
        <v>0</v>
      </c>
      <c r="N735" t="n">
        <v>0</v>
      </c>
      <c r="O735" t="n">
        <v>0</v>
      </c>
      <c r="P735" t="n">
        <v>0</v>
      </c>
      <c r="Q735" t="n">
        <v>0</v>
      </c>
      <c r="R735" s="2" t="inlineStr"/>
    </row>
    <row r="736" ht="15" customHeight="1">
      <c r="A736" t="inlineStr">
        <is>
          <t>A 10781-2024</t>
        </is>
      </c>
      <c r="B736" s="1" t="n">
        <v>45369.59635416666</v>
      </c>
      <c r="C736" s="1" t="n">
        <v>45895</v>
      </c>
      <c r="D736" t="inlineStr">
        <is>
          <t>VÄSTERNORRLANDS LÄN</t>
        </is>
      </c>
      <c r="E736" t="inlineStr">
        <is>
          <t>ÅNGE</t>
        </is>
      </c>
      <c r="G736" t="n">
        <v>1.9</v>
      </c>
      <c r="H736" t="n">
        <v>0</v>
      </c>
      <c r="I736" t="n">
        <v>0</v>
      </c>
      <c r="J736" t="n">
        <v>0</v>
      </c>
      <c r="K736" t="n">
        <v>0</v>
      </c>
      <c r="L736" t="n">
        <v>0</v>
      </c>
      <c r="M736" t="n">
        <v>0</v>
      </c>
      <c r="N736" t="n">
        <v>0</v>
      </c>
      <c r="O736" t="n">
        <v>0</v>
      </c>
      <c r="P736" t="n">
        <v>0</v>
      </c>
      <c r="Q736" t="n">
        <v>0</v>
      </c>
      <c r="R736" s="2" t="inlineStr"/>
    </row>
    <row r="737" ht="15" customHeight="1">
      <c r="A737" t="inlineStr">
        <is>
          <t>A 50419-2022</t>
        </is>
      </c>
      <c r="B737" s="1" t="n">
        <v>44861</v>
      </c>
      <c r="C737" s="1" t="n">
        <v>45895</v>
      </c>
      <c r="D737" t="inlineStr">
        <is>
          <t>VÄSTERNORRLANDS LÄN</t>
        </is>
      </c>
      <c r="E737" t="inlineStr">
        <is>
          <t>ÅNGE</t>
        </is>
      </c>
      <c r="G737" t="n">
        <v>1.3</v>
      </c>
      <c r="H737" t="n">
        <v>0</v>
      </c>
      <c r="I737" t="n">
        <v>0</v>
      </c>
      <c r="J737" t="n">
        <v>0</v>
      </c>
      <c r="K737" t="n">
        <v>0</v>
      </c>
      <c r="L737" t="n">
        <v>0</v>
      </c>
      <c r="M737" t="n">
        <v>0</v>
      </c>
      <c r="N737" t="n">
        <v>0</v>
      </c>
      <c r="O737" t="n">
        <v>0</v>
      </c>
      <c r="P737" t="n">
        <v>0</v>
      </c>
      <c r="Q737" t="n">
        <v>0</v>
      </c>
      <c r="R737" s="2" t="inlineStr"/>
    </row>
    <row r="738" ht="15" customHeight="1">
      <c r="A738" t="inlineStr">
        <is>
          <t>A 24627-2025</t>
        </is>
      </c>
      <c r="B738" s="1" t="n">
        <v>45798.59471064815</v>
      </c>
      <c r="C738" s="1" t="n">
        <v>45895</v>
      </c>
      <c r="D738" t="inlineStr">
        <is>
          <t>VÄSTERNORRLANDS LÄN</t>
        </is>
      </c>
      <c r="E738" t="inlineStr">
        <is>
          <t>ÅNGE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24209-2025</t>
        </is>
      </c>
      <c r="B739" s="1" t="n">
        <v>45797.3446875</v>
      </c>
      <c r="C739" s="1" t="n">
        <v>45895</v>
      </c>
      <c r="D739" t="inlineStr">
        <is>
          <t>VÄSTERNORRLANDS LÄN</t>
        </is>
      </c>
      <c r="E739" t="inlineStr">
        <is>
          <t>ÅNGE</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42881-2023</t>
        </is>
      </c>
      <c r="B740" s="1" t="n">
        <v>45182.45256944445</v>
      </c>
      <c r="C740" s="1" t="n">
        <v>45895</v>
      </c>
      <c r="D740" t="inlineStr">
        <is>
          <t>VÄSTERNORRLANDS LÄN</t>
        </is>
      </c>
      <c r="E740" t="inlineStr">
        <is>
          <t>ÅNGE</t>
        </is>
      </c>
      <c r="G740" t="n">
        <v>3.9</v>
      </c>
      <c r="H740" t="n">
        <v>0</v>
      </c>
      <c r="I740" t="n">
        <v>0</v>
      </c>
      <c r="J740" t="n">
        <v>0</v>
      </c>
      <c r="K740" t="n">
        <v>0</v>
      </c>
      <c r="L740" t="n">
        <v>0</v>
      </c>
      <c r="M740" t="n">
        <v>0</v>
      </c>
      <c r="N740" t="n">
        <v>0</v>
      </c>
      <c r="O740" t="n">
        <v>0</v>
      </c>
      <c r="P740" t="n">
        <v>0</v>
      </c>
      <c r="Q740" t="n">
        <v>0</v>
      </c>
      <c r="R740" s="2" t="inlineStr"/>
    </row>
    <row r="741" ht="15" customHeight="1">
      <c r="A741" t="inlineStr">
        <is>
          <t>A 24232-2025</t>
        </is>
      </c>
      <c r="B741" s="1" t="n">
        <v>45797.37846064815</v>
      </c>
      <c r="C741" s="1" t="n">
        <v>45895</v>
      </c>
      <c r="D741" t="inlineStr">
        <is>
          <t>VÄSTERNORRLANDS LÄN</t>
        </is>
      </c>
      <c r="E741" t="inlineStr">
        <is>
          <t>ÅNGE</t>
        </is>
      </c>
      <c r="G741" t="n">
        <v>2.8</v>
      </c>
      <c r="H741" t="n">
        <v>0</v>
      </c>
      <c r="I741" t="n">
        <v>0</v>
      </c>
      <c r="J741" t="n">
        <v>0</v>
      </c>
      <c r="K741" t="n">
        <v>0</v>
      </c>
      <c r="L741" t="n">
        <v>0</v>
      </c>
      <c r="M741" t="n">
        <v>0</v>
      </c>
      <c r="N741" t="n">
        <v>0</v>
      </c>
      <c r="O741" t="n">
        <v>0</v>
      </c>
      <c r="P741" t="n">
        <v>0</v>
      </c>
      <c r="Q741" t="n">
        <v>0</v>
      </c>
      <c r="R741" s="2" t="inlineStr"/>
    </row>
    <row r="742" ht="15" customHeight="1">
      <c r="A742" t="inlineStr">
        <is>
          <t>A 16450-2025</t>
        </is>
      </c>
      <c r="B742" s="1" t="n">
        <v>45751.51081018519</v>
      </c>
      <c r="C742" s="1" t="n">
        <v>45895</v>
      </c>
      <c r="D742" t="inlineStr">
        <is>
          <t>VÄSTERNORRLANDS LÄN</t>
        </is>
      </c>
      <c r="E742" t="inlineStr">
        <is>
          <t>ÅNGE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18430-2025</t>
        </is>
      </c>
      <c r="B743" s="1" t="n">
        <v>45762.63576388889</v>
      </c>
      <c r="C743" s="1" t="n">
        <v>45895</v>
      </c>
      <c r="D743" t="inlineStr">
        <is>
          <t>VÄSTERNORRLANDS LÄN</t>
        </is>
      </c>
      <c r="E743" t="inlineStr">
        <is>
          <t>ÅNGE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43916-2023</t>
        </is>
      </c>
      <c r="B744" s="1" t="n">
        <v>45187.72152777778</v>
      </c>
      <c r="C744" s="1" t="n">
        <v>45895</v>
      </c>
      <c r="D744" t="inlineStr">
        <is>
          <t>VÄSTERNORRLANDS LÄN</t>
        </is>
      </c>
      <c r="E744" t="inlineStr">
        <is>
          <t>ÅNGE</t>
        </is>
      </c>
      <c r="G744" t="n">
        <v>3.1</v>
      </c>
      <c r="H744" t="n">
        <v>0</v>
      </c>
      <c r="I744" t="n">
        <v>0</v>
      </c>
      <c r="J744" t="n">
        <v>0</v>
      </c>
      <c r="K744" t="n">
        <v>0</v>
      </c>
      <c r="L744" t="n">
        <v>0</v>
      </c>
      <c r="M744" t="n">
        <v>0</v>
      </c>
      <c r="N744" t="n">
        <v>0</v>
      </c>
      <c r="O744" t="n">
        <v>0</v>
      </c>
      <c r="P744" t="n">
        <v>0</v>
      </c>
      <c r="Q744" t="n">
        <v>0</v>
      </c>
      <c r="R744" s="2" t="inlineStr"/>
    </row>
    <row r="745" ht="15" customHeight="1">
      <c r="A745" t="inlineStr">
        <is>
          <t>A 25340-2025</t>
        </is>
      </c>
      <c r="B745" s="1" t="n">
        <v>45800.60074074074</v>
      </c>
      <c r="C745" s="1" t="n">
        <v>45895</v>
      </c>
      <c r="D745" t="inlineStr">
        <is>
          <t>VÄSTERNORRLANDS LÄN</t>
        </is>
      </c>
      <c r="E745" t="inlineStr">
        <is>
          <t>ÅNGE</t>
        </is>
      </c>
      <c r="G745" t="n">
        <v>2.7</v>
      </c>
      <c r="H745" t="n">
        <v>0</v>
      </c>
      <c r="I745" t="n">
        <v>0</v>
      </c>
      <c r="J745" t="n">
        <v>0</v>
      </c>
      <c r="K745" t="n">
        <v>0</v>
      </c>
      <c r="L745" t="n">
        <v>0</v>
      </c>
      <c r="M745" t="n">
        <v>0</v>
      </c>
      <c r="N745" t="n">
        <v>0</v>
      </c>
      <c r="O745" t="n">
        <v>0</v>
      </c>
      <c r="P745" t="n">
        <v>0</v>
      </c>
      <c r="Q745" t="n">
        <v>0</v>
      </c>
      <c r="R745" s="2" t="inlineStr"/>
    </row>
    <row r="746" ht="15" customHeight="1">
      <c r="A746" t="inlineStr">
        <is>
          <t>A 25273-2025</t>
        </is>
      </c>
      <c r="B746" s="1" t="n">
        <v>45800.55253472222</v>
      </c>
      <c r="C746" s="1" t="n">
        <v>45895</v>
      </c>
      <c r="D746" t="inlineStr">
        <is>
          <t>VÄSTERNORRLANDS LÄN</t>
        </is>
      </c>
      <c r="E746" t="inlineStr">
        <is>
          <t>ÅNGE</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25352-2025</t>
        </is>
      </c>
      <c r="B747" s="1" t="n">
        <v>45800.61552083334</v>
      </c>
      <c r="C747" s="1" t="n">
        <v>45895</v>
      </c>
      <c r="D747" t="inlineStr">
        <is>
          <t>VÄSTERNORRLANDS LÄN</t>
        </is>
      </c>
      <c r="E747" t="inlineStr">
        <is>
          <t>ÅNGE</t>
        </is>
      </c>
      <c r="F747" t="inlineStr">
        <is>
          <t>SCA</t>
        </is>
      </c>
      <c r="G747" t="n">
        <v>6.3</v>
      </c>
      <c r="H747" t="n">
        <v>0</v>
      </c>
      <c r="I747" t="n">
        <v>0</v>
      </c>
      <c r="J747" t="n">
        <v>0</v>
      </c>
      <c r="K747" t="n">
        <v>0</v>
      </c>
      <c r="L747" t="n">
        <v>0</v>
      </c>
      <c r="M747" t="n">
        <v>0</v>
      </c>
      <c r="N747" t="n">
        <v>0</v>
      </c>
      <c r="O747" t="n">
        <v>0</v>
      </c>
      <c r="P747" t="n">
        <v>0</v>
      </c>
      <c r="Q747" t="n">
        <v>0</v>
      </c>
      <c r="R747" s="2" t="inlineStr"/>
    </row>
    <row r="748" ht="15" customHeight="1">
      <c r="A748" t="inlineStr">
        <is>
          <t>A 42100-2023</t>
        </is>
      </c>
      <c r="B748" s="1" t="n">
        <v>45174</v>
      </c>
      <c r="C748" s="1" t="n">
        <v>45895</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25017-2025</t>
        </is>
      </c>
      <c r="B749" s="1" t="n">
        <v>45799.63791666667</v>
      </c>
      <c r="C749" s="1" t="n">
        <v>45895</v>
      </c>
      <c r="D749" t="inlineStr">
        <is>
          <t>VÄSTERNORRLANDS LÄN</t>
        </is>
      </c>
      <c r="E749" t="inlineStr">
        <is>
          <t>ÅNGE</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51411-2023</t>
        </is>
      </c>
      <c r="B750" s="1" t="n">
        <v>45219</v>
      </c>
      <c r="C750" s="1" t="n">
        <v>45895</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20255-2023</t>
        </is>
      </c>
      <c r="B751" s="1" t="n">
        <v>45055</v>
      </c>
      <c r="C751" s="1" t="n">
        <v>45895</v>
      </c>
      <c r="D751" t="inlineStr">
        <is>
          <t>VÄSTERNORRLANDS LÄN</t>
        </is>
      </c>
      <c r="E751" t="inlineStr">
        <is>
          <t>ÅNGE</t>
        </is>
      </c>
      <c r="G751" t="n">
        <v>1.4</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45895</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25241-2025</t>
        </is>
      </c>
      <c r="B753" s="1" t="n">
        <v>45800.49053240741</v>
      </c>
      <c r="C753" s="1" t="n">
        <v>45895</v>
      </c>
      <c r="D753" t="inlineStr">
        <is>
          <t>VÄSTERNORRLANDS LÄN</t>
        </is>
      </c>
      <c r="E753" t="inlineStr">
        <is>
          <t>ÅNGE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54429-2024</t>
        </is>
      </c>
      <c r="B754" s="1" t="n">
        <v>45617.49087962963</v>
      </c>
      <c r="C754" s="1" t="n">
        <v>45895</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59222-2020</t>
        </is>
      </c>
      <c r="B755" s="1" t="n">
        <v>44147</v>
      </c>
      <c r="C755" s="1" t="n">
        <v>45895</v>
      </c>
      <c r="D755" t="inlineStr">
        <is>
          <t>VÄSTERNORRLANDS LÄN</t>
        </is>
      </c>
      <c r="E755" t="inlineStr">
        <is>
          <t>ÅNGE</t>
        </is>
      </c>
      <c r="G755" t="n">
        <v>7.6</v>
      </c>
      <c r="H755" t="n">
        <v>0</v>
      </c>
      <c r="I755" t="n">
        <v>0</v>
      </c>
      <c r="J755" t="n">
        <v>0</v>
      </c>
      <c r="K755" t="n">
        <v>0</v>
      </c>
      <c r="L755" t="n">
        <v>0</v>
      </c>
      <c r="M755" t="n">
        <v>0</v>
      </c>
      <c r="N755" t="n">
        <v>0</v>
      </c>
      <c r="O755" t="n">
        <v>0</v>
      </c>
      <c r="P755" t="n">
        <v>0</v>
      </c>
      <c r="Q755" t="n">
        <v>0</v>
      </c>
      <c r="R755" s="2" t="inlineStr"/>
    </row>
    <row r="756" ht="15" customHeight="1">
      <c r="A756" t="inlineStr">
        <is>
          <t>A 25274-2025</t>
        </is>
      </c>
      <c r="B756" s="1" t="n">
        <v>45800.55276620371</v>
      </c>
      <c r="C756" s="1" t="n">
        <v>45895</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65149-2020</t>
        </is>
      </c>
      <c r="B757" s="1" t="n">
        <v>44172</v>
      </c>
      <c r="C757" s="1" t="n">
        <v>45895</v>
      </c>
      <c r="D757" t="inlineStr">
        <is>
          <t>VÄSTERNORRLANDS LÄN</t>
        </is>
      </c>
      <c r="E757" t="inlineStr">
        <is>
          <t>ÅNGE</t>
        </is>
      </c>
      <c r="G757" t="n">
        <v>9.5</v>
      </c>
      <c r="H757" t="n">
        <v>0</v>
      </c>
      <c r="I757" t="n">
        <v>0</v>
      </c>
      <c r="J757" t="n">
        <v>0</v>
      </c>
      <c r="K757" t="n">
        <v>0</v>
      </c>
      <c r="L757" t="n">
        <v>0</v>
      </c>
      <c r="M757" t="n">
        <v>0</v>
      </c>
      <c r="N757" t="n">
        <v>0</v>
      </c>
      <c r="O757" t="n">
        <v>0</v>
      </c>
      <c r="P757" t="n">
        <v>0</v>
      </c>
      <c r="Q757" t="n">
        <v>0</v>
      </c>
      <c r="R757" s="2" t="inlineStr"/>
    </row>
    <row r="758" ht="15" customHeight="1">
      <c r="A758" t="inlineStr">
        <is>
          <t>A 4095-2023</t>
        </is>
      </c>
      <c r="B758" s="1" t="n">
        <v>44952</v>
      </c>
      <c r="C758" s="1" t="n">
        <v>45895</v>
      </c>
      <c r="D758" t="inlineStr">
        <is>
          <t>VÄSTERNORRLANDS LÄN</t>
        </is>
      </c>
      <c r="E758" t="inlineStr">
        <is>
          <t>ÅNGE</t>
        </is>
      </c>
      <c r="G758" t="n">
        <v>13.4</v>
      </c>
      <c r="H758" t="n">
        <v>0</v>
      </c>
      <c r="I758" t="n">
        <v>0</v>
      </c>
      <c r="J758" t="n">
        <v>0</v>
      </c>
      <c r="K758" t="n">
        <v>0</v>
      </c>
      <c r="L758" t="n">
        <v>0</v>
      </c>
      <c r="M758" t="n">
        <v>0</v>
      </c>
      <c r="N758" t="n">
        <v>0</v>
      </c>
      <c r="O758" t="n">
        <v>0</v>
      </c>
      <c r="P758" t="n">
        <v>0</v>
      </c>
      <c r="Q758" t="n">
        <v>0</v>
      </c>
      <c r="R758" s="2" t="inlineStr"/>
    </row>
    <row r="759" ht="15" customHeight="1">
      <c r="A759" t="inlineStr">
        <is>
          <t>A 5367-2022</t>
        </is>
      </c>
      <c r="B759" s="1" t="n">
        <v>44594.92111111111</v>
      </c>
      <c r="C759" s="1" t="n">
        <v>45895</v>
      </c>
      <c r="D759" t="inlineStr">
        <is>
          <t>VÄSTERNORRLANDS LÄN</t>
        </is>
      </c>
      <c r="E759" t="inlineStr">
        <is>
          <t>ÅNGE</t>
        </is>
      </c>
      <c r="G759" t="n">
        <v>1.4</v>
      </c>
      <c r="H759" t="n">
        <v>0</v>
      </c>
      <c r="I759" t="n">
        <v>0</v>
      </c>
      <c r="J759" t="n">
        <v>0</v>
      </c>
      <c r="K759" t="n">
        <v>0</v>
      </c>
      <c r="L759" t="n">
        <v>0</v>
      </c>
      <c r="M759" t="n">
        <v>0</v>
      </c>
      <c r="N759" t="n">
        <v>0</v>
      </c>
      <c r="O759" t="n">
        <v>0</v>
      </c>
      <c r="P759" t="n">
        <v>0</v>
      </c>
      <c r="Q759" t="n">
        <v>0</v>
      </c>
      <c r="R759" s="2" t="inlineStr"/>
    </row>
    <row r="760" ht="15" customHeight="1">
      <c r="A760" t="inlineStr">
        <is>
          <t>A 36492-2023</t>
        </is>
      </c>
      <c r="B760" s="1" t="n">
        <v>45152.92479166666</v>
      </c>
      <c r="C760" s="1" t="n">
        <v>45895</v>
      </c>
      <c r="D760" t="inlineStr">
        <is>
          <t>VÄSTERNORRLANDS LÄN</t>
        </is>
      </c>
      <c r="E760" t="inlineStr">
        <is>
          <t>ÅNGE</t>
        </is>
      </c>
      <c r="G760" t="n">
        <v>0.5</v>
      </c>
      <c r="H760" t="n">
        <v>0</v>
      </c>
      <c r="I760" t="n">
        <v>0</v>
      </c>
      <c r="J760" t="n">
        <v>0</v>
      </c>
      <c r="K760" t="n">
        <v>0</v>
      </c>
      <c r="L760" t="n">
        <v>0</v>
      </c>
      <c r="M760" t="n">
        <v>0</v>
      </c>
      <c r="N760" t="n">
        <v>0</v>
      </c>
      <c r="O760" t="n">
        <v>0</v>
      </c>
      <c r="P760" t="n">
        <v>0</v>
      </c>
      <c r="Q760" t="n">
        <v>0</v>
      </c>
      <c r="R760" s="2" t="inlineStr"/>
    </row>
    <row r="761" ht="15" customHeight="1">
      <c r="A761" t="inlineStr">
        <is>
          <t>A 72239-2021</t>
        </is>
      </c>
      <c r="B761" s="1" t="n">
        <v>44544.9203587963</v>
      </c>
      <c r="C761" s="1" t="n">
        <v>45895</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25332-2025</t>
        </is>
      </c>
      <c r="B762" s="1" t="n">
        <v>45800.59418981482</v>
      </c>
      <c r="C762" s="1" t="n">
        <v>45895</v>
      </c>
      <c r="D762" t="inlineStr">
        <is>
          <t>VÄSTERNORRLANDS LÄN</t>
        </is>
      </c>
      <c r="E762" t="inlineStr">
        <is>
          <t>ÅNGE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24852-2025</t>
        </is>
      </c>
      <c r="B763" s="1" t="n">
        <v>45799.46975694445</v>
      </c>
      <c r="C763" s="1" t="n">
        <v>45895</v>
      </c>
      <c r="D763" t="inlineStr">
        <is>
          <t>VÄSTERNORRLANDS LÄN</t>
        </is>
      </c>
      <c r="E763" t="inlineStr">
        <is>
          <t>ÅNGE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8650-2024</t>
        </is>
      </c>
      <c r="B764" s="1" t="n">
        <v>45356</v>
      </c>
      <c r="C764" s="1" t="n">
        <v>45895</v>
      </c>
      <c r="D764" t="inlineStr">
        <is>
          <t>VÄSTERNORRLANDS LÄN</t>
        </is>
      </c>
      <c r="E764" t="inlineStr">
        <is>
          <t>ÅNGE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55882-2022</t>
        </is>
      </c>
      <c r="B765" s="1" t="n">
        <v>44888</v>
      </c>
      <c r="C765" s="1" t="n">
        <v>45895</v>
      </c>
      <c r="D765" t="inlineStr">
        <is>
          <t>VÄSTERNORRLANDS LÄN</t>
        </is>
      </c>
      <c r="E765" t="inlineStr">
        <is>
          <t>ÅNGE</t>
        </is>
      </c>
      <c r="G765" t="n">
        <v>2.7</v>
      </c>
      <c r="H765" t="n">
        <v>0</v>
      </c>
      <c r="I765" t="n">
        <v>0</v>
      </c>
      <c r="J765" t="n">
        <v>0</v>
      </c>
      <c r="K765" t="n">
        <v>0</v>
      </c>
      <c r="L765" t="n">
        <v>0</v>
      </c>
      <c r="M765" t="n">
        <v>0</v>
      </c>
      <c r="N765" t="n">
        <v>0</v>
      </c>
      <c r="O765" t="n">
        <v>0</v>
      </c>
      <c r="P765" t="n">
        <v>0</v>
      </c>
      <c r="Q765" t="n">
        <v>0</v>
      </c>
      <c r="R765" s="2" t="inlineStr"/>
    </row>
    <row r="766" ht="15" customHeight="1">
      <c r="A766" t="inlineStr">
        <is>
          <t>A 24847-2025</t>
        </is>
      </c>
      <c r="B766" s="1" t="n">
        <v>45799.46907407408</v>
      </c>
      <c r="C766" s="1" t="n">
        <v>45895</v>
      </c>
      <c r="D766" t="inlineStr">
        <is>
          <t>VÄSTERNORRLANDS LÄN</t>
        </is>
      </c>
      <c r="E766" t="inlineStr">
        <is>
          <t>ÅNGE</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25067-2025</t>
        </is>
      </c>
      <c r="B767" s="1" t="n">
        <v>45799.71908564815</v>
      </c>
      <c r="C767" s="1" t="n">
        <v>45895</v>
      </c>
      <c r="D767" t="inlineStr">
        <is>
          <t>VÄSTERNORRLANDS LÄN</t>
        </is>
      </c>
      <c r="E767" t="inlineStr">
        <is>
          <t>ÅNGE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46249-2024</t>
        </is>
      </c>
      <c r="B768" s="1" t="n">
        <v>45581.59409722222</v>
      </c>
      <c r="C768" s="1" t="n">
        <v>45895</v>
      </c>
      <c r="D768" t="inlineStr">
        <is>
          <t>VÄSTERNORRLANDS LÄN</t>
        </is>
      </c>
      <c r="E768" t="inlineStr">
        <is>
          <t>ÅNGE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25532-2025</t>
        </is>
      </c>
      <c r="B769" s="1" t="n">
        <v>45803.4065162037</v>
      </c>
      <c r="C769" s="1" t="n">
        <v>45895</v>
      </c>
      <c r="D769" t="inlineStr">
        <is>
          <t>VÄSTERNORRLANDS LÄN</t>
        </is>
      </c>
      <c r="E769" t="inlineStr">
        <is>
          <t>ÅNGE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25810-2025</t>
        </is>
      </c>
      <c r="B770" s="1" t="n">
        <v>45804.42083333333</v>
      </c>
      <c r="C770" s="1" t="n">
        <v>45895</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25717-2025</t>
        </is>
      </c>
      <c r="B771" s="1" t="n">
        <v>45803.6985300926</v>
      </c>
      <c r="C771" s="1" t="n">
        <v>45895</v>
      </c>
      <c r="D771" t="inlineStr">
        <is>
          <t>VÄSTERNORRLANDS LÄN</t>
        </is>
      </c>
      <c r="E771" t="inlineStr">
        <is>
          <t>ÅNGE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31863-2024</t>
        </is>
      </c>
      <c r="B772" s="1" t="n">
        <v>45509.74121527778</v>
      </c>
      <c r="C772" s="1" t="n">
        <v>45895</v>
      </c>
      <c r="D772" t="inlineStr">
        <is>
          <t>VÄSTERNORRLANDS LÄN</t>
        </is>
      </c>
      <c r="E772" t="inlineStr">
        <is>
          <t>ÅNGE</t>
        </is>
      </c>
      <c r="G772" t="n">
        <v>4.5</v>
      </c>
      <c r="H772" t="n">
        <v>0</v>
      </c>
      <c r="I772" t="n">
        <v>0</v>
      </c>
      <c r="J772" t="n">
        <v>0</v>
      </c>
      <c r="K772" t="n">
        <v>0</v>
      </c>
      <c r="L772" t="n">
        <v>0</v>
      </c>
      <c r="M772" t="n">
        <v>0</v>
      </c>
      <c r="N772" t="n">
        <v>0</v>
      </c>
      <c r="O772" t="n">
        <v>0</v>
      </c>
      <c r="P772" t="n">
        <v>0</v>
      </c>
      <c r="Q772" t="n">
        <v>0</v>
      </c>
      <c r="R772" s="2" t="inlineStr"/>
    </row>
    <row r="773" ht="15" customHeight="1">
      <c r="A773" t="inlineStr">
        <is>
          <t>A 53651-2023</t>
        </is>
      </c>
      <c r="B773" s="1" t="n">
        <v>45230.60815972222</v>
      </c>
      <c r="C773" s="1" t="n">
        <v>45895</v>
      </c>
      <c r="D773" t="inlineStr">
        <is>
          <t>VÄSTERNORRLANDS LÄN</t>
        </is>
      </c>
      <c r="E773" t="inlineStr">
        <is>
          <t>ÅNGE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25706-2025</t>
        </is>
      </c>
      <c r="B774" s="1" t="n">
        <v>45803.67788194444</v>
      </c>
      <c r="C774" s="1" t="n">
        <v>45895</v>
      </c>
      <c r="D774" t="inlineStr">
        <is>
          <t>VÄSTERNORRLANDS LÄN</t>
        </is>
      </c>
      <c r="E774" t="inlineStr">
        <is>
          <t>ÅNGE</t>
        </is>
      </c>
      <c r="F774" t="inlineStr">
        <is>
          <t>SCA</t>
        </is>
      </c>
      <c r="G774" t="n">
        <v>13.1</v>
      </c>
      <c r="H774" t="n">
        <v>0</v>
      </c>
      <c r="I774" t="n">
        <v>0</v>
      </c>
      <c r="J774" t="n">
        <v>0</v>
      </c>
      <c r="K774" t="n">
        <v>0</v>
      </c>
      <c r="L774" t="n">
        <v>0</v>
      </c>
      <c r="M774" t="n">
        <v>0</v>
      </c>
      <c r="N774" t="n">
        <v>0</v>
      </c>
      <c r="O774" t="n">
        <v>0</v>
      </c>
      <c r="P774" t="n">
        <v>0</v>
      </c>
      <c r="Q774" t="n">
        <v>0</v>
      </c>
      <c r="R774" s="2" t="inlineStr"/>
    </row>
    <row r="775" ht="15" customHeight="1">
      <c r="A775" t="inlineStr">
        <is>
          <t>A 36877-2024</t>
        </is>
      </c>
      <c r="B775" s="1" t="n">
        <v>45538.59418981482</v>
      </c>
      <c r="C775" s="1" t="n">
        <v>45895</v>
      </c>
      <c r="D775" t="inlineStr">
        <is>
          <t>VÄSTERNORRLANDS LÄN</t>
        </is>
      </c>
      <c r="E775" t="inlineStr">
        <is>
          <t>ÅNGE</t>
        </is>
      </c>
      <c r="G775" t="n">
        <v>3.3</v>
      </c>
      <c r="H775" t="n">
        <v>0</v>
      </c>
      <c r="I775" t="n">
        <v>0</v>
      </c>
      <c r="J775" t="n">
        <v>0</v>
      </c>
      <c r="K775" t="n">
        <v>0</v>
      </c>
      <c r="L775" t="n">
        <v>0</v>
      </c>
      <c r="M775" t="n">
        <v>0</v>
      </c>
      <c r="N775" t="n">
        <v>0</v>
      </c>
      <c r="O775" t="n">
        <v>0</v>
      </c>
      <c r="P775" t="n">
        <v>0</v>
      </c>
      <c r="Q775" t="n">
        <v>0</v>
      </c>
      <c r="R775" s="2" t="inlineStr"/>
    </row>
    <row r="776" ht="15" customHeight="1">
      <c r="A776" t="inlineStr">
        <is>
          <t>A 25499-2025</t>
        </is>
      </c>
      <c r="B776" s="1" t="n">
        <v>45803.344375</v>
      </c>
      <c r="C776" s="1" t="n">
        <v>45895</v>
      </c>
      <c r="D776" t="inlineStr">
        <is>
          <t>VÄSTERNORRLANDS LÄN</t>
        </is>
      </c>
      <c r="E776" t="inlineStr">
        <is>
          <t>ÅNGE</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25772-2025</t>
        </is>
      </c>
      <c r="B777" s="1" t="n">
        <v>45804.34520833333</v>
      </c>
      <c r="C777" s="1" t="n">
        <v>45895</v>
      </c>
      <c r="D777" t="inlineStr">
        <is>
          <t>VÄSTERNORRLANDS LÄN</t>
        </is>
      </c>
      <c r="E777" t="inlineStr">
        <is>
          <t>ÅNGE</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38272-2024</t>
        </is>
      </c>
      <c r="B778" s="1" t="n">
        <v>45545.60392361111</v>
      </c>
      <c r="C778" s="1" t="n">
        <v>45895</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56569-2024</t>
        </is>
      </c>
      <c r="B779" s="1" t="n">
        <v>45625</v>
      </c>
      <c r="C779" s="1" t="n">
        <v>45895</v>
      </c>
      <c r="D779" t="inlineStr">
        <is>
          <t>VÄSTERNORRLANDS LÄN</t>
        </is>
      </c>
      <c r="E779" t="inlineStr">
        <is>
          <t>ÅNGE</t>
        </is>
      </c>
      <c r="G779" t="n">
        <v>4.8</v>
      </c>
      <c r="H779" t="n">
        <v>0</v>
      </c>
      <c r="I779" t="n">
        <v>0</v>
      </c>
      <c r="J779" t="n">
        <v>0</v>
      </c>
      <c r="K779" t="n">
        <v>0</v>
      </c>
      <c r="L779" t="n">
        <v>0</v>
      </c>
      <c r="M779" t="n">
        <v>0</v>
      </c>
      <c r="N779" t="n">
        <v>0</v>
      </c>
      <c r="O779" t="n">
        <v>0</v>
      </c>
      <c r="P779" t="n">
        <v>0</v>
      </c>
      <c r="Q779" t="n">
        <v>0</v>
      </c>
      <c r="R779" s="2" t="inlineStr"/>
    </row>
    <row r="780" ht="15" customHeight="1">
      <c r="A780" t="inlineStr">
        <is>
          <t>A 15863-2022</t>
        </is>
      </c>
      <c r="B780" s="1" t="n">
        <v>44664</v>
      </c>
      <c r="C780" s="1" t="n">
        <v>45895</v>
      </c>
      <c r="D780" t="inlineStr">
        <is>
          <t>VÄSTERNORRLANDS LÄN</t>
        </is>
      </c>
      <c r="E780" t="inlineStr">
        <is>
          <t>ÅNGE</t>
        </is>
      </c>
      <c r="G780" t="n">
        <v>3.6</v>
      </c>
      <c r="H780" t="n">
        <v>0</v>
      </c>
      <c r="I780" t="n">
        <v>0</v>
      </c>
      <c r="J780" t="n">
        <v>0</v>
      </c>
      <c r="K780" t="n">
        <v>0</v>
      </c>
      <c r="L780" t="n">
        <v>0</v>
      </c>
      <c r="M780" t="n">
        <v>0</v>
      </c>
      <c r="N780" t="n">
        <v>0</v>
      </c>
      <c r="O780" t="n">
        <v>0</v>
      </c>
      <c r="P780" t="n">
        <v>0</v>
      </c>
      <c r="Q780" t="n">
        <v>0</v>
      </c>
      <c r="R780" s="2" t="inlineStr"/>
    </row>
    <row r="781" ht="15" customHeight="1">
      <c r="A781" t="inlineStr">
        <is>
          <t>A 57529-2024</t>
        </is>
      </c>
      <c r="B781" s="1" t="n">
        <v>45630</v>
      </c>
      <c r="C781" s="1" t="n">
        <v>45895</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4872-2025</t>
        </is>
      </c>
      <c r="B782" s="1" t="n">
        <v>45688.67619212963</v>
      </c>
      <c r="C782" s="1" t="n">
        <v>45895</v>
      </c>
      <c r="D782" t="inlineStr">
        <is>
          <t>VÄSTERNORRLANDS LÄN</t>
        </is>
      </c>
      <c r="E782" t="inlineStr">
        <is>
          <t>ÅNGE</t>
        </is>
      </c>
      <c r="F782" t="inlineStr">
        <is>
          <t>SCA</t>
        </is>
      </c>
      <c r="G782" t="n">
        <v>31.3</v>
      </c>
      <c r="H782" t="n">
        <v>0</v>
      </c>
      <c r="I782" t="n">
        <v>0</v>
      </c>
      <c r="J782" t="n">
        <v>0</v>
      </c>
      <c r="K782" t="n">
        <v>0</v>
      </c>
      <c r="L782" t="n">
        <v>0</v>
      </c>
      <c r="M782" t="n">
        <v>0</v>
      </c>
      <c r="N782" t="n">
        <v>0</v>
      </c>
      <c r="O782" t="n">
        <v>0</v>
      </c>
      <c r="P782" t="n">
        <v>0</v>
      </c>
      <c r="Q782" t="n">
        <v>0</v>
      </c>
      <c r="R782" s="2" t="inlineStr"/>
    </row>
    <row r="783" ht="15" customHeight="1">
      <c r="A783" t="inlineStr">
        <is>
          <t>A 16593-2023</t>
        </is>
      </c>
      <c r="B783" s="1" t="n">
        <v>45030</v>
      </c>
      <c r="C783" s="1" t="n">
        <v>45895</v>
      </c>
      <c r="D783" t="inlineStr">
        <is>
          <t>VÄSTERNORRLANDS LÄN</t>
        </is>
      </c>
      <c r="E783" t="inlineStr">
        <is>
          <t>ÅNGE</t>
        </is>
      </c>
      <c r="G783" t="n">
        <v>0.7</v>
      </c>
      <c r="H783" t="n">
        <v>0</v>
      </c>
      <c r="I783" t="n">
        <v>0</v>
      </c>
      <c r="J783" t="n">
        <v>0</v>
      </c>
      <c r="K783" t="n">
        <v>0</v>
      </c>
      <c r="L783" t="n">
        <v>0</v>
      </c>
      <c r="M783" t="n">
        <v>0</v>
      </c>
      <c r="N783" t="n">
        <v>0</v>
      </c>
      <c r="O783" t="n">
        <v>0</v>
      </c>
      <c r="P783" t="n">
        <v>0</v>
      </c>
      <c r="Q783" t="n">
        <v>0</v>
      </c>
      <c r="R783" s="2" t="inlineStr"/>
    </row>
    <row r="784" ht="15" customHeight="1">
      <c r="A784" t="inlineStr">
        <is>
          <t>A 16600-2023</t>
        </is>
      </c>
      <c r="B784" s="1" t="n">
        <v>45030</v>
      </c>
      <c r="C784" s="1" t="n">
        <v>45895</v>
      </c>
      <c r="D784" t="inlineStr">
        <is>
          <t>VÄSTERNORRLANDS LÄN</t>
        </is>
      </c>
      <c r="E784" t="inlineStr">
        <is>
          <t>ÅNGE</t>
        </is>
      </c>
      <c r="G784" t="n">
        <v>0.1</v>
      </c>
      <c r="H784" t="n">
        <v>0</v>
      </c>
      <c r="I784" t="n">
        <v>0</v>
      </c>
      <c r="J784" t="n">
        <v>0</v>
      </c>
      <c r="K784" t="n">
        <v>0</v>
      </c>
      <c r="L784" t="n">
        <v>0</v>
      </c>
      <c r="M784" t="n">
        <v>0</v>
      </c>
      <c r="N784" t="n">
        <v>0</v>
      </c>
      <c r="O784" t="n">
        <v>0</v>
      </c>
      <c r="P784" t="n">
        <v>0</v>
      </c>
      <c r="Q784" t="n">
        <v>0</v>
      </c>
      <c r="R784" s="2" t="inlineStr"/>
    </row>
    <row r="785" ht="15" customHeight="1">
      <c r="A785" t="inlineStr">
        <is>
          <t>A 16973-2025</t>
        </is>
      </c>
      <c r="B785" s="1" t="n">
        <v>45755.46967592592</v>
      </c>
      <c r="C785" s="1" t="n">
        <v>45895</v>
      </c>
      <c r="D785" t="inlineStr">
        <is>
          <t>VÄSTERNORRLANDS LÄN</t>
        </is>
      </c>
      <c r="E785" t="inlineStr">
        <is>
          <t>ÅNGE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42488-2024</t>
        </is>
      </c>
      <c r="B786" s="1" t="n">
        <v>45565.49420138889</v>
      </c>
      <c r="C786" s="1" t="n">
        <v>45895</v>
      </c>
      <c r="D786" t="inlineStr">
        <is>
          <t>VÄSTERNORRLANDS LÄN</t>
        </is>
      </c>
      <c r="E786" t="inlineStr">
        <is>
          <t>ÅNGE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35399-2024</t>
        </is>
      </c>
      <c r="B787" s="1" t="n">
        <v>45531.40438657408</v>
      </c>
      <c r="C787" s="1" t="n">
        <v>45895</v>
      </c>
      <c r="D787" t="inlineStr">
        <is>
          <t>VÄSTERNORRLANDS LÄN</t>
        </is>
      </c>
      <c r="E787" t="inlineStr">
        <is>
          <t>ÅNGE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48632-2023</t>
        </is>
      </c>
      <c r="B788" s="1" t="n">
        <v>45208.57944444445</v>
      </c>
      <c r="C788" s="1" t="n">
        <v>45895</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26193-2025</t>
        </is>
      </c>
      <c r="B789" s="1" t="n">
        <v>45805.48922453704</v>
      </c>
      <c r="C789" s="1" t="n">
        <v>45895</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39682-2024</t>
        </is>
      </c>
      <c r="B790" s="1" t="n">
        <v>45552</v>
      </c>
      <c r="C790" s="1" t="n">
        <v>45895</v>
      </c>
      <c r="D790" t="inlineStr">
        <is>
          <t>VÄSTERNORRLANDS LÄN</t>
        </is>
      </c>
      <c r="E790" t="inlineStr">
        <is>
          <t>ÅNGE</t>
        </is>
      </c>
      <c r="G790" t="n">
        <v>35.4</v>
      </c>
      <c r="H790" t="n">
        <v>0</v>
      </c>
      <c r="I790" t="n">
        <v>0</v>
      </c>
      <c r="J790" t="n">
        <v>0</v>
      </c>
      <c r="K790" t="n">
        <v>0</v>
      </c>
      <c r="L790" t="n">
        <v>0</v>
      </c>
      <c r="M790" t="n">
        <v>0</v>
      </c>
      <c r="N790" t="n">
        <v>0</v>
      </c>
      <c r="O790" t="n">
        <v>0</v>
      </c>
      <c r="P790" t="n">
        <v>0</v>
      </c>
      <c r="Q790" t="n">
        <v>0</v>
      </c>
      <c r="R790" s="2" t="inlineStr"/>
    </row>
    <row r="791" ht="15" customHeight="1">
      <c r="A791" t="inlineStr">
        <is>
          <t>A 17668-2023</t>
        </is>
      </c>
      <c r="B791" s="1" t="n">
        <v>45036</v>
      </c>
      <c r="C791" s="1" t="n">
        <v>45895</v>
      </c>
      <c r="D791" t="inlineStr">
        <is>
          <t>VÄSTERNORRLANDS LÄN</t>
        </is>
      </c>
      <c r="E791" t="inlineStr">
        <is>
          <t>ÅNGE</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26388-2025</t>
        </is>
      </c>
      <c r="B792" s="1" t="n">
        <v>45806.51069444444</v>
      </c>
      <c r="C792" s="1" t="n">
        <v>45895</v>
      </c>
      <c r="D792" t="inlineStr">
        <is>
          <t>VÄSTERNORRLANDS LÄN</t>
        </is>
      </c>
      <c r="E792" t="inlineStr">
        <is>
          <t>ÅNGE</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8406-2023</t>
        </is>
      </c>
      <c r="B793" s="1" t="n">
        <v>44971</v>
      </c>
      <c r="C793" s="1" t="n">
        <v>45895</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26365-2025</t>
        </is>
      </c>
      <c r="B794" s="1" t="n">
        <v>45806.34412037037</v>
      </c>
      <c r="C794" s="1" t="n">
        <v>45895</v>
      </c>
      <c r="D794" t="inlineStr">
        <is>
          <t>VÄSTERNORRLANDS LÄN</t>
        </is>
      </c>
      <c r="E794" t="inlineStr">
        <is>
          <t>ÅNGE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8747-2022</t>
        </is>
      </c>
      <c r="B795" s="1" t="n">
        <v>44614.33912037037</v>
      </c>
      <c r="C795" s="1" t="n">
        <v>45895</v>
      </c>
      <c r="D795" t="inlineStr">
        <is>
          <t>VÄSTERNORRLANDS LÄN</t>
        </is>
      </c>
      <c r="E795" t="inlineStr">
        <is>
          <t>ÅNGE</t>
        </is>
      </c>
      <c r="G795" t="n">
        <v>1.5</v>
      </c>
      <c r="H795" t="n">
        <v>0</v>
      </c>
      <c r="I795" t="n">
        <v>0</v>
      </c>
      <c r="J795" t="n">
        <v>0</v>
      </c>
      <c r="K795" t="n">
        <v>0</v>
      </c>
      <c r="L795" t="n">
        <v>0</v>
      </c>
      <c r="M795" t="n">
        <v>0</v>
      </c>
      <c r="N795" t="n">
        <v>0</v>
      </c>
      <c r="O795" t="n">
        <v>0</v>
      </c>
      <c r="P795" t="n">
        <v>0</v>
      </c>
      <c r="Q795" t="n">
        <v>0</v>
      </c>
      <c r="R795" s="2" t="inlineStr"/>
    </row>
    <row r="796" ht="15" customHeight="1">
      <c r="A796" t="inlineStr">
        <is>
          <t>A 4651-2022</t>
        </is>
      </c>
      <c r="B796" s="1" t="n">
        <v>44592</v>
      </c>
      <c r="C796" s="1" t="n">
        <v>45895</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45933-2023</t>
        </is>
      </c>
      <c r="B797" s="1" t="n">
        <v>45195</v>
      </c>
      <c r="C797" s="1" t="n">
        <v>45895</v>
      </c>
      <c r="D797" t="inlineStr">
        <is>
          <t>VÄSTERNORRLANDS LÄN</t>
        </is>
      </c>
      <c r="E797" t="inlineStr">
        <is>
          <t>ÅNGE</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14888-2022</t>
        </is>
      </c>
      <c r="B798" s="1" t="n">
        <v>44656</v>
      </c>
      <c r="C798" s="1" t="n">
        <v>45895</v>
      </c>
      <c r="D798" t="inlineStr">
        <is>
          <t>VÄSTERNORRLANDS LÄN</t>
        </is>
      </c>
      <c r="E798" t="inlineStr">
        <is>
          <t>ÅNGE</t>
        </is>
      </c>
      <c r="G798" t="n">
        <v>6.2</v>
      </c>
      <c r="H798" t="n">
        <v>0</v>
      </c>
      <c r="I798" t="n">
        <v>0</v>
      </c>
      <c r="J798" t="n">
        <v>0</v>
      </c>
      <c r="K798" t="n">
        <v>0</v>
      </c>
      <c r="L798" t="n">
        <v>0</v>
      </c>
      <c r="M798" t="n">
        <v>0</v>
      </c>
      <c r="N798" t="n">
        <v>0</v>
      </c>
      <c r="O798" t="n">
        <v>0</v>
      </c>
      <c r="P798" t="n">
        <v>0</v>
      </c>
      <c r="Q798" t="n">
        <v>0</v>
      </c>
      <c r="R798" s="2" t="inlineStr"/>
    </row>
    <row r="799" ht="15" customHeight="1">
      <c r="A799" t="inlineStr">
        <is>
          <t>A 57601-2022</t>
        </is>
      </c>
      <c r="B799" s="1" t="n">
        <v>44896</v>
      </c>
      <c r="C799" s="1" t="n">
        <v>45895</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34649-2024</t>
        </is>
      </c>
      <c r="B800" s="1" t="n">
        <v>45526.48325231481</v>
      </c>
      <c r="C800" s="1" t="n">
        <v>45895</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30683-2024</t>
        </is>
      </c>
      <c r="B801" s="1" t="n">
        <v>45495</v>
      </c>
      <c r="C801" s="1" t="n">
        <v>45895</v>
      </c>
      <c r="D801" t="inlineStr">
        <is>
          <t>VÄSTERNORRLANDS LÄN</t>
        </is>
      </c>
      <c r="E801" t="inlineStr">
        <is>
          <t>ÅNGE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26389-2025</t>
        </is>
      </c>
      <c r="B802" s="1" t="n">
        <v>45806.51078703703</v>
      </c>
      <c r="C802" s="1" t="n">
        <v>45895</v>
      </c>
      <c r="D802" t="inlineStr">
        <is>
          <t>VÄSTERNORRLANDS LÄN</t>
        </is>
      </c>
      <c r="E802" t="inlineStr">
        <is>
          <t>ÅNGE</t>
        </is>
      </c>
      <c r="F802" t="inlineStr">
        <is>
          <t>SCA</t>
        </is>
      </c>
      <c r="G802" t="n">
        <v>11.9</v>
      </c>
      <c r="H802" t="n">
        <v>0</v>
      </c>
      <c r="I802" t="n">
        <v>0</v>
      </c>
      <c r="J802" t="n">
        <v>0</v>
      </c>
      <c r="K802" t="n">
        <v>0</v>
      </c>
      <c r="L802" t="n">
        <v>0</v>
      </c>
      <c r="M802" t="n">
        <v>0</v>
      </c>
      <c r="N802" t="n">
        <v>0</v>
      </c>
      <c r="O802" t="n">
        <v>0</v>
      </c>
      <c r="P802" t="n">
        <v>0</v>
      </c>
      <c r="Q802" t="n">
        <v>0</v>
      </c>
      <c r="R802" s="2" t="inlineStr"/>
    </row>
    <row r="803" ht="15" customHeight="1">
      <c r="A803" t="inlineStr">
        <is>
          <t>A 21262-2025</t>
        </is>
      </c>
      <c r="B803" s="1" t="n">
        <v>45779</v>
      </c>
      <c r="C803" s="1" t="n">
        <v>45895</v>
      </c>
      <c r="D803" t="inlineStr">
        <is>
          <t>VÄSTERNORRLANDS LÄN</t>
        </is>
      </c>
      <c r="E803" t="inlineStr">
        <is>
          <t>ÅNGE</t>
        </is>
      </c>
      <c r="F803" t="inlineStr">
        <is>
          <t>Sveaskog</t>
        </is>
      </c>
      <c r="G803" t="n">
        <v>9</v>
      </c>
      <c r="H803" t="n">
        <v>0</v>
      </c>
      <c r="I803" t="n">
        <v>0</v>
      </c>
      <c r="J803" t="n">
        <v>0</v>
      </c>
      <c r="K803" t="n">
        <v>0</v>
      </c>
      <c r="L803" t="n">
        <v>0</v>
      </c>
      <c r="M803" t="n">
        <v>0</v>
      </c>
      <c r="N803" t="n">
        <v>0</v>
      </c>
      <c r="O803" t="n">
        <v>0</v>
      </c>
      <c r="P803" t="n">
        <v>0</v>
      </c>
      <c r="Q803" t="n">
        <v>0</v>
      </c>
      <c r="R803" s="2" t="inlineStr"/>
    </row>
    <row r="804" ht="15" customHeight="1">
      <c r="A804" t="inlineStr">
        <is>
          <t>A 26366-2025</t>
        </is>
      </c>
      <c r="B804" s="1" t="n">
        <v>45806.34424768519</v>
      </c>
      <c r="C804" s="1" t="n">
        <v>45895</v>
      </c>
      <c r="D804" t="inlineStr">
        <is>
          <t>VÄSTERNORRLANDS LÄN</t>
        </is>
      </c>
      <c r="E804" t="inlineStr">
        <is>
          <t>ÅNGE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55329-2023</t>
        </is>
      </c>
      <c r="B805" s="1" t="n">
        <v>45237</v>
      </c>
      <c r="C805" s="1" t="n">
        <v>45895</v>
      </c>
      <c r="D805" t="inlineStr">
        <is>
          <t>VÄSTERNORRLANDS LÄN</t>
        </is>
      </c>
      <c r="E805" t="inlineStr">
        <is>
          <t>ÅNGE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3986-2025</t>
        </is>
      </c>
      <c r="B806" s="1" t="n">
        <v>45684.55262731481</v>
      </c>
      <c r="C806" s="1" t="n">
        <v>45895</v>
      </c>
      <c r="D806" t="inlineStr">
        <is>
          <t>VÄSTERNORRLANDS LÄN</t>
        </is>
      </c>
      <c r="E806" t="inlineStr">
        <is>
          <t>ÅNGE</t>
        </is>
      </c>
      <c r="F806" t="inlineStr">
        <is>
          <t>SCA</t>
        </is>
      </c>
      <c r="G806" t="n">
        <v>10.5</v>
      </c>
      <c r="H806" t="n">
        <v>0</v>
      </c>
      <c r="I806" t="n">
        <v>0</v>
      </c>
      <c r="J806" t="n">
        <v>0</v>
      </c>
      <c r="K806" t="n">
        <v>0</v>
      </c>
      <c r="L806" t="n">
        <v>0</v>
      </c>
      <c r="M806" t="n">
        <v>0</v>
      </c>
      <c r="N806" t="n">
        <v>0</v>
      </c>
      <c r="O806" t="n">
        <v>0</v>
      </c>
      <c r="P806" t="n">
        <v>0</v>
      </c>
      <c r="Q806" t="n">
        <v>0</v>
      </c>
      <c r="R806" s="2" t="inlineStr"/>
    </row>
    <row r="807" ht="15" customHeight="1">
      <c r="A807" t="inlineStr">
        <is>
          <t>A 26655-2025</t>
        </is>
      </c>
      <c r="B807" s="1" t="n">
        <v>45810.39047453704</v>
      </c>
      <c r="C807" s="1" t="n">
        <v>45895</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25973-2022</t>
        </is>
      </c>
      <c r="B808" s="1" t="n">
        <v>44734</v>
      </c>
      <c r="C808" s="1" t="n">
        <v>45895</v>
      </c>
      <c r="D808" t="inlineStr">
        <is>
          <t>VÄSTERNORRLANDS LÄN</t>
        </is>
      </c>
      <c r="E808" t="inlineStr">
        <is>
          <t>ÅNGE</t>
        </is>
      </c>
      <c r="G808" t="n">
        <v>4.1</v>
      </c>
      <c r="H808" t="n">
        <v>0</v>
      </c>
      <c r="I808" t="n">
        <v>0</v>
      </c>
      <c r="J808" t="n">
        <v>0</v>
      </c>
      <c r="K808" t="n">
        <v>0</v>
      </c>
      <c r="L808" t="n">
        <v>0</v>
      </c>
      <c r="M808" t="n">
        <v>0</v>
      </c>
      <c r="N808" t="n">
        <v>0</v>
      </c>
      <c r="O808" t="n">
        <v>0</v>
      </c>
      <c r="P808" t="n">
        <v>0</v>
      </c>
      <c r="Q808" t="n">
        <v>0</v>
      </c>
      <c r="R808" s="2" t="inlineStr"/>
    </row>
    <row r="809" ht="15" customHeight="1">
      <c r="A809" t="inlineStr">
        <is>
          <t>A 34679-2024</t>
        </is>
      </c>
      <c r="B809" s="1" t="n">
        <v>45526</v>
      </c>
      <c r="C809" s="1" t="n">
        <v>45895</v>
      </c>
      <c r="D809" t="inlineStr">
        <is>
          <t>VÄSTERNORRLANDS LÄN</t>
        </is>
      </c>
      <c r="E809" t="inlineStr">
        <is>
          <t>ÅNGE</t>
        </is>
      </c>
      <c r="G809" t="n">
        <v>1.4</v>
      </c>
      <c r="H809" t="n">
        <v>0</v>
      </c>
      <c r="I809" t="n">
        <v>0</v>
      </c>
      <c r="J809" t="n">
        <v>0</v>
      </c>
      <c r="K809" t="n">
        <v>0</v>
      </c>
      <c r="L809" t="n">
        <v>0</v>
      </c>
      <c r="M809" t="n">
        <v>0</v>
      </c>
      <c r="N809" t="n">
        <v>0</v>
      </c>
      <c r="O809" t="n">
        <v>0</v>
      </c>
      <c r="P809" t="n">
        <v>0</v>
      </c>
      <c r="Q809" t="n">
        <v>0</v>
      </c>
      <c r="R809" s="2" t="inlineStr"/>
    </row>
    <row r="810" ht="15" customHeight="1">
      <c r="A810" t="inlineStr">
        <is>
          <t>A 46795-2023</t>
        </is>
      </c>
      <c r="B810" s="1" t="n">
        <v>45198</v>
      </c>
      <c r="C810" s="1" t="n">
        <v>45895</v>
      </c>
      <c r="D810" t="inlineStr">
        <is>
          <t>VÄSTERNORRLANDS LÄN</t>
        </is>
      </c>
      <c r="E810" t="inlineStr">
        <is>
          <t>ÅNGE</t>
        </is>
      </c>
      <c r="F810" t="inlineStr">
        <is>
          <t>Holmen skog AB</t>
        </is>
      </c>
      <c r="G810" t="n">
        <v>2.5</v>
      </c>
      <c r="H810" t="n">
        <v>0</v>
      </c>
      <c r="I810" t="n">
        <v>0</v>
      </c>
      <c r="J810" t="n">
        <v>0</v>
      </c>
      <c r="K810" t="n">
        <v>0</v>
      </c>
      <c r="L810" t="n">
        <v>0</v>
      </c>
      <c r="M810" t="n">
        <v>0</v>
      </c>
      <c r="N810" t="n">
        <v>0</v>
      </c>
      <c r="O810" t="n">
        <v>0</v>
      </c>
      <c r="P810" t="n">
        <v>0</v>
      </c>
      <c r="Q810" t="n">
        <v>0</v>
      </c>
      <c r="R810" s="2" t="inlineStr"/>
    </row>
    <row r="811" ht="15" customHeight="1">
      <c r="A811" t="inlineStr">
        <is>
          <t>A 58445-2022</t>
        </is>
      </c>
      <c r="B811" s="1" t="n">
        <v>44901.95453703704</v>
      </c>
      <c r="C811" s="1" t="n">
        <v>45895</v>
      </c>
      <c r="D811" t="inlineStr">
        <is>
          <t>VÄSTERNORRLANDS LÄN</t>
        </is>
      </c>
      <c r="E811" t="inlineStr">
        <is>
          <t>ÅNGE</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23058-2024</t>
        </is>
      </c>
      <c r="B812" s="1" t="n">
        <v>45450.44020833333</v>
      </c>
      <c r="C812" s="1" t="n">
        <v>45895</v>
      </c>
      <c r="D812" t="inlineStr">
        <is>
          <t>VÄSTERNORRLANDS LÄN</t>
        </is>
      </c>
      <c r="E812" t="inlineStr">
        <is>
          <t>ÅNGE</t>
        </is>
      </c>
      <c r="G812" t="n">
        <v>3.9</v>
      </c>
      <c r="H812" t="n">
        <v>0</v>
      </c>
      <c r="I812" t="n">
        <v>0</v>
      </c>
      <c r="J812" t="n">
        <v>0</v>
      </c>
      <c r="K812" t="n">
        <v>0</v>
      </c>
      <c r="L812" t="n">
        <v>0</v>
      </c>
      <c r="M812" t="n">
        <v>0</v>
      </c>
      <c r="N812" t="n">
        <v>0</v>
      </c>
      <c r="O812" t="n">
        <v>0</v>
      </c>
      <c r="P812" t="n">
        <v>0</v>
      </c>
      <c r="Q812" t="n">
        <v>0</v>
      </c>
      <c r="R812" s="2" t="inlineStr"/>
    </row>
    <row r="813" ht="15" customHeight="1">
      <c r="A813" t="inlineStr">
        <is>
          <t>A 26608-2025</t>
        </is>
      </c>
      <c r="B813" s="1" t="n">
        <v>45809.98600694445</v>
      </c>
      <c r="C813" s="1" t="n">
        <v>45895</v>
      </c>
      <c r="D813" t="inlineStr">
        <is>
          <t>VÄSTERNORRLANDS LÄN</t>
        </is>
      </c>
      <c r="E813" t="inlineStr">
        <is>
          <t>ÅNGE</t>
        </is>
      </c>
      <c r="G813" t="n">
        <v>4.5</v>
      </c>
      <c r="H813" t="n">
        <v>0</v>
      </c>
      <c r="I813" t="n">
        <v>0</v>
      </c>
      <c r="J813" t="n">
        <v>0</v>
      </c>
      <c r="K813" t="n">
        <v>0</v>
      </c>
      <c r="L813" t="n">
        <v>0</v>
      </c>
      <c r="M813" t="n">
        <v>0</v>
      </c>
      <c r="N813" t="n">
        <v>0</v>
      </c>
      <c r="O813" t="n">
        <v>0</v>
      </c>
      <c r="P813" t="n">
        <v>0</v>
      </c>
      <c r="Q813" t="n">
        <v>0</v>
      </c>
      <c r="R813" s="2" t="inlineStr"/>
    </row>
    <row r="814" ht="15" customHeight="1">
      <c r="A814" t="inlineStr">
        <is>
          <t>A 4094-2025</t>
        </is>
      </c>
      <c r="B814" s="1" t="n">
        <v>45684.6778125</v>
      </c>
      <c r="C814" s="1" t="n">
        <v>45895</v>
      </c>
      <c r="D814" t="inlineStr">
        <is>
          <t>VÄSTERNORRLANDS LÄN</t>
        </is>
      </c>
      <c r="E814" t="inlineStr">
        <is>
          <t>ÅNGE</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42242-2023</t>
        </is>
      </c>
      <c r="B815" s="1" t="n">
        <v>45180.35025462963</v>
      </c>
      <c r="C815" s="1" t="n">
        <v>45895</v>
      </c>
      <c r="D815" t="inlineStr">
        <is>
          <t>VÄSTERNORRLANDS LÄN</t>
        </is>
      </c>
      <c r="E815" t="inlineStr">
        <is>
          <t>ÅNGE</t>
        </is>
      </c>
      <c r="G815" t="n">
        <v>5.7</v>
      </c>
      <c r="H815" t="n">
        <v>0</v>
      </c>
      <c r="I815" t="n">
        <v>0</v>
      </c>
      <c r="J815" t="n">
        <v>0</v>
      </c>
      <c r="K815" t="n">
        <v>0</v>
      </c>
      <c r="L815" t="n">
        <v>0</v>
      </c>
      <c r="M815" t="n">
        <v>0</v>
      </c>
      <c r="N815" t="n">
        <v>0</v>
      </c>
      <c r="O815" t="n">
        <v>0</v>
      </c>
      <c r="P815" t="n">
        <v>0</v>
      </c>
      <c r="Q815" t="n">
        <v>0</v>
      </c>
      <c r="R815" s="2" t="inlineStr"/>
    </row>
    <row r="816" ht="15" customHeight="1">
      <c r="A816" t="inlineStr">
        <is>
          <t>A 39973-2023</t>
        </is>
      </c>
      <c r="B816" s="1" t="n">
        <v>45168.5858912037</v>
      </c>
      <c r="C816" s="1" t="n">
        <v>45895</v>
      </c>
      <c r="D816" t="inlineStr">
        <is>
          <t>VÄSTERNORRLANDS LÄN</t>
        </is>
      </c>
      <c r="E816" t="inlineStr">
        <is>
          <t>ÅNGE</t>
        </is>
      </c>
      <c r="G816" t="n">
        <v>3.6</v>
      </c>
      <c r="H816" t="n">
        <v>0</v>
      </c>
      <c r="I816" t="n">
        <v>0</v>
      </c>
      <c r="J816" t="n">
        <v>0</v>
      </c>
      <c r="K816" t="n">
        <v>0</v>
      </c>
      <c r="L816" t="n">
        <v>0</v>
      </c>
      <c r="M816" t="n">
        <v>0</v>
      </c>
      <c r="N816" t="n">
        <v>0</v>
      </c>
      <c r="O816" t="n">
        <v>0</v>
      </c>
      <c r="P816" t="n">
        <v>0</v>
      </c>
      <c r="Q816" t="n">
        <v>0</v>
      </c>
      <c r="R816" s="2" t="inlineStr"/>
    </row>
    <row r="817" ht="15" customHeight="1">
      <c r="A817" t="inlineStr">
        <is>
          <t>A 64946-2023</t>
        </is>
      </c>
      <c r="B817" s="1" t="n">
        <v>45282.94678240741</v>
      </c>
      <c r="C817" s="1" t="n">
        <v>45895</v>
      </c>
      <c r="D817" t="inlineStr">
        <is>
          <t>VÄSTERNORRLANDS LÄN</t>
        </is>
      </c>
      <c r="E817" t="inlineStr">
        <is>
          <t>ÅNGE</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58637-2023</t>
        </is>
      </c>
      <c r="B818" s="1" t="n">
        <v>45251</v>
      </c>
      <c r="C818" s="1" t="n">
        <v>45895</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36790-2023</t>
        </is>
      </c>
      <c r="B819" s="1" t="n">
        <v>45154.36418981481</v>
      </c>
      <c r="C819" s="1" t="n">
        <v>45895</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46681-2023</t>
        </is>
      </c>
      <c r="B820" s="1" t="n">
        <v>45198</v>
      </c>
      <c r="C820" s="1" t="n">
        <v>45895</v>
      </c>
      <c r="D820" t="inlineStr">
        <is>
          <t>VÄSTERNORRLANDS LÄN</t>
        </is>
      </c>
      <c r="E820" t="inlineStr">
        <is>
          <t>ÅNGE</t>
        </is>
      </c>
      <c r="G820" t="n">
        <v>0.8</v>
      </c>
      <c r="H820" t="n">
        <v>0</v>
      </c>
      <c r="I820" t="n">
        <v>0</v>
      </c>
      <c r="J820" t="n">
        <v>0</v>
      </c>
      <c r="K820" t="n">
        <v>0</v>
      </c>
      <c r="L820" t="n">
        <v>0</v>
      </c>
      <c r="M820" t="n">
        <v>0</v>
      </c>
      <c r="N820" t="n">
        <v>0</v>
      </c>
      <c r="O820" t="n">
        <v>0</v>
      </c>
      <c r="P820" t="n">
        <v>0</v>
      </c>
      <c r="Q820" t="n">
        <v>0</v>
      </c>
      <c r="R820" s="2" t="inlineStr"/>
    </row>
    <row r="821" ht="15" customHeight="1">
      <c r="A821" t="inlineStr">
        <is>
          <t>A 41586-2024</t>
        </is>
      </c>
      <c r="B821" s="1" t="n">
        <v>45560.56089120371</v>
      </c>
      <c r="C821" s="1" t="n">
        <v>45895</v>
      </c>
      <c r="D821" t="inlineStr">
        <is>
          <t>VÄSTERNORRLANDS LÄN</t>
        </is>
      </c>
      <c r="E821" t="inlineStr">
        <is>
          <t>ÅNGE</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26734-2025</t>
        </is>
      </c>
      <c r="B822" s="1" t="n">
        <v>45810.51087962963</v>
      </c>
      <c r="C822" s="1" t="n">
        <v>45895</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48946-2024</t>
        </is>
      </c>
      <c r="B823" s="1" t="n">
        <v>45594.42736111111</v>
      </c>
      <c r="C823" s="1" t="n">
        <v>45895</v>
      </c>
      <c r="D823" t="inlineStr">
        <is>
          <t>VÄSTERNORRLANDS LÄN</t>
        </is>
      </c>
      <c r="E823" t="inlineStr">
        <is>
          <t>ÅNGE</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22988-2024</t>
        </is>
      </c>
      <c r="B824" s="1" t="n">
        <v>45449.94530092592</v>
      </c>
      <c r="C824" s="1" t="n">
        <v>45895</v>
      </c>
      <c r="D824" t="inlineStr">
        <is>
          <t>VÄSTERNORRLANDS LÄN</t>
        </is>
      </c>
      <c r="E824" t="inlineStr">
        <is>
          <t>ÅNGE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3023-2023</t>
        </is>
      </c>
      <c r="B825" s="1" t="n">
        <v>44945</v>
      </c>
      <c r="C825" s="1" t="n">
        <v>45895</v>
      </c>
      <c r="D825" t="inlineStr">
        <is>
          <t>VÄSTERNORRLANDS LÄN</t>
        </is>
      </c>
      <c r="E825" t="inlineStr">
        <is>
          <t>ÅNGE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3025-2023</t>
        </is>
      </c>
      <c r="B826" s="1" t="n">
        <v>44945</v>
      </c>
      <c r="C826" s="1" t="n">
        <v>45895</v>
      </c>
      <c r="D826" t="inlineStr">
        <is>
          <t>VÄSTERNORRLANDS LÄN</t>
        </is>
      </c>
      <c r="E826" t="inlineStr">
        <is>
          <t>ÅNGE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4236-2025</t>
        </is>
      </c>
      <c r="B827" s="1" t="n">
        <v>45685.56534722223</v>
      </c>
      <c r="C827" s="1" t="n">
        <v>45895</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38002-2024</t>
        </is>
      </c>
      <c r="B828" s="1" t="n">
        <v>45544.61484953704</v>
      </c>
      <c r="C828" s="1" t="n">
        <v>45895</v>
      </c>
      <c r="D828" t="inlineStr">
        <is>
          <t>VÄSTERNORRLANDS LÄN</t>
        </is>
      </c>
      <c r="E828" t="inlineStr">
        <is>
          <t>ÅNGE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31568-2024</t>
        </is>
      </c>
      <c r="B829" s="1" t="n">
        <v>45505.96721064814</v>
      </c>
      <c r="C829" s="1" t="n">
        <v>45895</v>
      </c>
      <c r="D829" t="inlineStr">
        <is>
          <t>VÄSTERNORRLANDS LÄN</t>
        </is>
      </c>
      <c r="E829" t="inlineStr">
        <is>
          <t>ÅNGE</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27023-2025</t>
        </is>
      </c>
      <c r="B830" s="1" t="n">
        <v>45811.57342592593</v>
      </c>
      <c r="C830" s="1" t="n">
        <v>45895</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27164-2025</t>
        </is>
      </c>
      <c r="B831" s="1" t="n">
        <v>45812.34430555555</v>
      </c>
      <c r="C831" s="1" t="n">
        <v>45895</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44565-2024</t>
        </is>
      </c>
      <c r="B832" s="1" t="n">
        <v>45574.47518518518</v>
      </c>
      <c r="C832" s="1" t="n">
        <v>45895</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19997-2023</t>
        </is>
      </c>
      <c r="B833" s="1" t="n">
        <v>45054</v>
      </c>
      <c r="C833" s="1" t="n">
        <v>45895</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3352-2021</t>
        </is>
      </c>
      <c r="B834" s="1" t="n">
        <v>44217</v>
      </c>
      <c r="C834" s="1" t="n">
        <v>45895</v>
      </c>
      <c r="D834" t="inlineStr">
        <is>
          <t>VÄSTERNORRLANDS LÄN</t>
        </is>
      </c>
      <c r="E834" t="inlineStr">
        <is>
          <t>ÅNGE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51131-2022</t>
        </is>
      </c>
      <c r="B835" s="1" t="n">
        <v>44868</v>
      </c>
      <c r="C835" s="1" t="n">
        <v>45895</v>
      </c>
      <c r="D835" t="inlineStr">
        <is>
          <t>VÄSTERNORRLANDS LÄN</t>
        </is>
      </c>
      <c r="E835" t="inlineStr">
        <is>
          <t>ÅNGE</t>
        </is>
      </c>
      <c r="G835" t="n">
        <v>11.1</v>
      </c>
      <c r="H835" t="n">
        <v>0</v>
      </c>
      <c r="I835" t="n">
        <v>0</v>
      </c>
      <c r="J835" t="n">
        <v>0</v>
      </c>
      <c r="K835" t="n">
        <v>0</v>
      </c>
      <c r="L835" t="n">
        <v>0</v>
      </c>
      <c r="M835" t="n">
        <v>0</v>
      </c>
      <c r="N835" t="n">
        <v>0</v>
      </c>
      <c r="O835" t="n">
        <v>0</v>
      </c>
      <c r="P835" t="n">
        <v>0</v>
      </c>
      <c r="Q835" t="n">
        <v>0</v>
      </c>
      <c r="R835" s="2" t="inlineStr"/>
    </row>
    <row r="836" ht="15" customHeight="1">
      <c r="A836" t="inlineStr">
        <is>
          <t>A 26901-2025</t>
        </is>
      </c>
      <c r="B836" s="1" t="n">
        <v>45811.34457175926</v>
      </c>
      <c r="C836" s="1" t="n">
        <v>45895</v>
      </c>
      <c r="D836" t="inlineStr">
        <is>
          <t>VÄSTERNORRLANDS LÄN</t>
        </is>
      </c>
      <c r="E836" t="inlineStr">
        <is>
          <t>ÅNGE</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34959-2023</t>
        </is>
      </c>
      <c r="B837" s="1" t="n">
        <v>45142</v>
      </c>
      <c r="C837" s="1" t="n">
        <v>45895</v>
      </c>
      <c r="D837" t="inlineStr">
        <is>
          <t>VÄSTERNORRLANDS LÄN</t>
        </is>
      </c>
      <c r="E837" t="inlineStr">
        <is>
          <t>ÅNGE</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33750-2024</t>
        </is>
      </c>
      <c r="B838" s="1" t="n">
        <v>45520.56475694444</v>
      </c>
      <c r="C838" s="1" t="n">
        <v>45895</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54346-2023</t>
        </is>
      </c>
      <c r="B839" s="1" t="n">
        <v>45232.96087962963</v>
      </c>
      <c r="C839" s="1" t="n">
        <v>45895</v>
      </c>
      <c r="D839" t="inlineStr">
        <is>
          <t>VÄSTERNORRLANDS LÄN</t>
        </is>
      </c>
      <c r="E839" t="inlineStr">
        <is>
          <t>ÅNGE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27165-2025</t>
        </is>
      </c>
      <c r="B840" s="1" t="n">
        <v>45812.34440972222</v>
      </c>
      <c r="C840" s="1" t="n">
        <v>45895</v>
      </c>
      <c r="D840" t="inlineStr">
        <is>
          <t>VÄSTERNORRLANDS LÄN</t>
        </is>
      </c>
      <c r="E840" t="inlineStr">
        <is>
          <t>ÅNGE</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5999-2025</t>
        </is>
      </c>
      <c r="B841" s="1" t="n">
        <v>45695</v>
      </c>
      <c r="C841" s="1" t="n">
        <v>45895</v>
      </c>
      <c r="D841" t="inlineStr">
        <is>
          <t>VÄSTERNORRLANDS LÄN</t>
        </is>
      </c>
      <c r="E841" t="inlineStr">
        <is>
          <t>ÅNGE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5931-2025</t>
        </is>
      </c>
      <c r="B842" s="1" t="n">
        <v>45695.44827546296</v>
      </c>
      <c r="C842" s="1" t="n">
        <v>45895</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55328-2023</t>
        </is>
      </c>
      <c r="B843" s="1" t="n">
        <v>45237</v>
      </c>
      <c r="C843" s="1" t="n">
        <v>45895</v>
      </c>
      <c r="D843" t="inlineStr">
        <is>
          <t>VÄSTERNORRLANDS LÄN</t>
        </is>
      </c>
      <c r="E843" t="inlineStr">
        <is>
          <t>ÅNGE</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26015-2024</t>
        </is>
      </c>
      <c r="B844" s="1" t="n">
        <v>45467.95872685185</v>
      </c>
      <c r="C844" s="1" t="n">
        <v>45895</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26010-2024</t>
        </is>
      </c>
      <c r="B845" s="1" t="n">
        <v>45467.95819444444</v>
      </c>
      <c r="C845" s="1" t="n">
        <v>45895</v>
      </c>
      <c r="D845" t="inlineStr">
        <is>
          <t>VÄSTERNORRLANDS LÄN</t>
        </is>
      </c>
      <c r="E845" t="inlineStr">
        <is>
          <t>ÅNGE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60365-2024</t>
        </is>
      </c>
      <c r="B846" s="1" t="n">
        <v>45643</v>
      </c>
      <c r="C846" s="1" t="n">
        <v>45895</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11531-2023</t>
        </is>
      </c>
      <c r="B847" s="1" t="n">
        <v>44993.77038194444</v>
      </c>
      <c r="C847" s="1" t="n">
        <v>45895</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11532-2023</t>
        </is>
      </c>
      <c r="B848" s="1" t="n">
        <v>44993.77212962963</v>
      </c>
      <c r="C848" s="1" t="n">
        <v>45895</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41355-2024</t>
        </is>
      </c>
      <c r="B849" s="1" t="n">
        <v>45559.69833333333</v>
      </c>
      <c r="C849" s="1" t="n">
        <v>45895</v>
      </c>
      <c r="D849" t="inlineStr">
        <is>
          <t>VÄSTERNORRLANDS LÄN</t>
        </is>
      </c>
      <c r="E849" t="inlineStr">
        <is>
          <t>ÅNGE</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11871-2025</t>
        </is>
      </c>
      <c r="B850" s="1" t="n">
        <v>45728.42740740741</v>
      </c>
      <c r="C850" s="1" t="n">
        <v>45895</v>
      </c>
      <c r="D850" t="inlineStr">
        <is>
          <t>VÄSTERNORRLANDS LÄN</t>
        </is>
      </c>
      <c r="E850" t="inlineStr">
        <is>
          <t>ÅNGE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15799-2025</t>
        </is>
      </c>
      <c r="B851" s="1" t="n">
        <v>45748.64768518518</v>
      </c>
      <c r="C851" s="1" t="n">
        <v>45895</v>
      </c>
      <c r="D851" t="inlineStr">
        <is>
          <t>VÄSTERNORRLANDS LÄN</t>
        </is>
      </c>
      <c r="E851" t="inlineStr">
        <is>
          <t>ÅNGE</t>
        </is>
      </c>
      <c r="G851" t="n">
        <v>2.3</v>
      </c>
      <c r="H851" t="n">
        <v>0</v>
      </c>
      <c r="I851" t="n">
        <v>0</v>
      </c>
      <c r="J851" t="n">
        <v>0</v>
      </c>
      <c r="K851" t="n">
        <v>0</v>
      </c>
      <c r="L851" t="n">
        <v>0</v>
      </c>
      <c r="M851" t="n">
        <v>0</v>
      </c>
      <c r="N851" t="n">
        <v>0</v>
      </c>
      <c r="O851" t="n">
        <v>0</v>
      </c>
      <c r="P851" t="n">
        <v>0</v>
      </c>
      <c r="Q851" t="n">
        <v>0</v>
      </c>
      <c r="R851" s="2" t="inlineStr"/>
    </row>
    <row r="852" ht="15" customHeight="1">
      <c r="A852" t="inlineStr">
        <is>
          <t>A 47488-2023</t>
        </is>
      </c>
      <c r="B852" s="1" t="n">
        <v>45202.94168981481</v>
      </c>
      <c r="C852" s="1" t="n">
        <v>45895</v>
      </c>
      <c r="D852" t="inlineStr">
        <is>
          <t>VÄSTERNORRLANDS LÄN</t>
        </is>
      </c>
      <c r="E852" t="inlineStr">
        <is>
          <t>ÅNGE</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34727-2024</t>
        </is>
      </c>
      <c r="B853" s="1" t="n">
        <v>45526.5734375</v>
      </c>
      <c r="C853" s="1" t="n">
        <v>45895</v>
      </c>
      <c r="D853" t="inlineStr">
        <is>
          <t>VÄSTERNORRLANDS LÄN</t>
        </is>
      </c>
      <c r="E853" t="inlineStr">
        <is>
          <t>ÅNGE</t>
        </is>
      </c>
      <c r="G853" t="n">
        <v>3.6</v>
      </c>
      <c r="H853" t="n">
        <v>0</v>
      </c>
      <c r="I853" t="n">
        <v>0</v>
      </c>
      <c r="J853" t="n">
        <v>0</v>
      </c>
      <c r="K853" t="n">
        <v>0</v>
      </c>
      <c r="L853" t="n">
        <v>0</v>
      </c>
      <c r="M853" t="n">
        <v>0</v>
      </c>
      <c r="N853" t="n">
        <v>0</v>
      </c>
      <c r="O853" t="n">
        <v>0</v>
      </c>
      <c r="P853" t="n">
        <v>0</v>
      </c>
      <c r="Q853" t="n">
        <v>0</v>
      </c>
      <c r="R853" s="2" t="inlineStr"/>
    </row>
    <row r="854" ht="15" customHeight="1">
      <c r="A854" t="inlineStr">
        <is>
          <t>A 27545-2025</t>
        </is>
      </c>
      <c r="B854" s="1" t="n">
        <v>45813.46942129629</v>
      </c>
      <c r="C854" s="1" t="n">
        <v>45895</v>
      </c>
      <c r="D854" t="inlineStr">
        <is>
          <t>VÄSTERNORRLANDS LÄN</t>
        </is>
      </c>
      <c r="E854" t="inlineStr">
        <is>
          <t>ÅNGE</t>
        </is>
      </c>
      <c r="F854" t="inlineStr">
        <is>
          <t>SCA</t>
        </is>
      </c>
      <c r="G854" t="n">
        <v>14.3</v>
      </c>
      <c r="H854" t="n">
        <v>0</v>
      </c>
      <c r="I854" t="n">
        <v>0</v>
      </c>
      <c r="J854" t="n">
        <v>0</v>
      </c>
      <c r="K854" t="n">
        <v>0</v>
      </c>
      <c r="L854" t="n">
        <v>0</v>
      </c>
      <c r="M854" t="n">
        <v>0</v>
      </c>
      <c r="N854" t="n">
        <v>0</v>
      </c>
      <c r="O854" t="n">
        <v>0</v>
      </c>
      <c r="P854" t="n">
        <v>0</v>
      </c>
      <c r="Q854" t="n">
        <v>0</v>
      </c>
      <c r="R854" s="2" t="inlineStr"/>
    </row>
    <row r="855" ht="15" customHeight="1">
      <c r="A855" t="inlineStr">
        <is>
          <t>A 35575-2025</t>
        </is>
      </c>
      <c r="B855" s="1" t="n">
        <v>45856.63591435185</v>
      </c>
      <c r="C855" s="1" t="n">
        <v>45895</v>
      </c>
      <c r="D855" t="inlineStr">
        <is>
          <t>VÄSTERNORRLANDS LÄN</t>
        </is>
      </c>
      <c r="E855" t="inlineStr">
        <is>
          <t>ÅNGE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54982-2023</t>
        </is>
      </c>
      <c r="B856" s="1" t="n">
        <v>45236</v>
      </c>
      <c r="C856" s="1" t="n">
        <v>45895</v>
      </c>
      <c r="D856" t="inlineStr">
        <is>
          <t>VÄSTERNORRLANDS LÄN</t>
        </is>
      </c>
      <c r="E856" t="inlineStr">
        <is>
          <t>ÅNGE</t>
        </is>
      </c>
      <c r="F856" t="inlineStr">
        <is>
          <t>SCA</t>
        </is>
      </c>
      <c r="G856" t="n">
        <v>26.2</v>
      </c>
      <c r="H856" t="n">
        <v>0</v>
      </c>
      <c r="I856" t="n">
        <v>0</v>
      </c>
      <c r="J856" t="n">
        <v>0</v>
      </c>
      <c r="K856" t="n">
        <v>0</v>
      </c>
      <c r="L856" t="n">
        <v>0</v>
      </c>
      <c r="M856" t="n">
        <v>0</v>
      </c>
      <c r="N856" t="n">
        <v>0</v>
      </c>
      <c r="O856" t="n">
        <v>0</v>
      </c>
      <c r="P856" t="n">
        <v>0</v>
      </c>
      <c r="Q856" t="n">
        <v>0</v>
      </c>
      <c r="R856" s="2" t="inlineStr"/>
    </row>
    <row r="857" ht="15" customHeight="1">
      <c r="A857" t="inlineStr">
        <is>
          <t>A 35578-2025</t>
        </is>
      </c>
      <c r="B857" s="1" t="n">
        <v>45856.67797453704</v>
      </c>
      <c r="C857" s="1" t="n">
        <v>45895</v>
      </c>
      <c r="D857" t="inlineStr">
        <is>
          <t>VÄSTERNORRLANDS LÄN</t>
        </is>
      </c>
      <c r="E857" t="inlineStr">
        <is>
          <t>ÅNGE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27572-2025</t>
        </is>
      </c>
      <c r="B858" s="1" t="n">
        <v>45813.49049768518</v>
      </c>
      <c r="C858" s="1" t="n">
        <v>45895</v>
      </c>
      <c r="D858" t="inlineStr">
        <is>
          <t>VÄSTERNORRLANDS LÄN</t>
        </is>
      </c>
      <c r="E858" t="inlineStr">
        <is>
          <t>ÅNGE</t>
        </is>
      </c>
      <c r="F858" t="inlineStr">
        <is>
          <t>SCA</t>
        </is>
      </c>
      <c r="G858" t="n">
        <v>14.3</v>
      </c>
      <c r="H858" t="n">
        <v>0</v>
      </c>
      <c r="I858" t="n">
        <v>0</v>
      </c>
      <c r="J858" t="n">
        <v>0</v>
      </c>
      <c r="K858" t="n">
        <v>0</v>
      </c>
      <c r="L858" t="n">
        <v>0</v>
      </c>
      <c r="M858" t="n">
        <v>0</v>
      </c>
      <c r="N858" t="n">
        <v>0</v>
      </c>
      <c r="O858" t="n">
        <v>0</v>
      </c>
      <c r="P858" t="n">
        <v>0</v>
      </c>
      <c r="Q858" t="n">
        <v>0</v>
      </c>
      <c r="R858" s="2" t="inlineStr"/>
    </row>
    <row r="859" ht="15" customHeight="1">
      <c r="A859" t="inlineStr">
        <is>
          <t>A 57560-2023</t>
        </is>
      </c>
      <c r="B859" s="1" t="n">
        <v>45243</v>
      </c>
      <c r="C859" s="1" t="n">
        <v>45895</v>
      </c>
      <c r="D859" t="inlineStr">
        <is>
          <t>VÄSTERNORRLANDS LÄN</t>
        </is>
      </c>
      <c r="E859" t="inlineStr">
        <is>
          <t>ÅNGE</t>
        </is>
      </c>
      <c r="G859" t="n">
        <v>7.4</v>
      </c>
      <c r="H859" t="n">
        <v>0</v>
      </c>
      <c r="I859" t="n">
        <v>0</v>
      </c>
      <c r="J859" t="n">
        <v>0</v>
      </c>
      <c r="K859" t="n">
        <v>0</v>
      </c>
      <c r="L859" t="n">
        <v>0</v>
      </c>
      <c r="M859" t="n">
        <v>0</v>
      </c>
      <c r="N859" t="n">
        <v>0</v>
      </c>
      <c r="O859" t="n">
        <v>0</v>
      </c>
      <c r="P859" t="n">
        <v>0</v>
      </c>
      <c r="Q859" t="n">
        <v>0</v>
      </c>
      <c r="R859" s="2" t="inlineStr"/>
    </row>
    <row r="860" ht="15" customHeight="1">
      <c r="A860" t="inlineStr">
        <is>
          <t>A 27606-2025</t>
        </is>
      </c>
      <c r="B860" s="1" t="n">
        <v>45813.53200231482</v>
      </c>
      <c r="C860" s="1" t="n">
        <v>45895</v>
      </c>
      <c r="D860" t="inlineStr">
        <is>
          <t>VÄSTERNORRLANDS LÄN</t>
        </is>
      </c>
      <c r="E860" t="inlineStr">
        <is>
          <t>ÅNGE</t>
        </is>
      </c>
      <c r="F860" t="inlineStr">
        <is>
          <t>SCA</t>
        </is>
      </c>
      <c r="G860" t="n">
        <v>6.3</v>
      </c>
      <c r="H860" t="n">
        <v>0</v>
      </c>
      <c r="I860" t="n">
        <v>0</v>
      </c>
      <c r="J860" t="n">
        <v>0</v>
      </c>
      <c r="K860" t="n">
        <v>0</v>
      </c>
      <c r="L860" t="n">
        <v>0</v>
      </c>
      <c r="M860" t="n">
        <v>0</v>
      </c>
      <c r="N860" t="n">
        <v>0</v>
      </c>
      <c r="O860" t="n">
        <v>0</v>
      </c>
      <c r="P860" t="n">
        <v>0</v>
      </c>
      <c r="Q860" t="n">
        <v>0</v>
      </c>
      <c r="R860" s="2" t="inlineStr"/>
    </row>
    <row r="861" ht="15" customHeight="1">
      <c r="A861" t="inlineStr">
        <is>
          <t>A 57568-2023</t>
        </is>
      </c>
      <c r="B861" s="1" t="n">
        <v>45246.50484953704</v>
      </c>
      <c r="C861" s="1" t="n">
        <v>45895</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45631-2021</t>
        </is>
      </c>
      <c r="B862" s="1" t="n">
        <v>44440.98045138889</v>
      </c>
      <c r="C862" s="1" t="n">
        <v>45895</v>
      </c>
      <c r="D862" t="inlineStr">
        <is>
          <t>VÄSTERNORRLANDS LÄN</t>
        </is>
      </c>
      <c r="E862" t="inlineStr">
        <is>
          <t>ÅNGE</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35432-2025</t>
        </is>
      </c>
      <c r="B863" s="1" t="n">
        <v>45855.44831018519</v>
      </c>
      <c r="C863" s="1" t="n">
        <v>45895</v>
      </c>
      <c r="D863" t="inlineStr">
        <is>
          <t>VÄSTERNORRLANDS LÄN</t>
        </is>
      </c>
      <c r="E863" t="inlineStr">
        <is>
          <t>ÅNGE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57592-2022</t>
        </is>
      </c>
      <c r="B864" s="1" t="n">
        <v>44896.97841435186</v>
      </c>
      <c r="C864" s="1" t="n">
        <v>45895</v>
      </c>
      <c r="D864" t="inlineStr">
        <is>
          <t>VÄSTERNORRLANDS LÄN</t>
        </is>
      </c>
      <c r="E864" t="inlineStr">
        <is>
          <t>ÅNGE</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57602-2022</t>
        </is>
      </c>
      <c r="B865" s="1" t="n">
        <v>44896</v>
      </c>
      <c r="C865" s="1" t="n">
        <v>45895</v>
      </c>
      <c r="D865" t="inlineStr">
        <is>
          <t>VÄSTERNORRLANDS LÄN</t>
        </is>
      </c>
      <c r="E865" t="inlineStr">
        <is>
          <t>ÅNGE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20231-2022</t>
        </is>
      </c>
      <c r="B866" s="1" t="n">
        <v>44698</v>
      </c>
      <c r="C866" s="1" t="n">
        <v>45895</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39985-2023</t>
        </is>
      </c>
      <c r="B867" s="1" t="n">
        <v>45168</v>
      </c>
      <c r="C867" s="1" t="n">
        <v>45895</v>
      </c>
      <c r="D867" t="inlineStr">
        <is>
          <t>VÄSTERNORRLANDS LÄN</t>
        </is>
      </c>
      <c r="E867" t="inlineStr">
        <is>
          <t>ÅNGE</t>
        </is>
      </c>
      <c r="G867" t="n">
        <v>0.1</v>
      </c>
      <c r="H867" t="n">
        <v>0</v>
      </c>
      <c r="I867" t="n">
        <v>0</v>
      </c>
      <c r="J867" t="n">
        <v>0</v>
      </c>
      <c r="K867" t="n">
        <v>0</v>
      </c>
      <c r="L867" t="n">
        <v>0</v>
      </c>
      <c r="M867" t="n">
        <v>0</v>
      </c>
      <c r="N867" t="n">
        <v>0</v>
      </c>
      <c r="O867" t="n">
        <v>0</v>
      </c>
      <c r="P867" t="n">
        <v>0</v>
      </c>
      <c r="Q867" t="n">
        <v>0</v>
      </c>
      <c r="R867" s="2" t="inlineStr"/>
    </row>
    <row r="868" ht="15" customHeight="1">
      <c r="A868" t="inlineStr">
        <is>
          <t>A 35540-2025</t>
        </is>
      </c>
      <c r="B868" s="1" t="n">
        <v>45856.46912037037</v>
      </c>
      <c r="C868" s="1" t="n">
        <v>45895</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58748-2023</t>
        </is>
      </c>
      <c r="B869" s="1" t="n">
        <v>45251.92936342592</v>
      </c>
      <c r="C869" s="1" t="n">
        <v>45895</v>
      </c>
      <c r="D869" t="inlineStr">
        <is>
          <t>VÄSTERNORRLANDS LÄN</t>
        </is>
      </c>
      <c r="E869" t="inlineStr">
        <is>
          <t>ÅNGE</t>
        </is>
      </c>
      <c r="G869" t="n">
        <v>2.7</v>
      </c>
      <c r="H869" t="n">
        <v>0</v>
      </c>
      <c r="I869" t="n">
        <v>0</v>
      </c>
      <c r="J869" t="n">
        <v>0</v>
      </c>
      <c r="K869" t="n">
        <v>0</v>
      </c>
      <c r="L869" t="n">
        <v>0</v>
      </c>
      <c r="M869" t="n">
        <v>0</v>
      </c>
      <c r="N869" t="n">
        <v>0</v>
      </c>
      <c r="O869" t="n">
        <v>0</v>
      </c>
      <c r="P869" t="n">
        <v>0</v>
      </c>
      <c r="Q869" t="n">
        <v>0</v>
      </c>
      <c r="R869" s="2" t="inlineStr"/>
    </row>
    <row r="870" ht="15" customHeight="1">
      <c r="A870" t="inlineStr">
        <is>
          <t>A 43552-2023</t>
        </is>
      </c>
      <c r="B870" s="1" t="n">
        <v>45181</v>
      </c>
      <c r="C870" s="1" t="n">
        <v>45895</v>
      </c>
      <c r="D870" t="inlineStr">
        <is>
          <t>VÄSTERNORRLANDS LÄN</t>
        </is>
      </c>
      <c r="E870" t="inlineStr">
        <is>
          <t>ÅNGE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46775-2024</t>
        </is>
      </c>
      <c r="B871" s="1" t="n">
        <v>45583.49711805556</v>
      </c>
      <c r="C871" s="1" t="n">
        <v>45895</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46780-2024</t>
        </is>
      </c>
      <c r="B872" s="1" t="n">
        <v>45583.51076388889</v>
      </c>
      <c r="C872" s="1" t="n">
        <v>45895</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18880-2024</t>
        </is>
      </c>
      <c r="B873" s="1" t="n">
        <v>45426</v>
      </c>
      <c r="C873" s="1" t="n">
        <v>45895</v>
      </c>
      <c r="D873" t="inlineStr">
        <is>
          <t>VÄSTERNORRLANDS LÄN</t>
        </is>
      </c>
      <c r="E873" t="inlineStr">
        <is>
          <t>ÅNGE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55558-2024</t>
        </is>
      </c>
      <c r="B874" s="1" t="n">
        <v>45622.52586805556</v>
      </c>
      <c r="C874" s="1" t="n">
        <v>45895</v>
      </c>
      <c r="D874" t="inlineStr">
        <is>
          <t>VÄSTERNORRLANDS LÄN</t>
        </is>
      </c>
      <c r="E874" t="inlineStr">
        <is>
          <t>ÅNGE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35548-2025</t>
        </is>
      </c>
      <c r="B875" s="1" t="n">
        <v>45856.48995370371</v>
      </c>
      <c r="C875" s="1" t="n">
        <v>45895</v>
      </c>
      <c r="D875" t="inlineStr">
        <is>
          <t>VÄSTERNORRLANDS LÄN</t>
        </is>
      </c>
      <c r="E875" t="inlineStr">
        <is>
          <t>ÅNGE</t>
        </is>
      </c>
      <c r="F875" t="inlineStr">
        <is>
          <t>SCA</t>
        </is>
      </c>
      <c r="G875" t="n">
        <v>14.6</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44698.61150462963</v>
      </c>
      <c r="C876" s="1" t="n">
        <v>45895</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35577-2025</t>
        </is>
      </c>
      <c r="B877" s="1" t="n">
        <v>45856.67762731481</v>
      </c>
      <c r="C877" s="1" t="n">
        <v>45895</v>
      </c>
      <c r="D877" t="inlineStr">
        <is>
          <t>VÄSTERNORRLANDS LÄN</t>
        </is>
      </c>
      <c r="E877" t="inlineStr">
        <is>
          <t>ÅNGE</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27639-2025</t>
        </is>
      </c>
      <c r="B878" s="1" t="n">
        <v>45813</v>
      </c>
      <c r="C878" s="1" t="n">
        <v>45895</v>
      </c>
      <c r="D878" t="inlineStr">
        <is>
          <t>VÄSTERNORRLANDS LÄN</t>
        </is>
      </c>
      <c r="E878" t="inlineStr">
        <is>
          <t>ÅNGE</t>
        </is>
      </c>
      <c r="G878" t="n">
        <v>22.9</v>
      </c>
      <c r="H878" t="n">
        <v>0</v>
      </c>
      <c r="I878" t="n">
        <v>0</v>
      </c>
      <c r="J878" t="n">
        <v>0</v>
      </c>
      <c r="K878" t="n">
        <v>0</v>
      </c>
      <c r="L878" t="n">
        <v>0</v>
      </c>
      <c r="M878" t="n">
        <v>0</v>
      </c>
      <c r="N878" t="n">
        <v>0</v>
      </c>
      <c r="O878" t="n">
        <v>0</v>
      </c>
      <c r="P878" t="n">
        <v>0</v>
      </c>
      <c r="Q878" t="n">
        <v>0</v>
      </c>
      <c r="R878" s="2" t="inlineStr"/>
    </row>
    <row r="879" ht="15" customHeight="1">
      <c r="A879" t="inlineStr">
        <is>
          <t>A 58639-2023</t>
        </is>
      </c>
      <c r="B879" s="1" t="n">
        <v>45251</v>
      </c>
      <c r="C879" s="1" t="n">
        <v>45895</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35498-2022</t>
        </is>
      </c>
      <c r="B880" s="1" t="n">
        <v>44798.94810185185</v>
      </c>
      <c r="C880" s="1" t="n">
        <v>45895</v>
      </c>
      <c r="D880" t="inlineStr">
        <is>
          <t>VÄSTERNORRLANDS LÄN</t>
        </is>
      </c>
      <c r="E880" t="inlineStr">
        <is>
          <t>ÅNGE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18112-2025</t>
        </is>
      </c>
      <c r="B881" s="1" t="n">
        <v>45761.57350694444</v>
      </c>
      <c r="C881" s="1" t="n">
        <v>45895</v>
      </c>
      <c r="D881" t="inlineStr">
        <is>
          <t>VÄSTERNORRLANDS LÄN</t>
        </is>
      </c>
      <c r="E881" t="inlineStr">
        <is>
          <t>ÅNGE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3347-2024</t>
        </is>
      </c>
      <c r="B882" s="1" t="n">
        <v>45317</v>
      </c>
      <c r="C882" s="1" t="n">
        <v>45895</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63530-2023</t>
        </is>
      </c>
      <c r="B883" s="1" t="n">
        <v>45274</v>
      </c>
      <c r="C883" s="1" t="n">
        <v>45895</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9382-2025</t>
        </is>
      </c>
      <c r="B884" s="1" t="n">
        <v>45715.34425925926</v>
      </c>
      <c r="C884" s="1" t="n">
        <v>45895</v>
      </c>
      <c r="D884" t="inlineStr">
        <is>
          <t>VÄSTERNORRLANDS LÄN</t>
        </is>
      </c>
      <c r="E884" t="inlineStr">
        <is>
          <t>ÅNGE</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3253-2024</t>
        </is>
      </c>
      <c r="B885" s="1" t="n">
        <v>45316</v>
      </c>
      <c r="C885" s="1" t="n">
        <v>45895</v>
      </c>
      <c r="D885" t="inlineStr">
        <is>
          <t>VÄSTERNORRLANDS LÄN</t>
        </is>
      </c>
      <c r="E885" t="inlineStr">
        <is>
          <t>ÅNGE</t>
        </is>
      </c>
      <c r="G885" t="n">
        <v>1.2</v>
      </c>
      <c r="H885" t="n">
        <v>0</v>
      </c>
      <c r="I885" t="n">
        <v>0</v>
      </c>
      <c r="J885" t="n">
        <v>0</v>
      </c>
      <c r="K885" t="n">
        <v>0</v>
      </c>
      <c r="L885" t="n">
        <v>0</v>
      </c>
      <c r="M885" t="n">
        <v>0</v>
      </c>
      <c r="N885" t="n">
        <v>0</v>
      </c>
      <c r="O885" t="n">
        <v>0</v>
      </c>
      <c r="P885" t="n">
        <v>0</v>
      </c>
      <c r="Q885" t="n">
        <v>0</v>
      </c>
      <c r="R885" s="2" t="inlineStr"/>
    </row>
    <row r="886" ht="15" customHeight="1">
      <c r="A886" t="inlineStr">
        <is>
          <t>A 49945-2023</t>
        </is>
      </c>
      <c r="B886" s="1" t="n">
        <v>45215.3625462963</v>
      </c>
      <c r="C886" s="1" t="n">
        <v>45895</v>
      </c>
      <c r="D886" t="inlineStr">
        <is>
          <t>VÄSTERNORRLANDS LÄN</t>
        </is>
      </c>
      <c r="E886" t="inlineStr">
        <is>
          <t>ÅNGE</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45895</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1711-2025</t>
        </is>
      </c>
      <c r="B888" s="1" t="n">
        <v>45671.31184027778</v>
      </c>
      <c r="C888" s="1" t="n">
        <v>45895</v>
      </c>
      <c r="D888" t="inlineStr">
        <is>
          <t>VÄSTERNORRLANDS LÄN</t>
        </is>
      </c>
      <c r="E888" t="inlineStr">
        <is>
          <t>ÅNGE</t>
        </is>
      </c>
      <c r="G888" t="n">
        <v>2.8</v>
      </c>
      <c r="H888" t="n">
        <v>0</v>
      </c>
      <c r="I888" t="n">
        <v>0</v>
      </c>
      <c r="J888" t="n">
        <v>0</v>
      </c>
      <c r="K888" t="n">
        <v>0</v>
      </c>
      <c r="L888" t="n">
        <v>0</v>
      </c>
      <c r="M888" t="n">
        <v>0</v>
      </c>
      <c r="N888" t="n">
        <v>0</v>
      </c>
      <c r="O888" t="n">
        <v>0</v>
      </c>
      <c r="P888" t="n">
        <v>0</v>
      </c>
      <c r="Q888" t="n">
        <v>0</v>
      </c>
      <c r="R888" s="2" t="inlineStr"/>
    </row>
    <row r="889" ht="15" customHeight="1">
      <c r="A889" t="inlineStr">
        <is>
          <t>A 42043-2024</t>
        </is>
      </c>
      <c r="B889" s="1" t="n">
        <v>45561</v>
      </c>
      <c r="C889" s="1" t="n">
        <v>45895</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42046-2024</t>
        </is>
      </c>
      <c r="B890" s="1" t="n">
        <v>45561.83422453704</v>
      </c>
      <c r="C890" s="1" t="n">
        <v>45895</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28070-2025</t>
        </is>
      </c>
      <c r="B891" s="1" t="n">
        <v>45817.67739583334</v>
      </c>
      <c r="C891" s="1" t="n">
        <v>45895</v>
      </c>
      <c r="D891" t="inlineStr">
        <is>
          <t>VÄSTERNORRLANDS LÄN</t>
        </is>
      </c>
      <c r="E891" t="inlineStr">
        <is>
          <t>ÅNGE</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19709-2025</t>
        </is>
      </c>
      <c r="B892" s="1" t="n">
        <v>45771.34263888889</v>
      </c>
      <c r="C892" s="1" t="n">
        <v>45895</v>
      </c>
      <c r="D892" t="inlineStr">
        <is>
          <t>VÄSTERNORRLANDS LÄN</t>
        </is>
      </c>
      <c r="E892" t="inlineStr">
        <is>
          <t>ÅNGE</t>
        </is>
      </c>
      <c r="G892" t="n">
        <v>3.8</v>
      </c>
      <c r="H892" t="n">
        <v>0</v>
      </c>
      <c r="I892" t="n">
        <v>0</v>
      </c>
      <c r="J892" t="n">
        <v>0</v>
      </c>
      <c r="K892" t="n">
        <v>0</v>
      </c>
      <c r="L892" t="n">
        <v>0</v>
      </c>
      <c r="M892" t="n">
        <v>0</v>
      </c>
      <c r="N892" t="n">
        <v>0</v>
      </c>
      <c r="O892" t="n">
        <v>0</v>
      </c>
      <c r="P892" t="n">
        <v>0</v>
      </c>
      <c r="Q892" t="n">
        <v>0</v>
      </c>
      <c r="R892" s="2" t="inlineStr"/>
    </row>
    <row r="893" ht="15" customHeight="1">
      <c r="A893" t="inlineStr">
        <is>
          <t>A 19723-2025</t>
        </is>
      </c>
      <c r="B893" s="1" t="n">
        <v>45771.36490740741</v>
      </c>
      <c r="C893" s="1" t="n">
        <v>45895</v>
      </c>
      <c r="D893" t="inlineStr">
        <is>
          <t>VÄSTERNORRLANDS LÄN</t>
        </is>
      </c>
      <c r="E893" t="inlineStr">
        <is>
          <t>ÅNGE</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22165-2025</t>
        </is>
      </c>
      <c r="B894" s="1" t="n">
        <v>45785.59451388889</v>
      </c>
      <c r="C894" s="1" t="n">
        <v>45895</v>
      </c>
      <c r="D894" t="inlineStr">
        <is>
          <t>VÄSTERNORRLANDS LÄN</t>
        </is>
      </c>
      <c r="E894" t="inlineStr">
        <is>
          <t>ÅNGE</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55751-2024</t>
        </is>
      </c>
      <c r="B895" s="1" t="n">
        <v>45623.34409722222</v>
      </c>
      <c r="C895" s="1" t="n">
        <v>45895</v>
      </c>
      <c r="D895" t="inlineStr">
        <is>
          <t>VÄSTERNORRLANDS LÄN</t>
        </is>
      </c>
      <c r="E895" t="inlineStr">
        <is>
          <t>ÅNGE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35690-2025</t>
        </is>
      </c>
      <c r="B896" s="1" t="n">
        <v>45860.34421296296</v>
      </c>
      <c r="C896" s="1" t="n">
        <v>45895</v>
      </c>
      <c r="D896" t="inlineStr">
        <is>
          <t>VÄSTERNORRLANDS LÄN</t>
        </is>
      </c>
      <c r="E896" t="inlineStr">
        <is>
          <t>ÅNGE</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35781-2025</t>
        </is>
      </c>
      <c r="B897" s="1" t="n">
        <v>45860.70613425926</v>
      </c>
      <c r="C897" s="1" t="n">
        <v>45895</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35497-2025</t>
        </is>
      </c>
      <c r="B898" s="1" t="n">
        <v>45856.29752314815</v>
      </c>
      <c r="C898" s="1" t="n">
        <v>45895</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56232-2024</t>
        </is>
      </c>
      <c r="B899" s="1" t="n">
        <v>45624</v>
      </c>
      <c r="C899" s="1" t="n">
        <v>45895</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44635-2024</t>
        </is>
      </c>
      <c r="B900" s="1" t="n">
        <v>45574.51488425926</v>
      </c>
      <c r="C900" s="1" t="n">
        <v>45895</v>
      </c>
      <c r="D900" t="inlineStr">
        <is>
          <t>VÄSTERNORRLANDS LÄN</t>
        </is>
      </c>
      <c r="E900" t="inlineStr">
        <is>
          <t>ÅNGE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24324-2022</t>
        </is>
      </c>
      <c r="B901" s="1" t="n">
        <v>44725.945</v>
      </c>
      <c r="C901" s="1" t="n">
        <v>45895</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24325-2022</t>
        </is>
      </c>
      <c r="B902" s="1" t="n">
        <v>44725.94506944445</v>
      </c>
      <c r="C902" s="1" t="n">
        <v>45895</v>
      </c>
      <c r="D902" t="inlineStr">
        <is>
          <t>VÄSTERNORRLANDS LÄN</t>
        </is>
      </c>
      <c r="E902" t="inlineStr">
        <is>
          <t>ÅNGE</t>
        </is>
      </c>
      <c r="G902" t="n">
        <v>1.6</v>
      </c>
      <c r="H902" t="n">
        <v>0</v>
      </c>
      <c r="I902" t="n">
        <v>0</v>
      </c>
      <c r="J902" t="n">
        <v>0</v>
      </c>
      <c r="K902" t="n">
        <v>0</v>
      </c>
      <c r="L902" t="n">
        <v>0</v>
      </c>
      <c r="M902" t="n">
        <v>0</v>
      </c>
      <c r="N902" t="n">
        <v>0</v>
      </c>
      <c r="O902" t="n">
        <v>0</v>
      </c>
      <c r="P902" t="n">
        <v>0</v>
      </c>
      <c r="Q902" t="n">
        <v>0</v>
      </c>
      <c r="R902" s="2" t="inlineStr"/>
    </row>
    <row r="903" ht="15" customHeight="1">
      <c r="A903" t="inlineStr">
        <is>
          <t>A 30803-2022</t>
        </is>
      </c>
      <c r="B903" s="1" t="n">
        <v>44764</v>
      </c>
      <c r="C903" s="1" t="n">
        <v>45895</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35766-2025</t>
        </is>
      </c>
      <c r="B904" s="1" t="n">
        <v>45860.63077546296</v>
      </c>
      <c r="C904" s="1" t="n">
        <v>45895</v>
      </c>
      <c r="D904" t="inlineStr">
        <is>
          <t>VÄSTERNORRLANDS LÄN</t>
        </is>
      </c>
      <c r="E904" t="inlineStr">
        <is>
          <t>ÅNGE</t>
        </is>
      </c>
      <c r="G904" t="n">
        <v>10.7</v>
      </c>
      <c r="H904" t="n">
        <v>0</v>
      </c>
      <c r="I904" t="n">
        <v>0</v>
      </c>
      <c r="J904" t="n">
        <v>0</v>
      </c>
      <c r="K904" t="n">
        <v>0</v>
      </c>
      <c r="L904" t="n">
        <v>0</v>
      </c>
      <c r="M904" t="n">
        <v>0</v>
      </c>
      <c r="N904" t="n">
        <v>0</v>
      </c>
      <c r="O904" t="n">
        <v>0</v>
      </c>
      <c r="P904" t="n">
        <v>0</v>
      </c>
      <c r="Q904" t="n">
        <v>0</v>
      </c>
      <c r="R904" s="2" t="inlineStr"/>
    </row>
    <row r="905" ht="15" customHeight="1">
      <c r="A905" t="inlineStr">
        <is>
          <t>A 28085-2025</t>
        </is>
      </c>
      <c r="B905" s="1" t="n">
        <v>45817.71924768519</v>
      </c>
      <c r="C905" s="1" t="n">
        <v>45895</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17744-2025</t>
        </is>
      </c>
      <c r="B906" s="1" t="n">
        <v>45758</v>
      </c>
      <c r="C906" s="1" t="n">
        <v>45895</v>
      </c>
      <c r="D906" t="inlineStr">
        <is>
          <t>VÄSTERNORRLANDS LÄN</t>
        </is>
      </c>
      <c r="E906" t="inlineStr">
        <is>
          <t>ÅNGE</t>
        </is>
      </c>
      <c r="G906" t="n">
        <v>5</v>
      </c>
      <c r="H906" t="n">
        <v>0</v>
      </c>
      <c r="I906" t="n">
        <v>0</v>
      </c>
      <c r="J906" t="n">
        <v>0</v>
      </c>
      <c r="K906" t="n">
        <v>0</v>
      </c>
      <c r="L906" t="n">
        <v>0</v>
      </c>
      <c r="M906" t="n">
        <v>0</v>
      </c>
      <c r="N906" t="n">
        <v>0</v>
      </c>
      <c r="O906" t="n">
        <v>0</v>
      </c>
      <c r="P906" t="n">
        <v>0</v>
      </c>
      <c r="Q906" t="n">
        <v>0</v>
      </c>
      <c r="R906" s="2" t="inlineStr"/>
    </row>
    <row r="907" ht="15" customHeight="1">
      <c r="A907" t="inlineStr">
        <is>
          <t>A 2433-2024</t>
        </is>
      </c>
      <c r="B907" s="1" t="n">
        <v>45310</v>
      </c>
      <c r="C907" s="1" t="n">
        <v>45895</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16191-2023</t>
        </is>
      </c>
      <c r="B908" s="1" t="n">
        <v>45027.94111111111</v>
      </c>
      <c r="C908" s="1" t="n">
        <v>45895</v>
      </c>
      <c r="D908" t="inlineStr">
        <is>
          <t>VÄSTERNORRLANDS LÄN</t>
        </is>
      </c>
      <c r="E908" t="inlineStr">
        <is>
          <t>ÅNGE</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28143-2025</t>
        </is>
      </c>
      <c r="B909" s="1" t="n">
        <v>45818.34546296296</v>
      </c>
      <c r="C909" s="1" t="n">
        <v>45895</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56615-2023</t>
        </is>
      </c>
      <c r="B910" s="1" t="n">
        <v>45243</v>
      </c>
      <c r="C910" s="1" t="n">
        <v>45895</v>
      </c>
      <c r="D910" t="inlineStr">
        <is>
          <t>VÄSTERNORRLANDS LÄN</t>
        </is>
      </c>
      <c r="E910" t="inlineStr">
        <is>
          <t>ÅNGE</t>
        </is>
      </c>
      <c r="G910" t="n">
        <v>7.4</v>
      </c>
      <c r="H910" t="n">
        <v>0</v>
      </c>
      <c r="I910" t="n">
        <v>0</v>
      </c>
      <c r="J910" t="n">
        <v>0</v>
      </c>
      <c r="K910" t="n">
        <v>0</v>
      </c>
      <c r="L910" t="n">
        <v>0</v>
      </c>
      <c r="M910" t="n">
        <v>0</v>
      </c>
      <c r="N910" t="n">
        <v>0</v>
      </c>
      <c r="O910" t="n">
        <v>0</v>
      </c>
      <c r="P910" t="n">
        <v>0</v>
      </c>
      <c r="Q910" t="n">
        <v>0</v>
      </c>
      <c r="R910" s="2" t="inlineStr"/>
    </row>
    <row r="911" ht="15" customHeight="1">
      <c r="A911" t="inlineStr">
        <is>
          <t>A 61461-2023</t>
        </is>
      </c>
      <c r="B911" s="1" t="n">
        <v>45264.9261574074</v>
      </c>
      <c r="C911" s="1" t="n">
        <v>45895</v>
      </c>
      <c r="D911" t="inlineStr">
        <is>
          <t>VÄSTERNORRLANDS LÄN</t>
        </is>
      </c>
      <c r="E911" t="inlineStr">
        <is>
          <t>ÅNGE</t>
        </is>
      </c>
      <c r="G911" t="n">
        <v>0.9</v>
      </c>
      <c r="H911" t="n">
        <v>0</v>
      </c>
      <c r="I911" t="n">
        <v>0</v>
      </c>
      <c r="J911" t="n">
        <v>0</v>
      </c>
      <c r="K911" t="n">
        <v>0</v>
      </c>
      <c r="L911" t="n">
        <v>0</v>
      </c>
      <c r="M911" t="n">
        <v>0</v>
      </c>
      <c r="N911" t="n">
        <v>0</v>
      </c>
      <c r="O911" t="n">
        <v>0</v>
      </c>
      <c r="P911" t="n">
        <v>0</v>
      </c>
      <c r="Q911" t="n">
        <v>0</v>
      </c>
      <c r="R911" s="2" t="inlineStr"/>
    </row>
    <row r="912" ht="15" customHeight="1">
      <c r="A912" t="inlineStr">
        <is>
          <t>A 17670-2023</t>
        </is>
      </c>
      <c r="B912" s="1" t="n">
        <v>45036</v>
      </c>
      <c r="C912" s="1" t="n">
        <v>45895</v>
      </c>
      <c r="D912" t="inlineStr">
        <is>
          <t>VÄSTERNORRLANDS LÄN</t>
        </is>
      </c>
      <c r="E912" t="inlineStr">
        <is>
          <t>ÅNGE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51059-2024</t>
        </is>
      </c>
      <c r="B913" s="1" t="n">
        <v>45603</v>
      </c>
      <c r="C913" s="1" t="n">
        <v>45895</v>
      </c>
      <c r="D913" t="inlineStr">
        <is>
          <t>VÄSTERNORRLANDS LÄN</t>
        </is>
      </c>
      <c r="E913" t="inlineStr">
        <is>
          <t>ÅNGE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35827-2025</t>
        </is>
      </c>
      <c r="B914" s="1" t="n">
        <v>45861.49017361111</v>
      </c>
      <c r="C914" s="1" t="n">
        <v>45895</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27661-2024</t>
        </is>
      </c>
      <c r="B915" s="1" t="n">
        <v>45474.95365740741</v>
      </c>
      <c r="C915" s="1" t="n">
        <v>45895</v>
      </c>
      <c r="D915" t="inlineStr">
        <is>
          <t>VÄSTERNORRLANDS LÄN</t>
        </is>
      </c>
      <c r="E915" t="inlineStr">
        <is>
          <t>ÅNGE</t>
        </is>
      </c>
      <c r="F915" t="inlineStr">
        <is>
          <t>SCA</t>
        </is>
      </c>
      <c r="G915" t="n">
        <v>19.1</v>
      </c>
      <c r="H915" t="n">
        <v>0</v>
      </c>
      <c r="I915" t="n">
        <v>0</v>
      </c>
      <c r="J915" t="n">
        <v>0</v>
      </c>
      <c r="K915" t="n">
        <v>0</v>
      </c>
      <c r="L915" t="n">
        <v>0</v>
      </c>
      <c r="M915" t="n">
        <v>0</v>
      </c>
      <c r="N915" t="n">
        <v>0</v>
      </c>
      <c r="O915" t="n">
        <v>0</v>
      </c>
      <c r="P915" t="n">
        <v>0</v>
      </c>
      <c r="Q915" t="n">
        <v>0</v>
      </c>
      <c r="R915" s="2" t="inlineStr"/>
    </row>
    <row r="916" ht="15" customHeight="1">
      <c r="A916" t="inlineStr">
        <is>
          <t>A 59412-2024</t>
        </is>
      </c>
      <c r="B916" s="1" t="n">
        <v>45638</v>
      </c>
      <c r="C916" s="1" t="n">
        <v>45895</v>
      </c>
      <c r="D916" t="inlineStr">
        <is>
          <t>VÄSTERNORRLANDS LÄN</t>
        </is>
      </c>
      <c r="E916" t="inlineStr">
        <is>
          <t>ÅNGE</t>
        </is>
      </c>
      <c r="G916" t="n">
        <v>0.6</v>
      </c>
      <c r="H916" t="n">
        <v>0</v>
      </c>
      <c r="I916" t="n">
        <v>0</v>
      </c>
      <c r="J916" t="n">
        <v>0</v>
      </c>
      <c r="K916" t="n">
        <v>0</v>
      </c>
      <c r="L916" t="n">
        <v>0</v>
      </c>
      <c r="M916" t="n">
        <v>0</v>
      </c>
      <c r="N916" t="n">
        <v>0</v>
      </c>
      <c r="O916" t="n">
        <v>0</v>
      </c>
      <c r="P916" t="n">
        <v>0</v>
      </c>
      <c r="Q916" t="n">
        <v>0</v>
      </c>
      <c r="R916" s="2" t="inlineStr"/>
    </row>
    <row r="917" ht="15" customHeight="1">
      <c r="A917" t="inlineStr">
        <is>
          <t>A 44518-2024</t>
        </is>
      </c>
      <c r="B917" s="1" t="n">
        <v>45574.43376157407</v>
      </c>
      <c r="C917" s="1" t="n">
        <v>45895</v>
      </c>
      <c r="D917" t="inlineStr">
        <is>
          <t>VÄSTERNORRLANDS LÄN</t>
        </is>
      </c>
      <c r="E917" t="inlineStr">
        <is>
          <t>ÅNGE</t>
        </is>
      </c>
      <c r="G917" t="n">
        <v>2.6</v>
      </c>
      <c r="H917" t="n">
        <v>0</v>
      </c>
      <c r="I917" t="n">
        <v>0</v>
      </c>
      <c r="J917" t="n">
        <v>0</v>
      </c>
      <c r="K917" t="n">
        <v>0</v>
      </c>
      <c r="L917" t="n">
        <v>0</v>
      </c>
      <c r="M917" t="n">
        <v>0</v>
      </c>
      <c r="N917" t="n">
        <v>0</v>
      </c>
      <c r="O917" t="n">
        <v>0</v>
      </c>
      <c r="P917" t="n">
        <v>0</v>
      </c>
      <c r="Q917" t="n">
        <v>0</v>
      </c>
      <c r="R917" s="2" t="inlineStr"/>
    </row>
    <row r="918" ht="15" customHeight="1">
      <c r="A918" t="inlineStr">
        <is>
          <t>A 51124-2024</t>
        </is>
      </c>
      <c r="B918" s="1" t="n">
        <v>45603.50716435185</v>
      </c>
      <c r="C918" s="1" t="n">
        <v>45895</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35838-2025</t>
        </is>
      </c>
      <c r="B919" s="1" t="n">
        <v>45861.53829861111</v>
      </c>
      <c r="C919" s="1" t="n">
        <v>45895</v>
      </c>
      <c r="D919" t="inlineStr">
        <is>
          <t>VÄSTERNORRLANDS LÄN</t>
        </is>
      </c>
      <c r="E919" t="inlineStr">
        <is>
          <t>ÅNGE</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28404-2025</t>
        </is>
      </c>
      <c r="B920" s="1" t="n">
        <v>45819.34532407407</v>
      </c>
      <c r="C920" s="1" t="n">
        <v>45895</v>
      </c>
      <c r="D920" t="inlineStr">
        <is>
          <t>VÄSTERNORRLANDS LÄN</t>
        </is>
      </c>
      <c r="E920" t="inlineStr">
        <is>
          <t>ÅNGE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28895-2025</t>
        </is>
      </c>
      <c r="B921" s="1" t="n">
        <v>45820.63572916666</v>
      </c>
      <c r="C921" s="1" t="n">
        <v>45895</v>
      </c>
      <c r="D921" t="inlineStr">
        <is>
          <t>VÄSTERNORRLANDS LÄN</t>
        </is>
      </c>
      <c r="E921" t="inlineStr">
        <is>
          <t>ÅNGE</t>
        </is>
      </c>
      <c r="F921" t="inlineStr">
        <is>
          <t>SCA</t>
        </is>
      </c>
      <c r="G921" t="n">
        <v>25.5</v>
      </c>
      <c r="H921" t="n">
        <v>0</v>
      </c>
      <c r="I921" t="n">
        <v>0</v>
      </c>
      <c r="J921" t="n">
        <v>0</v>
      </c>
      <c r="K921" t="n">
        <v>0</v>
      </c>
      <c r="L921" t="n">
        <v>0</v>
      </c>
      <c r="M921" t="n">
        <v>0</v>
      </c>
      <c r="N921" t="n">
        <v>0</v>
      </c>
      <c r="O921" t="n">
        <v>0</v>
      </c>
      <c r="P921" t="n">
        <v>0</v>
      </c>
      <c r="Q921" t="n">
        <v>0</v>
      </c>
      <c r="R921" s="2" t="inlineStr"/>
    </row>
    <row r="922" ht="15" customHeight="1">
      <c r="A922" t="inlineStr">
        <is>
          <t>A 28896-2025</t>
        </is>
      </c>
      <c r="B922" s="1" t="n">
        <v>45820.63584490741</v>
      </c>
      <c r="C922" s="1" t="n">
        <v>45895</v>
      </c>
      <c r="D922" t="inlineStr">
        <is>
          <t>VÄSTERNORRLANDS LÄN</t>
        </is>
      </c>
      <c r="E922" t="inlineStr">
        <is>
          <t>ÅNGE</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45890-2021</t>
        </is>
      </c>
      <c r="B923" s="1" t="n">
        <v>44441</v>
      </c>
      <c r="C923" s="1" t="n">
        <v>45895</v>
      </c>
      <c r="D923" t="inlineStr">
        <is>
          <t>VÄSTERNORRLANDS LÄN</t>
        </is>
      </c>
      <c r="E923" t="inlineStr">
        <is>
          <t>ÅNGE</t>
        </is>
      </c>
      <c r="G923" t="n">
        <v>0.9</v>
      </c>
      <c r="H923" t="n">
        <v>0</v>
      </c>
      <c r="I923" t="n">
        <v>0</v>
      </c>
      <c r="J923" t="n">
        <v>0</v>
      </c>
      <c r="K923" t="n">
        <v>0</v>
      </c>
      <c r="L923" t="n">
        <v>0</v>
      </c>
      <c r="M923" t="n">
        <v>0</v>
      </c>
      <c r="N923" t="n">
        <v>0</v>
      </c>
      <c r="O923" t="n">
        <v>0</v>
      </c>
      <c r="P923" t="n">
        <v>0</v>
      </c>
      <c r="Q923" t="n">
        <v>0</v>
      </c>
      <c r="R923" s="2" t="inlineStr"/>
    </row>
    <row r="924" ht="15" customHeight="1">
      <c r="A924" t="inlineStr">
        <is>
          <t>A 50674-2024</t>
        </is>
      </c>
      <c r="B924" s="1" t="n">
        <v>45601.85402777778</v>
      </c>
      <c r="C924" s="1" t="n">
        <v>45895</v>
      </c>
      <c r="D924" t="inlineStr">
        <is>
          <t>VÄSTERNORRLANDS LÄN</t>
        </is>
      </c>
      <c r="E924" t="inlineStr">
        <is>
          <t>ÅNGE</t>
        </is>
      </c>
      <c r="G924" t="n">
        <v>1.2</v>
      </c>
      <c r="H924" t="n">
        <v>0</v>
      </c>
      <c r="I924" t="n">
        <v>0</v>
      </c>
      <c r="J924" t="n">
        <v>0</v>
      </c>
      <c r="K924" t="n">
        <v>0</v>
      </c>
      <c r="L924" t="n">
        <v>0</v>
      </c>
      <c r="M924" t="n">
        <v>0</v>
      </c>
      <c r="N924" t="n">
        <v>0</v>
      </c>
      <c r="O924" t="n">
        <v>0</v>
      </c>
      <c r="P924" t="n">
        <v>0</v>
      </c>
      <c r="Q924" t="n">
        <v>0</v>
      </c>
      <c r="R924" s="2" t="inlineStr"/>
    </row>
    <row r="925" ht="15" customHeight="1">
      <c r="A925" t="inlineStr">
        <is>
          <t>A 54720-2024</t>
        </is>
      </c>
      <c r="B925" s="1" t="n">
        <v>45618.43715277778</v>
      </c>
      <c r="C925" s="1" t="n">
        <v>45895</v>
      </c>
      <c r="D925" t="inlineStr">
        <is>
          <t>VÄSTERNORRLANDS LÄN</t>
        </is>
      </c>
      <c r="E925" t="inlineStr">
        <is>
          <t>ÅNGE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53336-2024</t>
        </is>
      </c>
      <c r="B926" s="1" t="n">
        <v>45614.42753472222</v>
      </c>
      <c r="C926" s="1" t="n">
        <v>45895</v>
      </c>
      <c r="D926" t="inlineStr">
        <is>
          <t>VÄSTERNORRLANDS LÄN</t>
        </is>
      </c>
      <c r="E926" t="inlineStr">
        <is>
          <t>ÅNGE</t>
        </is>
      </c>
      <c r="G926" t="n">
        <v>1.5</v>
      </c>
      <c r="H926" t="n">
        <v>0</v>
      </c>
      <c r="I926" t="n">
        <v>0</v>
      </c>
      <c r="J926" t="n">
        <v>0</v>
      </c>
      <c r="K926" t="n">
        <v>0</v>
      </c>
      <c r="L926" t="n">
        <v>0</v>
      </c>
      <c r="M926" t="n">
        <v>0</v>
      </c>
      <c r="N926" t="n">
        <v>0</v>
      </c>
      <c r="O926" t="n">
        <v>0</v>
      </c>
      <c r="P926" t="n">
        <v>0</v>
      </c>
      <c r="Q926" t="n">
        <v>0</v>
      </c>
      <c r="R926" s="2" t="inlineStr"/>
    </row>
    <row r="927" ht="15" customHeight="1">
      <c r="A927" t="inlineStr">
        <is>
          <t>A 60003-2023</t>
        </is>
      </c>
      <c r="B927" s="1" t="n">
        <v>45257</v>
      </c>
      <c r="C927" s="1" t="n">
        <v>45895</v>
      </c>
      <c r="D927" t="inlineStr">
        <is>
          <t>VÄSTERNORRLANDS LÄN</t>
        </is>
      </c>
      <c r="E927" t="inlineStr">
        <is>
          <t>ÅNGE</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213-2024</t>
        </is>
      </c>
      <c r="B928" s="1" t="n">
        <v>45293</v>
      </c>
      <c r="C928" s="1" t="n">
        <v>45895</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40788-2024</t>
        </is>
      </c>
      <c r="B929" s="1" t="n">
        <v>45558.50974537037</v>
      </c>
      <c r="C929" s="1" t="n">
        <v>45895</v>
      </c>
      <c r="D929" t="inlineStr">
        <is>
          <t>VÄSTERNORRLANDS LÄN</t>
        </is>
      </c>
      <c r="E929" t="inlineStr">
        <is>
          <t>ÅNGE</t>
        </is>
      </c>
      <c r="G929" t="n">
        <v>4.2</v>
      </c>
      <c r="H929" t="n">
        <v>0</v>
      </c>
      <c r="I929" t="n">
        <v>0</v>
      </c>
      <c r="J929" t="n">
        <v>0</v>
      </c>
      <c r="K929" t="n">
        <v>0</v>
      </c>
      <c r="L929" t="n">
        <v>0</v>
      </c>
      <c r="M929" t="n">
        <v>0</v>
      </c>
      <c r="N929" t="n">
        <v>0</v>
      </c>
      <c r="O929" t="n">
        <v>0</v>
      </c>
      <c r="P929" t="n">
        <v>0</v>
      </c>
      <c r="Q929" t="n">
        <v>0</v>
      </c>
      <c r="R929" s="2" t="inlineStr"/>
    </row>
    <row r="930" ht="15" customHeight="1">
      <c r="A930" t="inlineStr">
        <is>
          <t>A 35826-2025</t>
        </is>
      </c>
      <c r="B930" s="1" t="n">
        <v>45861.48997685185</v>
      </c>
      <c r="C930" s="1" t="n">
        <v>45895</v>
      </c>
      <c r="D930" t="inlineStr">
        <is>
          <t>VÄSTERNORRLANDS LÄN</t>
        </is>
      </c>
      <c r="E930" t="inlineStr">
        <is>
          <t>ÅNGE</t>
        </is>
      </c>
      <c r="G930" t="n">
        <v>2.5</v>
      </c>
      <c r="H930" t="n">
        <v>0</v>
      </c>
      <c r="I930" t="n">
        <v>0</v>
      </c>
      <c r="J930" t="n">
        <v>0</v>
      </c>
      <c r="K930" t="n">
        <v>0</v>
      </c>
      <c r="L930" t="n">
        <v>0</v>
      </c>
      <c r="M930" t="n">
        <v>0</v>
      </c>
      <c r="N930" t="n">
        <v>0</v>
      </c>
      <c r="O930" t="n">
        <v>0</v>
      </c>
      <c r="P930" t="n">
        <v>0</v>
      </c>
      <c r="Q930" t="n">
        <v>0</v>
      </c>
      <c r="R930" s="2" t="inlineStr"/>
    </row>
    <row r="931" ht="15" customHeight="1">
      <c r="A931" t="inlineStr">
        <is>
          <t>A 57598-2022</t>
        </is>
      </c>
      <c r="B931" s="1" t="n">
        <v>44896</v>
      </c>
      <c r="C931" s="1" t="n">
        <v>45895</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28819-2025</t>
        </is>
      </c>
      <c r="B932" s="1" t="n">
        <v>45820.53758101852</v>
      </c>
      <c r="C932" s="1" t="n">
        <v>45895</v>
      </c>
      <c r="D932" t="inlineStr">
        <is>
          <t>VÄSTERNORRLANDS LÄN</t>
        </is>
      </c>
      <c r="E932" t="inlineStr">
        <is>
          <t>ÅNGE</t>
        </is>
      </c>
      <c r="G932" t="n">
        <v>2.9</v>
      </c>
      <c r="H932" t="n">
        <v>0</v>
      </c>
      <c r="I932" t="n">
        <v>0</v>
      </c>
      <c r="J932" t="n">
        <v>0</v>
      </c>
      <c r="K932" t="n">
        <v>0</v>
      </c>
      <c r="L932" t="n">
        <v>0</v>
      </c>
      <c r="M932" t="n">
        <v>0</v>
      </c>
      <c r="N932" t="n">
        <v>0</v>
      </c>
      <c r="O932" t="n">
        <v>0</v>
      </c>
      <c r="P932" t="n">
        <v>0</v>
      </c>
      <c r="Q932" t="n">
        <v>0</v>
      </c>
      <c r="R932" s="2" t="inlineStr"/>
    </row>
    <row r="933" ht="15" customHeight="1">
      <c r="A933" t="inlineStr">
        <is>
          <t>A 28845-2025</t>
        </is>
      </c>
      <c r="B933" s="1" t="n">
        <v>45820.57324074074</v>
      </c>
      <c r="C933" s="1" t="n">
        <v>45895</v>
      </c>
      <c r="D933" t="inlineStr">
        <is>
          <t>VÄSTERNORRLANDS LÄN</t>
        </is>
      </c>
      <c r="E933" t="inlineStr">
        <is>
          <t>ÅNGE</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28814-2025</t>
        </is>
      </c>
      <c r="B934" s="1" t="n">
        <v>45820.52846064815</v>
      </c>
      <c r="C934" s="1" t="n">
        <v>45895</v>
      </c>
      <c r="D934" t="inlineStr">
        <is>
          <t>VÄSTERNORRLANDS LÄN</t>
        </is>
      </c>
      <c r="E934" t="inlineStr">
        <is>
          <t>ÅNGE</t>
        </is>
      </c>
      <c r="G934" t="n">
        <v>2.6</v>
      </c>
      <c r="H934" t="n">
        <v>0</v>
      </c>
      <c r="I934" t="n">
        <v>0</v>
      </c>
      <c r="J934" t="n">
        <v>0</v>
      </c>
      <c r="K934" t="n">
        <v>0</v>
      </c>
      <c r="L934" t="n">
        <v>0</v>
      </c>
      <c r="M934" t="n">
        <v>0</v>
      </c>
      <c r="N934" t="n">
        <v>0</v>
      </c>
      <c r="O934" t="n">
        <v>0</v>
      </c>
      <c r="P934" t="n">
        <v>0</v>
      </c>
      <c r="Q934" t="n">
        <v>0</v>
      </c>
      <c r="R934" s="2" t="inlineStr"/>
    </row>
    <row r="935" ht="15" customHeight="1">
      <c r="A935" t="inlineStr">
        <is>
          <t>A 741-2024</t>
        </is>
      </c>
      <c r="B935" s="1" t="n">
        <v>45300.46591435185</v>
      </c>
      <c r="C935" s="1" t="n">
        <v>45895</v>
      </c>
      <c r="D935" t="inlineStr">
        <is>
          <t>VÄSTERNORRLANDS LÄN</t>
        </is>
      </c>
      <c r="E935" t="inlineStr">
        <is>
          <t>ÅNGE</t>
        </is>
      </c>
      <c r="G935" t="n">
        <v>8</v>
      </c>
      <c r="H935" t="n">
        <v>0</v>
      </c>
      <c r="I935" t="n">
        <v>0</v>
      </c>
      <c r="J935" t="n">
        <v>0</v>
      </c>
      <c r="K935" t="n">
        <v>0</v>
      </c>
      <c r="L935" t="n">
        <v>0</v>
      </c>
      <c r="M935" t="n">
        <v>0</v>
      </c>
      <c r="N935" t="n">
        <v>0</v>
      </c>
      <c r="O935" t="n">
        <v>0</v>
      </c>
      <c r="P935" t="n">
        <v>0</v>
      </c>
      <c r="Q935" t="n">
        <v>0</v>
      </c>
      <c r="R935" s="2" t="inlineStr"/>
    </row>
    <row r="936" ht="15" customHeight="1">
      <c r="A936" t="inlineStr">
        <is>
          <t>A 28717-2025</t>
        </is>
      </c>
      <c r="B936" s="1" t="n">
        <v>45820</v>
      </c>
      <c r="C936" s="1" t="n">
        <v>45895</v>
      </c>
      <c r="D936" t="inlineStr">
        <is>
          <t>VÄSTERNORRLANDS LÄN</t>
        </is>
      </c>
      <c r="E936" t="inlineStr">
        <is>
          <t>ÅNGE</t>
        </is>
      </c>
      <c r="F936" t="inlineStr">
        <is>
          <t>SCA</t>
        </is>
      </c>
      <c r="G936" t="n">
        <v>6.2</v>
      </c>
      <c r="H936" t="n">
        <v>0</v>
      </c>
      <c r="I936" t="n">
        <v>0</v>
      </c>
      <c r="J936" t="n">
        <v>0</v>
      </c>
      <c r="K936" t="n">
        <v>0</v>
      </c>
      <c r="L936" t="n">
        <v>0</v>
      </c>
      <c r="M936" t="n">
        <v>0</v>
      </c>
      <c r="N936" t="n">
        <v>0</v>
      </c>
      <c r="O936" t="n">
        <v>0</v>
      </c>
      <c r="P936" t="n">
        <v>0</v>
      </c>
      <c r="Q936" t="n">
        <v>0</v>
      </c>
      <c r="R936" s="2" t="inlineStr"/>
    </row>
    <row r="937" ht="15" customHeight="1">
      <c r="A937" t="inlineStr">
        <is>
          <t>A 54611-2023</t>
        </is>
      </c>
      <c r="B937" s="1" t="n">
        <v>45233</v>
      </c>
      <c r="C937" s="1" t="n">
        <v>45895</v>
      </c>
      <c r="D937" t="inlineStr">
        <is>
          <t>VÄSTERNORRLANDS LÄN</t>
        </is>
      </c>
      <c r="E937" t="inlineStr">
        <is>
          <t>ÅNGE</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29350-2025</t>
        </is>
      </c>
      <c r="B938" s="1" t="n">
        <v>45824.53206018519</v>
      </c>
      <c r="C938" s="1" t="n">
        <v>45895</v>
      </c>
      <c r="D938" t="inlineStr">
        <is>
          <t>VÄSTERNORRLANDS LÄN</t>
        </is>
      </c>
      <c r="E938" t="inlineStr">
        <is>
          <t>ÅNGE</t>
        </is>
      </c>
      <c r="G938" t="n">
        <v>8.6</v>
      </c>
      <c r="H938" t="n">
        <v>0</v>
      </c>
      <c r="I938" t="n">
        <v>0</v>
      </c>
      <c r="J938" t="n">
        <v>0</v>
      </c>
      <c r="K938" t="n">
        <v>0</v>
      </c>
      <c r="L938" t="n">
        <v>0</v>
      </c>
      <c r="M938" t="n">
        <v>0</v>
      </c>
      <c r="N938" t="n">
        <v>0</v>
      </c>
      <c r="O938" t="n">
        <v>0</v>
      </c>
      <c r="P938" t="n">
        <v>0</v>
      </c>
      <c r="Q938" t="n">
        <v>0</v>
      </c>
      <c r="R938" s="2" t="inlineStr"/>
    </row>
    <row r="939" ht="15" customHeight="1">
      <c r="A939" t="inlineStr">
        <is>
          <t>A 1975-2025</t>
        </is>
      </c>
      <c r="B939" s="1" t="n">
        <v>45672.39332175926</v>
      </c>
      <c r="C939" s="1" t="n">
        <v>45895</v>
      </c>
      <c r="D939" t="inlineStr">
        <is>
          <t>VÄSTERNORRLANDS LÄN</t>
        </is>
      </c>
      <c r="E939" t="inlineStr">
        <is>
          <t>ÅNGE</t>
        </is>
      </c>
      <c r="G939" t="n">
        <v>6.2</v>
      </c>
      <c r="H939" t="n">
        <v>0</v>
      </c>
      <c r="I939" t="n">
        <v>0</v>
      </c>
      <c r="J939" t="n">
        <v>0</v>
      </c>
      <c r="K939" t="n">
        <v>0</v>
      </c>
      <c r="L939" t="n">
        <v>0</v>
      </c>
      <c r="M939" t="n">
        <v>0</v>
      </c>
      <c r="N939" t="n">
        <v>0</v>
      </c>
      <c r="O939" t="n">
        <v>0</v>
      </c>
      <c r="P939" t="n">
        <v>0</v>
      </c>
      <c r="Q939" t="n">
        <v>0</v>
      </c>
      <c r="R939" s="2" t="inlineStr"/>
    </row>
    <row r="940" ht="15" customHeight="1">
      <c r="A940" t="inlineStr">
        <is>
          <t>A 29153-2025</t>
        </is>
      </c>
      <c r="B940" s="1" t="n">
        <v>45821.63574074074</v>
      </c>
      <c r="C940" s="1" t="n">
        <v>45895</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14673-2025</t>
        </is>
      </c>
      <c r="B941" s="1" t="n">
        <v>45742.55309027778</v>
      </c>
      <c r="C941" s="1" t="n">
        <v>45895</v>
      </c>
      <c r="D941" t="inlineStr">
        <is>
          <t>VÄSTERNORRLANDS LÄN</t>
        </is>
      </c>
      <c r="E941" t="inlineStr">
        <is>
          <t>ÅNGE</t>
        </is>
      </c>
      <c r="G941" t="n">
        <v>2.5</v>
      </c>
      <c r="H941" t="n">
        <v>0</v>
      </c>
      <c r="I941" t="n">
        <v>0</v>
      </c>
      <c r="J941" t="n">
        <v>0</v>
      </c>
      <c r="K941" t="n">
        <v>0</v>
      </c>
      <c r="L941" t="n">
        <v>0</v>
      </c>
      <c r="M941" t="n">
        <v>0</v>
      </c>
      <c r="N941" t="n">
        <v>0</v>
      </c>
      <c r="O941" t="n">
        <v>0</v>
      </c>
      <c r="P941" t="n">
        <v>0</v>
      </c>
      <c r="Q941" t="n">
        <v>0</v>
      </c>
      <c r="R941" s="2" t="inlineStr"/>
    </row>
    <row r="942" ht="15" customHeight="1">
      <c r="A942" t="inlineStr">
        <is>
          <t>A 33429-2023</t>
        </is>
      </c>
      <c r="B942" s="1" t="n">
        <v>45128.94983796297</v>
      </c>
      <c r="C942" s="1" t="n">
        <v>45895</v>
      </c>
      <c r="D942" t="inlineStr">
        <is>
          <t>VÄSTERNORRLANDS LÄN</t>
        </is>
      </c>
      <c r="E942" t="inlineStr">
        <is>
          <t>ÅNGE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20576-2021</t>
        </is>
      </c>
      <c r="B943" s="1" t="n">
        <v>44316.3290162037</v>
      </c>
      <c r="C943" s="1" t="n">
        <v>45895</v>
      </c>
      <c r="D943" t="inlineStr">
        <is>
          <t>VÄSTERNORRLANDS LÄN</t>
        </is>
      </c>
      <c r="E943" t="inlineStr">
        <is>
          <t>ÅNGE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15032-2025</t>
        </is>
      </c>
      <c r="B944" s="1" t="n">
        <v>45743.67748842593</v>
      </c>
      <c r="C944" s="1" t="n">
        <v>45895</v>
      </c>
      <c r="D944" t="inlineStr">
        <is>
          <t>VÄSTERNORRLANDS LÄN</t>
        </is>
      </c>
      <c r="E944" t="inlineStr">
        <is>
          <t>ÅNGE</t>
        </is>
      </c>
      <c r="F944" t="inlineStr">
        <is>
          <t>SCA</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1235-2023</t>
        </is>
      </c>
      <c r="B945" s="1" t="n">
        <v>44935</v>
      </c>
      <c r="C945" s="1" t="n">
        <v>45895</v>
      </c>
      <c r="D945" t="inlineStr">
        <is>
          <t>VÄSTERNORRLANDS LÄN</t>
        </is>
      </c>
      <c r="E945" t="inlineStr">
        <is>
          <t>ÅNGE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7692-2024</t>
        </is>
      </c>
      <c r="B946" s="1" t="n">
        <v>45349</v>
      </c>
      <c r="C946" s="1" t="n">
        <v>45895</v>
      </c>
      <c r="D946" t="inlineStr">
        <is>
          <t>VÄSTERNORRLANDS LÄN</t>
        </is>
      </c>
      <c r="E946" t="inlineStr">
        <is>
          <t>ÅNGE</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13501-2021</t>
        </is>
      </c>
      <c r="B947" s="1" t="n">
        <v>44273</v>
      </c>
      <c r="C947" s="1" t="n">
        <v>45895</v>
      </c>
      <c r="D947" t="inlineStr">
        <is>
          <t>VÄSTERNORRLANDS LÄN</t>
        </is>
      </c>
      <c r="E947" t="inlineStr">
        <is>
          <t>ÅNGE</t>
        </is>
      </c>
      <c r="G947" t="n">
        <v>0.4</v>
      </c>
      <c r="H947" t="n">
        <v>0</v>
      </c>
      <c r="I947" t="n">
        <v>0</v>
      </c>
      <c r="J947" t="n">
        <v>0</v>
      </c>
      <c r="K947" t="n">
        <v>0</v>
      </c>
      <c r="L947" t="n">
        <v>0</v>
      </c>
      <c r="M947" t="n">
        <v>0</v>
      </c>
      <c r="N947" t="n">
        <v>0</v>
      </c>
      <c r="O947" t="n">
        <v>0</v>
      </c>
      <c r="P947" t="n">
        <v>0</v>
      </c>
      <c r="Q947" t="n">
        <v>0</v>
      </c>
      <c r="R947" s="2" t="inlineStr"/>
    </row>
    <row r="948" ht="15" customHeight="1">
      <c r="A948" t="inlineStr">
        <is>
          <t>A 33302-2024</t>
        </is>
      </c>
      <c r="B948" s="1" t="n">
        <v>45518.96967592592</v>
      </c>
      <c r="C948" s="1" t="n">
        <v>45895</v>
      </c>
      <c r="D948" t="inlineStr">
        <is>
          <t>VÄSTERNORRLANDS LÄN</t>
        </is>
      </c>
      <c r="E948" t="inlineStr">
        <is>
          <t>ÅNGE</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7528-2023</t>
        </is>
      </c>
      <c r="B949" s="1" t="n">
        <v>44971.97662037037</v>
      </c>
      <c r="C949" s="1" t="n">
        <v>45895</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29673-2024</t>
        </is>
      </c>
      <c r="B950" s="1" t="n">
        <v>45484.94210648148</v>
      </c>
      <c r="C950" s="1" t="n">
        <v>45895</v>
      </c>
      <c r="D950" t="inlineStr">
        <is>
          <t>VÄSTERNORRLANDS LÄN</t>
        </is>
      </c>
      <c r="E950" t="inlineStr">
        <is>
          <t>ÅNGE</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5602-2025</t>
        </is>
      </c>
      <c r="B951" s="1" t="n">
        <v>45693</v>
      </c>
      <c r="C951" s="1" t="n">
        <v>45895</v>
      </c>
      <c r="D951" t="inlineStr">
        <is>
          <t>VÄSTERNORRLANDS LÄN</t>
        </is>
      </c>
      <c r="E951" t="inlineStr">
        <is>
          <t>ÅNGE</t>
        </is>
      </c>
      <c r="G951" t="n">
        <v>2.5</v>
      </c>
      <c r="H951" t="n">
        <v>0</v>
      </c>
      <c r="I951" t="n">
        <v>0</v>
      </c>
      <c r="J951" t="n">
        <v>0</v>
      </c>
      <c r="K951" t="n">
        <v>0</v>
      </c>
      <c r="L951" t="n">
        <v>0</v>
      </c>
      <c r="M951" t="n">
        <v>0</v>
      </c>
      <c r="N951" t="n">
        <v>0</v>
      </c>
      <c r="O951" t="n">
        <v>0</v>
      </c>
      <c r="P951" t="n">
        <v>0</v>
      </c>
      <c r="Q951" t="n">
        <v>0</v>
      </c>
      <c r="R951" s="2" t="inlineStr"/>
    </row>
    <row r="952" ht="15" customHeight="1">
      <c r="A952" t="inlineStr">
        <is>
          <t>A 30751-2024</t>
        </is>
      </c>
      <c r="B952" s="1" t="n">
        <v>45496.69339120371</v>
      </c>
      <c r="C952" s="1" t="n">
        <v>45895</v>
      </c>
      <c r="D952" t="inlineStr">
        <is>
          <t>VÄSTERNORRLANDS LÄN</t>
        </is>
      </c>
      <c r="E952" t="inlineStr">
        <is>
          <t>ÅNGE</t>
        </is>
      </c>
      <c r="G952" t="n">
        <v>0.3</v>
      </c>
      <c r="H952" t="n">
        <v>0</v>
      </c>
      <c r="I952" t="n">
        <v>0</v>
      </c>
      <c r="J952" t="n">
        <v>0</v>
      </c>
      <c r="K952" t="n">
        <v>0</v>
      </c>
      <c r="L952" t="n">
        <v>0</v>
      </c>
      <c r="M952" t="n">
        <v>0</v>
      </c>
      <c r="N952" t="n">
        <v>0</v>
      </c>
      <c r="O952" t="n">
        <v>0</v>
      </c>
      <c r="P952" t="n">
        <v>0</v>
      </c>
      <c r="Q952" t="n">
        <v>0</v>
      </c>
      <c r="R952" s="2" t="inlineStr"/>
    </row>
    <row r="953" ht="15" customHeight="1">
      <c r="A953" t="inlineStr">
        <is>
          <t>A 29377-2025</t>
        </is>
      </c>
      <c r="B953" s="1" t="n">
        <v>45824.58719907407</v>
      </c>
      <c r="C953" s="1" t="n">
        <v>45895</v>
      </c>
      <c r="D953" t="inlineStr">
        <is>
          <t>VÄSTERNORRLANDS LÄN</t>
        </is>
      </c>
      <c r="E953" t="inlineStr">
        <is>
          <t>ÅNGE</t>
        </is>
      </c>
      <c r="G953" t="n">
        <v>2.8</v>
      </c>
      <c r="H953" t="n">
        <v>0</v>
      </c>
      <c r="I953" t="n">
        <v>0</v>
      </c>
      <c r="J953" t="n">
        <v>0</v>
      </c>
      <c r="K953" t="n">
        <v>0</v>
      </c>
      <c r="L953" t="n">
        <v>0</v>
      </c>
      <c r="M953" t="n">
        <v>0</v>
      </c>
      <c r="N953" t="n">
        <v>0</v>
      </c>
      <c r="O953" t="n">
        <v>0</v>
      </c>
      <c r="P953" t="n">
        <v>0</v>
      </c>
      <c r="Q953" t="n">
        <v>0</v>
      </c>
      <c r="R953" s="2" t="inlineStr"/>
    </row>
    <row r="954" ht="15" customHeight="1">
      <c r="A954" t="inlineStr">
        <is>
          <t>A 38099-2024</t>
        </is>
      </c>
      <c r="B954" s="1" t="n">
        <v>45545.35920138889</v>
      </c>
      <c r="C954" s="1" t="n">
        <v>45895</v>
      </c>
      <c r="D954" t="inlineStr">
        <is>
          <t>VÄSTERNORRLANDS LÄN</t>
        </is>
      </c>
      <c r="E954" t="inlineStr">
        <is>
          <t>ÅNGE</t>
        </is>
      </c>
      <c r="F954" t="inlineStr">
        <is>
          <t>Holmen skog AB</t>
        </is>
      </c>
      <c r="G954" t="n">
        <v>3.7</v>
      </c>
      <c r="H954" t="n">
        <v>0</v>
      </c>
      <c r="I954" t="n">
        <v>0</v>
      </c>
      <c r="J954" t="n">
        <v>0</v>
      </c>
      <c r="K954" t="n">
        <v>0</v>
      </c>
      <c r="L954" t="n">
        <v>0</v>
      </c>
      <c r="M954" t="n">
        <v>0</v>
      </c>
      <c r="N954" t="n">
        <v>0</v>
      </c>
      <c r="O954" t="n">
        <v>0</v>
      </c>
      <c r="P954" t="n">
        <v>0</v>
      </c>
      <c r="Q954" t="n">
        <v>0</v>
      </c>
      <c r="R954" s="2" t="inlineStr"/>
    </row>
    <row r="955" ht="15" customHeight="1">
      <c r="A955" t="inlineStr">
        <is>
          <t>A 44636-2024</t>
        </is>
      </c>
      <c r="B955" s="1" t="n">
        <v>45574.51491898148</v>
      </c>
      <c r="C955" s="1" t="n">
        <v>45895</v>
      </c>
      <c r="D955" t="inlineStr">
        <is>
          <t>VÄSTERNORRLANDS LÄN</t>
        </is>
      </c>
      <c r="E955" t="inlineStr">
        <is>
          <t>ÅNGE</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29862-2025</t>
        </is>
      </c>
      <c r="B956" s="1" t="n">
        <v>45826.3465625</v>
      </c>
      <c r="C956" s="1" t="n">
        <v>45895</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64375-2023</t>
        </is>
      </c>
      <c r="B957" s="1" t="n">
        <v>45280</v>
      </c>
      <c r="C957" s="1" t="n">
        <v>45895</v>
      </c>
      <c r="D957" t="inlineStr">
        <is>
          <t>VÄSTERNORRLANDS LÄN</t>
        </is>
      </c>
      <c r="E957" t="inlineStr">
        <is>
          <t>ÅNGE</t>
        </is>
      </c>
      <c r="G957" t="n">
        <v>7.5</v>
      </c>
      <c r="H957" t="n">
        <v>0</v>
      </c>
      <c r="I957" t="n">
        <v>0</v>
      </c>
      <c r="J957" t="n">
        <v>0</v>
      </c>
      <c r="K957" t="n">
        <v>0</v>
      </c>
      <c r="L957" t="n">
        <v>0</v>
      </c>
      <c r="M957" t="n">
        <v>0</v>
      </c>
      <c r="N957" t="n">
        <v>0</v>
      </c>
      <c r="O957" t="n">
        <v>0</v>
      </c>
      <c r="P957" t="n">
        <v>0</v>
      </c>
      <c r="Q957" t="n">
        <v>0</v>
      </c>
      <c r="R957" s="2" t="inlineStr"/>
    </row>
    <row r="958" ht="15" customHeight="1">
      <c r="A958" t="inlineStr">
        <is>
          <t>A 29880-2025</t>
        </is>
      </c>
      <c r="B958" s="1" t="n">
        <v>45826.36510416667</v>
      </c>
      <c r="C958" s="1" t="n">
        <v>45895</v>
      </c>
      <c r="D958" t="inlineStr">
        <is>
          <t>VÄSTERNORRLANDS LÄN</t>
        </is>
      </c>
      <c r="E958" t="inlineStr">
        <is>
          <t>ÅNGE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29882-2025</t>
        </is>
      </c>
      <c r="B959" s="1" t="n">
        <v>45826.36548611111</v>
      </c>
      <c r="C959" s="1" t="n">
        <v>45895</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34851-2023</t>
        </is>
      </c>
      <c r="B960" s="1" t="n">
        <v>45141</v>
      </c>
      <c r="C960" s="1" t="n">
        <v>45895</v>
      </c>
      <c r="D960" t="inlineStr">
        <is>
          <t>VÄSTERNORRLANDS LÄN</t>
        </is>
      </c>
      <c r="E960" t="inlineStr">
        <is>
          <t>ÅNGE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36237-2025</t>
        </is>
      </c>
      <c r="B961" s="1" t="n">
        <v>45867.55263888889</v>
      </c>
      <c r="C961" s="1" t="n">
        <v>45895</v>
      </c>
      <c r="D961" t="inlineStr">
        <is>
          <t>VÄSTERNORRLANDS LÄN</t>
        </is>
      </c>
      <c r="E961" t="inlineStr">
        <is>
          <t>ÅNGE</t>
        </is>
      </c>
      <c r="F961" t="inlineStr">
        <is>
          <t>SCA</t>
        </is>
      </c>
      <c r="G961" t="n">
        <v>4.8</v>
      </c>
      <c r="H961" t="n">
        <v>0</v>
      </c>
      <c r="I961" t="n">
        <v>0</v>
      </c>
      <c r="J961" t="n">
        <v>0</v>
      </c>
      <c r="K961" t="n">
        <v>0</v>
      </c>
      <c r="L961" t="n">
        <v>0</v>
      </c>
      <c r="M961" t="n">
        <v>0</v>
      </c>
      <c r="N961" t="n">
        <v>0</v>
      </c>
      <c r="O961" t="n">
        <v>0</v>
      </c>
      <c r="P961" t="n">
        <v>0</v>
      </c>
      <c r="Q961" t="n">
        <v>0</v>
      </c>
      <c r="R961" s="2" t="inlineStr"/>
    </row>
    <row r="962" ht="15" customHeight="1">
      <c r="A962" t="inlineStr">
        <is>
          <t>A 36240-2025</t>
        </is>
      </c>
      <c r="B962" s="1" t="n">
        <v>45867.55298611111</v>
      </c>
      <c r="C962" s="1" t="n">
        <v>45895</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36336-2025</t>
        </is>
      </c>
      <c r="B963" s="1" t="n">
        <v>45868.44751157407</v>
      </c>
      <c r="C963" s="1" t="n">
        <v>45895</v>
      </c>
      <c r="D963" t="inlineStr">
        <is>
          <t>VÄSTERNORRLANDS LÄN</t>
        </is>
      </c>
      <c r="E963" t="inlineStr">
        <is>
          <t>ÅNGE</t>
        </is>
      </c>
      <c r="G963" t="n">
        <v>7.3</v>
      </c>
      <c r="H963" t="n">
        <v>0</v>
      </c>
      <c r="I963" t="n">
        <v>0</v>
      </c>
      <c r="J963" t="n">
        <v>0</v>
      </c>
      <c r="K963" t="n">
        <v>0</v>
      </c>
      <c r="L963" t="n">
        <v>0</v>
      </c>
      <c r="M963" t="n">
        <v>0</v>
      </c>
      <c r="N963" t="n">
        <v>0</v>
      </c>
      <c r="O963" t="n">
        <v>0</v>
      </c>
      <c r="P963" t="n">
        <v>0</v>
      </c>
      <c r="Q963" t="n">
        <v>0</v>
      </c>
      <c r="R963" s="2" t="inlineStr"/>
    </row>
    <row r="964" ht="15" customHeight="1">
      <c r="A964" t="inlineStr">
        <is>
          <t>A 36205-2025</t>
        </is>
      </c>
      <c r="B964" s="1" t="n">
        <v>45867.44855324074</v>
      </c>
      <c r="C964" s="1" t="n">
        <v>45895</v>
      </c>
      <c r="D964" t="inlineStr">
        <is>
          <t>VÄSTERNORRLANDS LÄN</t>
        </is>
      </c>
      <c r="E964" t="inlineStr">
        <is>
          <t>ÅNGE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36210-2025</t>
        </is>
      </c>
      <c r="B965" s="1" t="n">
        <v>45867.46930555555</v>
      </c>
      <c r="C965" s="1" t="n">
        <v>45895</v>
      </c>
      <c r="D965" t="inlineStr">
        <is>
          <t>VÄSTERNORRLANDS LÄN</t>
        </is>
      </c>
      <c r="E965" t="inlineStr">
        <is>
          <t>ÅNGE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29916-2025</t>
        </is>
      </c>
      <c r="B966" s="1" t="n">
        <v>45826.41822916667</v>
      </c>
      <c r="C966" s="1" t="n">
        <v>45895</v>
      </c>
      <c r="D966" t="inlineStr">
        <is>
          <t>VÄSTERNORRLANDS LÄN</t>
        </is>
      </c>
      <c r="E966" t="inlineStr">
        <is>
          <t>ÅNGE</t>
        </is>
      </c>
      <c r="G966" t="n">
        <v>3.4</v>
      </c>
      <c r="H966" t="n">
        <v>0</v>
      </c>
      <c r="I966" t="n">
        <v>0</v>
      </c>
      <c r="J966" t="n">
        <v>0</v>
      </c>
      <c r="K966" t="n">
        <v>0</v>
      </c>
      <c r="L966" t="n">
        <v>0</v>
      </c>
      <c r="M966" t="n">
        <v>0</v>
      </c>
      <c r="N966" t="n">
        <v>0</v>
      </c>
      <c r="O966" t="n">
        <v>0</v>
      </c>
      <c r="P966" t="n">
        <v>0</v>
      </c>
      <c r="Q966" t="n">
        <v>0</v>
      </c>
      <c r="R966" s="2" t="inlineStr"/>
    </row>
    <row r="967" ht="15" customHeight="1">
      <c r="A967" t="inlineStr">
        <is>
          <t>A 60296-2021</t>
        </is>
      </c>
      <c r="B967" s="1" t="n">
        <v>44495</v>
      </c>
      <c r="C967" s="1" t="n">
        <v>45895</v>
      </c>
      <c r="D967" t="inlineStr">
        <is>
          <t>VÄSTERNORRLANDS LÄN</t>
        </is>
      </c>
      <c r="E967" t="inlineStr">
        <is>
          <t>ÅNGE</t>
        </is>
      </c>
      <c r="G967" t="n">
        <v>0.4</v>
      </c>
      <c r="H967" t="n">
        <v>0</v>
      </c>
      <c r="I967" t="n">
        <v>0</v>
      </c>
      <c r="J967" t="n">
        <v>0</v>
      </c>
      <c r="K967" t="n">
        <v>0</v>
      </c>
      <c r="L967" t="n">
        <v>0</v>
      </c>
      <c r="M967" t="n">
        <v>0</v>
      </c>
      <c r="N967" t="n">
        <v>0</v>
      </c>
      <c r="O967" t="n">
        <v>0</v>
      </c>
      <c r="P967" t="n">
        <v>0</v>
      </c>
      <c r="Q967" t="n">
        <v>0</v>
      </c>
      <c r="R967" s="2" t="inlineStr"/>
    </row>
    <row r="968" ht="15" customHeight="1">
      <c r="A968" t="inlineStr">
        <is>
          <t>A 29560-2025</t>
        </is>
      </c>
      <c r="B968" s="1" t="n">
        <v>45825.36497685185</v>
      </c>
      <c r="C968" s="1" t="n">
        <v>45895</v>
      </c>
      <c r="D968" t="inlineStr">
        <is>
          <t>VÄSTERNORRLANDS LÄN</t>
        </is>
      </c>
      <c r="E968" t="inlineStr">
        <is>
          <t>ÅNGE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63556-2021</t>
        </is>
      </c>
      <c r="B969" s="1" t="n">
        <v>44508.70231481481</v>
      </c>
      <c r="C969" s="1" t="n">
        <v>45895</v>
      </c>
      <c r="D969" t="inlineStr">
        <is>
          <t>VÄSTERNORRLANDS LÄN</t>
        </is>
      </c>
      <c r="E969" t="inlineStr">
        <is>
          <t>ÅNGE</t>
        </is>
      </c>
      <c r="G969" t="n">
        <v>4.2</v>
      </c>
      <c r="H969" t="n">
        <v>0</v>
      </c>
      <c r="I969" t="n">
        <v>0</v>
      </c>
      <c r="J969" t="n">
        <v>0</v>
      </c>
      <c r="K969" t="n">
        <v>0</v>
      </c>
      <c r="L969" t="n">
        <v>0</v>
      </c>
      <c r="M969" t="n">
        <v>0</v>
      </c>
      <c r="N969" t="n">
        <v>0</v>
      </c>
      <c r="O969" t="n">
        <v>0</v>
      </c>
      <c r="P969" t="n">
        <v>0</v>
      </c>
      <c r="Q969" t="n">
        <v>0</v>
      </c>
      <c r="R969" s="2" t="inlineStr"/>
    </row>
    <row r="970" ht="15" customHeight="1">
      <c r="A970" t="inlineStr">
        <is>
          <t>A 10922-2024</t>
        </is>
      </c>
      <c r="B970" s="1" t="n">
        <v>45370</v>
      </c>
      <c r="C970" s="1" t="n">
        <v>45895</v>
      </c>
      <c r="D970" t="inlineStr">
        <is>
          <t>VÄSTERNORRLANDS LÄN</t>
        </is>
      </c>
      <c r="E970" t="inlineStr">
        <is>
          <t>ÅNGE</t>
        </is>
      </c>
      <c r="G970" t="n">
        <v>1.5</v>
      </c>
      <c r="H970" t="n">
        <v>0</v>
      </c>
      <c r="I970" t="n">
        <v>0</v>
      </c>
      <c r="J970" t="n">
        <v>0</v>
      </c>
      <c r="K970" t="n">
        <v>0</v>
      </c>
      <c r="L970" t="n">
        <v>0</v>
      </c>
      <c r="M970" t="n">
        <v>0</v>
      </c>
      <c r="N970" t="n">
        <v>0</v>
      </c>
      <c r="O970" t="n">
        <v>0</v>
      </c>
      <c r="P970" t="n">
        <v>0</v>
      </c>
      <c r="Q970" t="n">
        <v>0</v>
      </c>
      <c r="R970" s="2" t="inlineStr"/>
    </row>
    <row r="971" ht="15" customHeight="1">
      <c r="A971" t="inlineStr">
        <is>
          <t>A 36193-2025</t>
        </is>
      </c>
      <c r="B971" s="1" t="n">
        <v>45867.42741898148</v>
      </c>
      <c r="C971" s="1" t="n">
        <v>45895</v>
      </c>
      <c r="D971" t="inlineStr">
        <is>
          <t>VÄSTERNORRLANDS LÄN</t>
        </is>
      </c>
      <c r="E971" t="inlineStr">
        <is>
          <t>ÅNGE</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21089-2024</t>
        </is>
      </c>
      <c r="B972" s="1" t="n">
        <v>45439.94987268518</v>
      </c>
      <c r="C972" s="1" t="n">
        <v>45895</v>
      </c>
      <c r="D972" t="inlineStr">
        <is>
          <t>VÄSTERNORRLANDS LÄN</t>
        </is>
      </c>
      <c r="E972" t="inlineStr">
        <is>
          <t>ÅNGE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29786-2025</t>
        </is>
      </c>
      <c r="B973" s="1" t="n">
        <v>45825.65663194445</v>
      </c>
      <c r="C973" s="1" t="n">
        <v>45895</v>
      </c>
      <c r="D973" t="inlineStr">
        <is>
          <t>VÄSTERNORRLANDS LÄN</t>
        </is>
      </c>
      <c r="E973" t="inlineStr">
        <is>
          <t>ÅNGE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26018-2024</t>
        </is>
      </c>
      <c r="B974" s="1" t="n">
        <v>45467.95998842592</v>
      </c>
      <c r="C974" s="1" t="n">
        <v>45895</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26021-2024</t>
        </is>
      </c>
      <c r="B975" s="1" t="n">
        <v>45467</v>
      </c>
      <c r="C975" s="1" t="n">
        <v>45895</v>
      </c>
      <c r="D975" t="inlineStr">
        <is>
          <t>VÄSTERNORRLANDS LÄN</t>
        </is>
      </c>
      <c r="E975" t="inlineStr">
        <is>
          <t>ÅNGE</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64950-2023</t>
        </is>
      </c>
      <c r="B976" s="1" t="n">
        <v>45282</v>
      </c>
      <c r="C976" s="1" t="n">
        <v>45895</v>
      </c>
      <c r="D976" t="inlineStr">
        <is>
          <t>VÄSTERNORRLANDS LÄN</t>
        </is>
      </c>
      <c r="E976" t="inlineStr">
        <is>
          <t>ÅNGE</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36248-2025</t>
        </is>
      </c>
      <c r="B977" s="1" t="n">
        <v>45867.57326388889</v>
      </c>
      <c r="C977" s="1" t="n">
        <v>45895</v>
      </c>
      <c r="D977" t="inlineStr">
        <is>
          <t>VÄSTERNORRLANDS LÄN</t>
        </is>
      </c>
      <c r="E977" t="inlineStr">
        <is>
          <t>ÅNGE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20393-2022</t>
        </is>
      </c>
      <c r="B978" s="1" t="n">
        <v>44699</v>
      </c>
      <c r="C978" s="1" t="n">
        <v>45895</v>
      </c>
      <c r="D978" t="inlineStr">
        <is>
          <t>VÄSTERNORRLANDS LÄN</t>
        </is>
      </c>
      <c r="E978" t="inlineStr">
        <is>
          <t>ÅNGE</t>
        </is>
      </c>
      <c r="G978" t="n">
        <v>6.9</v>
      </c>
      <c r="H978" t="n">
        <v>0</v>
      </c>
      <c r="I978" t="n">
        <v>0</v>
      </c>
      <c r="J978" t="n">
        <v>0</v>
      </c>
      <c r="K978" t="n">
        <v>0</v>
      </c>
      <c r="L978" t="n">
        <v>0</v>
      </c>
      <c r="M978" t="n">
        <v>0</v>
      </c>
      <c r="N978" t="n">
        <v>0</v>
      </c>
      <c r="O978" t="n">
        <v>0</v>
      </c>
      <c r="P978" t="n">
        <v>0</v>
      </c>
      <c r="Q978" t="n">
        <v>0</v>
      </c>
      <c r="R978" s="2" t="inlineStr"/>
    </row>
    <row r="979" ht="15" customHeight="1">
      <c r="A979" t="inlineStr">
        <is>
          <t>A 45932-2023</t>
        </is>
      </c>
      <c r="B979" s="1" t="n">
        <v>45195</v>
      </c>
      <c r="C979" s="1" t="n">
        <v>45895</v>
      </c>
      <c r="D979" t="inlineStr">
        <is>
          <t>VÄSTERNORRLANDS LÄN</t>
        </is>
      </c>
      <c r="E979" t="inlineStr">
        <is>
          <t>ÅNGE</t>
        </is>
      </c>
      <c r="F979" t="inlineStr">
        <is>
          <t>SCA</t>
        </is>
      </c>
      <c r="G979" t="n">
        <v>0.1</v>
      </c>
      <c r="H979" t="n">
        <v>0</v>
      </c>
      <c r="I979" t="n">
        <v>0</v>
      </c>
      <c r="J979" t="n">
        <v>0</v>
      </c>
      <c r="K979" t="n">
        <v>0</v>
      </c>
      <c r="L979" t="n">
        <v>0</v>
      </c>
      <c r="M979" t="n">
        <v>0</v>
      </c>
      <c r="N979" t="n">
        <v>0</v>
      </c>
      <c r="O979" t="n">
        <v>0</v>
      </c>
      <c r="P979" t="n">
        <v>0</v>
      </c>
      <c r="Q979" t="n">
        <v>0</v>
      </c>
      <c r="R979" s="2" t="inlineStr"/>
    </row>
    <row r="980" ht="15" customHeight="1">
      <c r="A980" t="inlineStr">
        <is>
          <t>A 4727-2023</t>
        </is>
      </c>
      <c r="B980" s="1" t="n">
        <v>44953</v>
      </c>
      <c r="C980" s="1" t="n">
        <v>45895</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35650-2024</t>
        </is>
      </c>
      <c r="B981" s="1" t="n">
        <v>45532.34123842593</v>
      </c>
      <c r="C981" s="1" t="n">
        <v>45895</v>
      </c>
      <c r="D981" t="inlineStr">
        <is>
          <t>VÄSTERNORRLANDS LÄN</t>
        </is>
      </c>
      <c r="E981" t="inlineStr">
        <is>
          <t>ÅNGE</t>
        </is>
      </c>
      <c r="G981" t="n">
        <v>3.8</v>
      </c>
      <c r="H981" t="n">
        <v>0</v>
      </c>
      <c r="I981" t="n">
        <v>0</v>
      </c>
      <c r="J981" t="n">
        <v>0</v>
      </c>
      <c r="K981" t="n">
        <v>0</v>
      </c>
      <c r="L981" t="n">
        <v>0</v>
      </c>
      <c r="M981" t="n">
        <v>0</v>
      </c>
      <c r="N981" t="n">
        <v>0</v>
      </c>
      <c r="O981" t="n">
        <v>0</v>
      </c>
      <c r="P981" t="n">
        <v>0</v>
      </c>
      <c r="Q981" t="n">
        <v>0</v>
      </c>
      <c r="R981" s="2" t="inlineStr"/>
    </row>
    <row r="982" ht="15" customHeight="1">
      <c r="A982" t="inlineStr">
        <is>
          <t>A 3357-2024</t>
        </is>
      </c>
      <c r="B982" s="1" t="n">
        <v>45317</v>
      </c>
      <c r="C982" s="1" t="n">
        <v>45895</v>
      </c>
      <c r="D982" t="inlineStr">
        <is>
          <t>VÄSTERNORRLANDS LÄN</t>
        </is>
      </c>
      <c r="E982" t="inlineStr">
        <is>
          <t>ÅNGE</t>
        </is>
      </c>
      <c r="G982" t="n">
        <v>8</v>
      </c>
      <c r="H982" t="n">
        <v>0</v>
      </c>
      <c r="I982" t="n">
        <v>0</v>
      </c>
      <c r="J982" t="n">
        <v>0</v>
      </c>
      <c r="K982" t="n">
        <v>0</v>
      </c>
      <c r="L982" t="n">
        <v>0</v>
      </c>
      <c r="M982" t="n">
        <v>0</v>
      </c>
      <c r="N982" t="n">
        <v>0</v>
      </c>
      <c r="O982" t="n">
        <v>0</v>
      </c>
      <c r="P982" t="n">
        <v>0</v>
      </c>
      <c r="Q982" t="n">
        <v>0</v>
      </c>
      <c r="R982" s="2" t="inlineStr"/>
    </row>
    <row r="983" ht="15" customHeight="1">
      <c r="A983" t="inlineStr">
        <is>
          <t>A 6-2025</t>
        </is>
      </c>
      <c r="B983" s="1" t="n">
        <v>45658.50759259259</v>
      </c>
      <c r="C983" s="1" t="n">
        <v>45895</v>
      </c>
      <c r="D983" t="inlineStr">
        <is>
          <t>VÄSTERNORRLANDS LÄN</t>
        </is>
      </c>
      <c r="E983" t="inlineStr">
        <is>
          <t>ÅNGE</t>
        </is>
      </c>
      <c r="G983" t="n">
        <v>4.3</v>
      </c>
      <c r="H983" t="n">
        <v>0</v>
      </c>
      <c r="I983" t="n">
        <v>0</v>
      </c>
      <c r="J983" t="n">
        <v>0</v>
      </c>
      <c r="K983" t="n">
        <v>0</v>
      </c>
      <c r="L983" t="n">
        <v>0</v>
      </c>
      <c r="M983" t="n">
        <v>0</v>
      </c>
      <c r="N983" t="n">
        <v>0</v>
      </c>
      <c r="O983" t="n">
        <v>0</v>
      </c>
      <c r="P983" t="n">
        <v>0</v>
      </c>
      <c r="Q983" t="n">
        <v>0</v>
      </c>
      <c r="R983" s="2" t="inlineStr"/>
    </row>
    <row r="984" ht="15" customHeight="1">
      <c r="A984" t="inlineStr">
        <is>
          <t>A 46332-2023</t>
        </is>
      </c>
      <c r="B984" s="1" t="n">
        <v>45196</v>
      </c>
      <c r="C984" s="1" t="n">
        <v>45895</v>
      </c>
      <c r="D984" t="inlineStr">
        <is>
          <t>VÄSTERNORRLANDS LÄN</t>
        </is>
      </c>
      <c r="E984" t="inlineStr">
        <is>
          <t>ÅNGE</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39764-2024</t>
        </is>
      </c>
      <c r="B985" s="1" t="n">
        <v>45552.7190162037</v>
      </c>
      <c r="C985" s="1" t="n">
        <v>45895</v>
      </c>
      <c r="D985" t="inlineStr">
        <is>
          <t>VÄSTERNORRLANDS LÄN</t>
        </is>
      </c>
      <c r="E985" t="inlineStr">
        <is>
          <t>ÅNGE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36236-2025</t>
        </is>
      </c>
      <c r="B986" s="1" t="n">
        <v>45867.55245370371</v>
      </c>
      <c r="C986" s="1" t="n">
        <v>45895</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53988-2024</t>
        </is>
      </c>
      <c r="B987" s="1" t="n">
        <v>45616.34408564815</v>
      </c>
      <c r="C987" s="1" t="n">
        <v>45895</v>
      </c>
      <c r="D987" t="inlineStr">
        <is>
          <t>VÄSTERNORRLANDS LÄN</t>
        </is>
      </c>
      <c r="E987" t="inlineStr">
        <is>
          <t>ÅNGE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54002-2024</t>
        </is>
      </c>
      <c r="B988" s="1" t="n">
        <v>45616.36491898148</v>
      </c>
      <c r="C988" s="1" t="n">
        <v>45895</v>
      </c>
      <c r="D988" t="inlineStr">
        <is>
          <t>VÄSTERNORRLANDS LÄN</t>
        </is>
      </c>
      <c r="E988" t="inlineStr">
        <is>
          <t>ÅNGE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30475-2025</t>
        </is>
      </c>
      <c r="B989" s="1" t="n">
        <v>45828.34444444445</v>
      </c>
      <c r="C989" s="1" t="n">
        <v>45895</v>
      </c>
      <c r="D989" t="inlineStr">
        <is>
          <t>VÄSTERNORRLANDS LÄN</t>
        </is>
      </c>
      <c r="E989" t="inlineStr">
        <is>
          <t>ÅNGE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36457-2025</t>
        </is>
      </c>
      <c r="B990" s="1" t="n">
        <v>45869.44842592593</v>
      </c>
      <c r="C990" s="1" t="n">
        <v>45895</v>
      </c>
      <c r="D990" t="inlineStr">
        <is>
          <t>VÄSTERNORRLANDS LÄN</t>
        </is>
      </c>
      <c r="E990" t="inlineStr">
        <is>
          <t>ÅNGE</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48697-2024</t>
        </is>
      </c>
      <c r="B991" s="1" t="n">
        <v>45593.51136574074</v>
      </c>
      <c r="C991" s="1" t="n">
        <v>45895</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64945-2023</t>
        </is>
      </c>
      <c r="B992" s="1" t="n">
        <v>45282.94668981482</v>
      </c>
      <c r="C992" s="1" t="n">
        <v>45895</v>
      </c>
      <c r="D992" t="inlineStr">
        <is>
          <t>VÄSTERNORRLANDS LÄN</t>
        </is>
      </c>
      <c r="E992" t="inlineStr">
        <is>
          <t>ÅNGE</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36491-2025</t>
        </is>
      </c>
      <c r="B993" s="1" t="n">
        <v>45869.53173611111</v>
      </c>
      <c r="C993" s="1" t="n">
        <v>45895</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23018-2021</t>
        </is>
      </c>
      <c r="B994" s="1" t="n">
        <v>44328</v>
      </c>
      <c r="C994" s="1" t="n">
        <v>45895</v>
      </c>
      <c r="D994" t="inlineStr">
        <is>
          <t>VÄSTERNORRLANDS LÄN</t>
        </is>
      </c>
      <c r="E994" t="inlineStr">
        <is>
          <t>ÅNGE</t>
        </is>
      </c>
      <c r="G994" t="n">
        <v>1.8</v>
      </c>
      <c r="H994" t="n">
        <v>0</v>
      </c>
      <c r="I994" t="n">
        <v>0</v>
      </c>
      <c r="J994" t="n">
        <v>0</v>
      </c>
      <c r="K994" t="n">
        <v>0</v>
      </c>
      <c r="L994" t="n">
        <v>0</v>
      </c>
      <c r="M994" t="n">
        <v>0</v>
      </c>
      <c r="N994" t="n">
        <v>0</v>
      </c>
      <c r="O994" t="n">
        <v>0</v>
      </c>
      <c r="P994" t="n">
        <v>0</v>
      </c>
      <c r="Q994" t="n">
        <v>0</v>
      </c>
      <c r="R994" s="2" t="inlineStr"/>
    </row>
    <row r="995" ht="15" customHeight="1">
      <c r="A995" t="inlineStr">
        <is>
          <t>A 31866-2024</t>
        </is>
      </c>
      <c r="B995" s="1" t="n">
        <v>45509</v>
      </c>
      <c r="C995" s="1" t="n">
        <v>45895</v>
      </c>
      <c r="D995" t="inlineStr">
        <is>
          <t>VÄSTERNORRLANDS LÄN</t>
        </is>
      </c>
      <c r="E995" t="inlineStr">
        <is>
          <t>ÅNGE</t>
        </is>
      </c>
      <c r="G995" t="n">
        <v>1.9</v>
      </c>
      <c r="H995" t="n">
        <v>0</v>
      </c>
      <c r="I995" t="n">
        <v>0</v>
      </c>
      <c r="J995" t="n">
        <v>0</v>
      </c>
      <c r="K995" t="n">
        <v>0</v>
      </c>
      <c r="L995" t="n">
        <v>0</v>
      </c>
      <c r="M995" t="n">
        <v>0</v>
      </c>
      <c r="N995" t="n">
        <v>0</v>
      </c>
      <c r="O995" t="n">
        <v>0</v>
      </c>
      <c r="P995" t="n">
        <v>0</v>
      </c>
      <c r="Q995" t="n">
        <v>0</v>
      </c>
      <c r="R995" s="2" t="inlineStr"/>
    </row>
    <row r="996" ht="15" customHeight="1">
      <c r="A996" t="inlineStr">
        <is>
          <t>A 31867-2024</t>
        </is>
      </c>
      <c r="B996" s="1" t="n">
        <v>45509</v>
      </c>
      <c r="C996" s="1" t="n">
        <v>45895</v>
      </c>
      <c r="D996" t="inlineStr">
        <is>
          <t>VÄSTERNORRLANDS LÄN</t>
        </is>
      </c>
      <c r="E996" t="inlineStr">
        <is>
          <t>ÅNGE</t>
        </is>
      </c>
      <c r="G996" t="n">
        <v>7.8</v>
      </c>
      <c r="H996" t="n">
        <v>0</v>
      </c>
      <c r="I996" t="n">
        <v>0</v>
      </c>
      <c r="J996" t="n">
        <v>0</v>
      </c>
      <c r="K996" t="n">
        <v>0</v>
      </c>
      <c r="L996" t="n">
        <v>0</v>
      </c>
      <c r="M996" t="n">
        <v>0</v>
      </c>
      <c r="N996" t="n">
        <v>0</v>
      </c>
      <c r="O996" t="n">
        <v>0</v>
      </c>
      <c r="P996" t="n">
        <v>0</v>
      </c>
      <c r="Q996" t="n">
        <v>0</v>
      </c>
      <c r="R996" s="2" t="inlineStr"/>
    </row>
    <row r="997" ht="15" customHeight="1">
      <c r="A997" t="inlineStr">
        <is>
          <t>A 11764-2024</t>
        </is>
      </c>
      <c r="B997" s="1" t="n">
        <v>45373.94837962963</v>
      </c>
      <c r="C997" s="1" t="n">
        <v>45895</v>
      </c>
      <c r="D997" t="inlineStr">
        <is>
          <t>VÄSTERNORRLANDS LÄN</t>
        </is>
      </c>
      <c r="E997" t="inlineStr">
        <is>
          <t>ÅNGE</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36456-2025</t>
        </is>
      </c>
      <c r="B998" s="1" t="n">
        <v>45869.44827546296</v>
      </c>
      <c r="C998" s="1" t="n">
        <v>45895</v>
      </c>
      <c r="D998" t="inlineStr">
        <is>
          <t>VÄSTERNORRLANDS LÄN</t>
        </is>
      </c>
      <c r="E998" t="inlineStr">
        <is>
          <t>ÅNGE</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39178-2024</t>
        </is>
      </c>
      <c r="B999" s="1" t="n">
        <v>45548.65692129629</v>
      </c>
      <c r="C999" s="1" t="n">
        <v>45895</v>
      </c>
      <c r="D999" t="inlineStr">
        <is>
          <t>VÄSTERNORRLANDS LÄN</t>
        </is>
      </c>
      <c r="E999" t="inlineStr">
        <is>
          <t>ÅNGE</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54059-2024</t>
        </is>
      </c>
      <c r="B1000" s="1" t="n">
        <v>45616.46943287037</v>
      </c>
      <c r="C1000" s="1" t="n">
        <v>45895</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30875-2025</t>
        </is>
      </c>
      <c r="B1001" s="1" t="n">
        <v>45832.34447916667</v>
      </c>
      <c r="C1001" s="1" t="n">
        <v>45895</v>
      </c>
      <c r="D1001" t="inlineStr">
        <is>
          <t>VÄSTERNORRLANDS LÄN</t>
        </is>
      </c>
      <c r="E1001" t="inlineStr">
        <is>
          <t>ÅNGE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31211-2025</t>
        </is>
      </c>
      <c r="B1002" s="1" t="n">
        <v>45832.71938657408</v>
      </c>
      <c r="C1002" s="1" t="n">
        <v>45895</v>
      </c>
      <c r="D1002" t="inlineStr">
        <is>
          <t>VÄSTERNORRLANDS LÄN</t>
        </is>
      </c>
      <c r="E1002" t="inlineStr">
        <is>
          <t>ÅNGE</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44158-2024</t>
        </is>
      </c>
      <c r="B1003" s="1" t="n">
        <v>45572</v>
      </c>
      <c r="C1003" s="1" t="n">
        <v>45895</v>
      </c>
      <c r="D1003" t="inlineStr">
        <is>
          <t>VÄSTERNORRLANDS LÄN</t>
        </is>
      </c>
      <c r="E1003" t="inlineStr">
        <is>
          <t>ÅNGE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2299-2025</t>
        </is>
      </c>
      <c r="B1004" s="1" t="n">
        <v>45673.59516203704</v>
      </c>
      <c r="C1004" s="1" t="n">
        <v>45895</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29193-2024</t>
        </is>
      </c>
      <c r="B1005" s="1" t="n">
        <v>45482.56510416666</v>
      </c>
      <c r="C1005" s="1" t="n">
        <v>45895</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42040-2024</t>
        </is>
      </c>
      <c r="B1006" s="1" t="n">
        <v>45561.80983796297</v>
      </c>
      <c r="C1006" s="1" t="n">
        <v>45895</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34691-2024</t>
        </is>
      </c>
      <c r="B1007" s="1" t="n">
        <v>45526.54516203704</v>
      </c>
      <c r="C1007" s="1" t="n">
        <v>45895</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36740-2025</t>
        </is>
      </c>
      <c r="B1008" s="1" t="n">
        <v>45873.53237268519</v>
      </c>
      <c r="C1008" s="1" t="n">
        <v>45895</v>
      </c>
      <c r="D1008" t="inlineStr">
        <is>
          <t>VÄSTERNORRLANDS LÄN</t>
        </is>
      </c>
      <c r="E1008" t="inlineStr">
        <is>
          <t>ÅNGE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54210-2024</t>
        </is>
      </c>
      <c r="B1009" s="1" t="n">
        <v>45616.65662037037</v>
      </c>
      <c r="C1009" s="1" t="n">
        <v>45895</v>
      </c>
      <c r="D1009" t="inlineStr">
        <is>
          <t>VÄSTERNORRLANDS LÄN</t>
        </is>
      </c>
      <c r="E1009" t="inlineStr">
        <is>
          <t>ÅNGE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44639-2023</t>
        </is>
      </c>
      <c r="B1010" s="1" t="n">
        <v>45184</v>
      </c>
      <c r="C1010" s="1" t="n">
        <v>45895</v>
      </c>
      <c r="D1010" t="inlineStr">
        <is>
          <t>VÄSTERNORRLANDS LÄN</t>
        </is>
      </c>
      <c r="E1010" t="inlineStr">
        <is>
          <t>ÅNGE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30618-2025</t>
        </is>
      </c>
      <c r="B1011" s="1" t="n">
        <v>45831.46909722222</v>
      </c>
      <c r="C1011" s="1" t="n">
        <v>45895</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31188-2025</t>
        </is>
      </c>
      <c r="B1012" s="1" t="n">
        <v>45832.67842592593</v>
      </c>
      <c r="C1012" s="1" t="n">
        <v>45895</v>
      </c>
      <c r="D1012" t="inlineStr">
        <is>
          <t>VÄSTERNORRLANDS LÄN</t>
        </is>
      </c>
      <c r="E1012" t="inlineStr">
        <is>
          <t>ÅNGE</t>
        </is>
      </c>
      <c r="F1012" t="inlineStr">
        <is>
          <t>SCA</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17009-2023</t>
        </is>
      </c>
      <c r="B1013" s="1" t="n">
        <v>45033.9455787037</v>
      </c>
      <c r="C1013" s="1" t="n">
        <v>45895</v>
      </c>
      <c r="D1013" t="inlineStr">
        <is>
          <t>VÄSTERNORRLANDS LÄN</t>
        </is>
      </c>
      <c r="E1013" t="inlineStr">
        <is>
          <t>ÅNGE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52805-2024</t>
        </is>
      </c>
      <c r="B1014" s="1" t="n">
        <v>45610.57344907407</v>
      </c>
      <c r="C1014" s="1" t="n">
        <v>45895</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60578-2024</t>
        </is>
      </c>
      <c r="B1015" s="1" t="n">
        <v>45644.34434027778</v>
      </c>
      <c r="C1015" s="1" t="n">
        <v>45895</v>
      </c>
      <c r="D1015" t="inlineStr">
        <is>
          <t>VÄSTERNORRLANDS LÄN</t>
        </is>
      </c>
      <c r="E1015" t="inlineStr">
        <is>
          <t>ÅNGE</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31042-2025</t>
        </is>
      </c>
      <c r="B1016" s="1" t="n">
        <v>45832.55267361111</v>
      </c>
      <c r="C1016" s="1" t="n">
        <v>45895</v>
      </c>
      <c r="D1016" t="inlineStr">
        <is>
          <t>VÄSTERNORRLANDS LÄN</t>
        </is>
      </c>
      <c r="E1016" t="inlineStr">
        <is>
          <t>ÅNGE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24977-2021</t>
        </is>
      </c>
      <c r="B1017" s="1" t="n">
        <v>44341.51386574074</v>
      </c>
      <c r="C1017" s="1" t="n">
        <v>45895</v>
      </c>
      <c r="D1017" t="inlineStr">
        <is>
          <t>VÄSTERNORRLANDS LÄN</t>
        </is>
      </c>
      <c r="E1017" t="inlineStr">
        <is>
          <t>ÅNGE</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25034-2023</t>
        </is>
      </c>
      <c r="B1018" s="1" t="n">
        <v>45085</v>
      </c>
      <c r="C1018" s="1" t="n">
        <v>45895</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61577-2023</t>
        </is>
      </c>
      <c r="B1019" s="1" t="n">
        <v>45265.47366898148</v>
      </c>
      <c r="C1019" s="1" t="n">
        <v>45895</v>
      </c>
      <c r="D1019" t="inlineStr">
        <is>
          <t>VÄSTERNORRLANDS LÄN</t>
        </is>
      </c>
      <c r="E1019" t="inlineStr">
        <is>
          <t>ÅNGE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1735-2025</t>
        </is>
      </c>
      <c r="B1020" s="1" t="n">
        <v>45671.38594907407</v>
      </c>
      <c r="C1020" s="1" t="n">
        <v>45895</v>
      </c>
      <c r="D1020" t="inlineStr">
        <is>
          <t>VÄSTERNORRLANDS LÄN</t>
        </is>
      </c>
      <c r="E1020" t="inlineStr">
        <is>
          <t>ÅNGE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31135-2025</t>
        </is>
      </c>
      <c r="B1021" s="1" t="n">
        <v>45832.63581018519</v>
      </c>
      <c r="C1021" s="1" t="n">
        <v>45895</v>
      </c>
      <c r="D1021" t="inlineStr">
        <is>
          <t>VÄSTERNORRLANDS LÄN</t>
        </is>
      </c>
      <c r="E1021" t="inlineStr">
        <is>
          <t>ÅNGE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45939-2023</t>
        </is>
      </c>
      <c r="B1022" s="1" t="n">
        <v>45195.94578703704</v>
      </c>
      <c r="C1022" s="1" t="n">
        <v>45895</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30892-2025</t>
        </is>
      </c>
      <c r="B1023" s="1" t="n">
        <v>45832.34663194444</v>
      </c>
      <c r="C1023" s="1" t="n">
        <v>45895</v>
      </c>
      <c r="D1023" t="inlineStr">
        <is>
          <t>VÄSTERNORRLANDS LÄN</t>
        </is>
      </c>
      <c r="E1023" t="inlineStr">
        <is>
          <t>ÅNGE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30598-2025</t>
        </is>
      </c>
      <c r="B1024" s="1" t="n">
        <v>45831.44834490741</v>
      </c>
      <c r="C1024" s="1" t="n">
        <v>45895</v>
      </c>
      <c r="D1024" t="inlineStr">
        <is>
          <t>VÄSTERNORRLANDS LÄN</t>
        </is>
      </c>
      <c r="E1024" t="inlineStr">
        <is>
          <t>ÅNGE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61585-2022</t>
        </is>
      </c>
      <c r="B1025" s="1" t="n">
        <v>44916.63380787037</v>
      </c>
      <c r="C1025" s="1" t="n">
        <v>45895</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3574-2025</t>
        </is>
      </c>
      <c r="B1026" s="1" t="n">
        <v>45680.71916666667</v>
      </c>
      <c r="C1026" s="1" t="n">
        <v>45895</v>
      </c>
      <c r="D1026" t="inlineStr">
        <is>
          <t>VÄSTERNORRLANDS LÄN</t>
        </is>
      </c>
      <c r="E1026" t="inlineStr">
        <is>
          <t>ÅNGE</t>
        </is>
      </c>
      <c r="F1026" t="inlineStr">
        <is>
          <t>SCA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36873-2025</t>
        </is>
      </c>
      <c r="B1027" s="1" t="n">
        <v>45874.42935185185</v>
      </c>
      <c r="C1027" s="1" t="n">
        <v>45895</v>
      </c>
      <c r="D1027" t="inlineStr">
        <is>
          <t>VÄSTERNORRLANDS LÄN</t>
        </is>
      </c>
      <c r="E1027" t="inlineStr">
        <is>
          <t>ÅNGE</t>
        </is>
      </c>
      <c r="F1027" t="inlineStr">
        <is>
          <t>SCA</t>
        </is>
      </c>
      <c r="G1027" t="n">
        <v>16.9</v>
      </c>
      <c r="H1027" t="n">
        <v>0</v>
      </c>
      <c r="I1027" t="n">
        <v>0</v>
      </c>
      <c r="J1027" t="n">
        <v>0</v>
      </c>
      <c r="K1027" t="n">
        <v>0</v>
      </c>
      <c r="L1027" t="n">
        <v>0</v>
      </c>
      <c r="M1027" t="n">
        <v>0</v>
      </c>
      <c r="N1027" t="n">
        <v>0</v>
      </c>
      <c r="O1027" t="n">
        <v>0</v>
      </c>
      <c r="P1027" t="n">
        <v>0</v>
      </c>
      <c r="Q1027" t="n">
        <v>0</v>
      </c>
      <c r="R1027" s="2" t="inlineStr"/>
    </row>
    <row r="1028" ht="15" customHeight="1">
      <c r="A1028" t="inlineStr">
        <is>
          <t>A 31041-2025</t>
        </is>
      </c>
      <c r="B1028" s="1" t="n">
        <v>45832.55247685185</v>
      </c>
      <c r="C1028" s="1" t="n">
        <v>45895</v>
      </c>
      <c r="D1028" t="inlineStr">
        <is>
          <t>VÄSTERNORRLANDS LÄN</t>
        </is>
      </c>
      <c r="E1028" t="inlineStr">
        <is>
          <t>ÅNGE</t>
        </is>
      </c>
      <c r="F1028" t="inlineStr">
        <is>
          <t>SCA</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31139-2025</t>
        </is>
      </c>
      <c r="B1029" s="1" t="n">
        <v>45832.63633101852</v>
      </c>
      <c r="C1029" s="1" t="n">
        <v>45895</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22597-2021</t>
        </is>
      </c>
      <c r="B1030" s="1" t="n">
        <v>44326</v>
      </c>
      <c r="C1030" s="1" t="n">
        <v>45895</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29048-2021</t>
        </is>
      </c>
      <c r="B1031" s="1" t="n">
        <v>44358</v>
      </c>
      <c r="C1031" s="1" t="n">
        <v>45895</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30877-2025</t>
        </is>
      </c>
      <c r="B1032" s="1" t="n">
        <v>45832.34478009259</v>
      </c>
      <c r="C1032" s="1" t="n">
        <v>45895</v>
      </c>
      <c r="D1032" t="inlineStr">
        <is>
          <t>VÄSTERNORRLANDS LÄN</t>
        </is>
      </c>
      <c r="E1032" t="inlineStr">
        <is>
          <t>ÅNGE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36735-2025</t>
        </is>
      </c>
      <c r="B1033" s="1" t="n">
        <v>45873.52310185185</v>
      </c>
      <c r="C1033" s="1" t="n">
        <v>45895</v>
      </c>
      <c r="D1033" t="inlineStr">
        <is>
          <t>VÄSTERNORRLANDS LÄN</t>
        </is>
      </c>
      <c r="E1033" t="inlineStr">
        <is>
          <t>ÅNGE</t>
        </is>
      </c>
      <c r="F1033" t="inlineStr">
        <is>
          <t>Övriga Aktiebolag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36674-2025</t>
        </is>
      </c>
      <c r="B1034" s="1" t="n">
        <v>45873.3930787037</v>
      </c>
      <c r="C1034" s="1" t="n">
        <v>45895</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36723-2025</t>
        </is>
      </c>
      <c r="B1035" s="1" t="n">
        <v>45873.47770833333</v>
      </c>
      <c r="C1035" s="1" t="n">
        <v>45895</v>
      </c>
      <c r="D1035" t="inlineStr">
        <is>
          <t>VÄSTERNORRLANDS LÄN</t>
        </is>
      </c>
      <c r="E1035" t="inlineStr">
        <is>
          <t>ÅNGE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30888-2025</t>
        </is>
      </c>
      <c r="B1036" s="1" t="n">
        <v>45832.34606481482</v>
      </c>
      <c r="C1036" s="1" t="n">
        <v>45895</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37233-2025</t>
        </is>
      </c>
      <c r="B1037" s="1" t="n">
        <v>45876.34474537037</v>
      </c>
      <c r="C1037" s="1" t="n">
        <v>45895</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10282-2025</t>
        </is>
      </c>
      <c r="B1038" s="1" t="n">
        <v>45720.40659722222</v>
      </c>
      <c r="C1038" s="1" t="n">
        <v>45895</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37275-2025</t>
        </is>
      </c>
      <c r="B1039" s="1" t="n">
        <v>45876.49003472222</v>
      </c>
      <c r="C1039" s="1" t="n">
        <v>45895</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3022-2023</t>
        </is>
      </c>
      <c r="B1040" s="1" t="n">
        <v>44945</v>
      </c>
      <c r="C1040" s="1" t="n">
        <v>45895</v>
      </c>
      <c r="D1040" t="inlineStr">
        <is>
          <t>VÄSTERNORRLANDS LÄN</t>
        </is>
      </c>
      <c r="E1040" t="inlineStr">
        <is>
          <t>ÅNGE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137-2025</t>
        </is>
      </c>
      <c r="B1041" s="1" t="n">
        <v>45659.57684027778</v>
      </c>
      <c r="C1041" s="1" t="n">
        <v>45895</v>
      </c>
      <c r="D1041" t="inlineStr">
        <is>
          <t>VÄSTERNORRLANDS LÄN</t>
        </is>
      </c>
      <c r="E1041" t="inlineStr">
        <is>
          <t>ÅNGE</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10071-2023</t>
        </is>
      </c>
      <c r="B1042" s="1" t="n">
        <v>44985.92418981482</v>
      </c>
      <c r="C1042" s="1" t="n">
        <v>45895</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39021-2024</t>
        </is>
      </c>
      <c r="B1043" s="1" t="n">
        <v>45548</v>
      </c>
      <c r="C1043" s="1" t="n">
        <v>45895</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31275-2025</t>
        </is>
      </c>
      <c r="B1044" s="1" t="n">
        <v>45833.34459490741</v>
      </c>
      <c r="C1044" s="1" t="n">
        <v>45895</v>
      </c>
      <c r="D1044" t="inlineStr">
        <is>
          <t>VÄSTERNORRLANDS LÄN</t>
        </is>
      </c>
      <c r="E1044" t="inlineStr">
        <is>
          <t>ÅNGE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13875-2022</t>
        </is>
      </c>
      <c r="B1045" s="1" t="n">
        <v>44649</v>
      </c>
      <c r="C1045" s="1" t="n">
        <v>45895</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52637-2020</t>
        </is>
      </c>
      <c r="B1046" s="1" t="n">
        <v>44118</v>
      </c>
      <c r="C1046" s="1" t="n">
        <v>45895</v>
      </c>
      <c r="D1046" t="inlineStr">
        <is>
          <t>VÄSTERNORRLANDS LÄN</t>
        </is>
      </c>
      <c r="E1046" t="inlineStr">
        <is>
          <t>ÅNGE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37303-2025</t>
        </is>
      </c>
      <c r="B1047" s="1" t="n">
        <v>45876.59445601852</v>
      </c>
      <c r="C1047" s="1" t="n">
        <v>45895</v>
      </c>
      <c r="D1047" t="inlineStr">
        <is>
          <t>VÄSTERNORRLANDS LÄN</t>
        </is>
      </c>
      <c r="E1047" t="inlineStr">
        <is>
          <t>ÅNGE</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37045-2025</t>
        </is>
      </c>
      <c r="B1048" s="1" t="n">
        <v>45875.34451388889</v>
      </c>
      <c r="C1048" s="1" t="n">
        <v>45895</v>
      </c>
      <c r="D1048" t="inlineStr">
        <is>
          <t>VÄSTERNORRLANDS LÄN</t>
        </is>
      </c>
      <c r="E1048" t="inlineStr">
        <is>
          <t>ÅNGE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31452-2025</t>
        </is>
      </c>
      <c r="B1049" s="1" t="n">
        <v>45833.53179398148</v>
      </c>
      <c r="C1049" s="1" t="n">
        <v>45895</v>
      </c>
      <c r="D1049" t="inlineStr">
        <is>
          <t>VÄSTERNORRLANDS LÄN</t>
        </is>
      </c>
      <c r="E1049" t="inlineStr">
        <is>
          <t>ÅNGE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37047-2025</t>
        </is>
      </c>
      <c r="B1050" s="1" t="n">
        <v>45875.34489583333</v>
      </c>
      <c r="C1050" s="1" t="n">
        <v>45895</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31544-2025</t>
        </is>
      </c>
      <c r="B1051" s="1" t="n">
        <v>45833.63597222222</v>
      </c>
      <c r="C1051" s="1" t="n">
        <v>45895</v>
      </c>
      <c r="D1051" t="inlineStr">
        <is>
          <t>VÄSTERNORRLANDS LÄN</t>
        </is>
      </c>
      <c r="E1051" t="inlineStr">
        <is>
          <t>ÅNGE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4876-2023</t>
        </is>
      </c>
      <c r="B1052" s="1" t="n">
        <v>44957.94023148148</v>
      </c>
      <c r="C1052" s="1" t="n">
        <v>45895</v>
      </c>
      <c r="D1052" t="inlineStr">
        <is>
          <t>VÄSTERNORRLANDS LÄN</t>
        </is>
      </c>
      <c r="E1052" t="inlineStr">
        <is>
          <t>ÅNGE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31646-2025</t>
        </is>
      </c>
      <c r="B1053" s="1" t="n">
        <v>45834.34563657407</v>
      </c>
      <c r="C1053" s="1" t="n">
        <v>45895</v>
      </c>
      <c r="D1053" t="inlineStr">
        <is>
          <t>VÄSTERNORRLANDS LÄN</t>
        </is>
      </c>
      <c r="E1053" t="inlineStr">
        <is>
          <t>ÅNGE</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3362-2023</t>
        </is>
      </c>
      <c r="B1054" s="1" t="n">
        <v>44945</v>
      </c>
      <c r="C1054" s="1" t="n">
        <v>45895</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16362-2023</t>
        </is>
      </c>
      <c r="B1055" s="1" t="n">
        <v>45028.9250462963</v>
      </c>
      <c r="C1055" s="1" t="n">
        <v>45895</v>
      </c>
      <c r="D1055" t="inlineStr">
        <is>
          <t>VÄSTERNORRLANDS LÄN</t>
        </is>
      </c>
      <c r="E1055" t="inlineStr">
        <is>
          <t>ÅNGE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44415-2021</t>
        </is>
      </c>
      <c r="B1056" s="1" t="n">
        <v>44435</v>
      </c>
      <c r="C1056" s="1" t="n">
        <v>45895</v>
      </c>
      <c r="D1056" t="inlineStr">
        <is>
          <t>VÄSTERNORRLANDS LÄN</t>
        </is>
      </c>
      <c r="E1056" t="inlineStr">
        <is>
          <t>ÅNGE</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31484-2025</t>
        </is>
      </c>
      <c r="B1057" s="1" t="n">
        <v>45833.57418981481</v>
      </c>
      <c r="C1057" s="1" t="n">
        <v>45895</v>
      </c>
      <c r="D1057" t="inlineStr">
        <is>
          <t>VÄSTERNORRLANDS LÄN</t>
        </is>
      </c>
      <c r="E1057" t="inlineStr">
        <is>
          <t>ÅNGE</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37177-2025</t>
        </is>
      </c>
      <c r="B1058" s="1" t="n">
        <v>45875.61539351852</v>
      </c>
      <c r="C1058" s="1" t="n">
        <v>45895</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37108-2025</t>
        </is>
      </c>
      <c r="B1059" s="1" t="n">
        <v>45875.48835648148</v>
      </c>
      <c r="C1059" s="1" t="n">
        <v>45895</v>
      </c>
      <c r="D1059" t="inlineStr">
        <is>
          <t>VÄSTERNORRLANDS LÄN</t>
        </is>
      </c>
      <c r="E1059" t="inlineStr">
        <is>
          <t>ÅNGE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28779-2023</t>
        </is>
      </c>
      <c r="B1060" s="1" t="n">
        <v>45104.34314814815</v>
      </c>
      <c r="C1060" s="1" t="n">
        <v>45895</v>
      </c>
      <c r="D1060" t="inlineStr">
        <is>
          <t>VÄSTERNORRLANDS LÄN</t>
        </is>
      </c>
      <c r="E1060" t="inlineStr">
        <is>
          <t>ÅNGE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63607-2021</t>
        </is>
      </c>
      <c r="B1061" s="1" t="n">
        <v>44508.94650462963</v>
      </c>
      <c r="C1061" s="1" t="n">
        <v>45895</v>
      </c>
      <c r="D1061" t="inlineStr">
        <is>
          <t>VÄSTERNORRLANDS LÄN</t>
        </is>
      </c>
      <c r="E1061" t="inlineStr">
        <is>
          <t>ÅNGE</t>
        </is>
      </c>
      <c r="F1061" t="inlineStr">
        <is>
          <t>SCA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30235-2024</t>
        </is>
      </c>
      <c r="B1062" s="1" t="n">
        <v>45490.49040509259</v>
      </c>
      <c r="C1062" s="1" t="n">
        <v>45895</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31642-2025</t>
        </is>
      </c>
      <c r="B1063" s="1" t="n">
        <v>45834.34474537037</v>
      </c>
      <c r="C1063" s="1" t="n">
        <v>45895</v>
      </c>
      <c r="D1063" t="inlineStr">
        <is>
          <t>VÄSTERNORRLANDS LÄN</t>
        </is>
      </c>
      <c r="E1063" t="inlineStr">
        <is>
          <t>ÅNGE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31666-2025</t>
        </is>
      </c>
      <c r="B1064" s="1" t="n">
        <v>45834.36519675926</v>
      </c>
      <c r="C1064" s="1" t="n">
        <v>45895</v>
      </c>
      <c r="D1064" t="inlineStr">
        <is>
          <t>VÄSTERNORRLANDS LÄN</t>
        </is>
      </c>
      <c r="E1064" t="inlineStr">
        <is>
          <t>ÅNGE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5455-2023</t>
        </is>
      </c>
      <c r="B1065" s="1" t="n">
        <v>44959.93983796296</v>
      </c>
      <c r="C1065" s="1" t="n">
        <v>45895</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37371-2025</t>
        </is>
      </c>
      <c r="B1066" s="1" t="n">
        <v>45877.34472222222</v>
      </c>
      <c r="C1066" s="1" t="n">
        <v>45895</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37383-2025</t>
        </is>
      </c>
      <c r="B1067" s="1" t="n">
        <v>45877.38581018519</v>
      </c>
      <c r="C1067" s="1" t="n">
        <v>45895</v>
      </c>
      <c r="D1067" t="inlineStr">
        <is>
          <t>VÄSTERNORRLANDS LÄN</t>
        </is>
      </c>
      <c r="E1067" t="inlineStr">
        <is>
          <t>ÅNGE</t>
        </is>
      </c>
      <c r="F1067" t="inlineStr">
        <is>
          <t>SCA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37450-2025</t>
        </is>
      </c>
      <c r="B1068" s="1" t="n">
        <v>45877.55261574074</v>
      </c>
      <c r="C1068" s="1" t="n">
        <v>45895</v>
      </c>
      <c r="D1068" t="inlineStr">
        <is>
          <t>VÄSTERNORRLANDS LÄN</t>
        </is>
      </c>
      <c r="E1068" t="inlineStr">
        <is>
          <t>ÅNGE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59986-2021</t>
        </is>
      </c>
      <c r="B1069" s="1" t="n">
        <v>44494</v>
      </c>
      <c r="C1069" s="1" t="n">
        <v>45895</v>
      </c>
      <c r="D1069" t="inlineStr">
        <is>
          <t>VÄSTERNORRLANDS LÄN</t>
        </is>
      </c>
      <c r="E1069" t="inlineStr">
        <is>
          <t>ÅNGE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41370-2023</t>
        </is>
      </c>
      <c r="B1070" s="1" t="n">
        <v>45174.85951388889</v>
      </c>
      <c r="C1070" s="1" t="n">
        <v>45895</v>
      </c>
      <c r="D1070" t="inlineStr">
        <is>
          <t>VÄSTERNORRLANDS LÄN</t>
        </is>
      </c>
      <c r="E1070" t="inlineStr">
        <is>
          <t>ÅNGE</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14927-2025</t>
        </is>
      </c>
      <c r="B1071" s="1" t="n">
        <v>45743</v>
      </c>
      <c r="C1071" s="1" t="n">
        <v>45895</v>
      </c>
      <c r="D1071" t="inlineStr">
        <is>
          <t>VÄSTERNORRLANDS LÄN</t>
        </is>
      </c>
      <c r="E1071" t="inlineStr">
        <is>
          <t>ÅNGE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14933-2025</t>
        </is>
      </c>
      <c r="B1072" s="1" t="n">
        <v>45743.55380787037</v>
      </c>
      <c r="C1072" s="1" t="n">
        <v>45895</v>
      </c>
      <c r="D1072" t="inlineStr">
        <is>
          <t>VÄSTERNORRLANDS LÄN</t>
        </is>
      </c>
      <c r="E1072" t="inlineStr">
        <is>
          <t>ÅNGE</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38284-2022</t>
        </is>
      </c>
      <c r="B1073" s="1" t="n">
        <v>44812.55149305556</v>
      </c>
      <c r="C1073" s="1" t="n">
        <v>45895</v>
      </c>
      <c r="D1073" t="inlineStr">
        <is>
          <t>VÄSTERNORRLANDS LÄN</t>
        </is>
      </c>
      <c r="E1073" t="inlineStr">
        <is>
          <t>ÅNGE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32025-2025</t>
        </is>
      </c>
      <c r="B1074" s="1" t="n">
        <v>45835.40721064815</v>
      </c>
      <c r="C1074" s="1" t="n">
        <v>45895</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37719-2025</t>
        </is>
      </c>
      <c r="B1075" s="1" t="n">
        <v>45880.61505787037</v>
      </c>
      <c r="C1075" s="1" t="n">
        <v>45895</v>
      </c>
      <c r="D1075" t="inlineStr">
        <is>
          <t>VÄSTERNORRLANDS LÄN</t>
        </is>
      </c>
      <c r="E1075" t="inlineStr">
        <is>
          <t>ÅNGE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37723-2025</t>
        </is>
      </c>
      <c r="B1076" s="1" t="n">
        <v>45880.61528935185</v>
      </c>
      <c r="C1076" s="1" t="n">
        <v>45895</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26092-2025</t>
        </is>
      </c>
      <c r="B1077" s="1" t="n">
        <v>45805</v>
      </c>
      <c r="C1077" s="1" t="n">
        <v>45895</v>
      </c>
      <c r="D1077" t="inlineStr">
        <is>
          <t>VÄSTERNORRLANDS LÄN</t>
        </is>
      </c>
      <c r="E1077" t="inlineStr">
        <is>
          <t>ÅNGE</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30353-2024</t>
        </is>
      </c>
      <c r="B1078" s="1" t="n">
        <v>45490.95567129629</v>
      </c>
      <c r="C1078" s="1" t="n">
        <v>45895</v>
      </c>
      <c r="D1078" t="inlineStr">
        <is>
          <t>VÄSTERNORRLANDS LÄN</t>
        </is>
      </c>
      <c r="E1078" t="inlineStr">
        <is>
          <t>ÅNGE</t>
        </is>
      </c>
      <c r="F1078" t="inlineStr">
        <is>
          <t>SCA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32024-2025</t>
        </is>
      </c>
      <c r="B1079" s="1" t="n">
        <v>45835.40706018519</v>
      </c>
      <c r="C1079" s="1" t="n">
        <v>45895</v>
      </c>
      <c r="D1079" t="inlineStr">
        <is>
          <t>VÄSTERNORRLANDS LÄN</t>
        </is>
      </c>
      <c r="E1079" t="inlineStr">
        <is>
          <t>ÅNGE</t>
        </is>
      </c>
      <c r="F1079" t="inlineStr">
        <is>
          <t>SCA</t>
        </is>
      </c>
      <c r="G1079" t="n">
        <v>12.3</v>
      </c>
      <c r="H1079" t="n">
        <v>0</v>
      </c>
      <c r="I1079" t="n">
        <v>0</v>
      </c>
      <c r="J1079" t="n">
        <v>0</v>
      </c>
      <c r="K1079" t="n">
        <v>0</v>
      </c>
      <c r="L1079" t="n">
        <v>0</v>
      </c>
      <c r="M1079" t="n">
        <v>0</v>
      </c>
      <c r="N1079" t="n">
        <v>0</v>
      </c>
      <c r="O1079" t="n">
        <v>0</v>
      </c>
      <c r="P1079" t="n">
        <v>0</v>
      </c>
      <c r="Q1079" t="n">
        <v>0</v>
      </c>
      <c r="R1079" s="2" t="inlineStr"/>
    </row>
    <row r="1080" ht="15" customHeight="1">
      <c r="A1080" t="inlineStr">
        <is>
          <t>A 32051-2025</t>
        </is>
      </c>
      <c r="B1080" s="1" t="n">
        <v>45835.44185185185</v>
      </c>
      <c r="C1080" s="1" t="n">
        <v>45895</v>
      </c>
      <c r="D1080" t="inlineStr">
        <is>
          <t>VÄSTERNORRLANDS LÄN</t>
        </is>
      </c>
      <c r="E1080" t="inlineStr">
        <is>
          <t>ÅNGE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16606-2023</t>
        </is>
      </c>
      <c r="B1081" s="1" t="n">
        <v>45030.3990625</v>
      </c>
      <c r="C1081" s="1" t="n">
        <v>45895</v>
      </c>
      <c r="D1081" t="inlineStr">
        <is>
          <t>VÄSTERNORRLANDS LÄN</t>
        </is>
      </c>
      <c r="E1081" t="inlineStr">
        <is>
          <t>ÅNGE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37663-2025</t>
        </is>
      </c>
      <c r="B1082" s="1" t="n">
        <v>45880.51079861111</v>
      </c>
      <c r="C1082" s="1" t="n">
        <v>45895</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50235-2021</t>
        </is>
      </c>
      <c r="B1083" s="1" t="n">
        <v>44457</v>
      </c>
      <c r="C1083" s="1" t="n">
        <v>45895</v>
      </c>
      <c r="D1083" t="inlineStr">
        <is>
          <t>VÄSTERNORRLANDS LÄN</t>
        </is>
      </c>
      <c r="E1083" t="inlineStr">
        <is>
          <t>ÅNGE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25047-2023</t>
        </is>
      </c>
      <c r="B1084" s="1" t="n">
        <v>45085.94569444445</v>
      </c>
      <c r="C1084" s="1" t="n">
        <v>45895</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37384-2025</t>
        </is>
      </c>
      <c r="B1085" s="1" t="n">
        <v>45877.3859837963</v>
      </c>
      <c r="C1085" s="1" t="n">
        <v>45895</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47950-2024</t>
        </is>
      </c>
      <c r="B1086" s="1" t="n">
        <v>45589.36511574074</v>
      </c>
      <c r="C1086" s="1" t="n">
        <v>45895</v>
      </c>
      <c r="D1086" t="inlineStr">
        <is>
          <t>VÄSTERNORRLANDS LÄN</t>
        </is>
      </c>
      <c r="E1086" t="inlineStr">
        <is>
          <t>ÅNGE</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11299-2023</t>
        </is>
      </c>
      <c r="B1087" s="1" t="n">
        <v>44993.01074074074</v>
      </c>
      <c r="C1087" s="1" t="n">
        <v>45895</v>
      </c>
      <c r="D1087" t="inlineStr">
        <is>
          <t>VÄSTERNORRLANDS LÄN</t>
        </is>
      </c>
      <c r="E1087" t="inlineStr">
        <is>
          <t>ÅNGE</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11309-2023</t>
        </is>
      </c>
      <c r="B1088" s="1" t="n">
        <v>44993.0118287037</v>
      </c>
      <c r="C1088" s="1" t="n">
        <v>45895</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62834-2021</t>
        </is>
      </c>
      <c r="B1089" s="1" t="n">
        <v>44503</v>
      </c>
      <c r="C1089" s="1" t="n">
        <v>45895</v>
      </c>
      <c r="D1089" t="inlineStr">
        <is>
          <t>VÄSTERNORRLANDS LÄN</t>
        </is>
      </c>
      <c r="E1089" t="inlineStr">
        <is>
          <t>ÅNGE</t>
        </is>
      </c>
      <c r="F1089" t="inlineStr">
        <is>
          <t>Övriga statliga verk och myndigheter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10557-2023</t>
        </is>
      </c>
      <c r="B1090" s="1" t="n">
        <v>44987</v>
      </c>
      <c r="C1090" s="1" t="n">
        <v>45895</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15791-2025</t>
        </is>
      </c>
      <c r="B1091" s="1" t="n">
        <v>45748.631875</v>
      </c>
      <c r="C1091" s="1" t="n">
        <v>45895</v>
      </c>
      <c r="D1091" t="inlineStr">
        <is>
          <t>VÄSTERNORRLANDS LÄN</t>
        </is>
      </c>
      <c r="E1091" t="inlineStr">
        <is>
          <t>ÅNGE</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8418-2023</t>
        </is>
      </c>
      <c r="B1092" s="1" t="n">
        <v>44971</v>
      </c>
      <c r="C1092" s="1" t="n">
        <v>45895</v>
      </c>
      <c r="D1092" t="inlineStr">
        <is>
          <t>VÄSTERNORRLANDS LÄN</t>
        </is>
      </c>
      <c r="E1092" t="inlineStr">
        <is>
          <t>ÅNGE</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4006-2022</t>
        </is>
      </c>
      <c r="B1093" s="1" t="n">
        <v>44587.92019675926</v>
      </c>
      <c r="C1093" s="1" t="n">
        <v>45895</v>
      </c>
      <c r="D1093" t="inlineStr">
        <is>
          <t>VÄSTERNORRLANDS LÄN</t>
        </is>
      </c>
      <c r="E1093" t="inlineStr">
        <is>
          <t>ÅNGE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15866-2025</t>
        </is>
      </c>
      <c r="B1094" s="1" t="n">
        <v>45749.36032407408</v>
      </c>
      <c r="C1094" s="1" t="n">
        <v>45895</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55007-2022</t>
        </is>
      </c>
      <c r="B1095" s="1" t="n">
        <v>44881</v>
      </c>
      <c r="C1095" s="1" t="n">
        <v>45895</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16281-2023</t>
        </is>
      </c>
      <c r="B1096" s="1" t="n">
        <v>45028</v>
      </c>
      <c r="C1096" s="1" t="n">
        <v>45895</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45459-2022</t>
        </is>
      </c>
      <c r="B1097" s="1" t="n">
        <v>44845</v>
      </c>
      <c r="C1097" s="1" t="n">
        <v>45895</v>
      </c>
      <c r="D1097" t="inlineStr">
        <is>
          <t>VÄSTERNORRLANDS LÄN</t>
        </is>
      </c>
      <c r="E1097" t="inlineStr">
        <is>
          <t>ÅNGE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48725-2024</t>
        </is>
      </c>
      <c r="B1098" s="1" t="n">
        <v>45593.55793981482</v>
      </c>
      <c r="C1098" s="1" t="n">
        <v>45895</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32847-2025</t>
        </is>
      </c>
      <c r="B1099" s="1" t="n">
        <v>45839.57354166666</v>
      </c>
      <c r="C1099" s="1" t="n">
        <v>45895</v>
      </c>
      <c r="D1099" t="inlineStr">
        <is>
          <t>VÄSTERNORRLANDS LÄN</t>
        </is>
      </c>
      <c r="E1099" t="inlineStr">
        <is>
          <t>ÅNGE</t>
        </is>
      </c>
      <c r="F1099" t="inlineStr">
        <is>
          <t>SCA</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2984-2025</t>
        </is>
      </c>
      <c r="B1100" s="1" t="n">
        <v>45678.51094907407</v>
      </c>
      <c r="C1100" s="1" t="n">
        <v>45895</v>
      </c>
      <c r="D1100" t="inlineStr">
        <is>
          <t>VÄSTERNORRLANDS LÄN</t>
        </is>
      </c>
      <c r="E1100" t="inlineStr">
        <is>
          <t>ÅNGE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48988-2021</t>
        </is>
      </c>
      <c r="B1101" s="1" t="n">
        <v>44453.43</v>
      </c>
      <c r="C1101" s="1" t="n">
        <v>45895</v>
      </c>
      <c r="D1101" t="inlineStr">
        <is>
          <t>VÄSTERNORRLANDS LÄN</t>
        </is>
      </c>
      <c r="E1101" t="inlineStr">
        <is>
          <t>ÅNGE</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1886-2024</t>
        </is>
      </c>
      <c r="B1102" s="1" t="n">
        <v>45307.96335648148</v>
      </c>
      <c r="C1102" s="1" t="n">
        <v>45895</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37919-2025</t>
        </is>
      </c>
      <c r="B1103" s="1" t="n">
        <v>45881.57478009259</v>
      </c>
      <c r="C1103" s="1" t="n">
        <v>45895</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10017-2025</t>
        </is>
      </c>
      <c r="B1104" s="1" t="n">
        <v>45719.46957175926</v>
      </c>
      <c r="C1104" s="1" t="n">
        <v>45895</v>
      </c>
      <c r="D1104" t="inlineStr">
        <is>
          <t>VÄSTERNORRLANDS LÄN</t>
        </is>
      </c>
      <c r="E1104" t="inlineStr">
        <is>
          <t>ÅNGE</t>
        </is>
      </c>
      <c r="F1104" t="inlineStr">
        <is>
          <t>SCA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44979-2023</t>
        </is>
      </c>
      <c r="B1105" s="1" t="n">
        <v>45190.95752314815</v>
      </c>
      <c r="C1105" s="1" t="n">
        <v>45895</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20110-2023</t>
        </is>
      </c>
      <c r="B1106" s="1" t="n">
        <v>45051</v>
      </c>
      <c r="C1106" s="1" t="n">
        <v>45895</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29270-2024</t>
        </is>
      </c>
      <c r="B1107" s="1" t="n">
        <v>45482.94979166667</v>
      </c>
      <c r="C1107" s="1" t="n">
        <v>45895</v>
      </c>
      <c r="D1107" t="inlineStr">
        <is>
          <t>VÄSTERNORRLANDS LÄN</t>
        </is>
      </c>
      <c r="E1107" t="inlineStr">
        <is>
          <t>ÅNGE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29696-2024</t>
        </is>
      </c>
      <c r="B1108" s="1" t="n">
        <v>45484.94524305555</v>
      </c>
      <c r="C1108" s="1" t="n">
        <v>45895</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38078-2025</t>
        </is>
      </c>
      <c r="B1109" s="1" t="n">
        <v>45882.46918981482</v>
      </c>
      <c r="C1109" s="1" t="n">
        <v>45895</v>
      </c>
      <c r="D1109" t="inlineStr">
        <is>
          <t>VÄSTERNORRLANDS LÄN</t>
        </is>
      </c>
      <c r="E1109" t="inlineStr">
        <is>
          <t>ÅNGE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33062-2022</t>
        </is>
      </c>
      <c r="B1110" s="1" t="n">
        <v>44785</v>
      </c>
      <c r="C1110" s="1" t="n">
        <v>45895</v>
      </c>
      <c r="D1110" t="inlineStr">
        <is>
          <t>VÄSTERNORRLANDS LÄN</t>
        </is>
      </c>
      <c r="E1110" t="inlineStr">
        <is>
          <t>ÅNGE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37802-2025</t>
        </is>
      </c>
      <c r="B1111" s="1" t="n">
        <v>45881.34447916667</v>
      </c>
      <c r="C1111" s="1" t="n">
        <v>45895</v>
      </c>
      <c r="D1111" t="inlineStr">
        <is>
          <t>VÄSTERNORRLANDS LÄN</t>
        </is>
      </c>
      <c r="E1111" t="inlineStr">
        <is>
          <t>ÅNGE</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17923-2025</t>
        </is>
      </c>
      <c r="B1112" s="1" t="n">
        <v>45759.34415509259</v>
      </c>
      <c r="C1112" s="1" t="n">
        <v>45895</v>
      </c>
      <c r="D1112" t="inlineStr">
        <is>
          <t>VÄSTERNORRLANDS LÄN</t>
        </is>
      </c>
      <c r="E1112" t="inlineStr">
        <is>
          <t>ÅNGE</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38273-2025</t>
        </is>
      </c>
      <c r="B1113" s="1" t="n">
        <v>45883.40740740741</v>
      </c>
      <c r="C1113" s="1" t="n">
        <v>45895</v>
      </c>
      <c r="D1113" t="inlineStr">
        <is>
          <t>VÄSTERNORRLANDS LÄN</t>
        </is>
      </c>
      <c r="E1113" t="inlineStr">
        <is>
          <t>ÅNGE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27002-2023</t>
        </is>
      </c>
      <c r="B1114" s="1" t="n">
        <v>45093</v>
      </c>
      <c r="C1114" s="1" t="n">
        <v>45895</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1582-2025</t>
        </is>
      </c>
      <c r="B1115" s="1" t="n">
        <v>45670</v>
      </c>
      <c r="C1115" s="1" t="n">
        <v>45895</v>
      </c>
      <c r="D1115" t="inlineStr">
        <is>
          <t>VÄSTERNORRLANDS LÄN</t>
        </is>
      </c>
      <c r="E1115" t="inlineStr">
        <is>
          <t>ÅNGE</t>
        </is>
      </c>
      <c r="G1115" t="n">
        <v>7.3</v>
      </c>
      <c r="H1115" t="n">
        <v>0</v>
      </c>
      <c r="I1115" t="n">
        <v>0</v>
      </c>
      <c r="J1115" t="n">
        <v>0</v>
      </c>
      <c r="K1115" t="n">
        <v>0</v>
      </c>
      <c r="L1115" t="n">
        <v>0</v>
      </c>
      <c r="M1115" t="n">
        <v>0</v>
      </c>
      <c r="N1115" t="n">
        <v>0</v>
      </c>
      <c r="O1115" t="n">
        <v>0</v>
      </c>
      <c r="P1115" t="n">
        <v>0</v>
      </c>
      <c r="Q1115" t="n">
        <v>0</v>
      </c>
      <c r="R1115" s="2" t="inlineStr"/>
      <c r="U1115">
        <f>HYPERLINK("https://klasma.github.io/Logging_2260/knärot/A 1582-2025 karta knärot.png", "A 1582-2025")</f>
        <v/>
      </c>
      <c r="V1115">
        <f>HYPERLINK("https://klasma.github.io/Logging_2260/klagomål/A 1582-2025 FSC-klagomål.docx", "A 1582-2025")</f>
        <v/>
      </c>
      <c r="W1115">
        <f>HYPERLINK("https://klasma.github.io/Logging_2260/klagomålsmail/A 1582-2025 FSC-klagomål mail.docx", "A 1582-2025")</f>
        <v/>
      </c>
      <c r="X1115">
        <f>HYPERLINK("https://klasma.github.io/Logging_2260/tillsyn/A 1582-2025 tillsynsbegäran.docx", "A 1582-2025")</f>
        <v/>
      </c>
      <c r="Y1115">
        <f>HYPERLINK("https://klasma.github.io/Logging_2260/tillsynsmail/A 1582-2025 tillsynsbegäran mail.docx", "A 1582-2025")</f>
        <v/>
      </c>
    </row>
    <row r="1116" ht="15" customHeight="1">
      <c r="A1116" t="inlineStr">
        <is>
          <t>A 63170-2023</t>
        </is>
      </c>
      <c r="B1116" s="1" t="n">
        <v>45273.57087962963</v>
      </c>
      <c r="C1116" s="1" t="n">
        <v>45895</v>
      </c>
      <c r="D1116" t="inlineStr">
        <is>
          <t>VÄSTERNORRLANDS LÄN</t>
        </is>
      </c>
      <c r="E1116" t="inlineStr">
        <is>
          <t>ÅNGE</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30273-2023</t>
        </is>
      </c>
      <c r="B1117" s="1" t="n">
        <v>45099</v>
      </c>
      <c r="C1117" s="1" t="n">
        <v>45895</v>
      </c>
      <c r="D1117" t="inlineStr">
        <is>
          <t>VÄSTERNORRLANDS LÄN</t>
        </is>
      </c>
      <c r="E1117" t="inlineStr">
        <is>
          <t>ÅNGE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33719-2025</t>
        </is>
      </c>
      <c r="B1118" s="1" t="n">
        <v>45841.90143518519</v>
      </c>
      <c r="C1118" s="1" t="n">
        <v>45895</v>
      </c>
      <c r="D1118" t="inlineStr">
        <is>
          <t>VÄSTERNORRLANDS LÄN</t>
        </is>
      </c>
      <c r="E1118" t="inlineStr">
        <is>
          <t>ÅNGE</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54908-2021</t>
        </is>
      </c>
      <c r="B1119" s="1" t="n">
        <v>44474.39769675926</v>
      </c>
      <c r="C1119" s="1" t="n">
        <v>45895</v>
      </c>
      <c r="D1119" t="inlineStr">
        <is>
          <t>VÄSTERNORRLANDS LÄN</t>
        </is>
      </c>
      <c r="E1119" t="inlineStr">
        <is>
          <t>ÅNGE</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33782-2025</t>
        </is>
      </c>
      <c r="B1120" s="1" t="n">
        <v>45842.40678240741</v>
      </c>
      <c r="C1120" s="1" t="n">
        <v>45895</v>
      </c>
      <c r="D1120" t="inlineStr">
        <is>
          <t>VÄSTERNORRLANDS LÄN</t>
        </is>
      </c>
      <c r="E1120" t="inlineStr">
        <is>
          <t>ÅNGE</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60368-2024</t>
        </is>
      </c>
      <c r="B1121" s="1" t="n">
        <v>45643</v>
      </c>
      <c r="C1121" s="1" t="n">
        <v>45895</v>
      </c>
      <c r="D1121" t="inlineStr">
        <is>
          <t>VÄSTERNORRLANDS LÄN</t>
        </is>
      </c>
      <c r="E1121" t="inlineStr">
        <is>
          <t>ÅNGE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27951-2021</t>
        </is>
      </c>
      <c r="B1122" s="1" t="n">
        <v>44354</v>
      </c>
      <c r="C1122" s="1" t="n">
        <v>45895</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31729-2024</t>
        </is>
      </c>
      <c r="B1123" s="1" t="n">
        <v>45509.35844907408</v>
      </c>
      <c r="C1123" s="1" t="n">
        <v>45895</v>
      </c>
      <c r="D1123" t="inlineStr">
        <is>
          <t>VÄSTERNORRLANDS LÄN</t>
        </is>
      </c>
      <c r="E1123" t="inlineStr">
        <is>
          <t>ÅNGE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22990-2024</t>
        </is>
      </c>
      <c r="B1124" s="1" t="n">
        <v>45449.94548611111</v>
      </c>
      <c r="C1124" s="1" t="n">
        <v>45895</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34783-2021</t>
        </is>
      </c>
      <c r="B1125" s="1" t="n">
        <v>44382</v>
      </c>
      <c r="C1125" s="1" t="n">
        <v>45895</v>
      </c>
      <c r="D1125" t="inlineStr">
        <is>
          <t>VÄSTERNORRLANDS LÄN</t>
        </is>
      </c>
      <c r="E1125" t="inlineStr">
        <is>
          <t>ÅNGE</t>
        </is>
      </c>
      <c r="F1125" t="inlineStr">
        <is>
          <t>SCA</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38386-2025</t>
        </is>
      </c>
      <c r="B1126" s="1" t="n">
        <v>45883.57430555556</v>
      </c>
      <c r="C1126" s="1" t="n">
        <v>45895</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4187-2025</t>
        </is>
      </c>
      <c r="B1127" s="1" t="n">
        <v>45685.44842592593</v>
      </c>
      <c r="C1127" s="1" t="n">
        <v>45895</v>
      </c>
      <c r="D1127" t="inlineStr">
        <is>
          <t>VÄSTERNORRLANDS LÄN</t>
        </is>
      </c>
      <c r="E1127" t="inlineStr">
        <is>
          <t>ÅNGE</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33720-2025</t>
        </is>
      </c>
      <c r="B1128" s="1" t="n">
        <v>45841.90605324074</v>
      </c>
      <c r="C1128" s="1" t="n">
        <v>45895</v>
      </c>
      <c r="D1128" t="inlineStr">
        <is>
          <t>VÄSTERNORRLANDS LÄN</t>
        </is>
      </c>
      <c r="E1128" t="inlineStr">
        <is>
          <t>ÅNGE</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38686-2025</t>
        </is>
      </c>
      <c r="B1129" s="1" t="n">
        <v>45884.65658564815</v>
      </c>
      <c r="C1129" s="1" t="n">
        <v>45895</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39589-2022</t>
        </is>
      </c>
      <c r="B1130" s="1" t="n">
        <v>44818</v>
      </c>
      <c r="C1130" s="1" t="n">
        <v>45895</v>
      </c>
      <c r="D1130" t="inlineStr">
        <is>
          <t>VÄSTERNORRLANDS LÄN</t>
        </is>
      </c>
      <c r="E1130" t="inlineStr">
        <is>
          <t>ÅNGE</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38693-2025</t>
        </is>
      </c>
      <c r="B1131" s="1" t="n">
        <v>45884.69829861111</v>
      </c>
      <c r="C1131" s="1" t="n">
        <v>45895</v>
      </c>
      <c r="D1131" t="inlineStr">
        <is>
          <t>VÄSTERNORRLANDS LÄN</t>
        </is>
      </c>
      <c r="E1131" t="inlineStr">
        <is>
          <t>ÅNGE</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38283-2025</t>
        </is>
      </c>
      <c r="B1132" s="1" t="n">
        <v>45883.42740740741</v>
      </c>
      <c r="C1132" s="1" t="n">
        <v>45895</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38332-2025</t>
        </is>
      </c>
      <c r="B1133" s="1" t="n">
        <v>45883.49151620371</v>
      </c>
      <c r="C1133" s="1" t="n">
        <v>45895</v>
      </c>
      <c r="D1133" t="inlineStr">
        <is>
          <t>VÄSTERNORRLANDS LÄN</t>
        </is>
      </c>
      <c r="E1133" t="inlineStr">
        <is>
          <t>ÅNGE</t>
        </is>
      </c>
      <c r="F1133" t="inlineStr">
        <is>
          <t>SCA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34726-2024</t>
        </is>
      </c>
      <c r="B1134" s="1" t="n">
        <v>45526.5733912037</v>
      </c>
      <c r="C1134" s="1" t="n">
        <v>45895</v>
      </c>
      <c r="D1134" t="inlineStr">
        <is>
          <t>VÄSTERNORRLANDS LÄN</t>
        </is>
      </c>
      <c r="E1134" t="inlineStr">
        <is>
          <t>ÅNGE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33806-2025</t>
        </is>
      </c>
      <c r="B1135" s="1" t="n">
        <v>45842.44865740741</v>
      </c>
      <c r="C1135" s="1" t="n">
        <v>45895</v>
      </c>
      <c r="D1135" t="inlineStr">
        <is>
          <t>VÄSTERNORRLANDS LÄN</t>
        </is>
      </c>
      <c r="E1135" t="inlineStr">
        <is>
          <t>ÅNGE</t>
        </is>
      </c>
      <c r="F1135" t="inlineStr">
        <is>
          <t>SCA</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25320-2023</t>
        </is>
      </c>
      <c r="B1136" s="1" t="n">
        <v>45086.93929398148</v>
      </c>
      <c r="C1136" s="1" t="n">
        <v>45895</v>
      </c>
      <c r="D1136" t="inlineStr">
        <is>
          <t>VÄSTERNORRLANDS LÄN</t>
        </is>
      </c>
      <c r="E1136" t="inlineStr">
        <is>
          <t>ÅNGE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12807-2025</t>
        </is>
      </c>
      <c r="B1137" s="1" t="n">
        <v>45733.61537037037</v>
      </c>
      <c r="C1137" s="1" t="n">
        <v>45895</v>
      </c>
      <c r="D1137" t="inlineStr">
        <is>
          <t>VÄSTERNORRLANDS LÄN</t>
        </is>
      </c>
      <c r="E1137" t="inlineStr">
        <is>
          <t>ÅNGE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24541-2023</t>
        </is>
      </c>
      <c r="B1138" s="1" t="n">
        <v>45082.94135416667</v>
      </c>
      <c r="C1138" s="1" t="n">
        <v>45895</v>
      </c>
      <c r="D1138" t="inlineStr">
        <is>
          <t>VÄSTERNORRLANDS LÄN</t>
        </is>
      </c>
      <c r="E1138" t="inlineStr">
        <is>
          <t>ÅNGE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24552-2023</t>
        </is>
      </c>
      <c r="B1139" s="1" t="n">
        <v>45082.94226851852</v>
      </c>
      <c r="C1139" s="1" t="n">
        <v>45895</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33717-2025</t>
        </is>
      </c>
      <c r="B1140" s="1" t="n">
        <v>45841.89357638889</v>
      </c>
      <c r="C1140" s="1" t="n">
        <v>45895</v>
      </c>
      <c r="D1140" t="inlineStr">
        <is>
          <t>VÄSTERNORRLANDS LÄN</t>
        </is>
      </c>
      <c r="E1140" t="inlineStr">
        <is>
          <t>ÅNGE</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33738-2025</t>
        </is>
      </c>
      <c r="B1141" s="1" t="n">
        <v>45842.33795138889</v>
      </c>
      <c r="C1141" s="1" t="n">
        <v>45895</v>
      </c>
      <c r="D1141" t="inlineStr">
        <is>
          <t>VÄSTERNORRLANDS LÄN</t>
        </is>
      </c>
      <c r="E1141" t="inlineStr">
        <is>
          <t>ÅNGE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18542-2022</t>
        </is>
      </c>
      <c r="B1142" s="1" t="n">
        <v>44686</v>
      </c>
      <c r="C1142" s="1" t="n">
        <v>45895</v>
      </c>
      <c r="D1142" t="inlineStr">
        <is>
          <t>VÄSTERNORRLANDS LÄN</t>
        </is>
      </c>
      <c r="E1142" t="inlineStr">
        <is>
          <t>ÅNGE</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44600-2024</t>
        </is>
      </c>
      <c r="B1143" s="1" t="n">
        <v>45574.51113425926</v>
      </c>
      <c r="C1143" s="1" t="n">
        <v>45895</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18668-2023</t>
        </is>
      </c>
      <c r="B1144" s="1" t="n">
        <v>45043.57108796296</v>
      </c>
      <c r="C1144" s="1" t="n">
        <v>45895</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62261-2022</t>
        </is>
      </c>
      <c r="B1145" s="1" t="n">
        <v>44922.94378472222</v>
      </c>
      <c r="C1145" s="1" t="n">
        <v>45895</v>
      </c>
      <c r="D1145" t="inlineStr">
        <is>
          <t>VÄSTERNORRLANDS LÄN</t>
        </is>
      </c>
      <c r="E1145" t="inlineStr">
        <is>
          <t>ÅNGE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26013-2024</t>
        </is>
      </c>
      <c r="B1146" s="1" t="n">
        <v>45467</v>
      </c>
      <c r="C1146" s="1" t="n">
        <v>45895</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25377-2024</t>
        </is>
      </c>
      <c r="B1147" s="1" t="n">
        <v>45462.96211805556</v>
      </c>
      <c r="C1147" s="1" t="n">
        <v>45895</v>
      </c>
      <c r="D1147" t="inlineStr">
        <is>
          <t>VÄSTERNORRLANDS LÄN</t>
        </is>
      </c>
      <c r="E1147" t="inlineStr">
        <is>
          <t>ÅNGE</t>
        </is>
      </c>
      <c r="F1147" t="inlineStr">
        <is>
          <t>SCA</t>
        </is>
      </c>
      <c r="G1147" t="n">
        <v>20.7</v>
      </c>
      <c r="H1147" t="n">
        <v>0</v>
      </c>
      <c r="I1147" t="n">
        <v>0</v>
      </c>
      <c r="J1147" t="n">
        <v>0</v>
      </c>
      <c r="K1147" t="n">
        <v>0</v>
      </c>
      <c r="L1147" t="n">
        <v>0</v>
      </c>
      <c r="M1147" t="n">
        <v>0</v>
      </c>
      <c r="N1147" t="n">
        <v>0</v>
      </c>
      <c r="O1147" t="n">
        <v>0</v>
      </c>
      <c r="P1147" t="n">
        <v>0</v>
      </c>
      <c r="Q1147" t="n">
        <v>0</v>
      </c>
      <c r="R1147" s="2" t="inlineStr"/>
    </row>
    <row r="1148" ht="15" customHeight="1">
      <c r="A1148" t="inlineStr">
        <is>
          <t>A 16524-2025</t>
        </is>
      </c>
      <c r="B1148" s="1" t="n">
        <v>45751.64310185185</v>
      </c>
      <c r="C1148" s="1" t="n">
        <v>45895</v>
      </c>
      <c r="D1148" t="inlineStr">
        <is>
          <t>VÄSTERNORRLANDS LÄN</t>
        </is>
      </c>
      <c r="E1148" t="inlineStr">
        <is>
          <t>ÅNGE</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38703-2025</t>
        </is>
      </c>
      <c r="B1149" s="1" t="n">
        <v>45885.34440972222</v>
      </c>
      <c r="C1149" s="1" t="n">
        <v>45895</v>
      </c>
      <c r="D1149" t="inlineStr">
        <is>
          <t>VÄSTERNORRLANDS LÄN</t>
        </is>
      </c>
      <c r="E1149" t="inlineStr">
        <is>
          <t>ÅNGE</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47779-2023</t>
        </is>
      </c>
      <c r="B1150" s="1" t="n">
        <v>45203.92232638889</v>
      </c>
      <c r="C1150" s="1" t="n">
        <v>45895</v>
      </c>
      <c r="D1150" t="inlineStr">
        <is>
          <t>VÄSTERNORRLANDS LÄN</t>
        </is>
      </c>
      <c r="E1150" t="inlineStr">
        <is>
          <t>ÅNGE</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56956-2022</t>
        </is>
      </c>
      <c r="B1151" s="1" t="n">
        <v>44894</v>
      </c>
      <c r="C1151" s="1" t="n">
        <v>45895</v>
      </c>
      <c r="D1151" t="inlineStr">
        <is>
          <t>VÄSTERNORRLANDS LÄN</t>
        </is>
      </c>
      <c r="E1151" t="inlineStr">
        <is>
          <t>ÅNGE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49502-2022</t>
        </is>
      </c>
      <c r="B1152" s="1" t="n">
        <v>44861.92613425926</v>
      </c>
      <c r="C1152" s="1" t="n">
        <v>45895</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4873-2025</t>
        </is>
      </c>
      <c r="B1153" s="1" t="n">
        <v>45688.67633101852</v>
      </c>
      <c r="C1153" s="1" t="n">
        <v>45895</v>
      </c>
      <c r="D1153" t="inlineStr">
        <is>
          <t>VÄSTERNORRLANDS LÄN</t>
        </is>
      </c>
      <c r="E1153" t="inlineStr">
        <is>
          <t>ÅNGE</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5035-2025</t>
        </is>
      </c>
      <c r="B1154" s="1" t="n">
        <v>45691</v>
      </c>
      <c r="C1154" s="1" t="n">
        <v>45895</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41825-2022</t>
        </is>
      </c>
      <c r="B1155" s="1" t="n">
        <v>44827</v>
      </c>
      <c r="C1155" s="1" t="n">
        <v>45895</v>
      </c>
      <c r="D1155" t="inlineStr">
        <is>
          <t>VÄSTERNORRLANDS LÄN</t>
        </is>
      </c>
      <c r="E1155" t="inlineStr">
        <is>
          <t>ÅNGE</t>
        </is>
      </c>
      <c r="F1155" t="inlineStr">
        <is>
          <t>SCA</t>
        </is>
      </c>
      <c r="G1155" t="n">
        <v>3.3</v>
      </c>
      <c r="H1155" t="n">
        <v>0</v>
      </c>
      <c r="I1155" t="n">
        <v>0</v>
      </c>
      <c r="J1155" t="n">
        <v>0</v>
      </c>
      <c r="K1155" t="n">
        <v>0</v>
      </c>
      <c r="L1155" t="n">
        <v>0</v>
      </c>
      <c r="M1155" t="n">
        <v>0</v>
      </c>
      <c r="N1155" t="n">
        <v>0</v>
      </c>
      <c r="O1155" t="n">
        <v>0</v>
      </c>
      <c r="P1155" t="n">
        <v>0</v>
      </c>
      <c r="Q1155" t="n">
        <v>0</v>
      </c>
      <c r="R1155" s="2" t="inlineStr"/>
      <c r="U1155">
        <f>HYPERLINK("https://klasma.github.io/Logging_2260/knärot/A 41825-2022 karta knärot.png", "A 41825-2022")</f>
        <v/>
      </c>
      <c r="V1155">
        <f>HYPERLINK("https://klasma.github.io/Logging_2260/klagomål/A 41825-2022 FSC-klagomål.docx", "A 41825-2022")</f>
        <v/>
      </c>
      <c r="W1155">
        <f>HYPERLINK("https://klasma.github.io/Logging_2260/klagomålsmail/A 41825-2022 FSC-klagomål mail.docx", "A 41825-2022")</f>
        <v/>
      </c>
      <c r="X1155">
        <f>HYPERLINK("https://klasma.github.io/Logging_2260/tillsyn/A 41825-2022 tillsynsbegäran.docx", "A 41825-2022")</f>
        <v/>
      </c>
      <c r="Y1155">
        <f>HYPERLINK("https://klasma.github.io/Logging_2260/tillsynsmail/A 41825-2022 tillsynsbegäran mail.docx", "A 41825-2022")</f>
        <v/>
      </c>
    </row>
    <row r="1156" ht="15" customHeight="1">
      <c r="A1156" t="inlineStr">
        <is>
          <t>A 42958-2024</t>
        </is>
      </c>
      <c r="B1156" s="1" t="n">
        <v>45567.37131944444</v>
      </c>
      <c r="C1156" s="1" t="n">
        <v>45895</v>
      </c>
      <c r="D1156" t="inlineStr">
        <is>
          <t>VÄSTERNORRLANDS LÄN</t>
        </is>
      </c>
      <c r="E1156" t="inlineStr">
        <is>
          <t>ÅNGE</t>
        </is>
      </c>
      <c r="F1156" t="inlineStr">
        <is>
          <t>SCA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38711-2025</t>
        </is>
      </c>
      <c r="B1157" s="1" t="n">
        <v>45886.34450231482</v>
      </c>
      <c r="C1157" s="1" t="n">
        <v>45895</v>
      </c>
      <c r="D1157" t="inlineStr">
        <is>
          <t>VÄSTERNORRLANDS LÄN</t>
        </is>
      </c>
      <c r="E1157" t="inlineStr">
        <is>
          <t>ÅNGE</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34861-2024</t>
        </is>
      </c>
      <c r="B1158" s="1" t="n">
        <v>45527.339375</v>
      </c>
      <c r="C1158" s="1" t="n">
        <v>45895</v>
      </c>
      <c r="D1158" t="inlineStr">
        <is>
          <t>VÄSTERNORRLANDS LÄN</t>
        </is>
      </c>
      <c r="E1158" t="inlineStr">
        <is>
          <t>ÅNGE</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17601-2024</t>
        </is>
      </c>
      <c r="B1159" s="1" t="n">
        <v>45415</v>
      </c>
      <c r="C1159" s="1" t="n">
        <v>45895</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57846-2022</t>
        </is>
      </c>
      <c r="B1160" s="1" t="n">
        <v>44897.95008101852</v>
      </c>
      <c r="C1160" s="1" t="n">
        <v>45895</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34019-2025</t>
        </is>
      </c>
      <c r="B1161" s="1" t="n">
        <v>45845.34416666667</v>
      </c>
      <c r="C1161" s="1" t="n">
        <v>45895</v>
      </c>
      <c r="D1161" t="inlineStr">
        <is>
          <t>VÄSTERNORRLANDS LÄN</t>
        </is>
      </c>
      <c r="E1161" t="inlineStr">
        <is>
          <t>ÅNGE</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34228-2025</t>
        </is>
      </c>
      <c r="B1162" s="1" t="n">
        <v>45845.65704861111</v>
      </c>
      <c r="C1162" s="1" t="n">
        <v>45895</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4883-2023</t>
        </is>
      </c>
      <c r="B1163" s="1" t="n">
        <v>44957</v>
      </c>
      <c r="C1163" s="1" t="n">
        <v>45895</v>
      </c>
      <c r="D1163" t="inlineStr">
        <is>
          <t>VÄSTERNORRLANDS LÄN</t>
        </is>
      </c>
      <c r="E1163" t="inlineStr">
        <is>
          <t>ÅNGE</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36342-2024</t>
        </is>
      </c>
      <c r="B1164" s="1" t="n">
        <v>45534.64315972223</v>
      </c>
      <c r="C1164" s="1" t="n">
        <v>45895</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8755-2022</t>
        </is>
      </c>
      <c r="B1165" s="1" t="n">
        <v>44614</v>
      </c>
      <c r="C1165" s="1" t="n">
        <v>45895</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54771-2023</t>
        </is>
      </c>
      <c r="B1166" s="1" t="n">
        <v>45229</v>
      </c>
      <c r="C1166" s="1" t="n">
        <v>45895</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30747-2024</t>
        </is>
      </c>
      <c r="B1167" s="1" t="n">
        <v>45496</v>
      </c>
      <c r="C1167" s="1" t="n">
        <v>45895</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34031-2025</t>
        </is>
      </c>
      <c r="B1168" s="1" t="n">
        <v>45845.36508101852</v>
      </c>
      <c r="C1168" s="1" t="n">
        <v>45895</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32922-2024</t>
        </is>
      </c>
      <c r="B1169" s="1" t="n">
        <v>45516.95263888889</v>
      </c>
      <c r="C1169" s="1" t="n">
        <v>45895</v>
      </c>
      <c r="D1169" t="inlineStr">
        <is>
          <t>VÄSTERNORRLANDS LÄN</t>
        </is>
      </c>
      <c r="E1169" t="inlineStr">
        <is>
          <t>ÅNGE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38715-2025</t>
        </is>
      </c>
      <c r="B1170" s="1" t="n">
        <v>45886.34501157407</v>
      </c>
      <c r="C1170" s="1" t="n">
        <v>45895</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58929-2024</t>
        </is>
      </c>
      <c r="B1171" s="1" t="n">
        <v>45636.51090277778</v>
      </c>
      <c r="C1171" s="1" t="n">
        <v>45895</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46254-2023</t>
        </is>
      </c>
      <c r="B1172" s="1" t="n">
        <v>45196</v>
      </c>
      <c r="C1172" s="1" t="n">
        <v>45895</v>
      </c>
      <c r="D1172" t="inlineStr">
        <is>
          <t>VÄSTERNORRLANDS LÄN</t>
        </is>
      </c>
      <c r="E1172" t="inlineStr">
        <is>
          <t>ÅNGE</t>
        </is>
      </c>
      <c r="F1172" t="inlineStr">
        <is>
          <t>SCA</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46262-2023</t>
        </is>
      </c>
      <c r="B1173" s="1" t="n">
        <v>45196.93855324074</v>
      </c>
      <c r="C1173" s="1" t="n">
        <v>45895</v>
      </c>
      <c r="D1173" t="inlineStr">
        <is>
          <t>VÄSTERNORRLANDS LÄN</t>
        </is>
      </c>
      <c r="E1173" t="inlineStr">
        <is>
          <t>ÅNGE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35503-2025</t>
        </is>
      </c>
      <c r="B1174" s="1" t="n">
        <v>45856</v>
      </c>
      <c r="C1174" s="1" t="n">
        <v>45895</v>
      </c>
      <c r="D1174" t="inlineStr">
        <is>
          <t>VÄSTERNORRLANDS LÄN</t>
        </is>
      </c>
      <c r="E1174" t="inlineStr">
        <is>
          <t>ÅNGE</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45027-2023</t>
        </is>
      </c>
      <c r="B1175" s="1" t="n">
        <v>45190.96303240741</v>
      </c>
      <c r="C1175" s="1" t="n">
        <v>45895</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21409-2022</t>
        </is>
      </c>
      <c r="B1176" s="1" t="n">
        <v>44705.9406712963</v>
      </c>
      <c r="C1176" s="1" t="n">
        <v>45895</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55380-2024</t>
        </is>
      </c>
      <c r="B1177" s="1" t="n">
        <v>45622.28810185185</v>
      </c>
      <c r="C1177" s="1" t="n">
        <v>45895</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22678-2024</t>
        </is>
      </c>
      <c r="B1178" s="1" t="n">
        <v>45447.94533564815</v>
      </c>
      <c r="C1178" s="1" t="n">
        <v>45895</v>
      </c>
      <c r="D1178" t="inlineStr">
        <is>
          <t>VÄSTERNORRLANDS LÄN</t>
        </is>
      </c>
      <c r="E1178" t="inlineStr">
        <is>
          <t>ÅNGE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36249-2025</t>
        </is>
      </c>
      <c r="B1179" s="1" t="n">
        <v>45867</v>
      </c>
      <c r="C1179" s="1" t="n">
        <v>45895</v>
      </c>
      <c r="D1179" t="inlineStr">
        <is>
          <t>VÄSTERNORRLANDS LÄN</t>
        </is>
      </c>
      <c r="E1179" t="inlineStr">
        <is>
          <t>ÅNGE</t>
        </is>
      </c>
      <c r="F1179" t="inlineStr">
        <is>
          <t>SCA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10084-2023</t>
        </is>
      </c>
      <c r="B1180" s="1" t="n">
        <v>44985.94465277778</v>
      </c>
      <c r="C1180" s="1" t="n">
        <v>45895</v>
      </c>
      <c r="D1180" t="inlineStr">
        <is>
          <t>VÄSTERNORRLANDS LÄN</t>
        </is>
      </c>
      <c r="E1180" t="inlineStr">
        <is>
          <t>ÅNGE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47041-2020</t>
        </is>
      </c>
      <c r="B1181" s="1" t="n">
        <v>44091</v>
      </c>
      <c r="C1181" s="1" t="n">
        <v>45895</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39991-2023</t>
        </is>
      </c>
      <c r="B1182" s="1" t="n">
        <v>45168.6043287037</v>
      </c>
      <c r="C1182" s="1" t="n">
        <v>45895</v>
      </c>
      <c r="D1182" t="inlineStr">
        <is>
          <t>VÄSTERNORRLANDS LÄN</t>
        </is>
      </c>
      <c r="E1182" t="inlineStr">
        <is>
          <t>ÅNGE</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39434-2025</t>
        </is>
      </c>
      <c r="B1183" s="1" t="n">
        <v>45889.67811342593</v>
      </c>
      <c r="C1183" s="1" t="n">
        <v>45895</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15167-2025</t>
        </is>
      </c>
      <c r="B1184" s="1" t="n">
        <v>45744.49009259259</v>
      </c>
      <c r="C1184" s="1" t="n">
        <v>45895</v>
      </c>
      <c r="D1184" t="inlineStr">
        <is>
          <t>VÄSTERNORRLANDS LÄN</t>
        </is>
      </c>
      <c r="E1184" t="inlineStr">
        <is>
          <t>ÅNGE</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30556-2023</t>
        </is>
      </c>
      <c r="B1185" s="1" t="n">
        <v>45111.87935185185</v>
      </c>
      <c r="C1185" s="1" t="n">
        <v>45895</v>
      </c>
      <c r="D1185" t="inlineStr">
        <is>
          <t>VÄSTERNORRLANDS LÄN</t>
        </is>
      </c>
      <c r="E1185" t="inlineStr">
        <is>
          <t>ÅNGE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34785-2025</t>
        </is>
      </c>
      <c r="B1186" s="1" t="n">
        <v>45848.67771990741</v>
      </c>
      <c r="C1186" s="1" t="n">
        <v>45895</v>
      </c>
      <c r="D1186" t="inlineStr">
        <is>
          <t>VÄSTERNORRLANDS LÄN</t>
        </is>
      </c>
      <c r="E1186" t="inlineStr">
        <is>
          <t>ÅNGE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39444-2025</t>
        </is>
      </c>
      <c r="B1187" s="1" t="n">
        <v>45889.69826388889</v>
      </c>
      <c r="C1187" s="1" t="n">
        <v>45895</v>
      </c>
      <c r="D1187" t="inlineStr">
        <is>
          <t>VÄSTERNORRLANDS LÄN</t>
        </is>
      </c>
      <c r="E1187" t="inlineStr">
        <is>
          <t>ÅNGE</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34629-2025</t>
        </is>
      </c>
      <c r="B1188" s="1" t="n">
        <v>45847.93006944445</v>
      </c>
      <c r="C1188" s="1" t="n">
        <v>45895</v>
      </c>
      <c r="D1188" t="inlineStr">
        <is>
          <t>VÄSTERNORRLANDS LÄN</t>
        </is>
      </c>
      <c r="E1188" t="inlineStr">
        <is>
          <t>ÅNGE</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5393-2025</t>
        </is>
      </c>
      <c r="B1189" s="1" t="n">
        <v>45692.63574074074</v>
      </c>
      <c r="C1189" s="1" t="n">
        <v>45895</v>
      </c>
      <c r="D1189" t="inlineStr">
        <is>
          <t>VÄSTERNORRLANDS LÄN</t>
        </is>
      </c>
      <c r="E1189" t="inlineStr">
        <is>
          <t>ÅNGE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34591-2025</t>
        </is>
      </c>
      <c r="B1190" s="1" t="n">
        <v>45847.62920138889</v>
      </c>
      <c r="C1190" s="1" t="n">
        <v>45895</v>
      </c>
      <c r="D1190" t="inlineStr">
        <is>
          <t>VÄSTERNORRLANDS LÄN</t>
        </is>
      </c>
      <c r="E1190" t="inlineStr">
        <is>
          <t>ÅNGE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34593-2025</t>
        </is>
      </c>
      <c r="B1191" s="1" t="n">
        <v>45847.6316087963</v>
      </c>
      <c r="C1191" s="1" t="n">
        <v>45895</v>
      </c>
      <c r="D1191" t="inlineStr">
        <is>
          <t>VÄSTERNORRLANDS LÄN</t>
        </is>
      </c>
      <c r="E1191" t="inlineStr">
        <is>
          <t>ÅNGE</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20338-2025</t>
        </is>
      </c>
      <c r="B1192" s="1" t="n">
        <v>45775</v>
      </c>
      <c r="C1192" s="1" t="n">
        <v>45895</v>
      </c>
      <c r="D1192" t="inlineStr">
        <is>
          <t>VÄSTERNORRLANDS LÄN</t>
        </is>
      </c>
      <c r="E1192" t="inlineStr">
        <is>
          <t>ÅNGE</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34971-2023</t>
        </is>
      </c>
      <c r="B1193" s="1" t="n">
        <v>45142.61635416667</v>
      </c>
      <c r="C1193" s="1" t="n">
        <v>45895</v>
      </c>
      <c r="D1193" t="inlineStr">
        <is>
          <t>VÄSTERNORRLANDS LÄN</t>
        </is>
      </c>
      <c r="E1193" t="inlineStr">
        <is>
          <t>ÅNGE</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36457-2021</t>
        </is>
      </c>
      <c r="B1194" s="1" t="n">
        <v>44390.93858796296</v>
      </c>
      <c r="C1194" s="1" t="n">
        <v>45895</v>
      </c>
      <c r="D1194" t="inlineStr">
        <is>
          <t>VÄSTERNORRLANDS LÄN</t>
        </is>
      </c>
      <c r="E1194" t="inlineStr">
        <is>
          <t>ÅNGE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9480-2022</t>
        </is>
      </c>
      <c r="B1195" s="1" t="n">
        <v>44616</v>
      </c>
      <c r="C1195" s="1" t="n">
        <v>45895</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56699-2023</t>
        </is>
      </c>
      <c r="B1196" s="1" t="n">
        <v>45243</v>
      </c>
      <c r="C1196" s="1" t="n">
        <v>45895</v>
      </c>
      <c r="D1196" t="inlineStr">
        <is>
          <t>VÄSTERNORRLANDS LÄN</t>
        </is>
      </c>
      <c r="E1196" t="inlineStr">
        <is>
          <t>ÅNGE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61928-2021</t>
        </is>
      </c>
      <c r="B1197" s="1" t="n">
        <v>44502.38475694445</v>
      </c>
      <c r="C1197" s="1" t="n">
        <v>45895</v>
      </c>
      <c r="D1197" t="inlineStr">
        <is>
          <t>VÄSTERNORRLANDS LÄN</t>
        </is>
      </c>
      <c r="E1197" t="inlineStr">
        <is>
          <t>ÅNGE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18617-2024</t>
        </is>
      </c>
      <c r="B1198" s="1" t="n">
        <v>45425</v>
      </c>
      <c r="C1198" s="1" t="n">
        <v>45895</v>
      </c>
      <c r="D1198" t="inlineStr">
        <is>
          <t>VÄSTERNORRLANDS LÄN</t>
        </is>
      </c>
      <c r="E1198" t="inlineStr">
        <is>
          <t>ÅNGE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16303-2025</t>
        </is>
      </c>
      <c r="B1199" s="1" t="n">
        <v>45751.3462037037</v>
      </c>
      <c r="C1199" s="1" t="n">
        <v>45895</v>
      </c>
      <c r="D1199" t="inlineStr">
        <is>
          <t>VÄSTERNORRLANDS LÄN</t>
        </is>
      </c>
      <c r="E1199" t="inlineStr">
        <is>
          <t>ÅNGE</t>
        </is>
      </c>
      <c r="F1199" t="inlineStr">
        <is>
          <t>SCA</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37051-2021</t>
        </is>
      </c>
      <c r="B1200" s="1" t="n">
        <v>44393</v>
      </c>
      <c r="C1200" s="1" t="n">
        <v>45895</v>
      </c>
      <c r="D1200" t="inlineStr">
        <is>
          <t>VÄSTERNORRLANDS LÄN</t>
        </is>
      </c>
      <c r="E1200" t="inlineStr">
        <is>
          <t>ÅNGE</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56908-2021</t>
        </is>
      </c>
      <c r="B1201" s="1" t="n">
        <v>44481.93844907408</v>
      </c>
      <c r="C1201" s="1" t="n">
        <v>45895</v>
      </c>
      <c r="D1201" t="inlineStr">
        <is>
          <t>VÄSTERNORRLANDS LÄN</t>
        </is>
      </c>
      <c r="E1201" t="inlineStr">
        <is>
          <t>ÅNGE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732-2023</t>
        </is>
      </c>
      <c r="B1202" s="1" t="n">
        <v>44931.29981481482</v>
      </c>
      <c r="C1202" s="1" t="n">
        <v>45895</v>
      </c>
      <c r="D1202" t="inlineStr">
        <is>
          <t>VÄSTERNORRLANDS LÄN</t>
        </is>
      </c>
      <c r="E1202" t="inlineStr">
        <is>
          <t>ÅNGE</t>
        </is>
      </c>
      <c r="F1202" t="inlineStr">
        <is>
          <t>Sveaskog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5520-2022</t>
        </is>
      </c>
      <c r="B1203" s="1" t="n">
        <v>44595</v>
      </c>
      <c r="C1203" s="1" t="n">
        <v>45895</v>
      </c>
      <c r="D1203" t="inlineStr">
        <is>
          <t>VÄSTERNORRLANDS LÄN</t>
        </is>
      </c>
      <c r="E1203" t="inlineStr">
        <is>
          <t>ÅNGE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36786-2024</t>
        </is>
      </c>
      <c r="B1204" s="1" t="n">
        <v>45538</v>
      </c>
      <c r="C1204" s="1" t="n">
        <v>45895</v>
      </c>
      <c r="D1204" t="inlineStr">
        <is>
          <t>VÄSTERNORRLANDS LÄN</t>
        </is>
      </c>
      <c r="E1204" t="inlineStr">
        <is>
          <t>ÅNGE</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53663-2022</t>
        </is>
      </c>
      <c r="B1205" s="1" t="n">
        <v>44879</v>
      </c>
      <c r="C1205" s="1" t="n">
        <v>45895</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39729-2025</t>
        </is>
      </c>
      <c r="B1206" s="1" t="n">
        <v>45891.34512731482</v>
      </c>
      <c r="C1206" s="1" t="n">
        <v>45895</v>
      </c>
      <c r="D1206" t="inlineStr">
        <is>
          <t>VÄSTERNORRLANDS LÄN</t>
        </is>
      </c>
      <c r="E1206" t="inlineStr">
        <is>
          <t>ÅNGE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49711-2024</t>
        </is>
      </c>
      <c r="B1207" s="1" t="n">
        <v>45596.69891203703</v>
      </c>
      <c r="C1207" s="1" t="n">
        <v>45895</v>
      </c>
      <c r="D1207" t="inlineStr">
        <is>
          <t>VÄSTERNORRLANDS LÄN</t>
        </is>
      </c>
      <c r="E1207" t="inlineStr">
        <is>
          <t>ÅNGE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8868-2023</t>
        </is>
      </c>
      <c r="B1208" s="1" t="n">
        <v>44978</v>
      </c>
      <c r="C1208" s="1" t="n">
        <v>45895</v>
      </c>
      <c r="D1208" t="inlineStr">
        <is>
          <t>VÄSTERNORRLANDS LÄN</t>
        </is>
      </c>
      <c r="E1208" t="inlineStr">
        <is>
          <t>ÅNGE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24293-2023</t>
        </is>
      </c>
      <c r="B1209" s="1" t="n">
        <v>45079.92756944444</v>
      </c>
      <c r="C1209" s="1" t="n">
        <v>45895</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10917-2024</t>
        </is>
      </c>
      <c r="B1210" s="1" t="n">
        <v>45370</v>
      </c>
      <c r="C1210" s="1" t="n">
        <v>45895</v>
      </c>
      <c r="D1210" t="inlineStr">
        <is>
          <t>VÄSTERNORRLANDS LÄN</t>
        </is>
      </c>
      <c r="E1210" t="inlineStr">
        <is>
          <t>ÅNGE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25779-2023</t>
        </is>
      </c>
      <c r="B1211" s="1" t="n">
        <v>45090.47439814815</v>
      </c>
      <c r="C1211" s="1" t="n">
        <v>45895</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9211-2023</t>
        </is>
      </c>
      <c r="B1212" s="1" t="n">
        <v>44980</v>
      </c>
      <c r="C1212" s="1" t="n">
        <v>45895</v>
      </c>
      <c r="D1212" t="inlineStr">
        <is>
          <t>VÄSTERNORRLANDS LÄN</t>
        </is>
      </c>
      <c r="E1212" t="inlineStr">
        <is>
          <t>ÅNGE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8627-2023</t>
        </is>
      </c>
      <c r="B1213" s="1" t="n">
        <v>44977</v>
      </c>
      <c r="C1213" s="1" t="n">
        <v>45895</v>
      </c>
      <c r="D1213" t="inlineStr">
        <is>
          <t>VÄSTERNORRLANDS LÄN</t>
        </is>
      </c>
      <c r="E1213" t="inlineStr">
        <is>
          <t>ÅNGE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27260-2023</t>
        </is>
      </c>
      <c r="B1214" s="1" t="n">
        <v>45092</v>
      </c>
      <c r="C1214" s="1" t="n">
        <v>45895</v>
      </c>
      <c r="D1214" t="inlineStr">
        <is>
          <t>VÄSTERNORRLANDS LÄN</t>
        </is>
      </c>
      <c r="E1214" t="inlineStr">
        <is>
          <t>ÅNGE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16934-2025</t>
        </is>
      </c>
      <c r="B1215" s="1" t="n">
        <v>45755.40671296296</v>
      </c>
      <c r="C1215" s="1" t="n">
        <v>45895</v>
      </c>
      <c r="D1215" t="inlineStr">
        <is>
          <t>VÄSTERNORRLANDS LÄN</t>
        </is>
      </c>
      <c r="E1215" t="inlineStr">
        <is>
          <t>ÅNGE</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43775-2022</t>
        </is>
      </c>
      <c r="B1216" s="1" t="n">
        <v>44837.95053240741</v>
      </c>
      <c r="C1216" s="1" t="n">
        <v>45895</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27306-2024</t>
        </is>
      </c>
      <c r="B1217" s="1" t="n">
        <v>45471.94454861111</v>
      </c>
      <c r="C1217" s="1" t="n">
        <v>45895</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11396-2024</t>
        </is>
      </c>
      <c r="B1218" s="1" t="n">
        <v>45372</v>
      </c>
      <c r="C1218" s="1" t="n">
        <v>45895</v>
      </c>
      <c r="D1218" t="inlineStr">
        <is>
          <t>VÄSTERNORRLANDS LÄN</t>
        </is>
      </c>
      <c r="E1218" t="inlineStr">
        <is>
          <t>ÅNGE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56434-2021</t>
        </is>
      </c>
      <c r="B1219" s="1" t="n">
        <v>44477</v>
      </c>
      <c r="C1219" s="1" t="n">
        <v>45895</v>
      </c>
      <c r="D1219" t="inlineStr">
        <is>
          <t>VÄSTERNORRLANDS LÄN</t>
        </is>
      </c>
      <c r="E1219" t="inlineStr">
        <is>
          <t>ÅNGE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25680-2023</t>
        </is>
      </c>
      <c r="B1220" s="1" t="n">
        <v>45089</v>
      </c>
      <c r="C1220" s="1" t="n">
        <v>45895</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54946-2021</t>
        </is>
      </c>
      <c r="B1221" s="1" t="n">
        <v>44474.46466435185</v>
      </c>
      <c r="C1221" s="1" t="n">
        <v>45895</v>
      </c>
      <c r="D1221" t="inlineStr">
        <is>
          <t>VÄSTERNORRLANDS LÄN</t>
        </is>
      </c>
      <c r="E1221" t="inlineStr">
        <is>
          <t>ÅNGE</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57109-2023</t>
        </is>
      </c>
      <c r="B1222" s="1" t="n">
        <v>45239</v>
      </c>
      <c r="C1222" s="1" t="n">
        <v>45895</v>
      </c>
      <c r="D1222" t="inlineStr">
        <is>
          <t>VÄSTERNORRLANDS LÄN</t>
        </is>
      </c>
      <c r="E1222" t="inlineStr">
        <is>
          <t>ÅNGE</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59818-2024</t>
        </is>
      </c>
      <c r="B1223" s="1" t="n">
        <v>45639.63572916666</v>
      </c>
      <c r="C1223" s="1" t="n">
        <v>45895</v>
      </c>
      <c r="D1223" t="inlineStr">
        <is>
          <t>VÄSTERNORRLANDS LÄN</t>
        </is>
      </c>
      <c r="E1223" t="inlineStr">
        <is>
          <t>ÅNGE</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42346-2023</t>
        </is>
      </c>
      <c r="B1224" s="1" t="n">
        <v>45180</v>
      </c>
      <c r="C1224" s="1" t="n">
        <v>45895</v>
      </c>
      <c r="D1224" t="inlineStr">
        <is>
          <t>VÄSTERNORRLANDS LÄN</t>
        </is>
      </c>
      <c r="E1224" t="inlineStr">
        <is>
          <t>ÅNGE</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35143-2025</t>
        </is>
      </c>
      <c r="B1225" s="1" t="n">
        <v>45852.65660879629</v>
      </c>
      <c r="C1225" s="1" t="n">
        <v>45895</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16563-2025</t>
        </is>
      </c>
      <c r="B1226" s="1" t="n">
        <v>45752.34430555555</v>
      </c>
      <c r="C1226" s="1" t="n">
        <v>45895</v>
      </c>
      <c r="D1226" t="inlineStr">
        <is>
          <t>VÄSTERNORRLANDS LÄN</t>
        </is>
      </c>
      <c r="E1226" t="inlineStr">
        <is>
          <t>ÅNGE</t>
        </is>
      </c>
      <c r="F1226" t="inlineStr">
        <is>
          <t>SCA</t>
        </is>
      </c>
      <c r="G1226" t="n">
        <v>24.7</v>
      </c>
      <c r="H1226" t="n">
        <v>0</v>
      </c>
      <c r="I1226" t="n">
        <v>0</v>
      </c>
      <c r="J1226" t="n">
        <v>0</v>
      </c>
      <c r="K1226" t="n">
        <v>0</v>
      </c>
      <c r="L1226" t="n">
        <v>0</v>
      </c>
      <c r="M1226" t="n">
        <v>0</v>
      </c>
      <c r="N1226" t="n">
        <v>0</v>
      </c>
      <c r="O1226" t="n">
        <v>0</v>
      </c>
      <c r="P1226" t="n">
        <v>0</v>
      </c>
      <c r="Q1226" t="n">
        <v>0</v>
      </c>
      <c r="R1226" s="2" t="inlineStr"/>
    </row>
    <row r="1227" ht="15" customHeight="1">
      <c r="A1227" t="inlineStr">
        <is>
          <t>A 39768-2025</t>
        </is>
      </c>
      <c r="B1227" s="1" t="n">
        <v>45891.44842592593</v>
      </c>
      <c r="C1227" s="1" t="n">
        <v>45895</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35061-2025</t>
        </is>
      </c>
      <c r="B1228" s="1" t="n">
        <v>45852</v>
      </c>
      <c r="C1228" s="1" t="n">
        <v>45895</v>
      </c>
      <c r="D1228" t="inlineStr">
        <is>
          <t>VÄSTERNORRLANDS LÄN</t>
        </is>
      </c>
      <c r="E1228" t="inlineStr">
        <is>
          <t>ÅNGE</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15368-2024</t>
        </is>
      </c>
      <c r="B1229" s="1" t="n">
        <v>45400.92284722222</v>
      </c>
      <c r="C1229" s="1" t="n">
        <v>45895</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1769-2023</t>
        </is>
      </c>
      <c r="B1230" s="1" t="n">
        <v>44938.58025462963</v>
      </c>
      <c r="C1230" s="1" t="n">
        <v>45895</v>
      </c>
      <c r="D1230" t="inlineStr">
        <is>
          <t>VÄSTERNORRLANDS LÄN</t>
        </is>
      </c>
      <c r="E1230" t="inlineStr">
        <is>
          <t>ÅNGE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1775-2023</t>
        </is>
      </c>
      <c r="B1231" s="1" t="n">
        <v>44938</v>
      </c>
      <c r="C1231" s="1" t="n">
        <v>45895</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10878-2024</t>
        </is>
      </c>
      <c r="B1232" s="1" t="n">
        <v>45370</v>
      </c>
      <c r="C1232" s="1" t="n">
        <v>45895</v>
      </c>
      <c r="D1232" t="inlineStr">
        <is>
          <t>VÄSTERNORRLANDS LÄN</t>
        </is>
      </c>
      <c r="E1232" t="inlineStr">
        <is>
          <t>ÅNGE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57636-2022</t>
        </is>
      </c>
      <c r="B1233" s="1" t="n">
        <v>44897</v>
      </c>
      <c r="C1233" s="1" t="n">
        <v>45895</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19066-2024</t>
        </is>
      </c>
      <c r="B1234" s="1" t="n">
        <v>45427</v>
      </c>
      <c r="C1234" s="1" t="n">
        <v>45895</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3629-2023</t>
        </is>
      </c>
      <c r="B1235" s="1" t="n">
        <v>44950</v>
      </c>
      <c r="C1235" s="1" t="n">
        <v>45895</v>
      </c>
      <c r="D1235" t="inlineStr">
        <is>
          <t>VÄSTERNORRLANDS LÄN</t>
        </is>
      </c>
      <c r="E1235" t="inlineStr">
        <is>
          <t>ÅNGE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3631-2023</t>
        </is>
      </c>
      <c r="B1236" s="1" t="n">
        <v>44950</v>
      </c>
      <c r="C1236" s="1" t="n">
        <v>45895</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31177-2024</t>
        </is>
      </c>
      <c r="B1237" s="1" t="n">
        <v>45503</v>
      </c>
      <c r="C1237" s="1" t="n">
        <v>45895</v>
      </c>
      <c r="D1237" t="inlineStr">
        <is>
          <t>VÄSTERNORRLANDS LÄN</t>
        </is>
      </c>
      <c r="E1237" t="inlineStr">
        <is>
          <t>ÅNGE</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50179-2024</t>
        </is>
      </c>
      <c r="B1238" s="1" t="n">
        <v>45600</v>
      </c>
      <c r="C1238" s="1" t="n">
        <v>45895</v>
      </c>
      <c r="D1238" t="inlineStr">
        <is>
          <t>VÄSTERNORRLANDS LÄN</t>
        </is>
      </c>
      <c r="E1238" t="inlineStr">
        <is>
          <t>ÅNGE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2140-2023</t>
        </is>
      </c>
      <c r="B1239" s="1" t="n">
        <v>44940</v>
      </c>
      <c r="C1239" s="1" t="n">
        <v>45895</v>
      </c>
      <c r="D1239" t="inlineStr">
        <is>
          <t>VÄSTERNORRLANDS LÄN</t>
        </is>
      </c>
      <c r="E1239" t="inlineStr">
        <is>
          <t>ÅNGE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30347-2024</t>
        </is>
      </c>
      <c r="B1240" s="1" t="n">
        <v>45490.95515046296</v>
      </c>
      <c r="C1240" s="1" t="n">
        <v>45895</v>
      </c>
      <c r="D1240" t="inlineStr">
        <is>
          <t>VÄSTERNORRLANDS LÄN</t>
        </is>
      </c>
      <c r="E1240" t="inlineStr">
        <is>
          <t>ÅNGE</t>
        </is>
      </c>
      <c r="F1240" t="inlineStr">
        <is>
          <t>SCA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52685-2024</t>
        </is>
      </c>
      <c r="B1241" s="1" t="n">
        <v>45610</v>
      </c>
      <c r="C1241" s="1" t="n">
        <v>45895</v>
      </c>
      <c r="D1241" t="inlineStr">
        <is>
          <t>VÄSTERNORRLANDS LÄN</t>
        </is>
      </c>
      <c r="E1241" t="inlineStr">
        <is>
          <t>ÅNGE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55664-2023</t>
        </is>
      </c>
      <c r="B1242" s="1" t="n">
        <v>45238.96748842593</v>
      </c>
      <c r="C1242" s="1" t="n">
        <v>45895</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58275-2022</t>
        </is>
      </c>
      <c r="B1243" s="1" t="n">
        <v>44901.47865740741</v>
      </c>
      <c r="C1243" s="1" t="n">
        <v>45895</v>
      </c>
      <c r="D1243" t="inlineStr">
        <is>
          <t>VÄSTERNORRLANDS LÄN</t>
        </is>
      </c>
      <c r="E1243" t="inlineStr">
        <is>
          <t>ÅNGE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55177-2024</t>
        </is>
      </c>
      <c r="B1244" s="1" t="n">
        <v>45621.53179398148</v>
      </c>
      <c r="C1244" s="1" t="n">
        <v>45895</v>
      </c>
      <c r="D1244" t="inlineStr">
        <is>
          <t>VÄSTERNORRLANDS LÄN</t>
        </is>
      </c>
      <c r="E1244" t="inlineStr">
        <is>
          <t>ÅNGE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29063-2023</t>
        </is>
      </c>
      <c r="B1245" s="1" t="n">
        <v>45104.94068287037</v>
      </c>
      <c r="C1245" s="1" t="n">
        <v>45895</v>
      </c>
      <c r="D1245" t="inlineStr">
        <is>
          <t>VÄSTERNORRLANDS LÄN</t>
        </is>
      </c>
      <c r="E1245" t="inlineStr">
        <is>
          <t>ÅNGE</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51609-2023</t>
        </is>
      </c>
      <c r="B1246" s="1" t="n">
        <v>45215</v>
      </c>
      <c r="C1246" s="1" t="n">
        <v>45895</v>
      </c>
      <c r="D1246" t="inlineStr">
        <is>
          <t>VÄSTERNORRLANDS LÄN</t>
        </is>
      </c>
      <c r="E1246" t="inlineStr">
        <is>
          <t>ÅNGE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53970-2021</t>
        </is>
      </c>
      <c r="B1247" s="1" t="n">
        <v>44469</v>
      </c>
      <c r="C1247" s="1" t="n">
        <v>45895</v>
      </c>
      <c r="D1247" t="inlineStr">
        <is>
          <t>VÄSTERNORRLANDS LÄN</t>
        </is>
      </c>
      <c r="E1247" t="inlineStr">
        <is>
          <t>ÅNGE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43096-2023</t>
        </is>
      </c>
      <c r="B1248" s="1" t="n">
        <v>45182</v>
      </c>
      <c r="C1248" s="1" t="n">
        <v>45895</v>
      </c>
      <c r="D1248" t="inlineStr">
        <is>
          <t>VÄSTERNORRLANDS LÄN</t>
        </is>
      </c>
      <c r="E1248" t="inlineStr">
        <is>
          <t>ÅNGE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2415-2024</t>
        </is>
      </c>
      <c r="B1249" s="1" t="n">
        <v>45310</v>
      </c>
      <c r="C1249" s="1" t="n">
        <v>45895</v>
      </c>
      <c r="D1249" t="inlineStr">
        <is>
          <t>VÄSTERNORRLANDS LÄN</t>
        </is>
      </c>
      <c r="E1249" t="inlineStr">
        <is>
          <t>ÅNGE</t>
        </is>
      </c>
      <c r="F1249" t="inlineStr">
        <is>
          <t>Kyrkan</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3322-2025</t>
        </is>
      </c>
      <c r="B1250" s="1" t="n">
        <v>45679.6989699074</v>
      </c>
      <c r="C1250" s="1" t="n">
        <v>45895</v>
      </c>
      <c r="D1250" t="inlineStr">
        <is>
          <t>VÄSTERNORRLANDS LÄN</t>
        </is>
      </c>
      <c r="E1250" t="inlineStr">
        <is>
          <t>ÅNGE</t>
        </is>
      </c>
      <c r="F1250" t="inlineStr">
        <is>
          <t>SCA</t>
        </is>
      </c>
      <c r="G1250" t="n">
        <v>11.1</v>
      </c>
      <c r="H1250" t="n">
        <v>0</v>
      </c>
      <c r="I1250" t="n">
        <v>0</v>
      </c>
      <c r="J1250" t="n">
        <v>0</v>
      </c>
      <c r="K1250" t="n">
        <v>0</v>
      </c>
      <c r="L1250" t="n">
        <v>0</v>
      </c>
      <c r="M1250" t="n">
        <v>0</v>
      </c>
      <c r="N1250" t="n">
        <v>0</v>
      </c>
      <c r="O1250" t="n">
        <v>0</v>
      </c>
      <c r="P1250" t="n">
        <v>0</v>
      </c>
      <c r="Q1250" t="n">
        <v>0</v>
      </c>
      <c r="R1250" s="2" t="inlineStr"/>
    </row>
    <row r="1251" ht="15" customHeight="1">
      <c r="A1251" t="inlineStr">
        <is>
          <t>A 3327-2025</t>
        </is>
      </c>
      <c r="B1251" s="1" t="n">
        <v>45679.69967592593</v>
      </c>
      <c r="C1251" s="1" t="n">
        <v>45895</v>
      </c>
      <c r="D1251" t="inlineStr">
        <is>
          <t>VÄSTERNORRLANDS LÄN</t>
        </is>
      </c>
      <c r="E1251" t="inlineStr">
        <is>
          <t>ÅNGE</t>
        </is>
      </c>
      <c r="F1251" t="inlineStr">
        <is>
          <t>SCA</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6686-2024</t>
        </is>
      </c>
      <c r="B1252" s="1" t="n">
        <v>45341</v>
      </c>
      <c r="C1252" s="1" t="n">
        <v>45895</v>
      </c>
      <c r="D1252" t="inlineStr">
        <is>
          <t>VÄSTERNORRLANDS LÄN</t>
        </is>
      </c>
      <c r="E1252" t="inlineStr">
        <is>
          <t>ÅNGE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30682-2024</t>
        </is>
      </c>
      <c r="B1253" s="1" t="n">
        <v>45495.95109953704</v>
      </c>
      <c r="C1253" s="1" t="n">
        <v>45895</v>
      </c>
      <c r="D1253" t="inlineStr">
        <is>
          <t>VÄSTERNORRLANDS LÄN</t>
        </is>
      </c>
      <c r="E1253" t="inlineStr">
        <is>
          <t>ÅNGE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30753-2024</t>
        </is>
      </c>
      <c r="B1254" s="1" t="n">
        <v>45496</v>
      </c>
      <c r="C1254" s="1" t="n">
        <v>45895</v>
      </c>
      <c r="D1254" t="inlineStr">
        <is>
          <t>VÄSTERNORRLANDS LÄN</t>
        </is>
      </c>
      <c r="E1254" t="inlineStr">
        <is>
          <t>ÅNGE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30754-2024</t>
        </is>
      </c>
      <c r="B1255" s="1" t="n">
        <v>45496</v>
      </c>
      <c r="C1255" s="1" t="n">
        <v>45895</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38960-2021</t>
        </is>
      </c>
      <c r="B1256" s="1" t="n">
        <v>44411</v>
      </c>
      <c r="C1256" s="1" t="n">
        <v>45895</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35581-2024</t>
        </is>
      </c>
      <c r="B1257" s="1" t="n">
        <v>45531</v>
      </c>
      <c r="C1257" s="1" t="n">
        <v>45895</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65633-2021</t>
        </is>
      </c>
      <c r="B1258" s="1" t="n">
        <v>44516.56181712963</v>
      </c>
      <c r="C1258" s="1" t="n">
        <v>45895</v>
      </c>
      <c r="D1258" t="inlineStr">
        <is>
          <t>VÄSTERNORRLANDS LÄN</t>
        </is>
      </c>
      <c r="E1258" t="inlineStr">
        <is>
          <t>ÅNGE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15862-2025</t>
        </is>
      </c>
      <c r="B1259" s="1" t="n">
        <v>45749.35247685185</v>
      </c>
      <c r="C1259" s="1" t="n">
        <v>45895</v>
      </c>
      <c r="D1259" t="inlineStr">
        <is>
          <t>VÄSTERNORRLANDS LÄN</t>
        </is>
      </c>
      <c r="E1259" t="inlineStr">
        <is>
          <t>ÅNGE</t>
        </is>
      </c>
      <c r="F1259" t="inlineStr">
        <is>
          <t>SCA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15868-2025</t>
        </is>
      </c>
      <c r="B1260" s="1" t="n">
        <v>45749.36928240741</v>
      </c>
      <c r="C1260" s="1" t="n">
        <v>45895</v>
      </c>
      <c r="D1260" t="inlineStr">
        <is>
          <t>VÄSTERNORRLANDS LÄN</t>
        </is>
      </c>
      <c r="E1260" t="inlineStr">
        <is>
          <t>ÅNGE</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3947-2025</t>
        </is>
      </c>
      <c r="B1261" s="1" t="n">
        <v>45684.49001157407</v>
      </c>
      <c r="C1261" s="1" t="n">
        <v>45895</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15603-2024</t>
        </is>
      </c>
      <c r="B1262" s="1" t="n">
        <v>45401.92501157407</v>
      </c>
      <c r="C1262" s="1" t="n">
        <v>45895</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41507-2024</t>
        </is>
      </c>
      <c r="B1263" s="1" t="n">
        <v>45560</v>
      </c>
      <c r="C1263" s="1" t="n">
        <v>45895</v>
      </c>
      <c r="D1263" t="inlineStr">
        <is>
          <t>VÄSTERNORRLANDS LÄN</t>
        </is>
      </c>
      <c r="E1263" t="inlineStr">
        <is>
          <t>ÅNGE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52804-2024</t>
        </is>
      </c>
      <c r="B1264" s="1" t="n">
        <v>45610.57322916666</v>
      </c>
      <c r="C1264" s="1" t="n">
        <v>45895</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21151-2024</t>
        </is>
      </c>
      <c r="B1265" s="1" t="n">
        <v>45440</v>
      </c>
      <c r="C1265" s="1" t="n">
        <v>45895</v>
      </c>
      <c r="D1265" t="inlineStr">
        <is>
          <t>VÄSTERNORRLANDS LÄN</t>
        </is>
      </c>
      <c r="E1265" t="inlineStr">
        <is>
          <t>ÅNGE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6487-2021</t>
        </is>
      </c>
      <c r="B1266" s="1" t="n">
        <v>44235</v>
      </c>
      <c r="C1266" s="1" t="n">
        <v>45895</v>
      </c>
      <c r="D1266" t="inlineStr">
        <is>
          <t>VÄSTERNORRLANDS LÄN</t>
        </is>
      </c>
      <c r="E1266" t="inlineStr">
        <is>
          <t>ÅNGE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17749-2025</t>
        </is>
      </c>
      <c r="B1267" s="1" t="n">
        <v>45758.48380787037</v>
      </c>
      <c r="C1267" s="1" t="n">
        <v>45895</v>
      </c>
      <c r="D1267" t="inlineStr">
        <is>
          <t>VÄSTERNORRLANDS LÄN</t>
        </is>
      </c>
      <c r="E1267" t="inlineStr">
        <is>
          <t>ÅNGE</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42044-2024</t>
        </is>
      </c>
      <c r="B1268" s="1" t="n">
        <v>45561</v>
      </c>
      <c r="C1268" s="1" t="n">
        <v>45895</v>
      </c>
      <c r="D1268" t="inlineStr">
        <is>
          <t>VÄSTERNORRLANDS LÄN</t>
        </is>
      </c>
      <c r="E1268" t="inlineStr">
        <is>
          <t>ÅNGE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13706-2023</t>
        </is>
      </c>
      <c r="B1269" s="1" t="n">
        <v>45006</v>
      </c>
      <c r="C1269" s="1" t="n">
        <v>45895</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3256-2024</t>
        </is>
      </c>
      <c r="B1270" s="1" t="n">
        <v>45316</v>
      </c>
      <c r="C1270" s="1" t="n">
        <v>45895</v>
      </c>
      <c r="D1270" t="inlineStr">
        <is>
          <t>VÄSTERNORRLANDS LÄN</t>
        </is>
      </c>
      <c r="E1270" t="inlineStr">
        <is>
          <t>ÅNGE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6462-2024</t>
        </is>
      </c>
      <c r="B1271" s="1" t="n">
        <v>45338</v>
      </c>
      <c r="C1271" s="1" t="n">
        <v>45895</v>
      </c>
      <c r="D1271" t="inlineStr">
        <is>
          <t>VÄSTERNORRLANDS LÄN</t>
        </is>
      </c>
      <c r="E1271" t="inlineStr">
        <is>
          <t>ÅNGE</t>
        </is>
      </c>
      <c r="F1271" t="inlineStr">
        <is>
          <t>Kyrkan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2451-2024</t>
        </is>
      </c>
      <c r="B1272" s="1" t="n">
        <v>45312.58627314815</v>
      </c>
      <c r="C1272" s="1" t="n">
        <v>45895</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26490-2024</t>
        </is>
      </c>
      <c r="B1273" s="1" t="n">
        <v>45469</v>
      </c>
      <c r="C1273" s="1" t="n">
        <v>45895</v>
      </c>
      <c r="D1273" t="inlineStr">
        <is>
          <t>VÄSTERNORRLANDS LÄN</t>
        </is>
      </c>
      <c r="E1273" t="inlineStr">
        <is>
          <t>ÅNGE</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14751-2025</t>
        </is>
      </c>
      <c r="B1274" s="1" t="n">
        <v>45742.65863425926</v>
      </c>
      <c r="C1274" s="1" t="n">
        <v>45895</v>
      </c>
      <c r="D1274" t="inlineStr">
        <is>
          <t>VÄSTERNORRLANDS LÄN</t>
        </is>
      </c>
      <c r="E1274" t="inlineStr">
        <is>
          <t>ÅNGE</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10339-2025</t>
        </is>
      </c>
      <c r="B1275" s="1" t="n">
        <v>45720</v>
      </c>
      <c r="C1275" s="1" t="n">
        <v>45895</v>
      </c>
      <c r="D1275" t="inlineStr">
        <is>
          <t>VÄSTERNORRLANDS LÄN</t>
        </is>
      </c>
      <c r="E1275" t="inlineStr">
        <is>
          <t>ÅNGE</t>
        </is>
      </c>
      <c r="F1275" t="inlineStr">
        <is>
          <t>SCA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41083-2024</t>
        </is>
      </c>
      <c r="B1276" s="1" t="n">
        <v>45559.40684027778</v>
      </c>
      <c r="C1276" s="1" t="n">
        <v>45895</v>
      </c>
      <c r="D1276" t="inlineStr">
        <is>
          <t>VÄSTERNORRLANDS LÄN</t>
        </is>
      </c>
      <c r="E1276" t="inlineStr">
        <is>
          <t>ÅNGE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41766-2024</t>
        </is>
      </c>
      <c r="B1277" s="1" t="n">
        <v>45561.34594907407</v>
      </c>
      <c r="C1277" s="1" t="n">
        <v>45895</v>
      </c>
      <c r="D1277" t="inlineStr">
        <is>
          <t>VÄSTERNORRLANDS LÄN</t>
        </is>
      </c>
      <c r="E1277" t="inlineStr">
        <is>
          <t>ÅNGE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18067-2025</t>
        </is>
      </c>
      <c r="B1278" s="1" t="n">
        <v>45761.49016203704</v>
      </c>
      <c r="C1278" s="1" t="n">
        <v>45895</v>
      </c>
      <c r="D1278" t="inlineStr">
        <is>
          <t>VÄSTERNORRLANDS LÄN</t>
        </is>
      </c>
      <c r="E1278" t="inlineStr">
        <is>
          <t>ÅNGE</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33747-2024</t>
        </is>
      </c>
      <c r="B1279" s="1" t="n">
        <v>45520</v>
      </c>
      <c r="C1279" s="1" t="n">
        <v>45895</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34754-2024</t>
        </is>
      </c>
      <c r="B1280" s="1" t="n">
        <v>45526</v>
      </c>
      <c r="C1280" s="1" t="n">
        <v>45895</v>
      </c>
      <c r="D1280" t="inlineStr">
        <is>
          <t>VÄSTERNORRLANDS LÄN</t>
        </is>
      </c>
      <c r="E1280" t="inlineStr">
        <is>
          <t>ÅNGE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51024-2024</t>
        </is>
      </c>
      <c r="B1281" s="1" t="n">
        <v>45603.4141087963</v>
      </c>
      <c r="C1281" s="1" t="n">
        <v>45895</v>
      </c>
      <c r="D1281" t="inlineStr">
        <is>
          <t>VÄSTERNORRLANDS LÄN</t>
        </is>
      </c>
      <c r="E1281" t="inlineStr">
        <is>
          <t>ÅNGE</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22411-2023</t>
        </is>
      </c>
      <c r="B1282" s="1" t="n">
        <v>45070</v>
      </c>
      <c r="C1282" s="1" t="n">
        <v>45895</v>
      </c>
      <c r="D1282" t="inlineStr">
        <is>
          <t>VÄSTERNORRLANDS LÄN</t>
        </is>
      </c>
      <c r="E1282" t="inlineStr">
        <is>
          <t>ÅNGE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5606-2025</t>
        </is>
      </c>
      <c r="B1283" s="1" t="n">
        <v>45693.59403935185</v>
      </c>
      <c r="C1283" s="1" t="n">
        <v>45895</v>
      </c>
      <c r="D1283" t="inlineStr">
        <is>
          <t>VÄSTERNORRLANDS LÄN</t>
        </is>
      </c>
      <c r="E1283" t="inlineStr">
        <is>
          <t>ÅNGE</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4071-2025</t>
        </is>
      </c>
      <c r="B1284" s="1" t="n">
        <v>45684.63579861111</v>
      </c>
      <c r="C1284" s="1" t="n">
        <v>45895</v>
      </c>
      <c r="D1284" t="inlineStr">
        <is>
          <t>VÄSTERNORRLANDS LÄN</t>
        </is>
      </c>
      <c r="E1284" t="inlineStr">
        <is>
          <t>ÅNGE</t>
        </is>
      </c>
      <c r="F1284" t="inlineStr">
        <is>
          <t>SCA</t>
        </is>
      </c>
      <c r="G1284" t="n">
        <v>13.7</v>
      </c>
      <c r="H1284" t="n">
        <v>0</v>
      </c>
      <c r="I1284" t="n">
        <v>0</v>
      </c>
      <c r="J1284" t="n">
        <v>0</v>
      </c>
      <c r="K1284" t="n">
        <v>0</v>
      </c>
      <c r="L1284" t="n">
        <v>0</v>
      </c>
      <c r="M1284" t="n">
        <v>0</v>
      </c>
      <c r="N1284" t="n">
        <v>0</v>
      </c>
      <c r="O1284" t="n">
        <v>0</v>
      </c>
      <c r="P1284" t="n">
        <v>0</v>
      </c>
      <c r="Q1284" t="n">
        <v>0</v>
      </c>
      <c r="R1284" s="2" t="inlineStr"/>
    </row>
    <row r="1285" ht="15" customHeight="1">
      <c r="A1285" t="inlineStr">
        <is>
          <t>A 6619-2025</t>
        </is>
      </c>
      <c r="B1285" s="1" t="n">
        <v>45700.36541666667</v>
      </c>
      <c r="C1285" s="1" t="n">
        <v>45895</v>
      </c>
      <c r="D1285" t="inlineStr">
        <is>
          <t>VÄSTERNORRLANDS LÄN</t>
        </is>
      </c>
      <c r="E1285" t="inlineStr">
        <is>
          <t>ÅNGE</t>
        </is>
      </c>
      <c r="F1285" t="inlineStr">
        <is>
          <t>SCA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53856-2024</t>
        </is>
      </c>
      <c r="B1286" s="1" t="n">
        <v>45615</v>
      </c>
      <c r="C1286" s="1" t="n">
        <v>45895</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53858-2024</t>
        </is>
      </c>
      <c r="B1287" s="1" t="n">
        <v>45615</v>
      </c>
      <c r="C1287" s="1" t="n">
        <v>45895</v>
      </c>
      <c r="D1287" t="inlineStr">
        <is>
          <t>VÄSTERNORRLANDS LÄN</t>
        </is>
      </c>
      <c r="E1287" t="inlineStr">
        <is>
          <t>ÅNGE</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8070-2022</t>
        </is>
      </c>
      <c r="B1288" s="1" t="n">
        <v>44609.48665509259</v>
      </c>
      <c r="C1288" s="1" t="n">
        <v>45895</v>
      </c>
      <c r="D1288" t="inlineStr">
        <is>
          <t>VÄSTERNORRLANDS LÄN</t>
        </is>
      </c>
      <c r="E1288" t="inlineStr">
        <is>
          <t>ÅNGE</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22997-2023</t>
        </is>
      </c>
      <c r="B1289" s="1" t="n">
        <v>45072.94211805556</v>
      </c>
      <c r="C1289" s="1" t="n">
        <v>45895</v>
      </c>
      <c r="D1289" t="inlineStr">
        <is>
          <t>VÄSTERNORRLANDS LÄN</t>
        </is>
      </c>
      <c r="E1289" t="inlineStr">
        <is>
          <t>ÅNGE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14097-2022</t>
        </is>
      </c>
      <c r="B1290" s="1" t="n">
        <v>44651</v>
      </c>
      <c r="C1290" s="1" t="n">
        <v>45895</v>
      </c>
      <c r="D1290" t="inlineStr">
        <is>
          <t>VÄSTERNORRLANDS LÄN</t>
        </is>
      </c>
      <c r="E1290" t="inlineStr">
        <is>
          <t>ÅNGE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29667-2024</t>
        </is>
      </c>
      <c r="B1291" s="1" t="n">
        <v>45484.94041666666</v>
      </c>
      <c r="C1291" s="1" t="n">
        <v>45895</v>
      </c>
      <c r="D1291" t="inlineStr">
        <is>
          <t>VÄSTERNORRLANDS LÄN</t>
        </is>
      </c>
      <c r="E1291" t="inlineStr">
        <is>
          <t>ÅNGE</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39975-2023</t>
        </is>
      </c>
      <c r="B1292" s="1" t="n">
        <v>45168.58844907407</v>
      </c>
      <c r="C1292" s="1" t="n">
        <v>45895</v>
      </c>
      <c r="D1292" t="inlineStr">
        <is>
          <t>VÄSTERNORRLANDS LÄN</t>
        </is>
      </c>
      <c r="E1292" t="inlineStr">
        <is>
          <t>ÅNGE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32776-2022</t>
        </is>
      </c>
      <c r="B1293" s="1" t="n">
        <v>44783.94607638889</v>
      </c>
      <c r="C1293" s="1" t="n">
        <v>45895</v>
      </c>
      <c r="D1293" t="inlineStr">
        <is>
          <t>VÄSTERNORRLANDS LÄN</t>
        </is>
      </c>
      <c r="E1293" t="inlineStr">
        <is>
          <t>ÅNGE</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11032-2025</t>
        </is>
      </c>
      <c r="B1294" s="1" t="n">
        <v>45723.47601851852</v>
      </c>
      <c r="C1294" s="1" t="n">
        <v>45895</v>
      </c>
      <c r="D1294" t="inlineStr">
        <is>
          <t>VÄSTERNORRLANDS LÄN</t>
        </is>
      </c>
      <c r="E1294" t="inlineStr">
        <is>
          <t>ÅNGE</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56874-2024</t>
        </is>
      </c>
      <c r="B1295" s="1" t="n">
        <v>45628</v>
      </c>
      <c r="C1295" s="1" t="n">
        <v>45895</v>
      </c>
      <c r="D1295" t="inlineStr">
        <is>
          <t>VÄSTERNORRLANDS LÄN</t>
        </is>
      </c>
      <c r="E1295" t="inlineStr">
        <is>
          <t>ÅNGE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18081-2025</t>
        </is>
      </c>
      <c r="B1296" s="1" t="n">
        <v>45761.51086805556</v>
      </c>
      <c r="C1296" s="1" t="n">
        <v>45895</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16657-2025</t>
        </is>
      </c>
      <c r="B1297" s="1" t="n">
        <v>45754.40700231482</v>
      </c>
      <c r="C1297" s="1" t="n">
        <v>45895</v>
      </c>
      <c r="D1297" t="inlineStr">
        <is>
          <t>VÄSTERNORRLANDS LÄN</t>
        </is>
      </c>
      <c r="E1297" t="inlineStr">
        <is>
          <t>ÅNGE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6608-2025</t>
        </is>
      </c>
      <c r="B1298" s="1" t="n">
        <v>45700.34415509259</v>
      </c>
      <c r="C1298" s="1" t="n">
        <v>45895</v>
      </c>
      <c r="D1298" t="inlineStr">
        <is>
          <t>VÄSTERNORRLANDS LÄN</t>
        </is>
      </c>
      <c r="E1298" t="inlineStr">
        <is>
          <t>ÅNGE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51871-2024</t>
        </is>
      </c>
      <c r="B1299" s="1" t="n">
        <v>45607</v>
      </c>
      <c r="C1299" s="1" t="n">
        <v>45895</v>
      </c>
      <c r="D1299" t="inlineStr">
        <is>
          <t>VÄSTERNORRLANDS LÄN</t>
        </is>
      </c>
      <c r="E1299" t="inlineStr">
        <is>
          <t>ÅNGE</t>
        </is>
      </c>
      <c r="F1299" t="inlineStr">
        <is>
          <t>SCA</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19065-2025</t>
        </is>
      </c>
      <c r="B1300" s="1" t="n">
        <v>45765</v>
      </c>
      <c r="C1300" s="1" t="n">
        <v>45895</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36290-2023</t>
        </is>
      </c>
      <c r="B1301" s="1" t="n">
        <v>45152.35467592593</v>
      </c>
      <c r="C1301" s="1" t="n">
        <v>45895</v>
      </c>
      <c r="D1301" t="inlineStr">
        <is>
          <t>VÄSTERNORRLANDS LÄN</t>
        </is>
      </c>
      <c r="E1301" t="inlineStr">
        <is>
          <t>ÅNGE</t>
        </is>
      </c>
      <c r="F1301" t="inlineStr">
        <is>
          <t>Övriga Aktiebolag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48369-2024</t>
        </is>
      </c>
      <c r="B1302" s="1" t="n">
        <v>45590.57960648148</v>
      </c>
      <c r="C1302" s="1" t="n">
        <v>45895</v>
      </c>
      <c r="D1302" t="inlineStr">
        <is>
          <t>VÄSTERNORRLANDS LÄN</t>
        </is>
      </c>
      <c r="E1302" t="inlineStr">
        <is>
          <t>ÅNGE</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1714-2025</t>
        </is>
      </c>
      <c r="B1303" s="1" t="n">
        <v>45671.32474537037</v>
      </c>
      <c r="C1303" s="1" t="n">
        <v>45895</v>
      </c>
      <c r="D1303" t="inlineStr">
        <is>
          <t>VÄSTERNORRLANDS LÄN</t>
        </is>
      </c>
      <c r="E1303" t="inlineStr">
        <is>
          <t>ÅNGE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11529-2023</t>
        </is>
      </c>
      <c r="B1304" s="1" t="n">
        <v>44993</v>
      </c>
      <c r="C1304" s="1" t="n">
        <v>45895</v>
      </c>
      <c r="D1304" t="inlineStr">
        <is>
          <t>VÄSTERNORRLANDS LÄN</t>
        </is>
      </c>
      <c r="E1304" t="inlineStr">
        <is>
          <t>ÅNGE</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31182-2024</t>
        </is>
      </c>
      <c r="B1305" s="1" t="n">
        <v>45503</v>
      </c>
      <c r="C1305" s="1" t="n">
        <v>45895</v>
      </c>
      <c r="D1305" t="inlineStr">
        <is>
          <t>VÄSTERNORRLANDS LÄN</t>
        </is>
      </c>
      <c r="E1305" t="inlineStr">
        <is>
          <t>ÅNGE</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41758-2024</t>
        </is>
      </c>
      <c r="B1306" s="1" t="n">
        <v>45561.34478009259</v>
      </c>
      <c r="C1306" s="1" t="n">
        <v>45895</v>
      </c>
      <c r="D1306" t="inlineStr">
        <is>
          <t>VÄSTERNORRLANDS LÄN</t>
        </is>
      </c>
      <c r="E1306" t="inlineStr">
        <is>
          <t>ÅNGE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5433-2024</t>
        </is>
      </c>
      <c r="B1307" s="1" t="n">
        <v>45331</v>
      </c>
      <c r="C1307" s="1" t="n">
        <v>45895</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19926-2025</t>
        </is>
      </c>
      <c r="B1308" s="1" t="n">
        <v>45771.6357175926</v>
      </c>
      <c r="C1308" s="1" t="n">
        <v>45895</v>
      </c>
      <c r="D1308" t="inlineStr">
        <is>
          <t>VÄSTERNORRLANDS LÄN</t>
        </is>
      </c>
      <c r="E1308" t="inlineStr">
        <is>
          <t>ÅNGE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51055-2023</t>
        </is>
      </c>
      <c r="B1309" s="1" t="n">
        <v>45218</v>
      </c>
      <c r="C1309" s="1" t="n">
        <v>45895</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6684-2024</t>
        </is>
      </c>
      <c r="B1310" s="1" t="n">
        <v>45341.92555555556</v>
      </c>
      <c r="C1310" s="1" t="n">
        <v>45895</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113-2025</t>
        </is>
      </c>
      <c r="B1311" s="1" t="n">
        <v>45659.5106712963</v>
      </c>
      <c r="C1311" s="1" t="n">
        <v>45895</v>
      </c>
      <c r="D1311" t="inlineStr">
        <is>
          <t>VÄSTERNORRLANDS LÄN</t>
        </is>
      </c>
      <c r="E1311" t="inlineStr">
        <is>
          <t>ÅNGE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1403-2025</t>
        </is>
      </c>
      <c r="B1312" s="1" t="n">
        <v>45667.70548611111</v>
      </c>
      <c r="C1312" s="1" t="n">
        <v>45895</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39619-2024</t>
        </is>
      </c>
      <c r="B1313" s="1" t="n">
        <v>45552</v>
      </c>
      <c r="C1313" s="1" t="n">
        <v>45895</v>
      </c>
      <c r="D1313" t="inlineStr">
        <is>
          <t>VÄSTERNORRLANDS LÄN</t>
        </is>
      </c>
      <c r="E1313" t="inlineStr">
        <is>
          <t>ÅNGE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58774-2023</t>
        </is>
      </c>
      <c r="B1314" s="1" t="n">
        <v>45251</v>
      </c>
      <c r="C1314" s="1" t="n">
        <v>45895</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4359-2025</t>
        </is>
      </c>
      <c r="B1315" s="1" t="n">
        <v>45686.33072916666</v>
      </c>
      <c r="C1315" s="1" t="n">
        <v>45895</v>
      </c>
      <c r="D1315" t="inlineStr">
        <is>
          <t>VÄSTERNORRLANDS LÄN</t>
        </is>
      </c>
      <c r="E1315" t="inlineStr">
        <is>
          <t>ÅNGE</t>
        </is>
      </c>
      <c r="F1315" t="inlineStr">
        <is>
          <t>Holmen skog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11399-2025</t>
        </is>
      </c>
      <c r="B1316" s="1" t="n">
        <v>45726.57364583333</v>
      </c>
      <c r="C1316" s="1" t="n">
        <v>45895</v>
      </c>
      <c r="D1316" t="inlineStr">
        <is>
          <t>VÄSTERNORRLANDS LÄN</t>
        </is>
      </c>
      <c r="E1316" t="inlineStr">
        <is>
          <t>ÅNGE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15822-2025</t>
        </is>
      </c>
      <c r="B1317" s="1" t="n">
        <v>45748.70172453704</v>
      </c>
      <c r="C1317" s="1" t="n">
        <v>45895</v>
      </c>
      <c r="D1317" t="inlineStr">
        <is>
          <t>VÄSTERNORRLANDS LÄN</t>
        </is>
      </c>
      <c r="E1317" t="inlineStr">
        <is>
          <t>ÅNGE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57591-2022</t>
        </is>
      </c>
      <c r="B1318" s="1" t="n">
        <v>44896.97834490741</v>
      </c>
      <c r="C1318" s="1" t="n">
        <v>45895</v>
      </c>
      <c r="D1318" t="inlineStr">
        <is>
          <t>VÄSTERNORRLANDS LÄN</t>
        </is>
      </c>
      <c r="E1318" t="inlineStr">
        <is>
          <t>ÅNGE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17044-2023</t>
        </is>
      </c>
      <c r="B1319" s="1" t="n">
        <v>45034</v>
      </c>
      <c r="C1319" s="1" t="n">
        <v>45895</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60812-2024</t>
        </is>
      </c>
      <c r="B1320" s="1" t="n">
        <v>45644</v>
      </c>
      <c r="C1320" s="1" t="n">
        <v>45895</v>
      </c>
      <c r="D1320" t="inlineStr">
        <is>
          <t>VÄSTERNORRLANDS LÄN</t>
        </is>
      </c>
      <c r="E1320" t="inlineStr">
        <is>
          <t>ÅNGE</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58943-2022</t>
        </is>
      </c>
      <c r="B1321" s="1" t="n">
        <v>44903.64400462963</v>
      </c>
      <c r="C1321" s="1" t="n">
        <v>45895</v>
      </c>
      <c r="D1321" t="inlineStr">
        <is>
          <t>VÄSTERNORRLANDS LÄN</t>
        </is>
      </c>
      <c r="E1321" t="inlineStr">
        <is>
          <t>ÅNGE</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1103-2023</t>
        </is>
      </c>
      <c r="B1322" s="1" t="n">
        <v>44929</v>
      </c>
      <c r="C1322" s="1" t="n">
        <v>45895</v>
      </c>
      <c r="D1322" t="inlineStr">
        <is>
          <t>VÄSTERNORRLANDS LÄN</t>
        </is>
      </c>
      <c r="E1322" t="inlineStr">
        <is>
          <t>ÅNGE</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57526-2024</t>
        </is>
      </c>
      <c r="B1323" s="1" t="n">
        <v>45630</v>
      </c>
      <c r="C1323" s="1" t="n">
        <v>45895</v>
      </c>
      <c r="D1323" t="inlineStr">
        <is>
          <t>VÄSTERNORRLANDS LÄN</t>
        </is>
      </c>
      <c r="E1323" t="inlineStr">
        <is>
          <t>ÅNGE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18456-2024</t>
        </is>
      </c>
      <c r="B1324" s="1" t="n">
        <v>45425.46831018518</v>
      </c>
      <c r="C1324" s="1" t="n">
        <v>45895</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44180-2023</t>
        </is>
      </c>
      <c r="B1325" s="1" t="n">
        <v>45183</v>
      </c>
      <c r="C1325" s="1" t="n">
        <v>45895</v>
      </c>
      <c r="D1325" t="inlineStr">
        <is>
          <t>VÄSTERNORRLANDS LÄN</t>
        </is>
      </c>
      <c r="E1325" t="inlineStr">
        <is>
          <t>ÅNGE</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5197-2025</t>
        </is>
      </c>
      <c r="B1326" s="1" t="n">
        <v>45691.65701388889</v>
      </c>
      <c r="C1326" s="1" t="n">
        <v>45895</v>
      </c>
      <c r="D1326" t="inlineStr">
        <is>
          <t>VÄSTERNORRLANDS LÄN</t>
        </is>
      </c>
      <c r="E1326" t="inlineStr">
        <is>
          <t>ÅNGE</t>
        </is>
      </c>
      <c r="F1326" t="inlineStr">
        <is>
          <t>SCA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5246-2025</t>
        </is>
      </c>
      <c r="B1327" s="1" t="n">
        <v>45692.34427083333</v>
      </c>
      <c r="C1327" s="1" t="n">
        <v>45895</v>
      </c>
      <c r="D1327" t="inlineStr">
        <is>
          <t>VÄSTERNORRLANDS LÄN</t>
        </is>
      </c>
      <c r="E1327" t="inlineStr">
        <is>
          <t>ÅNGE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41829-2021</t>
        </is>
      </c>
      <c r="B1328" s="1" t="n">
        <v>44425.92202546296</v>
      </c>
      <c r="C1328" s="1" t="n">
        <v>45895</v>
      </c>
      <c r="D1328" t="inlineStr">
        <is>
          <t>VÄSTERNORRLANDS LÄN</t>
        </is>
      </c>
      <c r="E1328" t="inlineStr">
        <is>
          <t>ÅNGE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50612-2024</t>
        </is>
      </c>
      <c r="B1329" s="1" t="n">
        <v>45601</v>
      </c>
      <c r="C1329" s="1" t="n">
        <v>45895</v>
      </c>
      <c r="D1329" t="inlineStr">
        <is>
          <t>VÄSTERNORRLANDS LÄN</t>
        </is>
      </c>
      <c r="E1329" t="inlineStr">
        <is>
          <t>ÅNGE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13491-2023</t>
        </is>
      </c>
      <c r="B1330" s="1" t="n">
        <v>45005.93929398148</v>
      </c>
      <c r="C1330" s="1" t="n">
        <v>45895</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47243-2024</t>
        </is>
      </c>
      <c r="B1331" s="1" t="n">
        <v>45586.6987962963</v>
      </c>
      <c r="C1331" s="1" t="n">
        <v>45895</v>
      </c>
      <c r="D1331" t="inlineStr">
        <is>
          <t>VÄSTERNORRLANDS LÄN</t>
        </is>
      </c>
      <c r="E1331" t="inlineStr">
        <is>
          <t>ÅNGE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37540-2024</t>
        </is>
      </c>
      <c r="B1332" s="1" t="n">
        <v>45541.42111111111</v>
      </c>
      <c r="C1332" s="1" t="n">
        <v>45895</v>
      </c>
      <c r="D1332" t="inlineStr">
        <is>
          <t>VÄSTERNORRLANDS LÄN</t>
        </is>
      </c>
      <c r="E1332" t="inlineStr">
        <is>
          <t>ÅNGE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42948-2024</t>
        </is>
      </c>
      <c r="B1333" s="1" t="n">
        <v>45567.36628472222</v>
      </c>
      <c r="C1333" s="1" t="n">
        <v>45895</v>
      </c>
      <c r="D1333" t="inlineStr">
        <is>
          <t>VÄSTERNORRLANDS LÄN</t>
        </is>
      </c>
      <c r="E1333" t="inlineStr">
        <is>
          <t>ÅNGE</t>
        </is>
      </c>
      <c r="F1333" t="inlineStr">
        <is>
          <t>SCA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54585-2024</t>
        </is>
      </c>
      <c r="B1334" s="1" t="n">
        <v>45617.65762731482</v>
      </c>
      <c r="C1334" s="1" t="n">
        <v>45895</v>
      </c>
      <c r="D1334" t="inlineStr">
        <is>
          <t>VÄSTERNORRLANDS LÄN</t>
        </is>
      </c>
      <c r="E1334" t="inlineStr">
        <is>
          <t>ÅNGE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15404-2025</t>
        </is>
      </c>
      <c r="B1335" s="1" t="n">
        <v>45747.44665509259</v>
      </c>
      <c r="C1335" s="1" t="n">
        <v>45895</v>
      </c>
      <c r="D1335" t="inlineStr">
        <is>
          <t>VÄSTERNORRLANDS LÄN</t>
        </is>
      </c>
      <c r="E1335" t="inlineStr">
        <is>
          <t>ÅNGE</t>
        </is>
      </c>
      <c r="G1335" t="n">
        <v>11.8</v>
      </c>
      <c r="H1335" t="n">
        <v>0</v>
      </c>
      <c r="I1335" t="n">
        <v>0</v>
      </c>
      <c r="J1335" t="n">
        <v>0</v>
      </c>
      <c r="K1335" t="n">
        <v>0</v>
      </c>
      <c r="L1335" t="n">
        <v>0</v>
      </c>
      <c r="M1335" t="n">
        <v>0</v>
      </c>
      <c r="N1335" t="n">
        <v>0</v>
      </c>
      <c r="O1335" t="n">
        <v>0</v>
      </c>
      <c r="P1335" t="n">
        <v>0</v>
      </c>
      <c r="Q1335" t="n">
        <v>0</v>
      </c>
      <c r="R1335" s="2" t="inlineStr"/>
    </row>
    <row r="1336">
      <c r="A1336" t="inlineStr">
        <is>
          <t>A 17703-2025</t>
        </is>
      </c>
      <c r="B1336" s="1" t="n">
        <v>45758.4275462963</v>
      </c>
      <c r="C1336" s="1" t="n">
        <v>45895</v>
      </c>
      <c r="D1336" t="inlineStr">
        <is>
          <t>VÄSTERNORRLANDS LÄN</t>
        </is>
      </c>
      <c r="E1336" t="inlineStr">
        <is>
          <t>ÅNGE</t>
        </is>
      </c>
      <c r="G1336" t="n">
        <v>2.5</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2025-08-26T08:35:51Z</dcterms:created>
  <dcterms:modified xmlns:dcterms="http://purl.org/dc/terms/" xmlns:xsi="http://www.w3.org/2001/XMLSchema-instance" xsi:type="dcterms:W3CDTF">2025-08-26T08:35:52Z</dcterms:modified>
</cp:coreProperties>
</file>