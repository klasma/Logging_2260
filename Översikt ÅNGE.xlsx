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45966</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45966</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45966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45966</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45966</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26959-2024</t>
        </is>
      </c>
      <c r="B18" s="1" t="n">
        <v>45470</v>
      </c>
      <c r="C18" s="1" t="n">
        <v>45966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45966</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20269-2024</t>
        </is>
      </c>
      <c r="B20" s="1" t="n">
        <v>45434</v>
      </c>
      <c r="C20" s="1" t="n">
        <v>45966</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45833-2025</t>
        </is>
      </c>
      <c r="B21" s="1" t="n">
        <v>45923</v>
      </c>
      <c r="C21" s="1" t="n">
        <v>45966</v>
      </c>
      <c r="D21" t="inlineStr">
        <is>
          <t>VÄSTERNORRLANDS LÄN</t>
        </is>
      </c>
      <c r="E21" t="inlineStr">
        <is>
          <t>ÅNGE</t>
        </is>
      </c>
      <c r="G21" t="n">
        <v>8.1</v>
      </c>
      <c r="H21" t="n">
        <v>5</v>
      </c>
      <c r="I21" t="n">
        <v>4</v>
      </c>
      <c r="J21" t="n">
        <v>8</v>
      </c>
      <c r="K21" t="n">
        <v>3</v>
      </c>
      <c r="L21" t="n">
        <v>0</v>
      </c>
      <c r="M21" t="n">
        <v>0</v>
      </c>
      <c r="N21" t="n">
        <v>0</v>
      </c>
      <c r="O21" t="n">
        <v>11</v>
      </c>
      <c r="P21" t="n">
        <v>3</v>
      </c>
      <c r="Q21" t="n">
        <v>16</v>
      </c>
      <c r="R21" s="2" t="inlineStr">
        <is>
          <t>Knärot
Lappticka
Rynkskinn
Doftskinn
Garnlav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50331-2022</t>
        </is>
      </c>
      <c r="B22" s="1" t="n">
        <v>44865</v>
      </c>
      <c r="C22" s="1" t="n">
        <v>45966</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45966</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45966</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49184-2022</t>
        </is>
      </c>
      <c r="B25" s="1" t="n">
        <v>44860</v>
      </c>
      <c r="C25" s="1" t="n">
        <v>45966</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45966</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45966</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46163-2025</t>
        </is>
      </c>
      <c r="B28" s="1" t="n">
        <v>45924</v>
      </c>
      <c r="C28" s="1" t="n">
        <v>45966</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64520-2023</t>
        </is>
      </c>
      <c r="B29" s="1" t="n">
        <v>45281</v>
      </c>
      <c r="C29" s="1" t="n">
        <v>45966</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45966</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45966</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45966</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45966</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45966</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11894-2022</t>
        </is>
      </c>
      <c r="B36" s="1" t="n">
        <v>44635</v>
      </c>
      <c r="C36" s="1" t="n">
        <v>45966</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41874-2025</t>
        </is>
      </c>
      <c r="B37" s="1" t="n">
        <v>45903.3452662037</v>
      </c>
      <c r="C37" s="1" t="n">
        <v>45966</v>
      </c>
      <c r="D37" t="inlineStr">
        <is>
          <t>VÄSTERNORRLANDS LÄN</t>
        </is>
      </c>
      <c r="E37" t="inlineStr">
        <is>
          <t>ÅNGE</t>
        </is>
      </c>
      <c r="F37" t="inlineStr">
        <is>
          <t>SCA</t>
        </is>
      </c>
      <c r="G37" t="n">
        <v>5.7</v>
      </c>
      <c r="H37" t="n">
        <v>4</v>
      </c>
      <c r="I37" t="n">
        <v>5</v>
      </c>
      <c r="J37" t="n">
        <v>4</v>
      </c>
      <c r="K37" t="n">
        <v>0</v>
      </c>
      <c r="L37" t="n">
        <v>0</v>
      </c>
      <c r="M37" t="n">
        <v>0</v>
      </c>
      <c r="N37" t="n">
        <v>0</v>
      </c>
      <c r="O37" t="n">
        <v>4</v>
      </c>
      <c r="P37" t="n">
        <v>0</v>
      </c>
      <c r="Q37" t="n">
        <v>11</v>
      </c>
      <c r="R37" s="2" t="inlineStr">
        <is>
          <t>Garnlav
Granticka
Lunglav
Ullticka
Korallrot
Spindelblomster
Stuplav
Vedticka
Ögonpyrola
Fläcknycklar
Revlummer</t>
        </is>
      </c>
      <c r="S37">
        <f>HYPERLINK("https://klasma.github.io/Logging_2260/artfynd/A 41874-2025 artfynd.xlsx", "A 41874-2025")</f>
        <v/>
      </c>
      <c r="T37">
        <f>HYPERLINK("https://klasma.github.io/Logging_2260/kartor/A 41874-2025 karta.png", "A 41874-2025")</f>
        <v/>
      </c>
      <c r="V37">
        <f>HYPERLINK("https://klasma.github.io/Logging_2260/klagomål/A 41874-2025 FSC-klagomål.docx", "A 41874-2025")</f>
        <v/>
      </c>
      <c r="W37">
        <f>HYPERLINK("https://klasma.github.io/Logging_2260/klagomålsmail/A 41874-2025 FSC-klagomål mail.docx", "A 41874-2025")</f>
        <v/>
      </c>
      <c r="X37">
        <f>HYPERLINK("https://klasma.github.io/Logging_2260/tillsyn/A 41874-2025 tillsynsbegäran.docx", "A 41874-2025")</f>
        <v/>
      </c>
      <c r="Y37">
        <f>HYPERLINK("https://klasma.github.io/Logging_2260/tillsynsmail/A 41874-2025 tillsynsbegäran mail.docx", "A 41874-2025")</f>
        <v/>
      </c>
    </row>
    <row r="38" ht="15" customHeight="1">
      <c r="A38" t="inlineStr">
        <is>
          <t>A 48738-2024</t>
        </is>
      </c>
      <c r="B38" s="1" t="n">
        <v>45593</v>
      </c>
      <c r="C38" s="1" t="n">
        <v>45966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14887-2022</t>
        </is>
      </c>
      <c r="B39" s="1" t="n">
        <v>44656</v>
      </c>
      <c r="C39" s="1" t="n">
        <v>45966</v>
      </c>
      <c r="D39" t="inlineStr">
        <is>
          <t>VÄSTERNORRLANDS LÄN</t>
        </is>
      </c>
      <c r="E39" t="inlineStr">
        <is>
          <t>ÅNGE</t>
        </is>
      </c>
      <c r="G39" t="n">
        <v>6.8</v>
      </c>
      <c r="H39" t="n">
        <v>1</v>
      </c>
      <c r="I39" t="n">
        <v>2</v>
      </c>
      <c r="J39" t="n">
        <v>7</v>
      </c>
      <c r="K39" t="n">
        <v>2</v>
      </c>
      <c r="L39" t="n">
        <v>0</v>
      </c>
      <c r="M39" t="n">
        <v>0</v>
      </c>
      <c r="N39" t="n">
        <v>0</v>
      </c>
      <c r="O39" t="n">
        <v>9</v>
      </c>
      <c r="P39" t="n">
        <v>2</v>
      </c>
      <c r="Q39" t="n">
        <v>11</v>
      </c>
      <c r="R39" s="2" t="inlineStr">
        <is>
          <t>Bitter taggsvamp
Knärot
Garnlav
Gultoppig fingersvamp
Lunglav
Rosenticka
Svartvit taggsvamp
Ullticka
Äggvaxskivling
Dropptaggsvamp
Skarp dropptaggsvamp</t>
        </is>
      </c>
      <c r="S39">
        <f>HYPERLINK("https://klasma.github.io/Logging_2260/artfynd/A 14887-2022 artfynd.xlsx", "A 14887-2022")</f>
        <v/>
      </c>
      <c r="T39">
        <f>HYPERLINK("https://klasma.github.io/Logging_2260/kartor/A 14887-2022 karta.png", "A 14887-2022")</f>
        <v/>
      </c>
      <c r="U39">
        <f>HYPERLINK("https://klasma.github.io/Logging_2260/knärot/A 14887-2022 karta knärot.png", "A 14887-2022")</f>
        <v/>
      </c>
      <c r="V39">
        <f>HYPERLINK("https://klasma.github.io/Logging_2260/klagomål/A 14887-2022 FSC-klagomål.docx", "A 14887-2022")</f>
        <v/>
      </c>
      <c r="W39">
        <f>HYPERLINK("https://klasma.github.io/Logging_2260/klagomålsmail/A 14887-2022 FSC-klagomål mail.docx", "A 14887-2022")</f>
        <v/>
      </c>
      <c r="X39">
        <f>HYPERLINK("https://klasma.github.io/Logging_2260/tillsyn/A 14887-2022 tillsynsbegäran.docx", "A 14887-2022")</f>
        <v/>
      </c>
      <c r="Y39">
        <f>HYPERLINK("https://klasma.github.io/Logging_2260/tillsynsmail/A 14887-2022 tillsynsbegäran mail.docx", "A 14887-2022")</f>
        <v/>
      </c>
    </row>
    <row r="40" ht="15" customHeight="1">
      <c r="A40" t="inlineStr">
        <is>
          <t>A 33783-2025</t>
        </is>
      </c>
      <c r="B40" s="1" t="n">
        <v>45842.40699074074</v>
      </c>
      <c r="C40" s="1" t="n">
        <v>45966</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26361-2023</t>
        </is>
      </c>
      <c r="B41" s="1" t="n">
        <v>45091</v>
      </c>
      <c r="C41" s="1" t="n">
        <v>45966</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39496-2024</t>
        </is>
      </c>
      <c r="B42" s="1" t="n">
        <v>45551</v>
      </c>
      <c r="C42" s="1" t="n">
        <v>45966</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30474-2025</t>
        </is>
      </c>
      <c r="B43" s="1" t="n">
        <v>45828.34430555555</v>
      </c>
      <c r="C43" s="1" t="n">
        <v>45966</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30840-2023</t>
        </is>
      </c>
      <c r="B44" s="1" t="n">
        <v>45112</v>
      </c>
      <c r="C44" s="1" t="n">
        <v>45966</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25323-2023</t>
        </is>
      </c>
      <c r="B45" s="1" t="n">
        <v>45086</v>
      </c>
      <c r="C45" s="1" t="n">
        <v>45966</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44607-2021</t>
        </is>
      </c>
      <c r="B46" s="1" t="n">
        <v>44435</v>
      </c>
      <c r="C46" s="1" t="n">
        <v>45966</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45966</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34786-2021</t>
        </is>
      </c>
      <c r="B48" s="1" t="n">
        <v>44382</v>
      </c>
      <c r="C48" s="1" t="n">
        <v>45966</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45966</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42962-2024</t>
        </is>
      </c>
      <c r="B50" s="1" t="n">
        <v>45567.37194444444</v>
      </c>
      <c r="C50" s="1" t="n">
        <v>45966</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45966</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20694-2022</t>
        </is>
      </c>
      <c r="B52" s="1" t="n">
        <v>44700</v>
      </c>
      <c r="C52" s="1" t="n">
        <v>45966</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39065-2023</t>
        </is>
      </c>
      <c r="B53" s="1" t="n">
        <v>45163</v>
      </c>
      <c r="C53" s="1" t="n">
        <v>45966</v>
      </c>
      <c r="D53" t="inlineStr">
        <is>
          <t>VÄSTERNORRLANDS LÄN</t>
        </is>
      </c>
      <c r="E53" t="inlineStr">
        <is>
          <t>ÅNGE</t>
        </is>
      </c>
      <c r="F53" t="inlineStr">
        <is>
          <t>SCA</t>
        </is>
      </c>
      <c r="G53" t="n">
        <v>3.1</v>
      </c>
      <c r="H53" t="n">
        <v>2</v>
      </c>
      <c r="I53" t="n">
        <v>3</v>
      </c>
      <c r="J53" t="n">
        <v>3</v>
      </c>
      <c r="K53" t="n">
        <v>2</v>
      </c>
      <c r="L53" t="n">
        <v>0</v>
      </c>
      <c r="M53" t="n">
        <v>0</v>
      </c>
      <c r="N53" t="n">
        <v>0</v>
      </c>
      <c r="O53" t="n">
        <v>5</v>
      </c>
      <c r="P53" t="n">
        <v>2</v>
      </c>
      <c r="Q53" t="n">
        <v>8</v>
      </c>
      <c r="R53" s="2" t="inlineStr">
        <is>
          <t>Doftticka
Knärot
Koralltaggsvamp
Lunglav
Skrovellav
Bårdlav
Korallblylav
Stor aspticka</t>
        </is>
      </c>
      <c r="S53">
        <f>HYPERLINK("https://klasma.github.io/Logging_2260/artfynd/A 39065-2023 artfynd.xlsx", "A 39065-2023")</f>
        <v/>
      </c>
      <c r="T53">
        <f>HYPERLINK("https://klasma.github.io/Logging_2260/kartor/A 39065-2023 karta.png", "A 39065-2023")</f>
        <v/>
      </c>
      <c r="U53">
        <f>HYPERLINK("https://klasma.github.io/Logging_2260/knärot/A 39065-2023 karta knärot.png", "A 39065-2023")</f>
        <v/>
      </c>
      <c r="V53">
        <f>HYPERLINK("https://klasma.github.io/Logging_2260/klagomål/A 39065-2023 FSC-klagomål.docx", "A 39065-2023")</f>
        <v/>
      </c>
      <c r="W53">
        <f>HYPERLINK("https://klasma.github.io/Logging_2260/klagomålsmail/A 39065-2023 FSC-klagomål mail.docx", "A 39065-2023")</f>
        <v/>
      </c>
      <c r="X53">
        <f>HYPERLINK("https://klasma.github.io/Logging_2260/tillsyn/A 39065-2023 tillsynsbegäran.docx", "A 39065-2023")</f>
        <v/>
      </c>
      <c r="Y53">
        <f>HYPERLINK("https://klasma.github.io/Logging_2260/tillsynsmail/A 39065-2023 tillsynsbegäran mail.docx", "A 39065-2023")</f>
        <v/>
      </c>
    </row>
    <row r="54" ht="15" customHeight="1">
      <c r="A54" t="inlineStr">
        <is>
          <t>A 26957-2024</t>
        </is>
      </c>
      <c r="B54" s="1" t="n">
        <v>45470</v>
      </c>
      <c r="C54" s="1" t="n">
        <v>45966</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40545-2024</t>
        </is>
      </c>
      <c r="B55" s="1" t="n">
        <v>45555</v>
      </c>
      <c r="C55" s="1" t="n">
        <v>45966</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31113-2025</t>
        </is>
      </c>
      <c r="B56" s="1" t="n">
        <v>45832.61501157407</v>
      </c>
      <c r="C56" s="1" t="n">
        <v>45966</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57843-2024</t>
        </is>
      </c>
      <c r="B57" s="1" t="n">
        <v>45631</v>
      </c>
      <c r="C57" s="1" t="n">
        <v>45966</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37450-2025</t>
        </is>
      </c>
      <c r="B58" s="1" t="n">
        <v>45877.55261574074</v>
      </c>
      <c r="C58" s="1" t="n">
        <v>45966</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22737-2023</t>
        </is>
      </c>
      <c r="B59" s="1" t="n">
        <v>45071</v>
      </c>
      <c r="C59" s="1" t="n">
        <v>45966</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10086-2023</t>
        </is>
      </c>
      <c r="B60" s="1" t="n">
        <v>44985</v>
      </c>
      <c r="C60" s="1" t="n">
        <v>45966</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25898-2022</t>
        </is>
      </c>
      <c r="B61" s="1" t="n">
        <v>44733</v>
      </c>
      <c r="C61" s="1" t="n">
        <v>45966</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45966</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45966</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45966</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21682-2023</t>
        </is>
      </c>
      <c r="B65" s="1" t="n">
        <v>45063.94219907407</v>
      </c>
      <c r="C65" s="1" t="n">
        <v>45966</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26313-2024</t>
        </is>
      </c>
      <c r="B66" s="1" t="n">
        <v>45468</v>
      </c>
      <c r="C66" s="1" t="n">
        <v>45966</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65907-2020</t>
        </is>
      </c>
      <c r="B67" s="1" t="n">
        <v>44174</v>
      </c>
      <c r="C67" s="1" t="n">
        <v>45966</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3348-2021</t>
        </is>
      </c>
      <c r="B68" s="1" t="n">
        <v>44217</v>
      </c>
      <c r="C68" s="1" t="n">
        <v>45966</v>
      </c>
      <c r="D68" t="inlineStr">
        <is>
          <t>VÄSTERNORRLANDS LÄN</t>
        </is>
      </c>
      <c r="E68" t="inlineStr">
        <is>
          <t>ÅNGE</t>
        </is>
      </c>
      <c r="F68" t="inlineStr">
        <is>
          <t>SCA</t>
        </is>
      </c>
      <c r="G68" t="n">
        <v>6.3</v>
      </c>
      <c r="H68" t="n">
        <v>1</v>
      </c>
      <c r="I68" t="n">
        <v>1</v>
      </c>
      <c r="J68" t="n">
        <v>5</v>
      </c>
      <c r="K68" t="n">
        <v>0</v>
      </c>
      <c r="L68" t="n">
        <v>0</v>
      </c>
      <c r="M68" t="n">
        <v>0</v>
      </c>
      <c r="N68" t="n">
        <v>0</v>
      </c>
      <c r="O68" t="n">
        <v>5</v>
      </c>
      <c r="P68" t="n">
        <v>0</v>
      </c>
      <c r="Q68" t="n">
        <v>6</v>
      </c>
      <c r="R68" s="2" t="inlineStr">
        <is>
          <t>Gammelgransskål
Garnlav
Rosenticka
Tretåig hackspett
Vitgrynig nållav
Barkkornlav</t>
        </is>
      </c>
      <c r="S68">
        <f>HYPERLINK("https://klasma.github.io/Logging_2260/artfynd/A 3348-2021 artfynd.xlsx", "A 3348-2021")</f>
        <v/>
      </c>
      <c r="T68">
        <f>HYPERLINK("https://klasma.github.io/Logging_2260/kartor/A 3348-2021 karta.png", "A 3348-2021")</f>
        <v/>
      </c>
      <c r="V68">
        <f>HYPERLINK("https://klasma.github.io/Logging_2260/klagomål/A 3348-2021 FSC-klagomål.docx", "A 3348-2021")</f>
        <v/>
      </c>
      <c r="W68">
        <f>HYPERLINK("https://klasma.github.io/Logging_2260/klagomålsmail/A 3348-2021 FSC-klagomål mail.docx", "A 3348-2021")</f>
        <v/>
      </c>
      <c r="X68">
        <f>HYPERLINK("https://klasma.github.io/Logging_2260/tillsyn/A 3348-2021 tillsynsbegäran.docx", "A 3348-2021")</f>
        <v/>
      </c>
      <c r="Y68">
        <f>HYPERLINK("https://klasma.github.io/Logging_2260/tillsynsmail/A 3348-2021 tillsynsbegäran mail.docx", "A 3348-2021")</f>
        <v/>
      </c>
      <c r="Z68">
        <f>HYPERLINK("https://klasma.github.io/Logging_2260/fåglar/A 3348-2021 prioriterade fågelarter.docx", "A 3348-2021")</f>
        <v/>
      </c>
    </row>
    <row r="69" ht="15" customHeight="1">
      <c r="A69" t="inlineStr">
        <is>
          <t>A 34694-2023</t>
        </is>
      </c>
      <c r="B69" s="1" t="n">
        <v>45140.96324074074</v>
      </c>
      <c r="C69" s="1" t="n">
        <v>45966</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55176-2024</t>
        </is>
      </c>
      <c r="B70" s="1" t="n">
        <v>45621</v>
      </c>
      <c r="C70" s="1" t="n">
        <v>45966</v>
      </c>
      <c r="D70" t="inlineStr">
        <is>
          <t>VÄSTERNORRLANDS LÄN</t>
        </is>
      </c>
      <c r="E70" t="inlineStr">
        <is>
          <t>ÅNGE</t>
        </is>
      </c>
      <c r="F70" t="inlineStr">
        <is>
          <t>SCA</t>
        </is>
      </c>
      <c r="G70" t="n">
        <v>7.3</v>
      </c>
      <c r="H70" t="n">
        <v>0</v>
      </c>
      <c r="I70" t="n">
        <v>2</v>
      </c>
      <c r="J70" t="n">
        <v>3</v>
      </c>
      <c r="K70" t="n">
        <v>1</v>
      </c>
      <c r="L70" t="n">
        <v>0</v>
      </c>
      <c r="M70" t="n">
        <v>0</v>
      </c>
      <c r="N70" t="n">
        <v>0</v>
      </c>
      <c r="O70" t="n">
        <v>4</v>
      </c>
      <c r="P70" t="n">
        <v>1</v>
      </c>
      <c r="Q70" t="n">
        <v>6</v>
      </c>
      <c r="R70" s="2" t="inlineStr">
        <is>
          <t>Läderlappslav
Lunglav
Mörk kolflarnlav
Stiftgelélav
Bårdlav
Skinnlav</t>
        </is>
      </c>
      <c r="S70">
        <f>HYPERLINK("https://klasma.github.io/Logging_2260/artfynd/A 55176-2024 artfynd.xlsx", "A 55176-2024")</f>
        <v/>
      </c>
      <c r="T70">
        <f>HYPERLINK("https://klasma.github.io/Logging_2260/kartor/A 55176-2024 karta.png", "A 55176-2024")</f>
        <v/>
      </c>
      <c r="V70">
        <f>HYPERLINK("https://klasma.github.io/Logging_2260/klagomål/A 55176-2024 FSC-klagomål.docx", "A 55176-2024")</f>
        <v/>
      </c>
      <c r="W70">
        <f>HYPERLINK("https://klasma.github.io/Logging_2260/klagomålsmail/A 55176-2024 FSC-klagomål mail.docx", "A 55176-2024")</f>
        <v/>
      </c>
      <c r="X70">
        <f>HYPERLINK("https://klasma.github.io/Logging_2260/tillsyn/A 55176-2024 tillsynsbegäran.docx", "A 55176-2024")</f>
        <v/>
      </c>
      <c r="Y70">
        <f>HYPERLINK("https://klasma.github.io/Logging_2260/tillsynsmail/A 55176-2024 tillsynsbegäran mail.docx", "A 55176-2024")</f>
        <v/>
      </c>
    </row>
    <row r="71" ht="15" customHeight="1">
      <c r="A71" t="inlineStr">
        <is>
          <t>A 48191-2025</t>
        </is>
      </c>
      <c r="B71" s="1" t="n">
        <v>45933.46956018519</v>
      </c>
      <c r="C71" s="1" t="n">
        <v>45966</v>
      </c>
      <c r="D71" t="inlineStr">
        <is>
          <t>VÄSTERNORRLANDS LÄN</t>
        </is>
      </c>
      <c r="E71" t="inlineStr">
        <is>
          <t>ÅNGE</t>
        </is>
      </c>
      <c r="F71" t="inlineStr">
        <is>
          <t>SCA</t>
        </is>
      </c>
      <c r="G71" t="n">
        <v>9.6</v>
      </c>
      <c r="H71" t="n">
        <v>1</v>
      </c>
      <c r="I71" t="n">
        <v>1</v>
      </c>
      <c r="J71" t="n">
        <v>5</v>
      </c>
      <c r="K71" t="n">
        <v>0</v>
      </c>
      <c r="L71" t="n">
        <v>0</v>
      </c>
      <c r="M71" t="n">
        <v>0</v>
      </c>
      <c r="N71" t="n">
        <v>0</v>
      </c>
      <c r="O71" t="n">
        <v>5</v>
      </c>
      <c r="P71" t="n">
        <v>0</v>
      </c>
      <c r="Q71" t="n">
        <v>6</v>
      </c>
      <c r="R71" s="2" t="inlineStr">
        <is>
          <t>Dvärgbägarlav
Kolflarnlav
Mörk kolflarnlav
Talltita
Vedskivlav
Dropptaggsvamp</t>
        </is>
      </c>
      <c r="S71">
        <f>HYPERLINK("https://klasma.github.io/Logging_2260/artfynd/A 48191-2025 artfynd.xlsx", "A 48191-2025")</f>
        <v/>
      </c>
      <c r="T71">
        <f>HYPERLINK("https://klasma.github.io/Logging_2260/kartor/A 48191-2025 karta.png", "A 48191-2025")</f>
        <v/>
      </c>
      <c r="V71">
        <f>HYPERLINK("https://klasma.github.io/Logging_2260/klagomål/A 48191-2025 FSC-klagomål.docx", "A 48191-2025")</f>
        <v/>
      </c>
      <c r="W71">
        <f>HYPERLINK("https://klasma.github.io/Logging_2260/klagomålsmail/A 48191-2025 FSC-klagomål mail.docx", "A 48191-2025")</f>
        <v/>
      </c>
      <c r="X71">
        <f>HYPERLINK("https://klasma.github.io/Logging_2260/tillsyn/A 48191-2025 tillsynsbegäran.docx", "A 48191-2025")</f>
        <v/>
      </c>
      <c r="Y71">
        <f>HYPERLINK("https://klasma.github.io/Logging_2260/tillsynsmail/A 48191-2025 tillsynsbegäran mail.docx", "A 48191-2025")</f>
        <v/>
      </c>
      <c r="Z71">
        <f>HYPERLINK("https://klasma.github.io/Logging_2260/fåglar/A 48191-2025 prioriterade fågelarter.docx", "A 48191-2025")</f>
        <v/>
      </c>
    </row>
    <row r="72" ht="15" customHeight="1">
      <c r="A72" t="inlineStr">
        <is>
          <t>A 39570-2025</t>
        </is>
      </c>
      <c r="B72" s="1" t="n">
        <v>45890.49009259259</v>
      </c>
      <c r="C72" s="1" t="n">
        <v>45966</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26363-2023</t>
        </is>
      </c>
      <c r="B73" s="1" t="n">
        <v>45091</v>
      </c>
      <c r="C73" s="1" t="n">
        <v>45966</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4130-2023</t>
        </is>
      </c>
      <c r="B74" s="1" t="n">
        <v>44952</v>
      </c>
      <c r="C74" s="1" t="n">
        <v>45966</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49528-2025</t>
        </is>
      </c>
      <c r="B75" s="1" t="n">
        <v>45939.40664351852</v>
      </c>
      <c r="C75" s="1" t="n">
        <v>45966</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45402-2025</t>
        </is>
      </c>
      <c r="B76" s="1" t="n">
        <v>45922.4278587963</v>
      </c>
      <c r="C76" s="1" t="n">
        <v>45966</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10085-2023</t>
        </is>
      </c>
      <c r="B77" s="1" t="n">
        <v>44985.9447337963</v>
      </c>
      <c r="C77" s="1" t="n">
        <v>45966</v>
      </c>
      <c r="D77" t="inlineStr">
        <is>
          <t>VÄSTERNORRLANDS LÄN</t>
        </is>
      </c>
      <c r="E77" t="inlineStr">
        <is>
          <t>ÅNGE</t>
        </is>
      </c>
      <c r="F77" t="inlineStr">
        <is>
          <t>SCA</t>
        </is>
      </c>
      <c r="G77" t="n">
        <v>4.9</v>
      </c>
      <c r="H77" t="n">
        <v>0</v>
      </c>
      <c r="I77" t="n">
        <v>1</v>
      </c>
      <c r="J77" t="n">
        <v>5</v>
      </c>
      <c r="K77" t="n">
        <v>0</v>
      </c>
      <c r="L77" t="n">
        <v>0</v>
      </c>
      <c r="M77" t="n">
        <v>0</v>
      </c>
      <c r="N77" t="n">
        <v>0</v>
      </c>
      <c r="O77" t="n">
        <v>5</v>
      </c>
      <c r="P77" t="n">
        <v>0</v>
      </c>
      <c r="Q77" t="n">
        <v>6</v>
      </c>
      <c r="R77" s="2" t="inlineStr">
        <is>
          <t>Gammelgransskål
Garnlav
Lunglav
Ullticka
Vitgrynig nållav
Vedticka</t>
        </is>
      </c>
      <c r="S77">
        <f>HYPERLINK("https://klasma.github.io/Logging_2260/artfynd/A 10085-2023 artfynd.xlsx", "A 10085-2023")</f>
        <v/>
      </c>
      <c r="T77">
        <f>HYPERLINK("https://klasma.github.io/Logging_2260/kartor/A 10085-2023 karta.png", "A 10085-2023")</f>
        <v/>
      </c>
      <c r="V77">
        <f>HYPERLINK("https://klasma.github.io/Logging_2260/klagomål/A 10085-2023 FSC-klagomål.docx", "A 10085-2023")</f>
        <v/>
      </c>
      <c r="W77">
        <f>HYPERLINK("https://klasma.github.io/Logging_2260/klagomålsmail/A 10085-2023 FSC-klagomål mail.docx", "A 10085-2023")</f>
        <v/>
      </c>
      <c r="X77">
        <f>HYPERLINK("https://klasma.github.io/Logging_2260/tillsyn/A 10085-2023 tillsynsbegäran.docx", "A 10085-2023")</f>
        <v/>
      </c>
      <c r="Y77">
        <f>HYPERLINK("https://klasma.github.io/Logging_2260/tillsynsmail/A 10085-2023 tillsynsbegäran mail.docx", "A 10085-2023")</f>
        <v/>
      </c>
    </row>
    <row r="78" ht="15" customHeight="1">
      <c r="A78" t="inlineStr">
        <is>
          <t>A 19010-2025</t>
        </is>
      </c>
      <c r="B78" s="1" t="n">
        <v>45764</v>
      </c>
      <c r="C78" s="1" t="n">
        <v>45966</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27955-2021</t>
        </is>
      </c>
      <c r="B79" s="1" t="n">
        <v>44354</v>
      </c>
      <c r="C79" s="1" t="n">
        <v>45966</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53456-2023</t>
        </is>
      </c>
      <c r="B80" s="1" t="n">
        <v>45229</v>
      </c>
      <c r="C80" s="1" t="n">
        <v>45966</v>
      </c>
      <c r="D80" t="inlineStr">
        <is>
          <t>VÄSTERNORRLANDS LÄN</t>
        </is>
      </c>
      <c r="E80" t="inlineStr">
        <is>
          <t>ÅNGE</t>
        </is>
      </c>
      <c r="F80" t="inlineStr">
        <is>
          <t>SCA</t>
        </is>
      </c>
      <c r="G80" t="n">
        <v>23.4</v>
      </c>
      <c r="H80" t="n">
        <v>4</v>
      </c>
      <c r="I80" t="n">
        <v>0</v>
      </c>
      <c r="J80" t="n">
        <v>4</v>
      </c>
      <c r="K80" t="n">
        <v>1</v>
      </c>
      <c r="L80" t="n">
        <v>0</v>
      </c>
      <c r="M80" t="n">
        <v>0</v>
      </c>
      <c r="N80" t="n">
        <v>0</v>
      </c>
      <c r="O80" t="n">
        <v>5</v>
      </c>
      <c r="P80" t="n">
        <v>1</v>
      </c>
      <c r="Q80" t="n">
        <v>6</v>
      </c>
      <c r="R80" s="2" t="inlineStr">
        <is>
          <t>Knärot
Garnlav
Mörk kolflarnlav
Talltita
Tretåig hackspett
Orre</t>
        </is>
      </c>
      <c r="S80">
        <f>HYPERLINK("https://klasma.github.io/Logging_2260/artfynd/A 53456-2023 artfynd.xlsx", "A 53456-2023")</f>
        <v/>
      </c>
      <c r="T80">
        <f>HYPERLINK("https://klasma.github.io/Logging_2260/kartor/A 53456-2023 karta.png", "A 53456-2023")</f>
        <v/>
      </c>
      <c r="U80">
        <f>HYPERLINK("https://klasma.github.io/Logging_2260/knärot/A 53456-2023 karta knärot.png", "A 53456-2023")</f>
        <v/>
      </c>
      <c r="V80">
        <f>HYPERLINK("https://klasma.github.io/Logging_2260/klagomål/A 53456-2023 FSC-klagomål.docx", "A 53456-2023")</f>
        <v/>
      </c>
      <c r="W80">
        <f>HYPERLINK("https://klasma.github.io/Logging_2260/klagomålsmail/A 53456-2023 FSC-klagomål mail.docx", "A 53456-2023")</f>
        <v/>
      </c>
      <c r="X80">
        <f>HYPERLINK("https://klasma.github.io/Logging_2260/tillsyn/A 53456-2023 tillsynsbegäran.docx", "A 53456-2023")</f>
        <v/>
      </c>
      <c r="Y80">
        <f>HYPERLINK("https://klasma.github.io/Logging_2260/tillsynsmail/A 53456-2023 tillsynsbegäran mail.docx", "A 53456-2023")</f>
        <v/>
      </c>
      <c r="Z80">
        <f>HYPERLINK("https://klasma.github.io/Logging_2260/fåglar/A 53456-2023 prioriterade fågelarter.docx", "A 53456-2023")</f>
        <v/>
      </c>
    </row>
    <row r="81" ht="15" customHeight="1">
      <c r="A81" t="inlineStr">
        <is>
          <t>A 31509-2024</t>
        </is>
      </c>
      <c r="B81" s="1" t="n">
        <v>45505</v>
      </c>
      <c r="C81" s="1" t="n">
        <v>45966</v>
      </c>
      <c r="D81" t="inlineStr">
        <is>
          <t>VÄSTERNORRLANDS LÄN</t>
        </is>
      </c>
      <c r="E81" t="inlineStr">
        <is>
          <t>ÅNGE</t>
        </is>
      </c>
      <c r="F81" t="inlineStr">
        <is>
          <t>SCA</t>
        </is>
      </c>
      <c r="G81" t="n">
        <v>21.3</v>
      </c>
      <c r="H81" t="n">
        <v>0</v>
      </c>
      <c r="I81" t="n">
        <v>2</v>
      </c>
      <c r="J81" t="n">
        <v>4</v>
      </c>
      <c r="K81" t="n">
        <v>0</v>
      </c>
      <c r="L81" t="n">
        <v>0</v>
      </c>
      <c r="M81" t="n">
        <v>0</v>
      </c>
      <c r="N81" t="n">
        <v>0</v>
      </c>
      <c r="O81" t="n">
        <v>4</v>
      </c>
      <c r="P81" t="n">
        <v>0</v>
      </c>
      <c r="Q81" t="n">
        <v>6</v>
      </c>
      <c r="R81" s="2" t="inlineStr">
        <is>
          <t>Doftskinn
Granticka
Rosenticka
Ullticka
Bollvitmossa
Trådticka</t>
        </is>
      </c>
      <c r="S81">
        <f>HYPERLINK("https://klasma.github.io/Logging_2260/artfynd/A 31509-2024 artfynd.xlsx", "A 31509-2024")</f>
        <v/>
      </c>
      <c r="T81">
        <f>HYPERLINK("https://klasma.github.io/Logging_2260/kartor/A 31509-2024 karta.png", "A 31509-2024")</f>
        <v/>
      </c>
      <c r="V81">
        <f>HYPERLINK("https://klasma.github.io/Logging_2260/klagomål/A 31509-2024 FSC-klagomål.docx", "A 31509-2024")</f>
        <v/>
      </c>
      <c r="W81">
        <f>HYPERLINK("https://klasma.github.io/Logging_2260/klagomålsmail/A 31509-2024 FSC-klagomål mail.docx", "A 31509-2024")</f>
        <v/>
      </c>
      <c r="X81">
        <f>HYPERLINK("https://klasma.github.io/Logging_2260/tillsyn/A 31509-2024 tillsynsbegäran.docx", "A 31509-2024")</f>
        <v/>
      </c>
      <c r="Y81">
        <f>HYPERLINK("https://klasma.github.io/Logging_2260/tillsynsmail/A 31509-2024 tillsynsbegäran mail.docx", "A 31509-2024")</f>
        <v/>
      </c>
    </row>
    <row r="82" ht="15" customHeight="1">
      <c r="A82" t="inlineStr">
        <is>
          <t>A 31364-2022</t>
        </is>
      </c>
      <c r="B82" s="1" t="n">
        <v>44774</v>
      </c>
      <c r="C82" s="1" t="n">
        <v>45966</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55004-2023</t>
        </is>
      </c>
      <c r="B83" s="1" t="n">
        <v>45236</v>
      </c>
      <c r="C83" s="1" t="n">
        <v>45966</v>
      </c>
      <c r="D83" t="inlineStr">
        <is>
          <t>VÄSTERNORRLANDS LÄN</t>
        </is>
      </c>
      <c r="E83" t="inlineStr">
        <is>
          <t>ÅNGE</t>
        </is>
      </c>
      <c r="F83" t="inlineStr">
        <is>
          <t>SCA</t>
        </is>
      </c>
      <c r="G83" t="n">
        <v>3.7</v>
      </c>
      <c r="H83" t="n">
        <v>2</v>
      </c>
      <c r="I83" t="n">
        <v>3</v>
      </c>
      <c r="J83" t="n">
        <v>1</v>
      </c>
      <c r="K83" t="n">
        <v>0</v>
      </c>
      <c r="L83" t="n">
        <v>0</v>
      </c>
      <c r="M83" t="n">
        <v>0</v>
      </c>
      <c r="N83" t="n">
        <v>0</v>
      </c>
      <c r="O83" t="n">
        <v>1</v>
      </c>
      <c r="P83" t="n">
        <v>0</v>
      </c>
      <c r="Q83" t="n">
        <v>5</v>
      </c>
      <c r="R83" s="2" t="inlineStr">
        <is>
          <t>Storgröe
Kransrams
Spädstarr
Tvåblad
Fläcknycklar</t>
        </is>
      </c>
      <c r="S83">
        <f>HYPERLINK("https://klasma.github.io/Logging_2260/artfynd/A 55004-2023 artfynd.xlsx", "A 55004-2023")</f>
        <v/>
      </c>
      <c r="T83">
        <f>HYPERLINK("https://klasma.github.io/Logging_2260/kartor/A 55004-2023 karta.png", "A 55004-2023")</f>
        <v/>
      </c>
      <c r="V83">
        <f>HYPERLINK("https://klasma.github.io/Logging_2260/klagomål/A 55004-2023 FSC-klagomål.docx", "A 55004-2023")</f>
        <v/>
      </c>
      <c r="W83">
        <f>HYPERLINK("https://klasma.github.io/Logging_2260/klagomålsmail/A 55004-2023 FSC-klagomål mail.docx", "A 55004-2023")</f>
        <v/>
      </c>
      <c r="X83">
        <f>HYPERLINK("https://klasma.github.io/Logging_2260/tillsyn/A 55004-2023 tillsynsbegäran.docx", "A 55004-2023")</f>
        <v/>
      </c>
      <c r="Y83">
        <f>HYPERLINK("https://klasma.github.io/Logging_2260/tillsynsmail/A 55004-2023 tillsynsbegäran mail.docx", "A 55004-2023")</f>
        <v/>
      </c>
    </row>
    <row r="84" ht="15" customHeight="1">
      <c r="A84" t="inlineStr">
        <is>
          <t>A 47102-2025</t>
        </is>
      </c>
      <c r="B84" s="1" t="n">
        <v>45929</v>
      </c>
      <c r="C84" s="1" t="n">
        <v>45966</v>
      </c>
      <c r="D84" t="inlineStr">
        <is>
          <t>VÄSTERNORRLANDS LÄN</t>
        </is>
      </c>
      <c r="E84" t="inlineStr">
        <is>
          <t>ÅNGE</t>
        </is>
      </c>
      <c r="G84" t="n">
        <v>1.3</v>
      </c>
      <c r="H84" t="n">
        <v>1</v>
      </c>
      <c r="I84" t="n">
        <v>1</v>
      </c>
      <c r="J84" t="n">
        <v>3</v>
      </c>
      <c r="K84" t="n">
        <v>1</v>
      </c>
      <c r="L84" t="n">
        <v>0</v>
      </c>
      <c r="M84" t="n">
        <v>0</v>
      </c>
      <c r="N84" t="n">
        <v>0</v>
      </c>
      <c r="O84" t="n">
        <v>4</v>
      </c>
      <c r="P84" t="n">
        <v>1</v>
      </c>
      <c r="Q84" t="n">
        <v>5</v>
      </c>
      <c r="R84" s="2" t="inlineStr">
        <is>
          <t>Knärot
Garnlav
Rosenticka
Ullticka
Dropptaggsvamp</t>
        </is>
      </c>
      <c r="S84">
        <f>HYPERLINK("https://klasma.github.io/Logging_2260/artfynd/A 47102-2025 artfynd.xlsx", "A 47102-2025")</f>
        <v/>
      </c>
      <c r="T84">
        <f>HYPERLINK("https://klasma.github.io/Logging_2260/kartor/A 47102-2025 karta.png", "A 47102-2025")</f>
        <v/>
      </c>
      <c r="U84">
        <f>HYPERLINK("https://klasma.github.io/Logging_2260/knärot/A 47102-2025 karta knärot.png", "A 47102-2025")</f>
        <v/>
      </c>
      <c r="V84">
        <f>HYPERLINK("https://klasma.github.io/Logging_2260/klagomål/A 47102-2025 FSC-klagomål.docx", "A 47102-2025")</f>
        <v/>
      </c>
      <c r="W84">
        <f>HYPERLINK("https://klasma.github.io/Logging_2260/klagomålsmail/A 47102-2025 FSC-klagomål mail.docx", "A 47102-2025")</f>
        <v/>
      </c>
      <c r="X84">
        <f>HYPERLINK("https://klasma.github.io/Logging_2260/tillsyn/A 47102-2025 tillsynsbegäran.docx", "A 47102-2025")</f>
        <v/>
      </c>
      <c r="Y84">
        <f>HYPERLINK("https://klasma.github.io/Logging_2260/tillsynsmail/A 47102-2025 tillsynsbegäran mail.docx", "A 47102-2025")</f>
        <v/>
      </c>
    </row>
    <row r="85" ht="15" customHeight="1">
      <c r="A85" t="inlineStr">
        <is>
          <t>A 32911-2024</t>
        </is>
      </c>
      <c r="B85" s="1" t="n">
        <v>45516</v>
      </c>
      <c r="C85" s="1" t="n">
        <v>45966</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43520-2025</t>
        </is>
      </c>
      <c r="B86" s="1" t="n">
        <v>45911.57364583333</v>
      </c>
      <c r="C86" s="1" t="n">
        <v>45966</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52601-2025</t>
        </is>
      </c>
      <c r="B87" s="1" t="n">
        <v>45954.65677083333</v>
      </c>
      <c r="C87" s="1" t="n">
        <v>45966</v>
      </c>
      <c r="D87" t="inlineStr">
        <is>
          <t>VÄSTERNORRLANDS LÄN</t>
        </is>
      </c>
      <c r="E87" t="inlineStr">
        <is>
          <t>ÅNGE</t>
        </is>
      </c>
      <c r="F87" t="inlineStr">
        <is>
          <t>SCA</t>
        </is>
      </c>
      <c r="G87" t="n">
        <v>3.1</v>
      </c>
      <c r="H87" t="n">
        <v>4</v>
      </c>
      <c r="I87" t="n">
        <v>4</v>
      </c>
      <c r="J87" t="n">
        <v>0</v>
      </c>
      <c r="K87" t="n">
        <v>1</v>
      </c>
      <c r="L87" t="n">
        <v>0</v>
      </c>
      <c r="M87" t="n">
        <v>0</v>
      </c>
      <c r="N87" t="n">
        <v>0</v>
      </c>
      <c r="O87" t="n">
        <v>1</v>
      </c>
      <c r="P87" t="n">
        <v>1</v>
      </c>
      <c r="Q87" t="n">
        <v>5</v>
      </c>
      <c r="R87" s="2" t="inlineStr">
        <is>
          <t>Knärot
Bågpraktmossa
Korallrot
Spindelblomster
Tvåblad</t>
        </is>
      </c>
      <c r="S87">
        <f>HYPERLINK("https://klasma.github.io/Logging_2260/artfynd/A 52601-2025 artfynd.xlsx", "A 52601-2025")</f>
        <v/>
      </c>
      <c r="T87">
        <f>HYPERLINK("https://klasma.github.io/Logging_2260/kartor/A 52601-2025 karta.png", "A 52601-2025")</f>
        <v/>
      </c>
      <c r="U87">
        <f>HYPERLINK("https://klasma.github.io/Logging_2260/knärot/A 52601-2025 karta knärot.png", "A 52601-2025")</f>
        <v/>
      </c>
      <c r="V87">
        <f>HYPERLINK("https://klasma.github.io/Logging_2260/klagomål/A 52601-2025 FSC-klagomål.docx", "A 52601-2025")</f>
        <v/>
      </c>
      <c r="W87">
        <f>HYPERLINK("https://klasma.github.io/Logging_2260/klagomålsmail/A 52601-2025 FSC-klagomål mail.docx", "A 52601-2025")</f>
        <v/>
      </c>
      <c r="X87">
        <f>HYPERLINK("https://klasma.github.io/Logging_2260/tillsyn/A 52601-2025 tillsynsbegäran.docx", "A 52601-2025")</f>
        <v/>
      </c>
      <c r="Y87">
        <f>HYPERLINK("https://klasma.github.io/Logging_2260/tillsynsmail/A 52601-2025 tillsynsbegäran mail.docx", "A 52601-2025")</f>
        <v/>
      </c>
    </row>
    <row r="88" ht="15" customHeight="1">
      <c r="A88" t="inlineStr">
        <is>
          <t>A 51065-2024</t>
        </is>
      </c>
      <c r="B88" s="1" t="n">
        <v>45603</v>
      </c>
      <c r="C88" s="1" t="n">
        <v>45966</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23601-2025</t>
        </is>
      </c>
      <c r="B89" s="1" t="n">
        <v>45792</v>
      </c>
      <c r="C89" s="1" t="n">
        <v>45966</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27914-2024</t>
        </is>
      </c>
      <c r="B90" s="1" t="n">
        <v>45475</v>
      </c>
      <c r="C90" s="1" t="n">
        <v>45966</v>
      </c>
      <c r="D90" t="inlineStr">
        <is>
          <t>VÄSTERNORRLANDS LÄN</t>
        </is>
      </c>
      <c r="E90" t="inlineStr">
        <is>
          <t>ÅNGE</t>
        </is>
      </c>
      <c r="F90" t="inlineStr">
        <is>
          <t>SCA</t>
        </is>
      </c>
      <c r="G90" t="n">
        <v>1.4</v>
      </c>
      <c r="H90" t="n">
        <v>0</v>
      </c>
      <c r="I90" t="n">
        <v>2</v>
      </c>
      <c r="J90" t="n">
        <v>3</v>
      </c>
      <c r="K90" t="n">
        <v>0</v>
      </c>
      <c r="L90" t="n">
        <v>0</v>
      </c>
      <c r="M90" t="n">
        <v>0</v>
      </c>
      <c r="N90" t="n">
        <v>0</v>
      </c>
      <c r="O90" t="n">
        <v>3</v>
      </c>
      <c r="P90" t="n">
        <v>0</v>
      </c>
      <c r="Q90" t="n">
        <v>5</v>
      </c>
      <c r="R90" s="2" t="inlineStr">
        <is>
          <t>Granticka
Lunglav
Vedtrappmossa
Korallblylav
Stuplav</t>
        </is>
      </c>
      <c r="S90">
        <f>HYPERLINK("https://klasma.github.io/Logging_2260/artfynd/A 27914-2024 artfynd.xlsx", "A 27914-2024")</f>
        <v/>
      </c>
      <c r="T90">
        <f>HYPERLINK("https://klasma.github.io/Logging_2260/kartor/A 27914-2024 karta.png", "A 27914-2024")</f>
        <v/>
      </c>
      <c r="V90">
        <f>HYPERLINK("https://klasma.github.io/Logging_2260/klagomål/A 27914-2024 FSC-klagomål.docx", "A 27914-2024")</f>
        <v/>
      </c>
      <c r="W90">
        <f>HYPERLINK("https://klasma.github.io/Logging_2260/klagomålsmail/A 27914-2024 FSC-klagomål mail.docx", "A 27914-2024")</f>
        <v/>
      </c>
      <c r="X90">
        <f>HYPERLINK("https://klasma.github.io/Logging_2260/tillsyn/A 27914-2024 tillsynsbegäran.docx", "A 27914-2024")</f>
        <v/>
      </c>
      <c r="Y90">
        <f>HYPERLINK("https://klasma.github.io/Logging_2260/tillsynsmail/A 27914-2024 tillsynsbegäran mail.docx", "A 27914-2024")</f>
        <v/>
      </c>
    </row>
    <row r="91" ht="15" customHeight="1">
      <c r="A91" t="inlineStr">
        <is>
          <t>A 29880-2025</t>
        </is>
      </c>
      <c r="B91" s="1" t="n">
        <v>45826.36510416667</v>
      </c>
      <c r="C91" s="1" t="n">
        <v>45966</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29880-2025 artfynd.xlsx", "A 29880-2025")</f>
        <v/>
      </c>
      <c r="T91">
        <f>HYPERLINK("https://klasma.github.io/Logging_2260/kartor/A 29880-2025 karta.png", "A 29880-2025")</f>
        <v/>
      </c>
      <c r="V91">
        <f>HYPERLINK("https://klasma.github.io/Logging_2260/klagomål/A 29880-2025 FSC-klagomål.docx", "A 29880-2025")</f>
        <v/>
      </c>
      <c r="W91">
        <f>HYPERLINK("https://klasma.github.io/Logging_2260/klagomålsmail/A 29880-2025 FSC-klagomål mail.docx", "A 29880-2025")</f>
        <v/>
      </c>
      <c r="X91">
        <f>HYPERLINK("https://klasma.github.io/Logging_2260/tillsyn/A 29880-2025 tillsynsbegäran.docx", "A 29880-2025")</f>
        <v/>
      </c>
      <c r="Y91">
        <f>HYPERLINK("https://klasma.github.io/Logging_2260/tillsynsmail/A 29880-2025 tillsynsbegäran mail.docx", "A 29880-2025")</f>
        <v/>
      </c>
      <c r="Z91">
        <f>HYPERLINK("https://klasma.github.io/Logging_2260/fåglar/A 29880-2025 prioriterade fågelarter.docx", "A 29880-2025")</f>
        <v/>
      </c>
    </row>
    <row r="92" ht="15" customHeight="1">
      <c r="A92" t="inlineStr">
        <is>
          <t>A 52269-2024</t>
        </is>
      </c>
      <c r="B92" s="1" t="n">
        <v>45608.65660879629</v>
      </c>
      <c r="C92" s="1" t="n">
        <v>45966</v>
      </c>
      <c r="D92" t="inlineStr">
        <is>
          <t>VÄSTERNORRLANDS LÄN</t>
        </is>
      </c>
      <c r="E92" t="inlineStr">
        <is>
          <t>ÅNGE</t>
        </is>
      </c>
      <c r="F92" t="inlineStr">
        <is>
          <t>SCA</t>
        </is>
      </c>
      <c r="G92" t="n">
        <v>5.1</v>
      </c>
      <c r="H92" t="n">
        <v>0</v>
      </c>
      <c r="I92" t="n">
        <v>2</v>
      </c>
      <c r="J92" t="n">
        <v>3</v>
      </c>
      <c r="K92" t="n">
        <v>0</v>
      </c>
      <c r="L92" t="n">
        <v>0</v>
      </c>
      <c r="M92" t="n">
        <v>0</v>
      </c>
      <c r="N92" t="n">
        <v>0</v>
      </c>
      <c r="O92" t="n">
        <v>3</v>
      </c>
      <c r="P92" t="n">
        <v>0</v>
      </c>
      <c r="Q92" t="n">
        <v>5</v>
      </c>
      <c r="R92" s="2" t="inlineStr">
        <is>
          <t>Lunglav
Rosenticka
Ullticka
Bårdlav
Stor aspticka</t>
        </is>
      </c>
      <c r="S92">
        <f>HYPERLINK("https://klasma.github.io/Logging_2260/artfynd/A 52269-2024 artfynd.xlsx", "A 52269-2024")</f>
        <v/>
      </c>
      <c r="T92">
        <f>HYPERLINK("https://klasma.github.io/Logging_2260/kartor/A 52269-2024 karta.png", "A 52269-2024")</f>
        <v/>
      </c>
      <c r="V92">
        <f>HYPERLINK("https://klasma.github.io/Logging_2260/klagomål/A 52269-2024 FSC-klagomål.docx", "A 52269-2024")</f>
        <v/>
      </c>
      <c r="W92">
        <f>HYPERLINK("https://klasma.github.io/Logging_2260/klagomålsmail/A 52269-2024 FSC-klagomål mail.docx", "A 52269-2024")</f>
        <v/>
      </c>
      <c r="X92">
        <f>HYPERLINK("https://klasma.github.io/Logging_2260/tillsyn/A 52269-2024 tillsynsbegäran.docx", "A 52269-2024")</f>
        <v/>
      </c>
      <c r="Y92">
        <f>HYPERLINK("https://klasma.github.io/Logging_2260/tillsynsmail/A 52269-2024 tillsynsbegäran mail.docx", "A 52269-2024")</f>
        <v/>
      </c>
    </row>
    <row r="93" ht="15" customHeight="1">
      <c r="A93" t="inlineStr">
        <is>
          <t>A 13696-2023</t>
        </is>
      </c>
      <c r="B93" s="1" t="n">
        <v>45006</v>
      </c>
      <c r="C93" s="1" t="n">
        <v>45966</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38322-2025</t>
        </is>
      </c>
      <c r="B94" s="1" t="n">
        <v>45883.49003472222</v>
      </c>
      <c r="C94" s="1" t="n">
        <v>45966</v>
      </c>
      <c r="D94" t="inlineStr">
        <is>
          <t>VÄSTERNORRLANDS LÄN</t>
        </is>
      </c>
      <c r="E94" t="inlineStr">
        <is>
          <t>ÅNGE</t>
        </is>
      </c>
      <c r="F94" t="inlineStr">
        <is>
          <t>SCA</t>
        </is>
      </c>
      <c r="G94" t="n">
        <v>5.4</v>
      </c>
      <c r="H94" t="n">
        <v>1</v>
      </c>
      <c r="I94" t="n">
        <v>0</v>
      </c>
      <c r="J94" t="n">
        <v>4</v>
      </c>
      <c r="K94" t="n">
        <v>0</v>
      </c>
      <c r="L94" t="n">
        <v>0</v>
      </c>
      <c r="M94" t="n">
        <v>0</v>
      </c>
      <c r="N94" t="n">
        <v>0</v>
      </c>
      <c r="O94" t="n">
        <v>4</v>
      </c>
      <c r="P94" t="n">
        <v>0</v>
      </c>
      <c r="Q94" t="n">
        <v>5</v>
      </c>
      <c r="R94" s="2" t="inlineStr">
        <is>
          <t>Gammelgransskål
Garnlav
Skrovellav
Violettgrå tagellav
Revlummer</t>
        </is>
      </c>
      <c r="S94">
        <f>HYPERLINK("https://klasma.github.io/Logging_2260/artfynd/A 38322-2025 artfynd.xlsx", "A 38322-2025")</f>
        <v/>
      </c>
      <c r="T94">
        <f>HYPERLINK("https://klasma.github.io/Logging_2260/kartor/A 38322-2025 karta.png", "A 38322-2025")</f>
        <v/>
      </c>
      <c r="V94">
        <f>HYPERLINK("https://klasma.github.io/Logging_2260/klagomål/A 38322-2025 FSC-klagomål.docx", "A 38322-2025")</f>
        <v/>
      </c>
      <c r="W94">
        <f>HYPERLINK("https://klasma.github.io/Logging_2260/klagomålsmail/A 38322-2025 FSC-klagomål mail.docx", "A 38322-2025")</f>
        <v/>
      </c>
      <c r="X94">
        <f>HYPERLINK("https://klasma.github.io/Logging_2260/tillsyn/A 38322-2025 tillsynsbegäran.docx", "A 38322-2025")</f>
        <v/>
      </c>
      <c r="Y94">
        <f>HYPERLINK("https://klasma.github.io/Logging_2260/tillsynsmail/A 38322-2025 tillsynsbegäran mail.docx", "A 38322-2025")</f>
        <v/>
      </c>
    </row>
    <row r="95" ht="15" customHeight="1">
      <c r="A95" t="inlineStr">
        <is>
          <t>A 38327-2025</t>
        </is>
      </c>
      <c r="B95" s="1" t="n">
        <v>45883.49084490741</v>
      </c>
      <c r="C95" s="1" t="n">
        <v>45966</v>
      </c>
      <c r="D95" t="inlineStr">
        <is>
          <t>VÄSTERNORRLANDS LÄN</t>
        </is>
      </c>
      <c r="E95" t="inlineStr">
        <is>
          <t>ÅNGE</t>
        </is>
      </c>
      <c r="F95" t="inlineStr">
        <is>
          <t>SCA</t>
        </is>
      </c>
      <c r="G95" t="n">
        <v>2.1</v>
      </c>
      <c r="H95" t="n">
        <v>1</v>
      </c>
      <c r="I95" t="n">
        <v>0</v>
      </c>
      <c r="J95" t="n">
        <v>4</v>
      </c>
      <c r="K95" t="n">
        <v>0</v>
      </c>
      <c r="L95" t="n">
        <v>0</v>
      </c>
      <c r="M95" t="n">
        <v>0</v>
      </c>
      <c r="N95" t="n">
        <v>0</v>
      </c>
      <c r="O95" t="n">
        <v>4</v>
      </c>
      <c r="P95" t="n">
        <v>0</v>
      </c>
      <c r="Q95" t="n">
        <v>5</v>
      </c>
      <c r="R95" s="2" t="inlineStr">
        <is>
          <t>Gammelgransskål
Garnlav
Ullticka
Violettgrå tagellav
Revlummer</t>
        </is>
      </c>
      <c r="S95">
        <f>HYPERLINK("https://klasma.github.io/Logging_2260/artfynd/A 38327-2025 artfynd.xlsx", "A 38327-2025")</f>
        <v/>
      </c>
      <c r="T95">
        <f>HYPERLINK("https://klasma.github.io/Logging_2260/kartor/A 38327-2025 karta.png", "A 38327-2025")</f>
        <v/>
      </c>
      <c r="V95">
        <f>HYPERLINK("https://klasma.github.io/Logging_2260/klagomål/A 38327-2025 FSC-klagomål.docx", "A 38327-2025")</f>
        <v/>
      </c>
      <c r="W95">
        <f>HYPERLINK("https://klasma.github.io/Logging_2260/klagomålsmail/A 38327-2025 FSC-klagomål mail.docx", "A 38327-2025")</f>
        <v/>
      </c>
      <c r="X95">
        <f>HYPERLINK("https://klasma.github.io/Logging_2260/tillsyn/A 38327-2025 tillsynsbegäran.docx", "A 38327-2025")</f>
        <v/>
      </c>
      <c r="Y95">
        <f>HYPERLINK("https://klasma.github.io/Logging_2260/tillsynsmail/A 38327-2025 tillsynsbegäran mail.docx", "A 38327-2025")</f>
        <v/>
      </c>
    </row>
    <row r="96" ht="15" customHeight="1">
      <c r="A96" t="inlineStr">
        <is>
          <t>A 46375-2025</t>
        </is>
      </c>
      <c r="B96" s="1" t="n">
        <v>45925.51097222222</v>
      </c>
      <c r="C96" s="1" t="n">
        <v>45966</v>
      </c>
      <c r="D96" t="inlineStr">
        <is>
          <t>VÄSTERNORRLANDS LÄN</t>
        </is>
      </c>
      <c r="E96" t="inlineStr">
        <is>
          <t>ÅNGE</t>
        </is>
      </c>
      <c r="F96" t="inlineStr">
        <is>
          <t>SCA</t>
        </is>
      </c>
      <c r="G96" t="n">
        <v>4.7</v>
      </c>
      <c r="H96" t="n">
        <v>1</v>
      </c>
      <c r="I96" t="n">
        <v>1</v>
      </c>
      <c r="J96" t="n">
        <v>3</v>
      </c>
      <c r="K96" t="n">
        <v>0</v>
      </c>
      <c r="L96" t="n">
        <v>0</v>
      </c>
      <c r="M96" t="n">
        <v>0</v>
      </c>
      <c r="N96" t="n">
        <v>0</v>
      </c>
      <c r="O96" t="n">
        <v>3</v>
      </c>
      <c r="P96" t="n">
        <v>0</v>
      </c>
      <c r="Q96" t="n">
        <v>5</v>
      </c>
      <c r="R96" s="2" t="inlineStr">
        <is>
          <t>Garnlav
Lunglav
Ullticka
Dropptaggsvamp
Tjäder</t>
        </is>
      </c>
      <c r="S96">
        <f>HYPERLINK("https://klasma.github.io/Logging_2260/artfynd/A 46375-2025 artfynd.xlsx", "A 46375-2025")</f>
        <v/>
      </c>
      <c r="T96">
        <f>HYPERLINK("https://klasma.github.io/Logging_2260/kartor/A 46375-2025 karta.png", "A 46375-2025")</f>
        <v/>
      </c>
      <c r="V96">
        <f>HYPERLINK("https://klasma.github.io/Logging_2260/klagomål/A 46375-2025 FSC-klagomål.docx", "A 46375-2025")</f>
        <v/>
      </c>
      <c r="W96">
        <f>HYPERLINK("https://klasma.github.io/Logging_2260/klagomålsmail/A 46375-2025 FSC-klagomål mail.docx", "A 46375-2025")</f>
        <v/>
      </c>
      <c r="X96">
        <f>HYPERLINK("https://klasma.github.io/Logging_2260/tillsyn/A 46375-2025 tillsynsbegäran.docx", "A 46375-2025")</f>
        <v/>
      </c>
      <c r="Y96">
        <f>HYPERLINK("https://klasma.github.io/Logging_2260/tillsynsmail/A 46375-2025 tillsynsbegäran mail.docx", "A 46375-2025")</f>
        <v/>
      </c>
      <c r="Z96">
        <f>HYPERLINK("https://klasma.github.io/Logging_2260/fåglar/A 46375-2025 prioriterade fågelarter.docx", "A 46375-2025")</f>
        <v/>
      </c>
    </row>
    <row r="97" ht="15" customHeight="1">
      <c r="A97" t="inlineStr">
        <is>
          <t>A 62640-2020</t>
        </is>
      </c>
      <c r="B97" s="1" t="n">
        <v>44161</v>
      </c>
      <c r="C97" s="1" t="n">
        <v>45966</v>
      </c>
      <c r="D97" t="inlineStr">
        <is>
          <t>VÄSTERNORRLANDS LÄN</t>
        </is>
      </c>
      <c r="E97" t="inlineStr">
        <is>
          <t>ÅNGE</t>
        </is>
      </c>
      <c r="F97" t="inlineStr">
        <is>
          <t>Sveaskog</t>
        </is>
      </c>
      <c r="G97" t="n">
        <v>2</v>
      </c>
      <c r="H97" t="n">
        <v>1</v>
      </c>
      <c r="I97" t="n">
        <v>2</v>
      </c>
      <c r="J97" t="n">
        <v>0</v>
      </c>
      <c r="K97" t="n">
        <v>2</v>
      </c>
      <c r="L97" t="n">
        <v>0</v>
      </c>
      <c r="M97" t="n">
        <v>0</v>
      </c>
      <c r="N97" t="n">
        <v>0</v>
      </c>
      <c r="O97" t="n">
        <v>2</v>
      </c>
      <c r="P97" t="n">
        <v>2</v>
      </c>
      <c r="Q97" t="n">
        <v>5</v>
      </c>
      <c r="R97" s="2" t="inlineStr">
        <is>
          <t>Bitter taggsvamp
Rynkskinn
Kransrams
Svart trolldruva
Blåsippa</t>
        </is>
      </c>
      <c r="S97">
        <f>HYPERLINK("https://klasma.github.io/Logging_2260/artfynd/A 62640-2020 artfynd.xlsx", "A 62640-2020")</f>
        <v/>
      </c>
      <c r="T97">
        <f>HYPERLINK("https://klasma.github.io/Logging_2260/kartor/A 62640-2020 karta.png", "A 62640-2020")</f>
        <v/>
      </c>
      <c r="V97">
        <f>HYPERLINK("https://klasma.github.io/Logging_2260/klagomål/A 62640-2020 FSC-klagomål.docx", "A 62640-2020")</f>
        <v/>
      </c>
      <c r="W97">
        <f>HYPERLINK("https://klasma.github.io/Logging_2260/klagomålsmail/A 62640-2020 FSC-klagomål mail.docx", "A 62640-2020")</f>
        <v/>
      </c>
      <c r="X97">
        <f>HYPERLINK("https://klasma.github.io/Logging_2260/tillsyn/A 62640-2020 tillsynsbegäran.docx", "A 62640-2020")</f>
        <v/>
      </c>
      <c r="Y97">
        <f>HYPERLINK("https://klasma.github.io/Logging_2260/tillsynsmail/A 62640-2020 tillsynsbegäran mail.docx", "A 62640-2020")</f>
        <v/>
      </c>
    </row>
    <row r="98" ht="15" customHeight="1">
      <c r="A98" t="inlineStr">
        <is>
          <t>A 26958-2024</t>
        </is>
      </c>
      <c r="B98" s="1" t="n">
        <v>45470</v>
      </c>
      <c r="C98" s="1" t="n">
        <v>45966</v>
      </c>
      <c r="D98" t="inlineStr">
        <is>
          <t>VÄSTERNORRLANDS LÄN</t>
        </is>
      </c>
      <c r="E98" t="inlineStr">
        <is>
          <t>ÅNGE</t>
        </is>
      </c>
      <c r="F98" t="inlineStr">
        <is>
          <t>SCA</t>
        </is>
      </c>
      <c r="G98" t="n">
        <v>3.8</v>
      </c>
      <c r="H98" t="n">
        <v>2</v>
      </c>
      <c r="I98" t="n">
        <v>1</v>
      </c>
      <c r="J98" t="n">
        <v>3</v>
      </c>
      <c r="K98" t="n">
        <v>0</v>
      </c>
      <c r="L98" t="n">
        <v>0</v>
      </c>
      <c r="M98" t="n">
        <v>0</v>
      </c>
      <c r="N98" t="n">
        <v>0</v>
      </c>
      <c r="O98" t="n">
        <v>3</v>
      </c>
      <c r="P98" t="n">
        <v>0</v>
      </c>
      <c r="Q98" t="n">
        <v>5</v>
      </c>
      <c r="R98" s="2" t="inlineStr">
        <is>
          <t>Garnlav
Tretåig hackspett
Vitgrynig nållav
Gulnål
Tjäder</t>
        </is>
      </c>
      <c r="S98">
        <f>HYPERLINK("https://klasma.github.io/Logging_2260/artfynd/A 26958-2024 artfynd.xlsx", "A 26958-2024")</f>
        <v/>
      </c>
      <c r="T98">
        <f>HYPERLINK("https://klasma.github.io/Logging_2260/kartor/A 26958-2024 karta.png", "A 26958-2024")</f>
        <v/>
      </c>
      <c r="V98">
        <f>HYPERLINK("https://klasma.github.io/Logging_2260/klagomål/A 26958-2024 FSC-klagomål.docx", "A 26958-2024")</f>
        <v/>
      </c>
      <c r="W98">
        <f>HYPERLINK("https://klasma.github.io/Logging_2260/klagomålsmail/A 26958-2024 FSC-klagomål mail.docx", "A 26958-2024")</f>
        <v/>
      </c>
      <c r="X98">
        <f>HYPERLINK("https://klasma.github.io/Logging_2260/tillsyn/A 26958-2024 tillsynsbegäran.docx", "A 26958-2024")</f>
        <v/>
      </c>
      <c r="Y98">
        <f>HYPERLINK("https://klasma.github.io/Logging_2260/tillsynsmail/A 26958-2024 tillsynsbegäran mail.docx", "A 26958-2024")</f>
        <v/>
      </c>
      <c r="Z98">
        <f>HYPERLINK("https://klasma.github.io/Logging_2260/fåglar/A 26958-2024 prioriterade fågelarter.docx", "A 26958-2024")</f>
        <v/>
      </c>
    </row>
    <row r="99" ht="15" customHeight="1">
      <c r="A99" t="inlineStr">
        <is>
          <t>A 38713-2025</t>
        </is>
      </c>
      <c r="B99" s="1" t="n">
        <v>45886.34479166667</v>
      </c>
      <c r="C99" s="1" t="n">
        <v>45966</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11029-2025</t>
        </is>
      </c>
      <c r="B100" s="1" t="n">
        <v>45723</v>
      </c>
      <c r="C100" s="1" t="n">
        <v>45966</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26953-2024</t>
        </is>
      </c>
      <c r="B101" s="1" t="n">
        <v>45470</v>
      </c>
      <c r="C101" s="1" t="n">
        <v>45966</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723-2025</t>
        </is>
      </c>
      <c r="B102" s="1" t="n">
        <v>45665.38576388889</v>
      </c>
      <c r="C102" s="1" t="n">
        <v>45966</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44558-2024</t>
        </is>
      </c>
      <c r="B103" s="1" t="n">
        <v>45574.47001157407</v>
      </c>
      <c r="C103" s="1" t="n">
        <v>45966</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54095-2025</t>
        </is>
      </c>
      <c r="B104" s="1" t="n">
        <v>45964.40685185185</v>
      </c>
      <c r="C104" s="1" t="n">
        <v>45966</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57299-2022</t>
        </is>
      </c>
      <c r="B105" s="1" t="n">
        <v>44895.95090277777</v>
      </c>
      <c r="C105" s="1" t="n">
        <v>45966</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45966</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24796-2024</t>
        </is>
      </c>
      <c r="B107" s="1" t="n">
        <v>45460</v>
      </c>
      <c r="C107" s="1" t="n">
        <v>45966</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39176-2024</t>
        </is>
      </c>
      <c r="B108" s="1" t="n">
        <v>45548</v>
      </c>
      <c r="C108" s="1" t="n">
        <v>45966</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46548-2023</t>
        </is>
      </c>
      <c r="B109" s="1" t="n">
        <v>45197</v>
      </c>
      <c r="C109" s="1" t="n">
        <v>45966</v>
      </c>
      <c r="D109" t="inlineStr">
        <is>
          <t>VÄSTERNORRLANDS LÄN</t>
        </is>
      </c>
      <c r="E109" t="inlineStr">
        <is>
          <t>ÅNGE</t>
        </is>
      </c>
      <c r="F109" t="inlineStr">
        <is>
          <t>SCA</t>
        </is>
      </c>
      <c r="G109" t="n">
        <v>4.1</v>
      </c>
      <c r="H109" t="n">
        <v>3</v>
      </c>
      <c r="I109" t="n">
        <v>2</v>
      </c>
      <c r="J109" t="n">
        <v>0</v>
      </c>
      <c r="K109" t="n">
        <v>1</v>
      </c>
      <c r="L109" t="n">
        <v>0</v>
      </c>
      <c r="M109" t="n">
        <v>0</v>
      </c>
      <c r="N109" t="n">
        <v>0</v>
      </c>
      <c r="O109" t="n">
        <v>1</v>
      </c>
      <c r="P109" t="n">
        <v>1</v>
      </c>
      <c r="Q109" t="n">
        <v>4</v>
      </c>
      <c r="R109" s="2" t="inlineStr">
        <is>
          <t>Knärot
Spindelblomster
Svavelriska
Fläcknycklar</t>
        </is>
      </c>
      <c r="S109">
        <f>HYPERLINK("https://klasma.github.io/Logging_2260/artfynd/A 46548-2023 artfynd.xlsx", "A 46548-2023")</f>
        <v/>
      </c>
      <c r="T109">
        <f>HYPERLINK("https://klasma.github.io/Logging_2260/kartor/A 46548-2023 karta.png", "A 46548-2023")</f>
        <v/>
      </c>
      <c r="U109">
        <f>HYPERLINK("https://klasma.github.io/Logging_2260/knärot/A 46548-2023 karta knärot.png", "A 46548-2023")</f>
        <v/>
      </c>
      <c r="V109">
        <f>HYPERLINK("https://klasma.github.io/Logging_2260/klagomål/A 46548-2023 FSC-klagomål.docx", "A 46548-2023")</f>
        <v/>
      </c>
      <c r="W109">
        <f>HYPERLINK("https://klasma.github.io/Logging_2260/klagomålsmail/A 46548-2023 FSC-klagomål mail.docx", "A 46548-2023")</f>
        <v/>
      </c>
      <c r="X109">
        <f>HYPERLINK("https://klasma.github.io/Logging_2260/tillsyn/A 46548-2023 tillsynsbegäran.docx", "A 46548-2023")</f>
        <v/>
      </c>
      <c r="Y109">
        <f>HYPERLINK("https://klasma.github.io/Logging_2260/tillsynsmail/A 46548-2023 tillsynsbegäran mail.docx", "A 46548-2023")</f>
        <v/>
      </c>
    </row>
    <row r="110" ht="15" customHeight="1">
      <c r="A110" t="inlineStr">
        <is>
          <t>A 38326-2024</t>
        </is>
      </c>
      <c r="B110" s="1" t="n">
        <v>45545.67741898148</v>
      </c>
      <c r="C110" s="1" t="n">
        <v>45966</v>
      </c>
      <c r="D110" t="inlineStr">
        <is>
          <t>VÄSTERNORRLANDS LÄN</t>
        </is>
      </c>
      <c r="E110" t="inlineStr">
        <is>
          <t>ÅNGE</t>
        </is>
      </c>
      <c r="F110" t="inlineStr">
        <is>
          <t>SCA</t>
        </is>
      </c>
      <c r="G110" t="n">
        <v>15</v>
      </c>
      <c r="H110" t="n">
        <v>0</v>
      </c>
      <c r="I110" t="n">
        <v>1</v>
      </c>
      <c r="J110" t="n">
        <v>3</v>
      </c>
      <c r="K110" t="n">
        <v>0</v>
      </c>
      <c r="L110" t="n">
        <v>0</v>
      </c>
      <c r="M110" t="n">
        <v>0</v>
      </c>
      <c r="N110" t="n">
        <v>0</v>
      </c>
      <c r="O110" t="n">
        <v>3</v>
      </c>
      <c r="P110" t="n">
        <v>0</v>
      </c>
      <c r="Q110" t="n">
        <v>4</v>
      </c>
      <c r="R110" s="2" t="inlineStr">
        <is>
          <t>Gammelgransskål
Garnlav
Lunglav
Stuplav</t>
        </is>
      </c>
      <c r="S110">
        <f>HYPERLINK("https://klasma.github.io/Logging_2260/artfynd/A 38326-2024 artfynd.xlsx", "A 38326-2024")</f>
        <v/>
      </c>
      <c r="T110">
        <f>HYPERLINK("https://klasma.github.io/Logging_2260/kartor/A 38326-2024 karta.png", "A 38326-2024")</f>
        <v/>
      </c>
      <c r="V110">
        <f>HYPERLINK("https://klasma.github.io/Logging_2260/klagomål/A 38326-2024 FSC-klagomål.docx", "A 38326-2024")</f>
        <v/>
      </c>
      <c r="W110">
        <f>HYPERLINK("https://klasma.github.io/Logging_2260/klagomålsmail/A 38326-2024 FSC-klagomål mail.docx", "A 38326-2024")</f>
        <v/>
      </c>
      <c r="X110">
        <f>HYPERLINK("https://klasma.github.io/Logging_2260/tillsyn/A 38326-2024 tillsynsbegäran.docx", "A 38326-2024")</f>
        <v/>
      </c>
      <c r="Y110">
        <f>HYPERLINK("https://klasma.github.io/Logging_2260/tillsynsmail/A 38326-2024 tillsynsbegäran mail.docx", "A 38326-2024")</f>
        <v/>
      </c>
    </row>
    <row r="111" ht="15" customHeight="1">
      <c r="A111" t="inlineStr">
        <is>
          <t>A 27956-2021</t>
        </is>
      </c>
      <c r="B111" s="1" t="n">
        <v>44354</v>
      </c>
      <c r="C111" s="1" t="n">
        <v>45966</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45966</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45966</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29691-2024</t>
        </is>
      </c>
      <c r="B114" s="1" t="n">
        <v>45484.9446875</v>
      </c>
      <c r="C114" s="1" t="n">
        <v>45966</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39029-2025</t>
        </is>
      </c>
      <c r="B115" s="1" t="n">
        <v>45888.40684027778</v>
      </c>
      <c r="C115" s="1" t="n">
        <v>45966</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7533-2023</t>
        </is>
      </c>
      <c r="B116" s="1" t="n">
        <v>44971</v>
      </c>
      <c r="C116" s="1" t="n">
        <v>45966</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39181-2024</t>
        </is>
      </c>
      <c r="B117" s="1" t="n">
        <v>45548</v>
      </c>
      <c r="C117" s="1" t="n">
        <v>45966</v>
      </c>
      <c r="D117" t="inlineStr">
        <is>
          <t>VÄSTERNORRLANDS LÄN</t>
        </is>
      </c>
      <c r="E117" t="inlineStr">
        <is>
          <t>ÅNGE</t>
        </is>
      </c>
      <c r="F117" t="inlineStr">
        <is>
          <t>SCA</t>
        </is>
      </c>
      <c r="G117" t="n">
        <v>21.1</v>
      </c>
      <c r="H117" t="n">
        <v>1</v>
      </c>
      <c r="I117" t="n">
        <v>1</v>
      </c>
      <c r="J117" t="n">
        <v>1</v>
      </c>
      <c r="K117" t="n">
        <v>1</v>
      </c>
      <c r="L117" t="n">
        <v>0</v>
      </c>
      <c r="M117" t="n">
        <v>0</v>
      </c>
      <c r="N117" t="n">
        <v>0</v>
      </c>
      <c r="O117" t="n">
        <v>2</v>
      </c>
      <c r="P117" t="n">
        <v>1</v>
      </c>
      <c r="Q117" t="n">
        <v>3</v>
      </c>
      <c r="R117" s="2" t="inlineStr">
        <is>
          <t>Knärot
Granticka
Kransrams</t>
        </is>
      </c>
      <c r="S117">
        <f>HYPERLINK("https://klasma.github.io/Logging_2260/artfynd/A 39181-2024 artfynd.xlsx", "A 39181-2024")</f>
        <v/>
      </c>
      <c r="T117">
        <f>HYPERLINK("https://klasma.github.io/Logging_2260/kartor/A 39181-2024 karta.png", "A 39181-2024")</f>
        <v/>
      </c>
      <c r="U117">
        <f>HYPERLINK("https://klasma.github.io/Logging_2260/knärot/A 39181-2024 karta knärot.png", "A 39181-2024")</f>
        <v/>
      </c>
      <c r="V117">
        <f>HYPERLINK("https://klasma.github.io/Logging_2260/klagomål/A 39181-2024 FSC-klagomål.docx", "A 39181-2024")</f>
        <v/>
      </c>
      <c r="W117">
        <f>HYPERLINK("https://klasma.github.io/Logging_2260/klagomålsmail/A 39181-2024 FSC-klagomål mail.docx", "A 39181-2024")</f>
        <v/>
      </c>
      <c r="X117">
        <f>HYPERLINK("https://klasma.github.io/Logging_2260/tillsyn/A 39181-2024 tillsynsbegäran.docx", "A 39181-2024")</f>
        <v/>
      </c>
      <c r="Y117">
        <f>HYPERLINK("https://klasma.github.io/Logging_2260/tillsynsmail/A 39181-2024 tillsynsbegäran mail.docx", "A 39181-2024")</f>
        <v/>
      </c>
    </row>
    <row r="118" ht="15" customHeight="1">
      <c r="A118" t="inlineStr">
        <is>
          <t>A 49530-2025</t>
        </is>
      </c>
      <c r="B118" s="1" t="n">
        <v>45939.40700231482</v>
      </c>
      <c r="C118" s="1" t="n">
        <v>45966</v>
      </c>
      <c r="D118" t="inlineStr">
        <is>
          <t>VÄSTERNORRLANDS LÄN</t>
        </is>
      </c>
      <c r="E118" t="inlineStr">
        <is>
          <t>ÅNGE</t>
        </is>
      </c>
      <c r="F118" t="inlineStr">
        <is>
          <t>SCA</t>
        </is>
      </c>
      <c r="G118" t="n">
        <v>5.1</v>
      </c>
      <c r="H118" t="n">
        <v>1</v>
      </c>
      <c r="I118" t="n">
        <v>1</v>
      </c>
      <c r="J118" t="n">
        <v>1</v>
      </c>
      <c r="K118" t="n">
        <v>0</v>
      </c>
      <c r="L118" t="n">
        <v>0</v>
      </c>
      <c r="M118" t="n">
        <v>0</v>
      </c>
      <c r="N118" t="n">
        <v>0</v>
      </c>
      <c r="O118" t="n">
        <v>1</v>
      </c>
      <c r="P118" t="n">
        <v>0</v>
      </c>
      <c r="Q118" t="n">
        <v>3</v>
      </c>
      <c r="R118" s="2" t="inlineStr">
        <is>
          <t>Lunglav
Strutbräken
Revlummer</t>
        </is>
      </c>
      <c r="S118">
        <f>HYPERLINK("https://klasma.github.io/Logging_2260/artfynd/A 49530-2025 artfynd.xlsx", "A 49530-2025")</f>
        <v/>
      </c>
      <c r="T118">
        <f>HYPERLINK("https://klasma.github.io/Logging_2260/kartor/A 49530-2025 karta.png", "A 49530-2025")</f>
        <v/>
      </c>
      <c r="V118">
        <f>HYPERLINK("https://klasma.github.io/Logging_2260/klagomål/A 49530-2025 FSC-klagomål.docx", "A 49530-2025")</f>
        <v/>
      </c>
      <c r="W118">
        <f>HYPERLINK("https://klasma.github.io/Logging_2260/klagomålsmail/A 49530-2025 FSC-klagomål mail.docx", "A 49530-2025")</f>
        <v/>
      </c>
      <c r="X118">
        <f>HYPERLINK("https://klasma.github.io/Logging_2260/tillsyn/A 49530-2025 tillsynsbegäran.docx", "A 49530-2025")</f>
        <v/>
      </c>
      <c r="Y118">
        <f>HYPERLINK("https://klasma.github.io/Logging_2260/tillsynsmail/A 49530-2025 tillsynsbegäran mail.docx", "A 49530-2025")</f>
        <v/>
      </c>
    </row>
    <row r="119" ht="15" customHeight="1">
      <c r="A119" t="inlineStr">
        <is>
          <t>A 24795-2024</t>
        </is>
      </c>
      <c r="B119" s="1" t="n">
        <v>45460.95252314815</v>
      </c>
      <c r="C119" s="1" t="n">
        <v>45966</v>
      </c>
      <c r="D119" t="inlineStr">
        <is>
          <t>VÄSTERNORRLANDS LÄN</t>
        </is>
      </c>
      <c r="E119" t="inlineStr">
        <is>
          <t>ÅNGE</t>
        </is>
      </c>
      <c r="F119" t="inlineStr">
        <is>
          <t>SCA</t>
        </is>
      </c>
      <c r="G119" t="n">
        <v>2.2</v>
      </c>
      <c r="H119" t="n">
        <v>1</v>
      </c>
      <c r="I119" t="n">
        <v>2</v>
      </c>
      <c r="J119" t="n">
        <v>1</v>
      </c>
      <c r="K119" t="n">
        <v>0</v>
      </c>
      <c r="L119" t="n">
        <v>0</v>
      </c>
      <c r="M119" t="n">
        <v>0</v>
      </c>
      <c r="N119" t="n">
        <v>0</v>
      </c>
      <c r="O119" t="n">
        <v>1</v>
      </c>
      <c r="P119" t="n">
        <v>0</v>
      </c>
      <c r="Q119" t="n">
        <v>3</v>
      </c>
      <c r="R119" s="2" t="inlineStr">
        <is>
          <t>Lunglav
Plattlummer
Skinnlav</t>
        </is>
      </c>
      <c r="S119">
        <f>HYPERLINK("https://klasma.github.io/Logging_2260/artfynd/A 24795-2024 artfynd.xlsx", "A 24795-2024")</f>
        <v/>
      </c>
      <c r="T119">
        <f>HYPERLINK("https://klasma.github.io/Logging_2260/kartor/A 24795-2024 karta.png", "A 24795-2024")</f>
        <v/>
      </c>
      <c r="V119">
        <f>HYPERLINK("https://klasma.github.io/Logging_2260/klagomål/A 24795-2024 FSC-klagomål.docx", "A 24795-2024")</f>
        <v/>
      </c>
      <c r="W119">
        <f>HYPERLINK("https://klasma.github.io/Logging_2260/klagomålsmail/A 24795-2024 FSC-klagomål mail.docx", "A 24795-2024")</f>
        <v/>
      </c>
      <c r="X119">
        <f>HYPERLINK("https://klasma.github.io/Logging_2260/tillsyn/A 24795-2024 tillsynsbegäran.docx", "A 24795-2024")</f>
        <v/>
      </c>
      <c r="Y119">
        <f>HYPERLINK("https://klasma.github.io/Logging_2260/tillsynsmail/A 24795-2024 tillsynsbegäran mail.docx", "A 24795-2024")</f>
        <v/>
      </c>
    </row>
    <row r="120" ht="15" customHeight="1">
      <c r="A120" t="inlineStr">
        <is>
          <t>A 41868-2025</t>
        </is>
      </c>
      <c r="B120" s="1" t="n">
        <v>45903.34429398148</v>
      </c>
      <c r="C120" s="1" t="n">
        <v>45966</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28274-2023</t>
        </is>
      </c>
      <c r="B121" s="1" t="n">
        <v>45099</v>
      </c>
      <c r="C121" s="1" t="n">
        <v>45966</v>
      </c>
      <c r="D121" t="inlineStr">
        <is>
          <t>VÄSTERNORRLANDS LÄN</t>
        </is>
      </c>
      <c r="E121" t="inlineStr">
        <is>
          <t>ÅNGE</t>
        </is>
      </c>
      <c r="G121" t="n">
        <v>19.2</v>
      </c>
      <c r="H121" t="n">
        <v>1</v>
      </c>
      <c r="I121" t="n">
        <v>1</v>
      </c>
      <c r="J121" t="n">
        <v>1</v>
      </c>
      <c r="K121" t="n">
        <v>1</v>
      </c>
      <c r="L121" t="n">
        <v>0</v>
      </c>
      <c r="M121" t="n">
        <v>0</v>
      </c>
      <c r="N121" t="n">
        <v>0</v>
      </c>
      <c r="O121" t="n">
        <v>2</v>
      </c>
      <c r="P121" t="n">
        <v>1</v>
      </c>
      <c r="Q121" t="n">
        <v>3</v>
      </c>
      <c r="R121" s="2" t="inlineStr">
        <is>
          <t>Knärot
Lunglav
Grönpyrola</t>
        </is>
      </c>
      <c r="S121">
        <f>HYPERLINK("https://klasma.github.io/Logging_2260/artfynd/A 28274-2023 artfynd.xlsx", "A 28274-2023")</f>
        <v/>
      </c>
      <c r="T121">
        <f>HYPERLINK("https://klasma.github.io/Logging_2260/kartor/A 28274-2023 karta.png", "A 28274-2023")</f>
        <v/>
      </c>
      <c r="U121">
        <f>HYPERLINK("https://klasma.github.io/Logging_2260/knärot/A 28274-2023 karta knärot.png", "A 28274-2023")</f>
        <v/>
      </c>
      <c r="V121">
        <f>HYPERLINK("https://klasma.github.io/Logging_2260/klagomål/A 28274-2023 FSC-klagomål.docx", "A 28274-2023")</f>
        <v/>
      </c>
      <c r="W121">
        <f>HYPERLINK("https://klasma.github.io/Logging_2260/klagomålsmail/A 28274-2023 FSC-klagomål mail.docx", "A 28274-2023")</f>
        <v/>
      </c>
      <c r="X121">
        <f>HYPERLINK("https://klasma.github.io/Logging_2260/tillsyn/A 28274-2023 tillsynsbegäran.docx", "A 28274-2023")</f>
        <v/>
      </c>
      <c r="Y121">
        <f>HYPERLINK("https://klasma.github.io/Logging_2260/tillsynsmail/A 28274-2023 tillsynsbegäran mail.docx", "A 28274-2023")</f>
        <v/>
      </c>
    </row>
    <row r="122" ht="15" customHeight="1">
      <c r="A122" t="inlineStr">
        <is>
          <t>A 50259-2025</t>
        </is>
      </c>
      <c r="B122" s="1" t="n">
        <v>45944.34498842592</v>
      </c>
      <c r="C122" s="1" t="n">
        <v>45966</v>
      </c>
      <c r="D122" t="inlineStr">
        <is>
          <t>VÄSTERNORRLANDS LÄN</t>
        </is>
      </c>
      <c r="E122" t="inlineStr">
        <is>
          <t>ÅNGE</t>
        </is>
      </c>
      <c r="F122" t="inlineStr">
        <is>
          <t>SCA</t>
        </is>
      </c>
      <c r="G122" t="n">
        <v>1.7</v>
      </c>
      <c r="H122" t="n">
        <v>1</v>
      </c>
      <c r="I122" t="n">
        <v>1</v>
      </c>
      <c r="J122" t="n">
        <v>1</v>
      </c>
      <c r="K122" t="n">
        <v>0</v>
      </c>
      <c r="L122" t="n">
        <v>0</v>
      </c>
      <c r="M122" t="n">
        <v>0</v>
      </c>
      <c r="N122" t="n">
        <v>0</v>
      </c>
      <c r="O122" t="n">
        <v>1</v>
      </c>
      <c r="P122" t="n">
        <v>0</v>
      </c>
      <c r="Q122" t="n">
        <v>3</v>
      </c>
      <c r="R122" s="2" t="inlineStr">
        <is>
          <t>Lunglav
Bollvitmossa
Fläcknycklar</t>
        </is>
      </c>
      <c r="S122">
        <f>HYPERLINK("https://klasma.github.io/Logging_2260/artfynd/A 50259-2025 artfynd.xlsx", "A 50259-2025")</f>
        <v/>
      </c>
      <c r="T122">
        <f>HYPERLINK("https://klasma.github.io/Logging_2260/kartor/A 50259-2025 karta.png", "A 50259-2025")</f>
        <v/>
      </c>
      <c r="V122">
        <f>HYPERLINK("https://klasma.github.io/Logging_2260/klagomål/A 50259-2025 FSC-klagomål.docx", "A 50259-2025")</f>
        <v/>
      </c>
      <c r="W122">
        <f>HYPERLINK("https://klasma.github.io/Logging_2260/klagomålsmail/A 50259-2025 FSC-klagomål mail.docx", "A 50259-2025")</f>
        <v/>
      </c>
      <c r="X122">
        <f>HYPERLINK("https://klasma.github.io/Logging_2260/tillsyn/A 50259-2025 tillsynsbegäran.docx", "A 50259-2025")</f>
        <v/>
      </c>
      <c r="Y122">
        <f>HYPERLINK("https://klasma.github.io/Logging_2260/tillsynsmail/A 50259-2025 tillsynsbegäran mail.docx", "A 50259-2025")</f>
        <v/>
      </c>
    </row>
    <row r="123" ht="15" customHeight="1">
      <c r="A123" t="inlineStr">
        <is>
          <t>A 43319-2025</t>
        </is>
      </c>
      <c r="B123" s="1" t="n">
        <v>45910.65681712963</v>
      </c>
      <c r="C123" s="1" t="n">
        <v>45966</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21267-2025</t>
        </is>
      </c>
      <c r="B124" s="1" t="n">
        <v>45779</v>
      </c>
      <c r="C124" s="1" t="n">
        <v>45966</v>
      </c>
      <c r="D124" t="inlineStr">
        <is>
          <t>VÄSTERNORRLANDS LÄN</t>
        </is>
      </c>
      <c r="E124" t="inlineStr">
        <is>
          <t>ÅNGE</t>
        </is>
      </c>
      <c r="F124" t="inlineStr">
        <is>
          <t>Sveaskog</t>
        </is>
      </c>
      <c r="G124" t="n">
        <v>3.7</v>
      </c>
      <c r="H124" t="n">
        <v>2</v>
      </c>
      <c r="I124" t="n">
        <v>2</v>
      </c>
      <c r="J124" t="n">
        <v>1</v>
      </c>
      <c r="K124" t="n">
        <v>0</v>
      </c>
      <c r="L124" t="n">
        <v>0</v>
      </c>
      <c r="M124" t="n">
        <v>0</v>
      </c>
      <c r="N124" t="n">
        <v>0</v>
      </c>
      <c r="O124" t="n">
        <v>1</v>
      </c>
      <c r="P124" t="n">
        <v>0</v>
      </c>
      <c r="Q124" t="n">
        <v>3</v>
      </c>
      <c r="R124" s="2" t="inlineStr">
        <is>
          <t>Lunglav
Korallrot
Spindelblomster</t>
        </is>
      </c>
      <c r="S124">
        <f>HYPERLINK("https://klasma.github.io/Logging_2260/artfynd/A 21267-2025 artfynd.xlsx", "A 21267-2025")</f>
        <v/>
      </c>
      <c r="T124">
        <f>HYPERLINK("https://klasma.github.io/Logging_2260/kartor/A 21267-2025 karta.png", "A 21267-2025")</f>
        <v/>
      </c>
      <c r="V124">
        <f>HYPERLINK("https://klasma.github.io/Logging_2260/klagomål/A 21267-2025 FSC-klagomål.docx", "A 21267-2025")</f>
        <v/>
      </c>
      <c r="W124">
        <f>HYPERLINK("https://klasma.github.io/Logging_2260/klagomålsmail/A 21267-2025 FSC-klagomål mail.docx", "A 21267-2025")</f>
        <v/>
      </c>
      <c r="X124">
        <f>HYPERLINK("https://klasma.github.io/Logging_2260/tillsyn/A 21267-2025 tillsynsbegäran.docx", "A 21267-2025")</f>
        <v/>
      </c>
      <c r="Y124">
        <f>HYPERLINK("https://klasma.github.io/Logging_2260/tillsynsmail/A 21267-2025 tillsynsbegäran mail.docx", "A 21267-2025")</f>
        <v/>
      </c>
    </row>
    <row r="125" ht="15" customHeight="1">
      <c r="A125" t="inlineStr">
        <is>
          <t>A 23754-2025</t>
        </is>
      </c>
      <c r="B125" s="1" t="n">
        <v>45793.45782407407</v>
      </c>
      <c r="C125" s="1" t="n">
        <v>45966</v>
      </c>
      <c r="D125" t="inlineStr">
        <is>
          <t>VÄSTERNORRLANDS LÄN</t>
        </is>
      </c>
      <c r="E125" t="inlineStr">
        <is>
          <t>ÅNGE</t>
        </is>
      </c>
      <c r="F125" t="inlineStr">
        <is>
          <t>Sveaskog</t>
        </is>
      </c>
      <c r="G125" t="n">
        <v>4.3</v>
      </c>
      <c r="H125" t="n">
        <v>3</v>
      </c>
      <c r="I125" t="n">
        <v>0</v>
      </c>
      <c r="J125" t="n">
        <v>1</v>
      </c>
      <c r="K125" t="n">
        <v>0</v>
      </c>
      <c r="L125" t="n">
        <v>0</v>
      </c>
      <c r="M125" t="n">
        <v>0</v>
      </c>
      <c r="N125" t="n">
        <v>0</v>
      </c>
      <c r="O125" t="n">
        <v>1</v>
      </c>
      <c r="P125" t="n">
        <v>0</v>
      </c>
      <c r="Q125" t="n">
        <v>3</v>
      </c>
      <c r="R125" s="2" t="inlineStr">
        <is>
          <t>Spillkråka
Tjäder
Blåsippa</t>
        </is>
      </c>
      <c r="S125">
        <f>HYPERLINK("https://klasma.github.io/Logging_2260/artfynd/A 23754-2025 artfynd.xlsx", "A 23754-2025")</f>
        <v/>
      </c>
      <c r="T125">
        <f>HYPERLINK("https://klasma.github.io/Logging_2260/kartor/A 23754-2025 karta.png", "A 23754-2025")</f>
        <v/>
      </c>
      <c r="U125">
        <f>HYPERLINK("https://klasma.github.io/Logging_2260/knärot/A 23754-2025 karta knärot.png", "A 23754-2025")</f>
        <v/>
      </c>
      <c r="V125">
        <f>HYPERLINK("https://klasma.github.io/Logging_2260/klagomål/A 23754-2025 FSC-klagomål.docx", "A 23754-2025")</f>
        <v/>
      </c>
      <c r="W125">
        <f>HYPERLINK("https://klasma.github.io/Logging_2260/klagomålsmail/A 23754-2025 FSC-klagomål mail.docx", "A 23754-2025")</f>
        <v/>
      </c>
      <c r="X125">
        <f>HYPERLINK("https://klasma.github.io/Logging_2260/tillsyn/A 23754-2025 tillsynsbegäran.docx", "A 23754-2025")</f>
        <v/>
      </c>
      <c r="Y125">
        <f>HYPERLINK("https://klasma.github.io/Logging_2260/tillsynsmail/A 23754-2025 tillsynsbegäran mail.docx", "A 23754-2025")</f>
        <v/>
      </c>
      <c r="Z125">
        <f>HYPERLINK("https://klasma.github.io/Logging_2260/fåglar/A 23754-2025 prioriterade fågelarter.docx", "A 23754-2025")</f>
        <v/>
      </c>
    </row>
    <row r="126" ht="15" customHeight="1">
      <c r="A126" t="inlineStr">
        <is>
          <t>A 23759-2025</t>
        </is>
      </c>
      <c r="B126" s="1" t="n">
        <v>45793.46409722222</v>
      </c>
      <c r="C126" s="1" t="n">
        <v>45966</v>
      </c>
      <c r="D126" t="inlineStr">
        <is>
          <t>VÄSTERNORRLANDS LÄN</t>
        </is>
      </c>
      <c r="E126" t="inlineStr">
        <is>
          <t>ÅNGE</t>
        </is>
      </c>
      <c r="F126" t="inlineStr">
        <is>
          <t>Sveaskog</t>
        </is>
      </c>
      <c r="G126" t="n">
        <v>5.2</v>
      </c>
      <c r="H126" t="n">
        <v>0</v>
      </c>
      <c r="I126" t="n">
        <v>1</v>
      </c>
      <c r="J126" t="n">
        <v>2</v>
      </c>
      <c r="K126" t="n">
        <v>0</v>
      </c>
      <c r="L126" t="n">
        <v>0</v>
      </c>
      <c r="M126" t="n">
        <v>0</v>
      </c>
      <c r="N126" t="n">
        <v>0</v>
      </c>
      <c r="O126" t="n">
        <v>2</v>
      </c>
      <c r="P126" t="n">
        <v>0</v>
      </c>
      <c r="Q126" t="n">
        <v>3</v>
      </c>
      <c r="R126" s="2" t="inlineStr">
        <is>
          <t>Lunglav
Skrovellav
Korallblylav</t>
        </is>
      </c>
      <c r="S126">
        <f>HYPERLINK("https://klasma.github.io/Logging_2260/artfynd/A 23759-2025 artfynd.xlsx", "A 23759-2025")</f>
        <v/>
      </c>
      <c r="T126">
        <f>HYPERLINK("https://klasma.github.io/Logging_2260/kartor/A 23759-2025 karta.png", "A 23759-2025")</f>
        <v/>
      </c>
      <c r="V126">
        <f>HYPERLINK("https://klasma.github.io/Logging_2260/klagomål/A 23759-2025 FSC-klagomål.docx", "A 23759-2025")</f>
        <v/>
      </c>
      <c r="W126">
        <f>HYPERLINK("https://klasma.github.io/Logging_2260/klagomålsmail/A 23759-2025 FSC-klagomål mail.docx", "A 23759-2025")</f>
        <v/>
      </c>
      <c r="X126">
        <f>HYPERLINK("https://klasma.github.io/Logging_2260/tillsyn/A 23759-2025 tillsynsbegäran.docx", "A 23759-2025")</f>
        <v/>
      </c>
      <c r="Y126">
        <f>HYPERLINK("https://klasma.github.io/Logging_2260/tillsynsmail/A 23759-2025 tillsynsbegäran mail.docx", "A 23759-2025")</f>
        <v/>
      </c>
    </row>
    <row r="127" ht="15" customHeight="1">
      <c r="A127" t="inlineStr">
        <is>
          <t>A 43880-2025</t>
        </is>
      </c>
      <c r="B127" s="1" t="n">
        <v>45912</v>
      </c>
      <c r="C127" s="1" t="n">
        <v>45966</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53710-2025</t>
        </is>
      </c>
      <c r="B128" s="1" t="n">
        <v>45960.6153125</v>
      </c>
      <c r="C128" s="1" t="n">
        <v>45966</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39708-2024</t>
        </is>
      </c>
      <c r="B129" s="1" t="n">
        <v>45552.59408564815</v>
      </c>
      <c r="C129" s="1" t="n">
        <v>45966</v>
      </c>
      <c r="D129" t="inlineStr">
        <is>
          <t>VÄSTERNORRLANDS LÄN</t>
        </is>
      </c>
      <c r="E129" t="inlineStr">
        <is>
          <t>ÅNGE</t>
        </is>
      </c>
      <c r="F129" t="inlineStr">
        <is>
          <t>SCA</t>
        </is>
      </c>
      <c r="G129" t="n">
        <v>6.2</v>
      </c>
      <c r="H129" t="n">
        <v>0</v>
      </c>
      <c r="I129" t="n">
        <v>0</v>
      </c>
      <c r="J129" t="n">
        <v>3</v>
      </c>
      <c r="K129" t="n">
        <v>0</v>
      </c>
      <c r="L129" t="n">
        <v>0</v>
      </c>
      <c r="M129" t="n">
        <v>0</v>
      </c>
      <c r="N129" t="n">
        <v>0</v>
      </c>
      <c r="O129" t="n">
        <v>3</v>
      </c>
      <c r="P129" t="n">
        <v>0</v>
      </c>
      <c r="Q129" t="n">
        <v>3</v>
      </c>
      <c r="R129" s="2" t="inlineStr">
        <is>
          <t>Granticka
Ullticka
Vitgrynig nållav</t>
        </is>
      </c>
      <c r="S129">
        <f>HYPERLINK("https://klasma.github.io/Logging_2260/artfynd/A 39708-2024 artfynd.xlsx", "A 39708-2024")</f>
        <v/>
      </c>
      <c r="T129">
        <f>HYPERLINK("https://klasma.github.io/Logging_2260/kartor/A 39708-2024 karta.png", "A 39708-2024")</f>
        <v/>
      </c>
      <c r="V129">
        <f>HYPERLINK("https://klasma.github.io/Logging_2260/klagomål/A 39708-2024 FSC-klagomål.docx", "A 39708-2024")</f>
        <v/>
      </c>
      <c r="W129">
        <f>HYPERLINK("https://klasma.github.io/Logging_2260/klagomålsmail/A 39708-2024 FSC-klagomål mail.docx", "A 39708-2024")</f>
        <v/>
      </c>
      <c r="X129">
        <f>HYPERLINK("https://klasma.github.io/Logging_2260/tillsyn/A 39708-2024 tillsynsbegäran.docx", "A 39708-2024")</f>
        <v/>
      </c>
      <c r="Y129">
        <f>HYPERLINK("https://klasma.github.io/Logging_2260/tillsynsmail/A 39708-2024 tillsynsbegäran mail.docx", "A 39708-2024")</f>
        <v/>
      </c>
    </row>
    <row r="130" ht="15" customHeight="1">
      <c r="A130" t="inlineStr">
        <is>
          <t>A 22996-2023</t>
        </is>
      </c>
      <c r="B130" s="1" t="n">
        <v>45072</v>
      </c>
      <c r="C130" s="1" t="n">
        <v>45966</v>
      </c>
      <c r="D130" t="inlineStr">
        <is>
          <t>VÄSTERNORRLANDS LÄN</t>
        </is>
      </c>
      <c r="E130" t="inlineStr">
        <is>
          <t>ÅNGE</t>
        </is>
      </c>
      <c r="F130" t="inlineStr">
        <is>
          <t>SCA</t>
        </is>
      </c>
      <c r="G130" t="n">
        <v>2.2</v>
      </c>
      <c r="H130" t="n">
        <v>1</v>
      </c>
      <c r="I130" t="n">
        <v>0</v>
      </c>
      <c r="J130" t="n">
        <v>2</v>
      </c>
      <c r="K130" t="n">
        <v>1</v>
      </c>
      <c r="L130" t="n">
        <v>0</v>
      </c>
      <c r="M130" t="n">
        <v>0</v>
      </c>
      <c r="N130" t="n">
        <v>0</v>
      </c>
      <c r="O130" t="n">
        <v>3</v>
      </c>
      <c r="P130" t="n">
        <v>1</v>
      </c>
      <c r="Q130" t="n">
        <v>3</v>
      </c>
      <c r="R130" s="2" t="inlineStr">
        <is>
          <t>Knärot
Garnlav
Vedtrappmossa</t>
        </is>
      </c>
      <c r="S130">
        <f>HYPERLINK("https://klasma.github.io/Logging_2260/artfynd/A 22996-2023 artfynd.xlsx", "A 22996-2023")</f>
        <v/>
      </c>
      <c r="T130">
        <f>HYPERLINK("https://klasma.github.io/Logging_2260/kartor/A 22996-2023 karta.png", "A 22996-2023")</f>
        <v/>
      </c>
      <c r="U130">
        <f>HYPERLINK("https://klasma.github.io/Logging_2260/knärot/A 22996-2023 karta knärot.png", "A 22996-2023")</f>
        <v/>
      </c>
      <c r="V130">
        <f>HYPERLINK("https://klasma.github.io/Logging_2260/klagomål/A 22996-2023 FSC-klagomål.docx", "A 22996-2023")</f>
        <v/>
      </c>
      <c r="W130">
        <f>HYPERLINK("https://klasma.github.io/Logging_2260/klagomålsmail/A 22996-2023 FSC-klagomål mail.docx", "A 22996-2023")</f>
        <v/>
      </c>
      <c r="X130">
        <f>HYPERLINK("https://klasma.github.io/Logging_2260/tillsyn/A 22996-2023 tillsynsbegäran.docx", "A 22996-2023")</f>
        <v/>
      </c>
      <c r="Y130">
        <f>HYPERLINK("https://klasma.github.io/Logging_2260/tillsynsmail/A 22996-2023 tillsynsbegäran mail.docx", "A 22996-2023")</f>
        <v/>
      </c>
    </row>
    <row r="131" ht="15" customHeight="1">
      <c r="A131" t="inlineStr">
        <is>
          <t>A 26679-2025</t>
        </is>
      </c>
      <c r="B131" s="1" t="n">
        <v>45810</v>
      </c>
      <c r="C131" s="1" t="n">
        <v>45966</v>
      </c>
      <c r="D131" t="inlineStr">
        <is>
          <t>VÄSTERNORRLANDS LÄN</t>
        </is>
      </c>
      <c r="E131" t="inlineStr">
        <is>
          <t>ÅNGE</t>
        </is>
      </c>
      <c r="F131" t="inlineStr">
        <is>
          <t>SCA</t>
        </is>
      </c>
      <c r="G131" t="n">
        <v>5.9</v>
      </c>
      <c r="H131" t="n">
        <v>0</v>
      </c>
      <c r="I131" t="n">
        <v>1</v>
      </c>
      <c r="J131" t="n">
        <v>2</v>
      </c>
      <c r="K131" t="n">
        <v>0</v>
      </c>
      <c r="L131" t="n">
        <v>0</v>
      </c>
      <c r="M131" t="n">
        <v>0</v>
      </c>
      <c r="N131" t="n">
        <v>0</v>
      </c>
      <c r="O131" t="n">
        <v>2</v>
      </c>
      <c r="P131" t="n">
        <v>0</v>
      </c>
      <c r="Q131" t="n">
        <v>3</v>
      </c>
      <c r="R131" s="2" t="inlineStr">
        <is>
          <t>Garnlav
Lunglav
Rödgul trumpetsvamp</t>
        </is>
      </c>
      <c r="S131">
        <f>HYPERLINK("https://klasma.github.io/Logging_2260/artfynd/A 26679-2025 artfynd.xlsx", "A 26679-2025")</f>
        <v/>
      </c>
      <c r="T131">
        <f>HYPERLINK("https://klasma.github.io/Logging_2260/kartor/A 26679-2025 karta.png", "A 26679-2025")</f>
        <v/>
      </c>
      <c r="V131">
        <f>HYPERLINK("https://klasma.github.io/Logging_2260/klagomål/A 26679-2025 FSC-klagomål.docx", "A 26679-2025")</f>
        <v/>
      </c>
      <c r="W131">
        <f>HYPERLINK("https://klasma.github.io/Logging_2260/klagomålsmail/A 26679-2025 FSC-klagomål mail.docx", "A 26679-2025")</f>
        <v/>
      </c>
      <c r="X131">
        <f>HYPERLINK("https://klasma.github.io/Logging_2260/tillsyn/A 26679-2025 tillsynsbegäran.docx", "A 26679-2025")</f>
        <v/>
      </c>
      <c r="Y131">
        <f>HYPERLINK("https://klasma.github.io/Logging_2260/tillsynsmail/A 26679-2025 tillsynsbegäran mail.docx", "A 26679-2025")</f>
        <v/>
      </c>
    </row>
    <row r="132" ht="15" customHeight="1">
      <c r="A132" t="inlineStr">
        <is>
          <t>A 16307-2025</t>
        </is>
      </c>
      <c r="B132" s="1" t="n">
        <v>45751.34686342593</v>
      </c>
      <c r="C132" s="1" t="n">
        <v>45966</v>
      </c>
      <c r="D132" t="inlineStr">
        <is>
          <t>VÄSTERNORRLANDS LÄN</t>
        </is>
      </c>
      <c r="E132" t="inlineStr">
        <is>
          <t>ÅNGE</t>
        </is>
      </c>
      <c r="F132" t="inlineStr">
        <is>
          <t>SCA</t>
        </is>
      </c>
      <c r="G132" t="n">
        <v>12.3</v>
      </c>
      <c r="H132" t="n">
        <v>1</v>
      </c>
      <c r="I132" t="n">
        <v>2</v>
      </c>
      <c r="J132" t="n">
        <v>0</v>
      </c>
      <c r="K132" t="n">
        <v>0</v>
      </c>
      <c r="L132" t="n">
        <v>0</v>
      </c>
      <c r="M132" t="n">
        <v>0</v>
      </c>
      <c r="N132" t="n">
        <v>0</v>
      </c>
      <c r="O132" t="n">
        <v>0</v>
      </c>
      <c r="P132" t="n">
        <v>0</v>
      </c>
      <c r="Q132" t="n">
        <v>3</v>
      </c>
      <c r="R132" s="2" t="inlineStr">
        <is>
          <t>Stor aspticka
Vårärt
Blåsippa</t>
        </is>
      </c>
      <c r="S132">
        <f>HYPERLINK("https://klasma.github.io/Logging_2260/artfynd/A 16307-2025 artfynd.xlsx", "A 16307-2025")</f>
        <v/>
      </c>
      <c r="T132">
        <f>HYPERLINK("https://klasma.github.io/Logging_2260/kartor/A 16307-2025 karta.png", "A 16307-2025")</f>
        <v/>
      </c>
      <c r="V132">
        <f>HYPERLINK("https://klasma.github.io/Logging_2260/klagomål/A 16307-2025 FSC-klagomål.docx", "A 16307-2025")</f>
        <v/>
      </c>
      <c r="W132">
        <f>HYPERLINK("https://klasma.github.io/Logging_2260/klagomålsmail/A 16307-2025 FSC-klagomål mail.docx", "A 16307-2025")</f>
        <v/>
      </c>
      <c r="X132">
        <f>HYPERLINK("https://klasma.github.io/Logging_2260/tillsyn/A 16307-2025 tillsynsbegäran.docx", "A 16307-2025")</f>
        <v/>
      </c>
      <c r="Y132">
        <f>HYPERLINK("https://klasma.github.io/Logging_2260/tillsynsmail/A 16307-2025 tillsynsbegäran mail.docx", "A 16307-2025")</f>
        <v/>
      </c>
    </row>
    <row r="133" ht="15" customHeight="1">
      <c r="A133" t="inlineStr">
        <is>
          <t>A 31212-2025</t>
        </is>
      </c>
      <c r="B133" s="1" t="n">
        <v>45832.71978009259</v>
      </c>
      <c r="C133" s="1" t="n">
        <v>45966</v>
      </c>
      <c r="D133" t="inlineStr">
        <is>
          <t>VÄSTERNORRLANDS LÄN</t>
        </is>
      </c>
      <c r="E133" t="inlineStr">
        <is>
          <t>ÅNGE</t>
        </is>
      </c>
      <c r="F133" t="inlineStr">
        <is>
          <t>SCA</t>
        </is>
      </c>
      <c r="G133" t="n">
        <v>1.6</v>
      </c>
      <c r="H133" t="n">
        <v>0</v>
      </c>
      <c r="I133" t="n">
        <v>2</v>
      </c>
      <c r="J133" t="n">
        <v>1</v>
      </c>
      <c r="K133" t="n">
        <v>0</v>
      </c>
      <c r="L133" t="n">
        <v>0</v>
      </c>
      <c r="M133" t="n">
        <v>0</v>
      </c>
      <c r="N133" t="n">
        <v>0</v>
      </c>
      <c r="O133" t="n">
        <v>1</v>
      </c>
      <c r="P133" t="n">
        <v>0</v>
      </c>
      <c r="Q133" t="n">
        <v>3</v>
      </c>
      <c r="R133" s="2" t="inlineStr">
        <is>
          <t>Ullticka
Barkticka
Korallblylav</t>
        </is>
      </c>
      <c r="S133">
        <f>HYPERLINK("https://klasma.github.io/Logging_2260/artfynd/A 31212-2025 artfynd.xlsx", "A 31212-2025")</f>
        <v/>
      </c>
      <c r="T133">
        <f>HYPERLINK("https://klasma.github.io/Logging_2260/kartor/A 31212-2025 karta.png", "A 31212-2025")</f>
        <v/>
      </c>
      <c r="V133">
        <f>HYPERLINK("https://klasma.github.io/Logging_2260/klagomål/A 31212-2025 FSC-klagomål.docx", "A 31212-2025")</f>
        <v/>
      </c>
      <c r="W133">
        <f>HYPERLINK("https://klasma.github.io/Logging_2260/klagomålsmail/A 31212-2025 FSC-klagomål mail.docx", "A 31212-2025")</f>
        <v/>
      </c>
      <c r="X133">
        <f>HYPERLINK("https://klasma.github.io/Logging_2260/tillsyn/A 31212-2025 tillsynsbegäran.docx", "A 31212-2025")</f>
        <v/>
      </c>
      <c r="Y133">
        <f>HYPERLINK("https://klasma.github.io/Logging_2260/tillsynsmail/A 31212-2025 tillsynsbegäran mail.docx", "A 31212-2025")</f>
        <v/>
      </c>
    </row>
    <row r="134" ht="15" customHeight="1">
      <c r="A134" t="inlineStr">
        <is>
          <t>A 33806-2025</t>
        </is>
      </c>
      <c r="B134" s="1" t="n">
        <v>45842.44865740741</v>
      </c>
      <c r="C134" s="1" t="n">
        <v>45966</v>
      </c>
      <c r="D134" t="inlineStr">
        <is>
          <t>VÄSTERNORRLANDS LÄN</t>
        </is>
      </c>
      <c r="E134" t="inlineStr">
        <is>
          <t>ÅNGE</t>
        </is>
      </c>
      <c r="F134" t="inlineStr">
        <is>
          <t>SCA</t>
        </is>
      </c>
      <c r="G134" t="n">
        <v>24.6</v>
      </c>
      <c r="H134" t="n">
        <v>3</v>
      </c>
      <c r="I134" t="n">
        <v>1</v>
      </c>
      <c r="J134" t="n">
        <v>0</v>
      </c>
      <c r="K134" t="n">
        <v>1</v>
      </c>
      <c r="L134" t="n">
        <v>0</v>
      </c>
      <c r="M134" t="n">
        <v>0</v>
      </c>
      <c r="N134" t="n">
        <v>0</v>
      </c>
      <c r="O134" t="n">
        <v>1</v>
      </c>
      <c r="P134" t="n">
        <v>1</v>
      </c>
      <c r="Q134" t="n">
        <v>3</v>
      </c>
      <c r="R134" s="2" t="inlineStr">
        <is>
          <t>Knärot
Grönkulla
Nattviol</t>
        </is>
      </c>
      <c r="S134">
        <f>HYPERLINK("https://klasma.github.io/Logging_2260/artfynd/A 33806-2025 artfynd.xlsx", "A 33806-2025")</f>
        <v/>
      </c>
      <c r="T134">
        <f>HYPERLINK("https://klasma.github.io/Logging_2260/kartor/A 33806-2025 karta.png", "A 33806-2025")</f>
        <v/>
      </c>
      <c r="U134">
        <f>HYPERLINK("https://klasma.github.io/Logging_2260/knärot/A 33806-2025 karta knärot.png", "A 33806-2025")</f>
        <v/>
      </c>
      <c r="V134">
        <f>HYPERLINK("https://klasma.github.io/Logging_2260/klagomål/A 33806-2025 FSC-klagomål.docx", "A 33806-2025")</f>
        <v/>
      </c>
      <c r="W134">
        <f>HYPERLINK("https://klasma.github.io/Logging_2260/klagomålsmail/A 33806-2025 FSC-klagomål mail.docx", "A 33806-2025")</f>
        <v/>
      </c>
      <c r="X134">
        <f>HYPERLINK("https://klasma.github.io/Logging_2260/tillsyn/A 33806-2025 tillsynsbegäran.docx", "A 33806-2025")</f>
        <v/>
      </c>
      <c r="Y134">
        <f>HYPERLINK("https://klasma.github.io/Logging_2260/tillsynsmail/A 33806-2025 tillsynsbegäran mail.docx", "A 33806-2025")</f>
        <v/>
      </c>
    </row>
    <row r="135" ht="15" customHeight="1">
      <c r="A135" t="inlineStr">
        <is>
          <t>A 37184-2025</t>
        </is>
      </c>
      <c r="B135" s="1" t="n">
        <v>45875.63591435185</v>
      </c>
      <c r="C135" s="1" t="n">
        <v>45966</v>
      </c>
      <c r="D135" t="inlineStr">
        <is>
          <t>VÄSTERNORRLANDS LÄN</t>
        </is>
      </c>
      <c r="E135" t="inlineStr">
        <is>
          <t>ÅNGE</t>
        </is>
      </c>
      <c r="F135" t="inlineStr">
        <is>
          <t>SCA</t>
        </is>
      </c>
      <c r="G135" t="n">
        <v>2.5</v>
      </c>
      <c r="H135" t="n">
        <v>0</v>
      </c>
      <c r="I135" t="n">
        <v>0</v>
      </c>
      <c r="J135" t="n">
        <v>3</v>
      </c>
      <c r="K135" t="n">
        <v>0</v>
      </c>
      <c r="L135" t="n">
        <v>0</v>
      </c>
      <c r="M135" t="n">
        <v>0</v>
      </c>
      <c r="N135" t="n">
        <v>0</v>
      </c>
      <c r="O135" t="n">
        <v>3</v>
      </c>
      <c r="P135" t="n">
        <v>0</v>
      </c>
      <c r="Q135" t="n">
        <v>3</v>
      </c>
      <c r="R135" s="2" t="inlineStr">
        <is>
          <t>Granticka
Lunglav
Rosenticka</t>
        </is>
      </c>
      <c r="S135">
        <f>HYPERLINK("https://klasma.github.io/Logging_2260/artfynd/A 37184-2025 artfynd.xlsx", "A 37184-2025")</f>
        <v/>
      </c>
      <c r="T135">
        <f>HYPERLINK("https://klasma.github.io/Logging_2260/kartor/A 37184-2025 karta.png", "A 37184-2025")</f>
        <v/>
      </c>
      <c r="V135">
        <f>HYPERLINK("https://klasma.github.io/Logging_2260/klagomål/A 37184-2025 FSC-klagomål.docx", "A 37184-2025")</f>
        <v/>
      </c>
      <c r="W135">
        <f>HYPERLINK("https://klasma.github.io/Logging_2260/klagomålsmail/A 37184-2025 FSC-klagomål mail.docx", "A 37184-2025")</f>
        <v/>
      </c>
      <c r="X135">
        <f>HYPERLINK("https://klasma.github.io/Logging_2260/tillsyn/A 37184-2025 tillsynsbegäran.docx", "A 37184-2025")</f>
        <v/>
      </c>
      <c r="Y135">
        <f>HYPERLINK("https://klasma.github.io/Logging_2260/tillsynsmail/A 37184-2025 tillsynsbegäran mail.docx", "A 37184-2025")</f>
        <v/>
      </c>
    </row>
    <row r="136" ht="15" customHeight="1">
      <c r="A136" t="inlineStr">
        <is>
          <t>A 29665-2024</t>
        </is>
      </c>
      <c r="B136" s="1" t="n">
        <v>45484</v>
      </c>
      <c r="C136" s="1" t="n">
        <v>45966</v>
      </c>
      <c r="D136" t="inlineStr">
        <is>
          <t>VÄSTERNORRLANDS LÄN</t>
        </is>
      </c>
      <c r="E136" t="inlineStr">
        <is>
          <t>ÅNGE</t>
        </is>
      </c>
      <c r="F136" t="inlineStr">
        <is>
          <t>SCA</t>
        </is>
      </c>
      <c r="G136" t="n">
        <v>3.3</v>
      </c>
      <c r="H136" t="n">
        <v>1</v>
      </c>
      <c r="I136" t="n">
        <v>0</v>
      </c>
      <c r="J136" t="n">
        <v>3</v>
      </c>
      <c r="K136" t="n">
        <v>0</v>
      </c>
      <c r="L136" t="n">
        <v>0</v>
      </c>
      <c r="M136" t="n">
        <v>0</v>
      </c>
      <c r="N136" t="n">
        <v>0</v>
      </c>
      <c r="O136" t="n">
        <v>3</v>
      </c>
      <c r="P136" t="n">
        <v>0</v>
      </c>
      <c r="Q136" t="n">
        <v>3</v>
      </c>
      <c r="R136" s="2" t="inlineStr">
        <is>
          <t>Garnlav
Granticka
Utter</t>
        </is>
      </c>
      <c r="S136">
        <f>HYPERLINK("https://klasma.github.io/Logging_2260/artfynd/A 29665-2024 artfynd.xlsx", "A 29665-2024")</f>
        <v/>
      </c>
      <c r="T136">
        <f>HYPERLINK("https://klasma.github.io/Logging_2260/kartor/A 29665-2024 karta.png", "A 29665-2024")</f>
        <v/>
      </c>
      <c r="V136">
        <f>HYPERLINK("https://klasma.github.io/Logging_2260/klagomål/A 29665-2024 FSC-klagomål.docx", "A 29665-2024")</f>
        <v/>
      </c>
      <c r="W136">
        <f>HYPERLINK("https://klasma.github.io/Logging_2260/klagomålsmail/A 29665-2024 FSC-klagomål mail.docx", "A 29665-2024")</f>
        <v/>
      </c>
      <c r="X136">
        <f>HYPERLINK("https://klasma.github.io/Logging_2260/tillsyn/A 29665-2024 tillsynsbegäran.docx", "A 29665-2024")</f>
        <v/>
      </c>
      <c r="Y136">
        <f>HYPERLINK("https://klasma.github.io/Logging_2260/tillsynsmail/A 29665-2024 tillsynsbegäran mail.docx", "A 29665-2024")</f>
        <v/>
      </c>
    </row>
    <row r="137" ht="15" customHeight="1">
      <c r="A137" t="inlineStr">
        <is>
          <t>A 46417-2025</t>
        </is>
      </c>
      <c r="B137" s="1" t="n">
        <v>45925.59454861111</v>
      </c>
      <c r="C137" s="1" t="n">
        <v>45966</v>
      </c>
      <c r="D137" t="inlineStr">
        <is>
          <t>VÄSTERNORRLANDS LÄN</t>
        </is>
      </c>
      <c r="E137" t="inlineStr">
        <is>
          <t>ÅNGE</t>
        </is>
      </c>
      <c r="F137" t="inlineStr">
        <is>
          <t>SCA</t>
        </is>
      </c>
      <c r="G137" t="n">
        <v>6.6</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HYPERLINK("https://klasma.github.io/Logging_2260/artfynd/A 46417-2025 artfynd.xlsx", "A 46417-2025")</f>
        <v/>
      </c>
      <c r="T137">
        <f>HYPERLINK("https://klasma.github.io/Logging_2260/kartor/A 46417-2025 karta.png", "A 46417-2025")</f>
        <v/>
      </c>
      <c r="V137">
        <f>HYPERLINK("https://klasma.github.io/Logging_2260/klagomål/A 46417-2025 FSC-klagomål.docx", "A 46417-2025")</f>
        <v/>
      </c>
      <c r="W137">
        <f>HYPERLINK("https://klasma.github.io/Logging_2260/klagomålsmail/A 46417-2025 FSC-klagomål mail.docx", "A 46417-2025")</f>
        <v/>
      </c>
      <c r="X137">
        <f>HYPERLINK("https://klasma.github.io/Logging_2260/tillsyn/A 46417-2025 tillsynsbegäran.docx", "A 46417-2025")</f>
        <v/>
      </c>
      <c r="Y137">
        <f>HYPERLINK("https://klasma.github.io/Logging_2260/tillsynsmail/A 46417-2025 tillsynsbegäran mail.docx", "A 46417-2025")</f>
        <v/>
      </c>
    </row>
    <row r="138" ht="15" customHeight="1">
      <c r="A138" t="inlineStr">
        <is>
          <t>A 38238-2025</t>
        </is>
      </c>
      <c r="B138" s="1" t="n">
        <v>45883.36497685185</v>
      </c>
      <c r="C138" s="1" t="n">
        <v>45966</v>
      </c>
      <c r="D138" t="inlineStr">
        <is>
          <t>VÄSTERNORRLANDS LÄN</t>
        </is>
      </c>
      <c r="E138" t="inlineStr">
        <is>
          <t>ÅNGE</t>
        </is>
      </c>
      <c r="F138" t="inlineStr">
        <is>
          <t>SCA</t>
        </is>
      </c>
      <c r="G138" t="n">
        <v>5.6</v>
      </c>
      <c r="H138" t="n">
        <v>0</v>
      </c>
      <c r="I138" t="n">
        <v>1</v>
      </c>
      <c r="J138" t="n">
        <v>1</v>
      </c>
      <c r="K138" t="n">
        <v>1</v>
      </c>
      <c r="L138" t="n">
        <v>0</v>
      </c>
      <c r="M138" t="n">
        <v>0</v>
      </c>
      <c r="N138" t="n">
        <v>0</v>
      </c>
      <c r="O138" t="n">
        <v>2</v>
      </c>
      <c r="P138" t="n">
        <v>1</v>
      </c>
      <c r="Q138" t="n">
        <v>3</v>
      </c>
      <c r="R138" s="2" t="inlineStr">
        <is>
          <t>Tajgataggsvamp
Vitplätt
Grönpyrola</t>
        </is>
      </c>
      <c r="S138">
        <f>HYPERLINK("https://klasma.github.io/Logging_2260/artfynd/A 38238-2025 artfynd.xlsx", "A 38238-2025")</f>
        <v/>
      </c>
      <c r="T138">
        <f>HYPERLINK("https://klasma.github.io/Logging_2260/kartor/A 38238-2025 karta.png", "A 38238-2025")</f>
        <v/>
      </c>
      <c r="U138">
        <f>HYPERLINK("https://klasma.github.io/Logging_2260/knärot/A 38238-2025 karta knärot.png", "A 38238-2025")</f>
        <v/>
      </c>
      <c r="V138">
        <f>HYPERLINK("https://klasma.github.io/Logging_2260/klagomål/A 38238-2025 FSC-klagomål.docx", "A 38238-2025")</f>
        <v/>
      </c>
      <c r="W138">
        <f>HYPERLINK("https://klasma.github.io/Logging_2260/klagomålsmail/A 38238-2025 FSC-klagomål mail.docx", "A 38238-2025")</f>
        <v/>
      </c>
      <c r="X138">
        <f>HYPERLINK("https://klasma.github.io/Logging_2260/tillsyn/A 38238-2025 tillsynsbegäran.docx", "A 38238-2025")</f>
        <v/>
      </c>
      <c r="Y138">
        <f>HYPERLINK("https://klasma.github.io/Logging_2260/tillsynsmail/A 38238-2025 tillsynsbegäran mail.docx", "A 38238-2025")</f>
        <v/>
      </c>
    </row>
    <row r="139" ht="15" customHeight="1">
      <c r="A139" t="inlineStr">
        <is>
          <t>A 39179-2024</t>
        </is>
      </c>
      <c r="B139" s="1" t="n">
        <v>45548.65703703704</v>
      </c>
      <c r="C139" s="1" t="n">
        <v>45966</v>
      </c>
      <c r="D139" t="inlineStr">
        <is>
          <t>VÄSTERNORRLANDS LÄN</t>
        </is>
      </c>
      <c r="E139" t="inlineStr">
        <is>
          <t>ÅNGE</t>
        </is>
      </c>
      <c r="F139" t="inlineStr">
        <is>
          <t>SCA</t>
        </is>
      </c>
      <c r="G139" t="n">
        <v>4.2</v>
      </c>
      <c r="H139" t="n">
        <v>1</v>
      </c>
      <c r="I139" t="n">
        <v>2</v>
      </c>
      <c r="J139" t="n">
        <v>1</v>
      </c>
      <c r="K139" t="n">
        <v>0</v>
      </c>
      <c r="L139" t="n">
        <v>0</v>
      </c>
      <c r="M139" t="n">
        <v>0</v>
      </c>
      <c r="N139" t="n">
        <v>0</v>
      </c>
      <c r="O139" t="n">
        <v>1</v>
      </c>
      <c r="P139" t="n">
        <v>0</v>
      </c>
      <c r="Q139" t="n">
        <v>3</v>
      </c>
      <c r="R139" s="2" t="inlineStr">
        <is>
          <t>Rosenticka
Fjällig taggsvamp s.str.
Spindelblomster</t>
        </is>
      </c>
      <c r="S139">
        <f>HYPERLINK("https://klasma.github.io/Logging_2260/artfynd/A 39179-2024 artfynd.xlsx", "A 39179-2024")</f>
        <v/>
      </c>
      <c r="T139">
        <f>HYPERLINK("https://klasma.github.io/Logging_2260/kartor/A 39179-2024 karta.png", "A 39179-2024")</f>
        <v/>
      </c>
      <c r="V139">
        <f>HYPERLINK("https://klasma.github.io/Logging_2260/klagomål/A 39179-2024 FSC-klagomål.docx", "A 39179-2024")</f>
        <v/>
      </c>
      <c r="W139">
        <f>HYPERLINK("https://klasma.github.io/Logging_2260/klagomålsmail/A 39179-2024 FSC-klagomål mail.docx", "A 39179-2024")</f>
        <v/>
      </c>
      <c r="X139">
        <f>HYPERLINK("https://klasma.github.io/Logging_2260/tillsyn/A 39179-2024 tillsynsbegäran.docx", "A 39179-2024")</f>
        <v/>
      </c>
      <c r="Y139">
        <f>HYPERLINK("https://klasma.github.io/Logging_2260/tillsynsmail/A 39179-2024 tillsynsbegäran mail.docx", "A 39179-2024")</f>
        <v/>
      </c>
    </row>
    <row r="140" ht="15" customHeight="1">
      <c r="A140" t="inlineStr">
        <is>
          <t>A 47617-2024</t>
        </is>
      </c>
      <c r="B140" s="1" t="n">
        <v>45588.32125</v>
      </c>
      <c r="C140" s="1" t="n">
        <v>45966</v>
      </c>
      <c r="D140" t="inlineStr">
        <is>
          <t>VÄSTERNORRLANDS LÄN</t>
        </is>
      </c>
      <c r="E140" t="inlineStr">
        <is>
          <t>ÅNGE</t>
        </is>
      </c>
      <c r="F140" t="inlineStr">
        <is>
          <t>Holmen skog AB</t>
        </is>
      </c>
      <c r="G140" t="n">
        <v>8.300000000000001</v>
      </c>
      <c r="H140" t="n">
        <v>0</v>
      </c>
      <c r="I140" t="n">
        <v>0</v>
      </c>
      <c r="J140" t="n">
        <v>3</v>
      </c>
      <c r="K140" t="n">
        <v>0</v>
      </c>
      <c r="L140" t="n">
        <v>0</v>
      </c>
      <c r="M140" t="n">
        <v>0</v>
      </c>
      <c r="N140" t="n">
        <v>0</v>
      </c>
      <c r="O140" t="n">
        <v>3</v>
      </c>
      <c r="P140" t="n">
        <v>0</v>
      </c>
      <c r="Q140" t="n">
        <v>3</v>
      </c>
      <c r="R140" s="2" t="inlineStr">
        <is>
          <t>Granticka
Gränsticka
Lunglav</t>
        </is>
      </c>
      <c r="S140">
        <f>HYPERLINK("https://klasma.github.io/Logging_2260/artfynd/A 47617-2024 artfynd.xlsx", "A 47617-2024")</f>
        <v/>
      </c>
      <c r="T140">
        <f>HYPERLINK("https://klasma.github.io/Logging_2260/kartor/A 47617-2024 karta.png", "A 47617-2024")</f>
        <v/>
      </c>
      <c r="V140">
        <f>HYPERLINK("https://klasma.github.io/Logging_2260/klagomål/A 47617-2024 FSC-klagomål.docx", "A 47617-2024")</f>
        <v/>
      </c>
      <c r="W140">
        <f>HYPERLINK("https://klasma.github.io/Logging_2260/klagomålsmail/A 47617-2024 FSC-klagomål mail.docx", "A 47617-2024")</f>
        <v/>
      </c>
      <c r="X140">
        <f>HYPERLINK("https://klasma.github.io/Logging_2260/tillsyn/A 47617-2024 tillsynsbegäran.docx", "A 47617-2024")</f>
        <v/>
      </c>
      <c r="Y140">
        <f>HYPERLINK("https://klasma.github.io/Logging_2260/tillsynsmail/A 47617-2024 tillsynsbegäran mail.docx", "A 47617-2024")</f>
        <v/>
      </c>
    </row>
    <row r="141" ht="15" customHeight="1">
      <c r="A141" t="inlineStr">
        <is>
          <t>A 36635-2021</t>
        </is>
      </c>
      <c r="B141" s="1" t="n">
        <v>44391</v>
      </c>
      <c r="C141" s="1" t="n">
        <v>45966</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45966</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45966</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45966</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45966</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45966</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45966</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4093-2025</t>
        </is>
      </c>
      <c r="B148" s="1" t="n">
        <v>45684.67762731481</v>
      </c>
      <c r="C148" s="1" t="n">
        <v>45966</v>
      </c>
      <c r="D148" t="inlineStr">
        <is>
          <t>VÄSTERNORRLANDS LÄN</t>
        </is>
      </c>
      <c r="E148" t="inlineStr">
        <is>
          <t>ÅNGE</t>
        </is>
      </c>
      <c r="F148" t="inlineStr">
        <is>
          <t>SCA</t>
        </is>
      </c>
      <c r="G148" t="n">
        <v>2.6</v>
      </c>
      <c r="H148" t="n">
        <v>1</v>
      </c>
      <c r="I148" t="n">
        <v>2</v>
      </c>
      <c r="J148" t="n">
        <v>0</v>
      </c>
      <c r="K148" t="n">
        <v>0</v>
      </c>
      <c r="L148" t="n">
        <v>0</v>
      </c>
      <c r="M148" t="n">
        <v>0</v>
      </c>
      <c r="N148" t="n">
        <v>0</v>
      </c>
      <c r="O148" t="n">
        <v>0</v>
      </c>
      <c r="P148" t="n">
        <v>0</v>
      </c>
      <c r="Q148" t="n">
        <v>2</v>
      </c>
      <c r="R148" s="2" t="inlineStr">
        <is>
          <t>Kransrams
Spindelblomster</t>
        </is>
      </c>
      <c r="S148">
        <f>HYPERLINK("https://klasma.github.io/Logging_2260/artfynd/A 4093-2025 artfynd.xlsx", "A 4093-2025")</f>
        <v/>
      </c>
      <c r="T148">
        <f>HYPERLINK("https://klasma.github.io/Logging_2260/kartor/A 4093-2025 karta.png", "A 4093-2025")</f>
        <v/>
      </c>
      <c r="V148">
        <f>HYPERLINK("https://klasma.github.io/Logging_2260/klagomål/A 4093-2025 FSC-klagomål.docx", "A 4093-2025")</f>
        <v/>
      </c>
      <c r="W148">
        <f>HYPERLINK("https://klasma.github.io/Logging_2260/klagomålsmail/A 4093-2025 FSC-klagomål mail.docx", "A 4093-2025")</f>
        <v/>
      </c>
      <c r="X148">
        <f>HYPERLINK("https://klasma.github.io/Logging_2260/tillsyn/A 4093-2025 tillsynsbegäran.docx", "A 4093-2025")</f>
        <v/>
      </c>
      <c r="Y148">
        <f>HYPERLINK("https://klasma.github.io/Logging_2260/tillsynsmail/A 4093-2025 tillsynsbegäran mail.docx", "A 4093-2025")</f>
        <v/>
      </c>
    </row>
    <row r="149" ht="15" customHeight="1">
      <c r="A149" t="inlineStr">
        <is>
          <t>A 8324-2025</t>
        </is>
      </c>
      <c r="B149" s="1" t="n">
        <v>45708.63621527778</v>
      </c>
      <c r="C149" s="1" t="n">
        <v>45966</v>
      </c>
      <c r="D149" t="inlineStr">
        <is>
          <t>VÄSTERNORRLANDS LÄN</t>
        </is>
      </c>
      <c r="E149" t="inlineStr">
        <is>
          <t>ÅNGE</t>
        </is>
      </c>
      <c r="F149" t="inlineStr">
        <is>
          <t>SCA</t>
        </is>
      </c>
      <c r="G149" t="n">
        <v>7.8</v>
      </c>
      <c r="H149" t="n">
        <v>0</v>
      </c>
      <c r="I149" t="n">
        <v>1</v>
      </c>
      <c r="J149" t="n">
        <v>1</v>
      </c>
      <c r="K149" t="n">
        <v>0</v>
      </c>
      <c r="L149" t="n">
        <v>0</v>
      </c>
      <c r="M149" t="n">
        <v>0</v>
      </c>
      <c r="N149" t="n">
        <v>0</v>
      </c>
      <c r="O149" t="n">
        <v>1</v>
      </c>
      <c r="P149" t="n">
        <v>0</v>
      </c>
      <c r="Q149" t="n">
        <v>2</v>
      </c>
      <c r="R149" s="2" t="inlineStr">
        <is>
          <t>Vitgrynig nållav
Bollvitmossa</t>
        </is>
      </c>
      <c r="S149">
        <f>HYPERLINK("https://klasma.github.io/Logging_2260/artfynd/A 8324-2025 artfynd.xlsx", "A 8324-2025")</f>
        <v/>
      </c>
      <c r="T149">
        <f>HYPERLINK("https://klasma.github.io/Logging_2260/kartor/A 8324-2025 karta.png", "A 8324-2025")</f>
        <v/>
      </c>
      <c r="V149">
        <f>HYPERLINK("https://klasma.github.io/Logging_2260/klagomål/A 8324-2025 FSC-klagomål.docx", "A 8324-2025")</f>
        <v/>
      </c>
      <c r="W149">
        <f>HYPERLINK("https://klasma.github.io/Logging_2260/klagomålsmail/A 8324-2025 FSC-klagomål mail.docx", "A 8324-2025")</f>
        <v/>
      </c>
      <c r="X149">
        <f>HYPERLINK("https://klasma.github.io/Logging_2260/tillsyn/A 8324-2025 tillsynsbegäran.docx", "A 8324-2025")</f>
        <v/>
      </c>
      <c r="Y149">
        <f>HYPERLINK("https://klasma.github.io/Logging_2260/tillsynsmail/A 8324-2025 tillsynsbegäran mail.docx", "A 8324-2025")</f>
        <v/>
      </c>
    </row>
    <row r="150" ht="15" customHeight="1">
      <c r="A150" t="inlineStr">
        <is>
          <t>A 31493-2024</t>
        </is>
      </c>
      <c r="B150" s="1" t="n">
        <v>45505</v>
      </c>
      <c r="C150" s="1" t="n">
        <v>45966</v>
      </c>
      <c r="D150" t="inlineStr">
        <is>
          <t>VÄSTERNORRLANDS LÄN</t>
        </is>
      </c>
      <c r="E150" t="inlineStr">
        <is>
          <t>ÅNGE</t>
        </is>
      </c>
      <c r="F150" t="inlineStr">
        <is>
          <t>SCA</t>
        </is>
      </c>
      <c r="G150" t="n">
        <v>4.4</v>
      </c>
      <c r="H150" t="n">
        <v>1</v>
      </c>
      <c r="I150" t="n">
        <v>1</v>
      </c>
      <c r="J150" t="n">
        <v>0</v>
      </c>
      <c r="K150" t="n">
        <v>1</v>
      </c>
      <c r="L150" t="n">
        <v>0</v>
      </c>
      <c r="M150" t="n">
        <v>0</v>
      </c>
      <c r="N150" t="n">
        <v>0</v>
      </c>
      <c r="O150" t="n">
        <v>1</v>
      </c>
      <c r="P150" t="n">
        <v>1</v>
      </c>
      <c r="Q150" t="n">
        <v>2</v>
      </c>
      <c r="R150" s="2" t="inlineStr">
        <is>
          <t>Knärot
Korallblylav</t>
        </is>
      </c>
      <c r="S150">
        <f>HYPERLINK("https://klasma.github.io/Logging_2260/artfynd/A 31493-2024 artfynd.xlsx", "A 31493-2024")</f>
        <v/>
      </c>
      <c r="T150">
        <f>HYPERLINK("https://klasma.github.io/Logging_2260/kartor/A 31493-2024 karta.png", "A 31493-2024")</f>
        <v/>
      </c>
      <c r="U150">
        <f>HYPERLINK("https://klasma.github.io/Logging_2260/knärot/A 31493-2024 karta knärot.png", "A 31493-2024")</f>
        <v/>
      </c>
      <c r="V150">
        <f>HYPERLINK("https://klasma.github.io/Logging_2260/klagomål/A 31493-2024 FSC-klagomål.docx", "A 31493-2024")</f>
        <v/>
      </c>
      <c r="W150">
        <f>HYPERLINK("https://klasma.github.io/Logging_2260/klagomålsmail/A 31493-2024 FSC-klagomål mail.docx", "A 31493-2024")</f>
        <v/>
      </c>
      <c r="X150">
        <f>HYPERLINK("https://klasma.github.io/Logging_2260/tillsyn/A 31493-2024 tillsynsbegäran.docx", "A 31493-2024")</f>
        <v/>
      </c>
      <c r="Y150">
        <f>HYPERLINK("https://klasma.github.io/Logging_2260/tillsynsmail/A 31493-2024 tillsynsbegäran mail.docx", "A 31493-2024")</f>
        <v/>
      </c>
    </row>
    <row r="151" ht="15" customHeight="1">
      <c r="A151" t="inlineStr">
        <is>
          <t>A 165-2025</t>
        </is>
      </c>
      <c r="B151" s="1" t="n">
        <v>45659</v>
      </c>
      <c r="C151" s="1" t="n">
        <v>45966</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58902-2020</t>
        </is>
      </c>
      <c r="B152" s="1" t="n">
        <v>44146</v>
      </c>
      <c r="C152" s="1" t="n">
        <v>45966</v>
      </c>
      <c r="D152" t="inlineStr">
        <is>
          <t>VÄSTERNORRLANDS LÄN</t>
        </is>
      </c>
      <c r="E152" t="inlineStr">
        <is>
          <t>ÅNGE</t>
        </is>
      </c>
      <c r="G152" t="n">
        <v>8.199999999999999</v>
      </c>
      <c r="H152" t="n">
        <v>0</v>
      </c>
      <c r="I152" t="n">
        <v>1</v>
      </c>
      <c r="J152" t="n">
        <v>1</v>
      </c>
      <c r="K152" t="n">
        <v>0</v>
      </c>
      <c r="L152" t="n">
        <v>0</v>
      </c>
      <c r="M152" t="n">
        <v>0</v>
      </c>
      <c r="N152" t="n">
        <v>0</v>
      </c>
      <c r="O152" t="n">
        <v>1</v>
      </c>
      <c r="P152" t="n">
        <v>0</v>
      </c>
      <c r="Q152" t="n">
        <v>2</v>
      </c>
      <c r="R152" s="2" t="inlineStr">
        <is>
          <t>Ullticka
Vedticka</t>
        </is>
      </c>
      <c r="S152">
        <f>HYPERLINK("https://klasma.github.io/Logging_2260/artfynd/A 58902-2020 artfynd.xlsx", "A 58902-2020")</f>
        <v/>
      </c>
      <c r="T152">
        <f>HYPERLINK("https://klasma.github.io/Logging_2260/kartor/A 58902-2020 karta.png", "A 58902-2020")</f>
        <v/>
      </c>
      <c r="V152">
        <f>HYPERLINK("https://klasma.github.io/Logging_2260/klagomål/A 58902-2020 FSC-klagomål.docx", "A 58902-2020")</f>
        <v/>
      </c>
      <c r="W152">
        <f>HYPERLINK("https://klasma.github.io/Logging_2260/klagomålsmail/A 58902-2020 FSC-klagomål mail.docx", "A 58902-2020")</f>
        <v/>
      </c>
      <c r="X152">
        <f>HYPERLINK("https://klasma.github.io/Logging_2260/tillsyn/A 58902-2020 tillsynsbegäran.docx", "A 58902-2020")</f>
        <v/>
      </c>
      <c r="Y152">
        <f>HYPERLINK("https://klasma.github.io/Logging_2260/tillsynsmail/A 58902-2020 tillsynsbegäran mail.docx", "A 58902-2020")</f>
        <v/>
      </c>
    </row>
    <row r="153" ht="15" customHeight="1">
      <c r="A153" t="inlineStr">
        <is>
          <t>A 17861-2023</t>
        </is>
      </c>
      <c r="B153" s="1" t="n">
        <v>45037.94171296297</v>
      </c>
      <c r="C153" s="1" t="n">
        <v>45966</v>
      </c>
      <c r="D153" t="inlineStr">
        <is>
          <t>VÄSTERNORRLANDS LÄN</t>
        </is>
      </c>
      <c r="E153" t="inlineStr">
        <is>
          <t>ÅNGE</t>
        </is>
      </c>
      <c r="F153" t="inlineStr">
        <is>
          <t>SCA</t>
        </is>
      </c>
      <c r="G153" t="n">
        <v>1.1</v>
      </c>
      <c r="H153" t="n">
        <v>0</v>
      </c>
      <c r="I153" t="n">
        <v>1</v>
      </c>
      <c r="J153" t="n">
        <v>1</v>
      </c>
      <c r="K153" t="n">
        <v>0</v>
      </c>
      <c r="L153" t="n">
        <v>0</v>
      </c>
      <c r="M153" t="n">
        <v>0</v>
      </c>
      <c r="N153" t="n">
        <v>0</v>
      </c>
      <c r="O153" t="n">
        <v>1</v>
      </c>
      <c r="P153" t="n">
        <v>0</v>
      </c>
      <c r="Q153" t="n">
        <v>2</v>
      </c>
      <c r="R153" s="2" t="inlineStr">
        <is>
          <t>Skrovlig taggsvamp
Dropptaggsvamp</t>
        </is>
      </c>
      <c r="S153">
        <f>HYPERLINK("https://klasma.github.io/Logging_2260/artfynd/A 17861-2023 artfynd.xlsx", "A 17861-2023")</f>
        <v/>
      </c>
      <c r="T153">
        <f>HYPERLINK("https://klasma.github.io/Logging_2260/kartor/A 17861-2023 karta.png", "A 17861-2023")</f>
        <v/>
      </c>
      <c r="V153">
        <f>HYPERLINK("https://klasma.github.io/Logging_2260/klagomål/A 17861-2023 FSC-klagomål.docx", "A 17861-2023")</f>
        <v/>
      </c>
      <c r="W153">
        <f>HYPERLINK("https://klasma.github.io/Logging_2260/klagomålsmail/A 17861-2023 FSC-klagomål mail.docx", "A 17861-2023")</f>
        <v/>
      </c>
      <c r="X153">
        <f>HYPERLINK("https://klasma.github.io/Logging_2260/tillsyn/A 17861-2023 tillsynsbegäran.docx", "A 17861-2023")</f>
        <v/>
      </c>
      <c r="Y153">
        <f>HYPERLINK("https://klasma.github.io/Logging_2260/tillsynsmail/A 17861-2023 tillsynsbegäran mail.docx", "A 17861-2023")</f>
        <v/>
      </c>
    </row>
    <row r="154" ht="15" customHeight="1">
      <c r="A154" t="inlineStr">
        <is>
          <t>A 32659-2024</t>
        </is>
      </c>
      <c r="B154" s="1" t="n">
        <v>45513</v>
      </c>
      <c r="C154" s="1" t="n">
        <v>45966</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48695-2024</t>
        </is>
      </c>
      <c r="B155" s="1" t="n">
        <v>45593.5109837963</v>
      </c>
      <c r="C155" s="1" t="n">
        <v>45966</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4873-2025</t>
        </is>
      </c>
      <c r="B156" s="1" t="n">
        <v>45688.67633101852</v>
      </c>
      <c r="C156" s="1" t="n">
        <v>45966</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4873-2025 artfynd.xlsx", "A 4873-2025")</f>
        <v/>
      </c>
      <c r="T156">
        <f>HYPERLINK("https://klasma.github.io/Logging_2260/kartor/A 4873-2025 karta.png", "A 4873-2025")</f>
        <v/>
      </c>
      <c r="V156">
        <f>HYPERLINK("https://klasma.github.io/Logging_2260/klagomål/A 4873-2025 FSC-klagomål.docx", "A 4873-2025")</f>
        <v/>
      </c>
      <c r="W156">
        <f>HYPERLINK("https://klasma.github.io/Logging_2260/klagomålsmail/A 4873-2025 FSC-klagomål mail.docx", "A 4873-2025")</f>
        <v/>
      </c>
      <c r="X156">
        <f>HYPERLINK("https://klasma.github.io/Logging_2260/tillsyn/A 4873-2025 tillsynsbegäran.docx", "A 4873-2025")</f>
        <v/>
      </c>
      <c r="Y156">
        <f>HYPERLINK("https://klasma.github.io/Logging_2260/tillsynsmail/A 4873-2025 tillsynsbegäran mail.docx", "A 4873-2025")</f>
        <v/>
      </c>
    </row>
    <row r="157" ht="15" customHeight="1">
      <c r="A157" t="inlineStr">
        <is>
          <t>A 42864-2025</t>
        </is>
      </c>
      <c r="B157" s="1" t="n">
        <v>45908</v>
      </c>
      <c r="C157" s="1" t="n">
        <v>45966</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21453-2025</t>
        </is>
      </c>
      <c r="B158" s="1" t="n">
        <v>45782.55311342593</v>
      </c>
      <c r="C158" s="1" t="n">
        <v>45966</v>
      </c>
      <c r="D158" t="inlineStr">
        <is>
          <t>VÄSTERNORRLANDS LÄN</t>
        </is>
      </c>
      <c r="E158" t="inlineStr">
        <is>
          <t>ÅNGE</t>
        </is>
      </c>
      <c r="F158" t="inlineStr">
        <is>
          <t>SCA</t>
        </is>
      </c>
      <c r="G158" t="n">
        <v>1</v>
      </c>
      <c r="H158" t="n">
        <v>0</v>
      </c>
      <c r="I158" t="n">
        <v>2</v>
      </c>
      <c r="J158" t="n">
        <v>0</v>
      </c>
      <c r="K158" t="n">
        <v>0</v>
      </c>
      <c r="L158" t="n">
        <v>0</v>
      </c>
      <c r="M158" t="n">
        <v>0</v>
      </c>
      <c r="N158" t="n">
        <v>0</v>
      </c>
      <c r="O158" t="n">
        <v>0</v>
      </c>
      <c r="P158" t="n">
        <v>0</v>
      </c>
      <c r="Q158" t="n">
        <v>2</v>
      </c>
      <c r="R158" s="2" t="inlineStr">
        <is>
          <t>Svart trolldruva
Tibast</t>
        </is>
      </c>
      <c r="S158">
        <f>HYPERLINK("https://klasma.github.io/Logging_2260/artfynd/A 21453-2025 artfynd.xlsx", "A 21453-2025")</f>
        <v/>
      </c>
      <c r="T158">
        <f>HYPERLINK("https://klasma.github.io/Logging_2260/kartor/A 21453-2025 karta.png", "A 21453-2025")</f>
        <v/>
      </c>
      <c r="V158">
        <f>HYPERLINK("https://klasma.github.io/Logging_2260/klagomål/A 21453-2025 FSC-klagomål.docx", "A 21453-2025")</f>
        <v/>
      </c>
      <c r="W158">
        <f>HYPERLINK("https://klasma.github.io/Logging_2260/klagomålsmail/A 21453-2025 FSC-klagomål mail.docx", "A 21453-2025")</f>
        <v/>
      </c>
      <c r="X158">
        <f>HYPERLINK("https://klasma.github.io/Logging_2260/tillsyn/A 21453-2025 tillsynsbegäran.docx", "A 21453-2025")</f>
        <v/>
      </c>
      <c r="Y158">
        <f>HYPERLINK("https://klasma.github.io/Logging_2260/tillsynsmail/A 21453-2025 tillsynsbegäran mail.docx", "A 21453-2025")</f>
        <v/>
      </c>
    </row>
    <row r="159" ht="15" customHeight="1">
      <c r="A159" t="inlineStr">
        <is>
          <t>A 43721-2025</t>
        </is>
      </c>
      <c r="B159" s="1" t="n">
        <v>45912.42800925926</v>
      </c>
      <c r="C159" s="1" t="n">
        <v>45966</v>
      </c>
      <c r="D159" t="inlineStr">
        <is>
          <t>VÄSTERNORRLANDS LÄN</t>
        </is>
      </c>
      <c r="E159" t="inlineStr">
        <is>
          <t>ÅNGE</t>
        </is>
      </c>
      <c r="F159" t="inlineStr">
        <is>
          <t>SCA</t>
        </is>
      </c>
      <c r="G159" t="n">
        <v>9.9</v>
      </c>
      <c r="H159" t="n">
        <v>1</v>
      </c>
      <c r="I159" t="n">
        <v>1</v>
      </c>
      <c r="J159" t="n">
        <v>0</v>
      </c>
      <c r="K159" t="n">
        <v>1</v>
      </c>
      <c r="L159" t="n">
        <v>0</v>
      </c>
      <c r="M159" t="n">
        <v>0</v>
      </c>
      <c r="N159" t="n">
        <v>0</v>
      </c>
      <c r="O159" t="n">
        <v>1</v>
      </c>
      <c r="P159" t="n">
        <v>1</v>
      </c>
      <c r="Q159" t="n">
        <v>2</v>
      </c>
      <c r="R159" s="2" t="inlineStr">
        <is>
          <t>Knärot
Svavelriska</t>
        </is>
      </c>
      <c r="S159">
        <f>HYPERLINK("https://klasma.github.io/Logging_2260/artfynd/A 43721-2025 artfynd.xlsx", "A 43721-2025")</f>
        <v/>
      </c>
      <c r="T159">
        <f>HYPERLINK("https://klasma.github.io/Logging_2260/kartor/A 43721-2025 karta.png", "A 43721-2025")</f>
        <v/>
      </c>
      <c r="U159">
        <f>HYPERLINK("https://klasma.github.io/Logging_2260/knärot/A 43721-2025 karta knärot.png", "A 43721-2025")</f>
        <v/>
      </c>
      <c r="V159">
        <f>HYPERLINK("https://klasma.github.io/Logging_2260/klagomål/A 43721-2025 FSC-klagomål.docx", "A 43721-2025")</f>
        <v/>
      </c>
      <c r="W159">
        <f>HYPERLINK("https://klasma.github.io/Logging_2260/klagomålsmail/A 43721-2025 FSC-klagomål mail.docx", "A 43721-2025")</f>
        <v/>
      </c>
      <c r="X159">
        <f>HYPERLINK("https://klasma.github.io/Logging_2260/tillsyn/A 43721-2025 tillsynsbegäran.docx", "A 43721-2025")</f>
        <v/>
      </c>
      <c r="Y159">
        <f>HYPERLINK("https://klasma.github.io/Logging_2260/tillsynsmail/A 43721-2025 tillsynsbegäran mail.docx", "A 43721-2025")</f>
        <v/>
      </c>
    </row>
    <row r="160" ht="15" customHeight="1">
      <c r="A160" t="inlineStr">
        <is>
          <t>A 57089-2024</t>
        </is>
      </c>
      <c r="B160" s="1" t="n">
        <v>45629.35665509259</v>
      </c>
      <c r="C160" s="1" t="n">
        <v>45966</v>
      </c>
      <c r="D160" t="inlineStr">
        <is>
          <t>VÄSTERNORRLANDS LÄN</t>
        </is>
      </c>
      <c r="E160" t="inlineStr">
        <is>
          <t>ÅNGE</t>
        </is>
      </c>
      <c r="F160" t="inlineStr">
        <is>
          <t>SCA</t>
        </is>
      </c>
      <c r="G160" t="n">
        <v>1.5</v>
      </c>
      <c r="H160" t="n">
        <v>0</v>
      </c>
      <c r="I160" t="n">
        <v>0</v>
      </c>
      <c r="J160" t="n">
        <v>2</v>
      </c>
      <c r="K160" t="n">
        <v>0</v>
      </c>
      <c r="L160" t="n">
        <v>0</v>
      </c>
      <c r="M160" t="n">
        <v>0</v>
      </c>
      <c r="N160" t="n">
        <v>0</v>
      </c>
      <c r="O160" t="n">
        <v>2</v>
      </c>
      <c r="P160" t="n">
        <v>0</v>
      </c>
      <c r="Q160" t="n">
        <v>2</v>
      </c>
      <c r="R160" s="2" t="inlineStr">
        <is>
          <t>Lunglav
Ullticka</t>
        </is>
      </c>
      <c r="S160">
        <f>HYPERLINK("https://klasma.github.io/Logging_2260/artfynd/A 57089-2024 artfynd.xlsx", "A 57089-2024")</f>
        <v/>
      </c>
      <c r="T160">
        <f>HYPERLINK("https://klasma.github.io/Logging_2260/kartor/A 57089-2024 karta.png", "A 57089-2024")</f>
        <v/>
      </c>
      <c r="V160">
        <f>HYPERLINK("https://klasma.github.io/Logging_2260/klagomål/A 57089-2024 FSC-klagomål.docx", "A 57089-2024")</f>
        <v/>
      </c>
      <c r="W160">
        <f>HYPERLINK("https://klasma.github.io/Logging_2260/klagomålsmail/A 57089-2024 FSC-klagomål mail.docx", "A 57089-2024")</f>
        <v/>
      </c>
      <c r="X160">
        <f>HYPERLINK("https://klasma.github.io/Logging_2260/tillsyn/A 57089-2024 tillsynsbegäran.docx", "A 57089-2024")</f>
        <v/>
      </c>
      <c r="Y160">
        <f>HYPERLINK("https://klasma.github.io/Logging_2260/tillsynsmail/A 57089-2024 tillsynsbegäran mail.docx", "A 57089-2024")</f>
        <v/>
      </c>
    </row>
    <row r="161" ht="15" customHeight="1">
      <c r="A161" t="inlineStr">
        <is>
          <t>A 24176-2025</t>
        </is>
      </c>
      <c r="B161" s="1" t="n">
        <v>45796.69832175926</v>
      </c>
      <c r="C161" s="1" t="n">
        <v>45966</v>
      </c>
      <c r="D161" t="inlineStr">
        <is>
          <t>VÄSTERNORRLANDS LÄN</t>
        </is>
      </c>
      <c r="E161" t="inlineStr">
        <is>
          <t>ÅNGE</t>
        </is>
      </c>
      <c r="F161" t="inlineStr">
        <is>
          <t>SCA</t>
        </is>
      </c>
      <c r="G161" t="n">
        <v>3.9</v>
      </c>
      <c r="H161" t="n">
        <v>0</v>
      </c>
      <c r="I161" t="n">
        <v>1</v>
      </c>
      <c r="J161" t="n">
        <v>1</v>
      </c>
      <c r="K161" t="n">
        <v>0</v>
      </c>
      <c r="L161" t="n">
        <v>0</v>
      </c>
      <c r="M161" t="n">
        <v>0</v>
      </c>
      <c r="N161" t="n">
        <v>0</v>
      </c>
      <c r="O161" t="n">
        <v>1</v>
      </c>
      <c r="P161" t="n">
        <v>0</v>
      </c>
      <c r="Q161" t="n">
        <v>2</v>
      </c>
      <c r="R161" s="2" t="inlineStr">
        <is>
          <t>Vitgrynig nållav
Vedticka</t>
        </is>
      </c>
      <c r="S161">
        <f>HYPERLINK("https://klasma.github.io/Logging_2260/artfynd/A 24176-2025 artfynd.xlsx", "A 24176-2025")</f>
        <v/>
      </c>
      <c r="T161">
        <f>HYPERLINK("https://klasma.github.io/Logging_2260/kartor/A 24176-2025 karta.png", "A 24176-2025")</f>
        <v/>
      </c>
      <c r="V161">
        <f>HYPERLINK("https://klasma.github.io/Logging_2260/klagomål/A 24176-2025 FSC-klagomål.docx", "A 24176-2025")</f>
        <v/>
      </c>
      <c r="W161">
        <f>HYPERLINK("https://klasma.github.io/Logging_2260/klagomålsmail/A 24176-2025 FSC-klagomål mail.docx", "A 24176-2025")</f>
        <v/>
      </c>
      <c r="X161">
        <f>HYPERLINK("https://klasma.github.io/Logging_2260/tillsyn/A 24176-2025 tillsynsbegäran.docx", "A 24176-2025")</f>
        <v/>
      </c>
      <c r="Y161">
        <f>HYPERLINK("https://klasma.github.io/Logging_2260/tillsynsmail/A 24176-2025 tillsynsbegäran mail.docx", "A 24176-2025")</f>
        <v/>
      </c>
    </row>
    <row r="162" ht="15" customHeight="1">
      <c r="A162" t="inlineStr">
        <is>
          <t>A 55591-2021</t>
        </is>
      </c>
      <c r="B162" s="1" t="n">
        <v>44475</v>
      </c>
      <c r="C162" s="1" t="n">
        <v>45966</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26906-2025</t>
        </is>
      </c>
      <c r="B163" s="1" t="n">
        <v>45811.34552083333</v>
      </c>
      <c r="C163" s="1" t="n">
        <v>45966</v>
      </c>
      <c r="D163" t="inlineStr">
        <is>
          <t>VÄSTERNORRLANDS LÄN</t>
        </is>
      </c>
      <c r="E163" t="inlineStr">
        <is>
          <t>ÅNGE</t>
        </is>
      </c>
      <c r="F163" t="inlineStr">
        <is>
          <t>SCA</t>
        </is>
      </c>
      <c r="G163" t="n">
        <v>7</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26906-2025 artfynd.xlsx", "A 26906-2025")</f>
        <v/>
      </c>
      <c r="T163">
        <f>HYPERLINK("https://klasma.github.io/Logging_2260/kartor/A 26906-2025 karta.png", "A 26906-2025")</f>
        <v/>
      </c>
      <c r="V163">
        <f>HYPERLINK("https://klasma.github.io/Logging_2260/klagomål/A 26906-2025 FSC-klagomål.docx", "A 26906-2025")</f>
        <v/>
      </c>
      <c r="W163">
        <f>HYPERLINK("https://klasma.github.io/Logging_2260/klagomålsmail/A 26906-2025 FSC-klagomål mail.docx", "A 26906-2025")</f>
        <v/>
      </c>
      <c r="X163">
        <f>HYPERLINK("https://klasma.github.io/Logging_2260/tillsyn/A 26906-2025 tillsynsbegäran.docx", "A 26906-2025")</f>
        <v/>
      </c>
      <c r="Y163">
        <f>HYPERLINK("https://klasma.github.io/Logging_2260/tillsynsmail/A 26906-2025 tillsynsbegäran mail.docx", "A 26906-2025")</f>
        <v/>
      </c>
    </row>
    <row r="164" ht="15" customHeight="1">
      <c r="A164" t="inlineStr">
        <is>
          <t>A 47719-2024</t>
        </is>
      </c>
      <c r="B164" s="1" t="n">
        <v>45588.48996527777</v>
      </c>
      <c r="C164" s="1" t="n">
        <v>45966</v>
      </c>
      <c r="D164" t="inlineStr">
        <is>
          <t>VÄSTERNORRLANDS LÄN</t>
        </is>
      </c>
      <c r="E164" t="inlineStr">
        <is>
          <t>ÅNGE</t>
        </is>
      </c>
      <c r="F164" t="inlineStr">
        <is>
          <t>SCA</t>
        </is>
      </c>
      <c r="G164" t="n">
        <v>1.4</v>
      </c>
      <c r="H164" t="n">
        <v>0</v>
      </c>
      <c r="I164" t="n">
        <v>0</v>
      </c>
      <c r="J164" t="n">
        <v>2</v>
      </c>
      <c r="K164" t="n">
        <v>0</v>
      </c>
      <c r="L164" t="n">
        <v>0</v>
      </c>
      <c r="M164" t="n">
        <v>0</v>
      </c>
      <c r="N164" t="n">
        <v>0</v>
      </c>
      <c r="O164" t="n">
        <v>2</v>
      </c>
      <c r="P164" t="n">
        <v>0</v>
      </c>
      <c r="Q164" t="n">
        <v>2</v>
      </c>
      <c r="R164" s="2" t="inlineStr">
        <is>
          <t>Dvärgbägarlav
Vedskivlav</t>
        </is>
      </c>
      <c r="S164">
        <f>HYPERLINK("https://klasma.github.io/Logging_2260/artfynd/A 47719-2024 artfynd.xlsx", "A 47719-2024")</f>
        <v/>
      </c>
      <c r="T164">
        <f>HYPERLINK("https://klasma.github.io/Logging_2260/kartor/A 47719-2024 karta.png", "A 47719-2024")</f>
        <v/>
      </c>
      <c r="V164">
        <f>HYPERLINK("https://klasma.github.io/Logging_2260/klagomål/A 47719-2024 FSC-klagomål.docx", "A 47719-2024")</f>
        <v/>
      </c>
      <c r="W164">
        <f>HYPERLINK("https://klasma.github.io/Logging_2260/klagomålsmail/A 47719-2024 FSC-klagomål mail.docx", "A 47719-2024")</f>
        <v/>
      </c>
      <c r="X164">
        <f>HYPERLINK("https://klasma.github.io/Logging_2260/tillsyn/A 47719-2024 tillsynsbegäran.docx", "A 47719-2024")</f>
        <v/>
      </c>
      <c r="Y164">
        <f>HYPERLINK("https://klasma.github.io/Logging_2260/tillsynsmail/A 47719-2024 tillsynsbegäran mail.docx", "A 47719-2024")</f>
        <v/>
      </c>
    </row>
    <row r="165" ht="15" customHeight="1">
      <c r="A165" t="inlineStr">
        <is>
          <t>A 29325-2023</t>
        </is>
      </c>
      <c r="B165" s="1" t="n">
        <v>45105</v>
      </c>
      <c r="C165" s="1" t="n">
        <v>45966</v>
      </c>
      <c r="D165" t="inlineStr">
        <is>
          <t>VÄSTERNORRLANDS LÄN</t>
        </is>
      </c>
      <c r="E165" t="inlineStr">
        <is>
          <t>ÅNGE</t>
        </is>
      </c>
      <c r="G165" t="n">
        <v>12.4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HYPERLINK("https://klasma.github.io/Logging_2260/artfynd/A 29325-2023 artfynd.xlsx", "A 29325-2023")</f>
        <v/>
      </c>
      <c r="T165">
        <f>HYPERLINK("https://klasma.github.io/Logging_2260/kartor/A 29325-2023 karta.png", "A 29325-2023")</f>
        <v/>
      </c>
      <c r="V165">
        <f>HYPERLINK("https://klasma.github.io/Logging_2260/klagomål/A 29325-2023 FSC-klagomål.docx", "A 29325-2023")</f>
        <v/>
      </c>
      <c r="W165">
        <f>HYPERLINK("https://klasma.github.io/Logging_2260/klagomålsmail/A 29325-2023 FSC-klagomål mail.docx", "A 29325-2023")</f>
        <v/>
      </c>
      <c r="X165">
        <f>HYPERLINK("https://klasma.github.io/Logging_2260/tillsyn/A 29325-2023 tillsynsbegäran.docx", "A 29325-2023")</f>
        <v/>
      </c>
      <c r="Y165">
        <f>HYPERLINK("https://klasma.github.io/Logging_2260/tillsynsmail/A 29325-2023 tillsynsbegäran mail.docx", "A 29325-2023")</f>
        <v/>
      </c>
    </row>
    <row r="166" ht="15" customHeight="1">
      <c r="A166" t="inlineStr">
        <is>
          <t>A 36414-2025</t>
        </is>
      </c>
      <c r="B166" s="1" t="n">
        <v>45868.69246527777</v>
      </c>
      <c r="C166" s="1" t="n">
        <v>45966</v>
      </c>
      <c r="D166" t="inlineStr">
        <is>
          <t>VÄSTERNORRLANDS LÄN</t>
        </is>
      </c>
      <c r="E166" t="inlineStr">
        <is>
          <t>ÅNGE</t>
        </is>
      </c>
      <c r="G166" t="n">
        <v>5.4</v>
      </c>
      <c r="H166" t="n">
        <v>0</v>
      </c>
      <c r="I166" t="n">
        <v>0</v>
      </c>
      <c r="J166" t="n">
        <v>2</v>
      </c>
      <c r="K166" t="n">
        <v>0</v>
      </c>
      <c r="L166" t="n">
        <v>0</v>
      </c>
      <c r="M166" t="n">
        <v>0</v>
      </c>
      <c r="N166" t="n">
        <v>0</v>
      </c>
      <c r="O166" t="n">
        <v>2</v>
      </c>
      <c r="P166" t="n">
        <v>0</v>
      </c>
      <c r="Q166" t="n">
        <v>2</v>
      </c>
      <c r="R166" s="2" t="inlineStr">
        <is>
          <t>Kolflarnlav
Lunglav</t>
        </is>
      </c>
      <c r="S166">
        <f>HYPERLINK("https://klasma.github.io/Logging_2260/artfynd/A 36414-2025 artfynd.xlsx", "A 36414-2025")</f>
        <v/>
      </c>
      <c r="T166">
        <f>HYPERLINK("https://klasma.github.io/Logging_2260/kartor/A 36414-2025 karta.png", "A 36414-2025")</f>
        <v/>
      </c>
      <c r="V166">
        <f>HYPERLINK("https://klasma.github.io/Logging_2260/klagomål/A 36414-2025 FSC-klagomål.docx", "A 36414-2025")</f>
        <v/>
      </c>
      <c r="W166">
        <f>HYPERLINK("https://klasma.github.io/Logging_2260/klagomålsmail/A 36414-2025 FSC-klagomål mail.docx", "A 36414-2025")</f>
        <v/>
      </c>
      <c r="X166">
        <f>HYPERLINK("https://klasma.github.io/Logging_2260/tillsyn/A 36414-2025 tillsynsbegäran.docx", "A 36414-2025")</f>
        <v/>
      </c>
      <c r="Y166">
        <f>HYPERLINK("https://klasma.github.io/Logging_2260/tillsynsmail/A 36414-2025 tillsynsbegäran mail.docx", "A 36414-2025")</f>
        <v/>
      </c>
    </row>
    <row r="167" ht="15" customHeight="1">
      <c r="A167" t="inlineStr">
        <is>
          <t>A 37800-2025</t>
        </is>
      </c>
      <c r="B167" s="1" t="n">
        <v>45881.34420138889</v>
      </c>
      <c r="C167" s="1" t="n">
        <v>45966</v>
      </c>
      <c r="D167" t="inlineStr">
        <is>
          <t>VÄSTERNORRLANDS LÄN</t>
        </is>
      </c>
      <c r="E167" t="inlineStr">
        <is>
          <t>ÅNGE</t>
        </is>
      </c>
      <c r="F167" t="inlineStr">
        <is>
          <t>SCA</t>
        </is>
      </c>
      <c r="G167" t="n">
        <v>4</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37800-2025 artfynd.xlsx", "A 37800-2025")</f>
        <v/>
      </c>
      <c r="T167">
        <f>HYPERLINK("https://klasma.github.io/Logging_2260/kartor/A 37800-2025 karta.png", "A 37800-2025")</f>
        <v/>
      </c>
      <c r="V167">
        <f>HYPERLINK("https://klasma.github.io/Logging_2260/klagomål/A 37800-2025 FSC-klagomål.docx", "A 37800-2025")</f>
        <v/>
      </c>
      <c r="W167">
        <f>HYPERLINK("https://klasma.github.io/Logging_2260/klagomålsmail/A 37800-2025 FSC-klagomål mail.docx", "A 37800-2025")</f>
        <v/>
      </c>
      <c r="X167">
        <f>HYPERLINK("https://klasma.github.io/Logging_2260/tillsyn/A 37800-2025 tillsynsbegäran.docx", "A 37800-2025")</f>
        <v/>
      </c>
      <c r="Y167">
        <f>HYPERLINK("https://klasma.github.io/Logging_2260/tillsynsmail/A 37800-2025 tillsynsbegäran mail.docx", "A 37800-2025")</f>
        <v/>
      </c>
    </row>
    <row r="168" ht="15" customHeight="1">
      <c r="A168" t="inlineStr">
        <is>
          <t>A 38298-2025</t>
        </is>
      </c>
      <c r="B168" s="1" t="n">
        <v>45883.4568287037</v>
      </c>
      <c r="C168" s="1" t="n">
        <v>45966</v>
      </c>
      <c r="D168" t="inlineStr">
        <is>
          <t>VÄSTERNORRLANDS LÄN</t>
        </is>
      </c>
      <c r="E168" t="inlineStr">
        <is>
          <t>ÅNGE</t>
        </is>
      </c>
      <c r="G168" t="n">
        <v>4.5</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38298-2025 artfynd.xlsx", "A 38298-2025")</f>
        <v/>
      </c>
      <c r="T168">
        <f>HYPERLINK("https://klasma.github.io/Logging_2260/kartor/A 38298-2025 karta.png", "A 38298-2025")</f>
        <v/>
      </c>
      <c r="V168">
        <f>HYPERLINK("https://klasma.github.io/Logging_2260/klagomål/A 38298-2025 FSC-klagomål.docx", "A 38298-2025")</f>
        <v/>
      </c>
      <c r="W168">
        <f>HYPERLINK("https://klasma.github.io/Logging_2260/klagomålsmail/A 38298-2025 FSC-klagomål mail.docx", "A 38298-2025")</f>
        <v/>
      </c>
      <c r="X168">
        <f>HYPERLINK("https://klasma.github.io/Logging_2260/tillsyn/A 38298-2025 tillsynsbegäran.docx", "A 38298-2025")</f>
        <v/>
      </c>
      <c r="Y168">
        <f>HYPERLINK("https://klasma.github.io/Logging_2260/tillsynsmail/A 38298-2025 tillsynsbegäran mail.docx", "A 38298-2025")</f>
        <v/>
      </c>
    </row>
    <row r="169" ht="15" customHeight="1">
      <c r="A169" t="inlineStr">
        <is>
          <t>A 57594-2022</t>
        </is>
      </c>
      <c r="B169" s="1" t="n">
        <v>44896.97854166666</v>
      </c>
      <c r="C169" s="1" t="n">
        <v>45966</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18081-2025</t>
        </is>
      </c>
      <c r="B170" s="1" t="n">
        <v>45761.51086805556</v>
      </c>
      <c r="C170" s="1" t="n">
        <v>45966</v>
      </c>
      <c r="D170" t="inlineStr">
        <is>
          <t>VÄSTERNORRLANDS LÄN</t>
        </is>
      </c>
      <c r="E170" t="inlineStr">
        <is>
          <t>ÅNGE</t>
        </is>
      </c>
      <c r="F170" t="inlineStr">
        <is>
          <t>SCA</t>
        </is>
      </c>
      <c r="G170" t="n">
        <v>2.6</v>
      </c>
      <c r="H170" t="n">
        <v>1</v>
      </c>
      <c r="I170" t="n">
        <v>1</v>
      </c>
      <c r="J170" t="n">
        <v>0</v>
      </c>
      <c r="K170" t="n">
        <v>1</v>
      </c>
      <c r="L170" t="n">
        <v>0</v>
      </c>
      <c r="M170" t="n">
        <v>0</v>
      </c>
      <c r="N170" t="n">
        <v>0</v>
      </c>
      <c r="O170" t="n">
        <v>1</v>
      </c>
      <c r="P170" t="n">
        <v>1</v>
      </c>
      <c r="Q170" t="n">
        <v>2</v>
      </c>
      <c r="R170" s="2" t="inlineStr">
        <is>
          <t>Knärot
Dropptaggsvamp</t>
        </is>
      </c>
      <c r="S170">
        <f>HYPERLINK("https://klasma.github.io/Logging_2260/artfynd/A 18081-2025 artfynd.xlsx", "A 18081-2025")</f>
        <v/>
      </c>
      <c r="T170">
        <f>HYPERLINK("https://klasma.github.io/Logging_2260/kartor/A 18081-2025 karta.png", "A 18081-2025")</f>
        <v/>
      </c>
      <c r="U170">
        <f>HYPERLINK("https://klasma.github.io/Logging_2260/knärot/A 18081-2025 karta knärot.png", "A 18081-2025")</f>
        <v/>
      </c>
      <c r="V170">
        <f>HYPERLINK("https://klasma.github.io/Logging_2260/klagomål/A 18081-2025 FSC-klagomål.docx", "A 18081-2025")</f>
        <v/>
      </c>
      <c r="W170">
        <f>HYPERLINK("https://klasma.github.io/Logging_2260/klagomålsmail/A 18081-2025 FSC-klagomål mail.docx", "A 18081-2025")</f>
        <v/>
      </c>
      <c r="X170">
        <f>HYPERLINK("https://klasma.github.io/Logging_2260/tillsyn/A 18081-2025 tillsynsbegäran.docx", "A 18081-2025")</f>
        <v/>
      </c>
      <c r="Y170">
        <f>HYPERLINK("https://klasma.github.io/Logging_2260/tillsynsmail/A 18081-2025 tillsynsbegäran mail.docx", "A 18081-2025")</f>
        <v/>
      </c>
    </row>
    <row r="171" ht="15" customHeight="1">
      <c r="A171" t="inlineStr">
        <is>
          <t>A 57597-2022</t>
        </is>
      </c>
      <c r="B171" s="1" t="n">
        <v>44896.97878472223</v>
      </c>
      <c r="C171" s="1" t="n">
        <v>45966</v>
      </c>
      <c r="D171" t="inlineStr">
        <is>
          <t>VÄSTERNORRLANDS LÄN</t>
        </is>
      </c>
      <c r="E171" t="inlineStr">
        <is>
          <t>ÅNGE</t>
        </is>
      </c>
      <c r="F171" t="inlineStr">
        <is>
          <t>SCA</t>
        </is>
      </c>
      <c r="G171" t="n">
        <v>6.2</v>
      </c>
      <c r="H171" t="n">
        <v>0</v>
      </c>
      <c r="I171" t="n">
        <v>0</v>
      </c>
      <c r="J171" t="n">
        <v>2</v>
      </c>
      <c r="K171" t="n">
        <v>0</v>
      </c>
      <c r="L171" t="n">
        <v>0</v>
      </c>
      <c r="M171" t="n">
        <v>0</v>
      </c>
      <c r="N171" t="n">
        <v>0</v>
      </c>
      <c r="O171" t="n">
        <v>2</v>
      </c>
      <c r="P171" t="n">
        <v>0</v>
      </c>
      <c r="Q171" t="n">
        <v>2</v>
      </c>
      <c r="R171" s="2" t="inlineStr">
        <is>
          <t>Garnlav
Lunglav</t>
        </is>
      </c>
      <c r="S171">
        <f>HYPERLINK("https://klasma.github.io/Logging_2260/artfynd/A 57597-2022 artfynd.xlsx", "A 57597-2022")</f>
        <v/>
      </c>
      <c r="T171">
        <f>HYPERLINK("https://klasma.github.io/Logging_2260/kartor/A 57597-2022 karta.png", "A 57597-2022")</f>
        <v/>
      </c>
      <c r="V171">
        <f>HYPERLINK("https://klasma.github.io/Logging_2260/klagomål/A 57597-2022 FSC-klagomål.docx", "A 57597-2022")</f>
        <v/>
      </c>
      <c r="W171">
        <f>HYPERLINK("https://klasma.github.io/Logging_2260/klagomålsmail/A 57597-2022 FSC-klagomål mail.docx", "A 57597-2022")</f>
        <v/>
      </c>
      <c r="X171">
        <f>HYPERLINK("https://klasma.github.io/Logging_2260/tillsyn/A 57597-2022 tillsynsbegäran.docx", "A 57597-2022")</f>
        <v/>
      </c>
      <c r="Y171">
        <f>HYPERLINK("https://klasma.github.io/Logging_2260/tillsynsmail/A 57597-2022 tillsynsbegäran mail.docx", "A 57597-2022")</f>
        <v/>
      </c>
    </row>
    <row r="172" ht="15" customHeight="1">
      <c r="A172" t="inlineStr">
        <is>
          <t>A 62861-2021</t>
        </is>
      </c>
      <c r="B172" s="1" t="n">
        <v>44503</v>
      </c>
      <c r="C172" s="1" t="n">
        <v>45966</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25034-2024</t>
        </is>
      </c>
      <c r="B173" s="1" t="n">
        <v>45461.96458333333</v>
      </c>
      <c r="C173" s="1" t="n">
        <v>45966</v>
      </c>
      <c r="D173" t="inlineStr">
        <is>
          <t>VÄSTERNORRLANDS LÄN</t>
        </is>
      </c>
      <c r="E173" t="inlineStr">
        <is>
          <t>ÅNGE</t>
        </is>
      </c>
      <c r="F173" t="inlineStr">
        <is>
          <t>SCA</t>
        </is>
      </c>
      <c r="G173" t="n">
        <v>3.3</v>
      </c>
      <c r="H173" t="n">
        <v>0</v>
      </c>
      <c r="I173" t="n">
        <v>0</v>
      </c>
      <c r="J173" t="n">
        <v>2</v>
      </c>
      <c r="K173" t="n">
        <v>0</v>
      </c>
      <c r="L173" t="n">
        <v>0</v>
      </c>
      <c r="M173" t="n">
        <v>0</v>
      </c>
      <c r="N173" t="n">
        <v>0</v>
      </c>
      <c r="O173" t="n">
        <v>2</v>
      </c>
      <c r="P173" t="n">
        <v>0</v>
      </c>
      <c r="Q173" t="n">
        <v>2</v>
      </c>
      <c r="R173" s="2" t="inlineStr">
        <is>
          <t>Rosenticka
Ullticka</t>
        </is>
      </c>
      <c r="S173">
        <f>HYPERLINK("https://klasma.github.io/Logging_2260/artfynd/A 25034-2024 artfynd.xlsx", "A 25034-2024")</f>
        <v/>
      </c>
      <c r="T173">
        <f>HYPERLINK("https://klasma.github.io/Logging_2260/kartor/A 25034-2024 karta.png", "A 25034-2024")</f>
        <v/>
      </c>
      <c r="V173">
        <f>HYPERLINK("https://klasma.github.io/Logging_2260/klagomål/A 25034-2024 FSC-klagomål.docx", "A 25034-2024")</f>
        <v/>
      </c>
      <c r="W173">
        <f>HYPERLINK("https://klasma.github.io/Logging_2260/klagomålsmail/A 25034-2024 FSC-klagomål mail.docx", "A 25034-2024")</f>
        <v/>
      </c>
      <c r="X173">
        <f>HYPERLINK("https://klasma.github.io/Logging_2260/tillsyn/A 25034-2024 tillsynsbegäran.docx", "A 25034-2024")</f>
        <v/>
      </c>
      <c r="Y173">
        <f>HYPERLINK("https://klasma.github.io/Logging_2260/tillsynsmail/A 25034-2024 tillsynsbegäran mail.docx", "A 25034-2024")</f>
        <v/>
      </c>
    </row>
    <row r="174" ht="15" customHeight="1">
      <c r="A174" t="inlineStr">
        <is>
          <t>A 48374-2024</t>
        </is>
      </c>
      <c r="B174" s="1" t="n">
        <v>45590.58028935185</v>
      </c>
      <c r="C174" s="1" t="n">
        <v>45966</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55178-2024</t>
        </is>
      </c>
      <c r="B175" s="1" t="n">
        <v>45621</v>
      </c>
      <c r="C175" s="1" t="n">
        <v>45966</v>
      </c>
      <c r="D175" t="inlineStr">
        <is>
          <t>VÄSTERNORRLANDS LÄN</t>
        </is>
      </c>
      <c r="E175" t="inlineStr">
        <is>
          <t>ÅNGE</t>
        </is>
      </c>
      <c r="F175" t="inlineStr">
        <is>
          <t>SCA</t>
        </is>
      </c>
      <c r="G175" t="n">
        <v>4.8</v>
      </c>
      <c r="H175" t="n">
        <v>1</v>
      </c>
      <c r="I175" t="n">
        <v>0</v>
      </c>
      <c r="J175" t="n">
        <v>1</v>
      </c>
      <c r="K175" t="n">
        <v>1</v>
      </c>
      <c r="L175" t="n">
        <v>0</v>
      </c>
      <c r="M175" t="n">
        <v>0</v>
      </c>
      <c r="N175" t="n">
        <v>0</v>
      </c>
      <c r="O175" t="n">
        <v>2</v>
      </c>
      <c r="P175" t="n">
        <v>1</v>
      </c>
      <c r="Q175" t="n">
        <v>2</v>
      </c>
      <c r="R175" s="2" t="inlineStr">
        <is>
          <t>Knärot
Stiftgelélav</t>
        </is>
      </c>
      <c r="S175">
        <f>HYPERLINK("https://klasma.github.io/Logging_2260/artfynd/A 55178-2024 artfynd.xlsx", "A 55178-2024")</f>
        <v/>
      </c>
      <c r="T175">
        <f>HYPERLINK("https://klasma.github.io/Logging_2260/kartor/A 55178-2024 karta.png", "A 55178-2024")</f>
        <v/>
      </c>
      <c r="U175">
        <f>HYPERLINK("https://klasma.github.io/Logging_2260/knärot/A 55178-2024 karta knärot.png", "A 55178-2024")</f>
        <v/>
      </c>
      <c r="V175">
        <f>HYPERLINK("https://klasma.github.io/Logging_2260/klagomål/A 55178-2024 FSC-klagomål.docx", "A 55178-2024")</f>
        <v/>
      </c>
      <c r="W175">
        <f>HYPERLINK("https://klasma.github.io/Logging_2260/klagomålsmail/A 55178-2024 FSC-klagomål mail.docx", "A 55178-2024")</f>
        <v/>
      </c>
      <c r="X175">
        <f>HYPERLINK("https://klasma.github.io/Logging_2260/tillsyn/A 55178-2024 tillsynsbegäran.docx", "A 55178-2024")</f>
        <v/>
      </c>
      <c r="Y175">
        <f>HYPERLINK("https://klasma.github.io/Logging_2260/tillsynsmail/A 55178-2024 tillsynsbegäran mail.docx", "A 55178-2024")</f>
        <v/>
      </c>
    </row>
    <row r="176" ht="15" customHeight="1">
      <c r="A176" t="inlineStr">
        <is>
          <t>A 49871-2024</t>
        </is>
      </c>
      <c r="B176" s="1" t="n">
        <v>45597.4903125</v>
      </c>
      <c r="C176" s="1" t="n">
        <v>45966</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26020-2024</t>
        </is>
      </c>
      <c r="B177" s="1" t="n">
        <v>45467.9603125</v>
      </c>
      <c r="C177" s="1" t="n">
        <v>45966</v>
      </c>
      <c r="D177" t="inlineStr">
        <is>
          <t>VÄSTERNORRLANDS LÄN</t>
        </is>
      </c>
      <c r="E177" t="inlineStr">
        <is>
          <t>ÅNGE</t>
        </is>
      </c>
      <c r="F177" t="inlineStr">
        <is>
          <t>SCA</t>
        </is>
      </c>
      <c r="G177" t="n">
        <v>4.8</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26020-2024 artfynd.xlsx", "A 26020-2024")</f>
        <v/>
      </c>
      <c r="T177">
        <f>HYPERLINK("https://klasma.github.io/Logging_2260/kartor/A 26020-2024 karta.png", "A 26020-2024")</f>
        <v/>
      </c>
      <c r="V177">
        <f>HYPERLINK("https://klasma.github.io/Logging_2260/klagomål/A 26020-2024 FSC-klagomål.docx", "A 26020-2024")</f>
        <v/>
      </c>
      <c r="W177">
        <f>HYPERLINK("https://klasma.github.io/Logging_2260/klagomålsmail/A 26020-2024 FSC-klagomål mail.docx", "A 26020-2024")</f>
        <v/>
      </c>
      <c r="X177">
        <f>HYPERLINK("https://klasma.github.io/Logging_2260/tillsyn/A 26020-2024 tillsynsbegäran.docx", "A 26020-2024")</f>
        <v/>
      </c>
      <c r="Y177">
        <f>HYPERLINK("https://klasma.github.io/Logging_2260/tillsynsmail/A 26020-2024 tillsynsbegäran mail.docx", "A 26020-2024")</f>
        <v/>
      </c>
    </row>
    <row r="178" ht="15" customHeight="1">
      <c r="A178" t="inlineStr">
        <is>
          <t>A 20367-2022</t>
        </is>
      </c>
      <c r="B178" s="1" t="n">
        <v>44699</v>
      </c>
      <c r="C178" s="1" t="n">
        <v>45966</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45966</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45966</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45966</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45966</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45966</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38603-2024</t>
        </is>
      </c>
      <c r="B184" s="1" t="n">
        <v>45546</v>
      </c>
      <c r="C184" s="1" t="n">
        <v>45966</v>
      </c>
      <c r="D184" t="inlineStr">
        <is>
          <t>VÄSTERNORRLANDS LÄN</t>
        </is>
      </c>
      <c r="E184" t="inlineStr">
        <is>
          <t>ÅNGE</t>
        </is>
      </c>
      <c r="F184" t="inlineStr">
        <is>
          <t>SCA</t>
        </is>
      </c>
      <c r="G184" t="n">
        <v>5.6</v>
      </c>
      <c r="H184" t="n">
        <v>0</v>
      </c>
      <c r="I184" t="n">
        <v>0</v>
      </c>
      <c r="J184" t="n">
        <v>0</v>
      </c>
      <c r="K184" t="n">
        <v>1</v>
      </c>
      <c r="L184" t="n">
        <v>0</v>
      </c>
      <c r="M184" t="n">
        <v>0</v>
      </c>
      <c r="N184" t="n">
        <v>0</v>
      </c>
      <c r="O184" t="n">
        <v>1</v>
      </c>
      <c r="P184" t="n">
        <v>1</v>
      </c>
      <c r="Q184" t="n">
        <v>1</v>
      </c>
      <c r="R184" s="2" t="inlineStr">
        <is>
          <t>Rynkskinn</t>
        </is>
      </c>
      <c r="S184">
        <f>HYPERLINK("https://klasma.github.io/Logging_2260/artfynd/A 38603-2024 artfynd.xlsx", "A 38603-2024")</f>
        <v/>
      </c>
      <c r="T184">
        <f>HYPERLINK("https://klasma.github.io/Logging_2260/kartor/A 38603-2024 karta.png", "A 38603-2024")</f>
        <v/>
      </c>
      <c r="V184">
        <f>HYPERLINK("https://klasma.github.io/Logging_2260/klagomål/A 38603-2024 FSC-klagomål.docx", "A 38603-2024")</f>
        <v/>
      </c>
      <c r="W184">
        <f>HYPERLINK("https://klasma.github.io/Logging_2260/klagomålsmail/A 38603-2024 FSC-klagomål mail.docx", "A 38603-2024")</f>
        <v/>
      </c>
      <c r="X184">
        <f>HYPERLINK("https://klasma.github.io/Logging_2260/tillsyn/A 38603-2024 tillsynsbegäran.docx", "A 38603-2024")</f>
        <v/>
      </c>
      <c r="Y184">
        <f>HYPERLINK("https://klasma.github.io/Logging_2260/tillsynsmail/A 38603-2024 tillsynsbegäran mail.docx", "A 38603-2024")</f>
        <v/>
      </c>
    </row>
    <row r="185" ht="15" customHeight="1">
      <c r="A185" t="inlineStr">
        <is>
          <t>A 34696-2024</t>
        </is>
      </c>
      <c r="B185" s="1" t="n">
        <v>45526</v>
      </c>
      <c r="C185" s="1" t="n">
        <v>45966</v>
      </c>
      <c r="D185" t="inlineStr">
        <is>
          <t>VÄSTERNORRLANDS LÄN</t>
        </is>
      </c>
      <c r="E185" t="inlineStr">
        <is>
          <t>ÅNGE</t>
        </is>
      </c>
      <c r="G185" t="n">
        <v>3.6</v>
      </c>
      <c r="H185" t="n">
        <v>1</v>
      </c>
      <c r="I185" t="n">
        <v>0</v>
      </c>
      <c r="J185" t="n">
        <v>0</v>
      </c>
      <c r="K185" t="n">
        <v>0</v>
      </c>
      <c r="L185" t="n">
        <v>0</v>
      </c>
      <c r="M185" t="n">
        <v>0</v>
      </c>
      <c r="N185" t="n">
        <v>0</v>
      </c>
      <c r="O185" t="n">
        <v>0</v>
      </c>
      <c r="P185" t="n">
        <v>0</v>
      </c>
      <c r="Q185" t="n">
        <v>1</v>
      </c>
      <c r="R185" s="2" t="inlineStr">
        <is>
          <t>Revlummer</t>
        </is>
      </c>
      <c r="S185">
        <f>HYPERLINK("https://klasma.github.io/Logging_2260/artfynd/A 34696-2024 artfynd.xlsx", "A 34696-2024")</f>
        <v/>
      </c>
      <c r="T185">
        <f>HYPERLINK("https://klasma.github.io/Logging_2260/kartor/A 34696-2024 karta.png", "A 34696-2024")</f>
        <v/>
      </c>
      <c r="V185">
        <f>HYPERLINK("https://klasma.github.io/Logging_2260/klagomål/A 34696-2024 FSC-klagomål.docx", "A 34696-2024")</f>
        <v/>
      </c>
      <c r="W185">
        <f>HYPERLINK("https://klasma.github.io/Logging_2260/klagomålsmail/A 34696-2024 FSC-klagomål mail.docx", "A 34696-2024")</f>
        <v/>
      </c>
      <c r="X185">
        <f>HYPERLINK("https://klasma.github.io/Logging_2260/tillsyn/A 34696-2024 tillsynsbegäran.docx", "A 34696-2024")</f>
        <v/>
      </c>
      <c r="Y185">
        <f>HYPERLINK("https://klasma.github.io/Logging_2260/tillsynsmail/A 34696-2024 tillsynsbegäran mail.docx", "A 34696-2024")</f>
        <v/>
      </c>
    </row>
    <row r="186" ht="15" customHeight="1">
      <c r="A186" t="inlineStr">
        <is>
          <t>A 55015-2023</t>
        </is>
      </c>
      <c r="B186" s="1" t="n">
        <v>45237.32185185186</v>
      </c>
      <c r="C186" s="1" t="n">
        <v>45966</v>
      </c>
      <c r="D186" t="inlineStr">
        <is>
          <t>VÄSTERNORRLANDS LÄN</t>
        </is>
      </c>
      <c r="E186" t="inlineStr">
        <is>
          <t>ÅNGE</t>
        </is>
      </c>
      <c r="F186" t="inlineStr">
        <is>
          <t>Sveaskog</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HYPERLINK("https://klasma.github.io/Logging_2260/artfynd/A 55015-2023 artfynd.xlsx", "A 55015-2023")</f>
        <v/>
      </c>
      <c r="T186">
        <f>HYPERLINK("https://klasma.github.io/Logging_2260/kartor/A 55015-2023 karta.png", "A 55015-2023")</f>
        <v/>
      </c>
      <c r="V186">
        <f>HYPERLINK("https://klasma.github.io/Logging_2260/klagomål/A 55015-2023 FSC-klagomål.docx", "A 55015-2023")</f>
        <v/>
      </c>
      <c r="W186">
        <f>HYPERLINK("https://klasma.github.io/Logging_2260/klagomålsmail/A 55015-2023 FSC-klagomål mail.docx", "A 55015-2023")</f>
        <v/>
      </c>
      <c r="X186">
        <f>HYPERLINK("https://klasma.github.io/Logging_2260/tillsyn/A 55015-2023 tillsynsbegäran.docx", "A 55015-2023")</f>
        <v/>
      </c>
      <c r="Y186">
        <f>HYPERLINK("https://klasma.github.io/Logging_2260/tillsynsmail/A 55015-2023 tillsynsbegäran mail.docx", "A 55015-2023")</f>
        <v/>
      </c>
    </row>
    <row r="187" ht="15" customHeight="1">
      <c r="A187" t="inlineStr">
        <is>
          <t>A 41493-2021</t>
        </is>
      </c>
      <c r="B187" s="1" t="n">
        <v>44424</v>
      </c>
      <c r="C187" s="1" t="n">
        <v>45966</v>
      </c>
      <c r="D187" t="inlineStr">
        <is>
          <t>VÄSTERNORRLANDS LÄN</t>
        </is>
      </c>
      <c r="E187" t="inlineStr">
        <is>
          <t>ÅNGE</t>
        </is>
      </c>
      <c r="F187" t="inlineStr">
        <is>
          <t>SCA</t>
        </is>
      </c>
      <c r="G187" t="n">
        <v>8</v>
      </c>
      <c r="H187" t="n">
        <v>1</v>
      </c>
      <c r="I187" t="n">
        <v>0</v>
      </c>
      <c r="J187" t="n">
        <v>0</v>
      </c>
      <c r="K187" t="n">
        <v>1</v>
      </c>
      <c r="L187" t="n">
        <v>0</v>
      </c>
      <c r="M187" t="n">
        <v>0</v>
      </c>
      <c r="N187" t="n">
        <v>0</v>
      </c>
      <c r="O187" t="n">
        <v>1</v>
      </c>
      <c r="P187" t="n">
        <v>1</v>
      </c>
      <c r="Q187" t="n">
        <v>1</v>
      </c>
      <c r="R187" s="2" t="inlineStr">
        <is>
          <t>Knärot</t>
        </is>
      </c>
      <c r="S187">
        <f>HYPERLINK("https://klasma.github.io/Logging_2260/artfynd/A 41493-2021 artfynd.xlsx", "A 41493-2021")</f>
        <v/>
      </c>
      <c r="T187">
        <f>HYPERLINK("https://klasma.github.io/Logging_2260/kartor/A 41493-2021 karta.png", "A 41493-2021")</f>
        <v/>
      </c>
      <c r="U187">
        <f>HYPERLINK("https://klasma.github.io/Logging_2260/knärot/A 41493-2021 karta knärot.png", "A 41493-2021")</f>
        <v/>
      </c>
      <c r="V187">
        <f>HYPERLINK("https://klasma.github.io/Logging_2260/klagomål/A 41493-2021 FSC-klagomål.docx", "A 41493-2021")</f>
        <v/>
      </c>
      <c r="W187">
        <f>HYPERLINK("https://klasma.github.io/Logging_2260/klagomålsmail/A 41493-2021 FSC-klagomål mail.docx", "A 41493-2021")</f>
        <v/>
      </c>
      <c r="X187">
        <f>HYPERLINK("https://klasma.github.io/Logging_2260/tillsyn/A 41493-2021 tillsynsbegäran.docx", "A 41493-2021")</f>
        <v/>
      </c>
      <c r="Y187">
        <f>HYPERLINK("https://klasma.github.io/Logging_2260/tillsynsmail/A 41493-2021 tillsynsbegäran mail.docx", "A 41493-2021")</f>
        <v/>
      </c>
    </row>
    <row r="188" ht="15" customHeight="1">
      <c r="A188" t="inlineStr">
        <is>
          <t>A 29327-2023</t>
        </is>
      </c>
      <c r="B188" s="1" t="n">
        <v>45105.94349537037</v>
      </c>
      <c r="C188" s="1" t="n">
        <v>45966</v>
      </c>
      <c r="D188" t="inlineStr">
        <is>
          <t>VÄSTERNORRLANDS LÄN</t>
        </is>
      </c>
      <c r="E188" t="inlineStr">
        <is>
          <t>ÅNGE</t>
        </is>
      </c>
      <c r="G188" t="n">
        <v>7.8</v>
      </c>
      <c r="H188" t="n">
        <v>0</v>
      </c>
      <c r="I188" t="n">
        <v>0</v>
      </c>
      <c r="J188" t="n">
        <v>1</v>
      </c>
      <c r="K188" t="n">
        <v>0</v>
      </c>
      <c r="L188" t="n">
        <v>0</v>
      </c>
      <c r="M188" t="n">
        <v>0</v>
      </c>
      <c r="N188" t="n">
        <v>0</v>
      </c>
      <c r="O188" t="n">
        <v>1</v>
      </c>
      <c r="P188" t="n">
        <v>0</v>
      </c>
      <c r="Q188" t="n">
        <v>1</v>
      </c>
      <c r="R188" s="2" t="inlineStr">
        <is>
          <t>Mörk kolflarnlav</t>
        </is>
      </c>
      <c r="S188">
        <f>HYPERLINK("https://klasma.github.io/Logging_2260/artfynd/A 29327-2023 artfynd.xlsx", "A 29327-2023")</f>
        <v/>
      </c>
      <c r="T188">
        <f>HYPERLINK("https://klasma.github.io/Logging_2260/kartor/A 29327-2023 karta.png", "A 29327-2023")</f>
        <v/>
      </c>
      <c r="V188">
        <f>HYPERLINK("https://klasma.github.io/Logging_2260/klagomål/A 29327-2023 FSC-klagomål.docx", "A 29327-2023")</f>
        <v/>
      </c>
      <c r="W188">
        <f>HYPERLINK("https://klasma.github.io/Logging_2260/klagomålsmail/A 29327-2023 FSC-klagomål mail.docx", "A 29327-2023")</f>
        <v/>
      </c>
      <c r="X188">
        <f>HYPERLINK("https://klasma.github.io/Logging_2260/tillsyn/A 29327-2023 tillsynsbegäran.docx", "A 29327-2023")</f>
        <v/>
      </c>
      <c r="Y188">
        <f>HYPERLINK("https://klasma.github.io/Logging_2260/tillsynsmail/A 29327-2023 tillsynsbegäran mail.docx", "A 29327-2023")</f>
        <v/>
      </c>
    </row>
    <row r="189" ht="15" customHeight="1">
      <c r="A189" t="inlineStr">
        <is>
          <t>A 31878-2024</t>
        </is>
      </c>
      <c r="B189" s="1" t="n">
        <v>45509</v>
      </c>
      <c r="C189" s="1" t="n">
        <v>45966</v>
      </c>
      <c r="D189" t="inlineStr">
        <is>
          <t>VÄSTERNORRLANDS LÄN</t>
        </is>
      </c>
      <c r="E189" t="inlineStr">
        <is>
          <t>ÅNGE</t>
        </is>
      </c>
      <c r="F189" t="inlineStr">
        <is>
          <t>SCA</t>
        </is>
      </c>
      <c r="G189" t="n">
        <v>5.1</v>
      </c>
      <c r="H189" t="n">
        <v>0</v>
      </c>
      <c r="I189" t="n">
        <v>1</v>
      </c>
      <c r="J189" t="n">
        <v>0</v>
      </c>
      <c r="K189" t="n">
        <v>0</v>
      </c>
      <c r="L189" t="n">
        <v>0</v>
      </c>
      <c r="M189" t="n">
        <v>0</v>
      </c>
      <c r="N189" t="n">
        <v>0</v>
      </c>
      <c r="O189" t="n">
        <v>0</v>
      </c>
      <c r="P189" t="n">
        <v>0</v>
      </c>
      <c r="Q189" t="n">
        <v>1</v>
      </c>
      <c r="R189" s="2" t="inlineStr">
        <is>
          <t>Grönpyrola</t>
        </is>
      </c>
      <c r="S189">
        <f>HYPERLINK("https://klasma.github.io/Logging_2260/artfynd/A 31878-2024 artfynd.xlsx", "A 31878-2024")</f>
        <v/>
      </c>
      <c r="T189">
        <f>HYPERLINK("https://klasma.github.io/Logging_2260/kartor/A 31878-2024 karta.png", "A 31878-2024")</f>
        <v/>
      </c>
      <c r="V189">
        <f>HYPERLINK("https://klasma.github.io/Logging_2260/klagomål/A 31878-2024 FSC-klagomål.docx", "A 31878-2024")</f>
        <v/>
      </c>
      <c r="W189">
        <f>HYPERLINK("https://klasma.github.io/Logging_2260/klagomålsmail/A 31878-2024 FSC-klagomål mail.docx", "A 31878-2024")</f>
        <v/>
      </c>
      <c r="X189">
        <f>HYPERLINK("https://klasma.github.io/Logging_2260/tillsyn/A 31878-2024 tillsynsbegäran.docx", "A 31878-2024")</f>
        <v/>
      </c>
      <c r="Y189">
        <f>HYPERLINK("https://klasma.github.io/Logging_2260/tillsynsmail/A 31878-2024 tillsynsbegäran mail.docx", "A 31878-2024")</f>
        <v/>
      </c>
    </row>
    <row r="190" ht="15" customHeight="1">
      <c r="A190" t="inlineStr">
        <is>
          <t>A 63983-2020</t>
        </is>
      </c>
      <c r="B190" s="1" t="n">
        <v>44167</v>
      </c>
      <c r="C190" s="1" t="n">
        <v>45966</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31510-2024</t>
        </is>
      </c>
      <c r="B191" s="1" t="n">
        <v>45505</v>
      </c>
      <c r="C191" s="1" t="n">
        <v>45966</v>
      </c>
      <c r="D191" t="inlineStr">
        <is>
          <t>VÄSTERNORRLANDS LÄN</t>
        </is>
      </c>
      <c r="E191" t="inlineStr">
        <is>
          <t>ÅNGE</t>
        </is>
      </c>
      <c r="F191" t="inlineStr">
        <is>
          <t>SCA</t>
        </is>
      </c>
      <c r="G191" t="n">
        <v>6</v>
      </c>
      <c r="H191" t="n">
        <v>1</v>
      </c>
      <c r="I191" t="n">
        <v>0</v>
      </c>
      <c r="J191" t="n">
        <v>0</v>
      </c>
      <c r="K191" t="n">
        <v>1</v>
      </c>
      <c r="L191" t="n">
        <v>0</v>
      </c>
      <c r="M191" t="n">
        <v>0</v>
      </c>
      <c r="N191" t="n">
        <v>0</v>
      </c>
      <c r="O191" t="n">
        <v>1</v>
      </c>
      <c r="P191" t="n">
        <v>1</v>
      </c>
      <c r="Q191" t="n">
        <v>1</v>
      </c>
      <c r="R191" s="2" t="inlineStr">
        <is>
          <t>Doftticka</t>
        </is>
      </c>
      <c r="S191">
        <f>HYPERLINK("https://klasma.github.io/Logging_2260/artfynd/A 31510-2024 artfynd.xlsx", "A 31510-2024")</f>
        <v/>
      </c>
      <c r="T191">
        <f>HYPERLINK("https://klasma.github.io/Logging_2260/kartor/A 31510-2024 karta.png", "A 31510-2024")</f>
        <v/>
      </c>
      <c r="V191">
        <f>HYPERLINK("https://klasma.github.io/Logging_2260/klagomål/A 31510-2024 FSC-klagomål.docx", "A 31510-2024")</f>
        <v/>
      </c>
      <c r="W191">
        <f>HYPERLINK("https://klasma.github.io/Logging_2260/klagomålsmail/A 31510-2024 FSC-klagomål mail.docx", "A 31510-2024")</f>
        <v/>
      </c>
      <c r="X191">
        <f>HYPERLINK("https://klasma.github.io/Logging_2260/tillsyn/A 31510-2024 tillsynsbegäran.docx", "A 31510-2024")</f>
        <v/>
      </c>
      <c r="Y191">
        <f>HYPERLINK("https://klasma.github.io/Logging_2260/tillsynsmail/A 31510-2024 tillsynsbegäran mail.docx", "A 31510-2024")</f>
        <v/>
      </c>
    </row>
    <row r="192" ht="15" customHeight="1">
      <c r="A192" t="inlineStr">
        <is>
          <t>A 25705-2024</t>
        </is>
      </c>
      <c r="B192" s="1" t="n">
        <v>45463.9428587963</v>
      </c>
      <c r="C192" s="1" t="n">
        <v>45966</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37914-2024</t>
        </is>
      </c>
      <c r="B193" s="1" t="n">
        <v>45544</v>
      </c>
      <c r="C193" s="1" t="n">
        <v>45966</v>
      </c>
      <c r="D193" t="inlineStr">
        <is>
          <t>VÄSTERNORRLANDS LÄN</t>
        </is>
      </c>
      <c r="E193" t="inlineStr">
        <is>
          <t>ÅNGE</t>
        </is>
      </c>
      <c r="F193" t="inlineStr">
        <is>
          <t>SCA</t>
        </is>
      </c>
      <c r="G193" t="n">
        <v>9</v>
      </c>
      <c r="H193" t="n">
        <v>0</v>
      </c>
      <c r="I193" t="n">
        <v>0</v>
      </c>
      <c r="J193" t="n">
        <v>1</v>
      </c>
      <c r="K193" t="n">
        <v>0</v>
      </c>
      <c r="L193" t="n">
        <v>0</v>
      </c>
      <c r="M193" t="n">
        <v>0</v>
      </c>
      <c r="N193" t="n">
        <v>0</v>
      </c>
      <c r="O193" t="n">
        <v>1</v>
      </c>
      <c r="P193" t="n">
        <v>0</v>
      </c>
      <c r="Q193" t="n">
        <v>1</v>
      </c>
      <c r="R193" s="2" t="inlineStr">
        <is>
          <t>Granticka</t>
        </is>
      </c>
      <c r="S193">
        <f>HYPERLINK("https://klasma.github.io/Logging_2260/artfynd/A 37914-2024 artfynd.xlsx", "A 37914-2024")</f>
        <v/>
      </c>
      <c r="T193">
        <f>HYPERLINK("https://klasma.github.io/Logging_2260/kartor/A 37914-2024 karta.png", "A 37914-2024")</f>
        <v/>
      </c>
      <c r="V193">
        <f>HYPERLINK("https://klasma.github.io/Logging_2260/klagomål/A 37914-2024 FSC-klagomål.docx", "A 37914-2024")</f>
        <v/>
      </c>
      <c r="W193">
        <f>HYPERLINK("https://klasma.github.io/Logging_2260/klagomålsmail/A 37914-2024 FSC-klagomål mail.docx", "A 37914-2024")</f>
        <v/>
      </c>
      <c r="X193">
        <f>HYPERLINK("https://klasma.github.io/Logging_2260/tillsyn/A 37914-2024 tillsynsbegäran.docx", "A 37914-2024")</f>
        <v/>
      </c>
      <c r="Y193">
        <f>HYPERLINK("https://klasma.github.io/Logging_2260/tillsynsmail/A 37914-2024 tillsynsbegäran mail.docx", "A 37914-2024")</f>
        <v/>
      </c>
    </row>
    <row r="194" ht="15" customHeight="1">
      <c r="A194" t="inlineStr">
        <is>
          <t>A 20192-2025</t>
        </is>
      </c>
      <c r="B194" s="1" t="n">
        <v>45772.60177083333</v>
      </c>
      <c r="C194" s="1" t="n">
        <v>45966</v>
      </c>
      <c r="D194" t="inlineStr">
        <is>
          <t>VÄSTERNORRLANDS LÄN</t>
        </is>
      </c>
      <c r="E194" t="inlineStr">
        <is>
          <t>ÅNGE</t>
        </is>
      </c>
      <c r="F194" t="inlineStr">
        <is>
          <t>Sveaskog</t>
        </is>
      </c>
      <c r="G194" t="n">
        <v>8.800000000000001</v>
      </c>
      <c r="H194" t="n">
        <v>1</v>
      </c>
      <c r="I194" t="n">
        <v>0</v>
      </c>
      <c r="J194" t="n">
        <v>0</v>
      </c>
      <c r="K194" t="n">
        <v>0</v>
      </c>
      <c r="L194" t="n">
        <v>0</v>
      </c>
      <c r="M194" t="n">
        <v>0</v>
      </c>
      <c r="N194" t="n">
        <v>0</v>
      </c>
      <c r="O194" t="n">
        <v>0</v>
      </c>
      <c r="P194" t="n">
        <v>0</v>
      </c>
      <c r="Q194" t="n">
        <v>1</v>
      </c>
      <c r="R194" s="2" t="inlineStr">
        <is>
          <t>Blåsippa</t>
        </is>
      </c>
      <c r="S194">
        <f>HYPERLINK("https://klasma.github.io/Logging_2260/artfynd/A 20192-2025 artfynd.xlsx", "A 20192-2025")</f>
        <v/>
      </c>
      <c r="T194">
        <f>HYPERLINK("https://klasma.github.io/Logging_2260/kartor/A 20192-2025 karta.png", "A 20192-2025")</f>
        <v/>
      </c>
      <c r="V194">
        <f>HYPERLINK("https://klasma.github.io/Logging_2260/klagomål/A 20192-2025 FSC-klagomål.docx", "A 20192-2025")</f>
        <v/>
      </c>
      <c r="W194">
        <f>HYPERLINK("https://klasma.github.io/Logging_2260/klagomålsmail/A 20192-2025 FSC-klagomål mail.docx", "A 20192-2025")</f>
        <v/>
      </c>
      <c r="X194">
        <f>HYPERLINK("https://klasma.github.io/Logging_2260/tillsyn/A 20192-2025 tillsynsbegäran.docx", "A 20192-2025")</f>
        <v/>
      </c>
      <c r="Y194">
        <f>HYPERLINK("https://klasma.github.io/Logging_2260/tillsynsmail/A 20192-2025 tillsynsbegäran mail.docx", "A 20192-2025")</f>
        <v/>
      </c>
    </row>
    <row r="195" ht="15" customHeight="1">
      <c r="A195" t="inlineStr">
        <is>
          <t>A 39638-2024</t>
        </is>
      </c>
      <c r="B195" s="1" t="n">
        <v>45552</v>
      </c>
      <c r="C195" s="1" t="n">
        <v>45966</v>
      </c>
      <c r="D195" t="inlineStr">
        <is>
          <t>VÄSTERNORRLANDS LÄN</t>
        </is>
      </c>
      <c r="E195" t="inlineStr">
        <is>
          <t>ÅNGE</t>
        </is>
      </c>
      <c r="G195" t="n">
        <v>3</v>
      </c>
      <c r="H195" t="n">
        <v>1</v>
      </c>
      <c r="I195" t="n">
        <v>0</v>
      </c>
      <c r="J195" t="n">
        <v>0</v>
      </c>
      <c r="K195" t="n">
        <v>0</v>
      </c>
      <c r="L195" t="n">
        <v>0</v>
      </c>
      <c r="M195" t="n">
        <v>0</v>
      </c>
      <c r="N195" t="n">
        <v>0</v>
      </c>
      <c r="O195" t="n">
        <v>0</v>
      </c>
      <c r="P195" t="n">
        <v>0</v>
      </c>
      <c r="Q195" t="n">
        <v>1</v>
      </c>
      <c r="R195" s="2" t="inlineStr">
        <is>
          <t>Tjäder</t>
        </is>
      </c>
      <c r="S195">
        <f>HYPERLINK("https://klasma.github.io/Logging_2260/artfynd/A 39638-2024 artfynd.xlsx", "A 39638-2024")</f>
        <v/>
      </c>
      <c r="T195">
        <f>HYPERLINK("https://klasma.github.io/Logging_2260/kartor/A 39638-2024 karta.png", "A 39638-2024")</f>
        <v/>
      </c>
      <c r="V195">
        <f>HYPERLINK("https://klasma.github.io/Logging_2260/klagomål/A 39638-2024 FSC-klagomål.docx", "A 39638-2024")</f>
        <v/>
      </c>
      <c r="W195">
        <f>HYPERLINK("https://klasma.github.io/Logging_2260/klagomålsmail/A 39638-2024 FSC-klagomål mail.docx", "A 39638-2024")</f>
        <v/>
      </c>
      <c r="X195">
        <f>HYPERLINK("https://klasma.github.io/Logging_2260/tillsyn/A 39638-2024 tillsynsbegäran.docx", "A 39638-2024")</f>
        <v/>
      </c>
      <c r="Y195">
        <f>HYPERLINK("https://klasma.github.io/Logging_2260/tillsynsmail/A 39638-2024 tillsynsbegäran mail.docx", "A 39638-2024")</f>
        <v/>
      </c>
      <c r="Z195">
        <f>HYPERLINK("https://klasma.github.io/Logging_2260/fåglar/A 39638-2024 prioriterade fågelarter.docx", "A 39638-2024")</f>
        <v/>
      </c>
    </row>
    <row r="196" ht="15" customHeight="1">
      <c r="A196" t="inlineStr">
        <is>
          <t>A 57272-2024</t>
        </is>
      </c>
      <c r="B196" s="1" t="n">
        <v>45629.57380787037</v>
      </c>
      <c r="C196" s="1" t="n">
        <v>45966</v>
      </c>
      <c r="D196" t="inlineStr">
        <is>
          <t>VÄSTERNORRLANDS LÄN</t>
        </is>
      </c>
      <c r="E196" t="inlineStr">
        <is>
          <t>ÅNGE</t>
        </is>
      </c>
      <c r="F196" t="inlineStr">
        <is>
          <t>SCA</t>
        </is>
      </c>
      <c r="G196" t="n">
        <v>5.4</v>
      </c>
      <c r="H196" t="n">
        <v>0</v>
      </c>
      <c r="I196" t="n">
        <v>0</v>
      </c>
      <c r="J196" t="n">
        <v>1</v>
      </c>
      <c r="K196" t="n">
        <v>0</v>
      </c>
      <c r="L196" t="n">
        <v>0</v>
      </c>
      <c r="M196" t="n">
        <v>0</v>
      </c>
      <c r="N196" t="n">
        <v>0</v>
      </c>
      <c r="O196" t="n">
        <v>1</v>
      </c>
      <c r="P196" t="n">
        <v>0</v>
      </c>
      <c r="Q196" t="n">
        <v>1</v>
      </c>
      <c r="R196" s="2" t="inlineStr">
        <is>
          <t>Orange taggsvamp</t>
        </is>
      </c>
      <c r="S196">
        <f>HYPERLINK("https://klasma.github.io/Logging_2260/artfynd/A 57272-2024 artfynd.xlsx", "A 57272-2024")</f>
        <v/>
      </c>
      <c r="T196">
        <f>HYPERLINK("https://klasma.github.io/Logging_2260/kartor/A 57272-2024 karta.png", "A 57272-2024")</f>
        <v/>
      </c>
      <c r="V196">
        <f>HYPERLINK("https://klasma.github.io/Logging_2260/klagomål/A 57272-2024 FSC-klagomål.docx", "A 57272-2024")</f>
        <v/>
      </c>
      <c r="W196">
        <f>HYPERLINK("https://klasma.github.io/Logging_2260/klagomålsmail/A 57272-2024 FSC-klagomål mail.docx", "A 57272-2024")</f>
        <v/>
      </c>
      <c r="X196">
        <f>HYPERLINK("https://klasma.github.io/Logging_2260/tillsyn/A 57272-2024 tillsynsbegäran.docx", "A 57272-2024")</f>
        <v/>
      </c>
      <c r="Y196">
        <f>HYPERLINK("https://klasma.github.io/Logging_2260/tillsynsmail/A 57272-2024 tillsynsbegäran mail.docx", "A 57272-2024")</f>
        <v/>
      </c>
    </row>
    <row r="197" ht="15" customHeight="1">
      <c r="A197" t="inlineStr">
        <is>
          <t>A 47857-2025</t>
        </is>
      </c>
      <c r="B197" s="1" t="n">
        <v>45932.4068287037</v>
      </c>
      <c r="C197" s="1" t="n">
        <v>45966</v>
      </c>
      <c r="D197" t="inlineStr">
        <is>
          <t>VÄSTERNORRLANDS LÄN</t>
        </is>
      </c>
      <c r="E197" t="inlineStr">
        <is>
          <t>ÅNGE</t>
        </is>
      </c>
      <c r="G197" t="n">
        <v>2.5</v>
      </c>
      <c r="H197" t="n">
        <v>1</v>
      </c>
      <c r="I197" t="n">
        <v>0</v>
      </c>
      <c r="J197" t="n">
        <v>1</v>
      </c>
      <c r="K197" t="n">
        <v>0</v>
      </c>
      <c r="L197" t="n">
        <v>0</v>
      </c>
      <c r="M197" t="n">
        <v>0</v>
      </c>
      <c r="N197" t="n">
        <v>0</v>
      </c>
      <c r="O197" t="n">
        <v>1</v>
      </c>
      <c r="P197" t="n">
        <v>0</v>
      </c>
      <c r="Q197" t="n">
        <v>1</v>
      </c>
      <c r="R197" s="2" t="inlineStr">
        <is>
          <t>Kungsörn</t>
        </is>
      </c>
      <c r="S197">
        <f>HYPERLINK("https://klasma.github.io/Logging_2260/artfynd/A 47857-2025 artfynd.xlsx", "A 47857-2025")</f>
        <v/>
      </c>
      <c r="T197">
        <f>HYPERLINK("https://klasma.github.io/Logging_2260/kartor/A 47857-2025 karta.png", "A 47857-2025")</f>
        <v/>
      </c>
      <c r="V197">
        <f>HYPERLINK("https://klasma.github.io/Logging_2260/klagomål/A 47857-2025 FSC-klagomål.docx", "A 47857-2025")</f>
        <v/>
      </c>
      <c r="W197">
        <f>HYPERLINK("https://klasma.github.io/Logging_2260/klagomålsmail/A 47857-2025 FSC-klagomål mail.docx", "A 47857-2025")</f>
        <v/>
      </c>
      <c r="X197">
        <f>HYPERLINK("https://klasma.github.io/Logging_2260/tillsyn/A 47857-2025 tillsynsbegäran.docx", "A 47857-2025")</f>
        <v/>
      </c>
      <c r="Y197">
        <f>HYPERLINK("https://klasma.github.io/Logging_2260/tillsynsmail/A 47857-2025 tillsynsbegäran mail.docx", "A 47857-2025")</f>
        <v/>
      </c>
      <c r="Z197">
        <f>HYPERLINK("https://klasma.github.io/Logging_2260/fåglar/A 47857-2025 prioriterade fågelarter.docx", "A 47857-2025")</f>
        <v/>
      </c>
    </row>
    <row r="198" ht="15" customHeight="1">
      <c r="A198" t="inlineStr">
        <is>
          <t>A 54751-2021</t>
        </is>
      </c>
      <c r="B198" s="1" t="n">
        <v>44473</v>
      </c>
      <c r="C198" s="1" t="n">
        <v>45966</v>
      </c>
      <c r="D198" t="inlineStr">
        <is>
          <t>VÄSTERNORRLANDS LÄN</t>
        </is>
      </c>
      <c r="E198" t="inlineStr">
        <is>
          <t>ÅNGE</t>
        </is>
      </c>
      <c r="G198" t="n">
        <v>6.5</v>
      </c>
      <c r="H198" t="n">
        <v>0</v>
      </c>
      <c r="I198" t="n">
        <v>0</v>
      </c>
      <c r="J198" t="n">
        <v>0</v>
      </c>
      <c r="K198" t="n">
        <v>1</v>
      </c>
      <c r="L198" t="n">
        <v>0</v>
      </c>
      <c r="M198" t="n">
        <v>0</v>
      </c>
      <c r="N198" t="n">
        <v>0</v>
      </c>
      <c r="O198" t="n">
        <v>1</v>
      </c>
      <c r="P198" t="n">
        <v>1</v>
      </c>
      <c r="Q198" t="n">
        <v>1</v>
      </c>
      <c r="R198" s="2" t="inlineStr">
        <is>
          <t>Gräddporing</t>
        </is>
      </c>
      <c r="S198">
        <f>HYPERLINK("https://klasma.github.io/Logging_2260/artfynd/A 54751-2021 artfynd.xlsx", "A 54751-2021")</f>
        <v/>
      </c>
      <c r="T198">
        <f>HYPERLINK("https://klasma.github.io/Logging_2260/kartor/A 54751-2021 karta.png", "A 54751-2021")</f>
        <v/>
      </c>
      <c r="V198">
        <f>HYPERLINK("https://klasma.github.io/Logging_2260/klagomål/A 54751-2021 FSC-klagomål.docx", "A 54751-2021")</f>
        <v/>
      </c>
      <c r="W198">
        <f>HYPERLINK("https://klasma.github.io/Logging_2260/klagomålsmail/A 54751-2021 FSC-klagomål mail.docx", "A 54751-2021")</f>
        <v/>
      </c>
      <c r="X198">
        <f>HYPERLINK("https://klasma.github.io/Logging_2260/tillsyn/A 54751-2021 tillsynsbegäran.docx", "A 54751-2021")</f>
        <v/>
      </c>
      <c r="Y198">
        <f>HYPERLINK("https://klasma.github.io/Logging_2260/tillsynsmail/A 54751-2021 tillsynsbegäran mail.docx", "A 54751-2021")</f>
        <v/>
      </c>
    </row>
    <row r="199" ht="15" customHeight="1">
      <c r="A199" t="inlineStr">
        <is>
          <t>A 39180-2024</t>
        </is>
      </c>
      <c r="B199" s="1" t="n">
        <v>45548.6571412037</v>
      </c>
      <c r="C199" s="1" t="n">
        <v>45966</v>
      </c>
      <c r="D199" t="inlineStr">
        <is>
          <t>VÄSTERNORRLANDS LÄN</t>
        </is>
      </c>
      <c r="E199" t="inlineStr">
        <is>
          <t>ÅNGE</t>
        </is>
      </c>
      <c r="F199" t="inlineStr">
        <is>
          <t>SCA</t>
        </is>
      </c>
      <c r="G199" t="n">
        <v>8.699999999999999</v>
      </c>
      <c r="H199" t="n">
        <v>0</v>
      </c>
      <c r="I199" t="n">
        <v>0</v>
      </c>
      <c r="J199" t="n">
        <v>1</v>
      </c>
      <c r="K199" t="n">
        <v>0</v>
      </c>
      <c r="L199" t="n">
        <v>0</v>
      </c>
      <c r="M199" t="n">
        <v>0</v>
      </c>
      <c r="N199" t="n">
        <v>0</v>
      </c>
      <c r="O199" t="n">
        <v>1</v>
      </c>
      <c r="P199" t="n">
        <v>0</v>
      </c>
      <c r="Q199" t="n">
        <v>1</v>
      </c>
      <c r="R199" s="2" t="inlineStr">
        <is>
          <t>Lunglav</t>
        </is>
      </c>
      <c r="S199">
        <f>HYPERLINK("https://klasma.github.io/Logging_2260/artfynd/A 39180-2024 artfynd.xlsx", "A 39180-2024")</f>
        <v/>
      </c>
      <c r="T199">
        <f>HYPERLINK("https://klasma.github.io/Logging_2260/kartor/A 39180-2024 karta.png", "A 39180-2024")</f>
        <v/>
      </c>
      <c r="V199">
        <f>HYPERLINK("https://klasma.github.io/Logging_2260/klagomål/A 39180-2024 FSC-klagomål.docx", "A 39180-2024")</f>
        <v/>
      </c>
      <c r="W199">
        <f>HYPERLINK("https://klasma.github.io/Logging_2260/klagomålsmail/A 39180-2024 FSC-klagomål mail.docx", "A 39180-2024")</f>
        <v/>
      </c>
      <c r="X199">
        <f>HYPERLINK("https://klasma.github.io/Logging_2260/tillsyn/A 39180-2024 tillsynsbegäran.docx", "A 39180-2024")</f>
        <v/>
      </c>
      <c r="Y199">
        <f>HYPERLINK("https://klasma.github.io/Logging_2260/tillsynsmail/A 39180-2024 tillsynsbegäran mail.docx", "A 39180-2024")</f>
        <v/>
      </c>
    </row>
    <row r="200" ht="15" customHeight="1">
      <c r="A200" t="inlineStr">
        <is>
          <t>A 1449-2025</t>
        </is>
      </c>
      <c r="B200" s="1" t="n">
        <v>45670.27537037037</v>
      </c>
      <c r="C200" s="1" t="n">
        <v>45966</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4351-2024</t>
        </is>
      </c>
      <c r="B201" s="1" t="n">
        <v>45324</v>
      </c>
      <c r="C201" s="1" t="n">
        <v>45966</v>
      </c>
      <c r="D201" t="inlineStr">
        <is>
          <t>VÄSTERNORRLANDS LÄN</t>
        </is>
      </c>
      <c r="E201" t="inlineStr">
        <is>
          <t>ÅNGE</t>
        </is>
      </c>
      <c r="F201" t="inlineStr">
        <is>
          <t>SCA</t>
        </is>
      </c>
      <c r="G201" t="n">
        <v>0.5</v>
      </c>
      <c r="H201" t="n">
        <v>0</v>
      </c>
      <c r="I201" t="n">
        <v>0</v>
      </c>
      <c r="J201" t="n">
        <v>1</v>
      </c>
      <c r="K201" t="n">
        <v>0</v>
      </c>
      <c r="L201" t="n">
        <v>0</v>
      </c>
      <c r="M201" t="n">
        <v>0</v>
      </c>
      <c r="N201" t="n">
        <v>0</v>
      </c>
      <c r="O201" t="n">
        <v>1</v>
      </c>
      <c r="P201" t="n">
        <v>0</v>
      </c>
      <c r="Q201" t="n">
        <v>1</v>
      </c>
      <c r="R201" s="2" t="inlineStr">
        <is>
          <t>Garnlav</t>
        </is>
      </c>
      <c r="S201">
        <f>HYPERLINK("https://klasma.github.io/Logging_2260/artfynd/A 4351-2024 artfynd.xlsx", "A 4351-2024")</f>
        <v/>
      </c>
      <c r="T201">
        <f>HYPERLINK("https://klasma.github.io/Logging_2260/kartor/A 4351-2024 karta.png", "A 4351-2024")</f>
        <v/>
      </c>
      <c r="V201">
        <f>HYPERLINK("https://klasma.github.io/Logging_2260/klagomål/A 4351-2024 FSC-klagomål.docx", "A 4351-2024")</f>
        <v/>
      </c>
      <c r="W201">
        <f>HYPERLINK("https://klasma.github.io/Logging_2260/klagomålsmail/A 4351-2024 FSC-klagomål mail.docx", "A 4351-2024")</f>
        <v/>
      </c>
      <c r="X201">
        <f>HYPERLINK("https://klasma.github.io/Logging_2260/tillsyn/A 4351-2024 tillsynsbegäran.docx", "A 4351-2024")</f>
        <v/>
      </c>
      <c r="Y201">
        <f>HYPERLINK("https://klasma.github.io/Logging_2260/tillsynsmail/A 4351-2024 tillsynsbegäran mail.docx", "A 4351-2024")</f>
        <v/>
      </c>
    </row>
    <row r="202" ht="15" customHeight="1">
      <c r="A202" t="inlineStr">
        <is>
          <t>A 40214-2024</t>
        </is>
      </c>
      <c r="B202" s="1" t="n">
        <v>45554.59460648148</v>
      </c>
      <c r="C202" s="1" t="n">
        <v>45966</v>
      </c>
      <c r="D202" t="inlineStr">
        <is>
          <t>VÄSTERNORRLANDS LÄN</t>
        </is>
      </c>
      <c r="E202" t="inlineStr">
        <is>
          <t>ÅNGE</t>
        </is>
      </c>
      <c r="F202" t="inlineStr">
        <is>
          <t>SCA</t>
        </is>
      </c>
      <c r="G202" t="n">
        <v>7.7</v>
      </c>
      <c r="H202" t="n">
        <v>0</v>
      </c>
      <c r="I202" t="n">
        <v>0</v>
      </c>
      <c r="J202" t="n">
        <v>1</v>
      </c>
      <c r="K202" t="n">
        <v>0</v>
      </c>
      <c r="L202" t="n">
        <v>0</v>
      </c>
      <c r="M202" t="n">
        <v>0</v>
      </c>
      <c r="N202" t="n">
        <v>0</v>
      </c>
      <c r="O202" t="n">
        <v>1</v>
      </c>
      <c r="P202" t="n">
        <v>0</v>
      </c>
      <c r="Q202" t="n">
        <v>1</v>
      </c>
      <c r="R202" s="2" t="inlineStr">
        <is>
          <t>Lunglav</t>
        </is>
      </c>
      <c r="S202">
        <f>HYPERLINK("https://klasma.github.io/Logging_2260/artfynd/A 40214-2024 artfynd.xlsx", "A 40214-2024")</f>
        <v/>
      </c>
      <c r="T202">
        <f>HYPERLINK("https://klasma.github.io/Logging_2260/kartor/A 40214-2024 karta.png", "A 40214-2024")</f>
        <v/>
      </c>
      <c r="V202">
        <f>HYPERLINK("https://klasma.github.io/Logging_2260/klagomål/A 40214-2024 FSC-klagomål.docx", "A 40214-2024")</f>
        <v/>
      </c>
      <c r="W202">
        <f>HYPERLINK("https://klasma.github.io/Logging_2260/klagomålsmail/A 40214-2024 FSC-klagomål mail.docx", "A 40214-2024")</f>
        <v/>
      </c>
      <c r="X202">
        <f>HYPERLINK("https://klasma.github.io/Logging_2260/tillsyn/A 40214-2024 tillsynsbegäran.docx", "A 40214-2024")</f>
        <v/>
      </c>
      <c r="Y202">
        <f>HYPERLINK("https://klasma.github.io/Logging_2260/tillsynsmail/A 40214-2024 tillsynsbegäran mail.docx", "A 40214-2024")</f>
        <v/>
      </c>
    </row>
    <row r="203" ht="15" customHeight="1">
      <c r="A203" t="inlineStr">
        <is>
          <t>A 42524-2025</t>
        </is>
      </c>
      <c r="B203" s="1" t="n">
        <v>45905.55262731481</v>
      </c>
      <c r="C203" s="1" t="n">
        <v>45966</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52424-2023</t>
        </is>
      </c>
      <c r="B204" s="1" t="n">
        <v>45217</v>
      </c>
      <c r="C204" s="1" t="n">
        <v>45966</v>
      </c>
      <c r="D204" t="inlineStr">
        <is>
          <t>VÄSTERNORRLANDS LÄN</t>
        </is>
      </c>
      <c r="E204" t="inlineStr">
        <is>
          <t>ÅNGE</t>
        </is>
      </c>
      <c r="F204" t="inlineStr">
        <is>
          <t>SCA</t>
        </is>
      </c>
      <c r="G204" t="n">
        <v>3.8</v>
      </c>
      <c r="H204" t="n">
        <v>1</v>
      </c>
      <c r="I204" t="n">
        <v>0</v>
      </c>
      <c r="J204" t="n">
        <v>0</v>
      </c>
      <c r="K204" t="n">
        <v>0</v>
      </c>
      <c r="L204" t="n">
        <v>0</v>
      </c>
      <c r="M204" t="n">
        <v>0</v>
      </c>
      <c r="N204" t="n">
        <v>0</v>
      </c>
      <c r="O204" t="n">
        <v>0</v>
      </c>
      <c r="P204" t="n">
        <v>0</v>
      </c>
      <c r="Q204" t="n">
        <v>1</v>
      </c>
      <c r="R204" s="2" t="inlineStr">
        <is>
          <t>Revlummer</t>
        </is>
      </c>
      <c r="S204">
        <f>HYPERLINK("https://klasma.github.io/Logging_2260/artfynd/A 52424-2023 artfynd.xlsx", "A 52424-2023")</f>
        <v/>
      </c>
      <c r="T204">
        <f>HYPERLINK("https://klasma.github.io/Logging_2260/kartor/A 52424-2023 karta.png", "A 52424-2023")</f>
        <v/>
      </c>
      <c r="V204">
        <f>HYPERLINK("https://klasma.github.io/Logging_2260/klagomål/A 52424-2023 FSC-klagomål.docx", "A 52424-2023")</f>
        <v/>
      </c>
      <c r="W204">
        <f>HYPERLINK("https://klasma.github.io/Logging_2260/klagomålsmail/A 52424-2023 FSC-klagomål mail.docx", "A 52424-2023")</f>
        <v/>
      </c>
      <c r="X204">
        <f>HYPERLINK("https://klasma.github.io/Logging_2260/tillsyn/A 52424-2023 tillsynsbegäran.docx", "A 52424-2023")</f>
        <v/>
      </c>
      <c r="Y204">
        <f>HYPERLINK("https://klasma.github.io/Logging_2260/tillsynsmail/A 52424-2023 tillsynsbegäran mail.docx", "A 52424-2023")</f>
        <v/>
      </c>
    </row>
    <row r="205" ht="15" customHeight="1">
      <c r="A205" t="inlineStr">
        <is>
          <t>A 43590-2025</t>
        </is>
      </c>
      <c r="B205" s="1" t="n">
        <v>45911.65665509259</v>
      </c>
      <c r="C205" s="1" t="n">
        <v>45966</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23490-2025</t>
        </is>
      </c>
      <c r="B206" s="1" t="n">
        <v>45792.46907407408</v>
      </c>
      <c r="C206" s="1" t="n">
        <v>45966</v>
      </c>
      <c r="D206" t="inlineStr">
        <is>
          <t>VÄSTERNORRLANDS LÄN</t>
        </is>
      </c>
      <c r="E206" t="inlineStr">
        <is>
          <t>ÅNGE</t>
        </is>
      </c>
      <c r="F206" t="inlineStr">
        <is>
          <t>SCA</t>
        </is>
      </c>
      <c r="G206" t="n">
        <v>3.3</v>
      </c>
      <c r="H206" t="n">
        <v>0</v>
      </c>
      <c r="I206" t="n">
        <v>0</v>
      </c>
      <c r="J206" t="n">
        <v>1</v>
      </c>
      <c r="K206" t="n">
        <v>0</v>
      </c>
      <c r="L206" t="n">
        <v>0</v>
      </c>
      <c r="M206" t="n">
        <v>0</v>
      </c>
      <c r="N206" t="n">
        <v>0</v>
      </c>
      <c r="O206" t="n">
        <v>1</v>
      </c>
      <c r="P206" t="n">
        <v>0</v>
      </c>
      <c r="Q206" t="n">
        <v>1</v>
      </c>
      <c r="R206" s="2" t="inlineStr">
        <is>
          <t>Garnlav</t>
        </is>
      </c>
      <c r="S206">
        <f>HYPERLINK("https://klasma.github.io/Logging_2260/artfynd/A 23490-2025 artfynd.xlsx", "A 23490-2025")</f>
        <v/>
      </c>
      <c r="T206">
        <f>HYPERLINK("https://klasma.github.io/Logging_2260/kartor/A 23490-2025 karta.png", "A 23490-2025")</f>
        <v/>
      </c>
      <c r="V206">
        <f>HYPERLINK("https://klasma.github.io/Logging_2260/klagomål/A 23490-2025 FSC-klagomål.docx", "A 23490-2025")</f>
        <v/>
      </c>
      <c r="W206">
        <f>HYPERLINK("https://klasma.github.io/Logging_2260/klagomålsmail/A 23490-2025 FSC-klagomål mail.docx", "A 23490-2025")</f>
        <v/>
      </c>
      <c r="X206">
        <f>HYPERLINK("https://klasma.github.io/Logging_2260/tillsyn/A 23490-2025 tillsynsbegäran.docx", "A 23490-2025")</f>
        <v/>
      </c>
      <c r="Y206">
        <f>HYPERLINK("https://klasma.github.io/Logging_2260/tillsynsmail/A 23490-2025 tillsynsbegäran mail.docx", "A 23490-2025")</f>
        <v/>
      </c>
    </row>
    <row r="207" ht="15" customHeight="1">
      <c r="A207" t="inlineStr">
        <is>
          <t>A 53683-2025</t>
        </is>
      </c>
      <c r="B207" s="1" t="n">
        <v>45960.57456018519</v>
      </c>
      <c r="C207" s="1" t="n">
        <v>45966</v>
      </c>
      <c r="D207" t="inlineStr">
        <is>
          <t>VÄSTERNORRLANDS LÄN</t>
        </is>
      </c>
      <c r="E207" t="inlineStr">
        <is>
          <t>ÅNGE</t>
        </is>
      </c>
      <c r="F207" t="inlineStr">
        <is>
          <t>SCA</t>
        </is>
      </c>
      <c r="G207" t="n">
        <v>3.6</v>
      </c>
      <c r="H207" t="n">
        <v>0</v>
      </c>
      <c r="I207" t="n">
        <v>1</v>
      </c>
      <c r="J207" t="n">
        <v>0</v>
      </c>
      <c r="K207" t="n">
        <v>0</v>
      </c>
      <c r="L207" t="n">
        <v>0</v>
      </c>
      <c r="M207" t="n">
        <v>0</v>
      </c>
      <c r="N207" t="n">
        <v>0</v>
      </c>
      <c r="O207" t="n">
        <v>0</v>
      </c>
      <c r="P207" t="n">
        <v>0</v>
      </c>
      <c r="Q207" t="n">
        <v>1</v>
      </c>
      <c r="R207" s="2" t="inlineStr">
        <is>
          <t>Ögonpyrola</t>
        </is>
      </c>
      <c r="S207">
        <f>HYPERLINK("https://klasma.github.io/Logging_2260/artfynd/A 53683-2025 artfynd.xlsx", "A 53683-2025")</f>
        <v/>
      </c>
      <c r="T207">
        <f>HYPERLINK("https://klasma.github.io/Logging_2260/kartor/A 53683-2025 karta.png", "A 53683-2025")</f>
        <v/>
      </c>
      <c r="U207">
        <f>HYPERLINK("https://klasma.github.io/Logging_2260/knärot/A 53683-2025 karta knärot.png", "A 53683-2025")</f>
        <v/>
      </c>
      <c r="V207">
        <f>HYPERLINK("https://klasma.github.io/Logging_2260/klagomål/A 53683-2025 FSC-klagomål.docx", "A 53683-2025")</f>
        <v/>
      </c>
      <c r="W207">
        <f>HYPERLINK("https://klasma.github.io/Logging_2260/klagomålsmail/A 53683-2025 FSC-klagomål mail.docx", "A 53683-2025")</f>
        <v/>
      </c>
      <c r="X207">
        <f>HYPERLINK("https://klasma.github.io/Logging_2260/tillsyn/A 53683-2025 tillsynsbegäran.docx", "A 53683-2025")</f>
        <v/>
      </c>
      <c r="Y207">
        <f>HYPERLINK("https://klasma.github.io/Logging_2260/tillsynsmail/A 53683-2025 tillsynsbegäran mail.docx", "A 53683-2025")</f>
        <v/>
      </c>
    </row>
    <row r="208" ht="15" customHeight="1">
      <c r="A208" t="inlineStr">
        <is>
          <t>A 48237-2025</t>
        </is>
      </c>
      <c r="B208" s="1" t="n">
        <v>45933</v>
      </c>
      <c r="C208" s="1" t="n">
        <v>45966</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46094-2025</t>
        </is>
      </c>
      <c r="B209" s="1" t="n">
        <v>45924</v>
      </c>
      <c r="C209" s="1" t="n">
        <v>45966</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31544-2024</t>
        </is>
      </c>
      <c r="B210" s="1" t="n">
        <v>45505</v>
      </c>
      <c r="C210" s="1" t="n">
        <v>45966</v>
      </c>
      <c r="D210" t="inlineStr">
        <is>
          <t>VÄSTERNORRLANDS LÄN</t>
        </is>
      </c>
      <c r="E210" t="inlineStr">
        <is>
          <t>ÅNGE</t>
        </is>
      </c>
      <c r="F210" t="inlineStr">
        <is>
          <t>SCA</t>
        </is>
      </c>
      <c r="G210" t="n">
        <v>3.5</v>
      </c>
      <c r="H210" t="n">
        <v>0</v>
      </c>
      <c r="I210" t="n">
        <v>0</v>
      </c>
      <c r="J210" t="n">
        <v>1</v>
      </c>
      <c r="K210" t="n">
        <v>0</v>
      </c>
      <c r="L210" t="n">
        <v>0</v>
      </c>
      <c r="M210" t="n">
        <v>0</v>
      </c>
      <c r="N210" t="n">
        <v>0</v>
      </c>
      <c r="O210" t="n">
        <v>1</v>
      </c>
      <c r="P210" t="n">
        <v>0</v>
      </c>
      <c r="Q210" t="n">
        <v>1</v>
      </c>
      <c r="R210" s="2" t="inlineStr">
        <is>
          <t>Granticka</t>
        </is>
      </c>
      <c r="S210">
        <f>HYPERLINK("https://klasma.github.io/Logging_2260/artfynd/A 31544-2024 artfynd.xlsx", "A 31544-2024")</f>
        <v/>
      </c>
      <c r="T210">
        <f>HYPERLINK("https://klasma.github.io/Logging_2260/kartor/A 31544-2024 karta.png", "A 31544-2024")</f>
        <v/>
      </c>
      <c r="V210">
        <f>HYPERLINK("https://klasma.github.io/Logging_2260/klagomål/A 31544-2024 FSC-klagomål.docx", "A 31544-2024")</f>
        <v/>
      </c>
      <c r="W210">
        <f>HYPERLINK("https://klasma.github.io/Logging_2260/klagomålsmail/A 31544-2024 FSC-klagomål mail.docx", "A 31544-2024")</f>
        <v/>
      </c>
      <c r="X210">
        <f>HYPERLINK("https://klasma.github.io/Logging_2260/tillsyn/A 31544-2024 tillsynsbegäran.docx", "A 31544-2024")</f>
        <v/>
      </c>
      <c r="Y210">
        <f>HYPERLINK("https://klasma.github.io/Logging_2260/tillsynsmail/A 31544-2024 tillsynsbegäran mail.docx", "A 31544-2024")</f>
        <v/>
      </c>
    </row>
    <row r="211" ht="15" customHeight="1">
      <c r="A211" t="inlineStr">
        <is>
          <t>A 54386-2024</t>
        </is>
      </c>
      <c r="B211" s="1" t="n">
        <v>45617.44822916666</v>
      </c>
      <c r="C211" s="1" t="n">
        <v>45966</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Reliktbock</t>
        </is>
      </c>
      <c r="S211">
        <f>HYPERLINK("https://klasma.github.io/Logging_2260/artfynd/A 54386-2024 artfynd.xlsx", "A 54386-2024")</f>
        <v/>
      </c>
      <c r="T211">
        <f>HYPERLINK("https://klasma.github.io/Logging_2260/kartor/A 54386-2024 karta.png", "A 54386-2024")</f>
        <v/>
      </c>
      <c r="V211">
        <f>HYPERLINK("https://klasma.github.io/Logging_2260/klagomål/A 54386-2024 FSC-klagomål.docx", "A 54386-2024")</f>
        <v/>
      </c>
      <c r="W211">
        <f>HYPERLINK("https://klasma.github.io/Logging_2260/klagomålsmail/A 54386-2024 FSC-klagomål mail.docx", "A 54386-2024")</f>
        <v/>
      </c>
      <c r="X211">
        <f>HYPERLINK("https://klasma.github.io/Logging_2260/tillsyn/A 54386-2024 tillsynsbegäran.docx", "A 54386-2024")</f>
        <v/>
      </c>
      <c r="Y211">
        <f>HYPERLINK("https://klasma.github.io/Logging_2260/tillsynsmail/A 54386-2024 tillsynsbegäran mail.docx", "A 54386-2024")</f>
        <v/>
      </c>
    </row>
    <row r="212" ht="15" customHeight="1">
      <c r="A212" t="inlineStr">
        <is>
          <t>A 56091-2024</t>
        </is>
      </c>
      <c r="B212" s="1" t="n">
        <v>45624.40678240741</v>
      </c>
      <c r="C212" s="1" t="n">
        <v>45966</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13934-2024</t>
        </is>
      </c>
      <c r="B213" s="1" t="n">
        <v>45391</v>
      </c>
      <c r="C213" s="1" t="n">
        <v>45966</v>
      </c>
      <c r="D213" t="inlineStr">
        <is>
          <t>VÄSTERNORRLANDS LÄN</t>
        </is>
      </c>
      <c r="E213" t="inlineStr">
        <is>
          <t>ÅNGE</t>
        </is>
      </c>
      <c r="F213" t="inlineStr">
        <is>
          <t>SCA</t>
        </is>
      </c>
      <c r="G213" t="n">
        <v>5.8</v>
      </c>
      <c r="H213" t="n">
        <v>0</v>
      </c>
      <c r="I213" t="n">
        <v>0</v>
      </c>
      <c r="J213" t="n">
        <v>1</v>
      </c>
      <c r="K213" t="n">
        <v>0</v>
      </c>
      <c r="L213" t="n">
        <v>0</v>
      </c>
      <c r="M213" t="n">
        <v>0</v>
      </c>
      <c r="N213" t="n">
        <v>0</v>
      </c>
      <c r="O213" t="n">
        <v>1</v>
      </c>
      <c r="P213" t="n">
        <v>0</v>
      </c>
      <c r="Q213" t="n">
        <v>1</v>
      </c>
      <c r="R213" s="2" t="inlineStr">
        <is>
          <t>Ullticka</t>
        </is>
      </c>
      <c r="S213">
        <f>HYPERLINK("https://klasma.github.io/Logging_2260/artfynd/A 13934-2024 artfynd.xlsx", "A 13934-2024")</f>
        <v/>
      </c>
      <c r="T213">
        <f>HYPERLINK("https://klasma.github.io/Logging_2260/kartor/A 13934-2024 karta.png", "A 13934-2024")</f>
        <v/>
      </c>
      <c r="V213">
        <f>HYPERLINK("https://klasma.github.io/Logging_2260/klagomål/A 13934-2024 FSC-klagomål.docx", "A 13934-2024")</f>
        <v/>
      </c>
      <c r="W213">
        <f>HYPERLINK("https://klasma.github.io/Logging_2260/klagomålsmail/A 13934-2024 FSC-klagomål mail.docx", "A 13934-2024")</f>
        <v/>
      </c>
      <c r="X213">
        <f>HYPERLINK("https://klasma.github.io/Logging_2260/tillsyn/A 13934-2024 tillsynsbegäran.docx", "A 13934-2024")</f>
        <v/>
      </c>
      <c r="Y213">
        <f>HYPERLINK("https://klasma.github.io/Logging_2260/tillsynsmail/A 13934-2024 tillsynsbegäran mail.docx", "A 13934-2024")</f>
        <v/>
      </c>
    </row>
    <row r="214" ht="15" customHeight="1">
      <c r="A214" t="inlineStr">
        <is>
          <t>A 27025-2025</t>
        </is>
      </c>
      <c r="B214" s="1" t="n">
        <v>45811</v>
      </c>
      <c r="C214" s="1" t="n">
        <v>45966</v>
      </c>
      <c r="D214" t="inlineStr">
        <is>
          <t>VÄSTERNORRLANDS LÄN</t>
        </is>
      </c>
      <c r="E214" t="inlineStr">
        <is>
          <t>ÅNGE</t>
        </is>
      </c>
      <c r="G214" t="n">
        <v>25.5</v>
      </c>
      <c r="H214" t="n">
        <v>0</v>
      </c>
      <c r="I214" t="n">
        <v>0</v>
      </c>
      <c r="J214" t="n">
        <v>1</v>
      </c>
      <c r="K214" t="n">
        <v>0</v>
      </c>
      <c r="L214" t="n">
        <v>0</v>
      </c>
      <c r="M214" t="n">
        <v>0</v>
      </c>
      <c r="N214" t="n">
        <v>0</v>
      </c>
      <c r="O214" t="n">
        <v>1</v>
      </c>
      <c r="P214" t="n">
        <v>0</v>
      </c>
      <c r="Q214" t="n">
        <v>1</v>
      </c>
      <c r="R214" s="2" t="inlineStr">
        <is>
          <t>Garnlav</t>
        </is>
      </c>
      <c r="S214">
        <f>HYPERLINK("https://klasma.github.io/Logging_2260/artfynd/A 27025-2025 artfynd.xlsx", "A 27025-2025")</f>
        <v/>
      </c>
      <c r="T214">
        <f>HYPERLINK("https://klasma.github.io/Logging_2260/kartor/A 27025-2025 karta.png", "A 27025-2025")</f>
        <v/>
      </c>
      <c r="U214">
        <f>HYPERLINK("https://klasma.github.io/Logging_2260/knärot/A 27025-2025 karta knärot.png", "A 27025-2025")</f>
        <v/>
      </c>
      <c r="V214">
        <f>HYPERLINK("https://klasma.github.io/Logging_2260/klagomål/A 27025-2025 FSC-klagomål.docx", "A 27025-2025")</f>
        <v/>
      </c>
      <c r="W214">
        <f>HYPERLINK("https://klasma.github.io/Logging_2260/klagomålsmail/A 27025-2025 FSC-klagomål mail.docx", "A 27025-2025")</f>
        <v/>
      </c>
      <c r="X214">
        <f>HYPERLINK("https://klasma.github.io/Logging_2260/tillsyn/A 27025-2025 tillsynsbegäran.docx", "A 27025-2025")</f>
        <v/>
      </c>
      <c r="Y214">
        <f>HYPERLINK("https://klasma.github.io/Logging_2260/tillsynsmail/A 27025-2025 tillsynsbegäran mail.docx", "A 27025-2025")</f>
        <v/>
      </c>
    </row>
    <row r="215" ht="15" customHeight="1">
      <c r="A215" t="inlineStr">
        <is>
          <t>A 71366-2021</t>
        </is>
      </c>
      <c r="B215" s="1" t="n">
        <v>44539</v>
      </c>
      <c r="C215" s="1" t="n">
        <v>45966</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32457-2024</t>
        </is>
      </c>
      <c r="B216" s="1" t="n">
        <v>45512</v>
      </c>
      <c r="C216" s="1" t="n">
        <v>45966</v>
      </c>
      <c r="D216" t="inlineStr">
        <is>
          <t>VÄSTERNORRLANDS LÄN</t>
        </is>
      </c>
      <c r="E216" t="inlineStr">
        <is>
          <t>ÅNGE</t>
        </is>
      </c>
      <c r="F216" t="inlineStr">
        <is>
          <t>SCA</t>
        </is>
      </c>
      <c r="G216" t="n">
        <v>1.3</v>
      </c>
      <c r="H216" t="n">
        <v>0</v>
      </c>
      <c r="I216" t="n">
        <v>0</v>
      </c>
      <c r="J216" t="n">
        <v>1</v>
      </c>
      <c r="K216" t="n">
        <v>0</v>
      </c>
      <c r="L216" t="n">
        <v>0</v>
      </c>
      <c r="M216" t="n">
        <v>0</v>
      </c>
      <c r="N216" t="n">
        <v>0</v>
      </c>
      <c r="O216" t="n">
        <v>1</v>
      </c>
      <c r="P216" t="n">
        <v>0</v>
      </c>
      <c r="Q216" t="n">
        <v>1</v>
      </c>
      <c r="R216" s="2" t="inlineStr">
        <is>
          <t>Ullticka</t>
        </is>
      </c>
      <c r="S216">
        <f>HYPERLINK("https://klasma.github.io/Logging_2260/artfynd/A 32457-2024 artfynd.xlsx", "A 32457-2024")</f>
        <v/>
      </c>
      <c r="T216">
        <f>HYPERLINK("https://klasma.github.io/Logging_2260/kartor/A 32457-2024 karta.png", "A 32457-2024")</f>
        <v/>
      </c>
      <c r="V216">
        <f>HYPERLINK("https://klasma.github.io/Logging_2260/klagomål/A 32457-2024 FSC-klagomål.docx", "A 32457-2024")</f>
        <v/>
      </c>
      <c r="W216">
        <f>HYPERLINK("https://klasma.github.io/Logging_2260/klagomålsmail/A 32457-2024 FSC-klagomål mail.docx", "A 32457-2024")</f>
        <v/>
      </c>
      <c r="X216">
        <f>HYPERLINK("https://klasma.github.io/Logging_2260/tillsyn/A 32457-2024 tillsynsbegäran.docx", "A 32457-2024")</f>
        <v/>
      </c>
      <c r="Y216">
        <f>HYPERLINK("https://klasma.github.io/Logging_2260/tillsynsmail/A 32457-2024 tillsynsbegäran mail.docx", "A 32457-2024")</f>
        <v/>
      </c>
    </row>
    <row r="217" ht="15" customHeight="1">
      <c r="A217" t="inlineStr">
        <is>
          <t>A 30774-2024</t>
        </is>
      </c>
      <c r="B217" s="1" t="n">
        <v>45496.949375</v>
      </c>
      <c r="C217" s="1" t="n">
        <v>45966</v>
      </c>
      <c r="D217" t="inlineStr">
        <is>
          <t>VÄSTERNORRLANDS LÄN</t>
        </is>
      </c>
      <c r="E217" t="inlineStr">
        <is>
          <t>ÅNGE</t>
        </is>
      </c>
      <c r="F217" t="inlineStr">
        <is>
          <t>SCA</t>
        </is>
      </c>
      <c r="G217" t="n">
        <v>2.2</v>
      </c>
      <c r="H217" t="n">
        <v>1</v>
      </c>
      <c r="I217" t="n">
        <v>0</v>
      </c>
      <c r="J217" t="n">
        <v>0</v>
      </c>
      <c r="K217" t="n">
        <v>0</v>
      </c>
      <c r="L217" t="n">
        <v>0</v>
      </c>
      <c r="M217" t="n">
        <v>0</v>
      </c>
      <c r="N217" t="n">
        <v>0</v>
      </c>
      <c r="O217" t="n">
        <v>0</v>
      </c>
      <c r="P217" t="n">
        <v>0</v>
      </c>
      <c r="Q217" t="n">
        <v>1</v>
      </c>
      <c r="R217" s="2" t="inlineStr">
        <is>
          <t>Tjäder</t>
        </is>
      </c>
      <c r="S217">
        <f>HYPERLINK("https://klasma.github.io/Logging_2260/artfynd/A 30774-2024 artfynd.xlsx", "A 30774-2024")</f>
        <v/>
      </c>
      <c r="T217">
        <f>HYPERLINK("https://klasma.github.io/Logging_2260/kartor/A 30774-2024 karta.png", "A 30774-2024")</f>
        <v/>
      </c>
      <c r="V217">
        <f>HYPERLINK("https://klasma.github.io/Logging_2260/klagomål/A 30774-2024 FSC-klagomål.docx", "A 30774-2024")</f>
        <v/>
      </c>
      <c r="W217">
        <f>HYPERLINK("https://klasma.github.io/Logging_2260/klagomålsmail/A 30774-2024 FSC-klagomål mail.docx", "A 30774-2024")</f>
        <v/>
      </c>
      <c r="X217">
        <f>HYPERLINK("https://klasma.github.io/Logging_2260/tillsyn/A 30774-2024 tillsynsbegäran.docx", "A 30774-2024")</f>
        <v/>
      </c>
      <c r="Y217">
        <f>HYPERLINK("https://klasma.github.io/Logging_2260/tillsynsmail/A 30774-2024 tillsynsbegäran mail.docx", "A 30774-2024")</f>
        <v/>
      </c>
      <c r="Z217">
        <f>HYPERLINK("https://klasma.github.io/Logging_2260/fåglar/A 30774-2024 prioriterade fågelarter.docx", "A 30774-2024")</f>
        <v/>
      </c>
    </row>
    <row r="218" ht="15" customHeight="1">
      <c r="A218" t="inlineStr">
        <is>
          <t>A 43171-2024</t>
        </is>
      </c>
      <c r="B218" s="1" t="n">
        <v>45567</v>
      </c>
      <c r="C218" s="1" t="n">
        <v>45966</v>
      </c>
      <c r="D218" t="inlineStr">
        <is>
          <t>VÄSTERNORRLANDS LÄN</t>
        </is>
      </c>
      <c r="E218" t="inlineStr">
        <is>
          <t>ÅNGE</t>
        </is>
      </c>
      <c r="F218" t="inlineStr">
        <is>
          <t>SCA</t>
        </is>
      </c>
      <c r="G218" t="n">
        <v>3.4</v>
      </c>
      <c r="H218" t="n">
        <v>0</v>
      </c>
      <c r="I218" t="n">
        <v>0</v>
      </c>
      <c r="J218" t="n">
        <v>1</v>
      </c>
      <c r="K218" t="n">
        <v>0</v>
      </c>
      <c r="L218" t="n">
        <v>0</v>
      </c>
      <c r="M218" t="n">
        <v>0</v>
      </c>
      <c r="N218" t="n">
        <v>0</v>
      </c>
      <c r="O218" t="n">
        <v>1</v>
      </c>
      <c r="P218" t="n">
        <v>0</v>
      </c>
      <c r="Q218" t="n">
        <v>1</v>
      </c>
      <c r="R218" s="2" t="inlineStr">
        <is>
          <t>Rosenticka</t>
        </is>
      </c>
      <c r="S218">
        <f>HYPERLINK("https://klasma.github.io/Logging_2260/artfynd/A 43171-2024 artfynd.xlsx", "A 43171-2024")</f>
        <v/>
      </c>
      <c r="T218">
        <f>HYPERLINK("https://klasma.github.io/Logging_2260/kartor/A 43171-2024 karta.png", "A 43171-2024")</f>
        <v/>
      </c>
      <c r="V218">
        <f>HYPERLINK("https://klasma.github.io/Logging_2260/klagomål/A 43171-2024 FSC-klagomål.docx", "A 43171-2024")</f>
        <v/>
      </c>
      <c r="W218">
        <f>HYPERLINK("https://klasma.github.io/Logging_2260/klagomålsmail/A 43171-2024 FSC-klagomål mail.docx", "A 43171-2024")</f>
        <v/>
      </c>
      <c r="X218">
        <f>HYPERLINK("https://klasma.github.io/Logging_2260/tillsyn/A 43171-2024 tillsynsbegäran.docx", "A 43171-2024")</f>
        <v/>
      </c>
      <c r="Y218">
        <f>HYPERLINK("https://klasma.github.io/Logging_2260/tillsynsmail/A 43171-2024 tillsynsbegäran mail.docx", "A 43171-2024")</f>
        <v/>
      </c>
    </row>
    <row r="219" ht="15" customHeight="1">
      <c r="A219" t="inlineStr">
        <is>
          <t>A 35648-2025</t>
        </is>
      </c>
      <c r="B219" s="1" t="n">
        <v>45859.51670138889</v>
      </c>
      <c r="C219" s="1" t="n">
        <v>45966</v>
      </c>
      <c r="D219" t="inlineStr">
        <is>
          <t>VÄSTERNORRLANDS LÄN</t>
        </is>
      </c>
      <c r="E219" t="inlineStr">
        <is>
          <t>ÅNGE</t>
        </is>
      </c>
      <c r="F219" t="inlineStr">
        <is>
          <t>Sveaskog</t>
        </is>
      </c>
      <c r="G219" t="n">
        <v>9.1</v>
      </c>
      <c r="H219" t="n">
        <v>0</v>
      </c>
      <c r="I219" t="n">
        <v>0</v>
      </c>
      <c r="J219" t="n">
        <v>1</v>
      </c>
      <c r="K219" t="n">
        <v>0</v>
      </c>
      <c r="L219" t="n">
        <v>0</v>
      </c>
      <c r="M219" t="n">
        <v>0</v>
      </c>
      <c r="N219" t="n">
        <v>0</v>
      </c>
      <c r="O219" t="n">
        <v>1</v>
      </c>
      <c r="P219" t="n">
        <v>0</v>
      </c>
      <c r="Q219" t="n">
        <v>1</v>
      </c>
      <c r="R219" s="2" t="inlineStr">
        <is>
          <t>Lunglav</t>
        </is>
      </c>
      <c r="S219">
        <f>HYPERLINK("https://klasma.github.io/Logging_2260/artfynd/A 35648-2025 artfynd.xlsx", "A 35648-2025")</f>
        <v/>
      </c>
      <c r="T219">
        <f>HYPERLINK("https://klasma.github.io/Logging_2260/kartor/A 35648-2025 karta.png", "A 35648-2025")</f>
        <v/>
      </c>
      <c r="V219">
        <f>HYPERLINK("https://klasma.github.io/Logging_2260/klagomål/A 35648-2025 FSC-klagomål.docx", "A 35648-2025")</f>
        <v/>
      </c>
      <c r="W219">
        <f>HYPERLINK("https://klasma.github.io/Logging_2260/klagomålsmail/A 35648-2025 FSC-klagomål mail.docx", "A 35648-2025")</f>
        <v/>
      </c>
      <c r="X219">
        <f>HYPERLINK("https://klasma.github.io/Logging_2260/tillsyn/A 35648-2025 tillsynsbegäran.docx", "A 35648-2025")</f>
        <v/>
      </c>
      <c r="Y219">
        <f>HYPERLINK("https://klasma.github.io/Logging_2260/tillsynsmail/A 35648-2025 tillsynsbegäran mail.docx", "A 35648-2025")</f>
        <v/>
      </c>
    </row>
    <row r="220" ht="15" customHeight="1">
      <c r="A220" t="inlineStr">
        <is>
          <t>A 35839-2025</t>
        </is>
      </c>
      <c r="B220" s="1" t="n">
        <v>45861.53943287037</v>
      </c>
      <c r="C220" s="1" t="n">
        <v>45966</v>
      </c>
      <c r="D220" t="inlineStr">
        <is>
          <t>VÄSTERNORRLANDS LÄN</t>
        </is>
      </c>
      <c r="E220" t="inlineStr">
        <is>
          <t>ÅNGE</t>
        </is>
      </c>
      <c r="F220" t="inlineStr">
        <is>
          <t>Sveaskog</t>
        </is>
      </c>
      <c r="G220" t="n">
        <v>7.9</v>
      </c>
      <c r="H220" t="n">
        <v>0</v>
      </c>
      <c r="I220" t="n">
        <v>0</v>
      </c>
      <c r="J220" t="n">
        <v>1</v>
      </c>
      <c r="K220" t="n">
        <v>0</v>
      </c>
      <c r="L220" t="n">
        <v>0</v>
      </c>
      <c r="M220" t="n">
        <v>0</v>
      </c>
      <c r="N220" t="n">
        <v>0</v>
      </c>
      <c r="O220" t="n">
        <v>1</v>
      </c>
      <c r="P220" t="n">
        <v>0</v>
      </c>
      <c r="Q220" t="n">
        <v>1</v>
      </c>
      <c r="R220" s="2" t="inlineStr">
        <is>
          <t>Lunglav</t>
        </is>
      </c>
      <c r="S220">
        <f>HYPERLINK("https://klasma.github.io/Logging_2260/artfynd/A 35839-2025 artfynd.xlsx", "A 35839-2025")</f>
        <v/>
      </c>
      <c r="T220">
        <f>HYPERLINK("https://klasma.github.io/Logging_2260/kartor/A 35839-2025 karta.png", "A 35839-2025")</f>
        <v/>
      </c>
      <c r="V220">
        <f>HYPERLINK("https://klasma.github.io/Logging_2260/klagomål/A 35839-2025 FSC-klagomål.docx", "A 35839-2025")</f>
        <v/>
      </c>
      <c r="W220">
        <f>HYPERLINK("https://klasma.github.io/Logging_2260/klagomålsmail/A 35839-2025 FSC-klagomål mail.docx", "A 35839-2025")</f>
        <v/>
      </c>
      <c r="X220">
        <f>HYPERLINK("https://klasma.github.io/Logging_2260/tillsyn/A 35839-2025 tillsynsbegäran.docx", "A 35839-2025")</f>
        <v/>
      </c>
      <c r="Y220">
        <f>HYPERLINK("https://klasma.github.io/Logging_2260/tillsynsmail/A 35839-2025 tillsynsbegäran mail.docx", "A 35839-2025")</f>
        <v/>
      </c>
    </row>
    <row r="221" ht="15" customHeight="1">
      <c r="A221" t="inlineStr">
        <is>
          <t>A 37432-2025</t>
        </is>
      </c>
      <c r="B221" s="1" t="n">
        <v>45877.51106481482</v>
      </c>
      <c r="C221" s="1" t="n">
        <v>45966</v>
      </c>
      <c r="D221" t="inlineStr">
        <is>
          <t>VÄSTERNORRLANDS LÄN</t>
        </is>
      </c>
      <c r="E221" t="inlineStr">
        <is>
          <t>ÅNGE</t>
        </is>
      </c>
      <c r="F221" t="inlineStr">
        <is>
          <t>SCA</t>
        </is>
      </c>
      <c r="G221" t="n">
        <v>1.2</v>
      </c>
      <c r="H221" t="n">
        <v>1</v>
      </c>
      <c r="I221" t="n">
        <v>1</v>
      </c>
      <c r="J221" t="n">
        <v>0</v>
      </c>
      <c r="K221" t="n">
        <v>0</v>
      </c>
      <c r="L221" t="n">
        <v>0</v>
      </c>
      <c r="M221" t="n">
        <v>0</v>
      </c>
      <c r="N221" t="n">
        <v>0</v>
      </c>
      <c r="O221" t="n">
        <v>0</v>
      </c>
      <c r="P221" t="n">
        <v>0</v>
      </c>
      <c r="Q221" t="n">
        <v>1</v>
      </c>
      <c r="R221" s="2" t="inlineStr">
        <is>
          <t>Spindelblomster</t>
        </is>
      </c>
      <c r="S221">
        <f>HYPERLINK("https://klasma.github.io/Logging_2260/artfynd/A 37432-2025 artfynd.xlsx", "A 37432-2025")</f>
        <v/>
      </c>
      <c r="T221">
        <f>HYPERLINK("https://klasma.github.io/Logging_2260/kartor/A 37432-2025 karta.png", "A 37432-2025")</f>
        <v/>
      </c>
      <c r="V221">
        <f>HYPERLINK("https://klasma.github.io/Logging_2260/klagomål/A 37432-2025 FSC-klagomål.docx", "A 37432-2025")</f>
        <v/>
      </c>
      <c r="W221">
        <f>HYPERLINK("https://klasma.github.io/Logging_2260/klagomålsmail/A 37432-2025 FSC-klagomål mail.docx", "A 37432-2025")</f>
        <v/>
      </c>
      <c r="X221">
        <f>HYPERLINK("https://klasma.github.io/Logging_2260/tillsyn/A 37432-2025 tillsynsbegäran.docx", "A 37432-2025")</f>
        <v/>
      </c>
      <c r="Y221">
        <f>HYPERLINK("https://klasma.github.io/Logging_2260/tillsynsmail/A 37432-2025 tillsynsbegäran mail.docx", "A 37432-2025")</f>
        <v/>
      </c>
    </row>
    <row r="222" ht="15" customHeight="1">
      <c r="A222" t="inlineStr">
        <is>
          <t>A 39933-2022</t>
        </is>
      </c>
      <c r="B222" s="1" t="n">
        <v>44819</v>
      </c>
      <c r="C222" s="1" t="n">
        <v>45966</v>
      </c>
      <c r="D222" t="inlineStr">
        <is>
          <t>VÄSTERNORRLANDS LÄN</t>
        </is>
      </c>
      <c r="E222" t="inlineStr">
        <is>
          <t>ÅNGE</t>
        </is>
      </c>
      <c r="F222" t="inlineStr">
        <is>
          <t>SCA</t>
        </is>
      </c>
      <c r="G222" t="n">
        <v>13.8</v>
      </c>
      <c r="H222" t="n">
        <v>1</v>
      </c>
      <c r="I222" t="n">
        <v>0</v>
      </c>
      <c r="J222" t="n">
        <v>0</v>
      </c>
      <c r="K222" t="n">
        <v>1</v>
      </c>
      <c r="L222" t="n">
        <v>0</v>
      </c>
      <c r="M222" t="n">
        <v>0</v>
      </c>
      <c r="N222" t="n">
        <v>0</v>
      </c>
      <c r="O222" t="n">
        <v>1</v>
      </c>
      <c r="P222" t="n">
        <v>1</v>
      </c>
      <c r="Q222" t="n">
        <v>1</v>
      </c>
      <c r="R222" s="2" t="inlineStr">
        <is>
          <t>Knärot</t>
        </is>
      </c>
      <c r="S222">
        <f>HYPERLINK("https://klasma.github.io/Logging_2260/artfynd/A 39933-2022 artfynd.xlsx", "A 39933-2022")</f>
        <v/>
      </c>
      <c r="T222">
        <f>HYPERLINK("https://klasma.github.io/Logging_2260/kartor/A 39933-2022 karta.png", "A 39933-2022")</f>
        <v/>
      </c>
      <c r="U222">
        <f>HYPERLINK("https://klasma.github.io/Logging_2260/knärot/A 39933-2022 karta knärot.png", "A 39933-2022")</f>
        <v/>
      </c>
      <c r="V222">
        <f>HYPERLINK("https://klasma.github.io/Logging_2260/klagomål/A 39933-2022 FSC-klagomål.docx", "A 39933-2022")</f>
        <v/>
      </c>
      <c r="W222">
        <f>HYPERLINK("https://klasma.github.io/Logging_2260/klagomålsmail/A 39933-2022 FSC-klagomål mail.docx", "A 39933-2022")</f>
        <v/>
      </c>
      <c r="X222">
        <f>HYPERLINK("https://klasma.github.io/Logging_2260/tillsyn/A 39933-2022 tillsynsbegäran.docx", "A 39933-2022")</f>
        <v/>
      </c>
      <c r="Y222">
        <f>HYPERLINK("https://klasma.github.io/Logging_2260/tillsynsmail/A 39933-2022 tillsynsbegäran mail.docx", "A 39933-2022")</f>
        <v/>
      </c>
    </row>
    <row r="223" ht="15" customHeight="1">
      <c r="A223" t="inlineStr">
        <is>
          <t>A 38606-2024</t>
        </is>
      </c>
      <c r="B223" s="1" t="n">
        <v>45546.67804398148</v>
      </c>
      <c r="C223" s="1" t="n">
        <v>45966</v>
      </c>
      <c r="D223" t="inlineStr">
        <is>
          <t>VÄSTERNORRLANDS LÄN</t>
        </is>
      </c>
      <c r="E223" t="inlineStr">
        <is>
          <t>ÅNGE</t>
        </is>
      </c>
      <c r="F223" t="inlineStr">
        <is>
          <t>SCA</t>
        </is>
      </c>
      <c r="G223" t="n">
        <v>2.4</v>
      </c>
      <c r="H223" t="n">
        <v>0</v>
      </c>
      <c r="I223" t="n">
        <v>0</v>
      </c>
      <c r="J223" t="n">
        <v>1</v>
      </c>
      <c r="K223" t="n">
        <v>0</v>
      </c>
      <c r="L223" t="n">
        <v>0</v>
      </c>
      <c r="M223" t="n">
        <v>0</v>
      </c>
      <c r="N223" t="n">
        <v>0</v>
      </c>
      <c r="O223" t="n">
        <v>1</v>
      </c>
      <c r="P223" t="n">
        <v>0</v>
      </c>
      <c r="Q223" t="n">
        <v>1</v>
      </c>
      <c r="R223" s="2" t="inlineStr">
        <is>
          <t>Ullticka</t>
        </is>
      </c>
      <c r="S223">
        <f>HYPERLINK("https://klasma.github.io/Logging_2260/artfynd/A 38606-2024 artfynd.xlsx", "A 38606-2024")</f>
        <v/>
      </c>
      <c r="T223">
        <f>HYPERLINK("https://klasma.github.io/Logging_2260/kartor/A 38606-2024 karta.png", "A 38606-2024")</f>
        <v/>
      </c>
      <c r="V223">
        <f>HYPERLINK("https://klasma.github.io/Logging_2260/klagomål/A 38606-2024 FSC-klagomål.docx", "A 38606-2024")</f>
        <v/>
      </c>
      <c r="W223">
        <f>HYPERLINK("https://klasma.github.io/Logging_2260/klagomålsmail/A 38606-2024 FSC-klagomål mail.docx", "A 38606-2024")</f>
        <v/>
      </c>
      <c r="X223">
        <f>HYPERLINK("https://klasma.github.io/Logging_2260/tillsyn/A 38606-2024 tillsynsbegäran.docx", "A 38606-2024")</f>
        <v/>
      </c>
      <c r="Y223">
        <f>HYPERLINK("https://klasma.github.io/Logging_2260/tillsynsmail/A 38606-2024 tillsynsbegäran mail.docx", "A 38606-2024")</f>
        <v/>
      </c>
    </row>
    <row r="224" ht="15" customHeight="1">
      <c r="A224" t="inlineStr">
        <is>
          <t>A 64510-2023</t>
        </is>
      </c>
      <c r="B224" s="1" t="n">
        <v>45281</v>
      </c>
      <c r="C224" s="1" t="n">
        <v>45966</v>
      </c>
      <c r="D224" t="inlineStr">
        <is>
          <t>VÄSTERNORRLANDS LÄN</t>
        </is>
      </c>
      <c r="E224" t="inlineStr">
        <is>
          <t>ÅNGE</t>
        </is>
      </c>
      <c r="G224" t="n">
        <v>3.7</v>
      </c>
      <c r="H224" t="n">
        <v>0</v>
      </c>
      <c r="I224" t="n">
        <v>1</v>
      </c>
      <c r="J224" t="n">
        <v>0</v>
      </c>
      <c r="K224" t="n">
        <v>0</v>
      </c>
      <c r="L224" t="n">
        <v>0</v>
      </c>
      <c r="M224" t="n">
        <v>0</v>
      </c>
      <c r="N224" t="n">
        <v>0</v>
      </c>
      <c r="O224" t="n">
        <v>0</v>
      </c>
      <c r="P224" t="n">
        <v>0</v>
      </c>
      <c r="Q224" t="n">
        <v>1</v>
      </c>
      <c r="R224" s="2" t="inlineStr">
        <is>
          <t>Dropptaggsvamp</t>
        </is>
      </c>
      <c r="S224">
        <f>HYPERLINK("https://klasma.github.io/Logging_2260/artfynd/A 64510-2023 artfynd.xlsx", "A 64510-2023")</f>
        <v/>
      </c>
      <c r="T224">
        <f>HYPERLINK("https://klasma.github.io/Logging_2260/kartor/A 64510-2023 karta.png", "A 64510-2023")</f>
        <v/>
      </c>
      <c r="V224">
        <f>HYPERLINK("https://klasma.github.io/Logging_2260/klagomål/A 64510-2023 FSC-klagomål.docx", "A 64510-2023")</f>
        <v/>
      </c>
      <c r="W224">
        <f>HYPERLINK("https://klasma.github.io/Logging_2260/klagomålsmail/A 64510-2023 FSC-klagomål mail.docx", "A 64510-2023")</f>
        <v/>
      </c>
      <c r="X224">
        <f>HYPERLINK("https://klasma.github.io/Logging_2260/tillsyn/A 64510-2023 tillsynsbegäran.docx", "A 64510-2023")</f>
        <v/>
      </c>
      <c r="Y224">
        <f>HYPERLINK("https://klasma.github.io/Logging_2260/tillsynsmail/A 64510-2023 tillsynsbegäran mail.docx", "A 64510-2023")</f>
        <v/>
      </c>
    </row>
    <row r="225" ht="15" customHeight="1">
      <c r="A225" t="inlineStr">
        <is>
          <t>A 24798-2024</t>
        </is>
      </c>
      <c r="B225" s="1" t="n">
        <v>45460.95277777778</v>
      </c>
      <c r="C225" s="1" t="n">
        <v>45966</v>
      </c>
      <c r="D225" t="inlineStr">
        <is>
          <t>VÄSTERNORRLANDS LÄN</t>
        </is>
      </c>
      <c r="E225" t="inlineStr">
        <is>
          <t>ÅNGE</t>
        </is>
      </c>
      <c r="F225" t="inlineStr">
        <is>
          <t>SCA</t>
        </is>
      </c>
      <c r="G225" t="n">
        <v>1.3</v>
      </c>
      <c r="H225" t="n">
        <v>0</v>
      </c>
      <c r="I225" t="n">
        <v>0</v>
      </c>
      <c r="J225" t="n">
        <v>1</v>
      </c>
      <c r="K225" t="n">
        <v>0</v>
      </c>
      <c r="L225" t="n">
        <v>0</v>
      </c>
      <c r="M225" t="n">
        <v>0</v>
      </c>
      <c r="N225" t="n">
        <v>0</v>
      </c>
      <c r="O225" t="n">
        <v>1</v>
      </c>
      <c r="P225" t="n">
        <v>0</v>
      </c>
      <c r="Q225" t="n">
        <v>1</v>
      </c>
      <c r="R225" s="2" t="inlineStr">
        <is>
          <t>Lunglav</t>
        </is>
      </c>
      <c r="S225">
        <f>HYPERLINK("https://klasma.github.io/Logging_2260/artfynd/A 24798-2024 artfynd.xlsx", "A 24798-2024")</f>
        <v/>
      </c>
      <c r="T225">
        <f>HYPERLINK("https://klasma.github.io/Logging_2260/kartor/A 24798-2024 karta.png", "A 24798-2024")</f>
        <v/>
      </c>
      <c r="V225">
        <f>HYPERLINK("https://klasma.github.io/Logging_2260/klagomål/A 24798-2024 FSC-klagomål.docx", "A 24798-2024")</f>
        <v/>
      </c>
      <c r="W225">
        <f>HYPERLINK("https://klasma.github.io/Logging_2260/klagomålsmail/A 24798-2024 FSC-klagomål mail.docx", "A 24798-2024")</f>
        <v/>
      </c>
      <c r="X225">
        <f>HYPERLINK("https://klasma.github.io/Logging_2260/tillsyn/A 24798-2024 tillsynsbegäran.docx", "A 24798-2024")</f>
        <v/>
      </c>
      <c r="Y225">
        <f>HYPERLINK("https://klasma.github.io/Logging_2260/tillsynsmail/A 24798-2024 tillsynsbegäran mail.docx", "A 24798-2024")</f>
        <v/>
      </c>
    </row>
    <row r="226" ht="15" customHeight="1">
      <c r="A226" t="inlineStr">
        <is>
          <t>A 24799-2024</t>
        </is>
      </c>
      <c r="B226" s="1" t="n">
        <v>45460</v>
      </c>
      <c r="C226" s="1" t="n">
        <v>45966</v>
      </c>
      <c r="D226" t="inlineStr">
        <is>
          <t>VÄSTERNORRLANDS LÄN</t>
        </is>
      </c>
      <c r="E226" t="inlineStr">
        <is>
          <t>ÅNGE</t>
        </is>
      </c>
      <c r="F226" t="inlineStr">
        <is>
          <t>SCA</t>
        </is>
      </c>
      <c r="G226" t="n">
        <v>2.8</v>
      </c>
      <c r="H226" t="n">
        <v>1</v>
      </c>
      <c r="I226" t="n">
        <v>0</v>
      </c>
      <c r="J226" t="n">
        <v>0</v>
      </c>
      <c r="K226" t="n">
        <v>1</v>
      </c>
      <c r="L226" t="n">
        <v>0</v>
      </c>
      <c r="M226" t="n">
        <v>0</v>
      </c>
      <c r="N226" t="n">
        <v>0</v>
      </c>
      <c r="O226" t="n">
        <v>1</v>
      </c>
      <c r="P226" t="n">
        <v>1</v>
      </c>
      <c r="Q226" t="n">
        <v>1</v>
      </c>
      <c r="R226" s="2" t="inlineStr">
        <is>
          <t>Doftticka</t>
        </is>
      </c>
      <c r="S226">
        <f>HYPERLINK("https://klasma.github.io/Logging_2260/artfynd/A 24799-2024 artfynd.xlsx", "A 24799-2024")</f>
        <v/>
      </c>
      <c r="T226">
        <f>HYPERLINK("https://klasma.github.io/Logging_2260/kartor/A 24799-2024 karta.png", "A 24799-2024")</f>
        <v/>
      </c>
      <c r="V226">
        <f>HYPERLINK("https://klasma.github.io/Logging_2260/klagomål/A 24799-2024 FSC-klagomål.docx", "A 24799-2024")</f>
        <v/>
      </c>
      <c r="W226">
        <f>HYPERLINK("https://klasma.github.io/Logging_2260/klagomålsmail/A 24799-2024 FSC-klagomål mail.docx", "A 24799-2024")</f>
        <v/>
      </c>
      <c r="X226">
        <f>HYPERLINK("https://klasma.github.io/Logging_2260/tillsyn/A 24799-2024 tillsynsbegäran.docx", "A 24799-2024")</f>
        <v/>
      </c>
      <c r="Y226">
        <f>HYPERLINK("https://klasma.github.io/Logging_2260/tillsynsmail/A 24799-2024 tillsynsbegäran mail.docx", "A 24799-2024")</f>
        <v/>
      </c>
    </row>
    <row r="227" ht="15" customHeight="1">
      <c r="A227" t="inlineStr">
        <is>
          <t>A 27308-2024</t>
        </is>
      </c>
      <c r="B227" s="1" t="n">
        <v>45471</v>
      </c>
      <c r="C227" s="1" t="n">
        <v>45966</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8057-2021</t>
        </is>
      </c>
      <c r="B228" s="1" t="n">
        <v>44238</v>
      </c>
      <c r="C228" s="1" t="n">
        <v>45966</v>
      </c>
      <c r="D228" t="inlineStr">
        <is>
          <t>VÄSTERNORRLANDS LÄN</t>
        </is>
      </c>
      <c r="E228" t="inlineStr">
        <is>
          <t>ÅNGE</t>
        </is>
      </c>
      <c r="G228" t="n">
        <v>1.2</v>
      </c>
      <c r="H228" t="n">
        <v>0</v>
      </c>
      <c r="I228" t="n">
        <v>0</v>
      </c>
      <c r="J228" t="n">
        <v>0</v>
      </c>
      <c r="K228" t="n">
        <v>0</v>
      </c>
      <c r="L228" t="n">
        <v>0</v>
      </c>
      <c r="M228" t="n">
        <v>0</v>
      </c>
      <c r="N228" t="n">
        <v>0</v>
      </c>
      <c r="O228" t="n">
        <v>0</v>
      </c>
      <c r="P228" t="n">
        <v>0</v>
      </c>
      <c r="Q228" t="n">
        <v>0</v>
      </c>
      <c r="R228" s="2" t="inlineStr"/>
    </row>
    <row r="229" ht="15" customHeight="1">
      <c r="A229" t="inlineStr">
        <is>
          <t>A 20354-2021</t>
        </is>
      </c>
      <c r="B229" s="1" t="n">
        <v>44312</v>
      </c>
      <c r="C229" s="1" t="n">
        <v>45966</v>
      </c>
      <c r="D229" t="inlineStr">
        <is>
          <t>VÄSTERNORRLANDS LÄN</t>
        </is>
      </c>
      <c r="E229" t="inlineStr">
        <is>
          <t>ÅNGE</t>
        </is>
      </c>
      <c r="G229" t="n">
        <v>1.3</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45966</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45966</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45966</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45966</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45966</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45966</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45966</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45966</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45966</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45966</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45966</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45966</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45966</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45966</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45966</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45966</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45966</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45966</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45966</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45966</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45966</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45966</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45966</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45966</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45966</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45966</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58941-2021</t>
        </is>
      </c>
      <c r="B256" s="1" t="n">
        <v>44489.92215277778</v>
      </c>
      <c r="C256" s="1" t="n">
        <v>45966</v>
      </c>
      <c r="D256" t="inlineStr">
        <is>
          <t>VÄSTERNORRLANDS LÄN</t>
        </is>
      </c>
      <c r="E256" t="inlineStr">
        <is>
          <t>ÅNGE</t>
        </is>
      </c>
      <c r="G256" t="n">
        <v>6.7</v>
      </c>
      <c r="H256" t="n">
        <v>0</v>
      </c>
      <c r="I256" t="n">
        <v>0</v>
      </c>
      <c r="J256" t="n">
        <v>0</v>
      </c>
      <c r="K256" t="n">
        <v>0</v>
      </c>
      <c r="L256" t="n">
        <v>0</v>
      </c>
      <c r="M256" t="n">
        <v>0</v>
      </c>
      <c r="N256" t="n">
        <v>0</v>
      </c>
      <c r="O256" t="n">
        <v>0</v>
      </c>
      <c r="P256" t="n">
        <v>0</v>
      </c>
      <c r="Q256" t="n">
        <v>0</v>
      </c>
      <c r="R256" s="2" t="inlineStr"/>
    </row>
    <row r="257" ht="15" customHeight="1">
      <c r="A257" t="inlineStr">
        <is>
          <t>A 52705-2021</t>
        </is>
      </c>
      <c r="B257" s="1" t="n">
        <v>44466</v>
      </c>
      <c r="C257" s="1" t="n">
        <v>45966</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45966</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45966</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45966</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45966</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45966</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45966</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17844-2021</t>
        </is>
      </c>
      <c r="B264" s="1" t="n">
        <v>44300.9187962963</v>
      </c>
      <c r="C264" s="1" t="n">
        <v>45966</v>
      </c>
      <c r="D264" t="inlineStr">
        <is>
          <t>VÄSTERNORRLANDS LÄN</t>
        </is>
      </c>
      <c r="E264" t="inlineStr">
        <is>
          <t>ÅNGE</t>
        </is>
      </c>
      <c r="G264" t="n">
        <v>3.3</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45966</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45966</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45966</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45966</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45966</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45966</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45966</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45966</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45966</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45966</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45966</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45966</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45966</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45966</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45966</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45966</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45966</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45966</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45966</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45966</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45966</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45966</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45966</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45966</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45966</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45966</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42881-2021</t>
        </is>
      </c>
      <c r="B291" s="1" t="n">
        <v>44431.31181712963</v>
      </c>
      <c r="C291" s="1" t="n">
        <v>45966</v>
      </c>
      <c r="D291" t="inlineStr">
        <is>
          <t>VÄSTERNORRLANDS LÄN</t>
        </is>
      </c>
      <c r="E291" t="inlineStr">
        <is>
          <t>ÅNGE</t>
        </is>
      </c>
      <c r="G291" t="n">
        <v>0.5</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45966</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45966</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45966</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45966</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45966</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45966</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55912-2021</t>
        </is>
      </c>
      <c r="B298" s="1" t="n">
        <v>44476.91979166667</v>
      </c>
      <c r="C298" s="1" t="n">
        <v>45966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51163-2021</t>
        </is>
      </c>
      <c r="B299" s="1" t="n">
        <v>44461.4665625</v>
      </c>
      <c r="C299" s="1" t="n">
        <v>45966</v>
      </c>
      <c r="D299" t="inlineStr">
        <is>
          <t>VÄSTERNORRLANDS LÄN</t>
        </is>
      </c>
      <c r="E299" t="inlineStr">
        <is>
          <t>ÅNGE</t>
        </is>
      </c>
      <c r="G299" t="n">
        <v>2.5</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45966</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45966</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45966</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45966</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45966</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45966</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45966</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45966</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45966</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45966</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45966</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45966</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45966</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45966</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45966</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45966</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45966</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45966</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45966</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14084-2022</t>
        </is>
      </c>
      <c r="B319" s="1" t="n">
        <v>44651</v>
      </c>
      <c r="C319" s="1" t="n">
        <v>45966</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14091-2022</t>
        </is>
      </c>
      <c r="B320" s="1" t="n">
        <v>44651</v>
      </c>
      <c r="C320" s="1" t="n">
        <v>45966</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45966</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29509-2021</t>
        </is>
      </c>
      <c r="B322" s="1" t="n">
        <v>44361</v>
      </c>
      <c r="C322" s="1" t="n">
        <v>45966</v>
      </c>
      <c r="D322" t="inlineStr">
        <is>
          <t>VÄSTERNORRLANDS LÄN</t>
        </is>
      </c>
      <c r="E322" t="inlineStr">
        <is>
          <t>ÅNGE</t>
        </is>
      </c>
      <c r="G322" t="n">
        <v>3.6</v>
      </c>
      <c r="H322" t="n">
        <v>0</v>
      </c>
      <c r="I322" t="n">
        <v>0</v>
      </c>
      <c r="J322" t="n">
        <v>0</v>
      </c>
      <c r="K322" t="n">
        <v>0</v>
      </c>
      <c r="L322" t="n">
        <v>0</v>
      </c>
      <c r="M322" t="n">
        <v>0</v>
      </c>
      <c r="N322" t="n">
        <v>0</v>
      </c>
      <c r="O322" t="n">
        <v>0</v>
      </c>
      <c r="P322" t="n">
        <v>0</v>
      </c>
      <c r="Q322" t="n">
        <v>0</v>
      </c>
      <c r="R322" s="2" t="inlineStr"/>
    </row>
    <row r="323" ht="15" customHeight="1">
      <c r="A323" t="inlineStr">
        <is>
          <t>A 33274-2022</t>
        </is>
      </c>
      <c r="B323" s="1" t="n">
        <v>44788</v>
      </c>
      <c r="C323" s="1" t="n">
        <v>45966</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7633-2022</t>
        </is>
      </c>
      <c r="B324" s="1" t="n">
        <v>44607.71378472223</v>
      </c>
      <c r="C324" s="1" t="n">
        <v>45966</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45966</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47660-2022</t>
        </is>
      </c>
      <c r="B326" s="1" t="n">
        <v>44854.45766203704</v>
      </c>
      <c r="C326" s="1" t="n">
        <v>45966</v>
      </c>
      <c r="D326" t="inlineStr">
        <is>
          <t>VÄSTERNORRLANDS LÄN</t>
        </is>
      </c>
      <c r="E326" t="inlineStr">
        <is>
          <t>ÅNGE</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50710-2021</t>
        </is>
      </c>
      <c r="B327" s="1" t="n">
        <v>44460.366875</v>
      </c>
      <c r="C327" s="1" t="n">
        <v>45966</v>
      </c>
      <c r="D327" t="inlineStr">
        <is>
          <t>VÄSTERNORRLANDS LÄN</t>
        </is>
      </c>
      <c r="E327" t="inlineStr">
        <is>
          <t>ÅNGE</t>
        </is>
      </c>
      <c r="G327" t="n">
        <v>2.2</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45966</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61909-2021</t>
        </is>
      </c>
      <c r="B329" s="1" t="n">
        <v>44502.35310185186</v>
      </c>
      <c r="C329" s="1" t="n">
        <v>45966</v>
      </c>
      <c r="D329" t="inlineStr">
        <is>
          <t>VÄSTERNORRLANDS LÄN</t>
        </is>
      </c>
      <c r="E329" t="inlineStr">
        <is>
          <t>ÅNGE</t>
        </is>
      </c>
      <c r="G329" t="n">
        <v>2.4</v>
      </c>
      <c r="H329" t="n">
        <v>0</v>
      </c>
      <c r="I329" t="n">
        <v>0</v>
      </c>
      <c r="J329" t="n">
        <v>0</v>
      </c>
      <c r="K329" t="n">
        <v>0</v>
      </c>
      <c r="L329" t="n">
        <v>0</v>
      </c>
      <c r="M329" t="n">
        <v>0</v>
      </c>
      <c r="N329" t="n">
        <v>0</v>
      </c>
      <c r="O329" t="n">
        <v>0</v>
      </c>
      <c r="P329" t="n">
        <v>0</v>
      </c>
      <c r="Q329" t="n">
        <v>0</v>
      </c>
      <c r="R329" s="2" t="inlineStr"/>
    </row>
    <row r="330" ht="15" customHeight="1">
      <c r="A330" t="inlineStr">
        <is>
          <t>A 25020-2021</t>
        </is>
      </c>
      <c r="B330" s="1" t="n">
        <v>44341</v>
      </c>
      <c r="C330" s="1" t="n">
        <v>45966</v>
      </c>
      <c r="D330" t="inlineStr">
        <is>
          <t>VÄSTERNORRLANDS LÄN</t>
        </is>
      </c>
      <c r="E330" t="inlineStr">
        <is>
          <t>ÅNGE</t>
        </is>
      </c>
      <c r="G330" t="n">
        <v>3.4</v>
      </c>
      <c r="H330" t="n">
        <v>0</v>
      </c>
      <c r="I330" t="n">
        <v>0</v>
      </c>
      <c r="J330" t="n">
        <v>0</v>
      </c>
      <c r="K330" t="n">
        <v>0</v>
      </c>
      <c r="L330" t="n">
        <v>0</v>
      </c>
      <c r="M330" t="n">
        <v>0</v>
      </c>
      <c r="N330" t="n">
        <v>0</v>
      </c>
      <c r="O330" t="n">
        <v>0</v>
      </c>
      <c r="P330" t="n">
        <v>0</v>
      </c>
      <c r="Q330" t="n">
        <v>0</v>
      </c>
      <c r="R330" s="2" t="inlineStr"/>
    </row>
    <row r="331" ht="15" customHeight="1">
      <c r="A331" t="inlineStr">
        <is>
          <t>A 40476-2022</t>
        </is>
      </c>
      <c r="B331" s="1" t="n">
        <v>44823.54685185185</v>
      </c>
      <c r="C331" s="1" t="n">
        <v>45966</v>
      </c>
      <c r="D331" t="inlineStr">
        <is>
          <t>VÄSTERNORRLANDS LÄN</t>
        </is>
      </c>
      <c r="E331" t="inlineStr">
        <is>
          <t>ÅNGE</t>
        </is>
      </c>
      <c r="G331" t="n">
        <v>0.5</v>
      </c>
      <c r="H331" t="n">
        <v>0</v>
      </c>
      <c r="I331" t="n">
        <v>0</v>
      </c>
      <c r="J331" t="n">
        <v>0</v>
      </c>
      <c r="K331" t="n">
        <v>0</v>
      </c>
      <c r="L331" t="n">
        <v>0</v>
      </c>
      <c r="M331" t="n">
        <v>0</v>
      </c>
      <c r="N331" t="n">
        <v>0</v>
      </c>
      <c r="O331" t="n">
        <v>0</v>
      </c>
      <c r="P331" t="n">
        <v>0</v>
      </c>
      <c r="Q331" t="n">
        <v>0</v>
      </c>
      <c r="R331" s="2" t="inlineStr"/>
    </row>
    <row r="332" ht="15" customHeight="1">
      <c r="A332" t="inlineStr">
        <is>
          <t>A 14813-2022</t>
        </is>
      </c>
      <c r="B332" s="1" t="n">
        <v>44656</v>
      </c>
      <c r="C332" s="1" t="n">
        <v>45966</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57418-2021</t>
        </is>
      </c>
      <c r="B333" s="1" t="n">
        <v>44483</v>
      </c>
      <c r="C333" s="1" t="n">
        <v>45966</v>
      </c>
      <c r="D333" t="inlineStr">
        <is>
          <t>VÄSTERNORRLANDS LÄN</t>
        </is>
      </c>
      <c r="E333" t="inlineStr">
        <is>
          <t>ÅNGE</t>
        </is>
      </c>
      <c r="G333" t="n">
        <v>4.4</v>
      </c>
      <c r="H333" t="n">
        <v>0</v>
      </c>
      <c r="I333" t="n">
        <v>0</v>
      </c>
      <c r="J333" t="n">
        <v>0</v>
      </c>
      <c r="K333" t="n">
        <v>0</v>
      </c>
      <c r="L333" t="n">
        <v>0</v>
      </c>
      <c r="M333" t="n">
        <v>0</v>
      </c>
      <c r="N333" t="n">
        <v>0</v>
      </c>
      <c r="O333" t="n">
        <v>0</v>
      </c>
      <c r="P333" t="n">
        <v>0</v>
      </c>
      <c r="Q333" t="n">
        <v>0</v>
      </c>
      <c r="R333" s="2" t="inlineStr"/>
    </row>
    <row r="334" ht="15" customHeight="1">
      <c r="A334" t="inlineStr">
        <is>
          <t>A 2327-2021</t>
        </is>
      </c>
      <c r="B334" s="1" t="n">
        <v>44214</v>
      </c>
      <c r="C334" s="1" t="n">
        <v>45966</v>
      </c>
      <c r="D334" t="inlineStr">
        <is>
          <t>VÄSTERNORRLANDS LÄN</t>
        </is>
      </c>
      <c r="E334" t="inlineStr">
        <is>
          <t>ÅNGE</t>
        </is>
      </c>
      <c r="G334" t="n">
        <v>6.7</v>
      </c>
      <c r="H334" t="n">
        <v>0</v>
      </c>
      <c r="I334" t="n">
        <v>0</v>
      </c>
      <c r="J334" t="n">
        <v>0</v>
      </c>
      <c r="K334" t="n">
        <v>0</v>
      </c>
      <c r="L334" t="n">
        <v>0</v>
      </c>
      <c r="M334" t="n">
        <v>0</v>
      </c>
      <c r="N334" t="n">
        <v>0</v>
      </c>
      <c r="O334" t="n">
        <v>0</v>
      </c>
      <c r="P334" t="n">
        <v>0</v>
      </c>
      <c r="Q334" t="n">
        <v>0</v>
      </c>
      <c r="R334" s="2" t="inlineStr"/>
    </row>
    <row r="335" ht="15" customHeight="1">
      <c r="A335" t="inlineStr">
        <is>
          <t>A 14587-2021</t>
        </is>
      </c>
      <c r="B335" s="1" t="n">
        <v>44279.91825231481</v>
      </c>
      <c r="C335" s="1" t="n">
        <v>45966</v>
      </c>
      <c r="D335" t="inlineStr">
        <is>
          <t>VÄSTERNORRLANDS LÄN</t>
        </is>
      </c>
      <c r="E335" t="inlineStr">
        <is>
          <t>ÅNGE</t>
        </is>
      </c>
      <c r="G335" t="n">
        <v>1</v>
      </c>
      <c r="H335" t="n">
        <v>0</v>
      </c>
      <c r="I335" t="n">
        <v>0</v>
      </c>
      <c r="J335" t="n">
        <v>0</v>
      </c>
      <c r="K335" t="n">
        <v>0</v>
      </c>
      <c r="L335" t="n">
        <v>0</v>
      </c>
      <c r="M335" t="n">
        <v>0</v>
      </c>
      <c r="N335" t="n">
        <v>0</v>
      </c>
      <c r="O335" t="n">
        <v>0</v>
      </c>
      <c r="P335" t="n">
        <v>0</v>
      </c>
      <c r="Q335" t="n">
        <v>0</v>
      </c>
      <c r="R335" s="2" t="inlineStr"/>
    </row>
    <row r="336" ht="15" customHeight="1">
      <c r="A336" t="inlineStr">
        <is>
          <t>A 5366-2022</t>
        </is>
      </c>
      <c r="B336" s="1" t="n">
        <v>44594.92107638889</v>
      </c>
      <c r="C336" s="1" t="n">
        <v>45966</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53664-2022</t>
        </is>
      </c>
      <c r="B337" s="1" t="n">
        <v>44879.95643518519</v>
      </c>
      <c r="C337" s="1" t="n">
        <v>45966</v>
      </c>
      <c r="D337" t="inlineStr">
        <is>
          <t>VÄSTERNORRLANDS LÄN</t>
        </is>
      </c>
      <c r="E337" t="inlineStr">
        <is>
          <t>ÅNGE</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56907-2021</t>
        </is>
      </c>
      <c r="B338" s="1" t="n">
        <v>44481.93837962963</v>
      </c>
      <c r="C338" s="1" t="n">
        <v>45966</v>
      </c>
      <c r="D338" t="inlineStr">
        <is>
          <t>VÄSTERNORRLANDS LÄN</t>
        </is>
      </c>
      <c r="E338" t="inlineStr">
        <is>
          <t>ÅNGE</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12800-2021</t>
        </is>
      </c>
      <c r="B339" s="1" t="n">
        <v>44270.92056712963</v>
      </c>
      <c r="C339" s="1" t="n">
        <v>45966</v>
      </c>
      <c r="D339" t="inlineStr">
        <is>
          <t>VÄSTERNORRLANDS LÄN</t>
        </is>
      </c>
      <c r="E339" t="inlineStr">
        <is>
          <t>ÅNGE</t>
        </is>
      </c>
      <c r="G339" t="n">
        <v>0.6</v>
      </c>
      <c r="H339" t="n">
        <v>0</v>
      </c>
      <c r="I339" t="n">
        <v>0</v>
      </c>
      <c r="J339" t="n">
        <v>0</v>
      </c>
      <c r="K339" t="n">
        <v>0</v>
      </c>
      <c r="L339" t="n">
        <v>0</v>
      </c>
      <c r="M339" t="n">
        <v>0</v>
      </c>
      <c r="N339" t="n">
        <v>0</v>
      </c>
      <c r="O339" t="n">
        <v>0</v>
      </c>
      <c r="P339" t="n">
        <v>0</v>
      </c>
      <c r="Q339" t="n">
        <v>0</v>
      </c>
      <c r="R339" s="2" t="inlineStr"/>
    </row>
    <row r="340" ht="15" customHeight="1">
      <c r="A340" t="inlineStr">
        <is>
          <t>A 46053-2021</t>
        </is>
      </c>
      <c r="B340" s="1" t="n">
        <v>44441</v>
      </c>
      <c r="C340" s="1" t="n">
        <v>45966</v>
      </c>
      <c r="D340" t="inlineStr">
        <is>
          <t>VÄSTERNORRLANDS LÄN</t>
        </is>
      </c>
      <c r="E340" t="inlineStr">
        <is>
          <t>ÅNGE</t>
        </is>
      </c>
      <c r="F340" t="inlineStr">
        <is>
          <t>SCA</t>
        </is>
      </c>
      <c r="G340" t="n">
        <v>0.2</v>
      </c>
      <c r="H340" t="n">
        <v>0</v>
      </c>
      <c r="I340" t="n">
        <v>0</v>
      </c>
      <c r="J340" t="n">
        <v>0</v>
      </c>
      <c r="K340" t="n">
        <v>0</v>
      </c>
      <c r="L340" t="n">
        <v>0</v>
      </c>
      <c r="M340" t="n">
        <v>0</v>
      </c>
      <c r="N340" t="n">
        <v>0</v>
      </c>
      <c r="O340" t="n">
        <v>0</v>
      </c>
      <c r="P340" t="n">
        <v>0</v>
      </c>
      <c r="Q340" t="n">
        <v>0</v>
      </c>
      <c r="R340" s="2" t="inlineStr"/>
    </row>
    <row r="341" ht="15" customHeight="1">
      <c r="A341" t="inlineStr">
        <is>
          <t>A 1297-2022</t>
        </is>
      </c>
      <c r="B341" s="1" t="n">
        <v>44572.69135416667</v>
      </c>
      <c r="C341" s="1" t="n">
        <v>45966</v>
      </c>
      <c r="D341" t="inlineStr">
        <is>
          <t>VÄSTERNORRLANDS LÄN</t>
        </is>
      </c>
      <c r="E341" t="inlineStr">
        <is>
          <t>ÅNGE</t>
        </is>
      </c>
      <c r="G341" t="n">
        <v>2.3</v>
      </c>
      <c r="H341" t="n">
        <v>0</v>
      </c>
      <c r="I341" t="n">
        <v>0</v>
      </c>
      <c r="J341" t="n">
        <v>0</v>
      </c>
      <c r="K341" t="n">
        <v>0</v>
      </c>
      <c r="L341" t="n">
        <v>0</v>
      </c>
      <c r="M341" t="n">
        <v>0</v>
      </c>
      <c r="N341" t="n">
        <v>0</v>
      </c>
      <c r="O341" t="n">
        <v>0</v>
      </c>
      <c r="P341" t="n">
        <v>0</v>
      </c>
      <c r="Q341" t="n">
        <v>0</v>
      </c>
      <c r="R341" s="2" t="inlineStr"/>
    </row>
    <row r="342" ht="15" customHeight="1">
      <c r="A342" t="inlineStr">
        <is>
          <t>A 45145-2021</t>
        </is>
      </c>
      <c r="B342" s="1" t="n">
        <v>44439</v>
      </c>
      <c r="C342" s="1" t="n">
        <v>45966</v>
      </c>
      <c r="D342" t="inlineStr">
        <is>
          <t>VÄSTERNORRLANDS LÄN</t>
        </is>
      </c>
      <c r="E342" t="inlineStr">
        <is>
          <t>ÅNGE</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71302-2021</t>
        </is>
      </c>
      <c r="B343" s="1" t="n">
        <v>44539.63871527778</v>
      </c>
      <c r="C343" s="1" t="n">
        <v>45966</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10342-2021</t>
        </is>
      </c>
      <c r="B344" s="1" t="n">
        <v>44257</v>
      </c>
      <c r="C344" s="1" t="n">
        <v>45966</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53010-2022</t>
        </is>
      </c>
      <c r="B345" s="1" t="n">
        <v>44875</v>
      </c>
      <c r="C345" s="1" t="n">
        <v>45966</v>
      </c>
      <c r="D345" t="inlineStr">
        <is>
          <t>VÄSTERNORRLANDS LÄN</t>
        </is>
      </c>
      <c r="E345" t="inlineStr">
        <is>
          <t>ÅNGE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6732-2022</t>
        </is>
      </c>
      <c r="B346" s="1" t="n">
        <v>44602.46072916667</v>
      </c>
      <c r="C346" s="1" t="n">
        <v>45966</v>
      </c>
      <c r="D346" t="inlineStr">
        <is>
          <t>VÄSTERNORRLANDS LÄN</t>
        </is>
      </c>
      <c r="E346" t="inlineStr">
        <is>
          <t>ÅNGE</t>
        </is>
      </c>
      <c r="G346" t="n">
        <v>1</v>
      </c>
      <c r="H346" t="n">
        <v>0</v>
      </c>
      <c r="I346" t="n">
        <v>0</v>
      </c>
      <c r="J346" t="n">
        <v>0</v>
      </c>
      <c r="K346" t="n">
        <v>0</v>
      </c>
      <c r="L346" t="n">
        <v>0</v>
      </c>
      <c r="M346" t="n">
        <v>0</v>
      </c>
      <c r="N346" t="n">
        <v>0</v>
      </c>
      <c r="O346" t="n">
        <v>0</v>
      </c>
      <c r="P346" t="n">
        <v>0</v>
      </c>
      <c r="Q346" t="n">
        <v>0</v>
      </c>
      <c r="R346" s="2" t="inlineStr"/>
    </row>
    <row r="347" ht="15" customHeight="1">
      <c r="A347" t="inlineStr">
        <is>
          <t>A 20807-2021</t>
        </is>
      </c>
      <c r="B347" s="1" t="n">
        <v>44316.93965277778</v>
      </c>
      <c r="C347" s="1" t="n">
        <v>45966</v>
      </c>
      <c r="D347" t="inlineStr">
        <is>
          <t>VÄSTERNORRLANDS LÄN</t>
        </is>
      </c>
      <c r="E347" t="inlineStr">
        <is>
          <t>ÅNGE</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17594-2021</t>
        </is>
      </c>
      <c r="B348" s="1" t="n">
        <v>44299</v>
      </c>
      <c r="C348" s="1" t="n">
        <v>45966</v>
      </c>
      <c r="D348" t="inlineStr">
        <is>
          <t>VÄSTERNORRLANDS LÄN</t>
        </is>
      </c>
      <c r="E348" t="inlineStr">
        <is>
          <t>ÅNGE</t>
        </is>
      </c>
      <c r="G348" t="n">
        <v>0.8</v>
      </c>
      <c r="H348" t="n">
        <v>0</v>
      </c>
      <c r="I348" t="n">
        <v>0</v>
      </c>
      <c r="J348" t="n">
        <v>0</v>
      </c>
      <c r="K348" t="n">
        <v>0</v>
      </c>
      <c r="L348" t="n">
        <v>0</v>
      </c>
      <c r="M348" t="n">
        <v>0</v>
      </c>
      <c r="N348" t="n">
        <v>0</v>
      </c>
      <c r="O348" t="n">
        <v>0</v>
      </c>
      <c r="P348" t="n">
        <v>0</v>
      </c>
      <c r="Q348" t="n">
        <v>0</v>
      </c>
      <c r="R348" s="2" t="inlineStr"/>
    </row>
    <row r="349" ht="15" customHeight="1">
      <c r="A349" t="inlineStr">
        <is>
          <t>A 21642-2021</t>
        </is>
      </c>
      <c r="B349" s="1" t="n">
        <v>44321.94239583334</v>
      </c>
      <c r="C349" s="1" t="n">
        <v>45966</v>
      </c>
      <c r="D349" t="inlineStr">
        <is>
          <t>VÄSTERNORRLANDS LÄN</t>
        </is>
      </c>
      <c r="E349" t="inlineStr">
        <is>
          <t>ÅNGE</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44412-2022</t>
        </is>
      </c>
      <c r="B350" s="1" t="n">
        <v>44839.92626157407</v>
      </c>
      <c r="C350" s="1" t="n">
        <v>45966</v>
      </c>
      <c r="D350" t="inlineStr">
        <is>
          <t>VÄSTERNORRLANDS LÄN</t>
        </is>
      </c>
      <c r="E350" t="inlineStr">
        <is>
          <t>ÅNGE</t>
        </is>
      </c>
      <c r="G350" t="n">
        <v>1.6</v>
      </c>
      <c r="H350" t="n">
        <v>0</v>
      </c>
      <c r="I350" t="n">
        <v>0</v>
      </c>
      <c r="J350" t="n">
        <v>0</v>
      </c>
      <c r="K350" t="n">
        <v>0</v>
      </c>
      <c r="L350" t="n">
        <v>0</v>
      </c>
      <c r="M350" t="n">
        <v>0</v>
      </c>
      <c r="N350" t="n">
        <v>0</v>
      </c>
      <c r="O350" t="n">
        <v>0</v>
      </c>
      <c r="P350" t="n">
        <v>0</v>
      </c>
      <c r="Q350" t="n">
        <v>0</v>
      </c>
      <c r="R350" s="2" t="inlineStr"/>
    </row>
    <row r="351" ht="15" customHeight="1">
      <c r="A351" t="inlineStr">
        <is>
          <t>A 6263-2022</t>
        </is>
      </c>
      <c r="B351" s="1" t="n">
        <v>44600</v>
      </c>
      <c r="C351" s="1" t="n">
        <v>45966</v>
      </c>
      <c r="D351" t="inlineStr">
        <is>
          <t>VÄSTERNORRLANDS LÄN</t>
        </is>
      </c>
      <c r="E351" t="inlineStr">
        <is>
          <t>ÅNGE</t>
        </is>
      </c>
      <c r="G351" t="n">
        <v>1.4</v>
      </c>
      <c r="H351" t="n">
        <v>0</v>
      </c>
      <c r="I351" t="n">
        <v>0</v>
      </c>
      <c r="J351" t="n">
        <v>0</v>
      </c>
      <c r="K351" t="n">
        <v>0</v>
      </c>
      <c r="L351" t="n">
        <v>0</v>
      </c>
      <c r="M351" t="n">
        <v>0</v>
      </c>
      <c r="N351" t="n">
        <v>0</v>
      </c>
      <c r="O351" t="n">
        <v>0</v>
      </c>
      <c r="P351" t="n">
        <v>0</v>
      </c>
      <c r="Q351" t="n">
        <v>0</v>
      </c>
      <c r="R351" s="2" t="inlineStr"/>
    </row>
    <row r="352" ht="15" customHeight="1">
      <c r="A352" t="inlineStr">
        <is>
          <t>A 18024-2022</t>
        </is>
      </c>
      <c r="B352" s="1" t="n">
        <v>44683.94383101852</v>
      </c>
      <c r="C352" s="1" t="n">
        <v>45966</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27953-2021</t>
        </is>
      </c>
      <c r="B353" s="1" t="n">
        <v>44354.9209375</v>
      </c>
      <c r="C353" s="1" t="n">
        <v>45966</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55905-2021</t>
        </is>
      </c>
      <c r="B354" s="1" t="n">
        <v>44476.91895833334</v>
      </c>
      <c r="C354" s="1" t="n">
        <v>45966</v>
      </c>
      <c r="D354" t="inlineStr">
        <is>
          <t>VÄSTERNORRLANDS LÄN</t>
        </is>
      </c>
      <c r="E354" t="inlineStr">
        <is>
          <t>ÅNGE</t>
        </is>
      </c>
      <c r="G354" t="n">
        <v>0.9</v>
      </c>
      <c r="H354" t="n">
        <v>0</v>
      </c>
      <c r="I354" t="n">
        <v>0</v>
      </c>
      <c r="J354" t="n">
        <v>0</v>
      </c>
      <c r="K354" t="n">
        <v>0</v>
      </c>
      <c r="L354" t="n">
        <v>0</v>
      </c>
      <c r="M354" t="n">
        <v>0</v>
      </c>
      <c r="N354" t="n">
        <v>0</v>
      </c>
      <c r="O354" t="n">
        <v>0</v>
      </c>
      <c r="P354" t="n">
        <v>0</v>
      </c>
      <c r="Q354" t="n">
        <v>0</v>
      </c>
      <c r="R354" s="2" t="inlineStr"/>
    </row>
    <row r="355" ht="15" customHeight="1">
      <c r="A355" t="inlineStr">
        <is>
          <t>A 17580-2022</t>
        </is>
      </c>
      <c r="B355" s="1" t="n">
        <v>44679</v>
      </c>
      <c r="C355" s="1" t="n">
        <v>45966</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33408-2021</t>
        </is>
      </c>
      <c r="B356" s="1" t="n">
        <v>44377</v>
      </c>
      <c r="C356" s="1" t="n">
        <v>45966</v>
      </c>
      <c r="D356" t="inlineStr">
        <is>
          <t>VÄSTERNORRLANDS LÄN</t>
        </is>
      </c>
      <c r="E356" t="inlineStr">
        <is>
          <t>ÅNGE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30365-2021</t>
        </is>
      </c>
      <c r="B357" s="1" t="n">
        <v>44364.45164351852</v>
      </c>
      <c r="C357" s="1" t="n">
        <v>45966</v>
      </c>
      <c r="D357" t="inlineStr">
        <is>
          <t>VÄSTERNORRLANDS LÄN</t>
        </is>
      </c>
      <c r="E357" t="inlineStr">
        <is>
          <t>ÅNGE</t>
        </is>
      </c>
      <c r="G357" t="n">
        <v>3.9</v>
      </c>
      <c r="H357" t="n">
        <v>0</v>
      </c>
      <c r="I357" t="n">
        <v>0</v>
      </c>
      <c r="J357" t="n">
        <v>0</v>
      </c>
      <c r="K357" t="n">
        <v>0</v>
      </c>
      <c r="L357" t="n">
        <v>0</v>
      </c>
      <c r="M357" t="n">
        <v>0</v>
      </c>
      <c r="N357" t="n">
        <v>0</v>
      </c>
      <c r="O357" t="n">
        <v>0</v>
      </c>
      <c r="P357" t="n">
        <v>0</v>
      </c>
      <c r="Q357" t="n">
        <v>0</v>
      </c>
      <c r="R357" s="2" t="inlineStr"/>
    </row>
    <row r="358" ht="15" customHeight="1">
      <c r="A358" t="inlineStr">
        <is>
          <t>A 17044-2022</t>
        </is>
      </c>
      <c r="B358" s="1" t="n">
        <v>44676</v>
      </c>
      <c r="C358" s="1" t="n">
        <v>45966</v>
      </c>
      <c r="D358" t="inlineStr">
        <is>
          <t>VÄSTERNORRLANDS LÄN</t>
        </is>
      </c>
      <c r="E358" t="inlineStr">
        <is>
          <t>ÅNGE</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17963-2022</t>
        </is>
      </c>
      <c r="B359" s="1" t="n">
        <v>44683</v>
      </c>
      <c r="C359" s="1" t="n">
        <v>45966</v>
      </c>
      <c r="D359" t="inlineStr">
        <is>
          <t>VÄSTERNORRLANDS LÄN</t>
        </is>
      </c>
      <c r="E359" t="inlineStr">
        <is>
          <t>ÅNGE</t>
        </is>
      </c>
      <c r="G359" t="n">
        <v>0.2</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45966</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45966</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35496-2022</t>
        </is>
      </c>
      <c r="B362" s="1" t="n">
        <v>44798</v>
      </c>
      <c r="C362" s="1" t="n">
        <v>45966</v>
      </c>
      <c r="D362" t="inlineStr">
        <is>
          <t>VÄSTERNORRLANDS LÄN</t>
        </is>
      </c>
      <c r="E362" t="inlineStr">
        <is>
          <t>ÅNGE</t>
        </is>
      </c>
      <c r="F362" t="inlineStr">
        <is>
          <t>SCA</t>
        </is>
      </c>
      <c r="G362" t="n">
        <v>15.6</v>
      </c>
      <c r="H362" t="n">
        <v>0</v>
      </c>
      <c r="I362" t="n">
        <v>0</v>
      </c>
      <c r="J362" t="n">
        <v>0</v>
      </c>
      <c r="K362" t="n">
        <v>0</v>
      </c>
      <c r="L362" t="n">
        <v>0</v>
      </c>
      <c r="M362" t="n">
        <v>0</v>
      </c>
      <c r="N362" t="n">
        <v>0</v>
      </c>
      <c r="O362" t="n">
        <v>0</v>
      </c>
      <c r="P362" t="n">
        <v>0</v>
      </c>
      <c r="Q362" t="n">
        <v>0</v>
      </c>
      <c r="R362" s="2" t="inlineStr"/>
    </row>
    <row r="363" ht="15" customHeight="1">
      <c r="A363" t="inlineStr">
        <is>
          <t>A 37605-2021</t>
        </is>
      </c>
      <c r="B363" s="1" t="n">
        <v>44399</v>
      </c>
      <c r="C363" s="1" t="n">
        <v>45966</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37620-2021</t>
        </is>
      </c>
      <c r="B364" s="1" t="n">
        <v>44399</v>
      </c>
      <c r="C364" s="1" t="n">
        <v>45966</v>
      </c>
      <c r="D364" t="inlineStr">
        <is>
          <t>VÄSTERNORRLANDS LÄN</t>
        </is>
      </c>
      <c r="E364" t="inlineStr">
        <is>
          <t>ÅNGE</t>
        </is>
      </c>
      <c r="G364" t="n">
        <v>4.3</v>
      </c>
      <c r="H364" t="n">
        <v>0</v>
      </c>
      <c r="I364" t="n">
        <v>0</v>
      </c>
      <c r="J364" t="n">
        <v>0</v>
      </c>
      <c r="K364" t="n">
        <v>0</v>
      </c>
      <c r="L364" t="n">
        <v>0</v>
      </c>
      <c r="M364" t="n">
        <v>0</v>
      </c>
      <c r="N364" t="n">
        <v>0</v>
      </c>
      <c r="O364" t="n">
        <v>0</v>
      </c>
      <c r="P364" t="n">
        <v>0</v>
      </c>
      <c r="Q364" t="n">
        <v>0</v>
      </c>
      <c r="R364" s="2" t="inlineStr"/>
    </row>
    <row r="365" ht="15" customHeight="1">
      <c r="A365" t="inlineStr">
        <is>
          <t>A 50640-2022</t>
        </is>
      </c>
      <c r="B365" s="1" t="n">
        <v>44866.94734953704</v>
      </c>
      <c r="C365" s="1" t="n">
        <v>45966</v>
      </c>
      <c r="D365" t="inlineStr">
        <is>
          <t>VÄSTERNORRLANDS LÄN</t>
        </is>
      </c>
      <c r="E365" t="inlineStr">
        <is>
          <t>ÅNGE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70893-2021</t>
        </is>
      </c>
      <c r="B366" s="1" t="n">
        <v>44538</v>
      </c>
      <c r="C366" s="1" t="n">
        <v>45966</v>
      </c>
      <c r="D366" t="inlineStr">
        <is>
          <t>VÄSTERNORRLANDS LÄN</t>
        </is>
      </c>
      <c r="E366" t="inlineStr">
        <is>
          <t>ÅNGE</t>
        </is>
      </c>
      <c r="G366" t="n">
        <v>6.2</v>
      </c>
      <c r="H366" t="n">
        <v>0</v>
      </c>
      <c r="I366" t="n">
        <v>0</v>
      </c>
      <c r="J366" t="n">
        <v>0</v>
      </c>
      <c r="K366" t="n">
        <v>0</v>
      </c>
      <c r="L366" t="n">
        <v>0</v>
      </c>
      <c r="M366" t="n">
        <v>0</v>
      </c>
      <c r="N366" t="n">
        <v>0</v>
      </c>
      <c r="O366" t="n">
        <v>0</v>
      </c>
      <c r="P366" t="n">
        <v>0</v>
      </c>
      <c r="Q366" t="n">
        <v>0</v>
      </c>
      <c r="R366" s="2" t="inlineStr"/>
    </row>
    <row r="367" ht="15" customHeight="1">
      <c r="A367" t="inlineStr">
        <is>
          <t>A 13641-2022</t>
        </is>
      </c>
      <c r="B367" s="1" t="n">
        <v>44648</v>
      </c>
      <c r="C367" s="1" t="n">
        <v>45966</v>
      </c>
      <c r="D367" t="inlineStr">
        <is>
          <t>VÄSTERNORRLANDS LÄN</t>
        </is>
      </c>
      <c r="E367" t="inlineStr">
        <is>
          <t>ÅNGE</t>
        </is>
      </c>
      <c r="G367" t="n">
        <v>4.9</v>
      </c>
      <c r="H367" t="n">
        <v>0</v>
      </c>
      <c r="I367" t="n">
        <v>0</v>
      </c>
      <c r="J367" t="n">
        <v>0</v>
      </c>
      <c r="K367" t="n">
        <v>0</v>
      </c>
      <c r="L367" t="n">
        <v>0</v>
      </c>
      <c r="M367" t="n">
        <v>0</v>
      </c>
      <c r="N367" t="n">
        <v>0</v>
      </c>
      <c r="O367" t="n">
        <v>0</v>
      </c>
      <c r="P367" t="n">
        <v>0</v>
      </c>
      <c r="Q367" t="n">
        <v>0</v>
      </c>
      <c r="R367" s="2" t="inlineStr"/>
    </row>
    <row r="368" ht="15" customHeight="1">
      <c r="A368" t="inlineStr">
        <is>
          <t>A 20369-2022</t>
        </is>
      </c>
      <c r="B368" s="1" t="n">
        <v>44699.41140046297</v>
      </c>
      <c r="C368" s="1" t="n">
        <v>45966</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38369-2021</t>
        </is>
      </c>
      <c r="B369" s="1" t="n">
        <v>44406</v>
      </c>
      <c r="C369" s="1" t="n">
        <v>45966</v>
      </c>
      <c r="D369" t="inlineStr">
        <is>
          <t>VÄSTERNORRLANDS LÄN</t>
        </is>
      </c>
      <c r="E369" t="inlineStr">
        <is>
          <t>ÅNGE</t>
        </is>
      </c>
      <c r="G369" t="n">
        <v>5.6</v>
      </c>
      <c r="H369" t="n">
        <v>0</v>
      </c>
      <c r="I369" t="n">
        <v>0</v>
      </c>
      <c r="J369" t="n">
        <v>0</v>
      </c>
      <c r="K369" t="n">
        <v>0</v>
      </c>
      <c r="L369" t="n">
        <v>0</v>
      </c>
      <c r="M369" t="n">
        <v>0</v>
      </c>
      <c r="N369" t="n">
        <v>0</v>
      </c>
      <c r="O369" t="n">
        <v>0</v>
      </c>
      <c r="P369" t="n">
        <v>0</v>
      </c>
      <c r="Q369" t="n">
        <v>0</v>
      </c>
      <c r="R369" s="2" t="inlineStr"/>
    </row>
    <row r="370" ht="15" customHeight="1">
      <c r="A370" t="inlineStr">
        <is>
          <t>A 5113-2022</t>
        </is>
      </c>
      <c r="B370" s="1" t="n">
        <v>44593.93362268519</v>
      </c>
      <c r="C370" s="1" t="n">
        <v>45966</v>
      </c>
      <c r="D370" t="inlineStr">
        <is>
          <t>VÄSTERNORRLANDS LÄN</t>
        </is>
      </c>
      <c r="E370" t="inlineStr">
        <is>
          <t>ÅNGE</t>
        </is>
      </c>
      <c r="F370" t="inlineStr">
        <is>
          <t>SCA</t>
        </is>
      </c>
      <c r="G370" t="n">
        <v>0.9</v>
      </c>
      <c r="H370" t="n">
        <v>0</v>
      </c>
      <c r="I370" t="n">
        <v>0</v>
      </c>
      <c r="J370" t="n">
        <v>0</v>
      </c>
      <c r="K370" t="n">
        <v>0</v>
      </c>
      <c r="L370" t="n">
        <v>0</v>
      </c>
      <c r="M370" t="n">
        <v>0</v>
      </c>
      <c r="N370" t="n">
        <v>0</v>
      </c>
      <c r="O370" t="n">
        <v>0</v>
      </c>
      <c r="P370" t="n">
        <v>0</v>
      </c>
      <c r="Q370" t="n">
        <v>0</v>
      </c>
      <c r="R370" s="2" t="inlineStr"/>
    </row>
    <row r="371" ht="15" customHeight="1">
      <c r="A371" t="inlineStr">
        <is>
          <t>A 31668-2021</t>
        </is>
      </c>
      <c r="B371" s="1" t="n">
        <v>44369</v>
      </c>
      <c r="C371" s="1" t="n">
        <v>45966</v>
      </c>
      <c r="D371" t="inlineStr">
        <is>
          <t>VÄSTERNORRLANDS LÄN</t>
        </is>
      </c>
      <c r="E371" t="inlineStr">
        <is>
          <t>ÅNGE</t>
        </is>
      </c>
      <c r="F371" t="inlineStr">
        <is>
          <t>Kyrkan</t>
        </is>
      </c>
      <c r="G371" t="n">
        <v>3.6</v>
      </c>
      <c r="H371" t="n">
        <v>0</v>
      </c>
      <c r="I371" t="n">
        <v>0</v>
      </c>
      <c r="J371" t="n">
        <v>0</v>
      </c>
      <c r="K371" t="n">
        <v>0</v>
      </c>
      <c r="L371" t="n">
        <v>0</v>
      </c>
      <c r="M371" t="n">
        <v>0</v>
      </c>
      <c r="N371" t="n">
        <v>0</v>
      </c>
      <c r="O371" t="n">
        <v>0</v>
      </c>
      <c r="P371" t="n">
        <v>0</v>
      </c>
      <c r="Q371" t="n">
        <v>0</v>
      </c>
      <c r="R371" s="2" t="inlineStr"/>
    </row>
    <row r="372" ht="15" customHeight="1">
      <c r="A372" t="inlineStr">
        <is>
          <t>A 32328-2021</t>
        </is>
      </c>
      <c r="B372" s="1" t="n">
        <v>44371.55924768518</v>
      </c>
      <c r="C372" s="1" t="n">
        <v>45966</v>
      </c>
      <c r="D372" t="inlineStr">
        <is>
          <t>VÄSTERNORRLANDS LÄN</t>
        </is>
      </c>
      <c r="E372" t="inlineStr">
        <is>
          <t>ÅNGE</t>
        </is>
      </c>
      <c r="G372" t="n">
        <v>0.9</v>
      </c>
      <c r="H372" t="n">
        <v>0</v>
      </c>
      <c r="I372" t="n">
        <v>0</v>
      </c>
      <c r="J372" t="n">
        <v>0</v>
      </c>
      <c r="K372" t="n">
        <v>0</v>
      </c>
      <c r="L372" t="n">
        <v>0</v>
      </c>
      <c r="M372" t="n">
        <v>0</v>
      </c>
      <c r="N372" t="n">
        <v>0</v>
      </c>
      <c r="O372" t="n">
        <v>0</v>
      </c>
      <c r="P372" t="n">
        <v>0</v>
      </c>
      <c r="Q372" t="n">
        <v>0</v>
      </c>
      <c r="R372" s="2" t="inlineStr"/>
    </row>
    <row r="373" ht="15" customHeight="1">
      <c r="A373" t="inlineStr">
        <is>
          <t>A 61761-2021</t>
        </is>
      </c>
      <c r="B373" s="1" t="n">
        <v>44501</v>
      </c>
      <c r="C373" s="1" t="n">
        <v>45966</v>
      </c>
      <c r="D373" t="inlineStr">
        <is>
          <t>VÄSTERNORRLANDS LÄN</t>
        </is>
      </c>
      <c r="E373" t="inlineStr">
        <is>
          <t>ÅNGE</t>
        </is>
      </c>
      <c r="G373" t="n">
        <v>0.3</v>
      </c>
      <c r="H373" t="n">
        <v>0</v>
      </c>
      <c r="I373" t="n">
        <v>0</v>
      </c>
      <c r="J373" t="n">
        <v>0</v>
      </c>
      <c r="K373" t="n">
        <v>0</v>
      </c>
      <c r="L373" t="n">
        <v>0</v>
      </c>
      <c r="M373" t="n">
        <v>0</v>
      </c>
      <c r="N373" t="n">
        <v>0</v>
      </c>
      <c r="O373" t="n">
        <v>0</v>
      </c>
      <c r="P373" t="n">
        <v>0</v>
      </c>
      <c r="Q373" t="n">
        <v>0</v>
      </c>
      <c r="R373" s="2" t="inlineStr"/>
    </row>
    <row r="374" ht="15" customHeight="1">
      <c r="A374" t="inlineStr">
        <is>
          <t>A 37621-2021</t>
        </is>
      </c>
      <c r="B374" s="1" t="n">
        <v>44399</v>
      </c>
      <c r="C374" s="1" t="n">
        <v>45966</v>
      </c>
      <c r="D374" t="inlineStr">
        <is>
          <t>VÄSTERNORRLANDS LÄN</t>
        </is>
      </c>
      <c r="E374" t="inlineStr">
        <is>
          <t>ÅNGE</t>
        </is>
      </c>
      <c r="G374" t="n">
        <v>2.5</v>
      </c>
      <c r="H374" t="n">
        <v>0</v>
      </c>
      <c r="I374" t="n">
        <v>0</v>
      </c>
      <c r="J374" t="n">
        <v>0</v>
      </c>
      <c r="K374" t="n">
        <v>0</v>
      </c>
      <c r="L374" t="n">
        <v>0</v>
      </c>
      <c r="M374" t="n">
        <v>0</v>
      </c>
      <c r="N374" t="n">
        <v>0</v>
      </c>
      <c r="O374" t="n">
        <v>0</v>
      </c>
      <c r="P374" t="n">
        <v>0</v>
      </c>
      <c r="Q374" t="n">
        <v>0</v>
      </c>
      <c r="R374" s="2" t="inlineStr"/>
    </row>
    <row r="375" ht="15" customHeight="1">
      <c r="A375" t="inlineStr">
        <is>
          <t>A 30768-2022</t>
        </is>
      </c>
      <c r="B375" s="1" t="n">
        <v>44764.53608796297</v>
      </c>
      <c r="C375" s="1" t="n">
        <v>45966</v>
      </c>
      <c r="D375" t="inlineStr">
        <is>
          <t>VÄSTERNORRLANDS LÄN</t>
        </is>
      </c>
      <c r="E375" t="inlineStr">
        <is>
          <t>ÅNGE</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66233-2021</t>
        </is>
      </c>
      <c r="B376" s="1" t="n">
        <v>44518.39234953704</v>
      </c>
      <c r="C376" s="1" t="n">
        <v>45966</v>
      </c>
      <c r="D376" t="inlineStr">
        <is>
          <t>VÄSTERNORRLANDS LÄN</t>
        </is>
      </c>
      <c r="E376" t="inlineStr">
        <is>
          <t>ÅNGE</t>
        </is>
      </c>
      <c r="G376" t="n">
        <v>3.1</v>
      </c>
      <c r="H376" t="n">
        <v>0</v>
      </c>
      <c r="I376" t="n">
        <v>0</v>
      </c>
      <c r="J376" t="n">
        <v>0</v>
      </c>
      <c r="K376" t="n">
        <v>0</v>
      </c>
      <c r="L376" t="n">
        <v>0</v>
      </c>
      <c r="M376" t="n">
        <v>0</v>
      </c>
      <c r="N376" t="n">
        <v>0</v>
      </c>
      <c r="O376" t="n">
        <v>0</v>
      </c>
      <c r="P376" t="n">
        <v>0</v>
      </c>
      <c r="Q376" t="n">
        <v>0</v>
      </c>
      <c r="R376" s="2" t="inlineStr"/>
    </row>
    <row r="377" ht="15" customHeight="1">
      <c r="A377" t="inlineStr">
        <is>
          <t>A 51555-2022</t>
        </is>
      </c>
      <c r="B377" s="1" t="n">
        <v>44869.9495949074</v>
      </c>
      <c r="C377" s="1" t="n">
        <v>45966</v>
      </c>
      <c r="D377" t="inlineStr">
        <is>
          <t>VÄSTERNORRLANDS LÄN</t>
        </is>
      </c>
      <c r="E377" t="inlineStr">
        <is>
          <t>ÅNGE</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46681-2023</t>
        </is>
      </c>
      <c r="B378" s="1" t="n">
        <v>45198</v>
      </c>
      <c r="C378" s="1" t="n">
        <v>45966</v>
      </c>
      <c r="D378" t="inlineStr">
        <is>
          <t>VÄSTERNORRLANDS LÄN</t>
        </is>
      </c>
      <c r="E378" t="inlineStr">
        <is>
          <t>ÅNGE</t>
        </is>
      </c>
      <c r="G378" t="n">
        <v>0.8</v>
      </c>
      <c r="H378" t="n">
        <v>0</v>
      </c>
      <c r="I378" t="n">
        <v>0</v>
      </c>
      <c r="J378" t="n">
        <v>0</v>
      </c>
      <c r="K378" t="n">
        <v>0</v>
      </c>
      <c r="L378" t="n">
        <v>0</v>
      </c>
      <c r="M378" t="n">
        <v>0</v>
      </c>
      <c r="N378" t="n">
        <v>0</v>
      </c>
      <c r="O378" t="n">
        <v>0</v>
      </c>
      <c r="P378" t="n">
        <v>0</v>
      </c>
      <c r="Q378" t="n">
        <v>0</v>
      </c>
      <c r="R378" s="2" t="inlineStr"/>
    </row>
    <row r="379" ht="15" customHeight="1">
      <c r="A379" t="inlineStr">
        <is>
          <t>A 51494-2022</t>
        </is>
      </c>
      <c r="B379" s="1" t="n">
        <v>44869</v>
      </c>
      <c r="C379" s="1" t="n">
        <v>45966</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57287-2022</t>
        </is>
      </c>
      <c r="B380" s="1" t="n">
        <v>44895.95</v>
      </c>
      <c r="C380" s="1" t="n">
        <v>45966</v>
      </c>
      <c r="D380" t="inlineStr">
        <is>
          <t>VÄSTERNORRLANDS LÄN</t>
        </is>
      </c>
      <c r="E380" t="inlineStr">
        <is>
          <t>ÅNGE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46255-2023</t>
        </is>
      </c>
      <c r="B381" s="1" t="n">
        <v>45196</v>
      </c>
      <c r="C381" s="1" t="n">
        <v>45966</v>
      </c>
      <c r="D381" t="inlineStr">
        <is>
          <t>VÄSTERNORRLANDS LÄN</t>
        </is>
      </c>
      <c r="E381" t="inlineStr">
        <is>
          <t>ÅNGE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20576-2021</t>
        </is>
      </c>
      <c r="B382" s="1" t="n">
        <v>44316.3290162037</v>
      </c>
      <c r="C382" s="1" t="n">
        <v>45966</v>
      </c>
      <c r="D382" t="inlineStr">
        <is>
          <t>VÄSTERNORRLANDS LÄN</t>
        </is>
      </c>
      <c r="E382" t="inlineStr">
        <is>
          <t>ÅNGE</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1090-2023</t>
        </is>
      </c>
      <c r="B383" s="1" t="n">
        <v>44929</v>
      </c>
      <c r="C383" s="1" t="n">
        <v>45966</v>
      </c>
      <c r="D383" t="inlineStr">
        <is>
          <t>VÄSTERNORRLANDS LÄN</t>
        </is>
      </c>
      <c r="E383" t="inlineStr">
        <is>
          <t>ÅNGE</t>
        </is>
      </c>
      <c r="G383" t="n">
        <v>0.7</v>
      </c>
      <c r="H383" t="n">
        <v>0</v>
      </c>
      <c r="I383" t="n">
        <v>0</v>
      </c>
      <c r="J383" t="n">
        <v>0</v>
      </c>
      <c r="K383" t="n">
        <v>0</v>
      </c>
      <c r="L383" t="n">
        <v>0</v>
      </c>
      <c r="M383" t="n">
        <v>0</v>
      </c>
      <c r="N383" t="n">
        <v>0</v>
      </c>
      <c r="O383" t="n">
        <v>0</v>
      </c>
      <c r="P383" t="n">
        <v>0</v>
      </c>
      <c r="Q383" t="n">
        <v>0</v>
      </c>
      <c r="R383" s="2" t="inlineStr"/>
    </row>
    <row r="384" ht="15" customHeight="1">
      <c r="A384" t="inlineStr">
        <is>
          <t>A 1116-2023</t>
        </is>
      </c>
      <c r="B384" s="1" t="n">
        <v>44929</v>
      </c>
      <c r="C384" s="1" t="n">
        <v>45966</v>
      </c>
      <c r="D384" t="inlineStr">
        <is>
          <t>VÄSTERNORRLANDS LÄN</t>
        </is>
      </c>
      <c r="E384" t="inlineStr">
        <is>
          <t>ÅNGE</t>
        </is>
      </c>
      <c r="G384" t="n">
        <v>17.2</v>
      </c>
      <c r="H384" t="n">
        <v>0</v>
      </c>
      <c r="I384" t="n">
        <v>0</v>
      </c>
      <c r="J384" t="n">
        <v>0</v>
      </c>
      <c r="K384" t="n">
        <v>0</v>
      </c>
      <c r="L384" t="n">
        <v>0</v>
      </c>
      <c r="M384" t="n">
        <v>0</v>
      </c>
      <c r="N384" t="n">
        <v>0</v>
      </c>
      <c r="O384" t="n">
        <v>0</v>
      </c>
      <c r="P384" t="n">
        <v>0</v>
      </c>
      <c r="Q384" t="n">
        <v>0</v>
      </c>
      <c r="R384" s="2" t="inlineStr"/>
    </row>
    <row r="385" ht="15" customHeight="1">
      <c r="A385" t="inlineStr">
        <is>
          <t>A 55197-2022</t>
        </is>
      </c>
      <c r="B385" s="1" t="n">
        <v>44886.93714120371</v>
      </c>
      <c r="C385" s="1" t="n">
        <v>45966</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51609-2023</t>
        </is>
      </c>
      <c r="B386" s="1" t="n">
        <v>45215</v>
      </c>
      <c r="C386" s="1" t="n">
        <v>45966</v>
      </c>
      <c r="D386" t="inlineStr">
        <is>
          <t>VÄSTERNORRLANDS LÄN</t>
        </is>
      </c>
      <c r="E386" t="inlineStr">
        <is>
          <t>ÅNGE</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27661-2024</t>
        </is>
      </c>
      <c r="B387" s="1" t="n">
        <v>45474.95365740741</v>
      </c>
      <c r="C387" s="1" t="n">
        <v>45966</v>
      </c>
      <c r="D387" t="inlineStr">
        <is>
          <t>VÄSTERNORRLANDS LÄN</t>
        </is>
      </c>
      <c r="E387" t="inlineStr">
        <is>
          <t>ÅNGE</t>
        </is>
      </c>
      <c r="F387" t="inlineStr">
        <is>
          <t>SCA</t>
        </is>
      </c>
      <c r="G387" t="n">
        <v>19.1</v>
      </c>
      <c r="H387" t="n">
        <v>0</v>
      </c>
      <c r="I387" t="n">
        <v>0</v>
      </c>
      <c r="J387" t="n">
        <v>0</v>
      </c>
      <c r="K387" t="n">
        <v>0</v>
      </c>
      <c r="L387" t="n">
        <v>0</v>
      </c>
      <c r="M387" t="n">
        <v>0</v>
      </c>
      <c r="N387" t="n">
        <v>0</v>
      </c>
      <c r="O387" t="n">
        <v>0</v>
      </c>
      <c r="P387" t="n">
        <v>0</v>
      </c>
      <c r="Q387" t="n">
        <v>0</v>
      </c>
      <c r="R387" s="2" t="inlineStr"/>
    </row>
    <row r="388" ht="15" customHeight="1">
      <c r="A388" t="inlineStr">
        <is>
          <t>A 27668-2024</t>
        </is>
      </c>
      <c r="B388" s="1" t="n">
        <v>45474.95435185185</v>
      </c>
      <c r="C388" s="1" t="n">
        <v>45966</v>
      </c>
      <c r="D388" t="inlineStr">
        <is>
          <t>VÄSTERNORRLANDS LÄN</t>
        </is>
      </c>
      <c r="E388" t="inlineStr">
        <is>
          <t>ÅNGE</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12021-2022</t>
        </is>
      </c>
      <c r="B389" s="1" t="n">
        <v>44635</v>
      </c>
      <c r="C389" s="1" t="n">
        <v>45966</v>
      </c>
      <c r="D389" t="inlineStr">
        <is>
          <t>VÄSTERNORRLANDS LÄN</t>
        </is>
      </c>
      <c r="E389" t="inlineStr">
        <is>
          <t>ÅNGE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18617-2024</t>
        </is>
      </c>
      <c r="B390" s="1" t="n">
        <v>45425</v>
      </c>
      <c r="C390" s="1" t="n">
        <v>45966</v>
      </c>
      <c r="D390" t="inlineStr">
        <is>
          <t>VÄSTERNORRLANDS LÄN</t>
        </is>
      </c>
      <c r="E390" t="inlineStr">
        <is>
          <t>ÅNGE</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18869-2024</t>
        </is>
      </c>
      <c r="B391" s="1" t="n">
        <v>45426</v>
      </c>
      <c r="C391" s="1" t="n">
        <v>45966</v>
      </c>
      <c r="D391" t="inlineStr">
        <is>
          <t>VÄSTERNORRLANDS LÄN</t>
        </is>
      </c>
      <c r="E391" t="inlineStr">
        <is>
          <t>ÅNGE</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37540-2024</t>
        </is>
      </c>
      <c r="B392" s="1" t="n">
        <v>45541.42111111111</v>
      </c>
      <c r="C392" s="1" t="n">
        <v>45966</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30286-2021</t>
        </is>
      </c>
      <c r="B393" s="1" t="n">
        <v>44363</v>
      </c>
      <c r="C393" s="1" t="n">
        <v>45966</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60064-2020</t>
        </is>
      </c>
      <c r="B394" s="1" t="n">
        <v>44151</v>
      </c>
      <c r="C394" s="1" t="n">
        <v>45966</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42958-2024</t>
        </is>
      </c>
      <c r="B395" s="1" t="n">
        <v>45567.37131944444</v>
      </c>
      <c r="C395" s="1" t="n">
        <v>45966</v>
      </c>
      <c r="D395" t="inlineStr">
        <is>
          <t>VÄSTERNORRLANDS LÄN</t>
        </is>
      </c>
      <c r="E395" t="inlineStr">
        <is>
          <t>ÅNGE</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42969-2024</t>
        </is>
      </c>
      <c r="B396" s="1" t="n">
        <v>45567.37300925926</v>
      </c>
      <c r="C396" s="1" t="n">
        <v>45966</v>
      </c>
      <c r="D396" t="inlineStr">
        <is>
          <t>VÄSTERNORRLANDS LÄN</t>
        </is>
      </c>
      <c r="E396" t="inlineStr">
        <is>
          <t>ÅNGE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35276-2022</t>
        </is>
      </c>
      <c r="B397" s="1" t="n">
        <v>44798</v>
      </c>
      <c r="C397" s="1" t="n">
        <v>45966</v>
      </c>
      <c r="D397" t="inlineStr">
        <is>
          <t>VÄSTERNORRLANDS LÄN</t>
        </is>
      </c>
      <c r="E397" t="inlineStr">
        <is>
          <t>ÅNGE</t>
        </is>
      </c>
      <c r="G397" t="n">
        <v>15.2</v>
      </c>
      <c r="H397" t="n">
        <v>0</v>
      </c>
      <c r="I397" t="n">
        <v>0</v>
      </c>
      <c r="J397" t="n">
        <v>0</v>
      </c>
      <c r="K397" t="n">
        <v>0</v>
      </c>
      <c r="L397" t="n">
        <v>0</v>
      </c>
      <c r="M397" t="n">
        <v>0</v>
      </c>
      <c r="N397" t="n">
        <v>0</v>
      </c>
      <c r="O397" t="n">
        <v>0</v>
      </c>
      <c r="P397" t="n">
        <v>0</v>
      </c>
      <c r="Q397" t="n">
        <v>0</v>
      </c>
      <c r="R397" s="2" t="inlineStr"/>
    </row>
    <row r="398" ht="15" customHeight="1">
      <c r="A398" t="inlineStr">
        <is>
          <t>A 13149-2021</t>
        </is>
      </c>
      <c r="B398" s="1" t="n">
        <v>44272</v>
      </c>
      <c r="C398" s="1" t="n">
        <v>45966</v>
      </c>
      <c r="D398" t="inlineStr">
        <is>
          <t>VÄSTERNORRLANDS LÄN</t>
        </is>
      </c>
      <c r="E398" t="inlineStr">
        <is>
          <t>ÅNGE</t>
        </is>
      </c>
      <c r="G398" t="n">
        <v>3.4</v>
      </c>
      <c r="H398" t="n">
        <v>0</v>
      </c>
      <c r="I398" t="n">
        <v>0</v>
      </c>
      <c r="J398" t="n">
        <v>0</v>
      </c>
      <c r="K398" t="n">
        <v>0</v>
      </c>
      <c r="L398" t="n">
        <v>0</v>
      </c>
      <c r="M398" t="n">
        <v>0</v>
      </c>
      <c r="N398" t="n">
        <v>0</v>
      </c>
      <c r="O398" t="n">
        <v>0</v>
      </c>
      <c r="P398" t="n">
        <v>0</v>
      </c>
      <c r="Q398" t="n">
        <v>0</v>
      </c>
      <c r="R398" s="2" t="inlineStr"/>
    </row>
    <row r="399" ht="15" customHeight="1">
      <c r="A399" t="inlineStr">
        <is>
          <t>A 35399-2024</t>
        </is>
      </c>
      <c r="B399" s="1" t="n">
        <v>45531.40438657408</v>
      </c>
      <c r="C399" s="1" t="n">
        <v>45966</v>
      </c>
      <c r="D399" t="inlineStr">
        <is>
          <t>VÄSTERNORRLANDS LÄN</t>
        </is>
      </c>
      <c r="E399" t="inlineStr">
        <is>
          <t>ÅNGE</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11098-2022</t>
        </is>
      </c>
      <c r="B400" s="1" t="n">
        <v>44628</v>
      </c>
      <c r="C400" s="1" t="n">
        <v>45966</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65280-2020</t>
        </is>
      </c>
      <c r="B401" s="1" t="n">
        <v>44172</v>
      </c>
      <c r="C401" s="1" t="n">
        <v>45966</v>
      </c>
      <c r="D401" t="inlineStr">
        <is>
          <t>VÄSTERNORRLANDS LÄN</t>
        </is>
      </c>
      <c r="E401" t="inlineStr">
        <is>
          <t>ÅNGE</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35283-2022</t>
        </is>
      </c>
      <c r="B402" s="1" t="n">
        <v>44798.39916666667</v>
      </c>
      <c r="C402" s="1" t="n">
        <v>45966</v>
      </c>
      <c r="D402" t="inlineStr">
        <is>
          <t>VÄSTERNORRLANDS LÄN</t>
        </is>
      </c>
      <c r="E402" t="inlineStr">
        <is>
          <t>ÅNGE</t>
        </is>
      </c>
      <c r="G402" t="n">
        <v>4.5</v>
      </c>
      <c r="H402" t="n">
        <v>0</v>
      </c>
      <c r="I402" t="n">
        <v>0</v>
      </c>
      <c r="J402" t="n">
        <v>0</v>
      </c>
      <c r="K402" t="n">
        <v>0</v>
      </c>
      <c r="L402" t="n">
        <v>0</v>
      </c>
      <c r="M402" t="n">
        <v>0</v>
      </c>
      <c r="N402" t="n">
        <v>0</v>
      </c>
      <c r="O402" t="n">
        <v>0</v>
      </c>
      <c r="P402" t="n">
        <v>0</v>
      </c>
      <c r="Q402" t="n">
        <v>0</v>
      </c>
      <c r="R402" s="2" t="inlineStr"/>
    </row>
    <row r="403" ht="15" customHeight="1">
      <c r="A403" t="inlineStr">
        <is>
          <t>A 47118-2025</t>
        </is>
      </c>
      <c r="B403" s="1" t="n">
        <v>45929.67770833334</v>
      </c>
      <c r="C403" s="1" t="n">
        <v>45966</v>
      </c>
      <c r="D403" t="inlineStr">
        <is>
          <t>VÄSTERNORRLANDS LÄN</t>
        </is>
      </c>
      <c r="E403" t="inlineStr">
        <is>
          <t>ÅNGE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45966</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18422-2021</t>
        </is>
      </c>
      <c r="B405" s="1" t="n">
        <v>44305</v>
      </c>
      <c r="C405" s="1" t="n">
        <v>45966</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38795-2023</t>
        </is>
      </c>
      <c r="B406" s="1" t="n">
        <v>45162</v>
      </c>
      <c r="C406" s="1" t="n">
        <v>45966</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46824-2021</t>
        </is>
      </c>
      <c r="B407" s="1" t="n">
        <v>44446.34271990741</v>
      </c>
      <c r="C407" s="1" t="n">
        <v>45966</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17601-2024</t>
        </is>
      </c>
      <c r="B408" s="1" t="n">
        <v>45415</v>
      </c>
      <c r="C408" s="1" t="n">
        <v>45966</v>
      </c>
      <c r="D408" t="inlineStr">
        <is>
          <t>VÄSTERNORRLANDS LÄN</t>
        </is>
      </c>
      <c r="E408" t="inlineStr">
        <is>
          <t>ÅNGE</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34815-2024</t>
        </is>
      </c>
      <c r="B409" s="1" t="n">
        <v>45526.70732638889</v>
      </c>
      <c r="C409" s="1" t="n">
        <v>45966</v>
      </c>
      <c r="D409" t="inlineStr">
        <is>
          <t>VÄSTERNORRLANDS LÄN</t>
        </is>
      </c>
      <c r="E409" t="inlineStr">
        <is>
          <t>ÅNGE</t>
        </is>
      </c>
      <c r="G409" t="n">
        <v>1.3</v>
      </c>
      <c r="H409" t="n">
        <v>0</v>
      </c>
      <c r="I409" t="n">
        <v>0</v>
      </c>
      <c r="J409" t="n">
        <v>0</v>
      </c>
      <c r="K409" t="n">
        <v>0</v>
      </c>
      <c r="L409" t="n">
        <v>0</v>
      </c>
      <c r="M409" t="n">
        <v>0</v>
      </c>
      <c r="N409" t="n">
        <v>0</v>
      </c>
      <c r="O409" t="n">
        <v>0</v>
      </c>
      <c r="P409" t="n">
        <v>0</v>
      </c>
      <c r="Q409" t="n">
        <v>0</v>
      </c>
      <c r="R409" s="2" t="inlineStr"/>
    </row>
    <row r="410" ht="15" customHeight="1">
      <c r="A410" t="inlineStr">
        <is>
          <t>A 34649-2024</t>
        </is>
      </c>
      <c r="B410" s="1" t="n">
        <v>45526.48325231481</v>
      </c>
      <c r="C410" s="1" t="n">
        <v>45966</v>
      </c>
      <c r="D410" t="inlineStr">
        <is>
          <t>VÄSTERNORRLANDS LÄN</t>
        </is>
      </c>
      <c r="E410" t="inlineStr">
        <is>
          <t>ÅNGE</t>
        </is>
      </c>
      <c r="G410" t="n">
        <v>1.2</v>
      </c>
      <c r="H410" t="n">
        <v>0</v>
      </c>
      <c r="I410" t="n">
        <v>0</v>
      </c>
      <c r="J410" t="n">
        <v>0</v>
      </c>
      <c r="K410" t="n">
        <v>0</v>
      </c>
      <c r="L410" t="n">
        <v>0</v>
      </c>
      <c r="M410" t="n">
        <v>0</v>
      </c>
      <c r="N410" t="n">
        <v>0</v>
      </c>
      <c r="O410" t="n">
        <v>0</v>
      </c>
      <c r="P410" t="n">
        <v>0</v>
      </c>
      <c r="Q410" t="n">
        <v>0</v>
      </c>
      <c r="R410" s="2" t="inlineStr"/>
    </row>
    <row r="411" ht="15" customHeight="1">
      <c r="A411" t="inlineStr">
        <is>
          <t>A 13091-2024</t>
        </is>
      </c>
      <c r="B411" s="1" t="n">
        <v>45385</v>
      </c>
      <c r="C411" s="1" t="n">
        <v>45966</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20108-2025</t>
        </is>
      </c>
      <c r="B412" s="1" t="n">
        <v>45772.47006944445</v>
      </c>
      <c r="C412" s="1" t="n">
        <v>45966</v>
      </c>
      <c r="D412" t="inlineStr">
        <is>
          <t>VÄSTERNORRLANDS LÄN</t>
        </is>
      </c>
      <c r="E412" t="inlineStr">
        <is>
          <t>ÅNGE</t>
        </is>
      </c>
      <c r="F412" t="inlineStr">
        <is>
          <t>Naturvårdsverket</t>
        </is>
      </c>
      <c r="G412" t="n">
        <v>2</v>
      </c>
      <c r="H412" t="n">
        <v>0</v>
      </c>
      <c r="I412" t="n">
        <v>0</v>
      </c>
      <c r="J412" t="n">
        <v>0</v>
      </c>
      <c r="K412" t="n">
        <v>0</v>
      </c>
      <c r="L412" t="n">
        <v>0</v>
      </c>
      <c r="M412" t="n">
        <v>0</v>
      </c>
      <c r="N412" t="n">
        <v>0</v>
      </c>
      <c r="O412" t="n">
        <v>0</v>
      </c>
      <c r="P412" t="n">
        <v>0</v>
      </c>
      <c r="Q412" t="n">
        <v>0</v>
      </c>
      <c r="R412" s="2" t="inlineStr"/>
    </row>
    <row r="413" ht="15" customHeight="1">
      <c r="A413" t="inlineStr">
        <is>
          <t>A 50419-2022</t>
        </is>
      </c>
      <c r="B413" s="1" t="n">
        <v>44861</v>
      </c>
      <c r="C413" s="1" t="n">
        <v>45966</v>
      </c>
      <c r="D413" t="inlineStr">
        <is>
          <t>VÄSTERNORRLANDS LÄN</t>
        </is>
      </c>
      <c r="E413" t="inlineStr">
        <is>
          <t>ÅNGE</t>
        </is>
      </c>
      <c r="G413" t="n">
        <v>1.3</v>
      </c>
      <c r="H413" t="n">
        <v>0</v>
      </c>
      <c r="I413" t="n">
        <v>0</v>
      </c>
      <c r="J413" t="n">
        <v>0</v>
      </c>
      <c r="K413" t="n">
        <v>0</v>
      </c>
      <c r="L413" t="n">
        <v>0</v>
      </c>
      <c r="M413" t="n">
        <v>0</v>
      </c>
      <c r="N413" t="n">
        <v>0</v>
      </c>
      <c r="O413" t="n">
        <v>0</v>
      </c>
      <c r="P413" t="n">
        <v>0</v>
      </c>
      <c r="Q413" t="n">
        <v>0</v>
      </c>
      <c r="R413" s="2" t="inlineStr"/>
    </row>
    <row r="414" ht="15" customHeight="1">
      <c r="A414" t="inlineStr">
        <is>
          <t>A 3977-2025</t>
        </is>
      </c>
      <c r="B414" s="1" t="n">
        <v>45684</v>
      </c>
      <c r="C414" s="1" t="n">
        <v>45966</v>
      </c>
      <c r="D414" t="inlineStr">
        <is>
          <t>VÄSTERNORRLANDS LÄN</t>
        </is>
      </c>
      <c r="E414" t="inlineStr">
        <is>
          <t>ÅNGE</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8627-2023</t>
        </is>
      </c>
      <c r="B415" s="1" t="n">
        <v>44977</v>
      </c>
      <c r="C415" s="1" t="n">
        <v>45966</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49532-2024</t>
        </is>
      </c>
      <c r="B416" s="1" t="n">
        <v>45596.41797453703</v>
      </c>
      <c r="C416" s="1" t="n">
        <v>45966</v>
      </c>
      <c r="D416" t="inlineStr">
        <is>
          <t>VÄSTERNORRLANDS LÄN</t>
        </is>
      </c>
      <c r="E416" t="inlineStr">
        <is>
          <t>ÅNGE</t>
        </is>
      </c>
      <c r="G416" t="n">
        <v>3.3</v>
      </c>
      <c r="H416" t="n">
        <v>0</v>
      </c>
      <c r="I416" t="n">
        <v>0</v>
      </c>
      <c r="J416" t="n">
        <v>0</v>
      </c>
      <c r="K416" t="n">
        <v>0</v>
      </c>
      <c r="L416" t="n">
        <v>0</v>
      </c>
      <c r="M416" t="n">
        <v>0</v>
      </c>
      <c r="N416" t="n">
        <v>0</v>
      </c>
      <c r="O416" t="n">
        <v>0</v>
      </c>
      <c r="P416" t="n">
        <v>0</v>
      </c>
      <c r="Q416" t="n">
        <v>0</v>
      </c>
      <c r="R416" s="2" t="inlineStr"/>
    </row>
    <row r="417" ht="15" customHeight="1">
      <c r="A417" t="inlineStr">
        <is>
          <t>A 31864-2024</t>
        </is>
      </c>
      <c r="B417" s="1" t="n">
        <v>45509.74791666667</v>
      </c>
      <c r="C417" s="1" t="n">
        <v>45966</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11088-2024</t>
        </is>
      </c>
      <c r="B418" s="1" t="n">
        <v>45370</v>
      </c>
      <c r="C418" s="1" t="n">
        <v>45966</v>
      </c>
      <c r="D418" t="inlineStr">
        <is>
          <t>VÄSTERNORRLANDS LÄN</t>
        </is>
      </c>
      <c r="E418" t="inlineStr">
        <is>
          <t>ÅNGE</t>
        </is>
      </c>
      <c r="F418" t="inlineStr">
        <is>
          <t>SCA</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13773-2024</t>
        </is>
      </c>
      <c r="B419" s="1" t="n">
        <v>45390.95297453704</v>
      </c>
      <c r="C419" s="1" t="n">
        <v>45966</v>
      </c>
      <c r="D419" t="inlineStr">
        <is>
          <t>VÄSTERNORRLANDS LÄN</t>
        </is>
      </c>
      <c r="E419" t="inlineStr">
        <is>
          <t>ÅNGE</t>
        </is>
      </c>
      <c r="F419" t="inlineStr">
        <is>
          <t>SCA</t>
        </is>
      </c>
      <c r="G419" t="n">
        <v>2.6</v>
      </c>
      <c r="H419" t="n">
        <v>0</v>
      </c>
      <c r="I419" t="n">
        <v>0</v>
      </c>
      <c r="J419" t="n">
        <v>0</v>
      </c>
      <c r="K419" t="n">
        <v>0</v>
      </c>
      <c r="L419" t="n">
        <v>0</v>
      </c>
      <c r="M419" t="n">
        <v>0</v>
      </c>
      <c r="N419" t="n">
        <v>0</v>
      </c>
      <c r="O419" t="n">
        <v>0</v>
      </c>
      <c r="P419" t="n">
        <v>0</v>
      </c>
      <c r="Q419" t="n">
        <v>0</v>
      </c>
      <c r="R419" s="2" t="inlineStr"/>
    </row>
    <row r="420" ht="15" customHeight="1">
      <c r="A420" t="inlineStr">
        <is>
          <t>A 20716-2025</t>
        </is>
      </c>
      <c r="B420" s="1" t="n">
        <v>45776.49026620371</v>
      </c>
      <c r="C420" s="1" t="n">
        <v>45966</v>
      </c>
      <c r="D420" t="inlineStr">
        <is>
          <t>VÄSTERNORRLANDS LÄN</t>
        </is>
      </c>
      <c r="E420" t="inlineStr">
        <is>
          <t>ÅNGE</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51542-2022</t>
        </is>
      </c>
      <c r="B421" s="1" t="n">
        <v>44869.94850694444</v>
      </c>
      <c r="C421" s="1" t="n">
        <v>45966</v>
      </c>
      <c r="D421" t="inlineStr">
        <is>
          <t>VÄSTERNORRLANDS LÄN</t>
        </is>
      </c>
      <c r="E421" t="inlineStr">
        <is>
          <t>ÅNGE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53512-2023</t>
        </is>
      </c>
      <c r="B422" s="1" t="n">
        <v>45230</v>
      </c>
      <c r="C422" s="1" t="n">
        <v>45966</v>
      </c>
      <c r="D422" t="inlineStr">
        <is>
          <t>VÄSTERNORRLANDS LÄN</t>
        </is>
      </c>
      <c r="E422" t="inlineStr">
        <is>
          <t>ÅNGE</t>
        </is>
      </c>
      <c r="F422" t="inlineStr">
        <is>
          <t>Holmen skog AB</t>
        </is>
      </c>
      <c r="G422" t="n">
        <v>3</v>
      </c>
      <c r="H422" t="n">
        <v>0</v>
      </c>
      <c r="I422" t="n">
        <v>0</v>
      </c>
      <c r="J422" t="n">
        <v>0</v>
      </c>
      <c r="K422" t="n">
        <v>0</v>
      </c>
      <c r="L422" t="n">
        <v>0</v>
      </c>
      <c r="M422" t="n">
        <v>0</v>
      </c>
      <c r="N422" t="n">
        <v>0</v>
      </c>
      <c r="O422" t="n">
        <v>0</v>
      </c>
      <c r="P422" t="n">
        <v>0</v>
      </c>
      <c r="Q422" t="n">
        <v>0</v>
      </c>
      <c r="R422" s="2" t="inlineStr"/>
    </row>
    <row r="423" ht="15" customHeight="1">
      <c r="A423" t="inlineStr">
        <is>
          <t>A 37558-2023</t>
        </is>
      </c>
      <c r="B423" s="1" t="n">
        <v>45159.34511574074</v>
      </c>
      <c r="C423" s="1" t="n">
        <v>45966</v>
      </c>
      <c r="D423" t="inlineStr">
        <is>
          <t>VÄSTERNORRLANDS LÄN</t>
        </is>
      </c>
      <c r="E423" t="inlineStr">
        <is>
          <t>ÅNGE</t>
        </is>
      </c>
      <c r="F423" t="inlineStr">
        <is>
          <t>Kyrkan</t>
        </is>
      </c>
      <c r="G423" t="n">
        <v>5.6</v>
      </c>
      <c r="H423" t="n">
        <v>0</v>
      </c>
      <c r="I423" t="n">
        <v>0</v>
      </c>
      <c r="J423" t="n">
        <v>0</v>
      </c>
      <c r="K423" t="n">
        <v>0</v>
      </c>
      <c r="L423" t="n">
        <v>0</v>
      </c>
      <c r="M423" t="n">
        <v>0</v>
      </c>
      <c r="N423" t="n">
        <v>0</v>
      </c>
      <c r="O423" t="n">
        <v>0</v>
      </c>
      <c r="P423" t="n">
        <v>0</v>
      </c>
      <c r="Q423" t="n">
        <v>0</v>
      </c>
      <c r="R423" s="2" t="inlineStr"/>
    </row>
    <row r="424" ht="15" customHeight="1">
      <c r="A424" t="inlineStr">
        <is>
          <t>A 30348-2024</t>
        </is>
      </c>
      <c r="B424" s="1" t="n">
        <v>45490.95524305556</v>
      </c>
      <c r="C424" s="1" t="n">
        <v>45966</v>
      </c>
      <c r="D424" t="inlineStr">
        <is>
          <t>VÄSTERNORRLANDS LÄN</t>
        </is>
      </c>
      <c r="E424" t="inlineStr">
        <is>
          <t>ÅNGE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58774-2023</t>
        </is>
      </c>
      <c r="B425" s="1" t="n">
        <v>45251</v>
      </c>
      <c r="C425" s="1" t="n">
        <v>45966</v>
      </c>
      <c r="D425" t="inlineStr">
        <is>
          <t>VÄSTERNORRLANDS LÄN</t>
        </is>
      </c>
      <c r="E425" t="inlineStr">
        <is>
          <t>ÅNGE</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21089-2024</t>
        </is>
      </c>
      <c r="B426" s="1" t="n">
        <v>45439.94987268518</v>
      </c>
      <c r="C426" s="1" t="n">
        <v>45966</v>
      </c>
      <c r="D426" t="inlineStr">
        <is>
          <t>VÄSTERNORRLANDS LÄN</t>
        </is>
      </c>
      <c r="E426" t="inlineStr">
        <is>
          <t>ÅNGE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21151-2024</t>
        </is>
      </c>
      <c r="B427" s="1" t="n">
        <v>45440</v>
      </c>
      <c r="C427" s="1" t="n">
        <v>45966</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3352-2021</t>
        </is>
      </c>
      <c r="B428" s="1" t="n">
        <v>44217</v>
      </c>
      <c r="C428" s="1" t="n">
        <v>45966</v>
      </c>
      <c r="D428" t="inlineStr">
        <is>
          <t>VÄSTERNORRLANDS LÄN</t>
        </is>
      </c>
      <c r="E428" t="inlineStr">
        <is>
          <t>ÅNGE</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38693-2025</t>
        </is>
      </c>
      <c r="B429" s="1" t="n">
        <v>45884.69829861111</v>
      </c>
      <c r="C429" s="1" t="n">
        <v>45966</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38703-2025</t>
        </is>
      </c>
      <c r="B430" s="1" t="n">
        <v>45885.34440972222</v>
      </c>
      <c r="C430" s="1" t="n">
        <v>45966</v>
      </c>
      <c r="D430" t="inlineStr">
        <is>
          <t>VÄSTERNORRLANDS LÄN</t>
        </is>
      </c>
      <c r="E430" t="inlineStr">
        <is>
          <t>ÅNGE</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38711-2025</t>
        </is>
      </c>
      <c r="B431" s="1" t="n">
        <v>45886.34450231482</v>
      </c>
      <c r="C431" s="1" t="n">
        <v>45966</v>
      </c>
      <c r="D431" t="inlineStr">
        <is>
          <t>VÄSTERNORRLANDS LÄN</t>
        </is>
      </c>
      <c r="E431" t="inlineStr">
        <is>
          <t>ÅNGE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38715-2025</t>
        </is>
      </c>
      <c r="B432" s="1" t="n">
        <v>45886.34501157407</v>
      </c>
      <c r="C432" s="1" t="n">
        <v>45966</v>
      </c>
      <c r="D432" t="inlineStr">
        <is>
          <t>VÄSTERNORRLANDS LÄN</t>
        </is>
      </c>
      <c r="E432" t="inlineStr">
        <is>
          <t>ÅNGE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17923-2025</t>
        </is>
      </c>
      <c r="B433" s="1" t="n">
        <v>45759.34415509259</v>
      </c>
      <c r="C433" s="1" t="n">
        <v>45966</v>
      </c>
      <c r="D433" t="inlineStr">
        <is>
          <t>VÄSTERNORRLANDS LÄN</t>
        </is>
      </c>
      <c r="E433" t="inlineStr">
        <is>
          <t>ÅNGE</t>
        </is>
      </c>
      <c r="F433" t="inlineStr">
        <is>
          <t>SCA</t>
        </is>
      </c>
      <c r="G433" t="n">
        <v>9.6</v>
      </c>
      <c r="H433" t="n">
        <v>0</v>
      </c>
      <c r="I433" t="n">
        <v>0</v>
      </c>
      <c r="J433" t="n">
        <v>0</v>
      </c>
      <c r="K433" t="n">
        <v>0</v>
      </c>
      <c r="L433" t="n">
        <v>0</v>
      </c>
      <c r="M433" t="n">
        <v>0</v>
      </c>
      <c r="N433" t="n">
        <v>0</v>
      </c>
      <c r="O433" t="n">
        <v>0</v>
      </c>
      <c r="P433" t="n">
        <v>0</v>
      </c>
      <c r="Q433" t="n">
        <v>0</v>
      </c>
      <c r="R433" s="2" t="inlineStr"/>
    </row>
    <row r="434" ht="15" customHeight="1">
      <c r="A434" t="inlineStr">
        <is>
          <t>A 13164-2022</t>
        </is>
      </c>
      <c r="B434" s="1" t="n">
        <v>44644</v>
      </c>
      <c r="C434" s="1" t="n">
        <v>45966</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54210-2024</t>
        </is>
      </c>
      <c r="B435" s="1" t="n">
        <v>45616.65662037037</v>
      </c>
      <c r="C435" s="1" t="n">
        <v>45966</v>
      </c>
      <c r="D435" t="inlineStr">
        <is>
          <t>VÄSTERNORRLANDS LÄN</t>
        </is>
      </c>
      <c r="E435" t="inlineStr">
        <is>
          <t>ÅNGE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12807-2025</t>
        </is>
      </c>
      <c r="B436" s="1" t="n">
        <v>45733.61537037037</v>
      </c>
      <c r="C436" s="1" t="n">
        <v>45966</v>
      </c>
      <c r="D436" t="inlineStr">
        <is>
          <t>VÄSTERNORRLANDS LÄN</t>
        </is>
      </c>
      <c r="E436" t="inlineStr">
        <is>
          <t>ÅNGE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20231-2022</t>
        </is>
      </c>
      <c r="B437" s="1" t="n">
        <v>44698</v>
      </c>
      <c r="C437" s="1" t="n">
        <v>45966</v>
      </c>
      <c r="D437" t="inlineStr">
        <is>
          <t>VÄSTERNORRLANDS LÄN</t>
        </is>
      </c>
      <c r="E437" t="inlineStr">
        <is>
          <t>ÅNGE</t>
        </is>
      </c>
      <c r="G437" t="n">
        <v>4.2</v>
      </c>
      <c r="H437" t="n">
        <v>0</v>
      </c>
      <c r="I437" t="n">
        <v>0</v>
      </c>
      <c r="J437" t="n">
        <v>0</v>
      </c>
      <c r="K437" t="n">
        <v>0</v>
      </c>
      <c r="L437" t="n">
        <v>0</v>
      </c>
      <c r="M437" t="n">
        <v>0</v>
      </c>
      <c r="N437" t="n">
        <v>0</v>
      </c>
      <c r="O437" t="n">
        <v>0</v>
      </c>
      <c r="P437" t="n">
        <v>0</v>
      </c>
      <c r="Q437" t="n">
        <v>0</v>
      </c>
      <c r="R437" s="2" t="inlineStr"/>
    </row>
    <row r="438" ht="15" customHeight="1">
      <c r="A438" t="inlineStr">
        <is>
          <t>A 5602-2025</t>
        </is>
      </c>
      <c r="B438" s="1" t="n">
        <v>45693</v>
      </c>
      <c r="C438" s="1" t="n">
        <v>45966</v>
      </c>
      <c r="D438" t="inlineStr">
        <is>
          <t>VÄSTERNORRLANDS LÄN</t>
        </is>
      </c>
      <c r="E438" t="inlineStr">
        <is>
          <t>ÅNGE</t>
        </is>
      </c>
      <c r="G438" t="n">
        <v>2.5</v>
      </c>
      <c r="H438" t="n">
        <v>0</v>
      </c>
      <c r="I438" t="n">
        <v>0</v>
      </c>
      <c r="J438" t="n">
        <v>0</v>
      </c>
      <c r="K438" t="n">
        <v>0</v>
      </c>
      <c r="L438" t="n">
        <v>0</v>
      </c>
      <c r="M438" t="n">
        <v>0</v>
      </c>
      <c r="N438" t="n">
        <v>0</v>
      </c>
      <c r="O438" t="n">
        <v>0</v>
      </c>
      <c r="P438" t="n">
        <v>0</v>
      </c>
      <c r="Q438" t="n">
        <v>0</v>
      </c>
      <c r="R438" s="2" t="inlineStr"/>
    </row>
    <row r="439" ht="15" customHeight="1">
      <c r="A439" t="inlineStr">
        <is>
          <t>A 5552-2022</t>
        </is>
      </c>
      <c r="B439" s="1" t="n">
        <v>44595.62966435185</v>
      </c>
      <c r="C439" s="1" t="n">
        <v>45966</v>
      </c>
      <c r="D439" t="inlineStr">
        <is>
          <t>VÄSTERNORRLANDS LÄN</t>
        </is>
      </c>
      <c r="E439" t="inlineStr">
        <is>
          <t>ÅNGE</t>
        </is>
      </c>
      <c r="G439" t="n">
        <v>0.6</v>
      </c>
      <c r="H439" t="n">
        <v>0</v>
      </c>
      <c r="I439" t="n">
        <v>0</v>
      </c>
      <c r="J439" t="n">
        <v>0</v>
      </c>
      <c r="K439" t="n">
        <v>0</v>
      </c>
      <c r="L439" t="n">
        <v>0</v>
      </c>
      <c r="M439" t="n">
        <v>0</v>
      </c>
      <c r="N439" t="n">
        <v>0</v>
      </c>
      <c r="O439" t="n">
        <v>0</v>
      </c>
      <c r="P439" t="n">
        <v>0</v>
      </c>
      <c r="Q439" t="n">
        <v>0</v>
      </c>
      <c r="R439" s="2" t="inlineStr"/>
    </row>
    <row r="440" ht="15" customHeight="1">
      <c r="A440" t="inlineStr">
        <is>
          <t>A 35026-2022</t>
        </is>
      </c>
      <c r="B440" s="1" t="n">
        <v>44796</v>
      </c>
      <c r="C440" s="1" t="n">
        <v>45966</v>
      </c>
      <c r="D440" t="inlineStr">
        <is>
          <t>VÄSTERNORRLANDS LÄN</t>
        </is>
      </c>
      <c r="E440" t="inlineStr">
        <is>
          <t>ÅNGE</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60363-2024</t>
        </is>
      </c>
      <c r="B441" s="1" t="n">
        <v>45643</v>
      </c>
      <c r="C441" s="1" t="n">
        <v>45966</v>
      </c>
      <c r="D441" t="inlineStr">
        <is>
          <t>VÄSTERNORRLANDS LÄN</t>
        </is>
      </c>
      <c r="E441" t="inlineStr">
        <is>
          <t>ÅNGE</t>
        </is>
      </c>
      <c r="G441" t="n">
        <v>1.3</v>
      </c>
      <c r="H441" t="n">
        <v>0</v>
      </c>
      <c r="I441" t="n">
        <v>0</v>
      </c>
      <c r="J441" t="n">
        <v>0</v>
      </c>
      <c r="K441" t="n">
        <v>0</v>
      </c>
      <c r="L441" t="n">
        <v>0</v>
      </c>
      <c r="M441" t="n">
        <v>0</v>
      </c>
      <c r="N441" t="n">
        <v>0</v>
      </c>
      <c r="O441" t="n">
        <v>0</v>
      </c>
      <c r="P441" t="n">
        <v>0</v>
      </c>
      <c r="Q441" t="n">
        <v>0</v>
      </c>
      <c r="R441" s="2" t="inlineStr"/>
    </row>
    <row r="442" ht="15" customHeight="1">
      <c r="A442" t="inlineStr">
        <is>
          <t>A 15369-2024</t>
        </is>
      </c>
      <c r="B442" s="1" t="n">
        <v>45400.92290509259</v>
      </c>
      <c r="C442" s="1" t="n">
        <v>45966</v>
      </c>
      <c r="D442" t="inlineStr">
        <is>
          <t>VÄSTERNORRLANDS LÄN</t>
        </is>
      </c>
      <c r="E442" t="inlineStr">
        <is>
          <t>ÅNGE</t>
        </is>
      </c>
      <c r="G442" t="n">
        <v>0.4</v>
      </c>
      <c r="H442" t="n">
        <v>0</v>
      </c>
      <c r="I442" t="n">
        <v>0</v>
      </c>
      <c r="J442" t="n">
        <v>0</v>
      </c>
      <c r="K442" t="n">
        <v>0</v>
      </c>
      <c r="L442" t="n">
        <v>0</v>
      </c>
      <c r="M442" t="n">
        <v>0</v>
      </c>
      <c r="N442" t="n">
        <v>0</v>
      </c>
      <c r="O442" t="n">
        <v>0</v>
      </c>
      <c r="P442" t="n">
        <v>0</v>
      </c>
      <c r="Q442" t="n">
        <v>0</v>
      </c>
      <c r="R442" s="2" t="inlineStr"/>
    </row>
    <row r="443" ht="15" customHeight="1">
      <c r="A443" t="inlineStr">
        <is>
          <t>A 38686-2025</t>
        </is>
      </c>
      <c r="B443" s="1" t="n">
        <v>45884.65658564815</v>
      </c>
      <c r="C443" s="1" t="n">
        <v>45966</v>
      </c>
      <c r="D443" t="inlineStr">
        <is>
          <t>VÄSTERNORRLANDS LÄN</t>
        </is>
      </c>
      <c r="E443" t="inlineStr">
        <is>
          <t>ÅNGE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26010-2024</t>
        </is>
      </c>
      <c r="B444" s="1" t="n">
        <v>45467.95819444444</v>
      </c>
      <c r="C444" s="1" t="n">
        <v>45966</v>
      </c>
      <c r="D444" t="inlineStr">
        <is>
          <t>VÄSTERNORRLANDS LÄN</t>
        </is>
      </c>
      <c r="E444" t="inlineStr">
        <is>
          <t>ÅNGE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60578-2024</t>
        </is>
      </c>
      <c r="B445" s="1" t="n">
        <v>45644.34434027778</v>
      </c>
      <c r="C445" s="1" t="n">
        <v>45966</v>
      </c>
      <c r="D445" t="inlineStr">
        <is>
          <t>VÄSTERNORRLANDS LÄN</t>
        </is>
      </c>
      <c r="E445" t="inlineStr">
        <is>
          <t>ÅNGE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32535-2022</t>
        </is>
      </c>
      <c r="B446" s="1" t="n">
        <v>44783.29856481482</v>
      </c>
      <c r="C446" s="1" t="n">
        <v>45966</v>
      </c>
      <c r="D446" t="inlineStr">
        <is>
          <t>VÄSTERNORRLANDS LÄN</t>
        </is>
      </c>
      <c r="E446" t="inlineStr">
        <is>
          <t>ÅNGE</t>
        </is>
      </c>
      <c r="G446" t="n">
        <v>10.3</v>
      </c>
      <c r="H446" t="n">
        <v>0</v>
      </c>
      <c r="I446" t="n">
        <v>0</v>
      </c>
      <c r="J446" t="n">
        <v>0</v>
      </c>
      <c r="K446" t="n">
        <v>0</v>
      </c>
      <c r="L446" t="n">
        <v>0</v>
      </c>
      <c r="M446" t="n">
        <v>0</v>
      </c>
      <c r="N446" t="n">
        <v>0</v>
      </c>
      <c r="O446" t="n">
        <v>0</v>
      </c>
      <c r="P446" t="n">
        <v>0</v>
      </c>
      <c r="Q446" t="n">
        <v>0</v>
      </c>
      <c r="R446" s="2" t="inlineStr"/>
    </row>
    <row r="447" ht="15" customHeight="1">
      <c r="A447" t="inlineStr">
        <is>
          <t>A 52785-2024</t>
        </is>
      </c>
      <c r="B447" s="1" t="n">
        <v>45610.55273148148</v>
      </c>
      <c r="C447" s="1" t="n">
        <v>45966</v>
      </c>
      <c r="D447" t="inlineStr">
        <is>
          <t>VÄSTERNORRLANDS LÄN</t>
        </is>
      </c>
      <c r="E447" t="inlineStr">
        <is>
          <t>ÅNGE</t>
        </is>
      </c>
      <c r="F447" t="inlineStr">
        <is>
          <t>SCA</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52786-2024</t>
        </is>
      </c>
      <c r="B448" s="1" t="n">
        <v>45610.55283564814</v>
      </c>
      <c r="C448" s="1" t="n">
        <v>45966</v>
      </c>
      <c r="D448" t="inlineStr">
        <is>
          <t>VÄSTERNORRLANDS LÄN</t>
        </is>
      </c>
      <c r="E448" t="inlineStr">
        <is>
          <t>ÅNGE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46254-2023</t>
        </is>
      </c>
      <c r="B449" s="1" t="n">
        <v>45196</v>
      </c>
      <c r="C449" s="1" t="n">
        <v>45966</v>
      </c>
      <c r="D449" t="inlineStr">
        <is>
          <t>VÄSTERNORRLANDS LÄN</t>
        </is>
      </c>
      <c r="E449" t="inlineStr">
        <is>
          <t>ÅNGE</t>
        </is>
      </c>
      <c r="F449" t="inlineStr">
        <is>
          <t>SCA</t>
        </is>
      </c>
      <c r="G449" t="n">
        <v>0.1</v>
      </c>
      <c r="H449" t="n">
        <v>0</v>
      </c>
      <c r="I449" t="n">
        <v>0</v>
      </c>
      <c r="J449" t="n">
        <v>0</v>
      </c>
      <c r="K449" t="n">
        <v>0</v>
      </c>
      <c r="L449" t="n">
        <v>0</v>
      </c>
      <c r="M449" t="n">
        <v>0</v>
      </c>
      <c r="N449" t="n">
        <v>0</v>
      </c>
      <c r="O449" t="n">
        <v>0</v>
      </c>
      <c r="P449" t="n">
        <v>0</v>
      </c>
      <c r="Q449" t="n">
        <v>0</v>
      </c>
      <c r="R449" s="2" t="inlineStr"/>
    </row>
    <row r="450" ht="15" customHeight="1">
      <c r="A450" t="inlineStr">
        <is>
          <t>A 46262-2023</t>
        </is>
      </c>
      <c r="B450" s="1" t="n">
        <v>45196.93855324074</v>
      </c>
      <c r="C450" s="1" t="n">
        <v>45966</v>
      </c>
      <c r="D450" t="inlineStr">
        <is>
          <t>VÄSTERNORRLANDS LÄN</t>
        </is>
      </c>
      <c r="E450" t="inlineStr">
        <is>
          <t>ÅNGE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39594-2022</t>
        </is>
      </c>
      <c r="B451" s="1" t="n">
        <v>44818</v>
      </c>
      <c r="C451" s="1" t="n">
        <v>45966</v>
      </c>
      <c r="D451" t="inlineStr">
        <is>
          <t>VÄSTERNORRLANDS LÄN</t>
        </is>
      </c>
      <c r="E451" t="inlineStr">
        <is>
          <t>ÅNGE</t>
        </is>
      </c>
      <c r="G451" t="n">
        <v>1.4</v>
      </c>
      <c r="H451" t="n">
        <v>0</v>
      </c>
      <c r="I451" t="n">
        <v>0</v>
      </c>
      <c r="J451" t="n">
        <v>0</v>
      </c>
      <c r="K451" t="n">
        <v>0</v>
      </c>
      <c r="L451" t="n">
        <v>0</v>
      </c>
      <c r="M451" t="n">
        <v>0</v>
      </c>
      <c r="N451" t="n">
        <v>0</v>
      </c>
      <c r="O451" t="n">
        <v>0</v>
      </c>
      <c r="P451" t="n">
        <v>0</v>
      </c>
      <c r="Q451" t="n">
        <v>0</v>
      </c>
      <c r="R451" s="2" t="inlineStr"/>
    </row>
    <row r="452" ht="15" customHeight="1">
      <c r="A452" t="inlineStr">
        <is>
          <t>A 10313-2022</t>
        </is>
      </c>
      <c r="B452" s="1" t="n">
        <v>44622</v>
      </c>
      <c r="C452" s="1" t="n">
        <v>45966</v>
      </c>
      <c r="D452" t="inlineStr">
        <is>
          <t>VÄSTERNORRLANDS LÄN</t>
        </is>
      </c>
      <c r="E452" t="inlineStr">
        <is>
          <t>ÅNGE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33302-2024</t>
        </is>
      </c>
      <c r="B453" s="1" t="n">
        <v>45518.96967592592</v>
      </c>
      <c r="C453" s="1" t="n">
        <v>45966</v>
      </c>
      <c r="D453" t="inlineStr">
        <is>
          <t>VÄSTERNORRLANDS LÄN</t>
        </is>
      </c>
      <c r="E453" t="inlineStr">
        <is>
          <t>ÅNGE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16593-2023</t>
        </is>
      </c>
      <c r="B454" s="1" t="n">
        <v>45030</v>
      </c>
      <c r="C454" s="1" t="n">
        <v>45966</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16600-2023</t>
        </is>
      </c>
      <c r="B455" s="1" t="n">
        <v>45030</v>
      </c>
      <c r="C455" s="1" t="n">
        <v>45966</v>
      </c>
      <c r="D455" t="inlineStr">
        <is>
          <t>VÄSTERNORRLANDS LÄN</t>
        </is>
      </c>
      <c r="E455" t="inlineStr">
        <is>
          <t>ÅNGE</t>
        </is>
      </c>
      <c r="G455" t="n">
        <v>0.1</v>
      </c>
      <c r="H455" t="n">
        <v>0</v>
      </c>
      <c r="I455" t="n">
        <v>0</v>
      </c>
      <c r="J455" t="n">
        <v>0</v>
      </c>
      <c r="K455" t="n">
        <v>0</v>
      </c>
      <c r="L455" t="n">
        <v>0</v>
      </c>
      <c r="M455" t="n">
        <v>0</v>
      </c>
      <c r="N455" t="n">
        <v>0</v>
      </c>
      <c r="O455" t="n">
        <v>0</v>
      </c>
      <c r="P455" t="n">
        <v>0</v>
      </c>
      <c r="Q455" t="n">
        <v>0</v>
      </c>
      <c r="R455" s="2" t="inlineStr"/>
    </row>
    <row r="456" ht="15" customHeight="1">
      <c r="A456" t="inlineStr">
        <is>
          <t>A 10917-2024</t>
        </is>
      </c>
      <c r="B456" s="1" t="n">
        <v>45370</v>
      </c>
      <c r="C456" s="1" t="n">
        <v>45966</v>
      </c>
      <c r="D456" t="inlineStr">
        <is>
          <t>VÄSTERNORRLANDS LÄN</t>
        </is>
      </c>
      <c r="E456" t="inlineStr">
        <is>
          <t>ÅNGE</t>
        </is>
      </c>
      <c r="G456" t="n">
        <v>2.2</v>
      </c>
      <c r="H456" t="n">
        <v>0</v>
      </c>
      <c r="I456" t="n">
        <v>0</v>
      </c>
      <c r="J456" t="n">
        <v>0</v>
      </c>
      <c r="K456" t="n">
        <v>0</v>
      </c>
      <c r="L456" t="n">
        <v>0</v>
      </c>
      <c r="M456" t="n">
        <v>0</v>
      </c>
      <c r="N456" t="n">
        <v>0</v>
      </c>
      <c r="O456" t="n">
        <v>0</v>
      </c>
      <c r="P456" t="n">
        <v>0</v>
      </c>
      <c r="Q456" t="n">
        <v>0</v>
      </c>
      <c r="R456" s="2" t="inlineStr"/>
    </row>
    <row r="457" ht="15" customHeight="1">
      <c r="A457" t="inlineStr">
        <is>
          <t>A 48725-2024</t>
        </is>
      </c>
      <c r="B457" s="1" t="n">
        <v>45593.55793981482</v>
      </c>
      <c r="C457" s="1" t="n">
        <v>45966</v>
      </c>
      <c r="D457" t="inlineStr">
        <is>
          <t>VÄSTERNORRLANDS LÄN</t>
        </is>
      </c>
      <c r="E457" t="inlineStr">
        <is>
          <t>ÅNGE</t>
        </is>
      </c>
      <c r="G457" t="n">
        <v>1.4</v>
      </c>
      <c r="H457" t="n">
        <v>0</v>
      </c>
      <c r="I457" t="n">
        <v>0</v>
      </c>
      <c r="J457" t="n">
        <v>0</v>
      </c>
      <c r="K457" t="n">
        <v>0</v>
      </c>
      <c r="L457" t="n">
        <v>0</v>
      </c>
      <c r="M457" t="n">
        <v>0</v>
      </c>
      <c r="N457" t="n">
        <v>0</v>
      </c>
      <c r="O457" t="n">
        <v>0</v>
      </c>
      <c r="P457" t="n">
        <v>0</v>
      </c>
      <c r="Q457" t="n">
        <v>0</v>
      </c>
      <c r="R457" s="2" t="inlineStr"/>
    </row>
    <row r="458" ht="15" customHeight="1">
      <c r="A458" t="inlineStr">
        <is>
          <t>A 39619-2024</t>
        </is>
      </c>
      <c r="B458" s="1" t="n">
        <v>45552</v>
      </c>
      <c r="C458" s="1" t="n">
        <v>45966</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37051-2021</t>
        </is>
      </c>
      <c r="B459" s="1" t="n">
        <v>44393</v>
      </c>
      <c r="C459" s="1" t="n">
        <v>45966</v>
      </c>
      <c r="D459" t="inlineStr">
        <is>
          <t>VÄSTERNORRLANDS LÄN</t>
        </is>
      </c>
      <c r="E459" t="inlineStr">
        <is>
          <t>ÅNGE</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5613-2024</t>
        </is>
      </c>
      <c r="B460" s="1" t="n">
        <v>45334</v>
      </c>
      <c r="C460" s="1" t="n">
        <v>45966</v>
      </c>
      <c r="D460" t="inlineStr">
        <is>
          <t>VÄSTERNORRLANDS LÄN</t>
        </is>
      </c>
      <c r="E460" t="inlineStr">
        <is>
          <t>ÅNGE</t>
        </is>
      </c>
      <c r="G460" t="n">
        <v>0.4</v>
      </c>
      <c r="H460" t="n">
        <v>0</v>
      </c>
      <c r="I460" t="n">
        <v>0</v>
      </c>
      <c r="J460" t="n">
        <v>0</v>
      </c>
      <c r="K460" t="n">
        <v>0</v>
      </c>
      <c r="L460" t="n">
        <v>0</v>
      </c>
      <c r="M460" t="n">
        <v>0</v>
      </c>
      <c r="N460" t="n">
        <v>0</v>
      </c>
      <c r="O460" t="n">
        <v>0</v>
      </c>
      <c r="P460" t="n">
        <v>0</v>
      </c>
      <c r="Q460" t="n">
        <v>0</v>
      </c>
      <c r="R460" s="2" t="inlineStr"/>
    </row>
    <row r="461" ht="15" customHeight="1">
      <c r="A461" t="inlineStr">
        <is>
          <t>A 46897-2025</t>
        </is>
      </c>
      <c r="B461" s="1" t="n">
        <v>45929.38597222222</v>
      </c>
      <c r="C461" s="1" t="n">
        <v>45966</v>
      </c>
      <c r="D461" t="inlineStr">
        <is>
          <t>VÄSTERNORRLANDS LÄN</t>
        </is>
      </c>
      <c r="E461" t="inlineStr">
        <is>
          <t>ÅNGE</t>
        </is>
      </c>
      <c r="G461" t="n">
        <v>10.6</v>
      </c>
      <c r="H461" t="n">
        <v>0</v>
      </c>
      <c r="I461" t="n">
        <v>0</v>
      </c>
      <c r="J461" t="n">
        <v>0</v>
      </c>
      <c r="K461" t="n">
        <v>0</v>
      </c>
      <c r="L461" t="n">
        <v>0</v>
      </c>
      <c r="M461" t="n">
        <v>0</v>
      </c>
      <c r="N461" t="n">
        <v>0</v>
      </c>
      <c r="O461" t="n">
        <v>0</v>
      </c>
      <c r="P461" t="n">
        <v>0</v>
      </c>
      <c r="Q461" t="n">
        <v>0</v>
      </c>
      <c r="R461" s="2" t="inlineStr"/>
    </row>
    <row r="462" ht="15" customHeight="1">
      <c r="A462" t="inlineStr">
        <is>
          <t>A 46829-2025</t>
        </is>
      </c>
      <c r="B462" s="1" t="n">
        <v>45927.34513888889</v>
      </c>
      <c r="C462" s="1" t="n">
        <v>45966</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61928-2021</t>
        </is>
      </c>
      <c r="B463" s="1" t="n">
        <v>44502.38475694445</v>
      </c>
      <c r="C463" s="1" t="n">
        <v>45966</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5367-2022</t>
        </is>
      </c>
      <c r="B464" s="1" t="n">
        <v>44594.92111111111</v>
      </c>
      <c r="C464" s="1" t="n">
        <v>45966</v>
      </c>
      <c r="D464" t="inlineStr">
        <is>
          <t>VÄSTERNORRLANDS LÄN</t>
        </is>
      </c>
      <c r="E464" t="inlineStr">
        <is>
          <t>ÅNGE</t>
        </is>
      </c>
      <c r="G464" t="n">
        <v>1.4</v>
      </c>
      <c r="H464" t="n">
        <v>0</v>
      </c>
      <c r="I464" t="n">
        <v>0</v>
      </c>
      <c r="J464" t="n">
        <v>0</v>
      </c>
      <c r="K464" t="n">
        <v>0</v>
      </c>
      <c r="L464" t="n">
        <v>0</v>
      </c>
      <c r="M464" t="n">
        <v>0</v>
      </c>
      <c r="N464" t="n">
        <v>0</v>
      </c>
      <c r="O464" t="n">
        <v>0</v>
      </c>
      <c r="P464" t="n">
        <v>0</v>
      </c>
      <c r="Q464" t="n">
        <v>0</v>
      </c>
      <c r="R464" s="2" t="inlineStr"/>
    </row>
    <row r="465" ht="15" customHeight="1">
      <c r="A465" t="inlineStr">
        <is>
          <t>A 54429-2024</t>
        </is>
      </c>
      <c r="B465" s="1" t="n">
        <v>45617.49087962963</v>
      </c>
      <c r="C465" s="1" t="n">
        <v>45966</v>
      </c>
      <c r="D465" t="inlineStr">
        <is>
          <t>VÄSTERNORRLANDS LÄN</t>
        </is>
      </c>
      <c r="E465" t="inlineStr">
        <is>
          <t>ÅNGE</t>
        </is>
      </c>
      <c r="G465" t="n">
        <v>0.6</v>
      </c>
      <c r="H465" t="n">
        <v>0</v>
      </c>
      <c r="I465" t="n">
        <v>0</v>
      </c>
      <c r="J465" t="n">
        <v>0</v>
      </c>
      <c r="K465" t="n">
        <v>0</v>
      </c>
      <c r="L465" t="n">
        <v>0</v>
      </c>
      <c r="M465" t="n">
        <v>0</v>
      </c>
      <c r="N465" t="n">
        <v>0</v>
      </c>
      <c r="O465" t="n">
        <v>0</v>
      </c>
      <c r="P465" t="n">
        <v>0</v>
      </c>
      <c r="Q465" t="n">
        <v>0</v>
      </c>
      <c r="R465" s="2" t="inlineStr"/>
    </row>
    <row r="466" ht="15" customHeight="1">
      <c r="A466" t="inlineStr">
        <is>
          <t>A 24293-2023</t>
        </is>
      </c>
      <c r="B466" s="1" t="n">
        <v>45079.92756944444</v>
      </c>
      <c r="C466" s="1" t="n">
        <v>45966</v>
      </c>
      <c r="D466" t="inlineStr">
        <is>
          <t>VÄSTERNORRLANDS LÄN</t>
        </is>
      </c>
      <c r="E466" t="inlineStr">
        <is>
          <t>ÅNGE</t>
        </is>
      </c>
      <c r="G466" t="n">
        <v>0.8</v>
      </c>
      <c r="H466" t="n">
        <v>0</v>
      </c>
      <c r="I466" t="n">
        <v>0</v>
      </c>
      <c r="J466" t="n">
        <v>0</v>
      </c>
      <c r="K466" t="n">
        <v>0</v>
      </c>
      <c r="L466" t="n">
        <v>0</v>
      </c>
      <c r="M466" t="n">
        <v>0</v>
      </c>
      <c r="N466" t="n">
        <v>0</v>
      </c>
      <c r="O466" t="n">
        <v>0</v>
      </c>
      <c r="P466" t="n">
        <v>0</v>
      </c>
      <c r="Q466" t="n">
        <v>0</v>
      </c>
      <c r="R466" s="2" t="inlineStr"/>
    </row>
    <row r="467" ht="15" customHeight="1">
      <c r="A467" t="inlineStr">
        <is>
          <t>A 3022-2023</t>
        </is>
      </c>
      <c r="B467" s="1" t="n">
        <v>44945</v>
      </c>
      <c r="C467" s="1" t="n">
        <v>45966</v>
      </c>
      <c r="D467" t="inlineStr">
        <is>
          <t>VÄSTERNORRLANDS LÄN</t>
        </is>
      </c>
      <c r="E467" t="inlineStr">
        <is>
          <t>ÅNGE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46933-2025</t>
        </is>
      </c>
      <c r="B468" s="1" t="n">
        <v>45929.44645833333</v>
      </c>
      <c r="C468" s="1" t="n">
        <v>45966</v>
      </c>
      <c r="D468" t="inlineStr">
        <is>
          <t>VÄSTERNORRLANDS LÄN</t>
        </is>
      </c>
      <c r="E468" t="inlineStr">
        <is>
          <t>ÅNGE</t>
        </is>
      </c>
      <c r="G468" t="n">
        <v>1</v>
      </c>
      <c r="H468" t="n">
        <v>0</v>
      </c>
      <c r="I468" t="n">
        <v>0</v>
      </c>
      <c r="J468" t="n">
        <v>0</v>
      </c>
      <c r="K468" t="n">
        <v>0</v>
      </c>
      <c r="L468" t="n">
        <v>0</v>
      </c>
      <c r="M468" t="n">
        <v>0</v>
      </c>
      <c r="N468" t="n">
        <v>0</v>
      </c>
      <c r="O468" t="n">
        <v>0</v>
      </c>
      <c r="P468" t="n">
        <v>0</v>
      </c>
      <c r="Q468" t="n">
        <v>0</v>
      </c>
      <c r="R468" s="2" t="inlineStr"/>
    </row>
    <row r="469" ht="15" customHeight="1">
      <c r="A469" t="inlineStr">
        <is>
          <t>A 34491-2023</t>
        </is>
      </c>
      <c r="B469" s="1" t="n">
        <v>45139.94775462963</v>
      </c>
      <c r="C469" s="1" t="n">
        <v>45966</v>
      </c>
      <c r="D469" t="inlineStr">
        <is>
          <t>VÄSTERNORRLANDS LÄN</t>
        </is>
      </c>
      <c r="E469" t="inlineStr">
        <is>
          <t>ÅNGE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3947-2025</t>
        </is>
      </c>
      <c r="B470" s="1" t="n">
        <v>45684.49001157407</v>
      </c>
      <c r="C470" s="1" t="n">
        <v>45966</v>
      </c>
      <c r="D470" t="inlineStr">
        <is>
          <t>VÄSTERNORRLANDS LÄN</t>
        </is>
      </c>
      <c r="E470" t="inlineStr">
        <is>
          <t>ÅNGE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361-2025</t>
        </is>
      </c>
      <c r="B471" s="1" t="n">
        <v>45660</v>
      </c>
      <c r="C471" s="1" t="n">
        <v>45966</v>
      </c>
      <c r="D471" t="inlineStr">
        <is>
          <t>VÄSTERNORRLANDS LÄN</t>
        </is>
      </c>
      <c r="E471" t="inlineStr">
        <is>
          <t>ÅNGE</t>
        </is>
      </c>
      <c r="G471" t="n">
        <v>4.2</v>
      </c>
      <c r="H471" t="n">
        <v>0</v>
      </c>
      <c r="I471" t="n">
        <v>0</v>
      </c>
      <c r="J471" t="n">
        <v>0</v>
      </c>
      <c r="K471" t="n">
        <v>0</v>
      </c>
      <c r="L471" t="n">
        <v>0</v>
      </c>
      <c r="M471" t="n">
        <v>0</v>
      </c>
      <c r="N471" t="n">
        <v>0</v>
      </c>
      <c r="O471" t="n">
        <v>0</v>
      </c>
      <c r="P471" t="n">
        <v>0</v>
      </c>
      <c r="Q471" t="n">
        <v>0</v>
      </c>
      <c r="R471" s="2" t="inlineStr"/>
    </row>
    <row r="472" ht="15" customHeight="1">
      <c r="A472" t="inlineStr">
        <is>
          <t>A 39985-2023</t>
        </is>
      </c>
      <c r="B472" s="1" t="n">
        <v>45168</v>
      </c>
      <c r="C472" s="1" t="n">
        <v>45966</v>
      </c>
      <c r="D472" t="inlineStr">
        <is>
          <t>VÄSTERNORRLANDS LÄN</t>
        </is>
      </c>
      <c r="E472" t="inlineStr">
        <is>
          <t>ÅNGE</t>
        </is>
      </c>
      <c r="G472" t="n">
        <v>0.1</v>
      </c>
      <c r="H472" t="n">
        <v>0</v>
      </c>
      <c r="I472" t="n">
        <v>0</v>
      </c>
      <c r="J472" t="n">
        <v>0</v>
      </c>
      <c r="K472" t="n">
        <v>0</v>
      </c>
      <c r="L472" t="n">
        <v>0</v>
      </c>
      <c r="M472" t="n">
        <v>0</v>
      </c>
      <c r="N472" t="n">
        <v>0</v>
      </c>
      <c r="O472" t="n">
        <v>0</v>
      </c>
      <c r="P472" t="n">
        <v>0</v>
      </c>
      <c r="Q472" t="n">
        <v>0</v>
      </c>
      <c r="R472" s="2" t="inlineStr"/>
    </row>
    <row r="473" ht="15" customHeight="1">
      <c r="A473" t="inlineStr">
        <is>
          <t>A 15368-2024</t>
        </is>
      </c>
      <c r="B473" s="1" t="n">
        <v>45400.92284722222</v>
      </c>
      <c r="C473" s="1" t="n">
        <v>45966</v>
      </c>
      <c r="D473" t="inlineStr">
        <is>
          <t>VÄSTERNORRLANDS LÄN</t>
        </is>
      </c>
      <c r="E473" t="inlineStr">
        <is>
          <t>ÅNGE</t>
        </is>
      </c>
      <c r="G473" t="n">
        <v>0.4</v>
      </c>
      <c r="H473" t="n">
        <v>0</v>
      </c>
      <c r="I473" t="n">
        <v>0</v>
      </c>
      <c r="J473" t="n">
        <v>0</v>
      </c>
      <c r="K473" t="n">
        <v>0</v>
      </c>
      <c r="L473" t="n">
        <v>0</v>
      </c>
      <c r="M473" t="n">
        <v>0</v>
      </c>
      <c r="N473" t="n">
        <v>0</v>
      </c>
      <c r="O473" t="n">
        <v>0</v>
      </c>
      <c r="P473" t="n">
        <v>0</v>
      </c>
      <c r="Q473" t="n">
        <v>0</v>
      </c>
      <c r="R473" s="2" t="inlineStr"/>
    </row>
    <row r="474" ht="15" customHeight="1">
      <c r="A474" t="inlineStr">
        <is>
          <t>A 47196-2025</t>
        </is>
      </c>
      <c r="B474" s="1" t="n">
        <v>45930.34520833333</v>
      </c>
      <c r="C474" s="1" t="n">
        <v>45966</v>
      </c>
      <c r="D474" t="inlineStr">
        <is>
          <t>VÄSTERNORRLANDS LÄN</t>
        </is>
      </c>
      <c r="E474" t="inlineStr">
        <is>
          <t>ÅNGE</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47377-2025</t>
        </is>
      </c>
      <c r="B475" s="1" t="n">
        <v>45930.59469907408</v>
      </c>
      <c r="C475" s="1" t="n">
        <v>45966</v>
      </c>
      <c r="D475" t="inlineStr">
        <is>
          <t>VÄSTERNORRLANDS LÄN</t>
        </is>
      </c>
      <c r="E475" t="inlineStr">
        <is>
          <t>ÅNGE</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65633-2021</t>
        </is>
      </c>
      <c r="B476" s="1" t="n">
        <v>44516.56181712963</v>
      </c>
      <c r="C476" s="1" t="n">
        <v>45966</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36457-2021</t>
        </is>
      </c>
      <c r="B477" s="1" t="n">
        <v>44390.93858796296</v>
      </c>
      <c r="C477" s="1" t="n">
        <v>45966</v>
      </c>
      <c r="D477" t="inlineStr">
        <is>
          <t>VÄSTERNORRLANDS LÄN</t>
        </is>
      </c>
      <c r="E477" t="inlineStr">
        <is>
          <t>ÅNGE</t>
        </is>
      </c>
      <c r="G477" t="n">
        <v>1.6</v>
      </c>
      <c r="H477" t="n">
        <v>0</v>
      </c>
      <c r="I477" t="n">
        <v>0</v>
      </c>
      <c r="J477" t="n">
        <v>0</v>
      </c>
      <c r="K477" t="n">
        <v>0</v>
      </c>
      <c r="L477" t="n">
        <v>0</v>
      </c>
      <c r="M477" t="n">
        <v>0</v>
      </c>
      <c r="N477" t="n">
        <v>0</v>
      </c>
      <c r="O477" t="n">
        <v>0</v>
      </c>
      <c r="P477" t="n">
        <v>0</v>
      </c>
      <c r="Q477" t="n">
        <v>0</v>
      </c>
      <c r="R477" s="2" t="inlineStr"/>
    </row>
    <row r="478" ht="15" customHeight="1">
      <c r="A478" t="inlineStr">
        <is>
          <t>A 49945-2023</t>
        </is>
      </c>
      <c r="B478" s="1" t="n">
        <v>45215.3625462963</v>
      </c>
      <c r="C478" s="1" t="n">
        <v>45966</v>
      </c>
      <c r="D478" t="inlineStr">
        <is>
          <t>VÄSTERNORRLANDS LÄN</t>
        </is>
      </c>
      <c r="E478" t="inlineStr">
        <is>
          <t>ÅNGE</t>
        </is>
      </c>
      <c r="F478" t="inlineStr">
        <is>
          <t>Holmen skog AB</t>
        </is>
      </c>
      <c r="G478" t="n">
        <v>1.6</v>
      </c>
      <c r="H478" t="n">
        <v>0</v>
      </c>
      <c r="I478" t="n">
        <v>0</v>
      </c>
      <c r="J478" t="n">
        <v>0</v>
      </c>
      <c r="K478" t="n">
        <v>0</v>
      </c>
      <c r="L478" t="n">
        <v>0</v>
      </c>
      <c r="M478" t="n">
        <v>0</v>
      </c>
      <c r="N478" t="n">
        <v>0</v>
      </c>
      <c r="O478" t="n">
        <v>0</v>
      </c>
      <c r="P478" t="n">
        <v>0</v>
      </c>
      <c r="Q478" t="n">
        <v>0</v>
      </c>
      <c r="R478" s="2" t="inlineStr"/>
    </row>
    <row r="479" ht="15" customHeight="1">
      <c r="A479" t="inlineStr">
        <is>
          <t>A 14927-2025</t>
        </is>
      </c>
      <c r="B479" s="1" t="n">
        <v>45743</v>
      </c>
      <c r="C479" s="1" t="n">
        <v>45966</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1420-2023</t>
        </is>
      </c>
      <c r="B480" s="1" t="n">
        <v>44936.92762731481</v>
      </c>
      <c r="C480" s="1" t="n">
        <v>45966</v>
      </c>
      <c r="D480" t="inlineStr">
        <is>
          <t>VÄSTERNORRLANDS LÄN</t>
        </is>
      </c>
      <c r="E480" t="inlineStr">
        <is>
          <t>ÅNGE</t>
        </is>
      </c>
      <c r="G480" t="n">
        <v>3.7</v>
      </c>
      <c r="H480" t="n">
        <v>0</v>
      </c>
      <c r="I480" t="n">
        <v>0</v>
      </c>
      <c r="J480" t="n">
        <v>0</v>
      </c>
      <c r="K480" t="n">
        <v>0</v>
      </c>
      <c r="L480" t="n">
        <v>0</v>
      </c>
      <c r="M480" t="n">
        <v>0</v>
      </c>
      <c r="N480" t="n">
        <v>0</v>
      </c>
      <c r="O480" t="n">
        <v>0</v>
      </c>
      <c r="P480" t="n">
        <v>0</v>
      </c>
      <c r="Q480" t="n">
        <v>0</v>
      </c>
      <c r="R480" s="2" t="inlineStr"/>
    </row>
    <row r="481" ht="15" customHeight="1">
      <c r="A481" t="inlineStr">
        <is>
          <t>A 39434-2025</t>
        </is>
      </c>
      <c r="B481" s="1" t="n">
        <v>45889.67811342593</v>
      </c>
      <c r="C481" s="1" t="n">
        <v>45966</v>
      </c>
      <c r="D481" t="inlineStr">
        <is>
          <t>VÄSTERNORRLANDS LÄN</t>
        </is>
      </c>
      <c r="E481" t="inlineStr">
        <is>
          <t>ÅNGE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39444-2025</t>
        </is>
      </c>
      <c r="B482" s="1" t="n">
        <v>45889.69826388889</v>
      </c>
      <c r="C482" s="1" t="n">
        <v>45966</v>
      </c>
      <c r="D482" t="inlineStr">
        <is>
          <t>VÄSTERNORRLANDS LÄN</t>
        </is>
      </c>
      <c r="E482" t="inlineStr">
        <is>
          <t>ÅNGE</t>
        </is>
      </c>
      <c r="F482" t="inlineStr">
        <is>
          <t>SCA</t>
        </is>
      </c>
      <c r="G482" t="n">
        <v>7.9</v>
      </c>
      <c r="H482" t="n">
        <v>0</v>
      </c>
      <c r="I482" t="n">
        <v>0</v>
      </c>
      <c r="J482" t="n">
        <v>0</v>
      </c>
      <c r="K482" t="n">
        <v>0</v>
      </c>
      <c r="L482" t="n">
        <v>0</v>
      </c>
      <c r="M482" t="n">
        <v>0</v>
      </c>
      <c r="N482" t="n">
        <v>0</v>
      </c>
      <c r="O482" t="n">
        <v>0</v>
      </c>
      <c r="P482" t="n">
        <v>0</v>
      </c>
      <c r="Q482" t="n">
        <v>0</v>
      </c>
      <c r="R482" s="2" t="inlineStr"/>
    </row>
    <row r="483" ht="15" customHeight="1">
      <c r="A483" t="inlineStr">
        <is>
          <t>A 15167-2025</t>
        </is>
      </c>
      <c r="B483" s="1" t="n">
        <v>45744.49009259259</v>
      </c>
      <c r="C483" s="1" t="n">
        <v>45966</v>
      </c>
      <c r="D483" t="inlineStr">
        <is>
          <t>VÄSTERNORRLANDS LÄN</t>
        </is>
      </c>
      <c r="E483" t="inlineStr">
        <is>
          <t>ÅNGE</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34691-2024</t>
        </is>
      </c>
      <c r="B484" s="1" t="n">
        <v>45526.54516203704</v>
      </c>
      <c r="C484" s="1" t="n">
        <v>45966</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6680-2024</t>
        </is>
      </c>
      <c r="B485" s="1" t="n">
        <v>45341</v>
      </c>
      <c r="C485" s="1" t="n">
        <v>45966</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15791-2025</t>
        </is>
      </c>
      <c r="B486" s="1" t="n">
        <v>45748.631875</v>
      </c>
      <c r="C486" s="1" t="n">
        <v>45966</v>
      </c>
      <c r="D486" t="inlineStr">
        <is>
          <t>VÄSTERNORRLANDS LÄN</t>
        </is>
      </c>
      <c r="E486" t="inlineStr">
        <is>
          <t>ÅNGE</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64950-2023</t>
        </is>
      </c>
      <c r="B487" s="1" t="n">
        <v>45282</v>
      </c>
      <c r="C487" s="1" t="n">
        <v>45966</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24063-2023</t>
        </is>
      </c>
      <c r="B488" s="1" t="n">
        <v>45078.94140046297</v>
      </c>
      <c r="C488" s="1" t="n">
        <v>45966</v>
      </c>
      <c r="D488" t="inlineStr">
        <is>
          <t>VÄSTERNORRLANDS LÄN</t>
        </is>
      </c>
      <c r="E488" t="inlineStr">
        <is>
          <t>ÅNGE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54585-2024</t>
        </is>
      </c>
      <c r="B489" s="1" t="n">
        <v>45617.65762731482</v>
      </c>
      <c r="C489" s="1" t="n">
        <v>45966</v>
      </c>
      <c r="D489" t="inlineStr">
        <is>
          <t>VÄSTERNORRLANDS LÄN</t>
        </is>
      </c>
      <c r="E489" t="inlineStr">
        <is>
          <t>ÅNGE</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17452-2025</t>
        </is>
      </c>
      <c r="B490" s="1" t="n">
        <v>45757.44842592593</v>
      </c>
      <c r="C490" s="1" t="n">
        <v>45966</v>
      </c>
      <c r="D490" t="inlineStr">
        <is>
          <t>VÄSTERNORRLANDS LÄN</t>
        </is>
      </c>
      <c r="E490" t="inlineStr">
        <is>
          <t>ÅNGE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47752-2025</t>
        </is>
      </c>
      <c r="B491" s="1" t="n">
        <v>45931.66358796296</v>
      </c>
      <c r="C491" s="1" t="n">
        <v>45966</v>
      </c>
      <c r="D491" t="inlineStr">
        <is>
          <t>VÄSTERNORRLANDS LÄN</t>
        </is>
      </c>
      <c r="E491" t="inlineStr">
        <is>
          <t>ÅNGE</t>
        </is>
      </c>
      <c r="G491" t="n">
        <v>3.9</v>
      </c>
      <c r="H491" t="n">
        <v>0</v>
      </c>
      <c r="I491" t="n">
        <v>0</v>
      </c>
      <c r="J491" t="n">
        <v>0</v>
      </c>
      <c r="K491" t="n">
        <v>0</v>
      </c>
      <c r="L491" t="n">
        <v>0</v>
      </c>
      <c r="M491" t="n">
        <v>0</v>
      </c>
      <c r="N491" t="n">
        <v>0</v>
      </c>
      <c r="O491" t="n">
        <v>0</v>
      </c>
      <c r="P491" t="n">
        <v>0</v>
      </c>
      <c r="Q491" t="n">
        <v>0</v>
      </c>
      <c r="R491" s="2" t="inlineStr"/>
    </row>
    <row r="492" ht="15" customHeight="1">
      <c r="A492" t="inlineStr">
        <is>
          <t>A 15799-2025</t>
        </is>
      </c>
      <c r="B492" s="1" t="n">
        <v>45748.64768518518</v>
      </c>
      <c r="C492" s="1" t="n">
        <v>45966</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6685-2024</t>
        </is>
      </c>
      <c r="B493" s="1" t="n">
        <v>45341</v>
      </c>
      <c r="C493" s="1" t="n">
        <v>45966</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6689-2024</t>
        </is>
      </c>
      <c r="B494" s="1" t="n">
        <v>45341.9259375</v>
      </c>
      <c r="C494" s="1" t="n">
        <v>45966</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47488-2025</t>
        </is>
      </c>
      <c r="B495" s="1" t="n">
        <v>45930.69890046296</v>
      </c>
      <c r="C495" s="1" t="n">
        <v>45966</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3966-2025</t>
        </is>
      </c>
      <c r="B496" s="1" t="n">
        <v>45684.51072916666</v>
      </c>
      <c r="C496" s="1" t="n">
        <v>45966</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49711-2024</t>
        </is>
      </c>
      <c r="B497" s="1" t="n">
        <v>45596.69891203703</v>
      </c>
      <c r="C497" s="1" t="n">
        <v>45966</v>
      </c>
      <c r="D497" t="inlineStr">
        <is>
          <t>VÄSTERNORRLANDS LÄN</t>
        </is>
      </c>
      <c r="E497" t="inlineStr">
        <is>
          <t>ÅNGE</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16303-2025</t>
        </is>
      </c>
      <c r="B498" s="1" t="n">
        <v>45751.3462037037</v>
      </c>
      <c r="C498" s="1" t="n">
        <v>45966</v>
      </c>
      <c r="D498" t="inlineStr">
        <is>
          <t>VÄSTERNORRLANDS LÄN</t>
        </is>
      </c>
      <c r="E498" t="inlineStr">
        <is>
          <t>ÅNGE</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57526-2024</t>
        </is>
      </c>
      <c r="B499" s="1" t="n">
        <v>45630</v>
      </c>
      <c r="C499" s="1" t="n">
        <v>45966</v>
      </c>
      <c r="D499" t="inlineStr">
        <is>
          <t>VÄSTERNORRLANDS LÄN</t>
        </is>
      </c>
      <c r="E499" t="inlineStr">
        <is>
          <t>ÅNGE</t>
        </is>
      </c>
      <c r="G499" t="n">
        <v>3.2</v>
      </c>
      <c r="H499" t="n">
        <v>0</v>
      </c>
      <c r="I499" t="n">
        <v>0</v>
      </c>
      <c r="J499" t="n">
        <v>0</v>
      </c>
      <c r="K499" t="n">
        <v>0</v>
      </c>
      <c r="L499" t="n">
        <v>0</v>
      </c>
      <c r="M499" t="n">
        <v>0</v>
      </c>
      <c r="N499" t="n">
        <v>0</v>
      </c>
      <c r="O499" t="n">
        <v>0</v>
      </c>
      <c r="P499" t="n">
        <v>0</v>
      </c>
      <c r="Q499" t="n">
        <v>0</v>
      </c>
      <c r="R499" s="2" t="inlineStr"/>
    </row>
    <row r="500" ht="15" customHeight="1">
      <c r="A500" t="inlineStr">
        <is>
          <t>A 47440-2025</t>
        </is>
      </c>
      <c r="B500" s="1" t="n">
        <v>45930.63766203704</v>
      </c>
      <c r="C500" s="1" t="n">
        <v>45966</v>
      </c>
      <c r="D500" t="inlineStr">
        <is>
          <t>VÄSTERNORRLANDS LÄN</t>
        </is>
      </c>
      <c r="E500" t="inlineStr">
        <is>
          <t>ÅNGE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32051-2025</t>
        </is>
      </c>
      <c r="B501" s="1" t="n">
        <v>45835.44185185185</v>
      </c>
      <c r="C501" s="1" t="n">
        <v>45966</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3323-2023</t>
        </is>
      </c>
      <c r="B502" s="1" t="n">
        <v>44945</v>
      </c>
      <c r="C502" s="1" t="n">
        <v>45966</v>
      </c>
      <c r="D502" t="inlineStr">
        <is>
          <t>VÄSTERNORRLANDS LÄN</t>
        </is>
      </c>
      <c r="E502" t="inlineStr">
        <is>
          <t>ÅNGE</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5999-2025</t>
        </is>
      </c>
      <c r="B503" s="1" t="n">
        <v>45695</v>
      </c>
      <c r="C503" s="1" t="n">
        <v>45966</v>
      </c>
      <c r="D503" t="inlineStr">
        <is>
          <t>VÄSTERNORRLANDS LÄN</t>
        </is>
      </c>
      <c r="E503" t="inlineStr">
        <is>
          <t>ÅNGE</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35593-2024</t>
        </is>
      </c>
      <c r="B504" s="1" t="n">
        <v>45531</v>
      </c>
      <c r="C504" s="1" t="n">
        <v>45966</v>
      </c>
      <c r="D504" t="inlineStr">
        <is>
          <t>VÄSTERNORRLANDS LÄN</t>
        </is>
      </c>
      <c r="E504" t="inlineStr">
        <is>
          <t>ÅNGE</t>
        </is>
      </c>
      <c r="G504" t="n">
        <v>17.6</v>
      </c>
      <c r="H504" t="n">
        <v>0</v>
      </c>
      <c r="I504" t="n">
        <v>0</v>
      </c>
      <c r="J504" t="n">
        <v>0</v>
      </c>
      <c r="K504" t="n">
        <v>0</v>
      </c>
      <c r="L504" t="n">
        <v>0</v>
      </c>
      <c r="M504" t="n">
        <v>0</v>
      </c>
      <c r="N504" t="n">
        <v>0</v>
      </c>
      <c r="O504" t="n">
        <v>0</v>
      </c>
      <c r="P504" t="n">
        <v>0</v>
      </c>
      <c r="Q504" t="n">
        <v>0</v>
      </c>
      <c r="R504" s="2" t="inlineStr"/>
    </row>
    <row r="505" ht="15" customHeight="1">
      <c r="A505" t="inlineStr">
        <is>
          <t>A 1711-2025</t>
        </is>
      </c>
      <c r="B505" s="1" t="n">
        <v>45671.31184027778</v>
      </c>
      <c r="C505" s="1" t="n">
        <v>45966</v>
      </c>
      <c r="D505" t="inlineStr">
        <is>
          <t>VÄSTERNORRLANDS LÄN</t>
        </is>
      </c>
      <c r="E505" t="inlineStr">
        <is>
          <t>ÅNGE</t>
        </is>
      </c>
      <c r="G505" t="n">
        <v>2.8</v>
      </c>
      <c r="H505" t="n">
        <v>0</v>
      </c>
      <c r="I505" t="n">
        <v>0</v>
      </c>
      <c r="J505" t="n">
        <v>0</v>
      </c>
      <c r="K505" t="n">
        <v>0</v>
      </c>
      <c r="L505" t="n">
        <v>0</v>
      </c>
      <c r="M505" t="n">
        <v>0</v>
      </c>
      <c r="N505" t="n">
        <v>0</v>
      </c>
      <c r="O505" t="n">
        <v>0</v>
      </c>
      <c r="P505" t="n">
        <v>0</v>
      </c>
      <c r="Q505" t="n">
        <v>0</v>
      </c>
      <c r="R505" s="2" t="inlineStr"/>
    </row>
    <row r="506" ht="15" customHeight="1">
      <c r="A506" t="inlineStr">
        <is>
          <t>A 1714-2025</t>
        </is>
      </c>
      <c r="B506" s="1" t="n">
        <v>45671.32474537037</v>
      </c>
      <c r="C506" s="1" t="n">
        <v>45966</v>
      </c>
      <c r="D506" t="inlineStr">
        <is>
          <t>VÄSTERNORRLANDS LÄN</t>
        </is>
      </c>
      <c r="E506" t="inlineStr">
        <is>
          <t>ÅNGE</t>
        </is>
      </c>
      <c r="G506" t="n">
        <v>2</v>
      </c>
      <c r="H506" t="n">
        <v>0</v>
      </c>
      <c r="I506" t="n">
        <v>0</v>
      </c>
      <c r="J506" t="n">
        <v>0</v>
      </c>
      <c r="K506" t="n">
        <v>0</v>
      </c>
      <c r="L506" t="n">
        <v>0</v>
      </c>
      <c r="M506" t="n">
        <v>0</v>
      </c>
      <c r="N506" t="n">
        <v>0</v>
      </c>
      <c r="O506" t="n">
        <v>0</v>
      </c>
      <c r="P506" t="n">
        <v>0</v>
      </c>
      <c r="Q506" t="n">
        <v>0</v>
      </c>
      <c r="R506" s="2" t="inlineStr"/>
    </row>
    <row r="507" ht="15" customHeight="1">
      <c r="A507" t="inlineStr">
        <is>
          <t>A 31866-2024</t>
        </is>
      </c>
      <c r="B507" s="1" t="n">
        <v>45509</v>
      </c>
      <c r="C507" s="1" t="n">
        <v>45966</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31867-2024</t>
        </is>
      </c>
      <c r="B508" s="1" t="n">
        <v>45509</v>
      </c>
      <c r="C508" s="1" t="n">
        <v>45966</v>
      </c>
      <c r="D508" t="inlineStr">
        <is>
          <t>VÄSTERNORRLANDS LÄN</t>
        </is>
      </c>
      <c r="E508" t="inlineStr">
        <is>
          <t>ÅNGE</t>
        </is>
      </c>
      <c r="G508" t="n">
        <v>7.8</v>
      </c>
      <c r="H508" t="n">
        <v>0</v>
      </c>
      <c r="I508" t="n">
        <v>0</v>
      </c>
      <c r="J508" t="n">
        <v>0</v>
      </c>
      <c r="K508" t="n">
        <v>0</v>
      </c>
      <c r="L508" t="n">
        <v>0</v>
      </c>
      <c r="M508" t="n">
        <v>0</v>
      </c>
      <c r="N508" t="n">
        <v>0</v>
      </c>
      <c r="O508" t="n">
        <v>0</v>
      </c>
      <c r="P508" t="n">
        <v>0</v>
      </c>
      <c r="Q508" t="n">
        <v>0</v>
      </c>
      <c r="R508" s="2" t="inlineStr"/>
    </row>
    <row r="509" ht="15" customHeight="1">
      <c r="A509" t="inlineStr">
        <is>
          <t>A 33428-2023</t>
        </is>
      </c>
      <c r="B509" s="1" t="n">
        <v>45128.94976851852</v>
      </c>
      <c r="C509" s="1" t="n">
        <v>45966</v>
      </c>
      <c r="D509" t="inlineStr">
        <is>
          <t>VÄSTERNORRLANDS LÄN</t>
        </is>
      </c>
      <c r="E509" t="inlineStr">
        <is>
          <t>ÅNGE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10557-2023</t>
        </is>
      </c>
      <c r="B510" s="1" t="n">
        <v>44987</v>
      </c>
      <c r="C510" s="1" t="n">
        <v>45966</v>
      </c>
      <c r="D510" t="inlineStr">
        <is>
          <t>VÄSTERNORRLANDS LÄN</t>
        </is>
      </c>
      <c r="E510" t="inlineStr">
        <is>
          <t>ÅNGE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36786-2024</t>
        </is>
      </c>
      <c r="B511" s="1" t="n">
        <v>45538</v>
      </c>
      <c r="C511" s="1" t="n">
        <v>45966</v>
      </c>
      <c r="D511" t="inlineStr">
        <is>
          <t>VÄSTERNORRLANDS LÄN</t>
        </is>
      </c>
      <c r="E511" t="inlineStr">
        <is>
          <t>ÅNGE</t>
        </is>
      </c>
      <c r="F511" t="inlineStr">
        <is>
          <t>SCA</t>
        </is>
      </c>
      <c r="G511" t="n">
        <v>5.2</v>
      </c>
      <c r="H511" t="n">
        <v>0</v>
      </c>
      <c r="I511" t="n">
        <v>0</v>
      </c>
      <c r="J511" t="n">
        <v>0</v>
      </c>
      <c r="K511" t="n">
        <v>0</v>
      </c>
      <c r="L511" t="n">
        <v>0</v>
      </c>
      <c r="M511" t="n">
        <v>0</v>
      </c>
      <c r="N511" t="n">
        <v>0</v>
      </c>
      <c r="O511" t="n">
        <v>0</v>
      </c>
      <c r="P511" t="n">
        <v>0</v>
      </c>
      <c r="Q511" t="n">
        <v>0</v>
      </c>
      <c r="R511" s="2" t="inlineStr"/>
    </row>
    <row r="512" ht="15" customHeight="1">
      <c r="A512" t="inlineStr">
        <is>
          <t>A 19926-2025</t>
        </is>
      </c>
      <c r="B512" s="1" t="n">
        <v>45771.6357175926</v>
      </c>
      <c r="C512" s="1" t="n">
        <v>45966</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6610-2025</t>
        </is>
      </c>
      <c r="B513" s="1" t="n">
        <v>45700</v>
      </c>
      <c r="C513" s="1" t="n">
        <v>45966</v>
      </c>
      <c r="D513" t="inlineStr">
        <is>
          <t>VÄSTERNORRLANDS LÄN</t>
        </is>
      </c>
      <c r="E513" t="inlineStr">
        <is>
          <t>ÅNGE</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39768-2025</t>
        </is>
      </c>
      <c r="B514" s="1" t="n">
        <v>45891.44842592593</v>
      </c>
      <c r="C514" s="1" t="n">
        <v>45966</v>
      </c>
      <c r="D514" t="inlineStr">
        <is>
          <t>VÄSTERNORRLANDS LÄN</t>
        </is>
      </c>
      <c r="E514" t="inlineStr">
        <is>
          <t>ÅNGE</t>
        </is>
      </c>
      <c r="G514" t="n">
        <v>10.4</v>
      </c>
      <c r="H514" t="n">
        <v>0</v>
      </c>
      <c r="I514" t="n">
        <v>0</v>
      </c>
      <c r="J514" t="n">
        <v>0</v>
      </c>
      <c r="K514" t="n">
        <v>0</v>
      </c>
      <c r="L514" t="n">
        <v>0</v>
      </c>
      <c r="M514" t="n">
        <v>0</v>
      </c>
      <c r="N514" t="n">
        <v>0</v>
      </c>
      <c r="O514" t="n">
        <v>0</v>
      </c>
      <c r="P514" t="n">
        <v>0</v>
      </c>
      <c r="Q514" t="n">
        <v>0</v>
      </c>
      <c r="R514" s="2" t="inlineStr"/>
    </row>
    <row r="515" ht="15" customHeight="1">
      <c r="A515" t="inlineStr">
        <is>
          <t>A 58997-2023</t>
        </is>
      </c>
      <c r="B515" s="1" t="n">
        <v>45252.6352662037</v>
      </c>
      <c r="C515" s="1" t="n">
        <v>45966</v>
      </c>
      <c r="D515" t="inlineStr">
        <is>
          <t>VÄSTERNORRLANDS LÄN</t>
        </is>
      </c>
      <c r="E515" t="inlineStr">
        <is>
          <t>ÅNGE</t>
        </is>
      </c>
      <c r="F515" t="inlineStr">
        <is>
          <t>Övriga Aktiebolag</t>
        </is>
      </c>
      <c r="G515" t="n">
        <v>2.1</v>
      </c>
      <c r="H515" t="n">
        <v>0</v>
      </c>
      <c r="I515" t="n">
        <v>0</v>
      </c>
      <c r="J515" t="n">
        <v>0</v>
      </c>
      <c r="K515" t="n">
        <v>0</v>
      </c>
      <c r="L515" t="n">
        <v>0</v>
      </c>
      <c r="M515" t="n">
        <v>0</v>
      </c>
      <c r="N515" t="n">
        <v>0</v>
      </c>
      <c r="O515" t="n">
        <v>0</v>
      </c>
      <c r="P515" t="n">
        <v>0</v>
      </c>
      <c r="Q515" t="n">
        <v>0</v>
      </c>
      <c r="R515" s="2" t="inlineStr"/>
    </row>
    <row r="516" ht="15" customHeight="1">
      <c r="A516" t="inlineStr">
        <is>
          <t>A 44639-2023</t>
        </is>
      </c>
      <c r="B516" s="1" t="n">
        <v>45184</v>
      </c>
      <c r="C516" s="1" t="n">
        <v>45966</v>
      </c>
      <c r="D516" t="inlineStr">
        <is>
          <t>VÄSTERNORRLANDS LÄN</t>
        </is>
      </c>
      <c r="E516" t="inlineStr">
        <is>
          <t>ÅNGE</t>
        </is>
      </c>
      <c r="G516" t="n">
        <v>1.1</v>
      </c>
      <c r="H516" t="n">
        <v>0</v>
      </c>
      <c r="I516" t="n">
        <v>0</v>
      </c>
      <c r="J516" t="n">
        <v>0</v>
      </c>
      <c r="K516" t="n">
        <v>0</v>
      </c>
      <c r="L516" t="n">
        <v>0</v>
      </c>
      <c r="M516" t="n">
        <v>0</v>
      </c>
      <c r="N516" t="n">
        <v>0</v>
      </c>
      <c r="O516" t="n">
        <v>0</v>
      </c>
      <c r="P516" t="n">
        <v>0</v>
      </c>
      <c r="Q516" t="n">
        <v>0</v>
      </c>
      <c r="R516" s="2" t="inlineStr"/>
    </row>
    <row r="517" ht="15" customHeight="1">
      <c r="A517" t="inlineStr">
        <is>
          <t>A 39729-2025</t>
        </is>
      </c>
      <c r="B517" s="1" t="n">
        <v>45891</v>
      </c>
      <c r="C517" s="1" t="n">
        <v>45966</v>
      </c>
      <c r="D517" t="inlineStr">
        <is>
          <t>VÄSTERNORRLANDS LÄN</t>
        </is>
      </c>
      <c r="E517" t="inlineStr">
        <is>
          <t>ÅNGE</t>
        </is>
      </c>
      <c r="G517" t="n">
        <v>2.3</v>
      </c>
      <c r="H517" t="n">
        <v>0</v>
      </c>
      <c r="I517" t="n">
        <v>0</v>
      </c>
      <c r="J517" t="n">
        <v>0</v>
      </c>
      <c r="K517" t="n">
        <v>0</v>
      </c>
      <c r="L517" t="n">
        <v>0</v>
      </c>
      <c r="M517" t="n">
        <v>0</v>
      </c>
      <c r="N517" t="n">
        <v>0</v>
      </c>
      <c r="O517" t="n">
        <v>0</v>
      </c>
      <c r="P517" t="n">
        <v>0</v>
      </c>
      <c r="Q517" t="n">
        <v>0</v>
      </c>
      <c r="R517" s="2" t="inlineStr"/>
    </row>
    <row r="518" ht="15" customHeight="1">
      <c r="A518" t="inlineStr">
        <is>
          <t>A 43552-2023</t>
        </is>
      </c>
      <c r="B518" s="1" t="n">
        <v>45181</v>
      </c>
      <c r="C518" s="1" t="n">
        <v>45966</v>
      </c>
      <c r="D518" t="inlineStr">
        <is>
          <t>VÄSTERNORRLANDS LÄN</t>
        </is>
      </c>
      <c r="E518" t="inlineStr">
        <is>
          <t>ÅNGE</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1735-2025</t>
        </is>
      </c>
      <c r="B519" s="1" t="n">
        <v>45671.38594907407</v>
      </c>
      <c r="C519" s="1" t="n">
        <v>45966</v>
      </c>
      <c r="D519" t="inlineStr">
        <is>
          <t>VÄSTERNORRLANDS LÄN</t>
        </is>
      </c>
      <c r="E519" t="inlineStr">
        <is>
          <t>ÅNGE</t>
        </is>
      </c>
      <c r="G519" t="n">
        <v>0.6</v>
      </c>
      <c r="H519" t="n">
        <v>0</v>
      </c>
      <c r="I519" t="n">
        <v>0</v>
      </c>
      <c r="J519" t="n">
        <v>0</v>
      </c>
      <c r="K519" t="n">
        <v>0</v>
      </c>
      <c r="L519" t="n">
        <v>0</v>
      </c>
      <c r="M519" t="n">
        <v>0</v>
      </c>
      <c r="N519" t="n">
        <v>0</v>
      </c>
      <c r="O519" t="n">
        <v>0</v>
      </c>
      <c r="P519" t="n">
        <v>0</v>
      </c>
      <c r="Q519" t="n">
        <v>0</v>
      </c>
      <c r="R519" s="2" t="inlineStr"/>
    </row>
    <row r="520" ht="15" customHeight="1">
      <c r="A520" t="inlineStr">
        <is>
          <t>A 48069-2025</t>
        </is>
      </c>
      <c r="B520" s="1" t="n">
        <v>45932.69865740741</v>
      </c>
      <c r="C520" s="1" t="n">
        <v>45966</v>
      </c>
      <c r="D520" t="inlineStr">
        <is>
          <t>VÄSTERNORRLANDS LÄN</t>
        </is>
      </c>
      <c r="E520" t="inlineStr">
        <is>
          <t>ÅNGE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6487-2021</t>
        </is>
      </c>
      <c r="B521" s="1" t="n">
        <v>44235</v>
      </c>
      <c r="C521" s="1" t="n">
        <v>45966</v>
      </c>
      <c r="D521" t="inlineStr">
        <is>
          <t>VÄSTERNORRLANDS LÄN</t>
        </is>
      </c>
      <c r="E521" t="inlineStr">
        <is>
          <t>ÅNGE</t>
        </is>
      </c>
      <c r="G521" t="n">
        <v>2.1</v>
      </c>
      <c r="H521" t="n">
        <v>0</v>
      </c>
      <c r="I521" t="n">
        <v>0</v>
      </c>
      <c r="J521" t="n">
        <v>0</v>
      </c>
      <c r="K521" t="n">
        <v>0</v>
      </c>
      <c r="L521" t="n">
        <v>0</v>
      </c>
      <c r="M521" t="n">
        <v>0</v>
      </c>
      <c r="N521" t="n">
        <v>0</v>
      </c>
      <c r="O521" t="n">
        <v>0</v>
      </c>
      <c r="P521" t="n">
        <v>0</v>
      </c>
      <c r="Q521" t="n">
        <v>0</v>
      </c>
      <c r="R521" s="2" t="inlineStr"/>
    </row>
    <row r="522" ht="15" customHeight="1">
      <c r="A522" t="inlineStr">
        <is>
          <t>A 54908-2021</t>
        </is>
      </c>
      <c r="B522" s="1" t="n">
        <v>44474.39769675926</v>
      </c>
      <c r="C522" s="1" t="n">
        <v>45966</v>
      </c>
      <c r="D522" t="inlineStr">
        <is>
          <t>VÄSTERNORRLANDS LÄN</t>
        </is>
      </c>
      <c r="E522" t="inlineStr">
        <is>
          <t>ÅNGE</t>
        </is>
      </c>
      <c r="G522" t="n">
        <v>7.8</v>
      </c>
      <c r="H522" t="n">
        <v>0</v>
      </c>
      <c r="I522" t="n">
        <v>0</v>
      </c>
      <c r="J522" t="n">
        <v>0</v>
      </c>
      <c r="K522" t="n">
        <v>0</v>
      </c>
      <c r="L522" t="n">
        <v>0</v>
      </c>
      <c r="M522" t="n">
        <v>0</v>
      </c>
      <c r="N522" t="n">
        <v>0</v>
      </c>
      <c r="O522" t="n">
        <v>0</v>
      </c>
      <c r="P522" t="n">
        <v>0</v>
      </c>
      <c r="Q522" t="n">
        <v>0</v>
      </c>
      <c r="R522" s="2" t="inlineStr"/>
    </row>
    <row r="523" ht="15" customHeight="1">
      <c r="A523" t="inlineStr">
        <is>
          <t>A 48055-2025</t>
        </is>
      </c>
      <c r="B523" s="1" t="n">
        <v>45932.67922453704</v>
      </c>
      <c r="C523" s="1" t="n">
        <v>45966</v>
      </c>
      <c r="D523" t="inlineStr">
        <is>
          <t>VÄSTERNORRLANDS LÄN</t>
        </is>
      </c>
      <c r="E523" t="inlineStr">
        <is>
          <t>ÅNGE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23018-2021</t>
        </is>
      </c>
      <c r="B524" s="1" t="n">
        <v>44328</v>
      </c>
      <c r="C524" s="1" t="n">
        <v>45966</v>
      </c>
      <c r="D524" t="inlineStr">
        <is>
          <t>VÄSTERNORRLANDS LÄN</t>
        </is>
      </c>
      <c r="E524" t="inlineStr">
        <is>
          <t>ÅNGE</t>
        </is>
      </c>
      <c r="G524" t="n">
        <v>1.8</v>
      </c>
      <c r="H524" t="n">
        <v>0</v>
      </c>
      <c r="I524" t="n">
        <v>0</v>
      </c>
      <c r="J524" t="n">
        <v>0</v>
      </c>
      <c r="K524" t="n">
        <v>0</v>
      </c>
      <c r="L524" t="n">
        <v>0</v>
      </c>
      <c r="M524" t="n">
        <v>0</v>
      </c>
      <c r="N524" t="n">
        <v>0</v>
      </c>
      <c r="O524" t="n">
        <v>0</v>
      </c>
      <c r="P524" t="n">
        <v>0</v>
      </c>
      <c r="Q524" t="n">
        <v>0</v>
      </c>
      <c r="R524" s="2" t="inlineStr"/>
    </row>
    <row r="525" ht="15" customHeight="1">
      <c r="A525" t="inlineStr">
        <is>
          <t>A 48235-2025</t>
        </is>
      </c>
      <c r="B525" s="1" t="n">
        <v>45933.5321412037</v>
      </c>
      <c r="C525" s="1" t="n">
        <v>45966</v>
      </c>
      <c r="D525" t="inlineStr">
        <is>
          <t>VÄSTERNORRLANDS LÄN</t>
        </is>
      </c>
      <c r="E525" t="inlineStr">
        <is>
          <t>ÅNGE</t>
        </is>
      </c>
      <c r="G525" t="n">
        <v>3.1</v>
      </c>
      <c r="H525" t="n">
        <v>0</v>
      </c>
      <c r="I525" t="n">
        <v>0</v>
      </c>
      <c r="J525" t="n">
        <v>0</v>
      </c>
      <c r="K525" t="n">
        <v>0</v>
      </c>
      <c r="L525" t="n">
        <v>0</v>
      </c>
      <c r="M525" t="n">
        <v>0</v>
      </c>
      <c r="N525" t="n">
        <v>0</v>
      </c>
      <c r="O525" t="n">
        <v>0</v>
      </c>
      <c r="P525" t="n">
        <v>0</v>
      </c>
      <c r="Q525" t="n">
        <v>0</v>
      </c>
      <c r="R525" s="2" t="inlineStr"/>
    </row>
    <row r="526" ht="15" customHeight="1">
      <c r="A526" t="inlineStr">
        <is>
          <t>A 48234-2025</t>
        </is>
      </c>
      <c r="B526" s="1" t="n">
        <v>45933.53211805555</v>
      </c>
      <c r="C526" s="1" t="n">
        <v>45966</v>
      </c>
      <c r="D526" t="inlineStr">
        <is>
          <t>VÄSTERNORRLANDS LÄN</t>
        </is>
      </c>
      <c r="E526" t="inlineStr">
        <is>
          <t>ÅNGE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50231-2024</t>
        </is>
      </c>
      <c r="B527" s="1" t="n">
        <v>45600.55251157407</v>
      </c>
      <c r="C527" s="1" t="n">
        <v>45966</v>
      </c>
      <c r="D527" t="inlineStr">
        <is>
          <t>VÄSTERNORRLANDS LÄN</t>
        </is>
      </c>
      <c r="E527" t="inlineStr">
        <is>
          <t>ÅNGE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45933-2023</t>
        </is>
      </c>
      <c r="B528" s="1" t="n">
        <v>45195</v>
      </c>
      <c r="C528" s="1" t="n">
        <v>45966</v>
      </c>
      <c r="D528" t="inlineStr">
        <is>
          <t>VÄSTERNORRLANDS LÄN</t>
        </is>
      </c>
      <c r="E528" t="inlineStr">
        <is>
          <t>ÅNGE</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46015-2024</t>
        </is>
      </c>
      <c r="B529" s="1" t="n">
        <v>45580.67760416667</v>
      </c>
      <c r="C529" s="1" t="n">
        <v>45966</v>
      </c>
      <c r="D529" t="inlineStr">
        <is>
          <t>VÄSTERNORRLANDS LÄN</t>
        </is>
      </c>
      <c r="E529" t="inlineStr">
        <is>
          <t>ÅNGE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60205-2023</t>
        </is>
      </c>
      <c r="B530" s="1" t="n">
        <v>45257</v>
      </c>
      <c r="C530" s="1" t="n">
        <v>45966</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15287-2025</t>
        </is>
      </c>
      <c r="B531" s="1" t="n">
        <v>45745</v>
      </c>
      <c r="C531" s="1" t="n">
        <v>45966</v>
      </c>
      <c r="D531" t="inlineStr">
        <is>
          <t>VÄSTERNORRLANDS LÄN</t>
        </is>
      </c>
      <c r="E531" t="inlineStr">
        <is>
          <t>ÅNGE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16450-2025</t>
        </is>
      </c>
      <c r="B532" s="1" t="n">
        <v>45751.51081018519</v>
      </c>
      <c r="C532" s="1" t="n">
        <v>45966</v>
      </c>
      <c r="D532" t="inlineStr">
        <is>
          <t>VÄSTERNORRLANDS LÄN</t>
        </is>
      </c>
      <c r="E532" t="inlineStr">
        <is>
          <t>ÅNGE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37382-2021</t>
        </is>
      </c>
      <c r="B533" s="1" t="n">
        <v>44397</v>
      </c>
      <c r="C533" s="1" t="n">
        <v>45966</v>
      </c>
      <c r="D533" t="inlineStr">
        <is>
          <t>VÄSTERNORRLANDS LÄN</t>
        </is>
      </c>
      <c r="E533" t="inlineStr">
        <is>
          <t>ÅNGE</t>
        </is>
      </c>
      <c r="G533" t="n">
        <v>2.4</v>
      </c>
      <c r="H533" t="n">
        <v>0</v>
      </c>
      <c r="I533" t="n">
        <v>0</v>
      </c>
      <c r="J533" t="n">
        <v>0</v>
      </c>
      <c r="K533" t="n">
        <v>0</v>
      </c>
      <c r="L533" t="n">
        <v>0</v>
      </c>
      <c r="M533" t="n">
        <v>0</v>
      </c>
      <c r="N533" t="n">
        <v>0</v>
      </c>
      <c r="O533" t="n">
        <v>0</v>
      </c>
      <c r="P533" t="n">
        <v>0</v>
      </c>
      <c r="Q533" t="n">
        <v>0</v>
      </c>
      <c r="R533" s="2" t="inlineStr"/>
    </row>
    <row r="534" ht="15" customHeight="1">
      <c r="A534" t="inlineStr">
        <is>
          <t>A 44636-2024</t>
        </is>
      </c>
      <c r="B534" s="1" t="n">
        <v>45574.51491898148</v>
      </c>
      <c r="C534" s="1" t="n">
        <v>45966</v>
      </c>
      <c r="D534" t="inlineStr">
        <is>
          <t>VÄSTERNORRLANDS LÄN</t>
        </is>
      </c>
      <c r="E534" t="inlineStr">
        <is>
          <t>ÅNGE</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44979-2023</t>
        </is>
      </c>
      <c r="B535" s="1" t="n">
        <v>45190.95752314815</v>
      </c>
      <c r="C535" s="1" t="n">
        <v>45966</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4186-2025</t>
        </is>
      </c>
      <c r="B536" s="1" t="n">
        <v>45685.44827546296</v>
      </c>
      <c r="C536" s="1" t="n">
        <v>45966</v>
      </c>
      <c r="D536" t="inlineStr">
        <is>
          <t>VÄSTERNORRLANDS LÄN</t>
        </is>
      </c>
      <c r="E536" t="inlineStr">
        <is>
          <t>ÅNGE</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1582-2025</t>
        </is>
      </c>
      <c r="B537" s="1" t="n">
        <v>45670</v>
      </c>
      <c r="C537" s="1" t="n">
        <v>45966</v>
      </c>
      <c r="D537" t="inlineStr">
        <is>
          <t>VÄSTERNORRLANDS LÄN</t>
        </is>
      </c>
      <c r="E537" t="inlineStr">
        <is>
          <t>ÅNGE</t>
        </is>
      </c>
      <c r="G537" t="n">
        <v>7.3</v>
      </c>
      <c r="H537" t="n">
        <v>0</v>
      </c>
      <c r="I537" t="n">
        <v>0</v>
      </c>
      <c r="J537" t="n">
        <v>0</v>
      </c>
      <c r="K537" t="n">
        <v>0</v>
      </c>
      <c r="L537" t="n">
        <v>0</v>
      </c>
      <c r="M537" t="n">
        <v>0</v>
      </c>
      <c r="N537" t="n">
        <v>0</v>
      </c>
      <c r="O537" t="n">
        <v>0</v>
      </c>
      <c r="P537" t="n">
        <v>0</v>
      </c>
      <c r="Q537" t="n">
        <v>0</v>
      </c>
      <c r="R537" s="2" t="inlineStr"/>
      <c r="U537">
        <f>HYPERLINK("https://klasma.github.io/Logging_2260/knärot/A 1582-2025 karta knärot.png", "A 1582-2025")</f>
        <v/>
      </c>
      <c r="V537">
        <f>HYPERLINK("https://klasma.github.io/Logging_2260/klagomål/A 1582-2025 FSC-klagomål.docx", "A 1582-2025")</f>
        <v/>
      </c>
      <c r="W537">
        <f>HYPERLINK("https://klasma.github.io/Logging_2260/klagomålsmail/A 1582-2025 FSC-klagomål mail.docx", "A 1582-2025")</f>
        <v/>
      </c>
      <c r="X537">
        <f>HYPERLINK("https://klasma.github.io/Logging_2260/tillsyn/A 1582-2025 tillsynsbegäran.docx", "A 1582-2025")</f>
        <v/>
      </c>
      <c r="Y537">
        <f>HYPERLINK("https://klasma.github.io/Logging_2260/tillsynsmail/A 1582-2025 tillsynsbegäran mail.docx", "A 1582-2025")</f>
        <v/>
      </c>
    </row>
    <row r="538" ht="15" customHeight="1">
      <c r="A538" t="inlineStr">
        <is>
          <t>A 25377-2024</t>
        </is>
      </c>
      <c r="B538" s="1" t="n">
        <v>45462.96211805556</v>
      </c>
      <c r="C538" s="1" t="n">
        <v>45966</v>
      </c>
      <c r="D538" t="inlineStr">
        <is>
          <t>VÄSTERNORRLANDS LÄN</t>
        </is>
      </c>
      <c r="E538" t="inlineStr">
        <is>
          <t>ÅNGE</t>
        </is>
      </c>
      <c r="F538" t="inlineStr">
        <is>
          <t>SCA</t>
        </is>
      </c>
      <c r="G538" t="n">
        <v>20.7</v>
      </c>
      <c r="H538" t="n">
        <v>0</v>
      </c>
      <c r="I538" t="n">
        <v>0</v>
      </c>
      <c r="J538" t="n">
        <v>0</v>
      </c>
      <c r="K538" t="n">
        <v>0</v>
      </c>
      <c r="L538" t="n">
        <v>0</v>
      </c>
      <c r="M538" t="n">
        <v>0</v>
      </c>
      <c r="N538" t="n">
        <v>0</v>
      </c>
      <c r="O538" t="n">
        <v>0</v>
      </c>
      <c r="P538" t="n">
        <v>0</v>
      </c>
      <c r="Q538" t="n">
        <v>0</v>
      </c>
      <c r="R538" s="2" t="inlineStr"/>
    </row>
    <row r="539" ht="15" customHeight="1">
      <c r="A539" t="inlineStr">
        <is>
          <t>A 39991-2023</t>
        </is>
      </c>
      <c r="B539" s="1" t="n">
        <v>45168.6043287037</v>
      </c>
      <c r="C539" s="1" t="n">
        <v>45966</v>
      </c>
      <c r="D539" t="inlineStr">
        <is>
          <t>VÄSTERNORRLANDS LÄN</t>
        </is>
      </c>
      <c r="E539" t="inlineStr">
        <is>
          <t>ÅNGE</t>
        </is>
      </c>
      <c r="G539" t="n">
        <v>10.2</v>
      </c>
      <c r="H539" t="n">
        <v>0</v>
      </c>
      <c r="I539" t="n">
        <v>0</v>
      </c>
      <c r="J539" t="n">
        <v>0</v>
      </c>
      <c r="K539" t="n">
        <v>0</v>
      </c>
      <c r="L539" t="n">
        <v>0</v>
      </c>
      <c r="M539" t="n">
        <v>0</v>
      </c>
      <c r="N539" t="n">
        <v>0</v>
      </c>
      <c r="O539" t="n">
        <v>0</v>
      </c>
      <c r="P539" t="n">
        <v>0</v>
      </c>
      <c r="Q539" t="n">
        <v>0</v>
      </c>
      <c r="R539" s="2" t="inlineStr"/>
    </row>
    <row r="540" ht="15" customHeight="1">
      <c r="A540" t="inlineStr">
        <is>
          <t>A 1775-2023</t>
        </is>
      </c>
      <c r="B540" s="1" t="n">
        <v>44938</v>
      </c>
      <c r="C540" s="1" t="n">
        <v>45966</v>
      </c>
      <c r="D540" t="inlineStr">
        <is>
          <t>VÄSTERNORRLANDS LÄN</t>
        </is>
      </c>
      <c r="E540" t="inlineStr">
        <is>
          <t>ÅNGE</t>
        </is>
      </c>
      <c r="G540" t="n">
        <v>1.4</v>
      </c>
      <c r="H540" t="n">
        <v>0</v>
      </c>
      <c r="I540" t="n">
        <v>0</v>
      </c>
      <c r="J540" t="n">
        <v>0</v>
      </c>
      <c r="K540" t="n">
        <v>0</v>
      </c>
      <c r="L540" t="n">
        <v>0</v>
      </c>
      <c r="M540" t="n">
        <v>0</v>
      </c>
      <c r="N540" t="n">
        <v>0</v>
      </c>
      <c r="O540" t="n">
        <v>0</v>
      </c>
      <c r="P540" t="n">
        <v>0</v>
      </c>
      <c r="Q540" t="n">
        <v>0</v>
      </c>
      <c r="R540" s="2" t="inlineStr"/>
    </row>
    <row r="541" ht="15" customHeight="1">
      <c r="A541" t="inlineStr">
        <is>
          <t>A 31182-2024</t>
        </is>
      </c>
      <c r="B541" s="1" t="n">
        <v>45503</v>
      </c>
      <c r="C541" s="1" t="n">
        <v>45966</v>
      </c>
      <c r="D541" t="inlineStr">
        <is>
          <t>VÄSTERNORRLANDS LÄN</t>
        </is>
      </c>
      <c r="E541" t="inlineStr">
        <is>
          <t>ÅNGE</t>
        </is>
      </c>
      <c r="G541" t="n">
        <v>8.6</v>
      </c>
      <c r="H541" t="n">
        <v>0</v>
      </c>
      <c r="I541" t="n">
        <v>0</v>
      </c>
      <c r="J541" t="n">
        <v>0</v>
      </c>
      <c r="K541" t="n">
        <v>0</v>
      </c>
      <c r="L541" t="n">
        <v>0</v>
      </c>
      <c r="M541" t="n">
        <v>0</v>
      </c>
      <c r="N541" t="n">
        <v>0</v>
      </c>
      <c r="O541" t="n">
        <v>0</v>
      </c>
      <c r="P541" t="n">
        <v>0</v>
      </c>
      <c r="Q541" t="n">
        <v>0</v>
      </c>
      <c r="R541" s="2" t="inlineStr"/>
    </row>
    <row r="542" ht="15" customHeight="1">
      <c r="A542" t="inlineStr">
        <is>
          <t>A 56956-2022</t>
        </is>
      </c>
      <c r="B542" s="1" t="n">
        <v>44894</v>
      </c>
      <c r="C542" s="1" t="n">
        <v>45966</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33720-2025</t>
        </is>
      </c>
      <c r="B543" s="1" t="n">
        <v>45841.90605324074</v>
      </c>
      <c r="C543" s="1" t="n">
        <v>45966</v>
      </c>
      <c r="D543" t="inlineStr">
        <is>
          <t>VÄSTERNORRLANDS LÄN</t>
        </is>
      </c>
      <c r="E543" t="inlineStr">
        <is>
          <t>ÅNGE</t>
        </is>
      </c>
      <c r="G543" t="n">
        <v>6.4</v>
      </c>
      <c r="H543" t="n">
        <v>0</v>
      </c>
      <c r="I543" t="n">
        <v>0</v>
      </c>
      <c r="J543" t="n">
        <v>0</v>
      </c>
      <c r="K543" t="n">
        <v>0</v>
      </c>
      <c r="L543" t="n">
        <v>0</v>
      </c>
      <c r="M543" t="n">
        <v>0</v>
      </c>
      <c r="N543" t="n">
        <v>0</v>
      </c>
      <c r="O543" t="n">
        <v>0</v>
      </c>
      <c r="P543" t="n">
        <v>0</v>
      </c>
      <c r="Q543" t="n">
        <v>0</v>
      </c>
      <c r="R543" s="2" t="inlineStr"/>
    </row>
    <row r="544" ht="15" customHeight="1">
      <c r="A544" t="inlineStr">
        <is>
          <t>A 39975-2023</t>
        </is>
      </c>
      <c r="B544" s="1" t="n">
        <v>45168.58844907407</v>
      </c>
      <c r="C544" s="1" t="n">
        <v>45966</v>
      </c>
      <c r="D544" t="inlineStr">
        <is>
          <t>VÄSTERNORRLANDS LÄN</t>
        </is>
      </c>
      <c r="E544" t="inlineStr">
        <is>
          <t>ÅNGE</t>
        </is>
      </c>
      <c r="G544" t="n">
        <v>2.2</v>
      </c>
      <c r="H544" t="n">
        <v>0</v>
      </c>
      <c r="I544" t="n">
        <v>0</v>
      </c>
      <c r="J544" t="n">
        <v>0</v>
      </c>
      <c r="K544" t="n">
        <v>0</v>
      </c>
      <c r="L544" t="n">
        <v>0</v>
      </c>
      <c r="M544" t="n">
        <v>0</v>
      </c>
      <c r="N544" t="n">
        <v>0</v>
      </c>
      <c r="O544" t="n">
        <v>0</v>
      </c>
      <c r="P544" t="n">
        <v>0</v>
      </c>
      <c r="Q544" t="n">
        <v>0</v>
      </c>
      <c r="R544" s="2" t="inlineStr"/>
    </row>
    <row r="545" ht="15" customHeight="1">
      <c r="A545" t="inlineStr">
        <is>
          <t>A 48679-2025</t>
        </is>
      </c>
      <c r="B545" s="1" t="n">
        <v>45936.59196759259</v>
      </c>
      <c r="C545" s="1" t="n">
        <v>45966</v>
      </c>
      <c r="D545" t="inlineStr">
        <is>
          <t>VÄSTERNORRLANDS LÄN</t>
        </is>
      </c>
      <c r="E545" t="inlineStr">
        <is>
          <t>ÅNGE</t>
        </is>
      </c>
      <c r="G545" t="n">
        <v>2.1</v>
      </c>
      <c r="H545" t="n">
        <v>0</v>
      </c>
      <c r="I545" t="n">
        <v>0</v>
      </c>
      <c r="J545" t="n">
        <v>0</v>
      </c>
      <c r="K545" t="n">
        <v>0</v>
      </c>
      <c r="L545" t="n">
        <v>0</v>
      </c>
      <c r="M545" t="n">
        <v>0</v>
      </c>
      <c r="N545" t="n">
        <v>0</v>
      </c>
      <c r="O545" t="n">
        <v>0</v>
      </c>
      <c r="P545" t="n">
        <v>0</v>
      </c>
      <c r="Q545" t="n">
        <v>0</v>
      </c>
      <c r="R545" s="2" t="inlineStr"/>
    </row>
    <row r="546" ht="15" customHeight="1">
      <c r="A546" t="inlineStr">
        <is>
          <t>A 53970-2021</t>
        </is>
      </c>
      <c r="B546" s="1" t="n">
        <v>44469</v>
      </c>
      <c r="C546" s="1" t="n">
        <v>45966</v>
      </c>
      <c r="D546" t="inlineStr">
        <is>
          <t>VÄSTERNORRLANDS LÄN</t>
        </is>
      </c>
      <c r="E546" t="inlineStr">
        <is>
          <t>ÅNGE</t>
        </is>
      </c>
      <c r="G546" t="n">
        <v>3.4</v>
      </c>
      <c r="H546" t="n">
        <v>0</v>
      </c>
      <c r="I546" t="n">
        <v>0</v>
      </c>
      <c r="J546" t="n">
        <v>0</v>
      </c>
      <c r="K546" t="n">
        <v>0</v>
      </c>
      <c r="L546" t="n">
        <v>0</v>
      </c>
      <c r="M546" t="n">
        <v>0</v>
      </c>
      <c r="N546" t="n">
        <v>0</v>
      </c>
      <c r="O546" t="n">
        <v>0</v>
      </c>
      <c r="P546" t="n">
        <v>0</v>
      </c>
      <c r="Q546" t="n">
        <v>0</v>
      </c>
      <c r="R546" s="2" t="inlineStr"/>
    </row>
    <row r="547" ht="15" customHeight="1">
      <c r="A547" t="inlineStr">
        <is>
          <t>A 13491-2023</t>
        </is>
      </c>
      <c r="B547" s="1" t="n">
        <v>45005.93929398148</v>
      </c>
      <c r="C547" s="1" t="n">
        <v>45966</v>
      </c>
      <c r="D547" t="inlineStr">
        <is>
          <t>VÄSTERNORRLANDS LÄN</t>
        </is>
      </c>
      <c r="E547" t="inlineStr">
        <is>
          <t>ÅNGE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33062-2022</t>
        </is>
      </c>
      <c r="B548" s="1" t="n">
        <v>44785</v>
      </c>
      <c r="C548" s="1" t="n">
        <v>45966</v>
      </c>
      <c r="D548" t="inlineStr">
        <is>
          <t>VÄSTERNORRLANDS LÄN</t>
        </is>
      </c>
      <c r="E548" t="inlineStr">
        <is>
          <t>ÅNGE</t>
        </is>
      </c>
      <c r="G548" t="n">
        <v>0.5</v>
      </c>
      <c r="H548" t="n">
        <v>0</v>
      </c>
      <c r="I548" t="n">
        <v>0</v>
      </c>
      <c r="J548" t="n">
        <v>0</v>
      </c>
      <c r="K548" t="n">
        <v>0</v>
      </c>
      <c r="L548" t="n">
        <v>0</v>
      </c>
      <c r="M548" t="n">
        <v>0</v>
      </c>
      <c r="N548" t="n">
        <v>0</v>
      </c>
      <c r="O548" t="n">
        <v>0</v>
      </c>
      <c r="P548" t="n">
        <v>0</v>
      </c>
      <c r="Q548" t="n">
        <v>0</v>
      </c>
      <c r="R548" s="2" t="inlineStr"/>
    </row>
    <row r="549" ht="15" customHeight="1">
      <c r="A549" t="inlineStr">
        <is>
          <t>A 27321-2024</t>
        </is>
      </c>
      <c r="B549" s="1" t="n">
        <v>45471</v>
      </c>
      <c r="C549" s="1" t="n">
        <v>45966</v>
      </c>
      <c r="D549" t="inlineStr">
        <is>
          <t>VÄSTERNORRLANDS LÄN</t>
        </is>
      </c>
      <c r="E549" t="inlineStr">
        <is>
          <t>ÅNGE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30347-2024</t>
        </is>
      </c>
      <c r="B550" s="1" t="n">
        <v>45490.95515046296</v>
      </c>
      <c r="C550" s="1" t="n">
        <v>45966</v>
      </c>
      <c r="D550" t="inlineStr">
        <is>
          <t>VÄSTERNORRLANDS LÄN</t>
        </is>
      </c>
      <c r="E550" t="inlineStr">
        <is>
          <t>ÅNGE</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29667-2024</t>
        </is>
      </c>
      <c r="B551" s="1" t="n">
        <v>45484.94041666666</v>
      </c>
      <c r="C551" s="1" t="n">
        <v>45966</v>
      </c>
      <c r="D551" t="inlineStr">
        <is>
          <t>VÄSTERNORRLANDS LÄN</t>
        </is>
      </c>
      <c r="E551" t="inlineStr">
        <is>
          <t>ÅNGE</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8418-2023</t>
        </is>
      </c>
      <c r="B552" s="1" t="n">
        <v>44971</v>
      </c>
      <c r="C552" s="1" t="n">
        <v>45966</v>
      </c>
      <c r="D552" t="inlineStr">
        <is>
          <t>VÄSTERNORRLANDS LÄN</t>
        </is>
      </c>
      <c r="E552" t="inlineStr">
        <is>
          <t>ÅNGE</t>
        </is>
      </c>
      <c r="G552" t="n">
        <v>8.6</v>
      </c>
      <c r="H552" t="n">
        <v>0</v>
      </c>
      <c r="I552" t="n">
        <v>0</v>
      </c>
      <c r="J552" t="n">
        <v>0</v>
      </c>
      <c r="K552" t="n">
        <v>0</v>
      </c>
      <c r="L552" t="n">
        <v>0</v>
      </c>
      <c r="M552" t="n">
        <v>0</v>
      </c>
      <c r="N552" t="n">
        <v>0</v>
      </c>
      <c r="O552" t="n">
        <v>0</v>
      </c>
      <c r="P552" t="n">
        <v>0</v>
      </c>
      <c r="Q552" t="n">
        <v>0</v>
      </c>
      <c r="R552" s="2" t="inlineStr"/>
    </row>
    <row r="553" ht="15" customHeight="1">
      <c r="A553" t="inlineStr">
        <is>
          <t>A 35578-2025</t>
        </is>
      </c>
      <c r="B553" s="1" t="n">
        <v>45856.67797453704</v>
      </c>
      <c r="C553" s="1" t="n">
        <v>45966</v>
      </c>
      <c r="D553" t="inlineStr">
        <is>
          <t>VÄSTERNORRLANDS LÄN</t>
        </is>
      </c>
      <c r="E553" t="inlineStr">
        <is>
          <t>ÅNGE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45128-2022</t>
        </is>
      </c>
      <c r="B554" s="1" t="n">
        <v>44844.3146412037</v>
      </c>
      <c r="C554" s="1" t="n">
        <v>45966</v>
      </c>
      <c r="D554" t="inlineStr">
        <is>
          <t>VÄSTERNORRLANDS LÄN</t>
        </is>
      </c>
      <c r="E554" t="inlineStr">
        <is>
          <t>ÅNGE</t>
        </is>
      </c>
      <c r="G554" t="n">
        <v>4.1</v>
      </c>
      <c r="H554" t="n">
        <v>0</v>
      </c>
      <c r="I554" t="n">
        <v>0</v>
      </c>
      <c r="J554" t="n">
        <v>0</v>
      </c>
      <c r="K554" t="n">
        <v>0</v>
      </c>
      <c r="L554" t="n">
        <v>0</v>
      </c>
      <c r="M554" t="n">
        <v>0</v>
      </c>
      <c r="N554" t="n">
        <v>0</v>
      </c>
      <c r="O554" t="n">
        <v>0</v>
      </c>
      <c r="P554" t="n">
        <v>0</v>
      </c>
      <c r="Q554" t="n">
        <v>0</v>
      </c>
      <c r="R554" s="2" t="inlineStr"/>
    </row>
    <row r="555" ht="15" customHeight="1">
      <c r="A555" t="inlineStr">
        <is>
          <t>A 42040-2024</t>
        </is>
      </c>
      <c r="B555" s="1" t="n">
        <v>45561.80983796297</v>
      </c>
      <c r="C555" s="1" t="n">
        <v>45966</v>
      </c>
      <c r="D555" t="inlineStr">
        <is>
          <t>VÄSTERNORRLANDS LÄN</t>
        </is>
      </c>
      <c r="E555" t="inlineStr">
        <is>
          <t>ÅNGE</t>
        </is>
      </c>
      <c r="G555" t="n">
        <v>0.6</v>
      </c>
      <c r="H555" t="n">
        <v>0</v>
      </c>
      <c r="I555" t="n">
        <v>0</v>
      </c>
      <c r="J555" t="n">
        <v>0</v>
      </c>
      <c r="K555" t="n">
        <v>0</v>
      </c>
      <c r="L555" t="n">
        <v>0</v>
      </c>
      <c r="M555" t="n">
        <v>0</v>
      </c>
      <c r="N555" t="n">
        <v>0</v>
      </c>
      <c r="O555" t="n">
        <v>0</v>
      </c>
      <c r="P555" t="n">
        <v>0</v>
      </c>
      <c r="Q555" t="n">
        <v>0</v>
      </c>
      <c r="R555" s="2" t="inlineStr"/>
    </row>
    <row r="556" ht="15" customHeight="1">
      <c r="A556" t="inlineStr">
        <is>
          <t>A 49377-2025</t>
        </is>
      </c>
      <c r="B556" s="1" t="n">
        <v>45938.63626157407</v>
      </c>
      <c r="C556" s="1" t="n">
        <v>45966</v>
      </c>
      <c r="D556" t="inlineStr">
        <is>
          <t>VÄSTERNORRLANDS LÄN</t>
        </is>
      </c>
      <c r="E556" t="inlineStr">
        <is>
          <t>ÅNGE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20024-2023</t>
        </is>
      </c>
      <c r="B557" s="1" t="n">
        <v>45051</v>
      </c>
      <c r="C557" s="1" t="n">
        <v>45966</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5433-2024</t>
        </is>
      </c>
      <c r="B558" s="1" t="n">
        <v>45331</v>
      </c>
      <c r="C558" s="1" t="n">
        <v>45966</v>
      </c>
      <c r="D558" t="inlineStr">
        <is>
          <t>VÄSTERNORRLANDS LÄN</t>
        </is>
      </c>
      <c r="E558" t="inlineStr">
        <is>
          <t>ÅNGE</t>
        </is>
      </c>
      <c r="G558" t="n">
        <v>2.1</v>
      </c>
      <c r="H558" t="n">
        <v>0</v>
      </c>
      <c r="I558" t="n">
        <v>0</v>
      </c>
      <c r="J558" t="n">
        <v>0</v>
      </c>
      <c r="K558" t="n">
        <v>0</v>
      </c>
      <c r="L558" t="n">
        <v>0</v>
      </c>
      <c r="M558" t="n">
        <v>0</v>
      </c>
      <c r="N558" t="n">
        <v>0</v>
      </c>
      <c r="O558" t="n">
        <v>0</v>
      </c>
      <c r="P558" t="n">
        <v>0</v>
      </c>
      <c r="Q558" t="n">
        <v>0</v>
      </c>
      <c r="R558" s="2" t="inlineStr"/>
    </row>
    <row r="559" ht="15" customHeight="1">
      <c r="A559" t="inlineStr">
        <is>
          <t>A 5456-2024</t>
        </is>
      </c>
      <c r="B559" s="1" t="n">
        <v>45331</v>
      </c>
      <c r="C559" s="1" t="n">
        <v>45966</v>
      </c>
      <c r="D559" t="inlineStr">
        <is>
          <t>VÄSTERNORRLANDS LÄN</t>
        </is>
      </c>
      <c r="E559" t="inlineStr">
        <is>
          <t>ÅNGE</t>
        </is>
      </c>
      <c r="G559" t="n">
        <v>13</v>
      </c>
      <c r="H559" t="n">
        <v>0</v>
      </c>
      <c r="I559" t="n">
        <v>0</v>
      </c>
      <c r="J559" t="n">
        <v>0</v>
      </c>
      <c r="K559" t="n">
        <v>0</v>
      </c>
      <c r="L559" t="n">
        <v>0</v>
      </c>
      <c r="M559" t="n">
        <v>0</v>
      </c>
      <c r="N559" t="n">
        <v>0</v>
      </c>
      <c r="O559" t="n">
        <v>0</v>
      </c>
      <c r="P559" t="n">
        <v>0</v>
      </c>
      <c r="Q559" t="n">
        <v>0</v>
      </c>
      <c r="R559" s="2" t="inlineStr"/>
    </row>
    <row r="560" ht="15" customHeight="1">
      <c r="A560" t="inlineStr">
        <is>
          <t>A 54982-2023</t>
        </is>
      </c>
      <c r="B560" s="1" t="n">
        <v>45236</v>
      </c>
      <c r="C560" s="1" t="n">
        <v>45966</v>
      </c>
      <c r="D560" t="inlineStr">
        <is>
          <t>VÄSTERNORRLANDS LÄN</t>
        </is>
      </c>
      <c r="E560" t="inlineStr">
        <is>
          <t>ÅNGE</t>
        </is>
      </c>
      <c r="F560" t="inlineStr">
        <is>
          <t>SCA</t>
        </is>
      </c>
      <c r="G560" t="n">
        <v>26.2</v>
      </c>
      <c r="H560" t="n">
        <v>0</v>
      </c>
      <c r="I560" t="n">
        <v>0</v>
      </c>
      <c r="J560" t="n">
        <v>0</v>
      </c>
      <c r="K560" t="n">
        <v>0</v>
      </c>
      <c r="L560" t="n">
        <v>0</v>
      </c>
      <c r="M560" t="n">
        <v>0</v>
      </c>
      <c r="N560" t="n">
        <v>0</v>
      </c>
      <c r="O560" t="n">
        <v>0</v>
      </c>
      <c r="P560" t="n">
        <v>0</v>
      </c>
      <c r="Q560" t="n">
        <v>0</v>
      </c>
      <c r="R560" s="2" t="inlineStr"/>
    </row>
    <row r="561" ht="15" customHeight="1">
      <c r="A561" t="inlineStr">
        <is>
          <t>A 3357-2024</t>
        </is>
      </c>
      <c r="B561" s="1" t="n">
        <v>45317</v>
      </c>
      <c r="C561" s="1" t="n">
        <v>45966</v>
      </c>
      <c r="D561" t="inlineStr">
        <is>
          <t>VÄSTERNORRLANDS LÄN</t>
        </is>
      </c>
      <c r="E561" t="inlineStr">
        <is>
          <t>ÅNGE</t>
        </is>
      </c>
      <c r="G561" t="n">
        <v>8</v>
      </c>
      <c r="H561" t="n">
        <v>0</v>
      </c>
      <c r="I561" t="n">
        <v>0</v>
      </c>
      <c r="J561" t="n">
        <v>0</v>
      </c>
      <c r="K561" t="n">
        <v>0</v>
      </c>
      <c r="L561" t="n">
        <v>0</v>
      </c>
      <c r="M561" t="n">
        <v>0</v>
      </c>
      <c r="N561" t="n">
        <v>0</v>
      </c>
      <c r="O561" t="n">
        <v>0</v>
      </c>
      <c r="P561" t="n">
        <v>0</v>
      </c>
      <c r="Q561" t="n">
        <v>0</v>
      </c>
      <c r="R561" s="2" t="inlineStr"/>
    </row>
    <row r="562" ht="15" customHeight="1">
      <c r="A562" t="inlineStr">
        <is>
          <t>A 49476-2025</t>
        </is>
      </c>
      <c r="B562" s="1" t="n">
        <v>45939.34506944445</v>
      </c>
      <c r="C562" s="1" t="n">
        <v>45966</v>
      </c>
      <c r="D562" t="inlineStr">
        <is>
          <t>VÄSTERNORRLANDS LÄN</t>
        </is>
      </c>
      <c r="E562" t="inlineStr">
        <is>
          <t>ÅNGE</t>
        </is>
      </c>
      <c r="F562" t="inlineStr">
        <is>
          <t>SCA</t>
        </is>
      </c>
      <c r="G562" t="n">
        <v>11.4</v>
      </c>
      <c r="H562" t="n">
        <v>0</v>
      </c>
      <c r="I562" t="n">
        <v>0</v>
      </c>
      <c r="J562" t="n">
        <v>0</v>
      </c>
      <c r="K562" t="n">
        <v>0</v>
      </c>
      <c r="L562" t="n">
        <v>0</v>
      </c>
      <c r="M562" t="n">
        <v>0</v>
      </c>
      <c r="N562" t="n">
        <v>0</v>
      </c>
      <c r="O562" t="n">
        <v>0</v>
      </c>
      <c r="P562" t="n">
        <v>0</v>
      </c>
      <c r="Q562" t="n">
        <v>0</v>
      </c>
      <c r="R562" s="2" t="inlineStr"/>
    </row>
    <row r="563" ht="15" customHeight="1">
      <c r="A563" t="inlineStr">
        <is>
          <t>A 4095-2023</t>
        </is>
      </c>
      <c r="B563" s="1" t="n">
        <v>44952</v>
      </c>
      <c r="C563" s="1" t="n">
        <v>45966</v>
      </c>
      <c r="D563" t="inlineStr">
        <is>
          <t>VÄSTERNORRLANDS LÄN</t>
        </is>
      </c>
      <c r="E563" t="inlineStr">
        <is>
          <t>ÅNGE</t>
        </is>
      </c>
      <c r="G563" t="n">
        <v>13.4</v>
      </c>
      <c r="H563" t="n">
        <v>0</v>
      </c>
      <c r="I563" t="n">
        <v>0</v>
      </c>
      <c r="J563" t="n">
        <v>0</v>
      </c>
      <c r="K563" t="n">
        <v>0</v>
      </c>
      <c r="L563" t="n">
        <v>0</v>
      </c>
      <c r="M563" t="n">
        <v>0</v>
      </c>
      <c r="N563" t="n">
        <v>0</v>
      </c>
      <c r="O563" t="n">
        <v>0</v>
      </c>
      <c r="P563" t="n">
        <v>0</v>
      </c>
      <c r="Q563" t="n">
        <v>0</v>
      </c>
      <c r="R563" s="2" t="inlineStr"/>
    </row>
    <row r="564" ht="15" customHeight="1">
      <c r="A564" t="inlineStr">
        <is>
          <t>A 49566-2025</t>
        </is>
      </c>
      <c r="B564" s="1" t="n">
        <v>45939.46939814815</v>
      </c>
      <c r="C564" s="1" t="n">
        <v>45966</v>
      </c>
      <c r="D564" t="inlineStr">
        <is>
          <t>VÄSTERNORRLANDS LÄN</t>
        </is>
      </c>
      <c r="E564" t="inlineStr">
        <is>
          <t>ÅNGE</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45939-2023</t>
        </is>
      </c>
      <c r="B565" s="1" t="n">
        <v>45195.94578703704</v>
      </c>
      <c r="C565" s="1" t="n">
        <v>45966</v>
      </c>
      <c r="D565" t="inlineStr">
        <is>
          <t>VÄSTERNORRLANDS LÄN</t>
        </is>
      </c>
      <c r="E565" t="inlineStr">
        <is>
          <t>ÅNGE</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49669-2025</t>
        </is>
      </c>
      <c r="B566" s="1" t="n">
        <v>45939.63710648148</v>
      </c>
      <c r="C566" s="1" t="n">
        <v>45966</v>
      </c>
      <c r="D566" t="inlineStr">
        <is>
          <t>VÄSTERNORRLANDS LÄN</t>
        </is>
      </c>
      <c r="E566" t="inlineStr">
        <is>
          <t>ÅNGE</t>
        </is>
      </c>
      <c r="F566" t="inlineStr">
        <is>
          <t>SCA</t>
        </is>
      </c>
      <c r="G566" t="n">
        <v>7.1</v>
      </c>
      <c r="H566" t="n">
        <v>0</v>
      </c>
      <c r="I566" t="n">
        <v>0</v>
      </c>
      <c r="J566" t="n">
        <v>0</v>
      </c>
      <c r="K566" t="n">
        <v>0</v>
      </c>
      <c r="L566" t="n">
        <v>0</v>
      </c>
      <c r="M566" t="n">
        <v>0</v>
      </c>
      <c r="N566" t="n">
        <v>0</v>
      </c>
      <c r="O566" t="n">
        <v>0</v>
      </c>
      <c r="P566" t="n">
        <v>0</v>
      </c>
      <c r="Q566" t="n">
        <v>0</v>
      </c>
      <c r="R566" s="2" t="inlineStr"/>
    </row>
    <row r="567" ht="15" customHeight="1">
      <c r="A567" t="inlineStr">
        <is>
          <t>A 40818-2025</t>
        </is>
      </c>
      <c r="B567" s="1" t="n">
        <v>45897.48881944444</v>
      </c>
      <c r="C567" s="1" t="n">
        <v>45966</v>
      </c>
      <c r="D567" t="inlineStr">
        <is>
          <t>VÄSTERNORRLANDS LÄN</t>
        </is>
      </c>
      <c r="E567" t="inlineStr">
        <is>
          <t>ÅNGE</t>
        </is>
      </c>
      <c r="G567" t="n">
        <v>2.9</v>
      </c>
      <c r="H567" t="n">
        <v>0</v>
      </c>
      <c r="I567" t="n">
        <v>0</v>
      </c>
      <c r="J567" t="n">
        <v>0</v>
      </c>
      <c r="K567" t="n">
        <v>0</v>
      </c>
      <c r="L567" t="n">
        <v>0</v>
      </c>
      <c r="M567" t="n">
        <v>0</v>
      </c>
      <c r="N567" t="n">
        <v>0</v>
      </c>
      <c r="O567" t="n">
        <v>0</v>
      </c>
      <c r="P567" t="n">
        <v>0</v>
      </c>
      <c r="Q567" t="n">
        <v>0</v>
      </c>
      <c r="R567" s="2" t="inlineStr"/>
    </row>
    <row r="568" ht="15" customHeight="1">
      <c r="A568" t="inlineStr">
        <is>
          <t>A 40830-2025</t>
        </is>
      </c>
      <c r="B568" s="1" t="n">
        <v>45897.51079861111</v>
      </c>
      <c r="C568" s="1" t="n">
        <v>45966</v>
      </c>
      <c r="D568" t="inlineStr">
        <is>
          <t>VÄSTERNORRLANDS LÄN</t>
        </is>
      </c>
      <c r="E568" t="inlineStr">
        <is>
          <t>ÅNGE</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49562-2025</t>
        </is>
      </c>
      <c r="B569" s="1" t="n">
        <v>45939.46524305556</v>
      </c>
      <c r="C569" s="1" t="n">
        <v>45966</v>
      </c>
      <c r="D569" t="inlineStr">
        <is>
          <t>VÄSTERNORRLANDS LÄN</t>
        </is>
      </c>
      <c r="E569" t="inlineStr">
        <is>
          <t>ÅNGE</t>
        </is>
      </c>
      <c r="G569" t="n">
        <v>4.4</v>
      </c>
      <c r="H569" t="n">
        <v>0</v>
      </c>
      <c r="I569" t="n">
        <v>0</v>
      </c>
      <c r="J569" t="n">
        <v>0</v>
      </c>
      <c r="K569" t="n">
        <v>0</v>
      </c>
      <c r="L569" t="n">
        <v>0</v>
      </c>
      <c r="M569" t="n">
        <v>0</v>
      </c>
      <c r="N569" t="n">
        <v>0</v>
      </c>
      <c r="O569" t="n">
        <v>0</v>
      </c>
      <c r="P569" t="n">
        <v>0</v>
      </c>
      <c r="Q569" t="n">
        <v>0</v>
      </c>
      <c r="R569" s="2" t="inlineStr"/>
    </row>
    <row r="570" ht="15" customHeight="1">
      <c r="A570" t="inlineStr">
        <is>
          <t>A 51311-2022</t>
        </is>
      </c>
      <c r="B570" s="1" t="n">
        <v>44868</v>
      </c>
      <c r="C570" s="1" t="n">
        <v>45966</v>
      </c>
      <c r="D570" t="inlineStr">
        <is>
          <t>VÄSTERNORRLANDS LÄN</t>
        </is>
      </c>
      <c r="E570" t="inlineStr">
        <is>
          <t>ÅNGE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22752-2023</t>
        </is>
      </c>
      <c r="B571" s="1" t="n">
        <v>45071.94104166667</v>
      </c>
      <c r="C571" s="1" t="n">
        <v>45966</v>
      </c>
      <c r="D571" t="inlineStr">
        <is>
          <t>VÄSTERNORRLANDS LÄN</t>
        </is>
      </c>
      <c r="E571" t="inlineStr">
        <is>
          <t>ÅNGE</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11032-2025</t>
        </is>
      </c>
      <c r="B572" s="1" t="n">
        <v>45723.47601851852</v>
      </c>
      <c r="C572" s="1" t="n">
        <v>45966</v>
      </c>
      <c r="D572" t="inlineStr">
        <is>
          <t>VÄSTERNORRLANDS LÄN</t>
        </is>
      </c>
      <c r="E572" t="inlineStr">
        <is>
          <t>ÅNGE</t>
        </is>
      </c>
      <c r="G572" t="n">
        <v>4.4</v>
      </c>
      <c r="H572" t="n">
        <v>0</v>
      </c>
      <c r="I572" t="n">
        <v>0</v>
      </c>
      <c r="J572" t="n">
        <v>0</v>
      </c>
      <c r="K572" t="n">
        <v>0</v>
      </c>
      <c r="L572" t="n">
        <v>0</v>
      </c>
      <c r="M572" t="n">
        <v>0</v>
      </c>
      <c r="N572" t="n">
        <v>0</v>
      </c>
      <c r="O572" t="n">
        <v>0</v>
      </c>
      <c r="P572" t="n">
        <v>0</v>
      </c>
      <c r="Q572" t="n">
        <v>0</v>
      </c>
      <c r="R572" s="2" t="inlineStr"/>
    </row>
    <row r="573" ht="15" customHeight="1">
      <c r="A573" t="inlineStr">
        <is>
          <t>A 49381-2025</t>
        </is>
      </c>
      <c r="B573" s="1" t="n">
        <v>45938.63694444444</v>
      </c>
      <c r="C573" s="1" t="n">
        <v>45966</v>
      </c>
      <c r="D573" t="inlineStr">
        <is>
          <t>VÄSTERNORRLANDS LÄN</t>
        </is>
      </c>
      <c r="E573" t="inlineStr">
        <is>
          <t>ÅNGE</t>
        </is>
      </c>
      <c r="F573" t="inlineStr">
        <is>
          <t>SCA</t>
        </is>
      </c>
      <c r="G573" t="n">
        <v>20.6</v>
      </c>
      <c r="H573" t="n">
        <v>0</v>
      </c>
      <c r="I573" t="n">
        <v>0</v>
      </c>
      <c r="J573" t="n">
        <v>0</v>
      </c>
      <c r="K573" t="n">
        <v>0</v>
      </c>
      <c r="L573" t="n">
        <v>0</v>
      </c>
      <c r="M573" t="n">
        <v>0</v>
      </c>
      <c r="N573" t="n">
        <v>0</v>
      </c>
      <c r="O573" t="n">
        <v>0</v>
      </c>
      <c r="P573" t="n">
        <v>0</v>
      </c>
      <c r="Q573" t="n">
        <v>0</v>
      </c>
      <c r="R573" s="2" t="inlineStr"/>
    </row>
    <row r="574" ht="15" customHeight="1">
      <c r="A574" t="inlineStr">
        <is>
          <t>A 63216-2023</t>
        </is>
      </c>
      <c r="B574" s="1" t="n">
        <v>45273.62721064815</v>
      </c>
      <c r="C574" s="1" t="n">
        <v>45966</v>
      </c>
      <c r="D574" t="inlineStr">
        <is>
          <t>VÄSTERNORRLANDS LÄN</t>
        </is>
      </c>
      <c r="E574" t="inlineStr">
        <is>
          <t>ÅNGE</t>
        </is>
      </c>
      <c r="F574" t="inlineStr">
        <is>
          <t>Holmen skog AB</t>
        </is>
      </c>
      <c r="G574" t="n">
        <v>2.9</v>
      </c>
      <c r="H574" t="n">
        <v>0</v>
      </c>
      <c r="I574" t="n">
        <v>0</v>
      </c>
      <c r="J574" t="n">
        <v>0</v>
      </c>
      <c r="K574" t="n">
        <v>0</v>
      </c>
      <c r="L574" t="n">
        <v>0</v>
      </c>
      <c r="M574" t="n">
        <v>0</v>
      </c>
      <c r="N574" t="n">
        <v>0</v>
      </c>
      <c r="O574" t="n">
        <v>0</v>
      </c>
      <c r="P574" t="n">
        <v>0</v>
      </c>
      <c r="Q574" t="n">
        <v>0</v>
      </c>
      <c r="R574" s="2" t="inlineStr"/>
    </row>
    <row r="575" ht="15" customHeight="1">
      <c r="A575" t="inlineStr">
        <is>
          <t>A 49600-2025</t>
        </is>
      </c>
      <c r="B575" s="1" t="n">
        <v>45939.54434027777</v>
      </c>
      <c r="C575" s="1" t="n">
        <v>45966</v>
      </c>
      <c r="D575" t="inlineStr">
        <is>
          <t>VÄSTERNORRLANDS LÄN</t>
        </is>
      </c>
      <c r="E575" t="inlineStr">
        <is>
          <t>ÅNGE</t>
        </is>
      </c>
      <c r="G575" t="n">
        <v>1.4</v>
      </c>
      <c r="H575" t="n">
        <v>0</v>
      </c>
      <c r="I575" t="n">
        <v>0</v>
      </c>
      <c r="J575" t="n">
        <v>0</v>
      </c>
      <c r="K575" t="n">
        <v>0</v>
      </c>
      <c r="L575" t="n">
        <v>0</v>
      </c>
      <c r="M575" t="n">
        <v>0</v>
      </c>
      <c r="N575" t="n">
        <v>0</v>
      </c>
      <c r="O575" t="n">
        <v>0</v>
      </c>
      <c r="P575" t="n">
        <v>0</v>
      </c>
      <c r="Q575" t="n">
        <v>0</v>
      </c>
      <c r="R575" s="2" t="inlineStr"/>
    </row>
    <row r="576" ht="15" customHeight="1">
      <c r="A576" t="inlineStr">
        <is>
          <t>A 49603-2025</t>
        </is>
      </c>
      <c r="B576" s="1" t="n">
        <v>45939.5484375</v>
      </c>
      <c r="C576" s="1" t="n">
        <v>45966</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60779-2024</t>
        </is>
      </c>
      <c r="B577" s="1" t="n">
        <v>45644</v>
      </c>
      <c r="C577" s="1" t="n">
        <v>45966</v>
      </c>
      <c r="D577" t="inlineStr">
        <is>
          <t>VÄSTERNORRLANDS LÄN</t>
        </is>
      </c>
      <c r="E577" t="inlineStr">
        <is>
          <t>ÅNGE</t>
        </is>
      </c>
      <c r="G577" t="n">
        <v>3.1</v>
      </c>
      <c r="H577" t="n">
        <v>0</v>
      </c>
      <c r="I577" t="n">
        <v>0</v>
      </c>
      <c r="J577" t="n">
        <v>0</v>
      </c>
      <c r="K577" t="n">
        <v>0</v>
      </c>
      <c r="L577" t="n">
        <v>0</v>
      </c>
      <c r="M577" t="n">
        <v>0</v>
      </c>
      <c r="N577" t="n">
        <v>0</v>
      </c>
      <c r="O577" t="n">
        <v>0</v>
      </c>
      <c r="P577" t="n">
        <v>0</v>
      </c>
      <c r="Q577" t="n">
        <v>0</v>
      </c>
      <c r="R577" s="2" t="inlineStr"/>
    </row>
    <row r="578" ht="15" customHeight="1">
      <c r="A578" t="inlineStr">
        <is>
          <t>A 49156-2025</t>
        </is>
      </c>
      <c r="B578" s="1" t="n">
        <v>45938.3458912037</v>
      </c>
      <c r="C578" s="1" t="n">
        <v>45966</v>
      </c>
      <c r="D578" t="inlineStr">
        <is>
          <t>VÄSTERNORRLANDS LÄN</t>
        </is>
      </c>
      <c r="E578" t="inlineStr">
        <is>
          <t>ÅNGE</t>
        </is>
      </c>
      <c r="G578" t="n">
        <v>2.3</v>
      </c>
      <c r="H578" t="n">
        <v>0</v>
      </c>
      <c r="I578" t="n">
        <v>0</v>
      </c>
      <c r="J578" t="n">
        <v>0</v>
      </c>
      <c r="K578" t="n">
        <v>0</v>
      </c>
      <c r="L578" t="n">
        <v>0</v>
      </c>
      <c r="M578" t="n">
        <v>0</v>
      </c>
      <c r="N578" t="n">
        <v>0</v>
      </c>
      <c r="O578" t="n">
        <v>0</v>
      </c>
      <c r="P578" t="n">
        <v>0</v>
      </c>
      <c r="Q578" t="n">
        <v>0</v>
      </c>
      <c r="R578" s="2" t="inlineStr"/>
    </row>
    <row r="579" ht="15" customHeight="1">
      <c r="A579" t="inlineStr">
        <is>
          <t>A 50651-2021</t>
        </is>
      </c>
      <c r="B579" s="1" t="n">
        <v>44459</v>
      </c>
      <c r="C579" s="1" t="n">
        <v>45966</v>
      </c>
      <c r="D579" t="inlineStr">
        <is>
          <t>VÄSTERNORRLANDS LÄN</t>
        </is>
      </c>
      <c r="E579" t="inlineStr">
        <is>
          <t>ÅNGE</t>
        </is>
      </c>
      <c r="G579" t="n">
        <v>20.6</v>
      </c>
      <c r="H579" t="n">
        <v>0</v>
      </c>
      <c r="I579" t="n">
        <v>0</v>
      </c>
      <c r="J579" t="n">
        <v>0</v>
      </c>
      <c r="K579" t="n">
        <v>0</v>
      </c>
      <c r="L579" t="n">
        <v>0</v>
      </c>
      <c r="M579" t="n">
        <v>0</v>
      </c>
      <c r="N579" t="n">
        <v>0</v>
      </c>
      <c r="O579" t="n">
        <v>0</v>
      </c>
      <c r="P579" t="n">
        <v>0</v>
      </c>
      <c r="Q579" t="n">
        <v>0</v>
      </c>
      <c r="R579" s="2" t="inlineStr"/>
    </row>
    <row r="580" ht="15" customHeight="1">
      <c r="A580" t="inlineStr">
        <is>
          <t>A 43916-2023</t>
        </is>
      </c>
      <c r="B580" s="1" t="n">
        <v>45187.72152777778</v>
      </c>
      <c r="C580" s="1" t="n">
        <v>45966</v>
      </c>
      <c r="D580" t="inlineStr">
        <is>
          <t>VÄSTERNORRLANDS LÄN</t>
        </is>
      </c>
      <c r="E580" t="inlineStr">
        <is>
          <t>ÅNGE</t>
        </is>
      </c>
      <c r="G580" t="n">
        <v>3.1</v>
      </c>
      <c r="H580" t="n">
        <v>0</v>
      </c>
      <c r="I580" t="n">
        <v>0</v>
      </c>
      <c r="J580" t="n">
        <v>0</v>
      </c>
      <c r="K580" t="n">
        <v>0</v>
      </c>
      <c r="L580" t="n">
        <v>0</v>
      </c>
      <c r="M580" t="n">
        <v>0</v>
      </c>
      <c r="N580" t="n">
        <v>0</v>
      </c>
      <c r="O580" t="n">
        <v>0</v>
      </c>
      <c r="P580" t="n">
        <v>0</v>
      </c>
      <c r="Q580" t="n">
        <v>0</v>
      </c>
      <c r="R580" s="2" t="inlineStr"/>
    </row>
    <row r="581" ht="15" customHeight="1">
      <c r="A581" t="inlineStr">
        <is>
          <t>A 40872-2025</t>
        </is>
      </c>
      <c r="B581" s="1" t="n">
        <v>45897.574375</v>
      </c>
      <c r="C581" s="1" t="n">
        <v>45966</v>
      </c>
      <c r="D581" t="inlineStr">
        <is>
          <t>VÄSTERNORRLANDS LÄN</t>
        </is>
      </c>
      <c r="E581" t="inlineStr">
        <is>
          <t>ÅNGE</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49179-2025</t>
        </is>
      </c>
      <c r="B582" s="1" t="n">
        <v>45938.38579861111</v>
      </c>
      <c r="C582" s="1" t="n">
        <v>45966</v>
      </c>
      <c r="D582" t="inlineStr">
        <is>
          <t>VÄSTERNORRLANDS LÄN</t>
        </is>
      </c>
      <c r="E582" t="inlineStr">
        <is>
          <t>ÅNGE</t>
        </is>
      </c>
      <c r="G582" t="n">
        <v>2.3</v>
      </c>
      <c r="H582" t="n">
        <v>0</v>
      </c>
      <c r="I582" t="n">
        <v>0</v>
      </c>
      <c r="J582" t="n">
        <v>0</v>
      </c>
      <c r="K582" t="n">
        <v>0</v>
      </c>
      <c r="L582" t="n">
        <v>0</v>
      </c>
      <c r="M582" t="n">
        <v>0</v>
      </c>
      <c r="N582" t="n">
        <v>0</v>
      </c>
      <c r="O582" t="n">
        <v>0</v>
      </c>
      <c r="P582" t="n">
        <v>0</v>
      </c>
      <c r="Q582" t="n">
        <v>0</v>
      </c>
      <c r="R582" s="2" t="inlineStr"/>
    </row>
    <row r="583" ht="15" customHeight="1">
      <c r="A583" t="inlineStr">
        <is>
          <t>A 11529-2023</t>
        </is>
      </c>
      <c r="B583" s="1" t="n">
        <v>44993</v>
      </c>
      <c r="C583" s="1" t="n">
        <v>45966</v>
      </c>
      <c r="D583" t="inlineStr">
        <is>
          <t>VÄSTERNORRLANDS LÄN</t>
        </is>
      </c>
      <c r="E583" t="inlineStr">
        <is>
          <t>ÅNGE</t>
        </is>
      </c>
      <c r="G583" t="n">
        <v>8.9</v>
      </c>
      <c r="H583" t="n">
        <v>0</v>
      </c>
      <c r="I583" t="n">
        <v>0</v>
      </c>
      <c r="J583" t="n">
        <v>0</v>
      </c>
      <c r="K583" t="n">
        <v>0</v>
      </c>
      <c r="L583" t="n">
        <v>0</v>
      </c>
      <c r="M583" t="n">
        <v>0</v>
      </c>
      <c r="N583" t="n">
        <v>0</v>
      </c>
      <c r="O583" t="n">
        <v>0</v>
      </c>
      <c r="P583" t="n">
        <v>0</v>
      </c>
      <c r="Q583" t="n">
        <v>0</v>
      </c>
      <c r="R583" s="2" t="inlineStr"/>
    </row>
    <row r="584" ht="15" customHeight="1">
      <c r="A584" t="inlineStr">
        <is>
          <t>A 40665-2025</t>
        </is>
      </c>
      <c r="B584" s="1" t="n">
        <v>45896.65663194445</v>
      </c>
      <c r="C584" s="1" t="n">
        <v>45966</v>
      </c>
      <c r="D584" t="inlineStr">
        <is>
          <t>VÄSTERNORRLANDS LÄN</t>
        </is>
      </c>
      <c r="E584" t="inlineStr">
        <is>
          <t>ÅNGE</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19065-2025</t>
        </is>
      </c>
      <c r="B585" s="1" t="n">
        <v>45765</v>
      </c>
      <c r="C585" s="1" t="n">
        <v>45966</v>
      </c>
      <c r="D585" t="inlineStr">
        <is>
          <t>VÄSTERNORRLANDS LÄN</t>
        </is>
      </c>
      <c r="E585" t="inlineStr">
        <is>
          <t>ÅNGE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40898-2025</t>
        </is>
      </c>
      <c r="B586" s="1" t="n">
        <v>45897.61503472222</v>
      </c>
      <c r="C586" s="1" t="n">
        <v>45966</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40899-2025</t>
        </is>
      </c>
      <c r="B587" s="1" t="n">
        <v>45897.61528935185</v>
      </c>
      <c r="C587" s="1" t="n">
        <v>45966</v>
      </c>
      <c r="D587" t="inlineStr">
        <is>
          <t>VÄSTERNORRLANDS LÄN</t>
        </is>
      </c>
      <c r="E587" t="inlineStr">
        <is>
          <t>ÅNGE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60003-2023</t>
        </is>
      </c>
      <c r="B588" s="1" t="n">
        <v>45257</v>
      </c>
      <c r="C588" s="1" t="n">
        <v>45966</v>
      </c>
      <c r="D588" t="inlineStr">
        <is>
          <t>VÄSTERNORRLANDS LÄN</t>
        </is>
      </c>
      <c r="E588" t="inlineStr">
        <is>
          <t>ÅNGE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4876-2023</t>
        </is>
      </c>
      <c r="B589" s="1" t="n">
        <v>44957.94023148148</v>
      </c>
      <c r="C589" s="1" t="n">
        <v>45966</v>
      </c>
      <c r="D589" t="inlineStr">
        <is>
          <t>VÄSTERNORRLANDS LÄN</t>
        </is>
      </c>
      <c r="E589" t="inlineStr">
        <is>
          <t>ÅNGE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55751-2024</t>
        </is>
      </c>
      <c r="B590" s="1" t="n">
        <v>45623.34409722222</v>
      </c>
      <c r="C590" s="1" t="n">
        <v>45966</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57591-2022</t>
        </is>
      </c>
      <c r="B591" s="1" t="n">
        <v>44896.97834490741</v>
      </c>
      <c r="C591" s="1" t="n">
        <v>45966</v>
      </c>
      <c r="D591" t="inlineStr">
        <is>
          <t>VÄSTERNORRLANDS LÄN</t>
        </is>
      </c>
      <c r="E591" t="inlineStr">
        <is>
          <t>ÅNGE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36492-2023</t>
        </is>
      </c>
      <c r="B592" s="1" t="n">
        <v>45152.92479166666</v>
      </c>
      <c r="C592" s="1" t="n">
        <v>45966</v>
      </c>
      <c r="D592" t="inlineStr">
        <is>
          <t>VÄSTERNORRLANDS LÄN</t>
        </is>
      </c>
      <c r="E592" t="inlineStr">
        <is>
          <t>ÅNGE</t>
        </is>
      </c>
      <c r="G592" t="n">
        <v>0.5</v>
      </c>
      <c r="H592" t="n">
        <v>0</v>
      </c>
      <c r="I592" t="n">
        <v>0</v>
      </c>
      <c r="J592" t="n">
        <v>0</v>
      </c>
      <c r="K592" t="n">
        <v>0</v>
      </c>
      <c r="L592" t="n">
        <v>0</v>
      </c>
      <c r="M592" t="n">
        <v>0</v>
      </c>
      <c r="N592" t="n">
        <v>0</v>
      </c>
      <c r="O592" t="n">
        <v>0</v>
      </c>
      <c r="P592" t="n">
        <v>0</v>
      </c>
      <c r="Q592" t="n">
        <v>0</v>
      </c>
      <c r="R592" s="2" t="inlineStr"/>
    </row>
    <row r="593" ht="15" customHeight="1">
      <c r="A593" t="inlineStr">
        <is>
          <t>A 25034-2023</t>
        </is>
      </c>
      <c r="B593" s="1" t="n">
        <v>45085</v>
      </c>
      <c r="C593" s="1" t="n">
        <v>45966</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13875-2022</t>
        </is>
      </c>
      <c r="B594" s="1" t="n">
        <v>44649</v>
      </c>
      <c r="C594" s="1" t="n">
        <v>45966</v>
      </c>
      <c r="D594" t="inlineStr">
        <is>
          <t>VÄSTERNORRLANDS LÄN</t>
        </is>
      </c>
      <c r="E594" t="inlineStr">
        <is>
          <t>ÅNGE</t>
        </is>
      </c>
      <c r="G594" t="n">
        <v>1.3</v>
      </c>
      <c r="H594" t="n">
        <v>0</v>
      </c>
      <c r="I594" t="n">
        <v>0</v>
      </c>
      <c r="J594" t="n">
        <v>0</v>
      </c>
      <c r="K594" t="n">
        <v>0</v>
      </c>
      <c r="L594" t="n">
        <v>0</v>
      </c>
      <c r="M594" t="n">
        <v>0</v>
      </c>
      <c r="N594" t="n">
        <v>0</v>
      </c>
      <c r="O594" t="n">
        <v>0</v>
      </c>
      <c r="P594" t="n">
        <v>0</v>
      </c>
      <c r="Q594" t="n">
        <v>0</v>
      </c>
      <c r="R594" s="2" t="inlineStr"/>
    </row>
    <row r="595" ht="15" customHeight="1">
      <c r="A595" t="inlineStr">
        <is>
          <t>A 41179-2025</t>
        </is>
      </c>
      <c r="B595" s="1" t="n">
        <v>45898.55277777778</v>
      </c>
      <c r="C595" s="1" t="n">
        <v>45966</v>
      </c>
      <c r="D595" t="inlineStr">
        <is>
          <t>VÄSTERNORRLANDS LÄN</t>
        </is>
      </c>
      <c r="E595" t="inlineStr">
        <is>
          <t>ÅNGE</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46332-2023</t>
        </is>
      </c>
      <c r="B596" s="1" t="n">
        <v>45196</v>
      </c>
      <c r="C596" s="1" t="n">
        <v>45966</v>
      </c>
      <c r="D596" t="inlineStr">
        <is>
          <t>VÄSTERNORRLANDS LÄN</t>
        </is>
      </c>
      <c r="E596" t="inlineStr">
        <is>
          <t>ÅNGE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26943-2024</t>
        </is>
      </c>
      <c r="B597" s="1" t="n">
        <v>45470</v>
      </c>
      <c r="C597" s="1" t="n">
        <v>45966</v>
      </c>
      <c r="D597" t="inlineStr">
        <is>
          <t>VÄSTERNORRLANDS LÄN</t>
        </is>
      </c>
      <c r="E597" t="inlineStr">
        <is>
          <t>ÅNGE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55882-2022</t>
        </is>
      </c>
      <c r="B598" s="1" t="n">
        <v>44888</v>
      </c>
      <c r="C598" s="1" t="n">
        <v>45966</v>
      </c>
      <c r="D598" t="inlineStr">
        <is>
          <t>VÄSTERNORRLANDS LÄN</t>
        </is>
      </c>
      <c r="E598" t="inlineStr">
        <is>
          <t>ÅNGE</t>
        </is>
      </c>
      <c r="G598" t="n">
        <v>2.7</v>
      </c>
      <c r="H598" t="n">
        <v>0</v>
      </c>
      <c r="I598" t="n">
        <v>0</v>
      </c>
      <c r="J598" t="n">
        <v>0</v>
      </c>
      <c r="K598" t="n">
        <v>0</v>
      </c>
      <c r="L598" t="n">
        <v>0</v>
      </c>
      <c r="M598" t="n">
        <v>0</v>
      </c>
      <c r="N598" t="n">
        <v>0</v>
      </c>
      <c r="O598" t="n">
        <v>0</v>
      </c>
      <c r="P598" t="n">
        <v>0</v>
      </c>
      <c r="Q598" t="n">
        <v>0</v>
      </c>
      <c r="R598" s="2" t="inlineStr"/>
    </row>
    <row r="599" ht="15" customHeight="1">
      <c r="A599" t="inlineStr">
        <is>
          <t>A 9605-2025</t>
        </is>
      </c>
      <c r="B599" s="1" t="n">
        <v>45715.65657407408</v>
      </c>
      <c r="C599" s="1" t="n">
        <v>45966</v>
      </c>
      <c r="D599" t="inlineStr">
        <is>
          <t>VÄSTERNORRLANDS LÄN</t>
        </is>
      </c>
      <c r="E599" t="inlineStr">
        <is>
          <t>ÅNGE</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50210-2025</t>
        </is>
      </c>
      <c r="B600" s="1" t="n">
        <v>45943.67379629629</v>
      </c>
      <c r="C600" s="1" t="n">
        <v>45966</v>
      </c>
      <c r="D600" t="inlineStr">
        <is>
          <t>VÄSTERNORRLANDS LÄN</t>
        </is>
      </c>
      <c r="E600" t="inlineStr">
        <is>
          <t>ÅNGE</t>
        </is>
      </c>
      <c r="G600" t="n">
        <v>2.5</v>
      </c>
      <c r="H600" t="n">
        <v>0</v>
      </c>
      <c r="I600" t="n">
        <v>0</v>
      </c>
      <c r="J600" t="n">
        <v>0</v>
      </c>
      <c r="K600" t="n">
        <v>0</v>
      </c>
      <c r="L600" t="n">
        <v>0</v>
      </c>
      <c r="M600" t="n">
        <v>0</v>
      </c>
      <c r="N600" t="n">
        <v>0</v>
      </c>
      <c r="O600" t="n">
        <v>0</v>
      </c>
      <c r="P600" t="n">
        <v>0</v>
      </c>
      <c r="Q600" t="n">
        <v>0</v>
      </c>
      <c r="R600" s="2" t="inlineStr"/>
    </row>
    <row r="601" ht="15" customHeight="1">
      <c r="A601" t="inlineStr">
        <is>
          <t>A 41173-2025</t>
        </is>
      </c>
      <c r="B601" s="1" t="n">
        <v>45898</v>
      </c>
      <c r="C601" s="1" t="n">
        <v>45966</v>
      </c>
      <c r="D601" t="inlineStr">
        <is>
          <t>VÄSTERNORRLANDS LÄN</t>
        </is>
      </c>
      <c r="E601" t="inlineStr">
        <is>
          <t>ÅNGE</t>
        </is>
      </c>
      <c r="G601" t="n">
        <v>3.6</v>
      </c>
      <c r="H601" t="n">
        <v>0</v>
      </c>
      <c r="I601" t="n">
        <v>0</v>
      </c>
      <c r="J601" t="n">
        <v>0</v>
      </c>
      <c r="K601" t="n">
        <v>0</v>
      </c>
      <c r="L601" t="n">
        <v>0</v>
      </c>
      <c r="M601" t="n">
        <v>0</v>
      </c>
      <c r="N601" t="n">
        <v>0</v>
      </c>
      <c r="O601" t="n">
        <v>0</v>
      </c>
      <c r="P601" t="n">
        <v>0</v>
      </c>
      <c r="Q601" t="n">
        <v>0</v>
      </c>
      <c r="R601" s="2" t="inlineStr"/>
    </row>
    <row r="602" ht="15" customHeight="1">
      <c r="A602" t="inlineStr">
        <is>
          <t>A 6686-2024</t>
        </is>
      </c>
      <c r="B602" s="1" t="n">
        <v>45341</v>
      </c>
      <c r="C602" s="1" t="n">
        <v>45966</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16563-2025</t>
        </is>
      </c>
      <c r="B603" s="1" t="n">
        <v>45752.34430555555</v>
      </c>
      <c r="C603" s="1" t="n">
        <v>45966</v>
      </c>
      <c r="D603" t="inlineStr">
        <is>
          <t>VÄSTERNORRLANDS LÄN</t>
        </is>
      </c>
      <c r="E603" t="inlineStr">
        <is>
          <t>ÅNGE</t>
        </is>
      </c>
      <c r="F603" t="inlineStr">
        <is>
          <t>SCA</t>
        </is>
      </c>
      <c r="G603" t="n">
        <v>24.7</v>
      </c>
      <c r="H603" t="n">
        <v>0</v>
      </c>
      <c r="I603" t="n">
        <v>0</v>
      </c>
      <c r="J603" t="n">
        <v>0</v>
      </c>
      <c r="K603" t="n">
        <v>0</v>
      </c>
      <c r="L603" t="n">
        <v>0</v>
      </c>
      <c r="M603" t="n">
        <v>0</v>
      </c>
      <c r="N603" t="n">
        <v>0</v>
      </c>
      <c r="O603" t="n">
        <v>0</v>
      </c>
      <c r="P603" t="n">
        <v>0</v>
      </c>
      <c r="Q603" t="n">
        <v>0</v>
      </c>
      <c r="R603" s="2" t="inlineStr"/>
    </row>
    <row r="604" ht="15" customHeight="1">
      <c r="A604" t="inlineStr">
        <is>
          <t>A 63556-2021</t>
        </is>
      </c>
      <c r="B604" s="1" t="n">
        <v>44508.70231481481</v>
      </c>
      <c r="C604" s="1" t="n">
        <v>45966</v>
      </c>
      <c r="D604" t="inlineStr">
        <is>
          <t>VÄSTERNORRLANDS LÄN</t>
        </is>
      </c>
      <c r="E604" t="inlineStr">
        <is>
          <t>ÅNGE</t>
        </is>
      </c>
      <c r="G604" t="n">
        <v>4.2</v>
      </c>
      <c r="H604" t="n">
        <v>0</v>
      </c>
      <c r="I604" t="n">
        <v>0</v>
      </c>
      <c r="J604" t="n">
        <v>0</v>
      </c>
      <c r="K604" t="n">
        <v>0</v>
      </c>
      <c r="L604" t="n">
        <v>0</v>
      </c>
      <c r="M604" t="n">
        <v>0</v>
      </c>
      <c r="N604" t="n">
        <v>0</v>
      </c>
      <c r="O604" t="n">
        <v>0</v>
      </c>
      <c r="P604" t="n">
        <v>0</v>
      </c>
      <c r="Q604" t="n">
        <v>0</v>
      </c>
      <c r="R604" s="2" t="inlineStr"/>
    </row>
    <row r="605" ht="15" customHeight="1">
      <c r="A605" t="inlineStr">
        <is>
          <t>A 41355-2025</t>
        </is>
      </c>
      <c r="B605" s="1" t="n">
        <v>45900.34425925926</v>
      </c>
      <c r="C605" s="1" t="n">
        <v>45966</v>
      </c>
      <c r="D605" t="inlineStr">
        <is>
          <t>VÄSTERNORRLANDS LÄN</t>
        </is>
      </c>
      <c r="E605" t="inlineStr">
        <is>
          <t>ÅNGE</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42881-2024</t>
        </is>
      </c>
      <c r="B606" s="1" t="n">
        <v>45566.70916666667</v>
      </c>
      <c r="C606" s="1" t="n">
        <v>45966</v>
      </c>
      <c r="D606" t="inlineStr">
        <is>
          <t>VÄSTERNORRLANDS LÄN</t>
        </is>
      </c>
      <c r="E606" t="inlineStr">
        <is>
          <t>ÅNGE</t>
        </is>
      </c>
      <c r="G606" t="n">
        <v>1.9</v>
      </c>
      <c r="H606" t="n">
        <v>0</v>
      </c>
      <c r="I606" t="n">
        <v>0</v>
      </c>
      <c r="J606" t="n">
        <v>0</v>
      </c>
      <c r="K606" t="n">
        <v>0</v>
      </c>
      <c r="L606" t="n">
        <v>0</v>
      </c>
      <c r="M606" t="n">
        <v>0</v>
      </c>
      <c r="N606" t="n">
        <v>0</v>
      </c>
      <c r="O606" t="n">
        <v>0</v>
      </c>
      <c r="P606" t="n">
        <v>0</v>
      </c>
      <c r="Q606" t="n">
        <v>0</v>
      </c>
      <c r="R606" s="2" t="inlineStr"/>
    </row>
    <row r="607" ht="15" customHeight="1">
      <c r="A607" t="inlineStr">
        <is>
          <t>A 54316-2024</t>
        </is>
      </c>
      <c r="B607" s="1" t="n">
        <v>45617.34443287037</v>
      </c>
      <c r="C607" s="1" t="n">
        <v>45966</v>
      </c>
      <c r="D607" t="inlineStr">
        <is>
          <t>VÄSTERNORRLANDS LÄN</t>
        </is>
      </c>
      <c r="E607" t="inlineStr">
        <is>
          <t>ÅNGE</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17718-2025</t>
        </is>
      </c>
      <c r="B608" s="1" t="n">
        <v>45758.44815972223</v>
      </c>
      <c r="C608" s="1" t="n">
        <v>45966</v>
      </c>
      <c r="D608" t="inlineStr">
        <is>
          <t>VÄSTERNORRLANDS LÄN</t>
        </is>
      </c>
      <c r="E608" t="inlineStr">
        <is>
          <t>ÅNGE</t>
        </is>
      </c>
      <c r="G608" t="n">
        <v>5.1</v>
      </c>
      <c r="H608" t="n">
        <v>0</v>
      </c>
      <c r="I608" t="n">
        <v>0</v>
      </c>
      <c r="J608" t="n">
        <v>0</v>
      </c>
      <c r="K608" t="n">
        <v>0</v>
      </c>
      <c r="L608" t="n">
        <v>0</v>
      </c>
      <c r="M608" t="n">
        <v>0</v>
      </c>
      <c r="N608" t="n">
        <v>0</v>
      </c>
      <c r="O608" t="n">
        <v>0</v>
      </c>
      <c r="P608" t="n">
        <v>0</v>
      </c>
      <c r="Q608" t="n">
        <v>0</v>
      </c>
      <c r="R608" s="2" t="inlineStr"/>
    </row>
    <row r="609" ht="15" customHeight="1">
      <c r="A609" t="inlineStr">
        <is>
          <t>A 8650-2024</t>
        </is>
      </c>
      <c r="B609" s="1" t="n">
        <v>45356</v>
      </c>
      <c r="C609" s="1" t="n">
        <v>45966</v>
      </c>
      <c r="D609" t="inlineStr">
        <is>
          <t>VÄSTERNORRLANDS LÄN</t>
        </is>
      </c>
      <c r="E609" t="inlineStr">
        <is>
          <t>ÅNGE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45631-2021</t>
        </is>
      </c>
      <c r="B610" s="1" t="n">
        <v>44440.98045138889</v>
      </c>
      <c r="C610" s="1" t="n">
        <v>45966</v>
      </c>
      <c r="D610" t="inlineStr">
        <is>
          <t>VÄSTERNORRLANDS LÄN</t>
        </is>
      </c>
      <c r="E610" t="inlineStr">
        <is>
          <t>ÅNGE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50009-2025</t>
        </is>
      </c>
      <c r="B611" s="1" t="n">
        <v>45943.34527777778</v>
      </c>
      <c r="C611" s="1" t="n">
        <v>45966</v>
      </c>
      <c r="D611" t="inlineStr">
        <is>
          <t>VÄSTERNORRLANDS LÄN</t>
        </is>
      </c>
      <c r="E611" t="inlineStr">
        <is>
          <t>ÅNGE</t>
        </is>
      </c>
      <c r="G611" t="n">
        <v>0.6</v>
      </c>
      <c r="H611" t="n">
        <v>0</v>
      </c>
      <c r="I611" t="n">
        <v>0</v>
      </c>
      <c r="J611" t="n">
        <v>0</v>
      </c>
      <c r="K611" t="n">
        <v>0</v>
      </c>
      <c r="L611" t="n">
        <v>0</v>
      </c>
      <c r="M611" t="n">
        <v>0</v>
      </c>
      <c r="N611" t="n">
        <v>0</v>
      </c>
      <c r="O611" t="n">
        <v>0</v>
      </c>
      <c r="P611" t="n">
        <v>0</v>
      </c>
      <c r="Q611" t="n">
        <v>0</v>
      </c>
      <c r="R611" s="2" t="inlineStr"/>
    </row>
    <row r="612" ht="15" customHeight="1">
      <c r="A612" t="inlineStr">
        <is>
          <t>A 6608-2025</t>
        </is>
      </c>
      <c r="B612" s="1" t="n">
        <v>45700.34415509259</v>
      </c>
      <c r="C612" s="1" t="n">
        <v>45966</v>
      </c>
      <c r="D612" t="inlineStr">
        <is>
          <t>VÄSTERNORRLANDS LÄN</t>
        </is>
      </c>
      <c r="E612" t="inlineStr">
        <is>
          <t>ÅNGE</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30682-2024</t>
        </is>
      </c>
      <c r="B613" s="1" t="n">
        <v>45495.95109953704</v>
      </c>
      <c r="C613" s="1" t="n">
        <v>45966</v>
      </c>
      <c r="D613" t="inlineStr">
        <is>
          <t>VÄSTERNORRLANDS LÄN</t>
        </is>
      </c>
      <c r="E613" t="inlineStr">
        <is>
          <t>ÅNGE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10878-2024</t>
        </is>
      </c>
      <c r="B614" s="1" t="n">
        <v>45370</v>
      </c>
      <c r="C614" s="1" t="n">
        <v>45966</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2451-2024</t>
        </is>
      </c>
      <c r="B615" s="1" t="n">
        <v>45312.58627314815</v>
      </c>
      <c r="C615" s="1" t="n">
        <v>45966</v>
      </c>
      <c r="D615" t="inlineStr">
        <is>
          <t>VÄSTERNORRLANDS LÄN</t>
        </is>
      </c>
      <c r="E615" t="inlineStr">
        <is>
          <t>ÅNGE</t>
        </is>
      </c>
      <c r="G615" t="n">
        <v>3.5</v>
      </c>
      <c r="H615" t="n">
        <v>0</v>
      </c>
      <c r="I615" t="n">
        <v>0</v>
      </c>
      <c r="J615" t="n">
        <v>0</v>
      </c>
      <c r="K615" t="n">
        <v>0</v>
      </c>
      <c r="L615" t="n">
        <v>0</v>
      </c>
      <c r="M615" t="n">
        <v>0</v>
      </c>
      <c r="N615" t="n">
        <v>0</v>
      </c>
      <c r="O615" t="n">
        <v>0</v>
      </c>
      <c r="P615" t="n">
        <v>0</v>
      </c>
      <c r="Q615" t="n">
        <v>0</v>
      </c>
      <c r="R615" s="2" t="inlineStr"/>
    </row>
    <row r="616" ht="15" customHeight="1">
      <c r="A616" t="inlineStr">
        <is>
          <t>A 50001-2025</t>
        </is>
      </c>
      <c r="B616" s="1" t="n">
        <v>45943.34421296296</v>
      </c>
      <c r="C616" s="1" t="n">
        <v>45966</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17009-2023</t>
        </is>
      </c>
      <c r="B617" s="1" t="n">
        <v>45033.9455787037</v>
      </c>
      <c r="C617" s="1" t="n">
        <v>45966</v>
      </c>
      <c r="D617" t="inlineStr">
        <is>
          <t>VÄSTERNORRLANDS LÄN</t>
        </is>
      </c>
      <c r="E617" t="inlineStr">
        <is>
          <t>ÅNGE</t>
        </is>
      </c>
      <c r="F617" t="inlineStr">
        <is>
          <t>SCA</t>
        </is>
      </c>
      <c r="G617" t="n">
        <v>5.8</v>
      </c>
      <c r="H617" t="n">
        <v>0</v>
      </c>
      <c r="I617" t="n">
        <v>0</v>
      </c>
      <c r="J617" t="n">
        <v>0</v>
      </c>
      <c r="K617" t="n">
        <v>0</v>
      </c>
      <c r="L617" t="n">
        <v>0</v>
      </c>
      <c r="M617" t="n">
        <v>0</v>
      </c>
      <c r="N617" t="n">
        <v>0</v>
      </c>
      <c r="O617" t="n">
        <v>0</v>
      </c>
      <c r="P617" t="n">
        <v>0</v>
      </c>
      <c r="Q617" t="n">
        <v>0</v>
      </c>
      <c r="R617" s="2" t="inlineStr"/>
    </row>
    <row r="618" ht="15" customHeight="1">
      <c r="A618" t="inlineStr">
        <is>
          <t>A 3352-2021</t>
        </is>
      </c>
      <c r="B618" s="1" t="n">
        <v>44217</v>
      </c>
      <c r="C618" s="1" t="n">
        <v>45966</v>
      </c>
      <c r="D618" t="inlineStr">
        <is>
          <t>VÄSTERNORRLANDS LÄN</t>
        </is>
      </c>
      <c r="E618" t="inlineStr">
        <is>
          <t>ÅNGE</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3253-2024</t>
        </is>
      </c>
      <c r="B619" s="1" t="n">
        <v>45316</v>
      </c>
      <c r="C619" s="1" t="n">
        <v>45966</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4006-2022</t>
        </is>
      </c>
      <c r="B620" s="1" t="n">
        <v>44587.92019675926</v>
      </c>
      <c r="C620" s="1" t="n">
        <v>45966</v>
      </c>
      <c r="D620" t="inlineStr">
        <is>
          <t>VÄSTERNORRLANDS LÄN</t>
        </is>
      </c>
      <c r="E620" t="inlineStr">
        <is>
          <t>ÅNGE</t>
        </is>
      </c>
      <c r="G620" t="n">
        <v>5</v>
      </c>
      <c r="H620" t="n">
        <v>0</v>
      </c>
      <c r="I620" t="n">
        <v>0</v>
      </c>
      <c r="J620" t="n">
        <v>0</v>
      </c>
      <c r="K620" t="n">
        <v>0</v>
      </c>
      <c r="L620" t="n">
        <v>0</v>
      </c>
      <c r="M620" t="n">
        <v>0</v>
      </c>
      <c r="N620" t="n">
        <v>0</v>
      </c>
      <c r="O620" t="n">
        <v>0</v>
      </c>
      <c r="P620" t="n">
        <v>0</v>
      </c>
      <c r="Q620" t="n">
        <v>0</v>
      </c>
      <c r="R620" s="2" t="inlineStr"/>
    </row>
    <row r="621" ht="15" customHeight="1">
      <c r="A621" t="inlineStr">
        <is>
          <t>A 34783-2021</t>
        </is>
      </c>
      <c r="B621" s="1" t="n">
        <v>44382</v>
      </c>
      <c r="C621" s="1" t="n">
        <v>45966</v>
      </c>
      <c r="D621" t="inlineStr">
        <is>
          <t>VÄSTERNORRLANDS LÄN</t>
        </is>
      </c>
      <c r="E621" t="inlineStr">
        <is>
          <t>ÅNGE</t>
        </is>
      </c>
      <c r="F621" t="inlineStr">
        <is>
          <t>SCA</t>
        </is>
      </c>
      <c r="G621" t="n">
        <v>8.5</v>
      </c>
      <c r="H621" t="n">
        <v>0</v>
      </c>
      <c r="I621" t="n">
        <v>0</v>
      </c>
      <c r="J621" t="n">
        <v>0</v>
      </c>
      <c r="K621" t="n">
        <v>0</v>
      </c>
      <c r="L621" t="n">
        <v>0</v>
      </c>
      <c r="M621" t="n">
        <v>0</v>
      </c>
      <c r="N621" t="n">
        <v>0</v>
      </c>
      <c r="O621" t="n">
        <v>0</v>
      </c>
      <c r="P621" t="n">
        <v>0</v>
      </c>
      <c r="Q621" t="n">
        <v>0</v>
      </c>
      <c r="R621" s="2" t="inlineStr"/>
    </row>
    <row r="622" ht="15" customHeight="1">
      <c r="A622" t="inlineStr">
        <is>
          <t>A 61781-2023</t>
        </is>
      </c>
      <c r="B622" s="1" t="n">
        <v>45265.95708333333</v>
      </c>
      <c r="C622" s="1" t="n">
        <v>45966</v>
      </c>
      <c r="D622" t="inlineStr">
        <is>
          <t>VÄSTERNORRLANDS LÄN</t>
        </is>
      </c>
      <c r="E622" t="inlineStr">
        <is>
          <t>ÅNGE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50008-2025</t>
        </is>
      </c>
      <c r="B623" s="1" t="n">
        <v>45943.34515046296</v>
      </c>
      <c r="C623" s="1" t="n">
        <v>45966</v>
      </c>
      <c r="D623" t="inlineStr">
        <is>
          <t>VÄSTERNORRLANDS LÄN</t>
        </is>
      </c>
      <c r="E623" t="inlineStr">
        <is>
          <t>ÅNGE</t>
        </is>
      </c>
      <c r="G623" t="n">
        <v>13.9</v>
      </c>
      <c r="H623" t="n">
        <v>0</v>
      </c>
      <c r="I623" t="n">
        <v>0</v>
      </c>
      <c r="J623" t="n">
        <v>0</v>
      </c>
      <c r="K623" t="n">
        <v>0</v>
      </c>
      <c r="L623" t="n">
        <v>0</v>
      </c>
      <c r="M623" t="n">
        <v>0</v>
      </c>
      <c r="N623" t="n">
        <v>0</v>
      </c>
      <c r="O623" t="n">
        <v>0</v>
      </c>
      <c r="P623" t="n">
        <v>0</v>
      </c>
      <c r="Q623" t="n">
        <v>0</v>
      </c>
      <c r="R623" s="2" t="inlineStr"/>
    </row>
    <row r="624" ht="15" customHeight="1">
      <c r="A624" t="inlineStr">
        <is>
          <t>A 58748-2023</t>
        </is>
      </c>
      <c r="B624" s="1" t="n">
        <v>45251.92936342592</v>
      </c>
      <c r="C624" s="1" t="n">
        <v>45966</v>
      </c>
      <c r="D624" t="inlineStr">
        <is>
          <t>VÄSTERNORRLANDS LÄN</t>
        </is>
      </c>
      <c r="E624" t="inlineStr">
        <is>
          <t>ÅNGE</t>
        </is>
      </c>
      <c r="G624" t="n">
        <v>2.7</v>
      </c>
      <c r="H624" t="n">
        <v>0</v>
      </c>
      <c r="I624" t="n">
        <v>0</v>
      </c>
      <c r="J624" t="n">
        <v>0</v>
      </c>
      <c r="K624" t="n">
        <v>0</v>
      </c>
      <c r="L624" t="n">
        <v>0</v>
      </c>
      <c r="M624" t="n">
        <v>0</v>
      </c>
      <c r="N624" t="n">
        <v>0</v>
      </c>
      <c r="O624" t="n">
        <v>0</v>
      </c>
      <c r="P624" t="n">
        <v>0</v>
      </c>
      <c r="Q624" t="n">
        <v>0</v>
      </c>
      <c r="R624" s="2" t="inlineStr"/>
    </row>
    <row r="625" ht="15" customHeight="1">
      <c r="A625" t="inlineStr">
        <is>
          <t>A 51070-2024</t>
        </is>
      </c>
      <c r="B625" s="1" t="n">
        <v>45603</v>
      </c>
      <c r="C625" s="1" t="n">
        <v>45966</v>
      </c>
      <c r="D625" t="inlineStr">
        <is>
          <t>VÄSTERNORRLANDS LÄN</t>
        </is>
      </c>
      <c r="E625" t="inlineStr">
        <is>
          <t>ÅNGE</t>
        </is>
      </c>
      <c r="G625" t="n">
        <v>11.1</v>
      </c>
      <c r="H625" t="n">
        <v>0</v>
      </c>
      <c r="I625" t="n">
        <v>0</v>
      </c>
      <c r="J625" t="n">
        <v>0</v>
      </c>
      <c r="K625" t="n">
        <v>0</v>
      </c>
      <c r="L625" t="n">
        <v>0</v>
      </c>
      <c r="M625" t="n">
        <v>0</v>
      </c>
      <c r="N625" t="n">
        <v>0</v>
      </c>
      <c r="O625" t="n">
        <v>0</v>
      </c>
      <c r="P625" t="n">
        <v>0</v>
      </c>
      <c r="Q625" t="n">
        <v>0</v>
      </c>
      <c r="R625" s="2" t="inlineStr"/>
    </row>
    <row r="626" ht="15" customHeight="1">
      <c r="A626" t="inlineStr">
        <is>
          <t>A 51871-2024</t>
        </is>
      </c>
      <c r="B626" s="1" t="n">
        <v>45607</v>
      </c>
      <c r="C626" s="1" t="n">
        <v>45966</v>
      </c>
      <c r="D626" t="inlineStr">
        <is>
          <t>VÄSTERNORRLANDS LÄN</t>
        </is>
      </c>
      <c r="E626" t="inlineStr">
        <is>
          <t>ÅNGE</t>
        </is>
      </c>
      <c r="F626" t="inlineStr">
        <is>
          <t>SCA</t>
        </is>
      </c>
      <c r="G626" t="n">
        <v>10.1</v>
      </c>
      <c r="H626" t="n">
        <v>0</v>
      </c>
      <c r="I626" t="n">
        <v>0</v>
      </c>
      <c r="J626" t="n">
        <v>0</v>
      </c>
      <c r="K626" t="n">
        <v>0</v>
      </c>
      <c r="L626" t="n">
        <v>0</v>
      </c>
      <c r="M626" t="n">
        <v>0</v>
      </c>
      <c r="N626" t="n">
        <v>0</v>
      </c>
      <c r="O626" t="n">
        <v>0</v>
      </c>
      <c r="P626" t="n">
        <v>0</v>
      </c>
      <c r="Q626" t="n">
        <v>0</v>
      </c>
      <c r="R626" s="2" t="inlineStr"/>
    </row>
    <row r="627" ht="15" customHeight="1">
      <c r="A627" t="inlineStr">
        <is>
          <t>A 57636-2022</t>
        </is>
      </c>
      <c r="B627" s="1" t="n">
        <v>44897</v>
      </c>
      <c r="C627" s="1" t="n">
        <v>45966</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34971-2023</t>
        </is>
      </c>
      <c r="B628" s="1" t="n">
        <v>45142.61635416667</v>
      </c>
      <c r="C628" s="1" t="n">
        <v>45966</v>
      </c>
      <c r="D628" t="inlineStr">
        <is>
          <t>VÄSTERNORRLANDS LÄN</t>
        </is>
      </c>
      <c r="E628" t="inlineStr">
        <is>
          <t>ÅNGE</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47305-2025</t>
        </is>
      </c>
      <c r="B629" s="1" t="n">
        <v>45930</v>
      </c>
      <c r="C629" s="1" t="n">
        <v>45966</v>
      </c>
      <c r="D629" t="inlineStr">
        <is>
          <t>VÄSTERNORRLANDS LÄN</t>
        </is>
      </c>
      <c r="E629" t="inlineStr">
        <is>
          <t>ÅNGE</t>
        </is>
      </c>
      <c r="G629" t="n">
        <v>10.9</v>
      </c>
      <c r="H629" t="n">
        <v>0</v>
      </c>
      <c r="I629" t="n">
        <v>0</v>
      </c>
      <c r="J629" t="n">
        <v>0</v>
      </c>
      <c r="K629" t="n">
        <v>0</v>
      </c>
      <c r="L629" t="n">
        <v>0</v>
      </c>
      <c r="M629" t="n">
        <v>0</v>
      </c>
      <c r="N629" t="n">
        <v>0</v>
      </c>
      <c r="O629" t="n">
        <v>0</v>
      </c>
      <c r="P629" t="n">
        <v>0</v>
      </c>
      <c r="Q629" t="n">
        <v>0</v>
      </c>
      <c r="R629" s="2" t="inlineStr"/>
    </row>
    <row r="630" ht="15" customHeight="1">
      <c r="A630" t="inlineStr">
        <is>
          <t>A 17744-2025</t>
        </is>
      </c>
      <c r="B630" s="1" t="n">
        <v>45758</v>
      </c>
      <c r="C630" s="1" t="n">
        <v>45966</v>
      </c>
      <c r="D630" t="inlineStr">
        <is>
          <t>VÄSTERNORRLANDS LÄN</t>
        </is>
      </c>
      <c r="E630" t="inlineStr">
        <is>
          <t>ÅNGE</t>
        </is>
      </c>
      <c r="G630" t="n">
        <v>5</v>
      </c>
      <c r="H630" t="n">
        <v>0</v>
      </c>
      <c r="I630" t="n">
        <v>0</v>
      </c>
      <c r="J630" t="n">
        <v>0</v>
      </c>
      <c r="K630" t="n">
        <v>0</v>
      </c>
      <c r="L630" t="n">
        <v>0</v>
      </c>
      <c r="M630" t="n">
        <v>0</v>
      </c>
      <c r="N630" t="n">
        <v>0</v>
      </c>
      <c r="O630" t="n">
        <v>0</v>
      </c>
      <c r="P630" t="n">
        <v>0</v>
      </c>
      <c r="Q630" t="n">
        <v>0</v>
      </c>
      <c r="R630" s="2" t="inlineStr"/>
    </row>
    <row r="631" ht="15" customHeight="1">
      <c r="A631" t="inlineStr">
        <is>
          <t>A 55329-2023</t>
        </is>
      </c>
      <c r="B631" s="1" t="n">
        <v>45237</v>
      </c>
      <c r="C631" s="1" t="n">
        <v>45966</v>
      </c>
      <c r="D631" t="inlineStr">
        <is>
          <t>VÄSTERNORRLANDS LÄN</t>
        </is>
      </c>
      <c r="E631" t="inlineStr">
        <is>
          <t>ÅNGE</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44178-2023</t>
        </is>
      </c>
      <c r="B632" s="1" t="n">
        <v>45183</v>
      </c>
      <c r="C632" s="1" t="n">
        <v>45966</v>
      </c>
      <c r="D632" t="inlineStr">
        <is>
          <t>VÄSTERNORRLANDS LÄN</t>
        </is>
      </c>
      <c r="E632" t="inlineStr">
        <is>
          <t>ÅNGE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33783-2024</t>
        </is>
      </c>
      <c r="B633" s="1" t="n">
        <v>45520</v>
      </c>
      <c r="C633" s="1" t="n">
        <v>45966</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52804-2024</t>
        </is>
      </c>
      <c r="B634" s="1" t="n">
        <v>45610.57322916666</v>
      </c>
      <c r="C634" s="1" t="n">
        <v>45966</v>
      </c>
      <c r="D634" t="inlineStr">
        <is>
          <t>VÄSTERNORRLANDS LÄN</t>
        </is>
      </c>
      <c r="E634" t="inlineStr">
        <is>
          <t>ÅNGE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63170-2023</t>
        </is>
      </c>
      <c r="B635" s="1" t="n">
        <v>45273.57087962963</v>
      </c>
      <c r="C635" s="1" t="n">
        <v>45966</v>
      </c>
      <c r="D635" t="inlineStr">
        <is>
          <t>VÄSTERNORRLANDS LÄN</t>
        </is>
      </c>
      <c r="E635" t="inlineStr">
        <is>
          <t>ÅNGE</t>
        </is>
      </c>
      <c r="F635" t="inlineStr">
        <is>
          <t>Holmen skog AB</t>
        </is>
      </c>
      <c r="G635" t="n">
        <v>4.1</v>
      </c>
      <c r="H635" t="n">
        <v>0</v>
      </c>
      <c r="I635" t="n">
        <v>0</v>
      </c>
      <c r="J635" t="n">
        <v>0</v>
      </c>
      <c r="K635" t="n">
        <v>0</v>
      </c>
      <c r="L635" t="n">
        <v>0</v>
      </c>
      <c r="M635" t="n">
        <v>0</v>
      </c>
      <c r="N635" t="n">
        <v>0</v>
      </c>
      <c r="O635" t="n">
        <v>0</v>
      </c>
      <c r="P635" t="n">
        <v>0</v>
      </c>
      <c r="Q635" t="n">
        <v>0</v>
      </c>
      <c r="R635" s="2" t="inlineStr"/>
    </row>
    <row r="636" ht="15" customHeight="1">
      <c r="A636" t="inlineStr">
        <is>
          <t>A 30055-2024</t>
        </is>
      </c>
      <c r="B636" s="1" t="n">
        <v>45488.94767361111</v>
      </c>
      <c r="C636" s="1" t="n">
        <v>45966</v>
      </c>
      <c r="D636" t="inlineStr">
        <is>
          <t>VÄSTERNORRLANDS LÄN</t>
        </is>
      </c>
      <c r="E636" t="inlineStr">
        <is>
          <t>ÅNGE</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41872-2025</t>
        </is>
      </c>
      <c r="B637" s="1" t="n">
        <v>45903.34497685185</v>
      </c>
      <c r="C637" s="1" t="n">
        <v>45966</v>
      </c>
      <c r="D637" t="inlineStr">
        <is>
          <t>VÄSTERNORRLANDS LÄN</t>
        </is>
      </c>
      <c r="E637" t="inlineStr">
        <is>
          <t>ÅNGE</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47792-2022</t>
        </is>
      </c>
      <c r="B638" s="1" t="n">
        <v>44854.95238425926</v>
      </c>
      <c r="C638" s="1" t="n">
        <v>45966</v>
      </c>
      <c r="D638" t="inlineStr">
        <is>
          <t>VÄSTERNORRLANDS LÄN</t>
        </is>
      </c>
      <c r="E638" t="inlineStr">
        <is>
          <t>ÅNGE</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42346-2023</t>
        </is>
      </c>
      <c r="B639" s="1" t="n">
        <v>45180</v>
      </c>
      <c r="C639" s="1" t="n">
        <v>45966</v>
      </c>
      <c r="D639" t="inlineStr">
        <is>
          <t>VÄSTERNORRLANDS LÄN</t>
        </is>
      </c>
      <c r="E639" t="inlineStr">
        <is>
          <t>ÅNGE</t>
        </is>
      </c>
      <c r="G639" t="n">
        <v>9.300000000000001</v>
      </c>
      <c r="H639" t="n">
        <v>0</v>
      </c>
      <c r="I639" t="n">
        <v>0</v>
      </c>
      <c r="J639" t="n">
        <v>0</v>
      </c>
      <c r="K639" t="n">
        <v>0</v>
      </c>
      <c r="L639" t="n">
        <v>0</v>
      </c>
      <c r="M639" t="n">
        <v>0</v>
      </c>
      <c r="N639" t="n">
        <v>0</v>
      </c>
      <c r="O639" t="n">
        <v>0</v>
      </c>
      <c r="P639" t="n">
        <v>0</v>
      </c>
      <c r="Q639" t="n">
        <v>0</v>
      </c>
      <c r="R639" s="2" t="inlineStr"/>
    </row>
    <row r="640" ht="15" customHeight="1">
      <c r="A640" t="inlineStr">
        <is>
          <t>A 41870-2025</t>
        </is>
      </c>
      <c r="B640" s="1" t="n">
        <v>45903.3446412037</v>
      </c>
      <c r="C640" s="1" t="n">
        <v>45966</v>
      </c>
      <c r="D640" t="inlineStr">
        <is>
          <t>VÄSTERNORRLANDS LÄN</t>
        </is>
      </c>
      <c r="E640" t="inlineStr">
        <is>
          <t>ÅNGE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1975-2025</t>
        </is>
      </c>
      <c r="B641" s="1" t="n">
        <v>45672.39332175926</v>
      </c>
      <c r="C641" s="1" t="n">
        <v>45966</v>
      </c>
      <c r="D641" t="inlineStr">
        <is>
          <t>VÄSTERNORRLANDS LÄN</t>
        </is>
      </c>
      <c r="E641" t="inlineStr">
        <is>
          <t>ÅNGE</t>
        </is>
      </c>
      <c r="G641" t="n">
        <v>6.2</v>
      </c>
      <c r="H641" t="n">
        <v>0</v>
      </c>
      <c r="I641" t="n">
        <v>0</v>
      </c>
      <c r="J641" t="n">
        <v>0</v>
      </c>
      <c r="K641" t="n">
        <v>0</v>
      </c>
      <c r="L641" t="n">
        <v>0</v>
      </c>
      <c r="M641" t="n">
        <v>0</v>
      </c>
      <c r="N641" t="n">
        <v>0</v>
      </c>
      <c r="O641" t="n">
        <v>0</v>
      </c>
      <c r="P641" t="n">
        <v>0</v>
      </c>
      <c r="Q641" t="n">
        <v>0</v>
      </c>
      <c r="R641" s="2" t="inlineStr"/>
    </row>
    <row r="642" ht="15" customHeight="1">
      <c r="A642" t="inlineStr">
        <is>
          <t>A 15404-2025</t>
        </is>
      </c>
      <c r="B642" s="1" t="n">
        <v>45747.44665509259</v>
      </c>
      <c r="C642" s="1" t="n">
        <v>45966</v>
      </c>
      <c r="D642" t="inlineStr">
        <is>
          <t>VÄSTERNORRLANDS LÄN</t>
        </is>
      </c>
      <c r="E642" t="inlineStr">
        <is>
          <t>ÅNGE</t>
        </is>
      </c>
      <c r="G642" t="n">
        <v>11.8</v>
      </c>
      <c r="H642" t="n">
        <v>0</v>
      </c>
      <c r="I642" t="n">
        <v>0</v>
      </c>
      <c r="J642" t="n">
        <v>0</v>
      </c>
      <c r="K642" t="n">
        <v>0</v>
      </c>
      <c r="L642" t="n">
        <v>0</v>
      </c>
      <c r="M642" t="n">
        <v>0</v>
      </c>
      <c r="N642" t="n">
        <v>0</v>
      </c>
      <c r="O642" t="n">
        <v>0</v>
      </c>
      <c r="P642" t="n">
        <v>0</v>
      </c>
      <c r="Q642" t="n">
        <v>0</v>
      </c>
      <c r="R642" s="2" t="inlineStr"/>
    </row>
    <row r="643" ht="15" customHeight="1">
      <c r="A643" t="inlineStr">
        <is>
          <t>A 38099-2024</t>
        </is>
      </c>
      <c r="B643" s="1" t="n">
        <v>45545.35920138889</v>
      </c>
      <c r="C643" s="1" t="n">
        <v>45966</v>
      </c>
      <c r="D643" t="inlineStr">
        <is>
          <t>VÄSTERNORRLANDS LÄN</t>
        </is>
      </c>
      <c r="E643" t="inlineStr">
        <is>
          <t>ÅNGE</t>
        </is>
      </c>
      <c r="F643" t="inlineStr">
        <is>
          <t>Holmen skog AB</t>
        </is>
      </c>
      <c r="G643" t="n">
        <v>3.7</v>
      </c>
      <c r="H643" t="n">
        <v>0</v>
      </c>
      <c r="I643" t="n">
        <v>0</v>
      </c>
      <c r="J643" t="n">
        <v>0</v>
      </c>
      <c r="K643" t="n">
        <v>0</v>
      </c>
      <c r="L643" t="n">
        <v>0</v>
      </c>
      <c r="M643" t="n">
        <v>0</v>
      </c>
      <c r="N643" t="n">
        <v>0</v>
      </c>
      <c r="O643" t="n">
        <v>0</v>
      </c>
      <c r="P643" t="n">
        <v>0</v>
      </c>
      <c r="Q643" t="n">
        <v>0</v>
      </c>
      <c r="R643" s="2" t="inlineStr"/>
    </row>
    <row r="644" ht="15" customHeight="1">
      <c r="A644" t="inlineStr">
        <is>
          <t>A 50460-2025</t>
        </is>
      </c>
      <c r="B644" s="1" t="n">
        <v>45945.345</v>
      </c>
      <c r="C644" s="1" t="n">
        <v>45966</v>
      </c>
      <c r="D644" t="inlineStr">
        <is>
          <t>VÄSTERNORRLANDS LÄN</t>
        </is>
      </c>
      <c r="E644" t="inlineStr">
        <is>
          <t>ÅNGE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137-2025</t>
        </is>
      </c>
      <c r="B645" s="1" t="n">
        <v>45659.57684027778</v>
      </c>
      <c r="C645" s="1" t="n">
        <v>45966</v>
      </c>
      <c r="D645" t="inlineStr">
        <is>
          <t>VÄSTERNORRLANDS LÄN</t>
        </is>
      </c>
      <c r="E645" t="inlineStr">
        <is>
          <t>ÅNGE</t>
        </is>
      </c>
      <c r="G645" t="n">
        <v>0.2</v>
      </c>
      <c r="H645" t="n">
        <v>0</v>
      </c>
      <c r="I645" t="n">
        <v>0</v>
      </c>
      <c r="J645" t="n">
        <v>0</v>
      </c>
      <c r="K645" t="n">
        <v>0</v>
      </c>
      <c r="L645" t="n">
        <v>0</v>
      </c>
      <c r="M645" t="n">
        <v>0</v>
      </c>
      <c r="N645" t="n">
        <v>0</v>
      </c>
      <c r="O645" t="n">
        <v>0</v>
      </c>
      <c r="P645" t="n">
        <v>0</v>
      </c>
      <c r="Q645" t="n">
        <v>0</v>
      </c>
      <c r="R645" s="2" t="inlineStr"/>
    </row>
    <row r="646" ht="15" customHeight="1">
      <c r="A646" t="inlineStr">
        <is>
          <t>A 55380-2024</t>
        </is>
      </c>
      <c r="B646" s="1" t="n">
        <v>45622.28810185185</v>
      </c>
      <c r="C646" s="1" t="n">
        <v>45966</v>
      </c>
      <c r="D646" t="inlineStr">
        <is>
          <t>VÄSTERNORRLANDS LÄN</t>
        </is>
      </c>
      <c r="E646" t="inlineStr">
        <is>
          <t>ÅNGE</t>
        </is>
      </c>
      <c r="G646" t="n">
        <v>1.1</v>
      </c>
      <c r="H646" t="n">
        <v>0</v>
      </c>
      <c r="I646" t="n">
        <v>0</v>
      </c>
      <c r="J646" t="n">
        <v>0</v>
      </c>
      <c r="K646" t="n">
        <v>0</v>
      </c>
      <c r="L646" t="n">
        <v>0</v>
      </c>
      <c r="M646" t="n">
        <v>0</v>
      </c>
      <c r="N646" t="n">
        <v>0</v>
      </c>
      <c r="O646" t="n">
        <v>0</v>
      </c>
      <c r="P646" t="n">
        <v>0</v>
      </c>
      <c r="Q646" t="n">
        <v>0</v>
      </c>
      <c r="R646" s="2" t="inlineStr"/>
    </row>
    <row r="647" ht="15" customHeight="1">
      <c r="A647" t="inlineStr">
        <is>
          <t>A 56615-2023</t>
        </is>
      </c>
      <c r="B647" s="1" t="n">
        <v>45243</v>
      </c>
      <c r="C647" s="1" t="n">
        <v>45966</v>
      </c>
      <c r="D647" t="inlineStr">
        <is>
          <t>VÄSTERNORRLANDS LÄN</t>
        </is>
      </c>
      <c r="E647" t="inlineStr">
        <is>
          <t>ÅNGE</t>
        </is>
      </c>
      <c r="G647" t="n">
        <v>7.4</v>
      </c>
      <c r="H647" t="n">
        <v>0</v>
      </c>
      <c r="I647" t="n">
        <v>0</v>
      </c>
      <c r="J647" t="n">
        <v>0</v>
      </c>
      <c r="K647" t="n">
        <v>0</v>
      </c>
      <c r="L647" t="n">
        <v>0</v>
      </c>
      <c r="M647" t="n">
        <v>0</v>
      </c>
      <c r="N647" t="n">
        <v>0</v>
      </c>
      <c r="O647" t="n">
        <v>0</v>
      </c>
      <c r="P647" t="n">
        <v>0</v>
      </c>
      <c r="Q647" t="n">
        <v>0</v>
      </c>
      <c r="R647" s="2" t="inlineStr"/>
    </row>
    <row r="648" ht="15" customHeight="1">
      <c r="A648" t="inlineStr">
        <is>
          <t>A 50571-2025</t>
        </is>
      </c>
      <c r="B648" s="1" t="n">
        <v>45945.57443287037</v>
      </c>
      <c r="C648" s="1" t="n">
        <v>45966</v>
      </c>
      <c r="D648" t="inlineStr">
        <is>
          <t>VÄSTERNORRLANDS LÄN</t>
        </is>
      </c>
      <c r="E648" t="inlineStr">
        <is>
          <t>ÅNGE</t>
        </is>
      </c>
      <c r="G648" t="n">
        <v>2.5</v>
      </c>
      <c r="H648" t="n">
        <v>0</v>
      </c>
      <c r="I648" t="n">
        <v>0</v>
      </c>
      <c r="J648" t="n">
        <v>0</v>
      </c>
      <c r="K648" t="n">
        <v>0</v>
      </c>
      <c r="L648" t="n">
        <v>0</v>
      </c>
      <c r="M648" t="n">
        <v>0</v>
      </c>
      <c r="N648" t="n">
        <v>0</v>
      </c>
      <c r="O648" t="n">
        <v>0</v>
      </c>
      <c r="P648" t="n">
        <v>0</v>
      </c>
      <c r="Q648" t="n">
        <v>0</v>
      </c>
      <c r="R648" s="2" t="inlineStr"/>
    </row>
    <row r="649" ht="15" customHeight="1">
      <c r="A649" t="inlineStr">
        <is>
          <t>A 57601-2022</t>
        </is>
      </c>
      <c r="B649" s="1" t="n">
        <v>44896</v>
      </c>
      <c r="C649" s="1" t="n">
        <v>45966</v>
      </c>
      <c r="D649" t="inlineStr">
        <is>
          <t>VÄSTERNORRLANDS LÄN</t>
        </is>
      </c>
      <c r="E649" t="inlineStr">
        <is>
          <t>ÅNGE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22678-2024</t>
        </is>
      </c>
      <c r="B650" s="1" t="n">
        <v>45447.94533564815</v>
      </c>
      <c r="C650" s="1" t="n">
        <v>45966</v>
      </c>
      <c r="D650" t="inlineStr">
        <is>
          <t>VÄSTERNORRLANDS LÄN</t>
        </is>
      </c>
      <c r="E650" t="inlineStr">
        <is>
          <t>ÅNGE</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64121-2021</t>
        </is>
      </c>
      <c r="B651" s="1" t="n">
        <v>44510.4730787037</v>
      </c>
      <c r="C651" s="1" t="n">
        <v>45966</v>
      </c>
      <c r="D651" t="inlineStr">
        <is>
          <t>VÄSTERNORRLANDS LÄN</t>
        </is>
      </c>
      <c r="E651" t="inlineStr">
        <is>
          <t>ÅNGE</t>
        </is>
      </c>
      <c r="G651" t="n">
        <v>1.1</v>
      </c>
      <c r="H651" t="n">
        <v>0</v>
      </c>
      <c r="I651" t="n">
        <v>0</v>
      </c>
      <c r="J651" t="n">
        <v>0</v>
      </c>
      <c r="K651" t="n">
        <v>0</v>
      </c>
      <c r="L651" t="n">
        <v>0</v>
      </c>
      <c r="M651" t="n">
        <v>0</v>
      </c>
      <c r="N651" t="n">
        <v>0</v>
      </c>
      <c r="O651" t="n">
        <v>0</v>
      </c>
      <c r="P651" t="n">
        <v>0</v>
      </c>
      <c r="Q651" t="n">
        <v>0</v>
      </c>
      <c r="R651" s="2" t="inlineStr"/>
    </row>
    <row r="652" ht="15" customHeight="1">
      <c r="A652" t="inlineStr">
        <is>
          <t>A 50291-2025</t>
        </is>
      </c>
      <c r="B652" s="1" t="n">
        <v>45944.40677083333</v>
      </c>
      <c r="C652" s="1" t="n">
        <v>45966</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71965-2021</t>
        </is>
      </c>
      <c r="B653" s="1" t="n">
        <v>44544.32483796297</v>
      </c>
      <c r="C653" s="1" t="n">
        <v>45966</v>
      </c>
      <c r="D653" t="inlineStr">
        <is>
          <t>VÄSTERNORRLANDS LÄN</t>
        </is>
      </c>
      <c r="E653" t="inlineStr">
        <is>
          <t>ÅNGE</t>
        </is>
      </c>
      <c r="G653" t="n">
        <v>0.8</v>
      </c>
      <c r="H653" t="n">
        <v>0</v>
      </c>
      <c r="I653" t="n">
        <v>0</v>
      </c>
      <c r="J653" t="n">
        <v>0</v>
      </c>
      <c r="K653" t="n">
        <v>0</v>
      </c>
      <c r="L653" t="n">
        <v>0</v>
      </c>
      <c r="M653" t="n">
        <v>0</v>
      </c>
      <c r="N653" t="n">
        <v>0</v>
      </c>
      <c r="O653" t="n">
        <v>0</v>
      </c>
      <c r="P653" t="n">
        <v>0</v>
      </c>
      <c r="Q653" t="n">
        <v>0</v>
      </c>
      <c r="R653" s="2" t="inlineStr"/>
    </row>
    <row r="654" ht="15" customHeight="1">
      <c r="A654" t="inlineStr">
        <is>
          <t>A 62834-2021</t>
        </is>
      </c>
      <c r="B654" s="1" t="n">
        <v>44503</v>
      </c>
      <c r="C654" s="1" t="n">
        <v>45966</v>
      </c>
      <c r="D654" t="inlineStr">
        <is>
          <t>VÄSTERNORRLANDS LÄN</t>
        </is>
      </c>
      <c r="E654" t="inlineStr">
        <is>
          <t>ÅNGE</t>
        </is>
      </c>
      <c r="F654" t="inlineStr">
        <is>
          <t>Övriga statliga verk och myndigheter</t>
        </is>
      </c>
      <c r="G654" t="n">
        <v>2.6</v>
      </c>
      <c r="H654" t="n">
        <v>0</v>
      </c>
      <c r="I654" t="n">
        <v>0</v>
      </c>
      <c r="J654" t="n">
        <v>0</v>
      </c>
      <c r="K654" t="n">
        <v>0</v>
      </c>
      <c r="L654" t="n">
        <v>0</v>
      </c>
      <c r="M654" t="n">
        <v>0</v>
      </c>
      <c r="N654" t="n">
        <v>0</v>
      </c>
      <c r="O654" t="n">
        <v>0</v>
      </c>
      <c r="P654" t="n">
        <v>0</v>
      </c>
      <c r="Q654" t="n">
        <v>0</v>
      </c>
      <c r="R654" s="2" t="inlineStr"/>
    </row>
    <row r="655" ht="15" customHeight="1">
      <c r="A655" t="inlineStr">
        <is>
          <t>A 7535-2023</t>
        </is>
      </c>
      <c r="B655" s="1" t="n">
        <v>44971</v>
      </c>
      <c r="C655" s="1" t="n">
        <v>45966</v>
      </c>
      <c r="D655" t="inlineStr">
        <is>
          <t>VÄSTERNORRLANDS LÄN</t>
        </is>
      </c>
      <c r="E655" t="inlineStr">
        <is>
          <t>ÅNGE</t>
        </is>
      </c>
      <c r="F655" t="inlineStr">
        <is>
          <t>SCA</t>
        </is>
      </c>
      <c r="G655" t="n">
        <v>14.6</v>
      </c>
      <c r="H655" t="n">
        <v>0</v>
      </c>
      <c r="I655" t="n">
        <v>0</v>
      </c>
      <c r="J655" t="n">
        <v>0</v>
      </c>
      <c r="K655" t="n">
        <v>0</v>
      </c>
      <c r="L655" t="n">
        <v>0</v>
      </c>
      <c r="M655" t="n">
        <v>0</v>
      </c>
      <c r="N655" t="n">
        <v>0</v>
      </c>
      <c r="O655" t="n">
        <v>0</v>
      </c>
      <c r="P655" t="n">
        <v>0</v>
      </c>
      <c r="Q655" t="n">
        <v>0</v>
      </c>
      <c r="R655" s="2" t="inlineStr"/>
    </row>
    <row r="656" ht="15" customHeight="1">
      <c r="A656" t="inlineStr">
        <is>
          <t>A 5035-2025</t>
        </is>
      </c>
      <c r="B656" s="1" t="n">
        <v>45691</v>
      </c>
      <c r="C656" s="1" t="n">
        <v>45966</v>
      </c>
      <c r="D656" t="inlineStr">
        <is>
          <t>VÄSTERNORRLANDS LÄN</t>
        </is>
      </c>
      <c r="E656" t="inlineStr">
        <is>
          <t>ÅNGE</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41586-2024</t>
        </is>
      </c>
      <c r="B657" s="1" t="n">
        <v>45560.56089120371</v>
      </c>
      <c r="C657" s="1" t="n">
        <v>45966</v>
      </c>
      <c r="D657" t="inlineStr">
        <is>
          <t>VÄSTERNORRLANDS LÄN</t>
        </is>
      </c>
      <c r="E657" t="inlineStr">
        <is>
          <t>ÅNGE</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50767-2025</t>
        </is>
      </c>
      <c r="B658" s="1" t="n">
        <v>45946</v>
      </c>
      <c r="C658" s="1" t="n">
        <v>45966</v>
      </c>
      <c r="D658" t="inlineStr">
        <is>
          <t>VÄSTERNORRLANDS LÄN</t>
        </is>
      </c>
      <c r="E658" t="inlineStr">
        <is>
          <t>ÅNGE</t>
        </is>
      </c>
      <c r="G658" t="n">
        <v>0.7</v>
      </c>
      <c r="H658" t="n">
        <v>0</v>
      </c>
      <c r="I658" t="n">
        <v>0</v>
      </c>
      <c r="J658" t="n">
        <v>0</v>
      </c>
      <c r="K658" t="n">
        <v>0</v>
      </c>
      <c r="L658" t="n">
        <v>0</v>
      </c>
      <c r="M658" t="n">
        <v>0</v>
      </c>
      <c r="N658" t="n">
        <v>0</v>
      </c>
      <c r="O658" t="n">
        <v>0</v>
      </c>
      <c r="P658" t="n">
        <v>0</v>
      </c>
      <c r="Q658" t="n">
        <v>0</v>
      </c>
      <c r="R658" s="2" t="inlineStr"/>
    </row>
    <row r="659" ht="15" customHeight="1">
      <c r="A659" t="inlineStr">
        <is>
          <t>A 48946-2024</t>
        </is>
      </c>
      <c r="B659" s="1" t="n">
        <v>45594.42736111111</v>
      </c>
      <c r="C659" s="1" t="n">
        <v>45966</v>
      </c>
      <c r="D659" t="inlineStr">
        <is>
          <t>VÄSTERNORRLANDS LÄN</t>
        </is>
      </c>
      <c r="E659" t="inlineStr">
        <is>
          <t>ÅNGE</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1403-2025</t>
        </is>
      </c>
      <c r="B660" s="1" t="n">
        <v>45667.70548611111</v>
      </c>
      <c r="C660" s="1" t="n">
        <v>45966</v>
      </c>
      <c r="D660" t="inlineStr">
        <is>
          <t>VÄSTERNORRLANDS LÄN</t>
        </is>
      </c>
      <c r="E660" t="inlineStr">
        <is>
          <t>ÅNGE</t>
        </is>
      </c>
      <c r="G660" t="n">
        <v>1.3</v>
      </c>
      <c r="H660" t="n">
        <v>0</v>
      </c>
      <c r="I660" t="n">
        <v>0</v>
      </c>
      <c r="J660" t="n">
        <v>0</v>
      </c>
      <c r="K660" t="n">
        <v>0</v>
      </c>
      <c r="L660" t="n">
        <v>0</v>
      </c>
      <c r="M660" t="n">
        <v>0</v>
      </c>
      <c r="N660" t="n">
        <v>0</v>
      </c>
      <c r="O660" t="n">
        <v>0</v>
      </c>
      <c r="P660" t="n">
        <v>0</v>
      </c>
      <c r="Q660" t="n">
        <v>0</v>
      </c>
      <c r="R660" s="2" t="inlineStr"/>
    </row>
    <row r="661" ht="15" customHeight="1">
      <c r="A661" t="inlineStr">
        <is>
          <t>A 21456-2025</t>
        </is>
      </c>
      <c r="B661" s="1" t="n">
        <v>45782.55342592593</v>
      </c>
      <c r="C661" s="1" t="n">
        <v>45966</v>
      </c>
      <c r="D661" t="inlineStr">
        <is>
          <t>VÄSTERNORRLANDS LÄN</t>
        </is>
      </c>
      <c r="E661" t="inlineStr">
        <is>
          <t>ÅNGE</t>
        </is>
      </c>
      <c r="F661" t="inlineStr">
        <is>
          <t>SCA</t>
        </is>
      </c>
      <c r="G661" t="n">
        <v>6.2</v>
      </c>
      <c r="H661" t="n">
        <v>0</v>
      </c>
      <c r="I661" t="n">
        <v>0</v>
      </c>
      <c r="J661" t="n">
        <v>0</v>
      </c>
      <c r="K661" t="n">
        <v>0</v>
      </c>
      <c r="L661" t="n">
        <v>0</v>
      </c>
      <c r="M661" t="n">
        <v>0</v>
      </c>
      <c r="N661" t="n">
        <v>0</v>
      </c>
      <c r="O661" t="n">
        <v>0</v>
      </c>
      <c r="P661" t="n">
        <v>0</v>
      </c>
      <c r="Q661" t="n">
        <v>0</v>
      </c>
      <c r="R661" s="2" t="inlineStr"/>
    </row>
    <row r="662" ht="15" customHeight="1">
      <c r="A662" t="inlineStr">
        <is>
          <t>A 24324-2022</t>
        </is>
      </c>
      <c r="B662" s="1" t="n">
        <v>44725.945</v>
      </c>
      <c r="C662" s="1" t="n">
        <v>45966</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24325-2022</t>
        </is>
      </c>
      <c r="B663" s="1" t="n">
        <v>44725.94506944445</v>
      </c>
      <c r="C663" s="1" t="n">
        <v>45966</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42589-2025</t>
        </is>
      </c>
      <c r="B664" s="1" t="n">
        <v>45905.63585648148</v>
      </c>
      <c r="C664" s="1" t="n">
        <v>45966</v>
      </c>
      <c r="D664" t="inlineStr">
        <is>
          <t>VÄSTERNORRLANDS LÄN</t>
        </is>
      </c>
      <c r="E664" t="inlineStr">
        <is>
          <t>ÅNGE</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9619-2021</t>
        </is>
      </c>
      <c r="B665" s="1" t="n">
        <v>44251</v>
      </c>
      <c r="C665" s="1" t="n">
        <v>45966</v>
      </c>
      <c r="D665" t="inlineStr">
        <is>
          <t>VÄSTERNORRLANDS LÄN</t>
        </is>
      </c>
      <c r="E665" t="inlineStr">
        <is>
          <t>ÅNGE</t>
        </is>
      </c>
      <c r="G665" t="n">
        <v>10.4</v>
      </c>
      <c r="H665" t="n">
        <v>0</v>
      </c>
      <c r="I665" t="n">
        <v>0</v>
      </c>
      <c r="J665" t="n">
        <v>0</v>
      </c>
      <c r="K665" t="n">
        <v>0</v>
      </c>
      <c r="L665" t="n">
        <v>0</v>
      </c>
      <c r="M665" t="n">
        <v>0</v>
      </c>
      <c r="N665" t="n">
        <v>0</v>
      </c>
      <c r="O665" t="n">
        <v>0</v>
      </c>
      <c r="P665" t="n">
        <v>0</v>
      </c>
      <c r="Q665" t="n">
        <v>0</v>
      </c>
      <c r="R665" s="2" t="inlineStr"/>
    </row>
    <row r="666" ht="15" customHeight="1">
      <c r="A666" t="inlineStr">
        <is>
          <t>A 60365-2024</t>
        </is>
      </c>
      <c r="B666" s="1" t="n">
        <v>45643</v>
      </c>
      <c r="C666" s="1" t="n">
        <v>45966</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50769-2025</t>
        </is>
      </c>
      <c r="B667" s="1" t="n">
        <v>45946.44864583333</v>
      </c>
      <c r="C667" s="1" t="n">
        <v>45966</v>
      </c>
      <c r="D667" t="inlineStr">
        <is>
          <t>VÄSTERNORRLANDS LÄN</t>
        </is>
      </c>
      <c r="E667" t="inlineStr">
        <is>
          <t>ÅNGE</t>
        </is>
      </c>
      <c r="G667" t="n">
        <v>3.4</v>
      </c>
      <c r="H667" t="n">
        <v>0</v>
      </c>
      <c r="I667" t="n">
        <v>0</v>
      </c>
      <c r="J667" t="n">
        <v>0</v>
      </c>
      <c r="K667" t="n">
        <v>0</v>
      </c>
      <c r="L667" t="n">
        <v>0</v>
      </c>
      <c r="M667" t="n">
        <v>0</v>
      </c>
      <c r="N667" t="n">
        <v>0</v>
      </c>
      <c r="O667" t="n">
        <v>0</v>
      </c>
      <c r="P667" t="n">
        <v>0</v>
      </c>
      <c r="Q667" t="n">
        <v>0</v>
      </c>
      <c r="R667" s="2" t="inlineStr"/>
    </row>
    <row r="668" ht="15" customHeight="1">
      <c r="A668" t="inlineStr">
        <is>
          <t>A 20393-2022</t>
        </is>
      </c>
      <c r="B668" s="1" t="n">
        <v>44699</v>
      </c>
      <c r="C668" s="1" t="n">
        <v>45966</v>
      </c>
      <c r="D668" t="inlineStr">
        <is>
          <t>VÄSTERNORRLANDS LÄN</t>
        </is>
      </c>
      <c r="E668" t="inlineStr">
        <is>
          <t>ÅNGE</t>
        </is>
      </c>
      <c r="G668" t="n">
        <v>6.9</v>
      </c>
      <c r="H668" t="n">
        <v>0</v>
      </c>
      <c r="I668" t="n">
        <v>0</v>
      </c>
      <c r="J668" t="n">
        <v>0</v>
      </c>
      <c r="K668" t="n">
        <v>0</v>
      </c>
      <c r="L668" t="n">
        <v>0</v>
      </c>
      <c r="M668" t="n">
        <v>0</v>
      </c>
      <c r="N668" t="n">
        <v>0</v>
      </c>
      <c r="O668" t="n">
        <v>0</v>
      </c>
      <c r="P668" t="n">
        <v>0</v>
      </c>
      <c r="Q668" t="n">
        <v>0</v>
      </c>
      <c r="R668" s="2" t="inlineStr"/>
    </row>
    <row r="669" ht="15" customHeight="1">
      <c r="A669" t="inlineStr">
        <is>
          <t>A 25320-2023</t>
        </is>
      </c>
      <c r="B669" s="1" t="n">
        <v>45086.93929398148</v>
      </c>
      <c r="C669" s="1" t="n">
        <v>45966</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59626-2022</t>
        </is>
      </c>
      <c r="B670" s="1" t="n">
        <v>44907.92354166666</v>
      </c>
      <c r="C670" s="1" t="n">
        <v>45966</v>
      </c>
      <c r="D670" t="inlineStr">
        <is>
          <t>VÄSTERNORRLANDS LÄN</t>
        </is>
      </c>
      <c r="E670" t="inlineStr">
        <is>
          <t>ÅNGE</t>
        </is>
      </c>
      <c r="G670" t="n">
        <v>1.4</v>
      </c>
      <c r="H670" t="n">
        <v>0</v>
      </c>
      <c r="I670" t="n">
        <v>0</v>
      </c>
      <c r="J670" t="n">
        <v>0</v>
      </c>
      <c r="K670" t="n">
        <v>0</v>
      </c>
      <c r="L670" t="n">
        <v>0</v>
      </c>
      <c r="M670" t="n">
        <v>0</v>
      </c>
      <c r="N670" t="n">
        <v>0</v>
      </c>
      <c r="O670" t="n">
        <v>0</v>
      </c>
      <c r="P670" t="n">
        <v>0</v>
      </c>
      <c r="Q670" t="n">
        <v>0</v>
      </c>
      <c r="R670" s="2" t="inlineStr"/>
    </row>
    <row r="671" ht="15" customHeight="1">
      <c r="A671" t="inlineStr">
        <is>
          <t>A 33429-2023</t>
        </is>
      </c>
      <c r="B671" s="1" t="n">
        <v>45128.94983796297</v>
      </c>
      <c r="C671" s="1" t="n">
        <v>45966</v>
      </c>
      <c r="D671" t="inlineStr">
        <is>
          <t>VÄSTERNORRLANDS LÄN</t>
        </is>
      </c>
      <c r="E671" t="inlineStr">
        <is>
          <t>ÅNGE</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34852-2023</t>
        </is>
      </c>
      <c r="B672" s="1" t="n">
        <v>45141</v>
      </c>
      <c r="C672" s="1" t="n">
        <v>45966</v>
      </c>
      <c r="D672" t="inlineStr">
        <is>
          <t>VÄSTERNORRLANDS LÄN</t>
        </is>
      </c>
      <c r="E672" t="inlineStr">
        <is>
          <t>ÅNGE</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15032-2025</t>
        </is>
      </c>
      <c r="B673" s="1" t="n">
        <v>45743.67748842593</v>
      </c>
      <c r="C673" s="1" t="n">
        <v>45966</v>
      </c>
      <c r="D673" t="inlineStr">
        <is>
          <t>VÄSTERNORRLANDS LÄN</t>
        </is>
      </c>
      <c r="E673" t="inlineStr">
        <is>
          <t>ÅNGE</t>
        </is>
      </c>
      <c r="F673" t="inlineStr">
        <is>
          <t>SCA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22597-2021</t>
        </is>
      </c>
      <c r="B674" s="1" t="n">
        <v>44326</v>
      </c>
      <c r="C674" s="1" t="n">
        <v>45966</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45966</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20255-2023</t>
        </is>
      </c>
      <c r="B676" s="1" t="n">
        <v>45055</v>
      </c>
      <c r="C676" s="1" t="n">
        <v>45966</v>
      </c>
      <c r="D676" t="inlineStr">
        <is>
          <t>VÄSTERNORRLANDS LÄN</t>
        </is>
      </c>
      <c r="E676" t="inlineStr">
        <is>
          <t>ÅNGE</t>
        </is>
      </c>
      <c r="G676" t="n">
        <v>1.4</v>
      </c>
      <c r="H676" t="n">
        <v>0</v>
      </c>
      <c r="I676" t="n">
        <v>0</v>
      </c>
      <c r="J676" t="n">
        <v>0</v>
      </c>
      <c r="K676" t="n">
        <v>0</v>
      </c>
      <c r="L676" t="n">
        <v>0</v>
      </c>
      <c r="M676" t="n">
        <v>0</v>
      </c>
      <c r="N676" t="n">
        <v>0</v>
      </c>
      <c r="O676" t="n">
        <v>0</v>
      </c>
      <c r="P676" t="n">
        <v>0</v>
      </c>
      <c r="Q676" t="n">
        <v>0</v>
      </c>
      <c r="R676" s="2" t="inlineStr"/>
    </row>
    <row r="677" ht="15" customHeight="1">
      <c r="A677" t="inlineStr">
        <is>
          <t>A 40788-2024</t>
        </is>
      </c>
      <c r="B677" s="1" t="n">
        <v>45558.50974537037</v>
      </c>
      <c r="C677" s="1" t="n">
        <v>45966</v>
      </c>
      <c r="D677" t="inlineStr">
        <is>
          <t>VÄSTERNORRLANDS LÄN</t>
        </is>
      </c>
      <c r="E677" t="inlineStr">
        <is>
          <t>ÅNGE</t>
        </is>
      </c>
      <c r="G677" t="n">
        <v>4.2</v>
      </c>
      <c r="H677" t="n">
        <v>0</v>
      </c>
      <c r="I677" t="n">
        <v>0</v>
      </c>
      <c r="J677" t="n">
        <v>0</v>
      </c>
      <c r="K677" t="n">
        <v>0</v>
      </c>
      <c r="L677" t="n">
        <v>0</v>
      </c>
      <c r="M677" t="n">
        <v>0</v>
      </c>
      <c r="N677" t="n">
        <v>0</v>
      </c>
      <c r="O677" t="n">
        <v>0</v>
      </c>
      <c r="P677" t="n">
        <v>0</v>
      </c>
      <c r="Q677" t="n">
        <v>0</v>
      </c>
      <c r="R677" s="2" t="inlineStr"/>
    </row>
    <row r="678" ht="15" customHeight="1">
      <c r="A678" t="inlineStr">
        <is>
          <t>A 27306-2024</t>
        </is>
      </c>
      <c r="B678" s="1" t="n">
        <v>45471.94454861111</v>
      </c>
      <c r="C678" s="1" t="n">
        <v>45966</v>
      </c>
      <c r="D678" t="inlineStr">
        <is>
          <t>VÄSTERNORRLANDS LÄN</t>
        </is>
      </c>
      <c r="E678" t="inlineStr">
        <is>
          <t>ÅNGE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51109-2025</t>
        </is>
      </c>
      <c r="B679" s="1" t="n">
        <v>45947.50263888889</v>
      </c>
      <c r="C679" s="1" t="n">
        <v>45966</v>
      </c>
      <c r="D679" t="inlineStr">
        <is>
          <t>VÄSTERNORRLANDS LÄN</t>
        </is>
      </c>
      <c r="E679" t="inlineStr">
        <is>
          <t>ÅNGE</t>
        </is>
      </c>
      <c r="F679" t="inlineStr">
        <is>
          <t>Holmen skog AB</t>
        </is>
      </c>
      <c r="G679" t="n">
        <v>2.4</v>
      </c>
      <c r="H679" t="n">
        <v>0</v>
      </c>
      <c r="I679" t="n">
        <v>0</v>
      </c>
      <c r="J679" t="n">
        <v>0</v>
      </c>
      <c r="K679" t="n">
        <v>0</v>
      </c>
      <c r="L679" t="n">
        <v>0</v>
      </c>
      <c r="M679" t="n">
        <v>0</v>
      </c>
      <c r="N679" t="n">
        <v>0</v>
      </c>
      <c r="O679" t="n">
        <v>0</v>
      </c>
      <c r="P679" t="n">
        <v>0</v>
      </c>
      <c r="Q679" t="n">
        <v>0</v>
      </c>
      <c r="R679" s="2" t="inlineStr"/>
    </row>
    <row r="680" ht="15" customHeight="1">
      <c r="A680" t="inlineStr">
        <is>
          <t>A 59818-2024</t>
        </is>
      </c>
      <c r="B680" s="1" t="n">
        <v>45639.63572916666</v>
      </c>
      <c r="C680" s="1" t="n">
        <v>45966</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11871-2025</t>
        </is>
      </c>
      <c r="B681" s="1" t="n">
        <v>45728.42740740741</v>
      </c>
      <c r="C681" s="1" t="n">
        <v>45966</v>
      </c>
      <c r="D681" t="inlineStr">
        <is>
          <t>VÄSTERNORRLANDS LÄN</t>
        </is>
      </c>
      <c r="E681" t="inlineStr">
        <is>
          <t>ÅNGE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16978-2024</t>
        </is>
      </c>
      <c r="B682" s="1" t="n">
        <v>45412.02416666667</v>
      </c>
      <c r="C682" s="1" t="n">
        <v>45966</v>
      </c>
      <c r="D682" t="inlineStr">
        <is>
          <t>VÄSTERNORRLANDS LÄN</t>
        </is>
      </c>
      <c r="E682" t="inlineStr">
        <is>
          <t>ÅNGE</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57286-2022</t>
        </is>
      </c>
      <c r="B683" s="1" t="n">
        <v>44895.94991898148</v>
      </c>
      <c r="C683" s="1" t="n">
        <v>45966</v>
      </c>
      <c r="D683" t="inlineStr">
        <is>
          <t>VÄSTERNORRLANDS LÄN</t>
        </is>
      </c>
      <c r="E683" t="inlineStr">
        <is>
          <t>ÅNGE</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16934-2025</t>
        </is>
      </c>
      <c r="B684" s="1" t="n">
        <v>45755.40671296296</v>
      </c>
      <c r="C684" s="1" t="n">
        <v>45966</v>
      </c>
      <c r="D684" t="inlineStr">
        <is>
          <t>VÄSTERNORRLANDS LÄN</t>
        </is>
      </c>
      <c r="E684" t="inlineStr">
        <is>
          <t>ÅNGE</t>
        </is>
      </c>
      <c r="G684" t="n">
        <v>3.9</v>
      </c>
      <c r="H684" t="n">
        <v>0</v>
      </c>
      <c r="I684" t="n">
        <v>0</v>
      </c>
      <c r="J684" t="n">
        <v>0</v>
      </c>
      <c r="K684" t="n">
        <v>0</v>
      </c>
      <c r="L684" t="n">
        <v>0</v>
      </c>
      <c r="M684" t="n">
        <v>0</v>
      </c>
      <c r="N684" t="n">
        <v>0</v>
      </c>
      <c r="O684" t="n">
        <v>0</v>
      </c>
      <c r="P684" t="n">
        <v>0</v>
      </c>
      <c r="Q684" t="n">
        <v>0</v>
      </c>
      <c r="R684" s="2" t="inlineStr"/>
    </row>
    <row r="685" ht="15" customHeight="1">
      <c r="A685" t="inlineStr">
        <is>
          <t>A 16281-2023</t>
        </is>
      </c>
      <c r="B685" s="1" t="n">
        <v>45028</v>
      </c>
      <c r="C685" s="1" t="n">
        <v>45966</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26012-2024</t>
        </is>
      </c>
      <c r="B686" s="1" t="n">
        <v>45467</v>
      </c>
      <c r="C686" s="1" t="n">
        <v>45966</v>
      </c>
      <c r="D686" t="inlineStr">
        <is>
          <t>VÄSTERNORRLANDS LÄN</t>
        </is>
      </c>
      <c r="E686" t="inlineStr">
        <is>
          <t>ÅNGE</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26015-2024</t>
        </is>
      </c>
      <c r="B687" s="1" t="n">
        <v>45467.95872685185</v>
      </c>
      <c r="C687" s="1" t="n">
        <v>45966</v>
      </c>
      <c r="D687" t="inlineStr">
        <is>
          <t>VÄSTERNORRLANDS LÄN</t>
        </is>
      </c>
      <c r="E687" t="inlineStr">
        <is>
          <t>ÅNGE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42786-2025</t>
        </is>
      </c>
      <c r="B688" s="1" t="n">
        <v>45908.51097222222</v>
      </c>
      <c r="C688" s="1" t="n">
        <v>45966</v>
      </c>
      <c r="D688" t="inlineStr">
        <is>
          <t>VÄSTERNORRLANDS LÄN</t>
        </is>
      </c>
      <c r="E688" t="inlineStr">
        <is>
          <t>ÅNGE</t>
        </is>
      </c>
      <c r="G688" t="n">
        <v>0.4</v>
      </c>
      <c r="H688" t="n">
        <v>0</v>
      </c>
      <c r="I688" t="n">
        <v>0</v>
      </c>
      <c r="J688" t="n">
        <v>0</v>
      </c>
      <c r="K688" t="n">
        <v>0</v>
      </c>
      <c r="L688" t="n">
        <v>0</v>
      </c>
      <c r="M688" t="n">
        <v>0</v>
      </c>
      <c r="N688" t="n">
        <v>0</v>
      </c>
      <c r="O688" t="n">
        <v>0</v>
      </c>
      <c r="P688" t="n">
        <v>0</v>
      </c>
      <c r="Q688" t="n">
        <v>0</v>
      </c>
      <c r="R688" s="2" t="inlineStr"/>
    </row>
    <row r="689" ht="15" customHeight="1">
      <c r="A689" t="inlineStr">
        <is>
          <t>A 42863-2025</t>
        </is>
      </c>
      <c r="B689" s="1" t="n">
        <v>45908.61527777778</v>
      </c>
      <c r="C689" s="1" t="n">
        <v>45966</v>
      </c>
      <c r="D689" t="inlineStr">
        <is>
          <t>VÄSTERNORRLANDS LÄN</t>
        </is>
      </c>
      <c r="E689" t="inlineStr">
        <is>
          <t>ÅNGE</t>
        </is>
      </c>
      <c r="G689" t="n">
        <v>1.1</v>
      </c>
      <c r="H689" t="n">
        <v>0</v>
      </c>
      <c r="I689" t="n">
        <v>0</v>
      </c>
      <c r="J689" t="n">
        <v>0</v>
      </c>
      <c r="K689" t="n">
        <v>0</v>
      </c>
      <c r="L689" t="n">
        <v>0</v>
      </c>
      <c r="M689" t="n">
        <v>0</v>
      </c>
      <c r="N689" t="n">
        <v>0</v>
      </c>
      <c r="O689" t="n">
        <v>0</v>
      </c>
      <c r="P689" t="n">
        <v>0</v>
      </c>
      <c r="Q689" t="n">
        <v>0</v>
      </c>
      <c r="R689" s="2" t="inlineStr"/>
    </row>
    <row r="690" ht="15" customHeight="1">
      <c r="A690" t="inlineStr">
        <is>
          <t>A 65149-2020</t>
        </is>
      </c>
      <c r="B690" s="1" t="n">
        <v>44172</v>
      </c>
      <c r="C690" s="1" t="n">
        <v>45966</v>
      </c>
      <c r="D690" t="inlineStr">
        <is>
          <t>VÄSTERNORRLANDS LÄN</t>
        </is>
      </c>
      <c r="E690" t="inlineStr">
        <is>
          <t>ÅNGE</t>
        </is>
      </c>
      <c r="G690" t="n">
        <v>9.5</v>
      </c>
      <c r="H690" t="n">
        <v>0</v>
      </c>
      <c r="I690" t="n">
        <v>0</v>
      </c>
      <c r="J690" t="n">
        <v>0</v>
      </c>
      <c r="K690" t="n">
        <v>0</v>
      </c>
      <c r="L690" t="n">
        <v>0</v>
      </c>
      <c r="M690" t="n">
        <v>0</v>
      </c>
      <c r="N690" t="n">
        <v>0</v>
      </c>
      <c r="O690" t="n">
        <v>0</v>
      </c>
      <c r="P690" t="n">
        <v>0</v>
      </c>
      <c r="Q690" t="n">
        <v>0</v>
      </c>
      <c r="R690" s="2" t="inlineStr"/>
    </row>
    <row r="691" ht="15" customHeight="1">
      <c r="A691" t="inlineStr">
        <is>
          <t>A 51370-2025</t>
        </is>
      </c>
      <c r="B691" s="1" t="n">
        <v>45950.44818287037</v>
      </c>
      <c r="C691" s="1" t="n">
        <v>45966</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48697-2024</t>
        </is>
      </c>
      <c r="B692" s="1" t="n">
        <v>45593.51136574074</v>
      </c>
      <c r="C692" s="1" t="n">
        <v>45966</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1095-2023</t>
        </is>
      </c>
      <c r="B693" s="1" t="n">
        <v>44929</v>
      </c>
      <c r="C693" s="1" t="n">
        <v>45966</v>
      </c>
      <c r="D693" t="inlineStr">
        <is>
          <t>VÄSTERNORRLANDS LÄN</t>
        </is>
      </c>
      <c r="E693" t="inlineStr">
        <is>
          <t>ÅNGE</t>
        </is>
      </c>
      <c r="G693" t="n">
        <v>3.2</v>
      </c>
      <c r="H693" t="n">
        <v>0</v>
      </c>
      <c r="I693" t="n">
        <v>0</v>
      </c>
      <c r="J693" t="n">
        <v>0</v>
      </c>
      <c r="K693" t="n">
        <v>0</v>
      </c>
      <c r="L693" t="n">
        <v>0</v>
      </c>
      <c r="M693" t="n">
        <v>0</v>
      </c>
      <c r="N693" t="n">
        <v>0</v>
      </c>
      <c r="O693" t="n">
        <v>0</v>
      </c>
      <c r="P693" t="n">
        <v>0</v>
      </c>
      <c r="Q693" t="n">
        <v>0</v>
      </c>
      <c r="R693" s="2" t="inlineStr"/>
    </row>
    <row r="694" ht="15" customHeight="1">
      <c r="A694" t="inlineStr">
        <is>
          <t>A 42785-2025</t>
        </is>
      </c>
      <c r="B694" s="1" t="n">
        <v>45908.51083333333</v>
      </c>
      <c r="C694" s="1" t="n">
        <v>45966</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46795-2023</t>
        </is>
      </c>
      <c r="B695" s="1" t="n">
        <v>45198</v>
      </c>
      <c r="C695" s="1" t="n">
        <v>45966</v>
      </c>
      <c r="D695" t="inlineStr">
        <is>
          <t>VÄSTERNORRLANDS LÄN</t>
        </is>
      </c>
      <c r="E695" t="inlineStr">
        <is>
          <t>ÅNGE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42889-2025</t>
        </is>
      </c>
      <c r="B696" s="1" t="n">
        <v>45908.65546296296</v>
      </c>
      <c r="C696" s="1" t="n">
        <v>45966</v>
      </c>
      <c r="D696" t="inlineStr">
        <is>
          <t>VÄSTERNORRLANDS LÄN</t>
        </is>
      </c>
      <c r="E696" t="inlineStr">
        <is>
          <t>ÅNGE</t>
        </is>
      </c>
      <c r="G696" t="n">
        <v>11.9</v>
      </c>
      <c r="H696" t="n">
        <v>0</v>
      </c>
      <c r="I696" t="n">
        <v>0</v>
      </c>
      <c r="J696" t="n">
        <v>0</v>
      </c>
      <c r="K696" t="n">
        <v>0</v>
      </c>
      <c r="L696" t="n">
        <v>0</v>
      </c>
      <c r="M696" t="n">
        <v>0</v>
      </c>
      <c r="N696" t="n">
        <v>0</v>
      </c>
      <c r="O696" t="n">
        <v>0</v>
      </c>
      <c r="P696" t="n">
        <v>0</v>
      </c>
      <c r="Q696" t="n">
        <v>0</v>
      </c>
      <c r="R696" s="2" t="inlineStr"/>
    </row>
    <row r="697" ht="15" customHeight="1">
      <c r="A697" t="inlineStr">
        <is>
          <t>A 42764-2025</t>
        </is>
      </c>
      <c r="B697" s="1" t="n">
        <v>45908.46943287037</v>
      </c>
      <c r="C697" s="1" t="n">
        <v>45966</v>
      </c>
      <c r="D697" t="inlineStr">
        <is>
          <t>VÄSTERNORRLANDS LÄN</t>
        </is>
      </c>
      <c r="E697" t="inlineStr">
        <is>
          <t>ÅNGE</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16657-2025</t>
        </is>
      </c>
      <c r="B698" s="1" t="n">
        <v>45754.40700231482</v>
      </c>
      <c r="C698" s="1" t="n">
        <v>45966</v>
      </c>
      <c r="D698" t="inlineStr">
        <is>
          <t>VÄSTERNORRLANDS LÄN</t>
        </is>
      </c>
      <c r="E698" t="inlineStr">
        <is>
          <t>ÅNGE</t>
        </is>
      </c>
      <c r="F698" t="inlineStr">
        <is>
          <t>SCA</t>
        </is>
      </c>
      <c r="G698" t="n">
        <v>5.1</v>
      </c>
      <c r="H698" t="n">
        <v>0</v>
      </c>
      <c r="I698" t="n">
        <v>0</v>
      </c>
      <c r="J698" t="n">
        <v>0</v>
      </c>
      <c r="K698" t="n">
        <v>0</v>
      </c>
      <c r="L698" t="n">
        <v>0</v>
      </c>
      <c r="M698" t="n">
        <v>0</v>
      </c>
      <c r="N698" t="n">
        <v>0</v>
      </c>
      <c r="O698" t="n">
        <v>0</v>
      </c>
      <c r="P698" t="n">
        <v>0</v>
      </c>
      <c r="Q698" t="n">
        <v>0</v>
      </c>
      <c r="R698" s="2" t="inlineStr"/>
    </row>
    <row r="699" ht="15" customHeight="1">
      <c r="A699" t="inlineStr">
        <is>
          <t>A 63709-2023</t>
        </is>
      </c>
      <c r="B699" s="1" t="n">
        <v>45275.95069444444</v>
      </c>
      <c r="C699" s="1" t="n">
        <v>45966</v>
      </c>
      <c r="D699" t="inlineStr">
        <is>
          <t>VÄSTERNORRLANDS LÄN</t>
        </is>
      </c>
      <c r="E699" t="inlineStr">
        <is>
          <t>ÅNGE</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30353-2024</t>
        </is>
      </c>
      <c r="B700" s="1" t="n">
        <v>45490.95567129629</v>
      </c>
      <c r="C700" s="1" t="n">
        <v>45966</v>
      </c>
      <c r="D700" t="inlineStr">
        <is>
          <t>VÄSTERNORRLANDS LÄN</t>
        </is>
      </c>
      <c r="E700" t="inlineStr">
        <is>
          <t>ÅNGE</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4187-2025</t>
        </is>
      </c>
      <c r="B701" s="1" t="n">
        <v>45685.44842592593</v>
      </c>
      <c r="C701" s="1" t="n">
        <v>45966</v>
      </c>
      <c r="D701" t="inlineStr">
        <is>
          <t>VÄSTERNORRLANDS LÄN</t>
        </is>
      </c>
      <c r="E701" t="inlineStr">
        <is>
          <t>ÅNGE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58929-2024</t>
        </is>
      </c>
      <c r="B702" s="1" t="n">
        <v>45636.51090277778</v>
      </c>
      <c r="C702" s="1" t="n">
        <v>45966</v>
      </c>
      <c r="D702" t="inlineStr">
        <is>
          <t>VÄSTERNORRLANDS LÄN</t>
        </is>
      </c>
      <c r="E702" t="inlineStr">
        <is>
          <t>ÅNGE</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42100-2023</t>
        </is>
      </c>
      <c r="B703" s="1" t="n">
        <v>45174</v>
      </c>
      <c r="C703" s="1" t="n">
        <v>45966</v>
      </c>
      <c r="D703" t="inlineStr">
        <is>
          <t>VÄSTERNORRLANDS LÄN</t>
        </is>
      </c>
      <c r="E703" t="inlineStr">
        <is>
          <t>ÅNGE</t>
        </is>
      </c>
      <c r="G703" t="n">
        <v>0.6</v>
      </c>
      <c r="H703" t="n">
        <v>0</v>
      </c>
      <c r="I703" t="n">
        <v>0</v>
      </c>
      <c r="J703" t="n">
        <v>0</v>
      </c>
      <c r="K703" t="n">
        <v>0</v>
      </c>
      <c r="L703" t="n">
        <v>0</v>
      </c>
      <c r="M703" t="n">
        <v>0</v>
      </c>
      <c r="N703" t="n">
        <v>0</v>
      </c>
      <c r="O703" t="n">
        <v>0</v>
      </c>
      <c r="P703" t="n">
        <v>0</v>
      </c>
      <c r="Q703" t="n">
        <v>0</v>
      </c>
      <c r="R703" s="2" t="inlineStr"/>
    </row>
    <row r="704" ht="15" customHeight="1">
      <c r="A704" t="inlineStr">
        <is>
          <t>A 42731-2025</t>
        </is>
      </c>
      <c r="B704" s="1" t="n">
        <v>45908.40686342592</v>
      </c>
      <c r="C704" s="1" t="n">
        <v>45966</v>
      </c>
      <c r="D704" t="inlineStr">
        <is>
          <t>VÄSTERNORRLANDS LÄN</t>
        </is>
      </c>
      <c r="E704" t="inlineStr">
        <is>
          <t>ÅNGE</t>
        </is>
      </c>
      <c r="G704" t="n">
        <v>14.1</v>
      </c>
      <c r="H704" t="n">
        <v>0</v>
      </c>
      <c r="I704" t="n">
        <v>0</v>
      </c>
      <c r="J704" t="n">
        <v>0</v>
      </c>
      <c r="K704" t="n">
        <v>0</v>
      </c>
      <c r="L704" t="n">
        <v>0</v>
      </c>
      <c r="M704" t="n">
        <v>0</v>
      </c>
      <c r="N704" t="n">
        <v>0</v>
      </c>
      <c r="O704" t="n">
        <v>0</v>
      </c>
      <c r="P704" t="n">
        <v>0</v>
      </c>
      <c r="Q704" t="n">
        <v>0</v>
      </c>
      <c r="R704" s="2" t="inlineStr"/>
    </row>
    <row r="705" ht="15" customHeight="1">
      <c r="A705" t="inlineStr">
        <is>
          <t>A 43077-2025</t>
        </is>
      </c>
      <c r="B705" s="1" t="n">
        <v>45909.6046412037</v>
      </c>
      <c r="C705" s="1" t="n">
        <v>45966</v>
      </c>
      <c r="D705" t="inlineStr">
        <is>
          <t>VÄSTERNORRLANDS LÄN</t>
        </is>
      </c>
      <c r="E705" t="inlineStr">
        <is>
          <t>ÅNGE</t>
        </is>
      </c>
      <c r="F705" t="inlineStr">
        <is>
          <t>Kyrkan</t>
        </is>
      </c>
      <c r="G705" t="n">
        <v>7.6</v>
      </c>
      <c r="H705" t="n">
        <v>0</v>
      </c>
      <c r="I705" t="n">
        <v>0</v>
      </c>
      <c r="J705" t="n">
        <v>0</v>
      </c>
      <c r="K705" t="n">
        <v>0</v>
      </c>
      <c r="L705" t="n">
        <v>0</v>
      </c>
      <c r="M705" t="n">
        <v>0</v>
      </c>
      <c r="N705" t="n">
        <v>0</v>
      </c>
      <c r="O705" t="n">
        <v>0</v>
      </c>
      <c r="P705" t="n">
        <v>0</v>
      </c>
      <c r="Q705" t="n">
        <v>0</v>
      </c>
      <c r="R705" s="2" t="inlineStr"/>
    </row>
    <row r="706" ht="15" customHeight="1">
      <c r="A706" t="inlineStr">
        <is>
          <t>A 42880-2025</t>
        </is>
      </c>
      <c r="B706" s="1" t="n">
        <v>45908.63599537037</v>
      </c>
      <c r="C706" s="1" t="n">
        <v>45966</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19829-2025</t>
        </is>
      </c>
      <c r="B707" s="1" t="n">
        <v>45771.46944444445</v>
      </c>
      <c r="C707" s="1" t="n">
        <v>45966</v>
      </c>
      <c r="D707" t="inlineStr">
        <is>
          <t>VÄSTERNORRLANDS LÄN</t>
        </is>
      </c>
      <c r="E707" t="inlineStr">
        <is>
          <t>ÅNGE</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53858-2024</t>
        </is>
      </c>
      <c r="B708" s="1" t="n">
        <v>45615</v>
      </c>
      <c r="C708" s="1" t="n">
        <v>45966</v>
      </c>
      <c r="D708" t="inlineStr">
        <is>
          <t>VÄSTERNORRLANDS LÄN</t>
        </is>
      </c>
      <c r="E708" t="inlineStr">
        <is>
          <t>ÅNGE</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2365-2024</t>
        </is>
      </c>
      <c r="B709" s="1" t="n">
        <v>45310.59778935185</v>
      </c>
      <c r="C709" s="1" t="n">
        <v>45966</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2372-2024</t>
        </is>
      </c>
      <c r="B710" s="1" t="n">
        <v>45310.6115625</v>
      </c>
      <c r="C710" s="1" t="n">
        <v>45966</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41766-2024</t>
        </is>
      </c>
      <c r="B711" s="1" t="n">
        <v>45561.34594907407</v>
      </c>
      <c r="C711" s="1" t="n">
        <v>45966</v>
      </c>
      <c r="D711" t="inlineStr">
        <is>
          <t>VÄSTERNORRLANDS LÄN</t>
        </is>
      </c>
      <c r="E711" t="inlineStr">
        <is>
          <t>ÅNGE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3-2025</t>
        </is>
      </c>
      <c r="B712" s="1" t="n">
        <v>45658.49819444444</v>
      </c>
      <c r="C712" s="1" t="n">
        <v>45966</v>
      </c>
      <c r="D712" t="inlineStr">
        <is>
          <t>VÄSTERNORRLANDS LÄN</t>
        </is>
      </c>
      <c r="E712" t="inlineStr">
        <is>
          <t>ÅNGE</t>
        </is>
      </c>
      <c r="G712" t="n">
        <v>2</v>
      </c>
      <c r="H712" t="n">
        <v>0</v>
      </c>
      <c r="I712" t="n">
        <v>0</v>
      </c>
      <c r="J712" t="n">
        <v>0</v>
      </c>
      <c r="K712" t="n">
        <v>0</v>
      </c>
      <c r="L712" t="n">
        <v>0</v>
      </c>
      <c r="M712" t="n">
        <v>0</v>
      </c>
      <c r="N712" t="n">
        <v>0</v>
      </c>
      <c r="O712" t="n">
        <v>0</v>
      </c>
      <c r="P712" t="n">
        <v>0</v>
      </c>
      <c r="Q712" t="n">
        <v>0</v>
      </c>
      <c r="R712" s="2" t="inlineStr"/>
    </row>
    <row r="713" ht="15" customHeight="1">
      <c r="A713" t="inlineStr">
        <is>
          <t>A 51389-2025</t>
        </is>
      </c>
      <c r="B713" s="1" t="n">
        <v>45950.46767361111</v>
      </c>
      <c r="C713" s="1" t="n">
        <v>45966</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51813-2025</t>
        </is>
      </c>
      <c r="B714" s="1" t="n">
        <v>45951.83082175926</v>
      </c>
      <c r="C714" s="1" t="n">
        <v>45966</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51393-2025</t>
        </is>
      </c>
      <c r="B715" s="1" t="n">
        <v>45950.46957175926</v>
      </c>
      <c r="C715" s="1" t="n">
        <v>45966</v>
      </c>
      <c r="D715" t="inlineStr">
        <is>
          <t>VÄSTERNORRLANDS LÄN</t>
        </is>
      </c>
      <c r="E715" t="inlineStr">
        <is>
          <t>ÅNGE</t>
        </is>
      </c>
      <c r="F715" t="inlineStr">
        <is>
          <t>SCA</t>
        </is>
      </c>
      <c r="G715" t="n">
        <v>17.9</v>
      </c>
      <c r="H715" t="n">
        <v>0</v>
      </c>
      <c r="I715" t="n">
        <v>0</v>
      </c>
      <c r="J715" t="n">
        <v>0</v>
      </c>
      <c r="K715" t="n">
        <v>0</v>
      </c>
      <c r="L715" t="n">
        <v>0</v>
      </c>
      <c r="M715" t="n">
        <v>0</v>
      </c>
      <c r="N715" t="n">
        <v>0</v>
      </c>
      <c r="O715" t="n">
        <v>0</v>
      </c>
      <c r="P715" t="n">
        <v>0</v>
      </c>
      <c r="Q715" t="n">
        <v>0</v>
      </c>
      <c r="R715" s="2" t="inlineStr"/>
    </row>
    <row r="716" ht="15" customHeight="1">
      <c r="A716" t="inlineStr">
        <is>
          <t>A 39178-2024</t>
        </is>
      </c>
      <c r="B716" s="1" t="n">
        <v>45548.65692129629</v>
      </c>
      <c r="C716" s="1" t="n">
        <v>45966</v>
      </c>
      <c r="D716" t="inlineStr">
        <is>
          <t>VÄSTERNORRLANDS LÄN</t>
        </is>
      </c>
      <c r="E716" t="inlineStr">
        <is>
          <t>ÅNGE</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16362-2023</t>
        </is>
      </c>
      <c r="B717" s="1" t="n">
        <v>45028.9250462963</v>
      </c>
      <c r="C717" s="1" t="n">
        <v>45966</v>
      </c>
      <c r="D717" t="inlineStr">
        <is>
          <t>VÄSTERNORRLANDS LÄN</t>
        </is>
      </c>
      <c r="E717" t="inlineStr">
        <is>
          <t>ÅNGE</t>
        </is>
      </c>
      <c r="G717" t="n">
        <v>4.8</v>
      </c>
      <c r="H717" t="n">
        <v>0</v>
      </c>
      <c r="I717" t="n">
        <v>0</v>
      </c>
      <c r="J717" t="n">
        <v>0</v>
      </c>
      <c r="K717" t="n">
        <v>0</v>
      </c>
      <c r="L717" t="n">
        <v>0</v>
      </c>
      <c r="M717" t="n">
        <v>0</v>
      </c>
      <c r="N717" t="n">
        <v>0</v>
      </c>
      <c r="O717" t="n">
        <v>0</v>
      </c>
      <c r="P717" t="n">
        <v>0</v>
      </c>
      <c r="Q717" t="n">
        <v>0</v>
      </c>
      <c r="R717" s="2" t="inlineStr"/>
    </row>
    <row r="718" ht="15" customHeight="1">
      <c r="A718" t="inlineStr">
        <is>
          <t>A 51383-2022</t>
        </is>
      </c>
      <c r="B718" s="1" t="n">
        <v>44866</v>
      </c>
      <c r="C718" s="1" t="n">
        <v>45966</v>
      </c>
      <c r="D718" t="inlineStr">
        <is>
          <t>VÄSTERNORRLANDS LÄN</t>
        </is>
      </c>
      <c r="E718" t="inlineStr">
        <is>
          <t>ÅNGE</t>
        </is>
      </c>
      <c r="G718" t="n">
        <v>1.5</v>
      </c>
      <c r="H718" t="n">
        <v>0</v>
      </c>
      <c r="I718" t="n">
        <v>0</v>
      </c>
      <c r="J718" t="n">
        <v>0</v>
      </c>
      <c r="K718" t="n">
        <v>0</v>
      </c>
      <c r="L718" t="n">
        <v>0</v>
      </c>
      <c r="M718" t="n">
        <v>0</v>
      </c>
      <c r="N718" t="n">
        <v>0</v>
      </c>
      <c r="O718" t="n">
        <v>0</v>
      </c>
      <c r="P718" t="n">
        <v>0</v>
      </c>
      <c r="Q718" t="n">
        <v>0</v>
      </c>
      <c r="R718" s="2" t="inlineStr"/>
    </row>
    <row r="719" ht="15" customHeight="1">
      <c r="A719" t="inlineStr">
        <is>
          <t>A 51393-2022</t>
        </is>
      </c>
      <c r="B719" s="1" t="n">
        <v>44869.43277777778</v>
      </c>
      <c r="C719" s="1" t="n">
        <v>45966</v>
      </c>
      <c r="D719" t="inlineStr">
        <is>
          <t>VÄSTERNORRLANDS LÄN</t>
        </is>
      </c>
      <c r="E719" t="inlineStr">
        <is>
          <t>ÅNGE</t>
        </is>
      </c>
      <c r="F719" t="inlineStr">
        <is>
          <t>Holmen skog AB</t>
        </is>
      </c>
      <c r="G719" t="n">
        <v>1.1</v>
      </c>
      <c r="H719" t="n">
        <v>0</v>
      </c>
      <c r="I719" t="n">
        <v>0</v>
      </c>
      <c r="J719" t="n">
        <v>0</v>
      </c>
      <c r="K719" t="n">
        <v>0</v>
      </c>
      <c r="L719" t="n">
        <v>0</v>
      </c>
      <c r="M719" t="n">
        <v>0</v>
      </c>
      <c r="N719" t="n">
        <v>0</v>
      </c>
      <c r="O719" t="n">
        <v>0</v>
      </c>
      <c r="P719" t="n">
        <v>0</v>
      </c>
      <c r="Q719" t="n">
        <v>0</v>
      </c>
      <c r="R719" s="2" t="inlineStr"/>
    </row>
    <row r="720" ht="15" customHeight="1">
      <c r="A720" t="inlineStr">
        <is>
          <t>A 43091-2025</t>
        </is>
      </c>
      <c r="B720" s="1" t="n">
        <v>45909.62511574074</v>
      </c>
      <c r="C720" s="1" t="n">
        <v>45966</v>
      </c>
      <c r="D720" t="inlineStr">
        <is>
          <t>VÄSTERNORRLANDS LÄN</t>
        </is>
      </c>
      <c r="E720" t="inlineStr">
        <is>
          <t>ÅNGE</t>
        </is>
      </c>
      <c r="F720" t="inlineStr">
        <is>
          <t>Kyrkan</t>
        </is>
      </c>
      <c r="G720" t="n">
        <v>0.5</v>
      </c>
      <c r="H720" t="n">
        <v>0</v>
      </c>
      <c r="I720" t="n">
        <v>0</v>
      </c>
      <c r="J720" t="n">
        <v>0</v>
      </c>
      <c r="K720" t="n">
        <v>0</v>
      </c>
      <c r="L720" t="n">
        <v>0</v>
      </c>
      <c r="M720" t="n">
        <v>0</v>
      </c>
      <c r="N720" t="n">
        <v>0</v>
      </c>
      <c r="O720" t="n">
        <v>0</v>
      </c>
      <c r="P720" t="n">
        <v>0</v>
      </c>
      <c r="Q720" t="n">
        <v>0</v>
      </c>
      <c r="R720" s="2" t="inlineStr"/>
    </row>
    <row r="721" ht="15" customHeight="1">
      <c r="A721" t="inlineStr">
        <is>
          <t>A 4236-2025</t>
        </is>
      </c>
      <c r="B721" s="1" t="n">
        <v>45685.56534722223</v>
      </c>
      <c r="C721" s="1" t="n">
        <v>45966</v>
      </c>
      <c r="D721" t="inlineStr">
        <is>
          <t>VÄSTERNORRLANDS LÄN</t>
        </is>
      </c>
      <c r="E721" t="inlineStr">
        <is>
          <t>ÅNGE</t>
        </is>
      </c>
      <c r="G721" t="n">
        <v>2.4</v>
      </c>
      <c r="H721" t="n">
        <v>0</v>
      </c>
      <c r="I721" t="n">
        <v>0</v>
      </c>
      <c r="J721" t="n">
        <v>0</v>
      </c>
      <c r="K721" t="n">
        <v>0</v>
      </c>
      <c r="L721" t="n">
        <v>0</v>
      </c>
      <c r="M721" t="n">
        <v>0</v>
      </c>
      <c r="N721" t="n">
        <v>0</v>
      </c>
      <c r="O721" t="n">
        <v>0</v>
      </c>
      <c r="P721" t="n">
        <v>0</v>
      </c>
      <c r="Q721" t="n">
        <v>0</v>
      </c>
      <c r="R721" s="2" t="inlineStr"/>
    </row>
    <row r="722" ht="15" customHeight="1">
      <c r="A722" t="inlineStr">
        <is>
          <t>A 51382-2025</t>
        </is>
      </c>
      <c r="B722" s="1" t="n">
        <v>45950.46019675926</v>
      </c>
      <c r="C722" s="1" t="n">
        <v>45966</v>
      </c>
      <c r="D722" t="inlineStr">
        <is>
          <t>VÄSTERNORRLANDS LÄN</t>
        </is>
      </c>
      <c r="E722" t="inlineStr">
        <is>
          <t>ÅNGE</t>
        </is>
      </c>
      <c r="G722" t="n">
        <v>3</v>
      </c>
      <c r="H722" t="n">
        <v>0</v>
      </c>
      <c r="I722" t="n">
        <v>0</v>
      </c>
      <c r="J722" t="n">
        <v>0</v>
      </c>
      <c r="K722" t="n">
        <v>0</v>
      </c>
      <c r="L722" t="n">
        <v>0</v>
      </c>
      <c r="M722" t="n">
        <v>0</v>
      </c>
      <c r="N722" t="n">
        <v>0</v>
      </c>
      <c r="O722" t="n">
        <v>0</v>
      </c>
      <c r="P722" t="n">
        <v>0</v>
      </c>
      <c r="Q722" t="n">
        <v>0</v>
      </c>
      <c r="R722" s="2" t="inlineStr"/>
    </row>
    <row r="723" ht="15" customHeight="1">
      <c r="A723" t="inlineStr">
        <is>
          <t>A 2415-2024</t>
        </is>
      </c>
      <c r="B723" s="1" t="n">
        <v>45310</v>
      </c>
      <c r="C723" s="1" t="n">
        <v>45966</v>
      </c>
      <c r="D723" t="inlineStr">
        <is>
          <t>VÄSTERNORRLANDS LÄN</t>
        </is>
      </c>
      <c r="E723" t="inlineStr">
        <is>
          <t>ÅNGE</t>
        </is>
      </c>
      <c r="F723" t="inlineStr">
        <is>
          <t>Kyrkan</t>
        </is>
      </c>
      <c r="G723" t="n">
        <v>0.2</v>
      </c>
      <c r="H723" t="n">
        <v>0</v>
      </c>
      <c r="I723" t="n">
        <v>0</v>
      </c>
      <c r="J723" t="n">
        <v>0</v>
      </c>
      <c r="K723" t="n">
        <v>0</v>
      </c>
      <c r="L723" t="n">
        <v>0</v>
      </c>
      <c r="M723" t="n">
        <v>0</v>
      </c>
      <c r="N723" t="n">
        <v>0</v>
      </c>
      <c r="O723" t="n">
        <v>0</v>
      </c>
      <c r="P723" t="n">
        <v>0</v>
      </c>
      <c r="Q723" t="n">
        <v>0</v>
      </c>
      <c r="R723" s="2" t="inlineStr"/>
    </row>
    <row r="724" ht="15" customHeight="1">
      <c r="A724" t="inlineStr">
        <is>
          <t>A 4361-2024</t>
        </is>
      </c>
      <c r="B724" s="1" t="n">
        <v>45325.65047453704</v>
      </c>
      <c r="C724" s="1" t="n">
        <v>45966</v>
      </c>
      <c r="D724" t="inlineStr">
        <is>
          <t>VÄSTERNORRLANDS LÄN</t>
        </is>
      </c>
      <c r="E724" t="inlineStr">
        <is>
          <t>ÅNGE</t>
        </is>
      </c>
      <c r="G724" t="n">
        <v>1.3</v>
      </c>
      <c r="H724" t="n">
        <v>0</v>
      </c>
      <c r="I724" t="n">
        <v>0</v>
      </c>
      <c r="J724" t="n">
        <v>0</v>
      </c>
      <c r="K724" t="n">
        <v>0</v>
      </c>
      <c r="L724" t="n">
        <v>0</v>
      </c>
      <c r="M724" t="n">
        <v>0</v>
      </c>
      <c r="N724" t="n">
        <v>0</v>
      </c>
      <c r="O724" t="n">
        <v>0</v>
      </c>
      <c r="P724" t="n">
        <v>0</v>
      </c>
      <c r="Q724" t="n">
        <v>0</v>
      </c>
      <c r="R724" s="2" t="inlineStr"/>
    </row>
    <row r="725" ht="15" customHeight="1">
      <c r="A725" t="inlineStr">
        <is>
          <t>A 26490-2024</t>
        </is>
      </c>
      <c r="B725" s="1" t="n">
        <v>45469</v>
      </c>
      <c r="C725" s="1" t="n">
        <v>45966</v>
      </c>
      <c r="D725" t="inlineStr">
        <is>
          <t>VÄSTERNORRLANDS LÄN</t>
        </is>
      </c>
      <c r="E725" t="inlineStr">
        <is>
          <t>ÅNGE</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47779-2023</t>
        </is>
      </c>
      <c r="B726" s="1" t="n">
        <v>45203.92232638889</v>
      </c>
      <c r="C726" s="1" t="n">
        <v>45966</v>
      </c>
      <c r="D726" t="inlineStr">
        <is>
          <t>VÄSTERNORRLANDS LÄN</t>
        </is>
      </c>
      <c r="E726" t="inlineStr">
        <is>
          <t>ÅNGE</t>
        </is>
      </c>
      <c r="G726" t="n">
        <v>9.6</v>
      </c>
      <c r="H726" t="n">
        <v>0</v>
      </c>
      <c r="I726" t="n">
        <v>0</v>
      </c>
      <c r="J726" t="n">
        <v>0</v>
      </c>
      <c r="K726" t="n">
        <v>0</v>
      </c>
      <c r="L726" t="n">
        <v>0</v>
      </c>
      <c r="M726" t="n">
        <v>0</v>
      </c>
      <c r="N726" t="n">
        <v>0</v>
      </c>
      <c r="O726" t="n">
        <v>0</v>
      </c>
      <c r="P726" t="n">
        <v>0</v>
      </c>
      <c r="Q726" t="n">
        <v>0</v>
      </c>
      <c r="R726" s="2" t="inlineStr"/>
    </row>
    <row r="727" ht="15" customHeight="1">
      <c r="A727" t="inlineStr">
        <is>
          <t>A 38246-2024</t>
        </is>
      </c>
      <c r="B727" s="1" t="n">
        <v>45545.57327546296</v>
      </c>
      <c r="C727" s="1" t="n">
        <v>45966</v>
      </c>
      <c r="D727" t="inlineStr">
        <is>
          <t>VÄSTERNORRLANDS LÄN</t>
        </is>
      </c>
      <c r="E727" t="inlineStr">
        <is>
          <t>ÅNGE</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51416-2025</t>
        </is>
      </c>
      <c r="B728" s="1" t="n">
        <v>45950.51097222222</v>
      </c>
      <c r="C728" s="1" t="n">
        <v>45966</v>
      </c>
      <c r="D728" t="inlineStr">
        <is>
          <t>VÄSTERNORRLANDS LÄN</t>
        </is>
      </c>
      <c r="E728" t="inlineStr">
        <is>
          <t>ÅNGE</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64946-2023</t>
        </is>
      </c>
      <c r="B729" s="1" t="n">
        <v>45282.94678240741</v>
      </c>
      <c r="C729" s="1" t="n">
        <v>45966</v>
      </c>
      <c r="D729" t="inlineStr">
        <is>
          <t>VÄSTERNORRLANDS LÄN</t>
        </is>
      </c>
      <c r="E729" t="inlineStr">
        <is>
          <t>ÅNGE</t>
        </is>
      </c>
      <c r="F729" t="inlineStr">
        <is>
          <t>SCA</t>
        </is>
      </c>
      <c r="G729" t="n">
        <v>6.4</v>
      </c>
      <c r="H729" t="n">
        <v>0</v>
      </c>
      <c r="I729" t="n">
        <v>0</v>
      </c>
      <c r="J729" t="n">
        <v>0</v>
      </c>
      <c r="K729" t="n">
        <v>0</v>
      </c>
      <c r="L729" t="n">
        <v>0</v>
      </c>
      <c r="M729" t="n">
        <v>0</v>
      </c>
      <c r="N729" t="n">
        <v>0</v>
      </c>
      <c r="O729" t="n">
        <v>0</v>
      </c>
      <c r="P729" t="n">
        <v>0</v>
      </c>
      <c r="Q729" t="n">
        <v>0</v>
      </c>
      <c r="R729" s="2" t="inlineStr"/>
    </row>
    <row r="730" ht="15" customHeight="1">
      <c r="A730" t="inlineStr">
        <is>
          <t>A 21068-2025</t>
        </is>
      </c>
      <c r="B730" s="1" t="n">
        <v>45777.59413194445</v>
      </c>
      <c r="C730" s="1" t="n">
        <v>45966</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42730-2025</t>
        </is>
      </c>
      <c r="B731" s="1" t="n">
        <v>45908.40666666667</v>
      </c>
      <c r="C731" s="1" t="n">
        <v>45966</v>
      </c>
      <c r="D731" t="inlineStr">
        <is>
          <t>VÄSTERNORRLANDS LÄN</t>
        </is>
      </c>
      <c r="E731" t="inlineStr">
        <is>
          <t>ÅNGE</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52060-2025</t>
        </is>
      </c>
      <c r="B732" s="1" t="n">
        <v>45952.63641203703</v>
      </c>
      <c r="C732" s="1" t="n">
        <v>45966</v>
      </c>
      <c r="D732" t="inlineStr">
        <is>
          <t>VÄSTERNORRLANDS LÄN</t>
        </is>
      </c>
      <c r="E732" t="inlineStr">
        <is>
          <t>ÅNGE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20864-2025</t>
        </is>
      </c>
      <c r="B733" s="1" t="n">
        <v>45777.34417824074</v>
      </c>
      <c r="C733" s="1" t="n">
        <v>45966</v>
      </c>
      <c r="D733" t="inlineStr">
        <is>
          <t>VÄSTERNORRLANDS LÄN</t>
        </is>
      </c>
      <c r="E733" t="inlineStr">
        <is>
          <t>ÅNGE</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52335-2025</t>
        </is>
      </c>
      <c r="B734" s="1" t="n">
        <v>45953.68591435185</v>
      </c>
      <c r="C734" s="1" t="n">
        <v>45966</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61585-2022</t>
        </is>
      </c>
      <c r="B735" s="1" t="n">
        <v>44916.63380787037</v>
      </c>
      <c r="C735" s="1" t="n">
        <v>45966</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43237-2025</t>
        </is>
      </c>
      <c r="B736" s="1" t="n">
        <v>45910.51670138889</v>
      </c>
      <c r="C736" s="1" t="n">
        <v>45966</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43250-2025</t>
        </is>
      </c>
      <c r="B737" s="1" t="n">
        <v>45910.5525462963</v>
      </c>
      <c r="C737" s="1" t="n">
        <v>45966</v>
      </c>
      <c r="D737" t="inlineStr">
        <is>
          <t>VÄSTERNORRLANDS LÄN</t>
        </is>
      </c>
      <c r="E737" t="inlineStr">
        <is>
          <t>ÅNGE</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52306-2025</t>
        </is>
      </c>
      <c r="B738" s="1" t="n">
        <v>45953.63600694444</v>
      </c>
      <c r="C738" s="1" t="n">
        <v>45966</v>
      </c>
      <c r="D738" t="inlineStr">
        <is>
          <t>VÄSTERNORRLANDS LÄN</t>
        </is>
      </c>
      <c r="E738" t="inlineStr">
        <is>
          <t>ÅNGE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43252-2025</t>
        </is>
      </c>
      <c r="B739" s="1" t="n">
        <v>45910.55292824074</v>
      </c>
      <c r="C739" s="1" t="n">
        <v>45966</v>
      </c>
      <c r="D739" t="inlineStr">
        <is>
          <t>VÄSTERNORRLANDS LÄN</t>
        </is>
      </c>
      <c r="E739" t="inlineStr">
        <is>
          <t>ÅNGE</t>
        </is>
      </c>
      <c r="F739" t="inlineStr">
        <is>
          <t>SCA</t>
        </is>
      </c>
      <c r="G739" t="n">
        <v>5.2</v>
      </c>
      <c r="H739" t="n">
        <v>0</v>
      </c>
      <c r="I739" t="n">
        <v>0</v>
      </c>
      <c r="J739" t="n">
        <v>0</v>
      </c>
      <c r="K739" t="n">
        <v>0</v>
      </c>
      <c r="L739" t="n">
        <v>0</v>
      </c>
      <c r="M739" t="n">
        <v>0</v>
      </c>
      <c r="N739" t="n">
        <v>0</v>
      </c>
      <c r="O739" t="n">
        <v>0</v>
      </c>
      <c r="P739" t="n">
        <v>0</v>
      </c>
      <c r="Q739" t="n">
        <v>0</v>
      </c>
      <c r="R739" s="2" t="inlineStr"/>
    </row>
    <row r="740" ht="15" customHeight="1">
      <c r="A740" t="inlineStr">
        <is>
          <t>A 20868-2025</t>
        </is>
      </c>
      <c r="B740" s="1" t="n">
        <v>45777.34483796296</v>
      </c>
      <c r="C740" s="1" t="n">
        <v>45966</v>
      </c>
      <c r="D740" t="inlineStr">
        <is>
          <t>VÄSTERNORRLANDS LÄN</t>
        </is>
      </c>
      <c r="E740" t="inlineStr">
        <is>
          <t>ÅNGE</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16365-2023</t>
        </is>
      </c>
      <c r="B741" s="1" t="n">
        <v>45028</v>
      </c>
      <c r="C741" s="1" t="n">
        <v>45966</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20718-2025</t>
        </is>
      </c>
      <c r="B742" s="1" t="n">
        <v>45776.49047453704</v>
      </c>
      <c r="C742" s="1" t="n">
        <v>45966</v>
      </c>
      <c r="D742" t="inlineStr">
        <is>
          <t>VÄSTERNORRLANDS LÄN</t>
        </is>
      </c>
      <c r="E742" t="inlineStr">
        <is>
          <t>ÅNGE</t>
        </is>
      </c>
      <c r="G742" t="n">
        <v>4.7</v>
      </c>
      <c r="H742" t="n">
        <v>0</v>
      </c>
      <c r="I742" t="n">
        <v>0</v>
      </c>
      <c r="J742" t="n">
        <v>0</v>
      </c>
      <c r="K742" t="n">
        <v>0</v>
      </c>
      <c r="L742" t="n">
        <v>0</v>
      </c>
      <c r="M742" t="n">
        <v>0</v>
      </c>
      <c r="N742" t="n">
        <v>0</v>
      </c>
      <c r="O742" t="n">
        <v>0</v>
      </c>
      <c r="P742" t="n">
        <v>0</v>
      </c>
      <c r="Q742" t="n">
        <v>0</v>
      </c>
      <c r="R742" s="2" t="inlineStr"/>
    </row>
    <row r="743" ht="15" customHeight="1">
      <c r="A743" t="inlineStr">
        <is>
          <t>A 43415-2025</t>
        </is>
      </c>
      <c r="B743" s="1" t="n">
        <v>45911.40662037037</v>
      </c>
      <c r="C743" s="1" t="n">
        <v>45966</v>
      </c>
      <c r="D743" t="inlineStr">
        <is>
          <t>VÄSTERNORRLANDS LÄN</t>
        </is>
      </c>
      <c r="E743" t="inlineStr">
        <is>
          <t>ÅNGE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43386-2025</t>
        </is>
      </c>
      <c r="B744" s="1" t="n">
        <v>45911.36520833334</v>
      </c>
      <c r="C744" s="1" t="n">
        <v>45966</v>
      </c>
      <c r="D744" t="inlineStr">
        <is>
          <t>VÄSTERNORRLANDS LÄN</t>
        </is>
      </c>
      <c r="E744" t="inlineStr">
        <is>
          <t>ÅNGE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69790-2021</t>
        </is>
      </c>
      <c r="B745" s="1" t="n">
        <v>44532.605625</v>
      </c>
      <c r="C745" s="1" t="n">
        <v>45966</v>
      </c>
      <c r="D745" t="inlineStr">
        <is>
          <t>VÄSTERNORRLANDS LÄN</t>
        </is>
      </c>
      <c r="E745" t="inlineStr">
        <is>
          <t>ÅNGE</t>
        </is>
      </c>
      <c r="G745" t="n">
        <v>1.9</v>
      </c>
      <c r="H745" t="n">
        <v>0</v>
      </c>
      <c r="I745" t="n">
        <v>0</v>
      </c>
      <c r="J745" t="n">
        <v>0</v>
      </c>
      <c r="K745" t="n">
        <v>0</v>
      </c>
      <c r="L745" t="n">
        <v>0</v>
      </c>
      <c r="M745" t="n">
        <v>0</v>
      </c>
      <c r="N745" t="n">
        <v>0</v>
      </c>
      <c r="O745" t="n">
        <v>0</v>
      </c>
      <c r="P745" t="n">
        <v>0</v>
      </c>
      <c r="Q745" t="n">
        <v>0</v>
      </c>
      <c r="R745" s="2" t="inlineStr"/>
    </row>
    <row r="746" ht="15" customHeight="1">
      <c r="A746" t="inlineStr">
        <is>
          <t>A 52283-2025</t>
        </is>
      </c>
      <c r="B746" s="1" t="n">
        <v>45953.57346064815</v>
      </c>
      <c r="C746" s="1" t="n">
        <v>45966</v>
      </c>
      <c r="D746" t="inlineStr">
        <is>
          <t>VÄSTERNORRLANDS LÄN</t>
        </is>
      </c>
      <c r="E746" t="inlineStr">
        <is>
          <t>ÅNGE</t>
        </is>
      </c>
      <c r="G746" t="n">
        <v>8.9</v>
      </c>
      <c r="H746" t="n">
        <v>0</v>
      </c>
      <c r="I746" t="n">
        <v>0</v>
      </c>
      <c r="J746" t="n">
        <v>0</v>
      </c>
      <c r="K746" t="n">
        <v>0</v>
      </c>
      <c r="L746" t="n">
        <v>0</v>
      </c>
      <c r="M746" t="n">
        <v>0</v>
      </c>
      <c r="N746" t="n">
        <v>0</v>
      </c>
      <c r="O746" t="n">
        <v>0</v>
      </c>
      <c r="P746" t="n">
        <v>0</v>
      </c>
      <c r="Q746" t="n">
        <v>0</v>
      </c>
      <c r="R746" s="2" t="inlineStr"/>
    </row>
    <row r="747" ht="15" customHeight="1">
      <c r="A747" t="inlineStr">
        <is>
          <t>A 20776-2025</t>
        </is>
      </c>
      <c r="B747" s="1" t="n">
        <v>45776.59410879629</v>
      </c>
      <c r="C747" s="1" t="n">
        <v>45966</v>
      </c>
      <c r="D747" t="inlineStr">
        <is>
          <t>VÄSTERNORRLANDS LÄN</t>
        </is>
      </c>
      <c r="E747" t="inlineStr">
        <is>
          <t>ÅNGE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53209-2024</t>
        </is>
      </c>
      <c r="B748" s="1" t="n">
        <v>45612.51079861111</v>
      </c>
      <c r="C748" s="1" t="n">
        <v>45966</v>
      </c>
      <c r="D748" t="inlineStr">
        <is>
          <t>VÄSTERNORRLANDS LÄN</t>
        </is>
      </c>
      <c r="E748" t="inlineStr">
        <is>
          <t>ÅNGE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3574-2025</t>
        </is>
      </c>
      <c r="B749" s="1" t="n">
        <v>45680.71916666667</v>
      </c>
      <c r="C749" s="1" t="n">
        <v>45966</v>
      </c>
      <c r="D749" t="inlineStr">
        <is>
          <t>VÄSTERNORRLANDS LÄN</t>
        </is>
      </c>
      <c r="E749" t="inlineStr">
        <is>
          <t>ÅNGE</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30803-2022</t>
        </is>
      </c>
      <c r="B750" s="1" t="n">
        <v>44764</v>
      </c>
      <c r="C750" s="1" t="n">
        <v>45966</v>
      </c>
      <c r="D750" t="inlineStr">
        <is>
          <t>VÄSTERNORRLANDS LÄN</t>
        </is>
      </c>
      <c r="E750" t="inlineStr">
        <is>
          <t>ÅNGE</t>
        </is>
      </c>
      <c r="G750" t="n">
        <v>1.1</v>
      </c>
      <c r="H750" t="n">
        <v>0</v>
      </c>
      <c r="I750" t="n">
        <v>0</v>
      </c>
      <c r="J750" t="n">
        <v>0</v>
      </c>
      <c r="K750" t="n">
        <v>0</v>
      </c>
      <c r="L750" t="n">
        <v>0</v>
      </c>
      <c r="M750" t="n">
        <v>0</v>
      </c>
      <c r="N750" t="n">
        <v>0</v>
      </c>
      <c r="O750" t="n">
        <v>0</v>
      </c>
      <c r="P750" t="n">
        <v>0</v>
      </c>
      <c r="Q750" t="n">
        <v>0</v>
      </c>
      <c r="R750" s="2" t="inlineStr"/>
    </row>
    <row r="751" ht="15" customHeight="1">
      <c r="A751" t="inlineStr">
        <is>
          <t>A 21174-2025</t>
        </is>
      </c>
      <c r="B751" s="1" t="n">
        <v>45779.42746527777</v>
      </c>
      <c r="C751" s="1" t="n">
        <v>45966</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21197-2025</t>
        </is>
      </c>
      <c r="B752" s="1" t="n">
        <v>45779.46949074074</v>
      </c>
      <c r="C752" s="1" t="n">
        <v>45966</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43385-2025</t>
        </is>
      </c>
      <c r="B753" s="1" t="n">
        <v>45911.36508101852</v>
      </c>
      <c r="C753" s="1" t="n">
        <v>45966</v>
      </c>
      <c r="D753" t="inlineStr">
        <is>
          <t>VÄSTERNORRLANDS LÄN</t>
        </is>
      </c>
      <c r="E753" t="inlineStr">
        <is>
          <t>ÅNGE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45030-2024</t>
        </is>
      </c>
      <c r="B754" s="1" t="n">
        <v>45575.52089120371</v>
      </c>
      <c r="C754" s="1" t="n">
        <v>45966</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43546-2025</t>
        </is>
      </c>
      <c r="B755" s="1" t="n">
        <v>45911.6153125</v>
      </c>
      <c r="C755" s="1" t="n">
        <v>45966</v>
      </c>
      <c r="D755" t="inlineStr">
        <is>
          <t>VÄSTERNORRLANDS LÄN</t>
        </is>
      </c>
      <c r="E755" t="inlineStr">
        <is>
          <t>ÅNGE</t>
        </is>
      </c>
      <c r="F755" t="inlineStr">
        <is>
          <t>SCA</t>
        </is>
      </c>
      <c r="G755" t="n">
        <v>9.6</v>
      </c>
      <c r="H755" t="n">
        <v>0</v>
      </c>
      <c r="I755" t="n">
        <v>0</v>
      </c>
      <c r="J755" t="n">
        <v>0</v>
      </c>
      <c r="K755" t="n">
        <v>0</v>
      </c>
      <c r="L755" t="n">
        <v>0</v>
      </c>
      <c r="M755" t="n">
        <v>0</v>
      </c>
      <c r="N755" t="n">
        <v>0</v>
      </c>
      <c r="O755" t="n">
        <v>0</v>
      </c>
      <c r="P755" t="n">
        <v>0</v>
      </c>
      <c r="Q755" t="n">
        <v>0</v>
      </c>
      <c r="R755" s="2" t="inlineStr"/>
    </row>
    <row r="756" ht="15" customHeight="1">
      <c r="A756" t="inlineStr">
        <is>
          <t>A 21263-2025</t>
        </is>
      </c>
      <c r="B756" s="1" t="n">
        <v>45779.61233796296</v>
      </c>
      <c r="C756" s="1" t="n">
        <v>45966</v>
      </c>
      <c r="D756" t="inlineStr">
        <is>
          <t>VÄSTERNORRLANDS LÄN</t>
        </is>
      </c>
      <c r="E756" t="inlineStr">
        <is>
          <t>ÅNGE</t>
        </is>
      </c>
      <c r="F756" t="inlineStr">
        <is>
          <t>Sveaskog</t>
        </is>
      </c>
      <c r="G756" t="n">
        <v>14.9</v>
      </c>
      <c r="H756" t="n">
        <v>0</v>
      </c>
      <c r="I756" t="n">
        <v>0</v>
      </c>
      <c r="J756" t="n">
        <v>0</v>
      </c>
      <c r="K756" t="n">
        <v>0</v>
      </c>
      <c r="L756" t="n">
        <v>0</v>
      </c>
      <c r="M756" t="n">
        <v>0</v>
      </c>
      <c r="N756" t="n">
        <v>0</v>
      </c>
      <c r="O756" t="n">
        <v>0</v>
      </c>
      <c r="P756" t="n">
        <v>0</v>
      </c>
      <c r="Q756" t="n">
        <v>0</v>
      </c>
      <c r="R756" s="2" t="inlineStr"/>
    </row>
    <row r="757" ht="15" customHeight="1">
      <c r="A757" t="inlineStr">
        <is>
          <t>A 21251-2025</t>
        </is>
      </c>
      <c r="B757" s="1" t="n">
        <v>45779.57417824074</v>
      </c>
      <c r="C757" s="1" t="n">
        <v>45966</v>
      </c>
      <c r="D757" t="inlineStr">
        <is>
          <t>VÄSTERNORRLANDS LÄN</t>
        </is>
      </c>
      <c r="E757" t="inlineStr">
        <is>
          <t>ÅNGE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21176-2025</t>
        </is>
      </c>
      <c r="B758" s="1" t="n">
        <v>45779.42798611111</v>
      </c>
      <c r="C758" s="1" t="n">
        <v>45966</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43389-2025</t>
        </is>
      </c>
      <c r="B759" s="1" t="n">
        <v>45911.36560185185</v>
      </c>
      <c r="C759" s="1" t="n">
        <v>45966</v>
      </c>
      <c r="D759" t="inlineStr">
        <is>
          <t>VÄSTERNORRLANDS LÄN</t>
        </is>
      </c>
      <c r="E759" t="inlineStr">
        <is>
          <t>ÅNGE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21741-2025</t>
        </is>
      </c>
      <c r="B760" s="1" t="n">
        <v>45783.59415509259</v>
      </c>
      <c r="C760" s="1" t="n">
        <v>45966</v>
      </c>
      <c r="D760" t="inlineStr">
        <is>
          <t>VÄSTERNORRLANDS LÄN</t>
        </is>
      </c>
      <c r="E760" t="inlineStr">
        <is>
          <t>ÅNGE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21685-2025</t>
        </is>
      </c>
      <c r="B761" s="1" t="n">
        <v>45783.49050925926</v>
      </c>
      <c r="C761" s="1" t="n">
        <v>45966</v>
      </c>
      <c r="D761" t="inlineStr">
        <is>
          <t>VÄSTERNORRLANDS LÄN</t>
        </is>
      </c>
      <c r="E761" t="inlineStr">
        <is>
          <t>ÅNGE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43221-2025</t>
        </is>
      </c>
      <c r="B762" s="1" t="n">
        <v>45910.47981481482</v>
      </c>
      <c r="C762" s="1" t="n">
        <v>45966</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34750-2023</t>
        </is>
      </c>
      <c r="B763" s="1" t="n">
        <v>45139</v>
      </c>
      <c r="C763" s="1" t="n">
        <v>45966</v>
      </c>
      <c r="D763" t="inlineStr">
        <is>
          <t>VÄSTERNORRLANDS LÄN</t>
        </is>
      </c>
      <c r="E763" t="inlineStr">
        <is>
          <t>ÅNGE</t>
        </is>
      </c>
      <c r="G763" t="n">
        <v>2.9</v>
      </c>
      <c r="H763" t="n">
        <v>0</v>
      </c>
      <c r="I763" t="n">
        <v>0</v>
      </c>
      <c r="J763" t="n">
        <v>0</v>
      </c>
      <c r="K763" t="n">
        <v>0</v>
      </c>
      <c r="L763" t="n">
        <v>0</v>
      </c>
      <c r="M763" t="n">
        <v>0</v>
      </c>
      <c r="N763" t="n">
        <v>0</v>
      </c>
      <c r="O763" t="n">
        <v>0</v>
      </c>
      <c r="P763" t="n">
        <v>0</v>
      </c>
      <c r="Q763" t="n">
        <v>0</v>
      </c>
      <c r="R763" s="2" t="inlineStr"/>
    </row>
    <row r="764" ht="15" customHeight="1">
      <c r="A764" t="inlineStr">
        <is>
          <t>A 21597-2025</t>
        </is>
      </c>
      <c r="B764" s="1" t="n">
        <v>45783.34493055556</v>
      </c>
      <c r="C764" s="1" t="n">
        <v>45966</v>
      </c>
      <c r="D764" t="inlineStr">
        <is>
          <t>VÄSTERNORRLANDS LÄN</t>
        </is>
      </c>
      <c r="E764" t="inlineStr">
        <is>
          <t>ÅNGE</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17669-2023</t>
        </is>
      </c>
      <c r="B765" s="1" t="n">
        <v>45036.94457175926</v>
      </c>
      <c r="C765" s="1" t="n">
        <v>45966</v>
      </c>
      <c r="D765" t="inlineStr">
        <is>
          <t>VÄSTERNORRLANDS LÄN</t>
        </is>
      </c>
      <c r="E765" t="inlineStr">
        <is>
          <t>ÅNGE</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52121-2025</t>
        </is>
      </c>
      <c r="B766" s="1" t="n">
        <v>45952.71921296296</v>
      </c>
      <c r="C766" s="1" t="n">
        <v>45966</v>
      </c>
      <c r="D766" t="inlineStr">
        <is>
          <t>VÄSTERNORRLANDS LÄN</t>
        </is>
      </c>
      <c r="E766" t="inlineStr">
        <is>
          <t>ÅNGE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51857-2025</t>
        </is>
      </c>
      <c r="B767" s="1" t="n">
        <v>45952.36506944444</v>
      </c>
      <c r="C767" s="1" t="n">
        <v>45966</v>
      </c>
      <c r="D767" t="inlineStr">
        <is>
          <t>VÄSTERNORRLANDS LÄN</t>
        </is>
      </c>
      <c r="E767" t="inlineStr">
        <is>
          <t>ÅNGE</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43265-2025</t>
        </is>
      </c>
      <c r="B768" s="1" t="n">
        <v>45910.57377314815</v>
      </c>
      <c r="C768" s="1" t="n">
        <v>45966</v>
      </c>
      <c r="D768" t="inlineStr">
        <is>
          <t>VÄSTERNORRLANDS LÄN</t>
        </is>
      </c>
      <c r="E768" t="inlineStr">
        <is>
          <t>ÅNGE</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25867-2024</t>
        </is>
      </c>
      <c r="B769" s="1" t="n">
        <v>45463</v>
      </c>
      <c r="C769" s="1" t="n">
        <v>45966</v>
      </c>
      <c r="D769" t="inlineStr">
        <is>
          <t>VÄSTERNORRLANDS LÄN</t>
        </is>
      </c>
      <c r="E769" t="inlineStr">
        <is>
          <t>ÅNGE</t>
        </is>
      </c>
      <c r="G769" t="n">
        <v>2.7</v>
      </c>
      <c r="H769" t="n">
        <v>0</v>
      </c>
      <c r="I769" t="n">
        <v>0</v>
      </c>
      <c r="J769" t="n">
        <v>0</v>
      </c>
      <c r="K769" t="n">
        <v>0</v>
      </c>
      <c r="L769" t="n">
        <v>0</v>
      </c>
      <c r="M769" t="n">
        <v>0</v>
      </c>
      <c r="N769" t="n">
        <v>0</v>
      </c>
      <c r="O769" t="n">
        <v>0</v>
      </c>
      <c r="P769" t="n">
        <v>0</v>
      </c>
      <c r="Q769" t="n">
        <v>0</v>
      </c>
      <c r="R769" s="2" t="inlineStr"/>
    </row>
    <row r="770" ht="15" customHeight="1">
      <c r="A770" t="inlineStr">
        <is>
          <t>A 44180-2023</t>
        </is>
      </c>
      <c r="B770" s="1" t="n">
        <v>45183</v>
      </c>
      <c r="C770" s="1" t="n">
        <v>45966</v>
      </c>
      <c r="D770" t="inlineStr">
        <is>
          <t>VÄSTERNORRLANDS LÄN</t>
        </is>
      </c>
      <c r="E770" t="inlineStr">
        <is>
          <t>ÅNGE</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2539-2025</t>
        </is>
      </c>
      <c r="B771" s="1" t="n">
        <v>45674.61581018518</v>
      </c>
      <c r="C771" s="1" t="n">
        <v>45966</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39973-2023</t>
        </is>
      </c>
      <c r="B772" s="1" t="n">
        <v>45168.5858912037</v>
      </c>
      <c r="C772" s="1" t="n">
        <v>45966</v>
      </c>
      <c r="D772" t="inlineStr">
        <is>
          <t>VÄSTERNORRLANDS LÄN</t>
        </is>
      </c>
      <c r="E772" t="inlineStr">
        <is>
          <t>ÅNGE</t>
        </is>
      </c>
      <c r="G772" t="n">
        <v>3.6</v>
      </c>
      <c r="H772" t="n">
        <v>0</v>
      </c>
      <c r="I772" t="n">
        <v>0</v>
      </c>
      <c r="J772" t="n">
        <v>0</v>
      </c>
      <c r="K772" t="n">
        <v>0</v>
      </c>
      <c r="L772" t="n">
        <v>0</v>
      </c>
      <c r="M772" t="n">
        <v>0</v>
      </c>
      <c r="N772" t="n">
        <v>0</v>
      </c>
      <c r="O772" t="n">
        <v>0</v>
      </c>
      <c r="P772" t="n">
        <v>0</v>
      </c>
      <c r="Q772" t="n">
        <v>0</v>
      </c>
      <c r="R772" s="2" t="inlineStr"/>
    </row>
    <row r="773" ht="15" customHeight="1">
      <c r="A773" t="inlineStr">
        <is>
          <t>A 33747-2024</t>
        </is>
      </c>
      <c r="B773" s="1" t="n">
        <v>45520</v>
      </c>
      <c r="C773" s="1" t="n">
        <v>45966</v>
      </c>
      <c r="D773" t="inlineStr">
        <is>
          <t>VÄSTERNORRLANDS LÄN</t>
        </is>
      </c>
      <c r="E773" t="inlineStr">
        <is>
          <t>ÅNGE</t>
        </is>
      </c>
      <c r="G773" t="n">
        <v>0.7</v>
      </c>
      <c r="H773" t="n">
        <v>0</v>
      </c>
      <c r="I773" t="n">
        <v>0</v>
      </c>
      <c r="J773" t="n">
        <v>0</v>
      </c>
      <c r="K773" t="n">
        <v>0</v>
      </c>
      <c r="L773" t="n">
        <v>0</v>
      </c>
      <c r="M773" t="n">
        <v>0</v>
      </c>
      <c r="N773" t="n">
        <v>0</v>
      </c>
      <c r="O773" t="n">
        <v>0</v>
      </c>
      <c r="P773" t="n">
        <v>0</v>
      </c>
      <c r="Q773" t="n">
        <v>0</v>
      </c>
      <c r="R773" s="2" t="inlineStr"/>
    </row>
    <row r="774" ht="15" customHeight="1">
      <c r="A774" t="inlineStr">
        <is>
          <t>A 21686-2025</t>
        </is>
      </c>
      <c r="B774" s="1" t="n">
        <v>45783.490625</v>
      </c>
      <c r="C774" s="1" t="n">
        <v>45966</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54295-2024</t>
        </is>
      </c>
      <c r="B775" s="1" t="n">
        <v>45617</v>
      </c>
      <c r="C775" s="1" t="n">
        <v>45966</v>
      </c>
      <c r="D775" t="inlineStr">
        <is>
          <t>VÄSTERNORRLANDS LÄN</t>
        </is>
      </c>
      <c r="E775" t="inlineStr">
        <is>
          <t>ÅNGE</t>
        </is>
      </c>
      <c r="G775" t="n">
        <v>1.2</v>
      </c>
      <c r="H775" t="n">
        <v>0</v>
      </c>
      <c r="I775" t="n">
        <v>0</v>
      </c>
      <c r="J775" t="n">
        <v>0</v>
      </c>
      <c r="K775" t="n">
        <v>0</v>
      </c>
      <c r="L775" t="n">
        <v>0</v>
      </c>
      <c r="M775" t="n">
        <v>0</v>
      </c>
      <c r="N775" t="n">
        <v>0</v>
      </c>
      <c r="O775" t="n">
        <v>0</v>
      </c>
      <c r="P775" t="n">
        <v>0</v>
      </c>
      <c r="Q775" t="n">
        <v>0</v>
      </c>
      <c r="R775" s="2" t="inlineStr"/>
    </row>
    <row r="776" ht="15" customHeight="1">
      <c r="A776" t="inlineStr">
        <is>
          <t>A 53856-2024</t>
        </is>
      </c>
      <c r="B776" s="1" t="n">
        <v>45615</v>
      </c>
      <c r="C776" s="1" t="n">
        <v>45966</v>
      </c>
      <c r="D776" t="inlineStr">
        <is>
          <t>VÄSTERNORRLANDS LÄN</t>
        </is>
      </c>
      <c r="E776" t="inlineStr">
        <is>
          <t>ÅNGE</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14888-2022</t>
        </is>
      </c>
      <c r="B777" s="1" t="n">
        <v>44656</v>
      </c>
      <c r="C777" s="1" t="n">
        <v>45966</v>
      </c>
      <c r="D777" t="inlineStr">
        <is>
          <t>VÄSTERNORRLANDS LÄN</t>
        </is>
      </c>
      <c r="E777" t="inlineStr">
        <is>
          <t>ÅNGE</t>
        </is>
      </c>
      <c r="G777" t="n">
        <v>6.2</v>
      </c>
      <c r="H777" t="n">
        <v>0</v>
      </c>
      <c r="I777" t="n">
        <v>0</v>
      </c>
      <c r="J777" t="n">
        <v>0</v>
      </c>
      <c r="K777" t="n">
        <v>0</v>
      </c>
      <c r="L777" t="n">
        <v>0</v>
      </c>
      <c r="M777" t="n">
        <v>0</v>
      </c>
      <c r="N777" t="n">
        <v>0</v>
      </c>
      <c r="O777" t="n">
        <v>0</v>
      </c>
      <c r="P777" t="n">
        <v>0</v>
      </c>
      <c r="Q777" t="n">
        <v>0</v>
      </c>
      <c r="R777" s="2" t="inlineStr"/>
    </row>
    <row r="778" ht="15" customHeight="1">
      <c r="A778" t="inlineStr">
        <is>
          <t>A 21563-2025</t>
        </is>
      </c>
      <c r="B778" s="1" t="n">
        <v>45782.69822916666</v>
      </c>
      <c r="C778" s="1" t="n">
        <v>45966</v>
      </c>
      <c r="D778" t="inlineStr">
        <is>
          <t>VÄSTERNORRLANDS LÄN</t>
        </is>
      </c>
      <c r="E778" t="inlineStr">
        <is>
          <t>ÅNGE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21712-2025</t>
        </is>
      </c>
      <c r="B779" s="1" t="n">
        <v>45783.53210648148</v>
      </c>
      <c r="C779" s="1" t="n">
        <v>45966</v>
      </c>
      <c r="D779" t="inlineStr">
        <is>
          <t>VÄSTERNORRLANDS LÄN</t>
        </is>
      </c>
      <c r="E779" t="inlineStr">
        <is>
          <t>ÅNGE</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26640-2024</t>
        </is>
      </c>
      <c r="B780" s="1" t="n">
        <v>45469.92831018518</v>
      </c>
      <c r="C780" s="1" t="n">
        <v>45966</v>
      </c>
      <c r="D780" t="inlineStr">
        <is>
          <t>VÄSTERNORRLANDS LÄN</t>
        </is>
      </c>
      <c r="E780" t="inlineStr">
        <is>
          <t>ÅNGE</t>
        </is>
      </c>
      <c r="G780" t="n">
        <v>9.9</v>
      </c>
      <c r="H780" t="n">
        <v>0</v>
      </c>
      <c r="I780" t="n">
        <v>0</v>
      </c>
      <c r="J780" t="n">
        <v>0</v>
      </c>
      <c r="K780" t="n">
        <v>0</v>
      </c>
      <c r="L780" t="n">
        <v>0</v>
      </c>
      <c r="M780" t="n">
        <v>0</v>
      </c>
      <c r="N780" t="n">
        <v>0</v>
      </c>
      <c r="O780" t="n">
        <v>0</v>
      </c>
      <c r="P780" t="n">
        <v>0</v>
      </c>
      <c r="Q780" t="n">
        <v>0</v>
      </c>
      <c r="R780" s="2" t="inlineStr"/>
    </row>
    <row r="781" ht="15" customHeight="1">
      <c r="A781" t="inlineStr">
        <is>
          <t>A 39119-2024</t>
        </is>
      </c>
      <c r="B781" s="1" t="n">
        <v>45548.58939814815</v>
      </c>
      <c r="C781" s="1" t="n">
        <v>45966</v>
      </c>
      <c r="D781" t="inlineStr">
        <is>
          <t>VÄSTERNORRLANDS LÄN</t>
        </is>
      </c>
      <c r="E781" t="inlineStr">
        <is>
          <t>ÅNGE</t>
        </is>
      </c>
      <c r="G781" t="n">
        <v>8</v>
      </c>
      <c r="H781" t="n">
        <v>0</v>
      </c>
      <c r="I781" t="n">
        <v>0</v>
      </c>
      <c r="J781" t="n">
        <v>0</v>
      </c>
      <c r="K781" t="n">
        <v>0</v>
      </c>
      <c r="L781" t="n">
        <v>0</v>
      </c>
      <c r="M781" t="n">
        <v>0</v>
      </c>
      <c r="N781" t="n">
        <v>0</v>
      </c>
      <c r="O781" t="n">
        <v>0</v>
      </c>
      <c r="P781" t="n">
        <v>0</v>
      </c>
      <c r="Q781" t="n">
        <v>0</v>
      </c>
      <c r="R781" s="2" t="inlineStr"/>
    </row>
    <row r="782" ht="15" customHeight="1">
      <c r="A782" t="inlineStr">
        <is>
          <t>A 22990-2024</t>
        </is>
      </c>
      <c r="B782" s="1" t="n">
        <v>45449.94548611111</v>
      </c>
      <c r="C782" s="1" t="n">
        <v>45966</v>
      </c>
      <c r="D782" t="inlineStr">
        <is>
          <t>VÄSTERNORRLANDS LÄN</t>
        </is>
      </c>
      <c r="E782" t="inlineStr">
        <is>
          <t>ÅNGE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32257-2024</t>
        </is>
      </c>
      <c r="B783" s="1" t="n">
        <v>45511</v>
      </c>
      <c r="C783" s="1" t="n">
        <v>45966</v>
      </c>
      <c r="D783" t="inlineStr">
        <is>
          <t>VÄSTERNORRLANDS LÄN</t>
        </is>
      </c>
      <c r="E783" t="inlineStr">
        <is>
          <t>ÅNGE</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27260-2023</t>
        </is>
      </c>
      <c r="B784" s="1" t="n">
        <v>45092</v>
      </c>
      <c r="C784" s="1" t="n">
        <v>45966</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58637-2023</t>
        </is>
      </c>
      <c r="B785" s="1" t="n">
        <v>45251</v>
      </c>
      <c r="C785" s="1" t="n">
        <v>45966</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20880-2025</t>
        </is>
      </c>
      <c r="B786" s="1" t="n">
        <v>45777</v>
      </c>
      <c r="C786" s="1" t="n">
        <v>45966</v>
      </c>
      <c r="D786" t="inlineStr">
        <is>
          <t>VÄSTERNORRLANDS LÄN</t>
        </is>
      </c>
      <c r="E786" t="inlineStr">
        <is>
          <t>ÅNGE</t>
        </is>
      </c>
      <c r="G786" t="n">
        <v>1.6</v>
      </c>
      <c r="H786" t="n">
        <v>0</v>
      </c>
      <c r="I786" t="n">
        <v>0</v>
      </c>
      <c r="J786" t="n">
        <v>0</v>
      </c>
      <c r="K786" t="n">
        <v>0</v>
      </c>
      <c r="L786" t="n">
        <v>0</v>
      </c>
      <c r="M786" t="n">
        <v>0</v>
      </c>
      <c r="N786" t="n">
        <v>0</v>
      </c>
      <c r="O786" t="n">
        <v>0</v>
      </c>
      <c r="P786" t="n">
        <v>0</v>
      </c>
      <c r="Q786" t="n">
        <v>0</v>
      </c>
      <c r="R786" s="2" t="inlineStr"/>
    </row>
    <row r="787" ht="15" customHeight="1">
      <c r="A787" t="inlineStr">
        <is>
          <t>A 22219-2025</t>
        </is>
      </c>
      <c r="B787" s="1" t="n">
        <v>45785.65849537037</v>
      </c>
      <c r="C787" s="1" t="n">
        <v>45966</v>
      </c>
      <c r="D787" t="inlineStr">
        <is>
          <t>VÄSTERNORRLANDS LÄN</t>
        </is>
      </c>
      <c r="E787" t="inlineStr">
        <is>
          <t>ÅNGE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30753-2024</t>
        </is>
      </c>
      <c r="B788" s="1" t="n">
        <v>45496</v>
      </c>
      <c r="C788" s="1" t="n">
        <v>45966</v>
      </c>
      <c r="D788" t="inlineStr">
        <is>
          <t>VÄSTERNORRLANDS LÄN</t>
        </is>
      </c>
      <c r="E788" t="inlineStr">
        <is>
          <t>ÅNGE</t>
        </is>
      </c>
      <c r="G788" t="n">
        <v>1.4</v>
      </c>
      <c r="H788" t="n">
        <v>0</v>
      </c>
      <c r="I788" t="n">
        <v>0</v>
      </c>
      <c r="J788" t="n">
        <v>0</v>
      </c>
      <c r="K788" t="n">
        <v>0</v>
      </c>
      <c r="L788" t="n">
        <v>0</v>
      </c>
      <c r="M788" t="n">
        <v>0</v>
      </c>
      <c r="N788" t="n">
        <v>0</v>
      </c>
      <c r="O788" t="n">
        <v>0</v>
      </c>
      <c r="P788" t="n">
        <v>0</v>
      </c>
      <c r="Q788" t="n">
        <v>0</v>
      </c>
      <c r="R788" s="2" t="inlineStr"/>
    </row>
    <row r="789" ht="15" customHeight="1">
      <c r="A789" t="inlineStr">
        <is>
          <t>A 21862-2025</t>
        </is>
      </c>
      <c r="B789" s="1" t="n">
        <v>45784.36519675926</v>
      </c>
      <c r="C789" s="1" t="n">
        <v>45966</v>
      </c>
      <c r="D789" t="inlineStr">
        <is>
          <t>VÄSTERNORRLANDS LÄN</t>
        </is>
      </c>
      <c r="E789" t="inlineStr">
        <is>
          <t>ÅNGE</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53013-2025</t>
        </is>
      </c>
      <c r="B790" s="1" t="n">
        <v>45957.81732638889</v>
      </c>
      <c r="C790" s="1" t="n">
        <v>45966</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30754-2024</t>
        </is>
      </c>
      <c r="B791" s="1" t="n">
        <v>45496</v>
      </c>
      <c r="C791" s="1" t="n">
        <v>45966</v>
      </c>
      <c r="D791" t="inlineStr">
        <is>
          <t>VÄSTERNORRLANDS LÄN</t>
        </is>
      </c>
      <c r="E791" t="inlineStr">
        <is>
          <t>ÅNGE</t>
        </is>
      </c>
      <c r="G791" t="n">
        <v>3.8</v>
      </c>
      <c r="H791" t="n">
        <v>0</v>
      </c>
      <c r="I791" t="n">
        <v>0</v>
      </c>
      <c r="J791" t="n">
        <v>0</v>
      </c>
      <c r="K791" t="n">
        <v>0</v>
      </c>
      <c r="L791" t="n">
        <v>0</v>
      </c>
      <c r="M791" t="n">
        <v>0</v>
      </c>
      <c r="N791" t="n">
        <v>0</v>
      </c>
      <c r="O791" t="n">
        <v>0</v>
      </c>
      <c r="P791" t="n">
        <v>0</v>
      </c>
      <c r="Q791" t="n">
        <v>0</v>
      </c>
      <c r="R791" s="2" t="inlineStr"/>
    </row>
    <row r="792" ht="15" customHeight="1">
      <c r="A792" t="inlineStr">
        <is>
          <t>A 22206-2025</t>
        </is>
      </c>
      <c r="B792" s="1" t="n">
        <v>45785.65699074074</v>
      </c>
      <c r="C792" s="1" t="n">
        <v>45966</v>
      </c>
      <c r="D792" t="inlineStr">
        <is>
          <t>VÄSTERNORRLANDS LÄN</t>
        </is>
      </c>
      <c r="E792" t="inlineStr">
        <is>
          <t>ÅNGE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29395-2023</t>
        </is>
      </c>
      <c r="B793" s="1" t="n">
        <v>45106.4359837963</v>
      </c>
      <c r="C793" s="1" t="n">
        <v>45966</v>
      </c>
      <c r="D793" t="inlineStr">
        <is>
          <t>VÄSTERNORRLANDS LÄN</t>
        </is>
      </c>
      <c r="E793" t="inlineStr">
        <is>
          <t>ÅNGE</t>
        </is>
      </c>
      <c r="G793" t="n">
        <v>3.5</v>
      </c>
      <c r="H793" t="n">
        <v>0</v>
      </c>
      <c r="I793" t="n">
        <v>0</v>
      </c>
      <c r="J793" t="n">
        <v>0</v>
      </c>
      <c r="K793" t="n">
        <v>0</v>
      </c>
      <c r="L793" t="n">
        <v>0</v>
      </c>
      <c r="M793" t="n">
        <v>0</v>
      </c>
      <c r="N793" t="n">
        <v>0</v>
      </c>
      <c r="O793" t="n">
        <v>0</v>
      </c>
      <c r="P793" t="n">
        <v>0</v>
      </c>
      <c r="Q793" t="n">
        <v>0</v>
      </c>
      <c r="R793" s="2" t="inlineStr"/>
    </row>
    <row r="794" ht="15" customHeight="1">
      <c r="A794" t="inlineStr">
        <is>
          <t>A 38800-2024</t>
        </is>
      </c>
      <c r="B794" s="1" t="n">
        <v>45547</v>
      </c>
      <c r="C794" s="1" t="n">
        <v>45966</v>
      </c>
      <c r="D794" t="inlineStr">
        <is>
          <t>VÄSTERNORRLANDS LÄN</t>
        </is>
      </c>
      <c r="E794" t="inlineStr">
        <is>
          <t>ÅNGE</t>
        </is>
      </c>
      <c r="G794" t="n">
        <v>2.6</v>
      </c>
      <c r="H794" t="n">
        <v>0</v>
      </c>
      <c r="I794" t="n">
        <v>0</v>
      </c>
      <c r="J794" t="n">
        <v>0</v>
      </c>
      <c r="K794" t="n">
        <v>0</v>
      </c>
      <c r="L794" t="n">
        <v>0</v>
      </c>
      <c r="M794" t="n">
        <v>0</v>
      </c>
      <c r="N794" t="n">
        <v>0</v>
      </c>
      <c r="O794" t="n">
        <v>0</v>
      </c>
      <c r="P794" t="n">
        <v>0</v>
      </c>
      <c r="Q794" t="n">
        <v>0</v>
      </c>
      <c r="R794" s="2" t="inlineStr"/>
    </row>
    <row r="795" ht="15" customHeight="1">
      <c r="A795" t="inlineStr">
        <is>
          <t>A 52642-2025</t>
        </is>
      </c>
      <c r="B795" s="1" t="n">
        <v>45955.34576388889</v>
      </c>
      <c r="C795" s="1" t="n">
        <v>45966</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21883-2025</t>
        </is>
      </c>
      <c r="B796" s="1" t="n">
        <v>45784.41361111111</v>
      </c>
      <c r="C796" s="1" t="n">
        <v>45966</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31492-2024</t>
        </is>
      </c>
      <c r="B797" s="1" t="n">
        <v>45505</v>
      </c>
      <c r="C797" s="1" t="n">
        <v>45966</v>
      </c>
      <c r="D797" t="inlineStr">
        <is>
          <t>VÄSTERNORRLANDS LÄN</t>
        </is>
      </c>
      <c r="E797" t="inlineStr">
        <is>
          <t>ÅNGE</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44165-2025</t>
        </is>
      </c>
      <c r="B798" s="1" t="n">
        <v>45915.59840277778</v>
      </c>
      <c r="C798" s="1" t="n">
        <v>45966</v>
      </c>
      <c r="D798" t="inlineStr">
        <is>
          <t>VÄSTERNORRLANDS LÄN</t>
        </is>
      </c>
      <c r="E798" t="inlineStr">
        <is>
          <t>ÅNGE</t>
        </is>
      </c>
      <c r="G798" t="n">
        <v>0.7</v>
      </c>
      <c r="H798" t="n">
        <v>0</v>
      </c>
      <c r="I798" t="n">
        <v>0</v>
      </c>
      <c r="J798" t="n">
        <v>0</v>
      </c>
      <c r="K798" t="n">
        <v>0</v>
      </c>
      <c r="L798" t="n">
        <v>0</v>
      </c>
      <c r="M798" t="n">
        <v>0</v>
      </c>
      <c r="N798" t="n">
        <v>0</v>
      </c>
      <c r="O798" t="n">
        <v>0</v>
      </c>
      <c r="P798" t="n">
        <v>0</v>
      </c>
      <c r="Q798" t="n">
        <v>0</v>
      </c>
      <c r="R798" s="2" t="inlineStr"/>
    </row>
    <row r="799" ht="15" customHeight="1">
      <c r="A799" t="inlineStr">
        <is>
          <t>A 34851-2023</t>
        </is>
      </c>
      <c r="B799" s="1" t="n">
        <v>45141</v>
      </c>
      <c r="C799" s="1" t="n">
        <v>45966</v>
      </c>
      <c r="D799" t="inlineStr">
        <is>
          <t>VÄSTERNORRLANDS LÄN</t>
        </is>
      </c>
      <c r="E799" t="inlineStr">
        <is>
          <t>ÅNGE</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51059-2024</t>
        </is>
      </c>
      <c r="B800" s="1" t="n">
        <v>45603</v>
      </c>
      <c r="C800" s="1" t="n">
        <v>45966</v>
      </c>
      <c r="D800" t="inlineStr">
        <is>
          <t>VÄSTERNORRLANDS LÄN</t>
        </is>
      </c>
      <c r="E800" t="inlineStr">
        <is>
          <t>ÅNGE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51054-2024</t>
        </is>
      </c>
      <c r="B801" s="1" t="n">
        <v>45603</v>
      </c>
      <c r="C801" s="1" t="n">
        <v>45966</v>
      </c>
      <c r="D801" t="inlineStr">
        <is>
          <t>VÄSTERNORRLANDS LÄN</t>
        </is>
      </c>
      <c r="E801" t="inlineStr">
        <is>
          <t>ÅNGE</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57271-2024</t>
        </is>
      </c>
      <c r="B802" s="1" t="n">
        <v>45629.57364583333</v>
      </c>
      <c r="C802" s="1" t="n">
        <v>45966</v>
      </c>
      <c r="D802" t="inlineStr">
        <is>
          <t>VÄSTERNORRLANDS LÄN</t>
        </is>
      </c>
      <c r="E802" t="inlineStr">
        <is>
          <t>ÅNGE</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21982-2025</t>
        </is>
      </c>
      <c r="B803" s="1" t="n">
        <v>45784.65660879629</v>
      </c>
      <c r="C803" s="1" t="n">
        <v>45966</v>
      </c>
      <c r="D803" t="inlineStr">
        <is>
          <t>VÄSTERNORRLANDS LÄN</t>
        </is>
      </c>
      <c r="E803" t="inlineStr">
        <is>
          <t>ÅNGE</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9480-2022</t>
        </is>
      </c>
      <c r="B804" s="1" t="n">
        <v>44616</v>
      </c>
      <c r="C804" s="1" t="n">
        <v>45966</v>
      </c>
      <c r="D804" t="inlineStr">
        <is>
          <t>VÄSTERNORRLANDS LÄN</t>
        </is>
      </c>
      <c r="E804" t="inlineStr">
        <is>
          <t>ÅNGE</t>
        </is>
      </c>
      <c r="G804" t="n">
        <v>0.3</v>
      </c>
      <c r="H804" t="n">
        <v>0</v>
      </c>
      <c r="I804" t="n">
        <v>0</v>
      </c>
      <c r="J804" t="n">
        <v>0</v>
      </c>
      <c r="K804" t="n">
        <v>0</v>
      </c>
      <c r="L804" t="n">
        <v>0</v>
      </c>
      <c r="M804" t="n">
        <v>0</v>
      </c>
      <c r="N804" t="n">
        <v>0</v>
      </c>
      <c r="O804" t="n">
        <v>0</v>
      </c>
      <c r="P804" t="n">
        <v>0</v>
      </c>
      <c r="Q804" t="n">
        <v>0</v>
      </c>
      <c r="R804" s="2" t="inlineStr"/>
    </row>
    <row r="805" ht="15" customHeight="1">
      <c r="A805" t="inlineStr">
        <is>
          <t>A 37503-2023</t>
        </is>
      </c>
      <c r="B805" s="1" t="n">
        <v>45157.5796875</v>
      </c>
      <c r="C805" s="1" t="n">
        <v>45966</v>
      </c>
      <c r="D805" t="inlineStr">
        <is>
          <t>VÄSTERNORRLANDS LÄN</t>
        </is>
      </c>
      <c r="E805" t="inlineStr">
        <is>
          <t>ÅNGE</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22187-2024</t>
        </is>
      </c>
      <c r="B806" s="1" t="n">
        <v>45446.35222222222</v>
      </c>
      <c r="C806" s="1" t="n">
        <v>45966</v>
      </c>
      <c r="D806" t="inlineStr">
        <is>
          <t>VÄSTERNORRLANDS LÄN</t>
        </is>
      </c>
      <c r="E806" t="inlineStr">
        <is>
          <t>ÅNGE</t>
        </is>
      </c>
      <c r="G806" t="n">
        <v>2.3</v>
      </c>
      <c r="H806" t="n">
        <v>0</v>
      </c>
      <c r="I806" t="n">
        <v>0</v>
      </c>
      <c r="J806" t="n">
        <v>0</v>
      </c>
      <c r="K806" t="n">
        <v>0</v>
      </c>
      <c r="L806" t="n">
        <v>0</v>
      </c>
      <c r="M806" t="n">
        <v>0</v>
      </c>
      <c r="N806" t="n">
        <v>0</v>
      </c>
      <c r="O806" t="n">
        <v>0</v>
      </c>
      <c r="P806" t="n">
        <v>0</v>
      </c>
      <c r="Q806" t="n">
        <v>0</v>
      </c>
      <c r="R806" s="2" t="inlineStr"/>
    </row>
    <row r="807" ht="15" customHeight="1">
      <c r="A807" t="inlineStr">
        <is>
          <t>A 51124-2024</t>
        </is>
      </c>
      <c r="B807" s="1" t="n">
        <v>45603.50716435185</v>
      </c>
      <c r="C807" s="1" t="n">
        <v>45966</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52392-2025</t>
        </is>
      </c>
      <c r="B808" s="1" t="n">
        <v>45954.34424768519</v>
      </c>
      <c r="C808" s="1" t="n">
        <v>45966</v>
      </c>
      <c r="D808" t="inlineStr">
        <is>
          <t>VÄSTERNORRLANDS LÄN</t>
        </is>
      </c>
      <c r="E808" t="inlineStr">
        <is>
          <t>ÅNGE</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52858-2025</t>
        </is>
      </c>
      <c r="B809" s="1" t="n">
        <v>45957.50284722223</v>
      </c>
      <c r="C809" s="1" t="n">
        <v>45966</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52411-2025</t>
        </is>
      </c>
      <c r="B810" s="1" t="n">
        <v>45954.36518518518</v>
      </c>
      <c r="C810" s="1" t="n">
        <v>45966</v>
      </c>
      <c r="D810" t="inlineStr">
        <is>
          <t>VÄSTERNORRLANDS LÄN</t>
        </is>
      </c>
      <c r="E810" t="inlineStr">
        <is>
          <t>ÅNGE</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51377-2024</t>
        </is>
      </c>
      <c r="B811" s="1" t="n">
        <v>45604.38142361111</v>
      </c>
      <c r="C811" s="1" t="n">
        <v>45966</v>
      </c>
      <c r="D811" t="inlineStr">
        <is>
          <t>VÄSTERNORRLANDS LÄN</t>
        </is>
      </c>
      <c r="E811" t="inlineStr">
        <is>
          <t>ÅNGE</t>
        </is>
      </c>
      <c r="G811" t="n">
        <v>0.6</v>
      </c>
      <c r="H811" t="n">
        <v>0</v>
      </c>
      <c r="I811" t="n">
        <v>0</v>
      </c>
      <c r="J811" t="n">
        <v>0</v>
      </c>
      <c r="K811" t="n">
        <v>0</v>
      </c>
      <c r="L811" t="n">
        <v>0</v>
      </c>
      <c r="M811" t="n">
        <v>0</v>
      </c>
      <c r="N811" t="n">
        <v>0</v>
      </c>
      <c r="O811" t="n">
        <v>0</v>
      </c>
      <c r="P811" t="n">
        <v>0</v>
      </c>
      <c r="Q811" t="n">
        <v>0</v>
      </c>
      <c r="R811" s="2" t="inlineStr"/>
    </row>
    <row r="812" ht="15" customHeight="1">
      <c r="A812" t="inlineStr">
        <is>
          <t>A 44876-2024</t>
        </is>
      </c>
      <c r="B812" s="1" t="n">
        <v>45575.34474537037</v>
      </c>
      <c r="C812" s="1" t="n">
        <v>45966</v>
      </c>
      <c r="D812" t="inlineStr">
        <is>
          <t>VÄSTERNORRLANDS LÄN</t>
        </is>
      </c>
      <c r="E812" t="inlineStr">
        <is>
          <t>ÅNGE</t>
        </is>
      </c>
      <c r="F812" t="inlineStr">
        <is>
          <t>SCA</t>
        </is>
      </c>
      <c r="G812" t="n">
        <v>12.4</v>
      </c>
      <c r="H812" t="n">
        <v>0</v>
      </c>
      <c r="I812" t="n">
        <v>0</v>
      </c>
      <c r="J812" t="n">
        <v>0</v>
      </c>
      <c r="K812" t="n">
        <v>0</v>
      </c>
      <c r="L812" t="n">
        <v>0</v>
      </c>
      <c r="M812" t="n">
        <v>0</v>
      </c>
      <c r="N812" t="n">
        <v>0</v>
      </c>
      <c r="O812" t="n">
        <v>0</v>
      </c>
      <c r="P812" t="n">
        <v>0</v>
      </c>
      <c r="Q812" t="n">
        <v>0</v>
      </c>
      <c r="R812" s="2" t="inlineStr"/>
    </row>
    <row r="813" ht="15" customHeight="1">
      <c r="A813" t="inlineStr">
        <is>
          <t>A 43707-2025</t>
        </is>
      </c>
      <c r="B813" s="1" t="n">
        <v>45912.40668981482</v>
      </c>
      <c r="C813" s="1" t="n">
        <v>45966</v>
      </c>
      <c r="D813" t="inlineStr">
        <is>
          <t>VÄSTERNORRLANDS LÄN</t>
        </is>
      </c>
      <c r="E813" t="inlineStr">
        <is>
          <t>ÅNGE</t>
        </is>
      </c>
      <c r="F813" t="inlineStr">
        <is>
          <t>SCA</t>
        </is>
      </c>
      <c r="G813" t="n">
        <v>12.5</v>
      </c>
      <c r="H813" t="n">
        <v>0</v>
      </c>
      <c r="I813" t="n">
        <v>0</v>
      </c>
      <c r="J813" t="n">
        <v>0</v>
      </c>
      <c r="K813" t="n">
        <v>0</v>
      </c>
      <c r="L813" t="n">
        <v>0</v>
      </c>
      <c r="M813" t="n">
        <v>0</v>
      </c>
      <c r="N813" t="n">
        <v>0</v>
      </c>
      <c r="O813" t="n">
        <v>0</v>
      </c>
      <c r="P813" t="n">
        <v>0</v>
      </c>
      <c r="Q813" t="n">
        <v>0</v>
      </c>
      <c r="R813" s="2" t="inlineStr"/>
      <c r="U813">
        <f>HYPERLINK("https://klasma.github.io/Logging_2260/knärot/A 43707-2025 karta knärot.png", "A 43707-2025")</f>
        <v/>
      </c>
      <c r="V813">
        <f>HYPERLINK("https://klasma.github.io/Logging_2260/klagomål/A 43707-2025 FSC-klagomål.docx", "A 43707-2025")</f>
        <v/>
      </c>
      <c r="W813">
        <f>HYPERLINK("https://klasma.github.io/Logging_2260/klagomålsmail/A 43707-2025 FSC-klagomål mail.docx", "A 43707-2025")</f>
        <v/>
      </c>
      <c r="X813">
        <f>HYPERLINK("https://klasma.github.io/Logging_2260/tillsyn/A 43707-2025 tillsynsbegäran.docx", "A 43707-2025")</f>
        <v/>
      </c>
      <c r="Y813">
        <f>HYPERLINK("https://klasma.github.io/Logging_2260/tillsynsmail/A 43707-2025 tillsynsbegäran mail.docx", "A 43707-2025")</f>
        <v/>
      </c>
    </row>
    <row r="814" ht="15" customHeight="1">
      <c r="A814" t="inlineStr">
        <is>
          <t>A 20229-2022</t>
        </is>
      </c>
      <c r="B814" s="1" t="n">
        <v>44698.61150462963</v>
      </c>
      <c r="C814" s="1" t="n">
        <v>45966</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14097-2022</t>
        </is>
      </c>
      <c r="B815" s="1" t="n">
        <v>44651</v>
      </c>
      <c r="C815" s="1" t="n">
        <v>45966</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32901-2023</t>
        </is>
      </c>
      <c r="B816" s="1" t="n">
        <v>45124.95063657407</v>
      </c>
      <c r="C816" s="1" t="n">
        <v>45966</v>
      </c>
      <c r="D816" t="inlineStr">
        <is>
          <t>VÄSTERNORRLANDS LÄN</t>
        </is>
      </c>
      <c r="E816" t="inlineStr">
        <is>
          <t>ÅNGE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53012-2025</t>
        </is>
      </c>
      <c r="B817" s="1" t="n">
        <v>45957.80320601852</v>
      </c>
      <c r="C817" s="1" t="n">
        <v>45966</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15603-2024</t>
        </is>
      </c>
      <c r="B818" s="1" t="n">
        <v>45401.92501157407</v>
      </c>
      <c r="C818" s="1" t="n">
        <v>45966</v>
      </c>
      <c r="D818" t="inlineStr">
        <is>
          <t>VÄSTERNORRLANDS LÄN</t>
        </is>
      </c>
      <c r="E818" t="inlineStr">
        <is>
          <t>ÅNGE</t>
        </is>
      </c>
      <c r="G818" t="n">
        <v>0.8</v>
      </c>
      <c r="H818" t="n">
        <v>0</v>
      </c>
      <c r="I818" t="n">
        <v>0</v>
      </c>
      <c r="J818" t="n">
        <v>0</v>
      </c>
      <c r="K818" t="n">
        <v>0</v>
      </c>
      <c r="L818" t="n">
        <v>0</v>
      </c>
      <c r="M818" t="n">
        <v>0</v>
      </c>
      <c r="N818" t="n">
        <v>0</v>
      </c>
      <c r="O818" t="n">
        <v>0</v>
      </c>
      <c r="P818" t="n">
        <v>0</v>
      </c>
      <c r="Q818" t="n">
        <v>0</v>
      </c>
      <c r="R818" s="2" t="inlineStr"/>
    </row>
    <row r="819" ht="15" customHeight="1">
      <c r="A819" t="inlineStr">
        <is>
          <t>A 22489-2025</t>
        </is>
      </c>
      <c r="B819" s="1" t="n">
        <v>45786.64946759259</v>
      </c>
      <c r="C819" s="1" t="n">
        <v>45966</v>
      </c>
      <c r="D819" t="inlineStr">
        <is>
          <t>VÄSTERNORRLANDS LÄN</t>
        </is>
      </c>
      <c r="E819" t="inlineStr">
        <is>
          <t>ÅNGE</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22791-2025</t>
        </is>
      </c>
      <c r="B820" s="1" t="n">
        <v>45789.65663194445</v>
      </c>
      <c r="C820" s="1" t="n">
        <v>45966</v>
      </c>
      <c r="D820" t="inlineStr">
        <is>
          <t>VÄSTERNORRLANDS LÄN</t>
        </is>
      </c>
      <c r="E820" t="inlineStr">
        <is>
          <t>ÅNGE</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53033-2025</t>
        </is>
      </c>
      <c r="B821" s="1" t="n">
        <v>45958.34479166667</v>
      </c>
      <c r="C821" s="1" t="n">
        <v>45966</v>
      </c>
      <c r="D821" t="inlineStr">
        <is>
          <t>VÄSTERNORRLANDS LÄN</t>
        </is>
      </c>
      <c r="E821" t="inlineStr">
        <is>
          <t>ÅNGE</t>
        </is>
      </c>
      <c r="G821" t="n">
        <v>2.7</v>
      </c>
      <c r="H821" t="n">
        <v>0</v>
      </c>
      <c r="I821" t="n">
        <v>0</v>
      </c>
      <c r="J821" t="n">
        <v>0</v>
      </c>
      <c r="K821" t="n">
        <v>0</v>
      </c>
      <c r="L821" t="n">
        <v>0</v>
      </c>
      <c r="M821" t="n">
        <v>0</v>
      </c>
      <c r="N821" t="n">
        <v>0</v>
      </c>
      <c r="O821" t="n">
        <v>0</v>
      </c>
      <c r="P821" t="n">
        <v>0</v>
      </c>
      <c r="Q821" t="n">
        <v>0</v>
      </c>
      <c r="R821" s="2" t="inlineStr"/>
    </row>
    <row r="822" ht="15" customHeight="1">
      <c r="A822" t="inlineStr">
        <is>
          <t>A 113-2025</t>
        </is>
      </c>
      <c r="B822" s="1" t="n">
        <v>45659.5106712963</v>
      </c>
      <c r="C822" s="1" t="n">
        <v>45966</v>
      </c>
      <c r="D822" t="inlineStr">
        <is>
          <t>VÄSTERNORRLANDS LÄN</t>
        </is>
      </c>
      <c r="E822" t="inlineStr">
        <is>
          <t>ÅNGE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22549-2025</t>
        </is>
      </c>
      <c r="B823" s="1" t="n">
        <v>45788.48113425926</v>
      </c>
      <c r="C823" s="1" t="n">
        <v>45966</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24552-2023</t>
        </is>
      </c>
      <c r="B824" s="1" t="n">
        <v>45082.94226851852</v>
      </c>
      <c r="C824" s="1" t="n">
        <v>45966</v>
      </c>
      <c r="D824" t="inlineStr">
        <is>
          <t>VÄSTERNORRLANDS LÄN</t>
        </is>
      </c>
      <c r="E824" t="inlineStr">
        <is>
          <t>ÅNGE</t>
        </is>
      </c>
      <c r="G824" t="n">
        <v>1.5</v>
      </c>
      <c r="H824" t="n">
        <v>0</v>
      </c>
      <c r="I824" t="n">
        <v>0</v>
      </c>
      <c r="J824" t="n">
        <v>0</v>
      </c>
      <c r="K824" t="n">
        <v>0</v>
      </c>
      <c r="L824" t="n">
        <v>0</v>
      </c>
      <c r="M824" t="n">
        <v>0</v>
      </c>
      <c r="N824" t="n">
        <v>0</v>
      </c>
      <c r="O824" t="n">
        <v>0</v>
      </c>
      <c r="P824" t="n">
        <v>0</v>
      </c>
      <c r="Q824" t="n">
        <v>0</v>
      </c>
      <c r="R824" s="2" t="inlineStr"/>
    </row>
    <row r="825" ht="15" customHeight="1">
      <c r="A825" t="inlineStr">
        <is>
          <t>A 23091-2025</t>
        </is>
      </c>
      <c r="B825" s="1" t="n">
        <v>45791.34456018519</v>
      </c>
      <c r="C825" s="1" t="n">
        <v>45966</v>
      </c>
      <c r="D825" t="inlineStr">
        <is>
          <t>VÄSTERNORRLANDS LÄN</t>
        </is>
      </c>
      <c r="E825" t="inlineStr">
        <is>
          <t>ÅNGE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11310-2023</t>
        </is>
      </c>
      <c r="B826" s="1" t="n">
        <v>44993.01190972222</v>
      </c>
      <c r="C826" s="1" t="n">
        <v>45966</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21409-2022</t>
        </is>
      </c>
      <c r="B827" s="1" t="n">
        <v>44705.9406712963</v>
      </c>
      <c r="C827" s="1" t="n">
        <v>45966</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23343-2025</t>
        </is>
      </c>
      <c r="B828" s="1" t="n">
        <v>45791.65702546296</v>
      </c>
      <c r="C828" s="1" t="n">
        <v>45966</v>
      </c>
      <c r="D828" t="inlineStr">
        <is>
          <t>VÄSTERNORRLANDS LÄN</t>
        </is>
      </c>
      <c r="E828" t="inlineStr">
        <is>
          <t>ÅNGE</t>
        </is>
      </c>
      <c r="F828" t="inlineStr">
        <is>
          <t>SCA</t>
        </is>
      </c>
      <c r="G828" t="n">
        <v>12.6</v>
      </c>
      <c r="H828" t="n">
        <v>0</v>
      </c>
      <c r="I828" t="n">
        <v>0</v>
      </c>
      <c r="J828" t="n">
        <v>0</v>
      </c>
      <c r="K828" t="n">
        <v>0</v>
      </c>
      <c r="L828" t="n">
        <v>0</v>
      </c>
      <c r="M828" t="n">
        <v>0</v>
      </c>
      <c r="N828" t="n">
        <v>0</v>
      </c>
      <c r="O828" t="n">
        <v>0</v>
      </c>
      <c r="P828" t="n">
        <v>0</v>
      </c>
      <c r="Q828" t="n">
        <v>0</v>
      </c>
      <c r="R828" s="2" t="inlineStr"/>
    </row>
    <row r="829" ht="15" customHeight="1">
      <c r="A829" t="inlineStr">
        <is>
          <t>A 48632-2023</t>
        </is>
      </c>
      <c r="B829" s="1" t="n">
        <v>45208.57944444445</v>
      </c>
      <c r="C829" s="1" t="n">
        <v>45966</v>
      </c>
      <c r="D829" t="inlineStr">
        <is>
          <t>VÄSTERNORRLANDS LÄN</t>
        </is>
      </c>
      <c r="E829" t="inlineStr">
        <is>
          <t>ÅNGE</t>
        </is>
      </c>
      <c r="G829" t="n">
        <v>2.2</v>
      </c>
      <c r="H829" t="n">
        <v>0</v>
      </c>
      <c r="I829" t="n">
        <v>0</v>
      </c>
      <c r="J829" t="n">
        <v>0</v>
      </c>
      <c r="K829" t="n">
        <v>0</v>
      </c>
      <c r="L829" t="n">
        <v>0</v>
      </c>
      <c r="M829" t="n">
        <v>0</v>
      </c>
      <c r="N829" t="n">
        <v>0</v>
      </c>
      <c r="O829" t="n">
        <v>0</v>
      </c>
      <c r="P829" t="n">
        <v>0</v>
      </c>
      <c r="Q829" t="n">
        <v>0</v>
      </c>
      <c r="R829" s="2" t="inlineStr"/>
    </row>
    <row r="830" ht="15" customHeight="1">
      <c r="A830" t="inlineStr">
        <is>
          <t>A 53381-2025</t>
        </is>
      </c>
      <c r="B830" s="1" t="n">
        <v>45959.53690972222</v>
      </c>
      <c r="C830" s="1" t="n">
        <v>45966</v>
      </c>
      <c r="D830" t="inlineStr">
        <is>
          <t>VÄSTERNORRLANDS LÄN</t>
        </is>
      </c>
      <c r="E830" t="inlineStr">
        <is>
          <t>ÅNGE</t>
        </is>
      </c>
      <c r="G830" t="n">
        <v>9.6</v>
      </c>
      <c r="H830" t="n">
        <v>0</v>
      </c>
      <c r="I830" t="n">
        <v>0</v>
      </c>
      <c r="J830" t="n">
        <v>0</v>
      </c>
      <c r="K830" t="n">
        <v>0</v>
      </c>
      <c r="L830" t="n">
        <v>0</v>
      </c>
      <c r="M830" t="n">
        <v>0</v>
      </c>
      <c r="N830" t="n">
        <v>0</v>
      </c>
      <c r="O830" t="n">
        <v>0</v>
      </c>
      <c r="P830" t="n">
        <v>0</v>
      </c>
      <c r="Q830" t="n">
        <v>0</v>
      </c>
      <c r="R830" s="2" t="inlineStr"/>
    </row>
    <row r="831" ht="15" customHeight="1">
      <c r="A831" t="inlineStr">
        <is>
          <t>A 20761-2024</t>
        </is>
      </c>
      <c r="B831" s="1" t="n">
        <v>45436</v>
      </c>
      <c r="C831" s="1" t="n">
        <v>45966</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6619-2025</t>
        </is>
      </c>
      <c r="B832" s="1" t="n">
        <v>45700.36541666667</v>
      </c>
      <c r="C832" s="1" t="n">
        <v>45966</v>
      </c>
      <c r="D832" t="inlineStr">
        <is>
          <t>VÄSTERNORRLANDS LÄN</t>
        </is>
      </c>
      <c r="E832" t="inlineStr">
        <is>
          <t>ÅNGE</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23252-2025</t>
        </is>
      </c>
      <c r="B833" s="1" t="n">
        <v>45791.53157407408</v>
      </c>
      <c r="C833" s="1" t="n">
        <v>45966</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10339-2025</t>
        </is>
      </c>
      <c r="B834" s="1" t="n">
        <v>45720</v>
      </c>
      <c r="C834" s="1" t="n">
        <v>45966</v>
      </c>
      <c r="D834" t="inlineStr">
        <is>
          <t>VÄSTERNORRLANDS LÄN</t>
        </is>
      </c>
      <c r="E834" t="inlineStr">
        <is>
          <t>ÅNGE</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53221-2025</t>
        </is>
      </c>
      <c r="B835" s="1" t="n">
        <v>45958.60331018519</v>
      </c>
      <c r="C835" s="1" t="n">
        <v>45966</v>
      </c>
      <c r="D835" t="inlineStr">
        <is>
          <t>VÄSTERNORRLANDS LÄN</t>
        </is>
      </c>
      <c r="E835" t="inlineStr">
        <is>
          <t>ÅNGE</t>
        </is>
      </c>
      <c r="G835" t="n">
        <v>2.1</v>
      </c>
      <c r="H835" t="n">
        <v>0</v>
      </c>
      <c r="I835" t="n">
        <v>0</v>
      </c>
      <c r="J835" t="n">
        <v>0</v>
      </c>
      <c r="K835" t="n">
        <v>0</v>
      </c>
      <c r="L835" t="n">
        <v>0</v>
      </c>
      <c r="M835" t="n">
        <v>0</v>
      </c>
      <c r="N835" t="n">
        <v>0</v>
      </c>
      <c r="O835" t="n">
        <v>0</v>
      </c>
      <c r="P835" t="n">
        <v>0</v>
      </c>
      <c r="Q835" t="n">
        <v>0</v>
      </c>
      <c r="R835" s="2" t="inlineStr"/>
    </row>
    <row r="836" ht="15" customHeight="1">
      <c r="A836" t="inlineStr">
        <is>
          <t>A 12581-2024</t>
        </is>
      </c>
      <c r="B836" s="1" t="n">
        <v>45379</v>
      </c>
      <c r="C836" s="1" t="n">
        <v>45966</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55558-2024</t>
        </is>
      </c>
      <c r="B837" s="1" t="n">
        <v>45622.52586805556</v>
      </c>
      <c r="C837" s="1" t="n">
        <v>45966</v>
      </c>
      <c r="D837" t="inlineStr">
        <is>
          <t>VÄSTERNORRLANDS LÄN</t>
        </is>
      </c>
      <c r="E837" t="inlineStr">
        <is>
          <t>ÅNGE</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22926-2025</t>
        </is>
      </c>
      <c r="B838" s="1" t="n">
        <v>45790</v>
      </c>
      <c r="C838" s="1" t="n">
        <v>45966</v>
      </c>
      <c r="D838" t="inlineStr">
        <is>
          <t>VÄSTERNORRLANDS LÄN</t>
        </is>
      </c>
      <c r="E838" t="inlineStr">
        <is>
          <t>ÅNGE</t>
        </is>
      </c>
      <c r="G838" t="n">
        <v>1.3</v>
      </c>
      <c r="H838" t="n">
        <v>0</v>
      </c>
      <c r="I838" t="n">
        <v>0</v>
      </c>
      <c r="J838" t="n">
        <v>0</v>
      </c>
      <c r="K838" t="n">
        <v>0</v>
      </c>
      <c r="L838" t="n">
        <v>0</v>
      </c>
      <c r="M838" t="n">
        <v>0</v>
      </c>
      <c r="N838" t="n">
        <v>0</v>
      </c>
      <c r="O838" t="n">
        <v>0</v>
      </c>
      <c r="P838" t="n">
        <v>0</v>
      </c>
      <c r="Q838" t="n">
        <v>0</v>
      </c>
      <c r="R838" s="2" t="inlineStr"/>
    </row>
    <row r="839" ht="15" customHeight="1">
      <c r="A839" t="inlineStr">
        <is>
          <t>A 22928-2025</t>
        </is>
      </c>
      <c r="B839" s="1" t="n">
        <v>45790.44825231482</v>
      </c>
      <c r="C839" s="1" t="n">
        <v>45966</v>
      </c>
      <c r="D839" t="inlineStr">
        <is>
          <t>VÄSTERNORRLANDS LÄN</t>
        </is>
      </c>
      <c r="E839" t="inlineStr">
        <is>
          <t>ÅNGE</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52665-2024</t>
        </is>
      </c>
      <c r="B840" s="1" t="n">
        <v>45610.36549768518</v>
      </c>
      <c r="C840" s="1" t="n">
        <v>45966</v>
      </c>
      <c r="D840" t="inlineStr">
        <is>
          <t>VÄSTERNORRLANDS LÄN</t>
        </is>
      </c>
      <c r="E840" t="inlineStr">
        <is>
          <t>ÅNGE</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20338-2025</t>
        </is>
      </c>
      <c r="B841" s="1" t="n">
        <v>45775</v>
      </c>
      <c r="C841" s="1" t="n">
        <v>45966</v>
      </c>
      <c r="D841" t="inlineStr">
        <is>
          <t>VÄSTERNORRLANDS LÄN</t>
        </is>
      </c>
      <c r="E841" t="inlineStr">
        <is>
          <t>ÅNGE</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44919-2025</t>
        </is>
      </c>
      <c r="B842" s="1" t="n">
        <v>45918.55246527777</v>
      </c>
      <c r="C842" s="1" t="n">
        <v>45966</v>
      </c>
      <c r="D842" t="inlineStr">
        <is>
          <t>VÄSTERNORRLANDS LÄN</t>
        </is>
      </c>
      <c r="E842" t="inlineStr">
        <is>
          <t>ÅNGE</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44935-2025</t>
        </is>
      </c>
      <c r="B843" s="1" t="n">
        <v>45918.57392361111</v>
      </c>
      <c r="C843" s="1" t="n">
        <v>45966</v>
      </c>
      <c r="D843" t="inlineStr">
        <is>
          <t>VÄSTERNORRLANDS LÄN</t>
        </is>
      </c>
      <c r="E843" t="inlineStr">
        <is>
          <t>ÅNGE</t>
        </is>
      </c>
      <c r="F843" t="inlineStr">
        <is>
          <t>SCA</t>
        </is>
      </c>
      <c r="G843" t="n">
        <v>6.8</v>
      </c>
      <c r="H843" t="n">
        <v>0</v>
      </c>
      <c r="I843" t="n">
        <v>0</v>
      </c>
      <c r="J843" t="n">
        <v>0</v>
      </c>
      <c r="K843" t="n">
        <v>0</v>
      </c>
      <c r="L843" t="n">
        <v>0</v>
      </c>
      <c r="M843" t="n">
        <v>0</v>
      </c>
      <c r="N843" t="n">
        <v>0</v>
      </c>
      <c r="O843" t="n">
        <v>0</v>
      </c>
      <c r="P843" t="n">
        <v>0</v>
      </c>
      <c r="Q843" t="n">
        <v>0</v>
      </c>
      <c r="R843" s="2" t="inlineStr"/>
    </row>
    <row r="844" ht="15" customHeight="1">
      <c r="A844" t="inlineStr">
        <is>
          <t>A 53713-2025</t>
        </is>
      </c>
      <c r="B844" s="1" t="n">
        <v>45960.61568287037</v>
      </c>
      <c r="C844" s="1" t="n">
        <v>45966</v>
      </c>
      <c r="D844" t="inlineStr">
        <is>
          <t>VÄSTERNORRLANDS LÄN</t>
        </is>
      </c>
      <c r="E844" t="inlineStr">
        <is>
          <t>ÅNGE</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53984-2025</t>
        </is>
      </c>
      <c r="B845" s="1" t="n">
        <v>45961.5734837963</v>
      </c>
      <c r="C845" s="1" t="n">
        <v>45966</v>
      </c>
      <c r="D845" t="inlineStr">
        <is>
          <t>VÄSTERNORRLANDS LÄN</t>
        </is>
      </c>
      <c r="E845" t="inlineStr">
        <is>
          <t>ÅNGE</t>
        </is>
      </c>
      <c r="F845" t="inlineStr">
        <is>
          <t>SCA</t>
        </is>
      </c>
      <c r="G845" t="n">
        <v>14.8</v>
      </c>
      <c r="H845" t="n">
        <v>0</v>
      </c>
      <c r="I845" t="n">
        <v>0</v>
      </c>
      <c r="J845" t="n">
        <v>0</v>
      </c>
      <c r="K845" t="n">
        <v>0</v>
      </c>
      <c r="L845" t="n">
        <v>0</v>
      </c>
      <c r="M845" t="n">
        <v>0</v>
      </c>
      <c r="N845" t="n">
        <v>0</v>
      </c>
      <c r="O845" t="n">
        <v>0</v>
      </c>
      <c r="P845" t="n">
        <v>0</v>
      </c>
      <c r="Q845" t="n">
        <v>0</v>
      </c>
      <c r="R845" s="2" t="inlineStr"/>
    </row>
    <row r="846" ht="15" customHeight="1">
      <c r="A846" t="inlineStr">
        <is>
          <t>A 23748-2025</t>
        </is>
      </c>
      <c r="B846" s="1" t="n">
        <v>45793.44755787037</v>
      </c>
      <c r="C846" s="1" t="n">
        <v>45966</v>
      </c>
      <c r="D846" t="inlineStr">
        <is>
          <t>VÄSTERNORRLANDS LÄN</t>
        </is>
      </c>
      <c r="E846" t="inlineStr">
        <is>
          <t>ÅNGE</t>
        </is>
      </c>
      <c r="F846" t="inlineStr">
        <is>
          <t>Sveaskog</t>
        </is>
      </c>
      <c r="G846" t="n">
        <v>6.5</v>
      </c>
      <c r="H846" t="n">
        <v>0</v>
      </c>
      <c r="I846" t="n">
        <v>0</v>
      </c>
      <c r="J846" t="n">
        <v>0</v>
      </c>
      <c r="K846" t="n">
        <v>0</v>
      </c>
      <c r="L846" t="n">
        <v>0</v>
      </c>
      <c r="M846" t="n">
        <v>0</v>
      </c>
      <c r="N846" t="n">
        <v>0</v>
      </c>
      <c r="O846" t="n">
        <v>0</v>
      </c>
      <c r="P846" t="n">
        <v>0</v>
      </c>
      <c r="Q846" t="n">
        <v>0</v>
      </c>
      <c r="R846" s="2" t="inlineStr"/>
    </row>
    <row r="847" ht="15" customHeight="1">
      <c r="A847" t="inlineStr">
        <is>
          <t>A 14751-2025</t>
        </is>
      </c>
      <c r="B847" s="1" t="n">
        <v>45742.65863425926</v>
      </c>
      <c r="C847" s="1" t="n">
        <v>45966</v>
      </c>
      <c r="D847" t="inlineStr">
        <is>
          <t>VÄSTERNORRLANDS LÄN</t>
        </is>
      </c>
      <c r="E847" t="inlineStr">
        <is>
          <t>ÅNGE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53999-2025</t>
        </is>
      </c>
      <c r="B848" s="1" t="n">
        <v>45961</v>
      </c>
      <c r="C848" s="1" t="n">
        <v>45966</v>
      </c>
      <c r="D848" t="inlineStr">
        <is>
          <t>VÄSTERNORRLANDS LÄN</t>
        </is>
      </c>
      <c r="E848" t="inlineStr">
        <is>
          <t>ÅNGE</t>
        </is>
      </c>
      <c r="F848" t="inlineStr">
        <is>
          <t>SCA</t>
        </is>
      </c>
      <c r="G848" t="n">
        <v>6.7</v>
      </c>
      <c r="H848" t="n">
        <v>0</v>
      </c>
      <c r="I848" t="n">
        <v>0</v>
      </c>
      <c r="J848" t="n">
        <v>0</v>
      </c>
      <c r="K848" t="n">
        <v>0</v>
      </c>
      <c r="L848" t="n">
        <v>0</v>
      </c>
      <c r="M848" t="n">
        <v>0</v>
      </c>
      <c r="N848" t="n">
        <v>0</v>
      </c>
      <c r="O848" t="n">
        <v>0</v>
      </c>
      <c r="P848" t="n">
        <v>0</v>
      </c>
      <c r="Q848" t="n">
        <v>0</v>
      </c>
      <c r="R848" s="2" t="inlineStr"/>
    </row>
    <row r="849" ht="15" customHeight="1">
      <c r="A849" t="inlineStr">
        <is>
          <t>A 54342-2023</t>
        </is>
      </c>
      <c r="B849" s="1" t="n">
        <v>45232</v>
      </c>
      <c r="C849" s="1" t="n">
        <v>45966</v>
      </c>
      <c r="D849" t="inlineStr">
        <is>
          <t>VÄSTERNORRLANDS LÄN</t>
        </is>
      </c>
      <c r="E849" t="inlineStr">
        <is>
          <t>ÅNGE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23589-2025</t>
        </is>
      </c>
      <c r="B850" s="1" t="n">
        <v>45792.63618055556</v>
      </c>
      <c r="C850" s="1" t="n">
        <v>45966</v>
      </c>
      <c r="D850" t="inlineStr">
        <is>
          <t>VÄSTERNORRLANDS LÄN</t>
        </is>
      </c>
      <c r="E850" t="inlineStr">
        <is>
          <t>ÅNGE</t>
        </is>
      </c>
      <c r="F850" t="inlineStr">
        <is>
          <t>SCA</t>
        </is>
      </c>
      <c r="G850" t="n">
        <v>10.7</v>
      </c>
      <c r="H850" t="n">
        <v>0</v>
      </c>
      <c r="I850" t="n">
        <v>0</v>
      </c>
      <c r="J850" t="n">
        <v>0</v>
      </c>
      <c r="K850" t="n">
        <v>0</v>
      </c>
      <c r="L850" t="n">
        <v>0</v>
      </c>
      <c r="M850" t="n">
        <v>0</v>
      </c>
      <c r="N850" t="n">
        <v>0</v>
      </c>
      <c r="O850" t="n">
        <v>0</v>
      </c>
      <c r="P850" t="n">
        <v>0</v>
      </c>
      <c r="Q850" t="n">
        <v>0</v>
      </c>
      <c r="R850" s="2" t="inlineStr"/>
    </row>
    <row r="851" ht="15" customHeight="1">
      <c r="A851" t="inlineStr">
        <is>
          <t>A 34091-2022</t>
        </is>
      </c>
      <c r="B851" s="1" t="n">
        <v>44791</v>
      </c>
      <c r="C851" s="1" t="n">
        <v>45966</v>
      </c>
      <c r="D851" t="inlineStr">
        <is>
          <t>VÄSTERNORRLANDS LÄN</t>
        </is>
      </c>
      <c r="E851" t="inlineStr">
        <is>
          <t>ÅNGE</t>
        </is>
      </c>
      <c r="G851" t="n">
        <v>10.1</v>
      </c>
      <c r="H851" t="n">
        <v>0</v>
      </c>
      <c r="I851" t="n">
        <v>0</v>
      </c>
      <c r="J851" t="n">
        <v>0</v>
      </c>
      <c r="K851" t="n">
        <v>0</v>
      </c>
      <c r="L851" t="n">
        <v>0</v>
      </c>
      <c r="M851" t="n">
        <v>0</v>
      </c>
      <c r="N851" t="n">
        <v>0</v>
      </c>
      <c r="O851" t="n">
        <v>0</v>
      </c>
      <c r="P851" t="n">
        <v>0</v>
      </c>
      <c r="Q851" t="n">
        <v>0</v>
      </c>
      <c r="R851" s="2" t="inlineStr"/>
    </row>
    <row r="852" ht="15" customHeight="1">
      <c r="A852" t="inlineStr">
        <is>
          <t>A 23495-2025</t>
        </is>
      </c>
      <c r="B852" s="1" t="n">
        <v>45792.46967592592</v>
      </c>
      <c r="C852" s="1" t="n">
        <v>45966</v>
      </c>
      <c r="D852" t="inlineStr">
        <is>
          <t>VÄSTERNORRLANDS LÄN</t>
        </is>
      </c>
      <c r="E852" t="inlineStr">
        <is>
          <t>ÅNGE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34629-2025</t>
        </is>
      </c>
      <c r="B853" s="1" t="n">
        <v>45847.93006944445</v>
      </c>
      <c r="C853" s="1" t="n">
        <v>45966</v>
      </c>
      <c r="D853" t="inlineStr">
        <is>
          <t>VÄSTERNORRLANDS LÄN</t>
        </is>
      </c>
      <c r="E853" t="inlineStr">
        <is>
          <t>ÅNGE</t>
        </is>
      </c>
      <c r="G853" t="n">
        <v>0.2</v>
      </c>
      <c r="H853" t="n">
        <v>0</v>
      </c>
      <c r="I853" t="n">
        <v>0</v>
      </c>
      <c r="J853" t="n">
        <v>0</v>
      </c>
      <c r="K853" t="n">
        <v>0</v>
      </c>
      <c r="L853" t="n">
        <v>0</v>
      </c>
      <c r="M853" t="n">
        <v>0</v>
      </c>
      <c r="N853" t="n">
        <v>0</v>
      </c>
      <c r="O853" t="n">
        <v>0</v>
      </c>
      <c r="P853" t="n">
        <v>0</v>
      </c>
      <c r="Q853" t="n">
        <v>0</v>
      </c>
      <c r="R853" s="2" t="inlineStr"/>
    </row>
    <row r="854" ht="15" customHeight="1">
      <c r="A854" t="inlineStr">
        <is>
          <t>A 23580-2025</t>
        </is>
      </c>
      <c r="B854" s="1" t="n">
        <v>45792.62555555555</v>
      </c>
      <c r="C854" s="1" t="n">
        <v>45966</v>
      </c>
      <c r="D854" t="inlineStr">
        <is>
          <t>VÄSTERNORRLANDS LÄN</t>
        </is>
      </c>
      <c r="E854" t="inlineStr">
        <is>
          <t>ÅNGE</t>
        </is>
      </c>
      <c r="F854" t="inlineStr">
        <is>
          <t>Kyrkan</t>
        </is>
      </c>
      <c r="G854" t="n">
        <v>2.6</v>
      </c>
      <c r="H854" t="n">
        <v>0</v>
      </c>
      <c r="I854" t="n">
        <v>0</v>
      </c>
      <c r="J854" t="n">
        <v>0</v>
      </c>
      <c r="K854" t="n">
        <v>0</v>
      </c>
      <c r="L854" t="n">
        <v>0</v>
      </c>
      <c r="M854" t="n">
        <v>0</v>
      </c>
      <c r="N854" t="n">
        <v>0</v>
      </c>
      <c r="O854" t="n">
        <v>0</v>
      </c>
      <c r="P854" t="n">
        <v>0</v>
      </c>
      <c r="Q854" t="n">
        <v>0</v>
      </c>
      <c r="R854" s="2" t="inlineStr"/>
    </row>
    <row r="855" ht="15" customHeight="1">
      <c r="A855" t="inlineStr">
        <is>
          <t>A 23590-2025</t>
        </is>
      </c>
      <c r="B855" s="1" t="n">
        <v>45792.63627314815</v>
      </c>
      <c r="C855" s="1" t="n">
        <v>45966</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19066-2024</t>
        </is>
      </c>
      <c r="B856" s="1" t="n">
        <v>45427</v>
      </c>
      <c r="C856" s="1" t="n">
        <v>45966</v>
      </c>
      <c r="D856" t="inlineStr">
        <is>
          <t>VÄSTERNORRLANDS LÄN</t>
        </is>
      </c>
      <c r="E856" t="inlineStr">
        <is>
          <t>ÅNGE</t>
        </is>
      </c>
      <c r="G856" t="n">
        <v>0.8</v>
      </c>
      <c r="H856" t="n">
        <v>0</v>
      </c>
      <c r="I856" t="n">
        <v>0</v>
      </c>
      <c r="J856" t="n">
        <v>0</v>
      </c>
      <c r="K856" t="n">
        <v>0</v>
      </c>
      <c r="L856" t="n">
        <v>0</v>
      </c>
      <c r="M856" t="n">
        <v>0</v>
      </c>
      <c r="N856" t="n">
        <v>0</v>
      </c>
      <c r="O856" t="n">
        <v>0</v>
      </c>
      <c r="P856" t="n">
        <v>0</v>
      </c>
      <c r="Q856" t="n">
        <v>0</v>
      </c>
      <c r="R856" s="2" t="inlineStr"/>
    </row>
    <row r="857" ht="15" customHeight="1">
      <c r="A857" t="inlineStr">
        <is>
          <t>A 14976-2025</t>
        </is>
      </c>
      <c r="B857" s="1" t="n">
        <v>45743</v>
      </c>
      <c r="C857" s="1" t="n">
        <v>45966</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23573-2025</t>
        </is>
      </c>
      <c r="B858" s="1" t="n">
        <v>45792.61497685185</v>
      </c>
      <c r="C858" s="1" t="n">
        <v>45966</v>
      </c>
      <c r="D858" t="inlineStr">
        <is>
          <t>VÄSTERNORRLANDS LÄN</t>
        </is>
      </c>
      <c r="E858" t="inlineStr">
        <is>
          <t>ÅNGE</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23552-2025</t>
        </is>
      </c>
      <c r="B859" s="1" t="n">
        <v>45792.5738425926</v>
      </c>
      <c r="C859" s="1" t="n">
        <v>45966</v>
      </c>
      <c r="D859" t="inlineStr">
        <is>
          <t>VÄSTERNORRLANDS LÄN</t>
        </is>
      </c>
      <c r="E859" t="inlineStr">
        <is>
          <t>ÅNGE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44609.48665509259</v>
      </c>
      <c r="C860" s="1" t="n">
        <v>45966</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23529-2025</t>
        </is>
      </c>
      <c r="B861" s="1" t="n">
        <v>45792.53158564815</v>
      </c>
      <c r="C861" s="1" t="n">
        <v>45966</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52805-2024</t>
        </is>
      </c>
      <c r="B862" s="1" t="n">
        <v>45610.57344907407</v>
      </c>
      <c r="C862" s="1" t="n">
        <v>45966</v>
      </c>
      <c r="D862" t="inlineStr">
        <is>
          <t>VÄSTERNORRLANDS LÄN</t>
        </is>
      </c>
      <c r="E862" t="inlineStr">
        <is>
          <t>ÅNGE</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60004-2023</t>
        </is>
      </c>
      <c r="B863" s="1" t="n">
        <v>45257</v>
      </c>
      <c r="C863" s="1" t="n">
        <v>45966</v>
      </c>
      <c r="D863" t="inlineStr">
        <is>
          <t>VÄSTERNORRLANDS LÄN</t>
        </is>
      </c>
      <c r="E863" t="inlineStr">
        <is>
          <t>ÅNGE</t>
        </is>
      </c>
      <c r="F863" t="inlineStr">
        <is>
          <t>SCA</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4142-2024</t>
        </is>
      </c>
      <c r="B864" s="1" t="n">
        <v>45323</v>
      </c>
      <c r="C864" s="1" t="n">
        <v>45966</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39843-2023</t>
        </is>
      </c>
      <c r="B865" s="1" t="n">
        <v>45168</v>
      </c>
      <c r="C865" s="1" t="n">
        <v>45966</v>
      </c>
      <c r="D865" t="inlineStr">
        <is>
          <t>VÄSTERNORRLANDS LÄN</t>
        </is>
      </c>
      <c r="E865" t="inlineStr">
        <is>
          <t>ÅNGE</t>
        </is>
      </c>
      <c r="G865" t="n">
        <v>2.1</v>
      </c>
      <c r="H865" t="n">
        <v>0</v>
      </c>
      <c r="I865" t="n">
        <v>0</v>
      </c>
      <c r="J865" t="n">
        <v>0</v>
      </c>
      <c r="K865" t="n">
        <v>0</v>
      </c>
      <c r="L865" t="n">
        <v>0</v>
      </c>
      <c r="M865" t="n">
        <v>0</v>
      </c>
      <c r="N865" t="n">
        <v>0</v>
      </c>
      <c r="O865" t="n">
        <v>0</v>
      </c>
      <c r="P865" t="n">
        <v>0</v>
      </c>
      <c r="Q865" t="n">
        <v>0</v>
      </c>
      <c r="R865" s="2" t="inlineStr"/>
    </row>
    <row r="866" ht="15" customHeight="1">
      <c r="A866" t="inlineStr">
        <is>
          <t>A 53985-2025</t>
        </is>
      </c>
      <c r="B866" s="1" t="n">
        <v>45961.57366898148</v>
      </c>
      <c r="C866" s="1" t="n">
        <v>45966</v>
      </c>
      <c r="D866" t="inlineStr">
        <is>
          <t>VÄSTERNORRLANDS LÄN</t>
        </is>
      </c>
      <c r="E866" t="inlineStr">
        <is>
          <t>ÅNGE</t>
        </is>
      </c>
      <c r="F866" t="inlineStr">
        <is>
          <t>SCA</t>
        </is>
      </c>
      <c r="G866" t="n">
        <v>14.2</v>
      </c>
      <c r="H866" t="n">
        <v>0</v>
      </c>
      <c r="I866" t="n">
        <v>0</v>
      </c>
      <c r="J866" t="n">
        <v>0</v>
      </c>
      <c r="K866" t="n">
        <v>0</v>
      </c>
      <c r="L866" t="n">
        <v>0</v>
      </c>
      <c r="M866" t="n">
        <v>0</v>
      </c>
      <c r="N866" t="n">
        <v>0</v>
      </c>
      <c r="O866" t="n">
        <v>0</v>
      </c>
      <c r="P866" t="n">
        <v>0</v>
      </c>
      <c r="Q866" t="n">
        <v>0</v>
      </c>
      <c r="R866" s="2" t="inlineStr"/>
    </row>
    <row r="867" ht="15" customHeight="1">
      <c r="A867" t="inlineStr">
        <is>
          <t>A 4651-2022</t>
        </is>
      </c>
      <c r="B867" s="1" t="n">
        <v>44592</v>
      </c>
      <c r="C867" s="1" t="n">
        <v>45966</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27002-2023</t>
        </is>
      </c>
      <c r="B868" s="1" t="n">
        <v>45093</v>
      </c>
      <c r="C868" s="1" t="n">
        <v>45966</v>
      </c>
      <c r="D868" t="inlineStr">
        <is>
          <t>VÄSTERNORRLANDS LÄN</t>
        </is>
      </c>
      <c r="E868" t="inlineStr">
        <is>
          <t>ÅNGE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19342-2024</t>
        </is>
      </c>
      <c r="B869" s="1" t="n">
        <v>45428</v>
      </c>
      <c r="C869" s="1" t="n">
        <v>45966</v>
      </c>
      <c r="D869" t="inlineStr">
        <is>
          <t>VÄSTERNORRLANDS LÄN</t>
        </is>
      </c>
      <c r="E869" t="inlineStr">
        <is>
          <t>ÅNGE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23899-2025</t>
        </is>
      </c>
      <c r="B870" s="1" t="n">
        <v>45794.34414351852</v>
      </c>
      <c r="C870" s="1" t="n">
        <v>45966</v>
      </c>
      <c r="D870" t="inlineStr">
        <is>
          <t>VÄSTERNORRLANDS LÄN</t>
        </is>
      </c>
      <c r="E870" t="inlineStr">
        <is>
          <t>ÅNGE</t>
        </is>
      </c>
      <c r="F870" t="inlineStr">
        <is>
          <t>SCA</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54079-2023</t>
        </is>
      </c>
      <c r="B871" s="1" t="n">
        <v>45231</v>
      </c>
      <c r="C871" s="1" t="n">
        <v>45966</v>
      </c>
      <c r="D871" t="inlineStr">
        <is>
          <t>VÄSTERNORRLANDS LÄN</t>
        </is>
      </c>
      <c r="E871" t="inlineStr">
        <is>
          <t>ÅNGE</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24357-2025</t>
        </is>
      </c>
      <c r="B872" s="1" t="n">
        <v>45797.59467592592</v>
      </c>
      <c r="C872" s="1" t="n">
        <v>45966</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53509-2025</t>
        </is>
      </c>
      <c r="B873" s="1" t="n">
        <v>45960.34506944445</v>
      </c>
      <c r="C873" s="1" t="n">
        <v>45966</v>
      </c>
      <c r="D873" t="inlineStr">
        <is>
          <t>VÄSTERNORRLANDS LÄN</t>
        </is>
      </c>
      <c r="E873" t="inlineStr">
        <is>
          <t>ÅNGE</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24292-2025</t>
        </is>
      </c>
      <c r="B874" s="1" t="n">
        <v>45797.46657407407</v>
      </c>
      <c r="C874" s="1" t="n">
        <v>45966</v>
      </c>
      <c r="D874" t="inlineStr">
        <is>
          <t>VÄSTERNORRLANDS LÄN</t>
        </is>
      </c>
      <c r="E874" t="inlineStr">
        <is>
          <t>ÅNGE</t>
        </is>
      </c>
      <c r="G874" t="n">
        <v>2.8</v>
      </c>
      <c r="H874" t="n">
        <v>0</v>
      </c>
      <c r="I874" t="n">
        <v>0</v>
      </c>
      <c r="J874" t="n">
        <v>0</v>
      </c>
      <c r="K874" t="n">
        <v>0</v>
      </c>
      <c r="L874" t="n">
        <v>0</v>
      </c>
      <c r="M874" t="n">
        <v>0</v>
      </c>
      <c r="N874" t="n">
        <v>0</v>
      </c>
      <c r="O874" t="n">
        <v>0</v>
      </c>
      <c r="P874" t="n">
        <v>0</v>
      </c>
      <c r="Q874" t="n">
        <v>0</v>
      </c>
      <c r="R874" s="2" t="inlineStr"/>
    </row>
    <row r="875" ht="15" customHeight="1">
      <c r="A875" t="inlineStr">
        <is>
          <t>A 24977-2021</t>
        </is>
      </c>
      <c r="B875" s="1" t="n">
        <v>44341.51386574074</v>
      </c>
      <c r="C875" s="1" t="n">
        <v>45966</v>
      </c>
      <c r="D875" t="inlineStr">
        <is>
          <t>VÄSTERNORRLANDS LÄN</t>
        </is>
      </c>
      <c r="E875" t="inlineStr">
        <is>
          <t>ÅNGE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24008-2025</t>
        </is>
      </c>
      <c r="B876" s="1" t="n">
        <v>45796.43841435185</v>
      </c>
      <c r="C876" s="1" t="n">
        <v>45966</v>
      </c>
      <c r="D876" t="inlineStr">
        <is>
          <t>VÄSTERNORRLANDS LÄN</t>
        </is>
      </c>
      <c r="E876" t="inlineStr">
        <is>
          <t>ÅNGE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5246-2025</t>
        </is>
      </c>
      <c r="B877" s="1" t="n">
        <v>45692.34427083333</v>
      </c>
      <c r="C877" s="1" t="n">
        <v>45966</v>
      </c>
      <c r="D877" t="inlineStr">
        <is>
          <t>VÄSTERNORRLANDS LÄN</t>
        </is>
      </c>
      <c r="E877" t="inlineStr">
        <is>
          <t>ÅNGE</t>
        </is>
      </c>
      <c r="F877" t="inlineStr">
        <is>
          <t>SCA</t>
        </is>
      </c>
      <c r="G877" t="n">
        <v>4.4</v>
      </c>
      <c r="H877" t="n">
        <v>0</v>
      </c>
      <c r="I877" t="n">
        <v>0</v>
      </c>
      <c r="J877" t="n">
        <v>0</v>
      </c>
      <c r="K877" t="n">
        <v>0</v>
      </c>
      <c r="L877" t="n">
        <v>0</v>
      </c>
      <c r="M877" t="n">
        <v>0</v>
      </c>
      <c r="N877" t="n">
        <v>0</v>
      </c>
      <c r="O877" t="n">
        <v>0</v>
      </c>
      <c r="P877" t="n">
        <v>0</v>
      </c>
      <c r="Q877" t="n">
        <v>0</v>
      </c>
      <c r="R877" s="2" t="inlineStr"/>
    </row>
    <row r="878" ht="15" customHeight="1">
      <c r="A878" t="inlineStr">
        <is>
          <t>A 41575-2024</t>
        </is>
      </c>
      <c r="B878" s="1" t="n">
        <v>45560.55106481481</v>
      </c>
      <c r="C878" s="1" t="n">
        <v>45966</v>
      </c>
      <c r="D878" t="inlineStr">
        <is>
          <t>VÄSTERNORRLANDS LÄN</t>
        </is>
      </c>
      <c r="E878" t="inlineStr">
        <is>
          <t>ÅNGE</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19007-2025</t>
        </is>
      </c>
      <c r="B879" s="1" t="n">
        <v>45764.58515046296</v>
      </c>
      <c r="C879" s="1" t="n">
        <v>45966</v>
      </c>
      <c r="D879" t="inlineStr">
        <is>
          <t>VÄSTERNORRLANDS LÄN</t>
        </is>
      </c>
      <c r="E879" t="inlineStr">
        <is>
          <t>ÅNGE</t>
        </is>
      </c>
      <c r="G879" t="n">
        <v>3.7</v>
      </c>
      <c r="H879" t="n">
        <v>0</v>
      </c>
      <c r="I879" t="n">
        <v>0</v>
      </c>
      <c r="J879" t="n">
        <v>0</v>
      </c>
      <c r="K879" t="n">
        <v>0</v>
      </c>
      <c r="L879" t="n">
        <v>0</v>
      </c>
      <c r="M879" t="n">
        <v>0</v>
      </c>
      <c r="N879" t="n">
        <v>0</v>
      </c>
      <c r="O879" t="n">
        <v>0</v>
      </c>
      <c r="P879" t="n">
        <v>0</v>
      </c>
      <c r="Q879" t="n">
        <v>0</v>
      </c>
      <c r="R879" s="2" t="inlineStr"/>
    </row>
    <row r="880" ht="15" customHeight="1">
      <c r="A880" t="inlineStr">
        <is>
          <t>A 16973-2025</t>
        </is>
      </c>
      <c r="B880" s="1" t="n">
        <v>45755.46967592592</v>
      </c>
      <c r="C880" s="1" t="n">
        <v>45966</v>
      </c>
      <c r="D880" t="inlineStr">
        <is>
          <t>VÄSTERNORRLANDS LÄN</t>
        </is>
      </c>
      <c r="E880" t="inlineStr">
        <is>
          <t>ÅNGE</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41741-2023</t>
        </is>
      </c>
      <c r="B881" s="1" t="n">
        <v>45176.42164351852</v>
      </c>
      <c r="C881" s="1" t="n">
        <v>45966</v>
      </c>
      <c r="D881" t="inlineStr">
        <is>
          <t>VÄSTERNORRLANDS LÄN</t>
        </is>
      </c>
      <c r="E881" t="inlineStr">
        <is>
          <t>ÅNGE</t>
        </is>
      </c>
      <c r="G881" t="n">
        <v>7.8</v>
      </c>
      <c r="H881" t="n">
        <v>0</v>
      </c>
      <c r="I881" t="n">
        <v>0</v>
      </c>
      <c r="J881" t="n">
        <v>0</v>
      </c>
      <c r="K881" t="n">
        <v>0</v>
      </c>
      <c r="L881" t="n">
        <v>0</v>
      </c>
      <c r="M881" t="n">
        <v>0</v>
      </c>
      <c r="N881" t="n">
        <v>0</v>
      </c>
      <c r="O881" t="n">
        <v>0</v>
      </c>
      <c r="P881" t="n">
        <v>0</v>
      </c>
      <c r="Q881" t="n">
        <v>0</v>
      </c>
      <c r="R881" s="2" t="inlineStr"/>
    </row>
    <row r="882" ht="15" customHeight="1">
      <c r="A882" t="inlineStr">
        <is>
          <t>A 29702-2024</t>
        </is>
      </c>
      <c r="B882" s="1" t="n">
        <v>45485.31525462963</v>
      </c>
      <c r="C882" s="1" t="n">
        <v>45966</v>
      </c>
      <c r="D882" t="inlineStr">
        <is>
          <t>VÄSTERNORRLANDS LÄN</t>
        </is>
      </c>
      <c r="E882" t="inlineStr">
        <is>
          <t>ÅNGE</t>
        </is>
      </c>
      <c r="G882" t="n">
        <v>2.6</v>
      </c>
      <c r="H882" t="n">
        <v>0</v>
      </c>
      <c r="I882" t="n">
        <v>0</v>
      </c>
      <c r="J882" t="n">
        <v>0</v>
      </c>
      <c r="K882" t="n">
        <v>0</v>
      </c>
      <c r="L882" t="n">
        <v>0</v>
      </c>
      <c r="M882" t="n">
        <v>0</v>
      </c>
      <c r="N882" t="n">
        <v>0</v>
      </c>
      <c r="O882" t="n">
        <v>0</v>
      </c>
      <c r="P882" t="n">
        <v>0</v>
      </c>
      <c r="Q882" t="n">
        <v>0</v>
      </c>
      <c r="R882" s="2" t="inlineStr"/>
    </row>
    <row r="883" ht="15" customHeight="1">
      <c r="A883" t="inlineStr">
        <is>
          <t>A 23069-2024</t>
        </is>
      </c>
      <c r="B883" s="1" t="n">
        <v>45450</v>
      </c>
      <c r="C883" s="1" t="n">
        <v>45966</v>
      </c>
      <c r="D883" t="inlineStr">
        <is>
          <t>VÄSTERNORRLANDS LÄN</t>
        </is>
      </c>
      <c r="E883" t="inlineStr">
        <is>
          <t>ÅNGE</t>
        </is>
      </c>
      <c r="G883" t="n">
        <v>1.5</v>
      </c>
      <c r="H883" t="n">
        <v>0</v>
      </c>
      <c r="I883" t="n">
        <v>0</v>
      </c>
      <c r="J883" t="n">
        <v>0</v>
      </c>
      <c r="K883" t="n">
        <v>0</v>
      </c>
      <c r="L883" t="n">
        <v>0</v>
      </c>
      <c r="M883" t="n">
        <v>0</v>
      </c>
      <c r="N883" t="n">
        <v>0</v>
      </c>
      <c r="O883" t="n">
        <v>0</v>
      </c>
      <c r="P883" t="n">
        <v>0</v>
      </c>
      <c r="Q883" t="n">
        <v>0</v>
      </c>
      <c r="R883" s="2" t="inlineStr"/>
    </row>
    <row r="884" ht="15" customHeight="1">
      <c r="A884" t="inlineStr">
        <is>
          <t>A 24209-2025</t>
        </is>
      </c>
      <c r="B884" s="1" t="n">
        <v>45797.3446875</v>
      </c>
      <c r="C884" s="1" t="n">
        <v>45966</v>
      </c>
      <c r="D884" t="inlineStr">
        <is>
          <t>VÄSTERNORRLANDS LÄN</t>
        </is>
      </c>
      <c r="E884" t="inlineStr">
        <is>
          <t>ÅNGE</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10781-2024</t>
        </is>
      </c>
      <c r="B885" s="1" t="n">
        <v>45369.59635416666</v>
      </c>
      <c r="C885" s="1" t="n">
        <v>45966</v>
      </c>
      <c r="D885" t="inlineStr">
        <is>
          <t>VÄSTERNORRLANDS LÄN</t>
        </is>
      </c>
      <c r="E885" t="inlineStr">
        <is>
          <t>ÅNGE</t>
        </is>
      </c>
      <c r="G885" t="n">
        <v>1.9</v>
      </c>
      <c r="H885" t="n">
        <v>0</v>
      </c>
      <c r="I885" t="n">
        <v>0</v>
      </c>
      <c r="J885" t="n">
        <v>0</v>
      </c>
      <c r="K885" t="n">
        <v>0</v>
      </c>
      <c r="L885" t="n">
        <v>0</v>
      </c>
      <c r="M885" t="n">
        <v>0</v>
      </c>
      <c r="N885" t="n">
        <v>0</v>
      </c>
      <c r="O885" t="n">
        <v>0</v>
      </c>
      <c r="P885" t="n">
        <v>0</v>
      </c>
      <c r="Q885" t="n">
        <v>0</v>
      </c>
      <c r="R885" s="2" t="inlineStr"/>
    </row>
    <row r="886" ht="15" customHeight="1">
      <c r="A886" t="inlineStr">
        <is>
          <t>A 34679-2024</t>
        </is>
      </c>
      <c r="B886" s="1" t="n">
        <v>45526</v>
      </c>
      <c r="C886" s="1" t="n">
        <v>45966</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23975-2025</t>
        </is>
      </c>
      <c r="B887" s="1" t="n">
        <v>45796.38614583333</v>
      </c>
      <c r="C887" s="1" t="n">
        <v>45966</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23976-2025</t>
        </is>
      </c>
      <c r="B888" s="1" t="n">
        <v>45796.38625</v>
      </c>
      <c r="C888" s="1" t="n">
        <v>45966</v>
      </c>
      <c r="D888" t="inlineStr">
        <is>
          <t>VÄSTERNORRLANDS LÄN</t>
        </is>
      </c>
      <c r="E888" t="inlineStr">
        <is>
          <t>ÅNGE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57516-2023</t>
        </is>
      </c>
      <c r="B889" s="1" t="n">
        <v>45246.44665509259</v>
      </c>
      <c r="C889" s="1" t="n">
        <v>45966</v>
      </c>
      <c r="D889" t="inlineStr">
        <is>
          <t>VÄSTERNORRLANDS LÄN</t>
        </is>
      </c>
      <c r="E889" t="inlineStr">
        <is>
          <t>ÅNGE</t>
        </is>
      </c>
      <c r="G889" t="n">
        <v>2.2</v>
      </c>
      <c r="H889" t="n">
        <v>0</v>
      </c>
      <c r="I889" t="n">
        <v>0</v>
      </c>
      <c r="J889" t="n">
        <v>0</v>
      </c>
      <c r="K889" t="n">
        <v>0</v>
      </c>
      <c r="L889" t="n">
        <v>0</v>
      </c>
      <c r="M889" t="n">
        <v>0</v>
      </c>
      <c r="N889" t="n">
        <v>0</v>
      </c>
      <c r="O889" t="n">
        <v>0</v>
      </c>
      <c r="P889" t="n">
        <v>0</v>
      </c>
      <c r="Q889" t="n">
        <v>0</v>
      </c>
      <c r="R889" s="2" t="inlineStr"/>
    </row>
    <row r="890" ht="15" customHeight="1">
      <c r="A890" t="inlineStr">
        <is>
          <t>A 43096-2023</t>
        </is>
      </c>
      <c r="B890" s="1" t="n">
        <v>45182</v>
      </c>
      <c r="C890" s="1" t="n">
        <v>45966</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26641-2024</t>
        </is>
      </c>
      <c r="B891" s="1" t="n">
        <v>45469.92836805555</v>
      </c>
      <c r="C891" s="1" t="n">
        <v>45966</v>
      </c>
      <c r="D891" t="inlineStr">
        <is>
          <t>VÄSTERNORRLANDS LÄN</t>
        </is>
      </c>
      <c r="E891" t="inlineStr">
        <is>
          <t>ÅNGE</t>
        </is>
      </c>
      <c r="G891" t="n">
        <v>4.5</v>
      </c>
      <c r="H891" t="n">
        <v>0</v>
      </c>
      <c r="I891" t="n">
        <v>0</v>
      </c>
      <c r="J891" t="n">
        <v>0</v>
      </c>
      <c r="K891" t="n">
        <v>0</v>
      </c>
      <c r="L891" t="n">
        <v>0</v>
      </c>
      <c r="M891" t="n">
        <v>0</v>
      </c>
      <c r="N891" t="n">
        <v>0</v>
      </c>
      <c r="O891" t="n">
        <v>0</v>
      </c>
      <c r="P891" t="n">
        <v>0</v>
      </c>
      <c r="Q891" t="n">
        <v>0</v>
      </c>
      <c r="R891" s="2" t="inlineStr"/>
    </row>
    <row r="892" ht="15" customHeight="1">
      <c r="A892" t="inlineStr">
        <is>
          <t>A 60296-2021</t>
        </is>
      </c>
      <c r="B892" s="1" t="n">
        <v>44495</v>
      </c>
      <c r="C892" s="1" t="n">
        <v>45966</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37992-2024</t>
        </is>
      </c>
      <c r="B893" s="1" t="n">
        <v>45544.59524305556</v>
      </c>
      <c r="C893" s="1" t="n">
        <v>45966</v>
      </c>
      <c r="D893" t="inlineStr">
        <is>
          <t>VÄSTERNORRLANDS LÄN</t>
        </is>
      </c>
      <c r="E893" t="inlineStr">
        <is>
          <t>ÅNGE</t>
        </is>
      </c>
      <c r="G893" t="n">
        <v>3.9</v>
      </c>
      <c r="H893" t="n">
        <v>0</v>
      </c>
      <c r="I893" t="n">
        <v>0</v>
      </c>
      <c r="J893" t="n">
        <v>0</v>
      </c>
      <c r="K893" t="n">
        <v>0</v>
      </c>
      <c r="L893" t="n">
        <v>0</v>
      </c>
      <c r="M893" t="n">
        <v>0</v>
      </c>
      <c r="N893" t="n">
        <v>0</v>
      </c>
      <c r="O893" t="n">
        <v>0</v>
      </c>
      <c r="P893" t="n">
        <v>0</v>
      </c>
      <c r="Q893" t="n">
        <v>0</v>
      </c>
      <c r="R893" s="2" t="inlineStr"/>
    </row>
    <row r="894" ht="15" customHeight="1">
      <c r="A894" t="inlineStr">
        <is>
          <t>A 45403-2025</t>
        </is>
      </c>
      <c r="B894" s="1" t="n">
        <v>45922.42803240741</v>
      </c>
      <c r="C894" s="1" t="n">
        <v>45966</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25023-2022</t>
        </is>
      </c>
      <c r="B895" s="1" t="n">
        <v>44728</v>
      </c>
      <c r="C895" s="1" t="n">
        <v>45966</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24207-2025</t>
        </is>
      </c>
      <c r="B896" s="1" t="n">
        <v>45797.34439814815</v>
      </c>
      <c r="C896" s="1" t="n">
        <v>45966</v>
      </c>
      <c r="D896" t="inlineStr">
        <is>
          <t>VÄSTERNORRLANDS LÄN</t>
        </is>
      </c>
      <c r="E896" t="inlineStr">
        <is>
          <t>ÅNGE</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31545-2024</t>
        </is>
      </c>
      <c r="B897" s="1" t="n">
        <v>45505</v>
      </c>
      <c r="C897" s="1" t="n">
        <v>45966</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5197-2025</t>
        </is>
      </c>
      <c r="B898" s="1" t="n">
        <v>45691.65701388889</v>
      </c>
      <c r="C898" s="1" t="n">
        <v>45966</v>
      </c>
      <c r="D898" t="inlineStr">
        <is>
          <t>VÄSTERNORRLANDS LÄN</t>
        </is>
      </c>
      <c r="E898" t="inlineStr">
        <is>
          <t>ÅNGE</t>
        </is>
      </c>
      <c r="F898" t="inlineStr">
        <is>
          <t>SCA</t>
        </is>
      </c>
      <c r="G898" t="n">
        <v>5.7</v>
      </c>
      <c r="H898" t="n">
        <v>0</v>
      </c>
      <c r="I898" t="n">
        <v>0</v>
      </c>
      <c r="J898" t="n">
        <v>0</v>
      </c>
      <c r="K898" t="n">
        <v>0</v>
      </c>
      <c r="L898" t="n">
        <v>0</v>
      </c>
      <c r="M898" t="n">
        <v>0</v>
      </c>
      <c r="N898" t="n">
        <v>0</v>
      </c>
      <c r="O898" t="n">
        <v>0</v>
      </c>
      <c r="P898" t="n">
        <v>0</v>
      </c>
      <c r="Q898" t="n">
        <v>0</v>
      </c>
      <c r="R898" s="2" t="inlineStr"/>
    </row>
    <row r="899" ht="15" customHeight="1">
      <c r="A899" t="inlineStr">
        <is>
          <t>A 54197-2025</t>
        </is>
      </c>
      <c r="B899" s="1" t="n">
        <v>45964.57431712963</v>
      </c>
      <c r="C899" s="1" t="n">
        <v>45966</v>
      </c>
      <c r="D899" t="inlineStr">
        <is>
          <t>VÄSTERNORRLANDS LÄN</t>
        </is>
      </c>
      <c r="E899" t="inlineStr">
        <is>
          <t>ÅNGE</t>
        </is>
      </c>
      <c r="G899" t="n">
        <v>0.6</v>
      </c>
      <c r="H899" t="n">
        <v>0</v>
      </c>
      <c r="I899" t="n">
        <v>0</v>
      </c>
      <c r="J899" t="n">
        <v>0</v>
      </c>
      <c r="K899" t="n">
        <v>0</v>
      </c>
      <c r="L899" t="n">
        <v>0</v>
      </c>
      <c r="M899" t="n">
        <v>0</v>
      </c>
      <c r="N899" t="n">
        <v>0</v>
      </c>
      <c r="O899" t="n">
        <v>0</v>
      </c>
      <c r="P899" t="n">
        <v>0</v>
      </c>
      <c r="Q899" t="n">
        <v>0</v>
      </c>
      <c r="R899" s="2" t="inlineStr"/>
    </row>
    <row r="900" ht="15" customHeight="1">
      <c r="A900" t="inlineStr">
        <is>
          <t>A 54946-2021</t>
        </is>
      </c>
      <c r="B900" s="1" t="n">
        <v>44474.46466435185</v>
      </c>
      <c r="C900" s="1" t="n">
        <v>45966</v>
      </c>
      <c r="D900" t="inlineStr">
        <is>
          <t>VÄSTERNORRLANDS LÄN</t>
        </is>
      </c>
      <c r="E900" t="inlineStr">
        <is>
          <t>ÅNGE</t>
        </is>
      </c>
      <c r="G900" t="n">
        <v>5.4</v>
      </c>
      <c r="H900" t="n">
        <v>0</v>
      </c>
      <c r="I900" t="n">
        <v>0</v>
      </c>
      <c r="J900" t="n">
        <v>0</v>
      </c>
      <c r="K900" t="n">
        <v>0</v>
      </c>
      <c r="L900" t="n">
        <v>0</v>
      </c>
      <c r="M900" t="n">
        <v>0</v>
      </c>
      <c r="N900" t="n">
        <v>0</v>
      </c>
      <c r="O900" t="n">
        <v>0</v>
      </c>
      <c r="P900" t="n">
        <v>0</v>
      </c>
      <c r="Q900" t="n">
        <v>0</v>
      </c>
      <c r="R900" s="2" t="inlineStr"/>
    </row>
    <row r="901" ht="15" customHeight="1">
      <c r="A901" t="inlineStr">
        <is>
          <t>A 38960-2021</t>
        </is>
      </c>
      <c r="B901" s="1" t="n">
        <v>44411</v>
      </c>
      <c r="C901" s="1" t="n">
        <v>45966</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50179-2024</t>
        </is>
      </c>
      <c r="B902" s="1" t="n">
        <v>45600</v>
      </c>
      <c r="C902" s="1" t="n">
        <v>45966</v>
      </c>
      <c r="D902" t="inlineStr">
        <is>
          <t>VÄSTERNORRLANDS LÄN</t>
        </is>
      </c>
      <c r="E902" t="inlineStr">
        <is>
          <t>ÅNGE</t>
        </is>
      </c>
      <c r="G902" t="n">
        <v>3.6</v>
      </c>
      <c r="H902" t="n">
        <v>0</v>
      </c>
      <c r="I902" t="n">
        <v>0</v>
      </c>
      <c r="J902" t="n">
        <v>0</v>
      </c>
      <c r="K902" t="n">
        <v>0</v>
      </c>
      <c r="L902" t="n">
        <v>0</v>
      </c>
      <c r="M902" t="n">
        <v>0</v>
      </c>
      <c r="N902" t="n">
        <v>0</v>
      </c>
      <c r="O902" t="n">
        <v>0</v>
      </c>
      <c r="P902" t="n">
        <v>0</v>
      </c>
      <c r="Q902" t="n">
        <v>0</v>
      </c>
      <c r="R902" s="2" t="inlineStr"/>
    </row>
    <row r="903" ht="15" customHeight="1">
      <c r="A903" t="inlineStr">
        <is>
          <t>A 43145-2024</t>
        </is>
      </c>
      <c r="B903" s="1" t="n">
        <v>45567.63030092593</v>
      </c>
      <c r="C903" s="1" t="n">
        <v>45966</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23917-2025</t>
        </is>
      </c>
      <c r="B904" s="1" t="n">
        <v>45795.34481481482</v>
      </c>
      <c r="C904" s="1" t="n">
        <v>45966</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23921-2025</t>
        </is>
      </c>
      <c r="B905" s="1" t="n">
        <v>45795.34513888889</v>
      </c>
      <c r="C905" s="1" t="n">
        <v>45966</v>
      </c>
      <c r="D905" t="inlineStr">
        <is>
          <t>VÄSTERNORRLANDS LÄN</t>
        </is>
      </c>
      <c r="E905" t="inlineStr">
        <is>
          <t>ÅNGE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24232-2025</t>
        </is>
      </c>
      <c r="B906" s="1" t="n">
        <v>45797.37846064815</v>
      </c>
      <c r="C906" s="1" t="n">
        <v>45966</v>
      </c>
      <c r="D906" t="inlineStr">
        <is>
          <t>VÄSTERNORRLANDS LÄN</t>
        </is>
      </c>
      <c r="E906" t="inlineStr">
        <is>
          <t>ÅNGE</t>
        </is>
      </c>
      <c r="G906" t="n">
        <v>2.8</v>
      </c>
      <c r="H906" t="n">
        <v>0</v>
      </c>
      <c r="I906" t="n">
        <v>0</v>
      </c>
      <c r="J906" t="n">
        <v>0</v>
      </c>
      <c r="K906" t="n">
        <v>0</v>
      </c>
      <c r="L906" t="n">
        <v>0</v>
      </c>
      <c r="M906" t="n">
        <v>0</v>
      </c>
      <c r="N906" t="n">
        <v>0</v>
      </c>
      <c r="O906" t="n">
        <v>0</v>
      </c>
      <c r="P906" t="n">
        <v>0</v>
      </c>
      <c r="Q906" t="n">
        <v>0</v>
      </c>
      <c r="R906" s="2" t="inlineStr"/>
    </row>
    <row r="907" ht="15" customHeight="1">
      <c r="A907" t="inlineStr">
        <is>
          <t>A 56188-2024</t>
        </is>
      </c>
      <c r="B907" s="1" t="n">
        <v>45624.57800925926</v>
      </c>
      <c r="C907" s="1" t="n">
        <v>45966</v>
      </c>
      <c r="D907" t="inlineStr">
        <is>
          <t>VÄSTERNORRLANDS LÄN</t>
        </is>
      </c>
      <c r="E907" t="inlineStr">
        <is>
          <t>ÅNGE</t>
        </is>
      </c>
      <c r="G907" t="n">
        <v>0.9</v>
      </c>
      <c r="H907" t="n">
        <v>0</v>
      </c>
      <c r="I907" t="n">
        <v>0</v>
      </c>
      <c r="J907" t="n">
        <v>0</v>
      </c>
      <c r="K907" t="n">
        <v>0</v>
      </c>
      <c r="L907" t="n">
        <v>0</v>
      </c>
      <c r="M907" t="n">
        <v>0</v>
      </c>
      <c r="N907" t="n">
        <v>0</v>
      </c>
      <c r="O907" t="n">
        <v>0</v>
      </c>
      <c r="P907" t="n">
        <v>0</v>
      </c>
      <c r="Q907" t="n">
        <v>0</v>
      </c>
      <c r="R907" s="2" t="inlineStr"/>
    </row>
    <row r="908" ht="15" customHeight="1">
      <c r="A908" t="inlineStr">
        <is>
          <t>A 44565-2024</t>
        </is>
      </c>
      <c r="B908" s="1" t="n">
        <v>45574.47518518518</v>
      </c>
      <c r="C908" s="1" t="n">
        <v>45966</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40755-2023</t>
        </is>
      </c>
      <c r="B909" s="1" t="n">
        <v>45170</v>
      </c>
      <c r="C909" s="1" t="n">
        <v>45966</v>
      </c>
      <c r="D909" t="inlineStr">
        <is>
          <t>VÄSTERNORRLANDS LÄN</t>
        </is>
      </c>
      <c r="E909" t="inlineStr">
        <is>
          <t>ÅNGE</t>
        </is>
      </c>
      <c r="G909" t="n">
        <v>3.6</v>
      </c>
      <c r="H909" t="n">
        <v>0</v>
      </c>
      <c r="I909" t="n">
        <v>0</v>
      </c>
      <c r="J909" t="n">
        <v>0</v>
      </c>
      <c r="K909" t="n">
        <v>0</v>
      </c>
      <c r="L909" t="n">
        <v>0</v>
      </c>
      <c r="M909" t="n">
        <v>0</v>
      </c>
      <c r="N909" t="n">
        <v>0</v>
      </c>
      <c r="O909" t="n">
        <v>0</v>
      </c>
      <c r="P909" t="n">
        <v>0</v>
      </c>
      <c r="Q909" t="n">
        <v>0</v>
      </c>
      <c r="R909" s="2" t="inlineStr"/>
    </row>
    <row r="910" ht="15" customHeight="1">
      <c r="A910" t="inlineStr">
        <is>
          <t>A 31696-2022</t>
        </is>
      </c>
      <c r="B910" s="1" t="n">
        <v>44776</v>
      </c>
      <c r="C910" s="1" t="n">
        <v>45966</v>
      </c>
      <c r="D910" t="inlineStr">
        <is>
          <t>VÄSTERNORRLANDS LÄN</t>
        </is>
      </c>
      <c r="E910" t="inlineStr">
        <is>
          <t>ÅNGE</t>
        </is>
      </c>
      <c r="G910" t="n">
        <v>1.8</v>
      </c>
      <c r="H910" t="n">
        <v>0</v>
      </c>
      <c r="I910" t="n">
        <v>0</v>
      </c>
      <c r="J910" t="n">
        <v>0</v>
      </c>
      <c r="K910" t="n">
        <v>0</v>
      </c>
      <c r="L910" t="n">
        <v>0</v>
      </c>
      <c r="M910" t="n">
        <v>0</v>
      </c>
      <c r="N910" t="n">
        <v>0</v>
      </c>
      <c r="O910" t="n">
        <v>0</v>
      </c>
      <c r="P910" t="n">
        <v>0</v>
      </c>
      <c r="Q910" t="n">
        <v>0</v>
      </c>
      <c r="R910" s="2" t="inlineStr"/>
    </row>
    <row r="911" ht="15" customHeight="1">
      <c r="A911" t="inlineStr">
        <is>
          <t>A 24458-2025</t>
        </is>
      </c>
      <c r="B911" s="1" t="n">
        <v>45798.34476851852</v>
      </c>
      <c r="C911" s="1" t="n">
        <v>45966</v>
      </c>
      <c r="D911" t="inlineStr">
        <is>
          <t>VÄSTERNORRLANDS LÄN</t>
        </is>
      </c>
      <c r="E911" t="inlineStr">
        <is>
          <t>ÅNGE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24627-2025</t>
        </is>
      </c>
      <c r="B912" s="1" t="n">
        <v>45798.59471064815</v>
      </c>
      <c r="C912" s="1" t="n">
        <v>45966</v>
      </c>
      <c r="D912" t="inlineStr">
        <is>
          <t>VÄSTERNORRLANDS LÄN</t>
        </is>
      </c>
      <c r="E912" t="inlineStr">
        <is>
          <t>ÅNGE</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54357-2025</t>
        </is>
      </c>
      <c r="B913" s="1" t="n">
        <v>45965.3858912037</v>
      </c>
      <c r="C913" s="1" t="n">
        <v>45966</v>
      </c>
      <c r="D913" t="inlineStr">
        <is>
          <t>VÄSTERNORRLANDS LÄN</t>
        </is>
      </c>
      <c r="E913" t="inlineStr">
        <is>
          <t>ÅNGE</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10084-2023</t>
        </is>
      </c>
      <c r="B914" s="1" t="n">
        <v>44985.94465277778</v>
      </c>
      <c r="C914" s="1" t="n">
        <v>45966</v>
      </c>
      <c r="D914" t="inlineStr">
        <is>
          <t>VÄSTERNORRLANDS LÄN</t>
        </is>
      </c>
      <c r="E914" t="inlineStr">
        <is>
          <t>ÅNGE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27853-2024</t>
        </is>
      </c>
      <c r="B915" s="1" t="n">
        <v>45475</v>
      </c>
      <c r="C915" s="1" t="n">
        <v>45966</v>
      </c>
      <c r="D915" t="inlineStr">
        <is>
          <t>VÄSTERNORRLANDS LÄN</t>
        </is>
      </c>
      <c r="E915" t="inlineStr">
        <is>
          <t>ÅNGE</t>
        </is>
      </c>
      <c r="G915" t="n">
        <v>3.7</v>
      </c>
      <c r="H915" t="n">
        <v>0</v>
      </c>
      <c r="I915" t="n">
        <v>0</v>
      </c>
      <c r="J915" t="n">
        <v>0</v>
      </c>
      <c r="K915" t="n">
        <v>0</v>
      </c>
      <c r="L915" t="n">
        <v>0</v>
      </c>
      <c r="M915" t="n">
        <v>0</v>
      </c>
      <c r="N915" t="n">
        <v>0</v>
      </c>
      <c r="O915" t="n">
        <v>0</v>
      </c>
      <c r="P915" t="n">
        <v>0</v>
      </c>
      <c r="Q915" t="n">
        <v>0</v>
      </c>
      <c r="R915" s="2" t="inlineStr"/>
    </row>
    <row r="916" ht="15" customHeight="1">
      <c r="A916" t="inlineStr">
        <is>
          <t>A 37038-2024</t>
        </is>
      </c>
      <c r="B916" s="1" t="n">
        <v>45539.40881944444</v>
      </c>
      <c r="C916" s="1" t="n">
        <v>45966</v>
      </c>
      <c r="D916" t="inlineStr">
        <is>
          <t>VÄSTERNORRLANDS LÄN</t>
        </is>
      </c>
      <c r="E916" t="inlineStr">
        <is>
          <t>ÅNGE</t>
        </is>
      </c>
      <c r="G916" t="n">
        <v>1.4</v>
      </c>
      <c r="H916" t="n">
        <v>0</v>
      </c>
      <c r="I916" t="n">
        <v>0</v>
      </c>
      <c r="J916" t="n">
        <v>0</v>
      </c>
      <c r="K916" t="n">
        <v>0</v>
      </c>
      <c r="L916" t="n">
        <v>0</v>
      </c>
      <c r="M916" t="n">
        <v>0</v>
      </c>
      <c r="N916" t="n">
        <v>0</v>
      </c>
      <c r="O916" t="n">
        <v>0</v>
      </c>
      <c r="P916" t="n">
        <v>0</v>
      </c>
      <c r="Q916" t="n">
        <v>0</v>
      </c>
      <c r="R916" s="2" t="inlineStr"/>
    </row>
    <row r="917" ht="15" customHeight="1">
      <c r="A917" t="inlineStr">
        <is>
          <t>A 45401-2025</t>
        </is>
      </c>
      <c r="B917" s="1" t="n">
        <v>45922.42767361111</v>
      </c>
      <c r="C917" s="1" t="n">
        <v>45966</v>
      </c>
      <c r="D917" t="inlineStr">
        <is>
          <t>VÄSTERNORRLANDS LÄN</t>
        </is>
      </c>
      <c r="E917" t="inlineStr">
        <is>
          <t>ÅNGE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45404-2025</t>
        </is>
      </c>
      <c r="B918" s="1" t="n">
        <v>45922.42820601852</v>
      </c>
      <c r="C918" s="1" t="n">
        <v>45966</v>
      </c>
      <c r="D918" t="inlineStr">
        <is>
          <t>VÄSTERNORRLANDS LÄN</t>
        </is>
      </c>
      <c r="E918" t="inlineStr">
        <is>
          <t>ÅNGE</t>
        </is>
      </c>
      <c r="F918" t="inlineStr">
        <is>
          <t>SCA</t>
        </is>
      </c>
      <c r="G918" t="n">
        <v>6.6</v>
      </c>
      <c r="H918" t="n">
        <v>0</v>
      </c>
      <c r="I918" t="n">
        <v>0</v>
      </c>
      <c r="J918" t="n">
        <v>0</v>
      </c>
      <c r="K918" t="n">
        <v>0</v>
      </c>
      <c r="L918" t="n">
        <v>0</v>
      </c>
      <c r="M918" t="n">
        <v>0</v>
      </c>
      <c r="N918" t="n">
        <v>0</v>
      </c>
      <c r="O918" t="n">
        <v>0</v>
      </c>
      <c r="P918" t="n">
        <v>0</v>
      </c>
      <c r="Q918" t="n">
        <v>0</v>
      </c>
      <c r="R918" s="2" t="inlineStr"/>
    </row>
    <row r="919" ht="15" customHeight="1">
      <c r="A919" t="inlineStr">
        <is>
          <t>A 24847-2025</t>
        </is>
      </c>
      <c r="B919" s="1" t="n">
        <v>45799.46907407408</v>
      </c>
      <c r="C919" s="1" t="n">
        <v>45966</v>
      </c>
      <c r="D919" t="inlineStr">
        <is>
          <t>VÄSTERNORRLANDS LÄN</t>
        </is>
      </c>
      <c r="E919" t="inlineStr">
        <is>
          <t>ÅNGE</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45027-2023</t>
        </is>
      </c>
      <c r="B920" s="1" t="n">
        <v>45190.96303240741</v>
      </c>
      <c r="C920" s="1" t="n">
        <v>45966</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25017-2025</t>
        </is>
      </c>
      <c r="B921" s="1" t="n">
        <v>45799.63791666667</v>
      </c>
      <c r="C921" s="1" t="n">
        <v>45966</v>
      </c>
      <c r="D921" t="inlineStr">
        <is>
          <t>VÄSTERNORRLANDS LÄN</t>
        </is>
      </c>
      <c r="E921" t="inlineStr">
        <is>
          <t>ÅNGE</t>
        </is>
      </c>
      <c r="F921" t="inlineStr">
        <is>
          <t>Sveaskog</t>
        </is>
      </c>
      <c r="G921" t="n">
        <v>2</v>
      </c>
      <c r="H921" t="n">
        <v>0</v>
      </c>
      <c r="I921" t="n">
        <v>0</v>
      </c>
      <c r="J921" t="n">
        <v>0</v>
      </c>
      <c r="K921" t="n">
        <v>0</v>
      </c>
      <c r="L921" t="n">
        <v>0</v>
      </c>
      <c r="M921" t="n">
        <v>0</v>
      </c>
      <c r="N921" t="n">
        <v>0</v>
      </c>
      <c r="O921" t="n">
        <v>0</v>
      </c>
      <c r="P921" t="n">
        <v>0</v>
      </c>
      <c r="Q921" t="n">
        <v>0</v>
      </c>
      <c r="R921" s="2" t="inlineStr"/>
    </row>
    <row r="922" ht="15" customHeight="1">
      <c r="A922" t="inlineStr">
        <is>
          <t>A 30054-2024</t>
        </is>
      </c>
      <c r="B922" s="1" t="n">
        <v>45488.94758101852</v>
      </c>
      <c r="C922" s="1" t="n">
        <v>45966</v>
      </c>
      <c r="D922" t="inlineStr">
        <is>
          <t>VÄSTERNORRLANDS LÄN</t>
        </is>
      </c>
      <c r="E922" t="inlineStr">
        <is>
          <t>ÅNGE</t>
        </is>
      </c>
      <c r="F922" t="inlineStr">
        <is>
          <t>SCA</t>
        </is>
      </c>
      <c r="G922" t="n">
        <v>11.7</v>
      </c>
      <c r="H922" t="n">
        <v>0</v>
      </c>
      <c r="I922" t="n">
        <v>0</v>
      </c>
      <c r="J922" t="n">
        <v>0</v>
      </c>
      <c r="K922" t="n">
        <v>0</v>
      </c>
      <c r="L922" t="n">
        <v>0</v>
      </c>
      <c r="M922" t="n">
        <v>0</v>
      </c>
      <c r="N922" t="n">
        <v>0</v>
      </c>
      <c r="O922" t="n">
        <v>0</v>
      </c>
      <c r="P922" t="n">
        <v>0</v>
      </c>
      <c r="Q922" t="n">
        <v>0</v>
      </c>
      <c r="R922" s="2" t="inlineStr"/>
    </row>
    <row r="923" ht="15" customHeight="1">
      <c r="A923" t="inlineStr">
        <is>
          <t>A 24852-2025</t>
        </is>
      </c>
      <c r="B923" s="1" t="n">
        <v>45799.46975694445</v>
      </c>
      <c r="C923" s="1" t="n">
        <v>45966</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43622-2023</t>
        </is>
      </c>
      <c r="B924" s="1" t="n">
        <v>45184.70777777778</v>
      </c>
      <c r="C924" s="1" t="n">
        <v>45966</v>
      </c>
      <c r="D924" t="inlineStr">
        <is>
          <t>VÄSTERNORRLANDS LÄN</t>
        </is>
      </c>
      <c r="E924" t="inlineStr">
        <is>
          <t>ÅNGE</t>
        </is>
      </c>
      <c r="F924" t="inlineStr">
        <is>
          <t>Holmen skog AB</t>
        </is>
      </c>
      <c r="G924" t="n">
        <v>5.9</v>
      </c>
      <c r="H924" t="n">
        <v>0</v>
      </c>
      <c r="I924" t="n">
        <v>0</v>
      </c>
      <c r="J924" t="n">
        <v>0</v>
      </c>
      <c r="K924" t="n">
        <v>0</v>
      </c>
      <c r="L924" t="n">
        <v>0</v>
      </c>
      <c r="M924" t="n">
        <v>0</v>
      </c>
      <c r="N924" t="n">
        <v>0</v>
      </c>
      <c r="O924" t="n">
        <v>0</v>
      </c>
      <c r="P924" t="n">
        <v>0</v>
      </c>
      <c r="Q924" t="n">
        <v>0</v>
      </c>
      <c r="R924" s="2" t="inlineStr"/>
    </row>
    <row r="925" ht="15" customHeight="1">
      <c r="A925" t="inlineStr">
        <is>
          <t>A 54346-2025</t>
        </is>
      </c>
      <c r="B925" s="1" t="n">
        <v>45965.36525462963</v>
      </c>
      <c r="C925" s="1" t="n">
        <v>45966</v>
      </c>
      <c r="D925" t="inlineStr">
        <is>
          <t>VÄSTERNORRLANDS LÄN</t>
        </is>
      </c>
      <c r="E925" t="inlineStr">
        <is>
          <t>ÅNGE</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25067-2025</t>
        </is>
      </c>
      <c r="B926" s="1" t="n">
        <v>45799.71908564815</v>
      </c>
      <c r="C926" s="1" t="n">
        <v>45966</v>
      </c>
      <c r="D926" t="inlineStr">
        <is>
          <t>VÄSTERNORRLANDS LÄN</t>
        </is>
      </c>
      <c r="E926" t="inlineStr">
        <is>
          <t>ÅNGE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45660-2025</t>
        </is>
      </c>
      <c r="B927" s="1" t="n">
        <v>45923.34494212963</v>
      </c>
      <c r="C927" s="1" t="n">
        <v>45966</v>
      </c>
      <c r="D927" t="inlineStr">
        <is>
          <t>VÄSTERNORRLANDS LÄN</t>
        </is>
      </c>
      <c r="E927" t="inlineStr">
        <is>
          <t>ÅNGE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29390-2021</t>
        </is>
      </c>
      <c r="B928" s="1" t="n">
        <v>44361</v>
      </c>
      <c r="C928" s="1" t="n">
        <v>45966</v>
      </c>
      <c r="D928" t="inlineStr">
        <is>
          <t>VÄSTERNORRLANDS LÄN</t>
        </is>
      </c>
      <c r="E928" t="inlineStr">
        <is>
          <t>ÅNGE</t>
        </is>
      </c>
      <c r="F928" t="inlineStr">
        <is>
          <t>Holmen skog AB</t>
        </is>
      </c>
      <c r="G928" t="n">
        <v>1.7</v>
      </c>
      <c r="H928" t="n">
        <v>0</v>
      </c>
      <c r="I928" t="n">
        <v>0</v>
      </c>
      <c r="J928" t="n">
        <v>0</v>
      </c>
      <c r="K928" t="n">
        <v>0</v>
      </c>
      <c r="L928" t="n">
        <v>0</v>
      </c>
      <c r="M928" t="n">
        <v>0</v>
      </c>
      <c r="N928" t="n">
        <v>0</v>
      </c>
      <c r="O928" t="n">
        <v>0</v>
      </c>
      <c r="P928" t="n">
        <v>0</v>
      </c>
      <c r="Q928" t="n">
        <v>0</v>
      </c>
      <c r="R928" s="2" t="inlineStr"/>
    </row>
    <row r="929" ht="15" customHeight="1">
      <c r="A929" t="inlineStr">
        <is>
          <t>A 60860-2022</t>
        </is>
      </c>
      <c r="B929" s="1" t="n">
        <v>44914</v>
      </c>
      <c r="C929" s="1" t="n">
        <v>45966</v>
      </c>
      <c r="D929" t="inlineStr">
        <is>
          <t>VÄSTERNORRLANDS LÄN</t>
        </is>
      </c>
      <c r="E929" t="inlineStr">
        <is>
          <t>ÅNGE</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45875-2025</t>
        </is>
      </c>
      <c r="B930" s="1" t="n">
        <v>45923.65690972222</v>
      </c>
      <c r="C930" s="1" t="n">
        <v>45966</v>
      </c>
      <c r="D930" t="inlineStr">
        <is>
          <t>VÄSTERNORRLANDS LÄN</t>
        </is>
      </c>
      <c r="E930" t="inlineStr">
        <is>
          <t>ÅNGE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17668-2023</t>
        </is>
      </c>
      <c r="B931" s="1" t="n">
        <v>45036</v>
      </c>
      <c r="C931" s="1" t="n">
        <v>45966</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36877-2024</t>
        </is>
      </c>
      <c r="B932" s="1" t="n">
        <v>45538.59418981482</v>
      </c>
      <c r="C932" s="1" t="n">
        <v>45966</v>
      </c>
      <c r="D932" t="inlineStr">
        <is>
          <t>VÄSTERNORRLANDS LÄN</t>
        </is>
      </c>
      <c r="E932" t="inlineStr">
        <is>
          <t>ÅNGE</t>
        </is>
      </c>
      <c r="G932" t="n">
        <v>3.3</v>
      </c>
      <c r="H932" t="n">
        <v>0</v>
      </c>
      <c r="I932" t="n">
        <v>0</v>
      </c>
      <c r="J932" t="n">
        <v>0</v>
      </c>
      <c r="K932" t="n">
        <v>0</v>
      </c>
      <c r="L932" t="n">
        <v>0</v>
      </c>
      <c r="M932" t="n">
        <v>0</v>
      </c>
      <c r="N932" t="n">
        <v>0</v>
      </c>
      <c r="O932" t="n">
        <v>0</v>
      </c>
      <c r="P932" t="n">
        <v>0</v>
      </c>
      <c r="Q932" t="n">
        <v>0</v>
      </c>
      <c r="R932" s="2" t="inlineStr"/>
    </row>
    <row r="933" ht="15" customHeight="1">
      <c r="A933" t="inlineStr">
        <is>
          <t>A 45659-2025</t>
        </is>
      </c>
      <c r="B933" s="1" t="n">
        <v>45923.34471064815</v>
      </c>
      <c r="C933" s="1" t="n">
        <v>45966</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25352-2025</t>
        </is>
      </c>
      <c r="B934" s="1" t="n">
        <v>45800.61552083334</v>
      </c>
      <c r="C934" s="1" t="n">
        <v>45966</v>
      </c>
      <c r="D934" t="inlineStr">
        <is>
          <t>VÄSTERNORRLANDS LÄN</t>
        </is>
      </c>
      <c r="E934" t="inlineStr">
        <is>
          <t>ÅNGE</t>
        </is>
      </c>
      <c r="F934" t="inlineStr">
        <is>
          <t>SCA</t>
        </is>
      </c>
      <c r="G934" t="n">
        <v>6.3</v>
      </c>
      <c r="H934" t="n">
        <v>0</v>
      </c>
      <c r="I934" t="n">
        <v>0</v>
      </c>
      <c r="J934" t="n">
        <v>0</v>
      </c>
      <c r="K934" t="n">
        <v>0</v>
      </c>
      <c r="L934" t="n">
        <v>0</v>
      </c>
      <c r="M934" t="n">
        <v>0</v>
      </c>
      <c r="N934" t="n">
        <v>0</v>
      </c>
      <c r="O934" t="n">
        <v>0</v>
      </c>
      <c r="P934" t="n">
        <v>0</v>
      </c>
      <c r="Q934" t="n">
        <v>0</v>
      </c>
      <c r="R934" s="2" t="inlineStr"/>
    </row>
    <row r="935" ht="15" customHeight="1">
      <c r="A935" t="inlineStr">
        <is>
          <t>A 53651-2023</t>
        </is>
      </c>
      <c r="B935" s="1" t="n">
        <v>45230.60815972222</v>
      </c>
      <c r="C935" s="1" t="n">
        <v>45966</v>
      </c>
      <c r="D935" t="inlineStr">
        <is>
          <t>VÄSTERNORRLANDS LÄN</t>
        </is>
      </c>
      <c r="E935" t="inlineStr">
        <is>
          <t>ÅNGE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25340-2025</t>
        </is>
      </c>
      <c r="B936" s="1" t="n">
        <v>45800.60074074074</v>
      </c>
      <c r="C936" s="1" t="n">
        <v>45966</v>
      </c>
      <c r="D936" t="inlineStr">
        <is>
          <t>VÄSTERNORRLANDS LÄN</t>
        </is>
      </c>
      <c r="E936" t="inlineStr">
        <is>
          <t>ÅNGE</t>
        </is>
      </c>
      <c r="G936" t="n">
        <v>2.7</v>
      </c>
      <c r="H936" t="n">
        <v>0</v>
      </c>
      <c r="I936" t="n">
        <v>0</v>
      </c>
      <c r="J936" t="n">
        <v>0</v>
      </c>
      <c r="K936" t="n">
        <v>0</v>
      </c>
      <c r="L936" t="n">
        <v>0</v>
      </c>
      <c r="M936" t="n">
        <v>0</v>
      </c>
      <c r="N936" t="n">
        <v>0</v>
      </c>
      <c r="O936" t="n">
        <v>0</v>
      </c>
      <c r="P936" t="n">
        <v>0</v>
      </c>
      <c r="Q936" t="n">
        <v>0</v>
      </c>
      <c r="R936" s="2" t="inlineStr"/>
    </row>
    <row r="937" ht="15" customHeight="1">
      <c r="A937" t="inlineStr">
        <is>
          <t>A 41284-2024</t>
        </is>
      </c>
      <c r="B937" s="1" t="n">
        <v>45559.59520833333</v>
      </c>
      <c r="C937" s="1" t="n">
        <v>45966</v>
      </c>
      <c r="D937" t="inlineStr">
        <is>
          <t>VÄSTERNORRLANDS LÄN</t>
        </is>
      </c>
      <c r="E937" t="inlineStr">
        <is>
          <t>ÅNGE</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25532-2025</t>
        </is>
      </c>
      <c r="B938" s="1" t="n">
        <v>45803.4065162037</v>
      </c>
      <c r="C938" s="1" t="n">
        <v>45966</v>
      </c>
      <c r="D938" t="inlineStr">
        <is>
          <t>VÄSTERNORRLANDS LÄN</t>
        </is>
      </c>
      <c r="E938" t="inlineStr">
        <is>
          <t>ÅNGE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25499-2025</t>
        </is>
      </c>
      <c r="B939" s="1" t="n">
        <v>45803.344375</v>
      </c>
      <c r="C939" s="1" t="n">
        <v>45966</v>
      </c>
      <c r="D939" t="inlineStr">
        <is>
          <t>VÄSTERNORRLANDS LÄN</t>
        </is>
      </c>
      <c r="E939" t="inlineStr">
        <is>
          <t>ÅNGE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25274-2025</t>
        </is>
      </c>
      <c r="B940" s="1" t="n">
        <v>45800.55276620371</v>
      </c>
      <c r="C940" s="1" t="n">
        <v>45966</v>
      </c>
      <c r="D940" t="inlineStr">
        <is>
          <t>VÄSTERNORRLANDS LÄN</t>
        </is>
      </c>
      <c r="E940" t="inlineStr">
        <is>
          <t>ÅNGE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39682-2024</t>
        </is>
      </c>
      <c r="B941" s="1" t="n">
        <v>45552</v>
      </c>
      <c r="C941" s="1" t="n">
        <v>45966</v>
      </c>
      <c r="D941" t="inlineStr">
        <is>
          <t>VÄSTERNORRLANDS LÄN</t>
        </is>
      </c>
      <c r="E941" t="inlineStr">
        <is>
          <t>ÅNGE</t>
        </is>
      </c>
      <c r="G941" t="n">
        <v>35.4</v>
      </c>
      <c r="H941" t="n">
        <v>0</v>
      </c>
      <c r="I941" t="n">
        <v>0</v>
      </c>
      <c r="J941" t="n">
        <v>0</v>
      </c>
      <c r="K941" t="n">
        <v>0</v>
      </c>
      <c r="L941" t="n">
        <v>0</v>
      </c>
      <c r="M941" t="n">
        <v>0</v>
      </c>
      <c r="N941" t="n">
        <v>0</v>
      </c>
      <c r="O941" t="n">
        <v>0</v>
      </c>
      <c r="P941" t="n">
        <v>0</v>
      </c>
      <c r="Q941" t="n">
        <v>0</v>
      </c>
      <c r="R941" s="2" t="inlineStr"/>
    </row>
    <row r="942" ht="15" customHeight="1">
      <c r="A942" t="inlineStr">
        <is>
          <t>A 25241-2025</t>
        </is>
      </c>
      <c r="B942" s="1" t="n">
        <v>45800.49053240741</v>
      </c>
      <c r="C942" s="1" t="n">
        <v>45966</v>
      </c>
      <c r="D942" t="inlineStr">
        <is>
          <t>VÄSTERNORRLANDS LÄN</t>
        </is>
      </c>
      <c r="E942" t="inlineStr">
        <is>
          <t>ÅNGE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19798-2025</t>
        </is>
      </c>
      <c r="B943" s="1" t="n">
        <v>45771.44824074074</v>
      </c>
      <c r="C943" s="1" t="n">
        <v>45966</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31863-2024</t>
        </is>
      </c>
      <c r="B944" s="1" t="n">
        <v>45509.74121527778</v>
      </c>
      <c r="C944" s="1" t="n">
        <v>45966</v>
      </c>
      <c r="D944" t="inlineStr">
        <is>
          <t>VÄSTERNORRLANDS LÄN</t>
        </is>
      </c>
      <c r="E944" t="inlineStr">
        <is>
          <t>ÅNGE</t>
        </is>
      </c>
      <c r="G944" t="n">
        <v>4.5</v>
      </c>
      <c r="H944" t="n">
        <v>0</v>
      </c>
      <c r="I944" t="n">
        <v>0</v>
      </c>
      <c r="J944" t="n">
        <v>0</v>
      </c>
      <c r="K944" t="n">
        <v>0</v>
      </c>
      <c r="L944" t="n">
        <v>0</v>
      </c>
      <c r="M944" t="n">
        <v>0</v>
      </c>
      <c r="N944" t="n">
        <v>0</v>
      </c>
      <c r="O944" t="n">
        <v>0</v>
      </c>
      <c r="P944" t="n">
        <v>0</v>
      </c>
      <c r="Q944" t="n">
        <v>0</v>
      </c>
      <c r="R944" s="2" t="inlineStr"/>
    </row>
    <row r="945" ht="15" customHeight="1">
      <c r="A945" t="inlineStr">
        <is>
          <t>A 25273-2025</t>
        </is>
      </c>
      <c r="B945" s="1" t="n">
        <v>45800.55253472222</v>
      </c>
      <c r="C945" s="1" t="n">
        <v>45966</v>
      </c>
      <c r="D945" t="inlineStr">
        <is>
          <t>VÄSTERNORRLANDS LÄN</t>
        </is>
      </c>
      <c r="E945" t="inlineStr">
        <is>
          <t>ÅNGE</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24231-2024</t>
        </is>
      </c>
      <c r="B946" s="1" t="n">
        <v>45457.34393518518</v>
      </c>
      <c r="C946" s="1" t="n">
        <v>45966</v>
      </c>
      <c r="D946" t="inlineStr">
        <is>
          <t>VÄSTERNORRLANDS LÄN</t>
        </is>
      </c>
      <c r="E946" t="inlineStr">
        <is>
          <t>ÅNGE</t>
        </is>
      </c>
      <c r="F946" t="inlineStr">
        <is>
          <t>Sveaskog</t>
        </is>
      </c>
      <c r="G946" t="n">
        <v>7</v>
      </c>
      <c r="H946" t="n">
        <v>0</v>
      </c>
      <c r="I946" t="n">
        <v>0</v>
      </c>
      <c r="J946" t="n">
        <v>0</v>
      </c>
      <c r="K946" t="n">
        <v>0</v>
      </c>
      <c r="L946" t="n">
        <v>0</v>
      </c>
      <c r="M946" t="n">
        <v>0</v>
      </c>
      <c r="N946" t="n">
        <v>0</v>
      </c>
      <c r="O946" t="n">
        <v>0</v>
      </c>
      <c r="P946" t="n">
        <v>0</v>
      </c>
      <c r="Q946" t="n">
        <v>0</v>
      </c>
      <c r="R946" s="2" t="inlineStr"/>
    </row>
    <row r="947" ht="15" customHeight="1">
      <c r="A947" t="inlineStr">
        <is>
          <t>A 25332-2025</t>
        </is>
      </c>
      <c r="B947" s="1" t="n">
        <v>45800.59418981482</v>
      </c>
      <c r="C947" s="1" t="n">
        <v>45966</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2984-2025</t>
        </is>
      </c>
      <c r="B948" s="1" t="n">
        <v>45678.51094907407</v>
      </c>
      <c r="C948" s="1" t="n">
        <v>45966</v>
      </c>
      <c r="D948" t="inlineStr">
        <is>
          <t>VÄSTERNORRLANDS LÄN</t>
        </is>
      </c>
      <c r="E948" t="inlineStr">
        <is>
          <t>ÅNGE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25772-2025</t>
        </is>
      </c>
      <c r="B949" s="1" t="n">
        <v>45804.34520833333</v>
      </c>
      <c r="C949" s="1" t="n">
        <v>45966</v>
      </c>
      <c r="D949" t="inlineStr">
        <is>
          <t>VÄSTERNORRLANDS LÄN</t>
        </is>
      </c>
      <c r="E949" t="inlineStr">
        <is>
          <t>ÅNGE</t>
        </is>
      </c>
      <c r="F949" t="inlineStr">
        <is>
          <t>SCA</t>
        </is>
      </c>
      <c r="G949" t="n">
        <v>4.7</v>
      </c>
      <c r="H949" t="n">
        <v>0</v>
      </c>
      <c r="I949" t="n">
        <v>0</v>
      </c>
      <c r="J949" t="n">
        <v>0</v>
      </c>
      <c r="K949" t="n">
        <v>0</v>
      </c>
      <c r="L949" t="n">
        <v>0</v>
      </c>
      <c r="M949" t="n">
        <v>0</v>
      </c>
      <c r="N949" t="n">
        <v>0</v>
      </c>
      <c r="O949" t="n">
        <v>0</v>
      </c>
      <c r="P949" t="n">
        <v>0</v>
      </c>
      <c r="Q949" t="n">
        <v>0</v>
      </c>
      <c r="R949" s="2" t="inlineStr"/>
    </row>
    <row r="950" ht="15" customHeight="1">
      <c r="A950" t="inlineStr">
        <is>
          <t>A 21262-2025</t>
        </is>
      </c>
      <c r="B950" s="1" t="n">
        <v>45779</v>
      </c>
      <c r="C950" s="1" t="n">
        <v>45966</v>
      </c>
      <c r="D950" t="inlineStr">
        <is>
          <t>VÄSTERNORRLANDS LÄN</t>
        </is>
      </c>
      <c r="E950" t="inlineStr">
        <is>
          <t>ÅNGE</t>
        </is>
      </c>
      <c r="F950" t="inlineStr">
        <is>
          <t>Sveaskog</t>
        </is>
      </c>
      <c r="G950" t="n">
        <v>9</v>
      </c>
      <c r="H950" t="n">
        <v>0</v>
      </c>
      <c r="I950" t="n">
        <v>0</v>
      </c>
      <c r="J950" t="n">
        <v>0</v>
      </c>
      <c r="K950" t="n">
        <v>0</v>
      </c>
      <c r="L950" t="n">
        <v>0</v>
      </c>
      <c r="M950" t="n">
        <v>0</v>
      </c>
      <c r="N950" t="n">
        <v>0</v>
      </c>
      <c r="O950" t="n">
        <v>0</v>
      </c>
      <c r="P950" t="n">
        <v>0</v>
      </c>
      <c r="Q950" t="n">
        <v>0</v>
      </c>
      <c r="R950" s="2" t="inlineStr"/>
    </row>
    <row r="951" ht="15" customHeight="1">
      <c r="A951" t="inlineStr">
        <is>
          <t>A 3133-2024</t>
        </is>
      </c>
      <c r="B951" s="1" t="n">
        <v>45316.55885416667</v>
      </c>
      <c r="C951" s="1" t="n">
        <v>45966</v>
      </c>
      <c r="D951" t="inlineStr">
        <is>
          <t>VÄSTERNORRLANDS LÄN</t>
        </is>
      </c>
      <c r="E951" t="inlineStr">
        <is>
          <t>ÅNGE</t>
        </is>
      </c>
      <c r="F951" t="inlineStr">
        <is>
          <t>Holmen skog AB</t>
        </is>
      </c>
      <c r="G951" t="n">
        <v>1.1</v>
      </c>
      <c r="H951" t="n">
        <v>0</v>
      </c>
      <c r="I951" t="n">
        <v>0</v>
      </c>
      <c r="J951" t="n">
        <v>0</v>
      </c>
      <c r="K951" t="n">
        <v>0</v>
      </c>
      <c r="L951" t="n">
        <v>0</v>
      </c>
      <c r="M951" t="n">
        <v>0</v>
      </c>
      <c r="N951" t="n">
        <v>0</v>
      </c>
      <c r="O951" t="n">
        <v>0</v>
      </c>
      <c r="P951" t="n">
        <v>0</v>
      </c>
      <c r="Q951" t="n">
        <v>0</v>
      </c>
      <c r="R951" s="2" t="inlineStr"/>
    </row>
    <row r="952" ht="15" customHeight="1">
      <c r="A952" t="inlineStr">
        <is>
          <t>A 36290-2023</t>
        </is>
      </c>
      <c r="B952" s="1" t="n">
        <v>45152.35467592593</v>
      </c>
      <c r="C952" s="1" t="n">
        <v>45966</v>
      </c>
      <c r="D952" t="inlineStr">
        <is>
          <t>VÄSTERNORRLANDS LÄN</t>
        </is>
      </c>
      <c r="E952" t="inlineStr">
        <is>
          <t>ÅNGE</t>
        </is>
      </c>
      <c r="F952" t="inlineStr">
        <is>
          <t>Övriga Aktiebolag</t>
        </is>
      </c>
      <c r="G952" t="n">
        <v>3.4</v>
      </c>
      <c r="H952" t="n">
        <v>0</v>
      </c>
      <c r="I952" t="n">
        <v>0</v>
      </c>
      <c r="J952" t="n">
        <v>0</v>
      </c>
      <c r="K952" t="n">
        <v>0</v>
      </c>
      <c r="L952" t="n">
        <v>0</v>
      </c>
      <c r="M952" t="n">
        <v>0</v>
      </c>
      <c r="N952" t="n">
        <v>0</v>
      </c>
      <c r="O952" t="n">
        <v>0</v>
      </c>
      <c r="P952" t="n">
        <v>0</v>
      </c>
      <c r="Q952" t="n">
        <v>0</v>
      </c>
      <c r="R952" s="2" t="inlineStr"/>
    </row>
    <row r="953" ht="15" customHeight="1">
      <c r="A953" t="inlineStr">
        <is>
          <t>A 15863-2022</t>
        </is>
      </c>
      <c r="B953" s="1" t="n">
        <v>44664</v>
      </c>
      <c r="C953" s="1" t="n">
        <v>45966</v>
      </c>
      <c r="D953" t="inlineStr">
        <is>
          <t>VÄSTERNORRLANDS LÄN</t>
        </is>
      </c>
      <c r="E953" t="inlineStr">
        <is>
          <t>ÅNGE</t>
        </is>
      </c>
      <c r="G953" t="n">
        <v>3.6</v>
      </c>
      <c r="H953" t="n">
        <v>0</v>
      </c>
      <c r="I953" t="n">
        <v>0</v>
      </c>
      <c r="J953" t="n">
        <v>0</v>
      </c>
      <c r="K953" t="n">
        <v>0</v>
      </c>
      <c r="L953" t="n">
        <v>0</v>
      </c>
      <c r="M953" t="n">
        <v>0</v>
      </c>
      <c r="N953" t="n">
        <v>0</v>
      </c>
      <c r="O953" t="n">
        <v>0</v>
      </c>
      <c r="P953" t="n">
        <v>0</v>
      </c>
      <c r="Q953" t="n">
        <v>0</v>
      </c>
      <c r="R953" s="2" t="inlineStr"/>
    </row>
    <row r="954" ht="15" customHeight="1">
      <c r="A954" t="inlineStr">
        <is>
          <t>A 25810-2025</t>
        </is>
      </c>
      <c r="B954" s="1" t="n">
        <v>45804.42083333333</v>
      </c>
      <c r="C954" s="1" t="n">
        <v>45966</v>
      </c>
      <c r="D954" t="inlineStr">
        <is>
          <t>VÄSTERNORRLANDS LÄN</t>
        </is>
      </c>
      <c r="E954" t="inlineStr">
        <is>
          <t>ÅNGE</t>
        </is>
      </c>
      <c r="G954" t="n">
        <v>6.2</v>
      </c>
      <c r="H954" t="n">
        <v>0</v>
      </c>
      <c r="I954" t="n">
        <v>0</v>
      </c>
      <c r="J954" t="n">
        <v>0</v>
      </c>
      <c r="K954" t="n">
        <v>0</v>
      </c>
      <c r="L954" t="n">
        <v>0</v>
      </c>
      <c r="M954" t="n">
        <v>0</v>
      </c>
      <c r="N954" t="n">
        <v>0</v>
      </c>
      <c r="O954" t="n">
        <v>0</v>
      </c>
      <c r="P954" t="n">
        <v>0</v>
      </c>
      <c r="Q954" t="n">
        <v>0</v>
      </c>
      <c r="R954" s="2" t="inlineStr"/>
    </row>
    <row r="955" ht="15" customHeight="1">
      <c r="A955" t="inlineStr">
        <is>
          <t>A 56569-2024</t>
        </is>
      </c>
      <c r="B955" s="1" t="n">
        <v>45625</v>
      </c>
      <c r="C955" s="1" t="n">
        <v>45966</v>
      </c>
      <c r="D955" t="inlineStr">
        <is>
          <t>VÄSTERNORRLANDS LÄN</t>
        </is>
      </c>
      <c r="E955" t="inlineStr">
        <is>
          <t>ÅNGE</t>
        </is>
      </c>
      <c r="G955" t="n">
        <v>4.8</v>
      </c>
      <c r="H955" t="n">
        <v>0</v>
      </c>
      <c r="I955" t="n">
        <v>0</v>
      </c>
      <c r="J955" t="n">
        <v>0</v>
      </c>
      <c r="K955" t="n">
        <v>0</v>
      </c>
      <c r="L955" t="n">
        <v>0</v>
      </c>
      <c r="M955" t="n">
        <v>0</v>
      </c>
      <c r="N955" t="n">
        <v>0</v>
      </c>
      <c r="O955" t="n">
        <v>0</v>
      </c>
      <c r="P955" t="n">
        <v>0</v>
      </c>
      <c r="Q955" t="n">
        <v>0</v>
      </c>
      <c r="R955" s="2" t="inlineStr"/>
    </row>
    <row r="956" ht="15" customHeight="1">
      <c r="A956" t="inlineStr">
        <is>
          <t>A 26193-2025</t>
        </is>
      </c>
      <c r="B956" s="1" t="n">
        <v>45805.48922453704</v>
      </c>
      <c r="C956" s="1" t="n">
        <v>45966</v>
      </c>
      <c r="D956" t="inlineStr">
        <is>
          <t>VÄSTERNORRLANDS LÄN</t>
        </is>
      </c>
      <c r="E956" t="inlineStr">
        <is>
          <t>ÅNGE</t>
        </is>
      </c>
      <c r="G956" t="n">
        <v>2.3</v>
      </c>
      <c r="H956" t="n">
        <v>0</v>
      </c>
      <c r="I956" t="n">
        <v>0</v>
      </c>
      <c r="J956" t="n">
        <v>0</v>
      </c>
      <c r="K956" t="n">
        <v>0</v>
      </c>
      <c r="L956" t="n">
        <v>0</v>
      </c>
      <c r="M956" t="n">
        <v>0</v>
      </c>
      <c r="N956" t="n">
        <v>0</v>
      </c>
      <c r="O956" t="n">
        <v>0</v>
      </c>
      <c r="P956" t="n">
        <v>0</v>
      </c>
      <c r="Q956" t="n">
        <v>0</v>
      </c>
      <c r="R956" s="2" t="inlineStr"/>
    </row>
    <row r="957" ht="15" customHeight="1">
      <c r="A957" t="inlineStr">
        <is>
          <t>A 26365-2025</t>
        </is>
      </c>
      <c r="B957" s="1" t="n">
        <v>45806.34412037037</v>
      </c>
      <c r="C957" s="1" t="n">
        <v>45966</v>
      </c>
      <c r="D957" t="inlineStr">
        <is>
          <t>VÄSTERNORRLANDS LÄN</t>
        </is>
      </c>
      <c r="E957" t="inlineStr">
        <is>
          <t>ÅNGE</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30273-2023</t>
        </is>
      </c>
      <c r="B958" s="1" t="n">
        <v>45099</v>
      </c>
      <c r="C958" s="1" t="n">
        <v>45966</v>
      </c>
      <c r="D958" t="inlineStr">
        <is>
          <t>VÄSTERNORRLANDS LÄN</t>
        </is>
      </c>
      <c r="E958" t="inlineStr">
        <is>
          <t>ÅNGE</t>
        </is>
      </c>
      <c r="G958" t="n">
        <v>3.9</v>
      </c>
      <c r="H958" t="n">
        <v>0</v>
      </c>
      <c r="I958" t="n">
        <v>0</v>
      </c>
      <c r="J958" t="n">
        <v>0</v>
      </c>
      <c r="K958" t="n">
        <v>0</v>
      </c>
      <c r="L958" t="n">
        <v>0</v>
      </c>
      <c r="M958" t="n">
        <v>0</v>
      </c>
      <c r="N958" t="n">
        <v>0</v>
      </c>
      <c r="O958" t="n">
        <v>0</v>
      </c>
      <c r="P958" t="n">
        <v>0</v>
      </c>
      <c r="Q958" t="n">
        <v>0</v>
      </c>
      <c r="R958" s="2" t="inlineStr"/>
    </row>
    <row r="959" ht="15" customHeight="1">
      <c r="A959" t="inlineStr">
        <is>
          <t>A 26389-2025</t>
        </is>
      </c>
      <c r="B959" s="1" t="n">
        <v>45806.51078703703</v>
      </c>
      <c r="C959" s="1" t="n">
        <v>45966</v>
      </c>
      <c r="D959" t="inlineStr">
        <is>
          <t>VÄSTERNORRLANDS LÄN</t>
        </is>
      </c>
      <c r="E959" t="inlineStr">
        <is>
          <t>ÅNGE</t>
        </is>
      </c>
      <c r="F959" t="inlineStr">
        <is>
          <t>SCA</t>
        </is>
      </c>
      <c r="G959" t="n">
        <v>11.9</v>
      </c>
      <c r="H959" t="n">
        <v>0</v>
      </c>
      <c r="I959" t="n">
        <v>0</v>
      </c>
      <c r="J959" t="n">
        <v>0</v>
      </c>
      <c r="K959" t="n">
        <v>0</v>
      </c>
      <c r="L959" t="n">
        <v>0</v>
      </c>
      <c r="M959" t="n">
        <v>0</v>
      </c>
      <c r="N959" t="n">
        <v>0</v>
      </c>
      <c r="O959" t="n">
        <v>0</v>
      </c>
      <c r="P959" t="n">
        <v>0</v>
      </c>
      <c r="Q959" t="n">
        <v>0</v>
      </c>
      <c r="R959" s="2" t="inlineStr"/>
    </row>
    <row r="960" ht="15" customHeight="1">
      <c r="A960" t="inlineStr">
        <is>
          <t>A 26388-2025</t>
        </is>
      </c>
      <c r="B960" s="1" t="n">
        <v>45806.51069444444</v>
      </c>
      <c r="C960" s="1" t="n">
        <v>45966</v>
      </c>
      <c r="D960" t="inlineStr">
        <is>
          <t>VÄSTERNORRLANDS LÄN</t>
        </is>
      </c>
      <c r="E960" t="inlineStr">
        <is>
          <t>ÅNGE</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26366-2025</t>
        </is>
      </c>
      <c r="B961" s="1" t="n">
        <v>45806.34424768519</v>
      </c>
      <c r="C961" s="1" t="n">
        <v>45966</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29048-2021</t>
        </is>
      </c>
      <c r="B962" s="1" t="n">
        <v>44358</v>
      </c>
      <c r="C962" s="1" t="n">
        <v>45966</v>
      </c>
      <c r="D962" t="inlineStr">
        <is>
          <t>VÄSTERNORRLANDS LÄN</t>
        </is>
      </c>
      <c r="E962" t="inlineStr">
        <is>
          <t>ÅNGE</t>
        </is>
      </c>
      <c r="G962" t="n">
        <v>2.5</v>
      </c>
      <c r="H962" t="n">
        <v>0</v>
      </c>
      <c r="I962" t="n">
        <v>0</v>
      </c>
      <c r="J962" t="n">
        <v>0</v>
      </c>
      <c r="K962" t="n">
        <v>0</v>
      </c>
      <c r="L962" t="n">
        <v>0</v>
      </c>
      <c r="M962" t="n">
        <v>0</v>
      </c>
      <c r="N962" t="n">
        <v>0</v>
      </c>
      <c r="O962" t="n">
        <v>0</v>
      </c>
      <c r="P962" t="n">
        <v>0</v>
      </c>
      <c r="Q962" t="n">
        <v>0</v>
      </c>
      <c r="R962" s="2" t="inlineStr"/>
    </row>
    <row r="963" ht="15" customHeight="1">
      <c r="A963" t="inlineStr">
        <is>
          <t>A 26734-2025</t>
        </is>
      </c>
      <c r="B963" s="1" t="n">
        <v>45810.51087962963</v>
      </c>
      <c r="C963" s="1" t="n">
        <v>45966</v>
      </c>
      <c r="D963" t="inlineStr">
        <is>
          <t>VÄSTERNORRLANDS LÄN</t>
        </is>
      </c>
      <c r="E963" t="inlineStr">
        <is>
          <t>ÅNGE</t>
        </is>
      </c>
      <c r="G963" t="n">
        <v>1.5</v>
      </c>
      <c r="H963" t="n">
        <v>0</v>
      </c>
      <c r="I963" t="n">
        <v>0</v>
      </c>
      <c r="J963" t="n">
        <v>0</v>
      </c>
      <c r="K963" t="n">
        <v>0</v>
      </c>
      <c r="L963" t="n">
        <v>0</v>
      </c>
      <c r="M963" t="n">
        <v>0</v>
      </c>
      <c r="N963" t="n">
        <v>0</v>
      </c>
      <c r="O963" t="n">
        <v>0</v>
      </c>
      <c r="P963" t="n">
        <v>0</v>
      </c>
      <c r="Q963" t="n">
        <v>0</v>
      </c>
      <c r="R963" s="2" t="inlineStr"/>
    </row>
    <row r="964" ht="15" customHeight="1">
      <c r="A964" t="inlineStr">
        <is>
          <t>A 53663-2022</t>
        </is>
      </c>
      <c r="B964" s="1" t="n">
        <v>44879</v>
      </c>
      <c r="C964" s="1" t="n">
        <v>45966</v>
      </c>
      <c r="D964" t="inlineStr">
        <is>
          <t>VÄSTERNORRLANDS LÄN</t>
        </is>
      </c>
      <c r="E964" t="inlineStr">
        <is>
          <t>ÅNGE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10089-2023</t>
        </is>
      </c>
      <c r="B965" s="1" t="n">
        <v>44985</v>
      </c>
      <c r="C965" s="1" t="n">
        <v>45966</v>
      </c>
      <c r="D965" t="inlineStr">
        <is>
          <t>VÄSTERNORRLANDS LÄN</t>
        </is>
      </c>
      <c r="E965" t="inlineStr">
        <is>
          <t>ÅNGE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10090-2023</t>
        </is>
      </c>
      <c r="B966" s="1" t="n">
        <v>44985.94511574074</v>
      </c>
      <c r="C966" s="1" t="n">
        <v>45966</v>
      </c>
      <c r="D966" t="inlineStr">
        <is>
          <t>VÄSTERNORRLANDS LÄN</t>
        </is>
      </c>
      <c r="E966" t="inlineStr">
        <is>
          <t>ÅNGE</t>
        </is>
      </c>
      <c r="F966" t="inlineStr">
        <is>
          <t>SCA</t>
        </is>
      </c>
      <c r="G966" t="n">
        <v>8.4</v>
      </c>
      <c r="H966" t="n">
        <v>0</v>
      </c>
      <c r="I966" t="n">
        <v>0</v>
      </c>
      <c r="J966" t="n">
        <v>0</v>
      </c>
      <c r="K966" t="n">
        <v>0</v>
      </c>
      <c r="L966" t="n">
        <v>0</v>
      </c>
      <c r="M966" t="n">
        <v>0</v>
      </c>
      <c r="N966" t="n">
        <v>0</v>
      </c>
      <c r="O966" t="n">
        <v>0</v>
      </c>
      <c r="P966" t="n">
        <v>0</v>
      </c>
      <c r="Q966" t="n">
        <v>0</v>
      </c>
      <c r="R966" s="2" t="inlineStr"/>
    </row>
    <row r="967" ht="15" customHeight="1">
      <c r="A967" t="inlineStr">
        <is>
          <t>A 26901-2025</t>
        </is>
      </c>
      <c r="B967" s="1" t="n">
        <v>45811.34457175926</v>
      </c>
      <c r="C967" s="1" t="n">
        <v>45966</v>
      </c>
      <c r="D967" t="inlineStr">
        <is>
          <t>VÄSTERNORRLANDS LÄN</t>
        </is>
      </c>
      <c r="E967" t="inlineStr">
        <is>
          <t>ÅNGE</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26655-2025</t>
        </is>
      </c>
      <c r="B968" s="1" t="n">
        <v>45810.39047453704</v>
      </c>
      <c r="C968" s="1" t="n">
        <v>45966</v>
      </c>
      <c r="D968" t="inlineStr">
        <is>
          <t>VÄSTERNORRLANDS LÄN</t>
        </is>
      </c>
      <c r="E968" t="inlineStr">
        <is>
          <t>ÅNGE</t>
        </is>
      </c>
      <c r="G968" t="n">
        <v>0.6</v>
      </c>
      <c r="H968" t="n">
        <v>0</v>
      </c>
      <c r="I968" t="n">
        <v>0</v>
      </c>
      <c r="J968" t="n">
        <v>0</v>
      </c>
      <c r="K968" t="n">
        <v>0</v>
      </c>
      <c r="L968" t="n">
        <v>0</v>
      </c>
      <c r="M968" t="n">
        <v>0</v>
      </c>
      <c r="N968" t="n">
        <v>0</v>
      </c>
      <c r="O968" t="n">
        <v>0</v>
      </c>
      <c r="P968" t="n">
        <v>0</v>
      </c>
      <c r="Q968" t="n">
        <v>0</v>
      </c>
      <c r="R968" s="2" t="inlineStr"/>
    </row>
    <row r="969" ht="15" customHeight="1">
      <c r="A969" t="inlineStr">
        <is>
          <t>A 14889-2022</t>
        </is>
      </c>
      <c r="B969" s="1" t="n">
        <v>44656</v>
      </c>
      <c r="C969" s="1" t="n">
        <v>45966</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5931-2025</t>
        </is>
      </c>
      <c r="B970" s="1" t="n">
        <v>45695.44827546296</v>
      </c>
      <c r="C970" s="1" t="n">
        <v>45966</v>
      </c>
      <c r="D970" t="inlineStr">
        <is>
          <t>VÄSTERNORRLANDS LÄN</t>
        </is>
      </c>
      <c r="E970" t="inlineStr">
        <is>
          <t>ÅNGE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19997-2023</t>
        </is>
      </c>
      <c r="B971" s="1" t="n">
        <v>45054</v>
      </c>
      <c r="C971" s="1" t="n">
        <v>45966</v>
      </c>
      <c r="D971" t="inlineStr">
        <is>
          <t>VÄSTERNORRLANDS LÄN</t>
        </is>
      </c>
      <c r="E971" t="inlineStr">
        <is>
          <t>ÅNGE</t>
        </is>
      </c>
      <c r="G971" t="n">
        <v>0.3</v>
      </c>
      <c r="H971" t="n">
        <v>0</v>
      </c>
      <c r="I971" t="n">
        <v>0</v>
      </c>
      <c r="J971" t="n">
        <v>0</v>
      </c>
      <c r="K971" t="n">
        <v>0</v>
      </c>
      <c r="L971" t="n">
        <v>0</v>
      </c>
      <c r="M971" t="n">
        <v>0</v>
      </c>
      <c r="N971" t="n">
        <v>0</v>
      </c>
      <c r="O971" t="n">
        <v>0</v>
      </c>
      <c r="P971" t="n">
        <v>0</v>
      </c>
      <c r="Q971" t="n">
        <v>0</v>
      </c>
      <c r="R971" s="2" t="inlineStr"/>
    </row>
    <row r="972" ht="15" customHeight="1">
      <c r="A972" t="inlineStr">
        <is>
          <t>A 26608-2025</t>
        </is>
      </c>
      <c r="B972" s="1" t="n">
        <v>45809.98600694445</v>
      </c>
      <c r="C972" s="1" t="n">
        <v>45966</v>
      </c>
      <c r="D972" t="inlineStr">
        <is>
          <t>VÄSTERNORRLANDS LÄN</t>
        </is>
      </c>
      <c r="E972" t="inlineStr">
        <is>
          <t>ÅNGE</t>
        </is>
      </c>
      <c r="G972" t="n">
        <v>4.5</v>
      </c>
      <c r="H972" t="n">
        <v>0</v>
      </c>
      <c r="I972" t="n">
        <v>0</v>
      </c>
      <c r="J972" t="n">
        <v>0</v>
      </c>
      <c r="K972" t="n">
        <v>0</v>
      </c>
      <c r="L972" t="n">
        <v>0</v>
      </c>
      <c r="M972" t="n">
        <v>0</v>
      </c>
      <c r="N972" t="n">
        <v>0</v>
      </c>
      <c r="O972" t="n">
        <v>0</v>
      </c>
      <c r="P972" t="n">
        <v>0</v>
      </c>
      <c r="Q972" t="n">
        <v>0</v>
      </c>
      <c r="R972" s="2" t="inlineStr"/>
    </row>
    <row r="973" ht="15" customHeight="1">
      <c r="A973" t="inlineStr">
        <is>
          <t>A 38284-2022</t>
        </is>
      </c>
      <c r="B973" s="1" t="n">
        <v>44812.55149305556</v>
      </c>
      <c r="C973" s="1" t="n">
        <v>45966</v>
      </c>
      <c r="D973" t="inlineStr">
        <is>
          <t>VÄSTERNORRLANDS LÄN</t>
        </is>
      </c>
      <c r="E973" t="inlineStr">
        <is>
          <t>ÅNGE</t>
        </is>
      </c>
      <c r="G973" t="n">
        <v>2.4</v>
      </c>
      <c r="H973" t="n">
        <v>0</v>
      </c>
      <c r="I973" t="n">
        <v>0</v>
      </c>
      <c r="J973" t="n">
        <v>0</v>
      </c>
      <c r="K973" t="n">
        <v>0</v>
      </c>
      <c r="L973" t="n">
        <v>0</v>
      </c>
      <c r="M973" t="n">
        <v>0</v>
      </c>
      <c r="N973" t="n">
        <v>0</v>
      </c>
      <c r="O973" t="n">
        <v>0</v>
      </c>
      <c r="P973" t="n">
        <v>0</v>
      </c>
      <c r="Q973" t="n">
        <v>0</v>
      </c>
      <c r="R973" s="2" t="inlineStr"/>
    </row>
    <row r="974" ht="15" customHeight="1">
      <c r="A974" t="inlineStr">
        <is>
          <t>A 27023-2025</t>
        </is>
      </c>
      <c r="B974" s="1" t="n">
        <v>45811.57342592593</v>
      </c>
      <c r="C974" s="1" t="n">
        <v>45966</v>
      </c>
      <c r="D974" t="inlineStr">
        <is>
          <t>VÄSTERNORRLANDS LÄN</t>
        </is>
      </c>
      <c r="E974" t="inlineStr">
        <is>
          <t>ÅNGE</t>
        </is>
      </c>
      <c r="G974" t="n">
        <v>0.3</v>
      </c>
      <c r="H974" t="n">
        <v>0</v>
      </c>
      <c r="I974" t="n">
        <v>0</v>
      </c>
      <c r="J974" t="n">
        <v>0</v>
      </c>
      <c r="K974" t="n">
        <v>0</v>
      </c>
      <c r="L974" t="n">
        <v>0</v>
      </c>
      <c r="M974" t="n">
        <v>0</v>
      </c>
      <c r="N974" t="n">
        <v>0</v>
      </c>
      <c r="O974" t="n">
        <v>0</v>
      </c>
      <c r="P974" t="n">
        <v>0</v>
      </c>
      <c r="Q974" t="n">
        <v>0</v>
      </c>
      <c r="R974" s="2" t="inlineStr"/>
    </row>
    <row r="975" ht="15" customHeight="1">
      <c r="A975" t="inlineStr">
        <is>
          <t>A 36790-2023</t>
        </is>
      </c>
      <c r="B975" s="1" t="n">
        <v>45154.36418981481</v>
      </c>
      <c r="C975" s="1" t="n">
        <v>45966</v>
      </c>
      <c r="D975" t="inlineStr">
        <is>
          <t>VÄSTERNORRLANDS LÄN</t>
        </is>
      </c>
      <c r="E975" t="inlineStr">
        <is>
          <t>ÅNGE</t>
        </is>
      </c>
      <c r="G975" t="n">
        <v>1.4</v>
      </c>
      <c r="H975" t="n">
        <v>0</v>
      </c>
      <c r="I975" t="n">
        <v>0</v>
      </c>
      <c r="J975" t="n">
        <v>0</v>
      </c>
      <c r="K975" t="n">
        <v>0</v>
      </c>
      <c r="L975" t="n">
        <v>0</v>
      </c>
      <c r="M975" t="n">
        <v>0</v>
      </c>
      <c r="N975" t="n">
        <v>0</v>
      </c>
      <c r="O975" t="n">
        <v>0</v>
      </c>
      <c r="P975" t="n">
        <v>0</v>
      </c>
      <c r="Q975" t="n">
        <v>0</v>
      </c>
      <c r="R975" s="2" t="inlineStr"/>
    </row>
    <row r="976" ht="15" customHeight="1">
      <c r="A976" t="inlineStr">
        <is>
          <t>A 42242-2023</t>
        </is>
      </c>
      <c r="B976" s="1" t="n">
        <v>45180.35025462963</v>
      </c>
      <c r="C976" s="1" t="n">
        <v>45966</v>
      </c>
      <c r="D976" t="inlineStr">
        <is>
          <t>VÄSTERNORRLANDS LÄN</t>
        </is>
      </c>
      <c r="E976" t="inlineStr">
        <is>
          <t>ÅNGE</t>
        </is>
      </c>
      <c r="G976" t="n">
        <v>5.7</v>
      </c>
      <c r="H976" t="n">
        <v>0</v>
      </c>
      <c r="I976" t="n">
        <v>0</v>
      </c>
      <c r="J976" t="n">
        <v>0</v>
      </c>
      <c r="K976" t="n">
        <v>0</v>
      </c>
      <c r="L976" t="n">
        <v>0</v>
      </c>
      <c r="M976" t="n">
        <v>0</v>
      </c>
      <c r="N976" t="n">
        <v>0</v>
      </c>
      <c r="O976" t="n">
        <v>0</v>
      </c>
      <c r="P976" t="n">
        <v>0</v>
      </c>
      <c r="Q976" t="n">
        <v>0</v>
      </c>
      <c r="R976" s="2" t="inlineStr"/>
    </row>
    <row r="977" ht="15" customHeight="1">
      <c r="A977" t="inlineStr">
        <is>
          <t>A 25973-2022</t>
        </is>
      </c>
      <c r="B977" s="1" t="n">
        <v>44734</v>
      </c>
      <c r="C977" s="1" t="n">
        <v>45966</v>
      </c>
      <c r="D977" t="inlineStr">
        <is>
          <t>VÄSTERNORRLANDS LÄN</t>
        </is>
      </c>
      <c r="E977" t="inlineStr">
        <is>
          <t>ÅNGE</t>
        </is>
      </c>
      <c r="G977" t="n">
        <v>4.1</v>
      </c>
      <c r="H977" t="n">
        <v>0</v>
      </c>
      <c r="I977" t="n">
        <v>0</v>
      </c>
      <c r="J977" t="n">
        <v>0</v>
      </c>
      <c r="K977" t="n">
        <v>0</v>
      </c>
      <c r="L977" t="n">
        <v>0</v>
      </c>
      <c r="M977" t="n">
        <v>0</v>
      </c>
      <c r="N977" t="n">
        <v>0</v>
      </c>
      <c r="O977" t="n">
        <v>0</v>
      </c>
      <c r="P977" t="n">
        <v>0</v>
      </c>
      <c r="Q977" t="n">
        <v>0</v>
      </c>
      <c r="R977" s="2" t="inlineStr"/>
    </row>
    <row r="978" ht="15" customHeight="1">
      <c r="A978" t="inlineStr">
        <is>
          <t>A 5393-2025</t>
        </is>
      </c>
      <c r="B978" s="1" t="n">
        <v>45692.63574074074</v>
      </c>
      <c r="C978" s="1" t="n">
        <v>45966</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57529-2024</t>
        </is>
      </c>
      <c r="B979" s="1" t="n">
        <v>45630</v>
      </c>
      <c r="C979" s="1" t="n">
        <v>45966</v>
      </c>
      <c r="D979" t="inlineStr">
        <is>
          <t>VÄSTERNORRLANDS LÄN</t>
        </is>
      </c>
      <c r="E979" t="inlineStr">
        <is>
          <t>ÅNGE</t>
        </is>
      </c>
      <c r="G979" t="n">
        <v>1.4</v>
      </c>
      <c r="H979" t="n">
        <v>0</v>
      </c>
      <c r="I979" t="n">
        <v>0</v>
      </c>
      <c r="J979" t="n">
        <v>0</v>
      </c>
      <c r="K979" t="n">
        <v>0</v>
      </c>
      <c r="L979" t="n">
        <v>0</v>
      </c>
      <c r="M979" t="n">
        <v>0</v>
      </c>
      <c r="N979" t="n">
        <v>0</v>
      </c>
      <c r="O979" t="n">
        <v>0</v>
      </c>
      <c r="P979" t="n">
        <v>0</v>
      </c>
      <c r="Q979" t="n">
        <v>0</v>
      </c>
      <c r="R979" s="2" t="inlineStr"/>
    </row>
    <row r="980" ht="15" customHeight="1">
      <c r="A980" t="inlineStr">
        <is>
          <t>A 1769-2023</t>
        </is>
      </c>
      <c r="B980" s="1" t="n">
        <v>44938.58025462963</v>
      </c>
      <c r="C980" s="1" t="n">
        <v>45966</v>
      </c>
      <c r="D980" t="inlineStr">
        <is>
          <t>VÄSTERNORRLANDS LÄN</t>
        </is>
      </c>
      <c r="E980" t="inlineStr">
        <is>
          <t>ÅNGE</t>
        </is>
      </c>
      <c r="G980" t="n">
        <v>1.3</v>
      </c>
      <c r="H980" t="n">
        <v>0</v>
      </c>
      <c r="I980" t="n">
        <v>0</v>
      </c>
      <c r="J980" t="n">
        <v>0</v>
      </c>
      <c r="K980" t="n">
        <v>0</v>
      </c>
      <c r="L980" t="n">
        <v>0</v>
      </c>
      <c r="M980" t="n">
        <v>0</v>
      </c>
      <c r="N980" t="n">
        <v>0</v>
      </c>
      <c r="O980" t="n">
        <v>0</v>
      </c>
      <c r="P980" t="n">
        <v>0</v>
      </c>
      <c r="Q980" t="n">
        <v>0</v>
      </c>
      <c r="R980" s="2" t="inlineStr"/>
    </row>
    <row r="981" ht="15" customHeight="1">
      <c r="A981" t="inlineStr">
        <is>
          <t>A 27164-2025</t>
        </is>
      </c>
      <c r="B981" s="1" t="n">
        <v>45812.34430555555</v>
      </c>
      <c r="C981" s="1" t="n">
        <v>45966</v>
      </c>
      <c r="D981" t="inlineStr">
        <is>
          <t>VÄSTERNORRLANDS LÄN</t>
        </is>
      </c>
      <c r="E981" t="inlineStr">
        <is>
          <t>ÅNGE</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32776-2022</t>
        </is>
      </c>
      <c r="B982" s="1" t="n">
        <v>44783.94607638889</v>
      </c>
      <c r="C982" s="1" t="n">
        <v>45966</v>
      </c>
      <c r="D982" t="inlineStr">
        <is>
          <t>VÄSTERNORRLANDS LÄN</t>
        </is>
      </c>
      <c r="E982" t="inlineStr">
        <is>
          <t>ÅNGE</t>
        </is>
      </c>
      <c r="F982" t="inlineStr">
        <is>
          <t>SCA</t>
        </is>
      </c>
      <c r="G982" t="n">
        <v>3.8</v>
      </c>
      <c r="H982" t="n">
        <v>0</v>
      </c>
      <c r="I982" t="n">
        <v>0</v>
      </c>
      <c r="J982" t="n">
        <v>0</v>
      </c>
      <c r="K982" t="n">
        <v>0</v>
      </c>
      <c r="L982" t="n">
        <v>0</v>
      </c>
      <c r="M982" t="n">
        <v>0</v>
      </c>
      <c r="N982" t="n">
        <v>0</v>
      </c>
      <c r="O982" t="n">
        <v>0</v>
      </c>
      <c r="P982" t="n">
        <v>0</v>
      </c>
      <c r="Q982" t="n">
        <v>0</v>
      </c>
      <c r="R982" s="2" t="inlineStr"/>
    </row>
    <row r="983" ht="15" customHeight="1">
      <c r="A983" t="inlineStr">
        <is>
          <t>A 27606-2025</t>
        </is>
      </c>
      <c r="B983" s="1" t="n">
        <v>45813.53200231482</v>
      </c>
      <c r="C983" s="1" t="n">
        <v>45966</v>
      </c>
      <c r="D983" t="inlineStr">
        <is>
          <t>VÄSTERNORRLANDS LÄN</t>
        </is>
      </c>
      <c r="E983" t="inlineStr">
        <is>
          <t>ÅNGE</t>
        </is>
      </c>
      <c r="F983" t="inlineStr">
        <is>
          <t>SCA</t>
        </is>
      </c>
      <c r="G983" t="n">
        <v>6.3</v>
      </c>
      <c r="H983" t="n">
        <v>0</v>
      </c>
      <c r="I983" t="n">
        <v>0</v>
      </c>
      <c r="J983" t="n">
        <v>0</v>
      </c>
      <c r="K983" t="n">
        <v>0</v>
      </c>
      <c r="L983" t="n">
        <v>0</v>
      </c>
      <c r="M983" t="n">
        <v>0</v>
      </c>
      <c r="N983" t="n">
        <v>0</v>
      </c>
      <c r="O983" t="n">
        <v>0</v>
      </c>
      <c r="P983" t="n">
        <v>0</v>
      </c>
      <c r="Q983" t="n">
        <v>0</v>
      </c>
      <c r="R983" s="2" t="inlineStr"/>
    </row>
    <row r="984" ht="15" customHeight="1">
      <c r="A984" t="inlineStr">
        <is>
          <t>A 17044-2023</t>
        </is>
      </c>
      <c r="B984" s="1" t="n">
        <v>45034</v>
      </c>
      <c r="C984" s="1" t="n">
        <v>45966</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33750-2024</t>
        </is>
      </c>
      <c r="B985" s="1" t="n">
        <v>45520.56475694444</v>
      </c>
      <c r="C985" s="1" t="n">
        <v>45966</v>
      </c>
      <c r="D985" t="inlineStr">
        <is>
          <t>VÄSTERNORRLANDS LÄN</t>
        </is>
      </c>
      <c r="E985" t="inlineStr">
        <is>
          <t>ÅNGE</t>
        </is>
      </c>
      <c r="G985" t="n">
        <v>1.3</v>
      </c>
      <c r="H985" t="n">
        <v>0</v>
      </c>
      <c r="I985" t="n">
        <v>0</v>
      </c>
      <c r="J985" t="n">
        <v>0</v>
      </c>
      <c r="K985" t="n">
        <v>0</v>
      </c>
      <c r="L985" t="n">
        <v>0</v>
      </c>
      <c r="M985" t="n">
        <v>0</v>
      </c>
      <c r="N985" t="n">
        <v>0</v>
      </c>
      <c r="O985" t="n">
        <v>0</v>
      </c>
      <c r="P985" t="n">
        <v>0</v>
      </c>
      <c r="Q985" t="n">
        <v>0</v>
      </c>
      <c r="R985" s="2" t="inlineStr"/>
    </row>
    <row r="986" ht="15" customHeight="1">
      <c r="A986" t="inlineStr">
        <is>
          <t>A 25779-2023</t>
        </is>
      </c>
      <c r="B986" s="1" t="n">
        <v>45090.47439814815</v>
      </c>
      <c r="C986" s="1" t="n">
        <v>45966</v>
      </c>
      <c r="D986" t="inlineStr">
        <is>
          <t>VÄSTERNORRLANDS LÄN</t>
        </is>
      </c>
      <c r="E986" t="inlineStr">
        <is>
          <t>ÅNGE</t>
        </is>
      </c>
      <c r="G986" t="n">
        <v>2.4</v>
      </c>
      <c r="H986" t="n">
        <v>0</v>
      </c>
      <c r="I986" t="n">
        <v>0</v>
      </c>
      <c r="J986" t="n">
        <v>0</v>
      </c>
      <c r="K986" t="n">
        <v>0</v>
      </c>
      <c r="L986" t="n">
        <v>0</v>
      </c>
      <c r="M986" t="n">
        <v>0</v>
      </c>
      <c r="N986" t="n">
        <v>0</v>
      </c>
      <c r="O986" t="n">
        <v>0</v>
      </c>
      <c r="P986" t="n">
        <v>0</v>
      </c>
      <c r="Q986" t="n">
        <v>0</v>
      </c>
      <c r="R986" s="2" t="inlineStr"/>
    </row>
    <row r="987" ht="15" customHeight="1">
      <c r="A987" t="inlineStr">
        <is>
          <t>A 23225-2024</t>
        </is>
      </c>
      <c r="B987" s="1" t="n">
        <v>45452.9490162037</v>
      </c>
      <c r="C987" s="1" t="n">
        <v>45966</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29696-2024</t>
        </is>
      </c>
      <c r="B988" s="1" t="n">
        <v>45484.94524305555</v>
      </c>
      <c r="C988" s="1" t="n">
        <v>45966</v>
      </c>
      <c r="D988" t="inlineStr">
        <is>
          <t>VÄSTERNORRLANDS LÄN</t>
        </is>
      </c>
      <c r="E988" t="inlineStr">
        <is>
          <t>ÅNGE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6462-2024</t>
        </is>
      </c>
      <c r="B989" s="1" t="n">
        <v>45338</v>
      </c>
      <c r="C989" s="1" t="n">
        <v>45966</v>
      </c>
      <c r="D989" t="inlineStr">
        <is>
          <t>VÄSTERNORRLANDS LÄN</t>
        </is>
      </c>
      <c r="E989" t="inlineStr">
        <is>
          <t>ÅNGE</t>
        </is>
      </c>
      <c r="F989" t="inlineStr">
        <is>
          <t>Kyrkan</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27639-2025</t>
        </is>
      </c>
      <c r="B990" s="1" t="n">
        <v>45813</v>
      </c>
      <c r="C990" s="1" t="n">
        <v>45966</v>
      </c>
      <c r="D990" t="inlineStr">
        <is>
          <t>VÄSTERNORRLANDS LÄN</t>
        </is>
      </c>
      <c r="E990" t="inlineStr">
        <is>
          <t>ÅNGE</t>
        </is>
      </c>
      <c r="G990" t="n">
        <v>22.9</v>
      </c>
      <c r="H990" t="n">
        <v>0</v>
      </c>
      <c r="I990" t="n">
        <v>0</v>
      </c>
      <c r="J990" t="n">
        <v>0</v>
      </c>
      <c r="K990" t="n">
        <v>0</v>
      </c>
      <c r="L990" t="n">
        <v>0</v>
      </c>
      <c r="M990" t="n">
        <v>0</v>
      </c>
      <c r="N990" t="n">
        <v>0</v>
      </c>
      <c r="O990" t="n">
        <v>0</v>
      </c>
      <c r="P990" t="n">
        <v>0</v>
      </c>
      <c r="Q990" t="n">
        <v>0</v>
      </c>
      <c r="R990" s="2" t="inlineStr"/>
    </row>
    <row r="991" ht="15" customHeight="1">
      <c r="A991" t="inlineStr">
        <is>
          <t>A 27572-2025</t>
        </is>
      </c>
      <c r="B991" s="1" t="n">
        <v>45813.49049768518</v>
      </c>
      <c r="C991" s="1" t="n">
        <v>45966</v>
      </c>
      <c r="D991" t="inlineStr">
        <is>
          <t>VÄSTERNORRLANDS LÄN</t>
        </is>
      </c>
      <c r="E991" t="inlineStr">
        <is>
          <t>ÅNGE</t>
        </is>
      </c>
      <c r="F991" t="inlineStr">
        <is>
          <t>SCA</t>
        </is>
      </c>
      <c r="G991" t="n">
        <v>14.3</v>
      </c>
      <c r="H991" t="n">
        <v>0</v>
      </c>
      <c r="I991" t="n">
        <v>0</v>
      </c>
      <c r="J991" t="n">
        <v>0</v>
      </c>
      <c r="K991" t="n">
        <v>0</v>
      </c>
      <c r="L991" t="n">
        <v>0</v>
      </c>
      <c r="M991" t="n">
        <v>0</v>
      </c>
      <c r="N991" t="n">
        <v>0</v>
      </c>
      <c r="O991" t="n">
        <v>0</v>
      </c>
      <c r="P991" t="n">
        <v>0</v>
      </c>
      <c r="Q991" t="n">
        <v>0</v>
      </c>
      <c r="R991" s="2" t="inlineStr"/>
    </row>
    <row r="992" ht="15" customHeight="1">
      <c r="A992" t="inlineStr">
        <is>
          <t>A 27165-2025</t>
        </is>
      </c>
      <c r="B992" s="1" t="n">
        <v>45812.34440972222</v>
      </c>
      <c r="C992" s="1" t="n">
        <v>45966</v>
      </c>
      <c r="D992" t="inlineStr">
        <is>
          <t>VÄSTERNORRLANDS LÄN</t>
        </is>
      </c>
      <c r="E992" t="inlineStr">
        <is>
          <t>ÅNGE</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27545-2025</t>
        </is>
      </c>
      <c r="B993" s="1" t="n">
        <v>45813.46942129629</v>
      </c>
      <c r="C993" s="1" t="n">
        <v>45966</v>
      </c>
      <c r="D993" t="inlineStr">
        <is>
          <t>VÄSTERNORRLANDS LÄN</t>
        </is>
      </c>
      <c r="E993" t="inlineStr">
        <is>
          <t>ÅNGE</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59222-2020</t>
        </is>
      </c>
      <c r="B994" s="1" t="n">
        <v>44147</v>
      </c>
      <c r="C994" s="1" t="n">
        <v>45966</v>
      </c>
      <c r="D994" t="inlineStr">
        <is>
          <t>VÄSTERNORRLANDS LÄN</t>
        </is>
      </c>
      <c r="E994" t="inlineStr">
        <is>
          <t>ÅNGE</t>
        </is>
      </c>
      <c r="G994" t="n">
        <v>7.6</v>
      </c>
      <c r="H994" t="n">
        <v>0</v>
      </c>
      <c r="I994" t="n">
        <v>0</v>
      </c>
      <c r="J994" t="n">
        <v>0</v>
      </c>
      <c r="K994" t="n">
        <v>0</v>
      </c>
      <c r="L994" t="n">
        <v>0</v>
      </c>
      <c r="M994" t="n">
        <v>0</v>
      </c>
      <c r="N994" t="n">
        <v>0</v>
      </c>
      <c r="O994" t="n">
        <v>0</v>
      </c>
      <c r="P994" t="n">
        <v>0</v>
      </c>
      <c r="Q994" t="n">
        <v>0</v>
      </c>
      <c r="R994" s="2" t="inlineStr"/>
    </row>
    <row r="995" ht="15" customHeight="1">
      <c r="A995" t="inlineStr">
        <is>
          <t>A 26018-2024</t>
        </is>
      </c>
      <c r="B995" s="1" t="n">
        <v>45467.95998842592</v>
      </c>
      <c r="C995" s="1" t="n">
        <v>45966</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26021-2024</t>
        </is>
      </c>
      <c r="B996" s="1" t="n">
        <v>45467</v>
      </c>
      <c r="C996" s="1" t="n">
        <v>45966</v>
      </c>
      <c r="D996" t="inlineStr">
        <is>
          <t>VÄSTERNORRLANDS LÄN</t>
        </is>
      </c>
      <c r="E996" t="inlineStr">
        <is>
          <t>ÅNGE</t>
        </is>
      </c>
      <c r="F996" t="inlineStr">
        <is>
          <t>SCA</t>
        </is>
      </c>
      <c r="G996" t="n">
        <v>7.7</v>
      </c>
      <c r="H996" t="n">
        <v>0</v>
      </c>
      <c r="I996" t="n">
        <v>0</v>
      </c>
      <c r="J996" t="n">
        <v>0</v>
      </c>
      <c r="K996" t="n">
        <v>0</v>
      </c>
      <c r="L996" t="n">
        <v>0</v>
      </c>
      <c r="M996" t="n">
        <v>0</v>
      </c>
      <c r="N996" t="n">
        <v>0</v>
      </c>
      <c r="O996" t="n">
        <v>0</v>
      </c>
      <c r="P996" t="n">
        <v>0</v>
      </c>
      <c r="Q996" t="n">
        <v>0</v>
      </c>
      <c r="R996" s="2" t="inlineStr"/>
    </row>
    <row r="997" ht="15" customHeight="1">
      <c r="A997" t="inlineStr">
        <is>
          <t>A 29673-2024</t>
        </is>
      </c>
      <c r="B997" s="1" t="n">
        <v>45484.94210648148</v>
      </c>
      <c r="C997" s="1" t="n">
        <v>45966</v>
      </c>
      <c r="D997" t="inlineStr">
        <is>
          <t>VÄSTERNORRLANDS LÄN</t>
        </is>
      </c>
      <c r="E997" t="inlineStr">
        <is>
          <t>ÅNGE</t>
        </is>
      </c>
      <c r="F997" t="inlineStr">
        <is>
          <t>SCA</t>
        </is>
      </c>
      <c r="G997" t="n">
        <v>4.9</v>
      </c>
      <c r="H997" t="n">
        <v>0</v>
      </c>
      <c r="I997" t="n">
        <v>0</v>
      </c>
      <c r="J997" t="n">
        <v>0</v>
      </c>
      <c r="K997" t="n">
        <v>0</v>
      </c>
      <c r="L997" t="n">
        <v>0</v>
      </c>
      <c r="M997" t="n">
        <v>0</v>
      </c>
      <c r="N997" t="n">
        <v>0</v>
      </c>
      <c r="O997" t="n">
        <v>0</v>
      </c>
      <c r="P997" t="n">
        <v>0</v>
      </c>
      <c r="Q997" t="n">
        <v>0</v>
      </c>
      <c r="R997" s="2" t="inlineStr"/>
    </row>
    <row r="998" ht="15" customHeight="1">
      <c r="A998" t="inlineStr">
        <is>
          <t>A 48690-2024</t>
        </is>
      </c>
      <c r="B998" s="1" t="n">
        <v>45593.50704861111</v>
      </c>
      <c r="C998" s="1" t="n">
        <v>45966</v>
      </c>
      <c r="D998" t="inlineStr">
        <is>
          <t>VÄSTERNORRLANDS LÄN</t>
        </is>
      </c>
      <c r="E998" t="inlineStr">
        <is>
          <t>ÅNGE</t>
        </is>
      </c>
      <c r="G998" t="n">
        <v>5</v>
      </c>
      <c r="H998" t="n">
        <v>0</v>
      </c>
      <c r="I998" t="n">
        <v>0</v>
      </c>
      <c r="J998" t="n">
        <v>0</v>
      </c>
      <c r="K998" t="n">
        <v>0</v>
      </c>
      <c r="L998" t="n">
        <v>0</v>
      </c>
      <c r="M998" t="n">
        <v>0</v>
      </c>
      <c r="N998" t="n">
        <v>0</v>
      </c>
      <c r="O998" t="n">
        <v>0</v>
      </c>
      <c r="P998" t="n">
        <v>0</v>
      </c>
      <c r="Q998" t="n">
        <v>0</v>
      </c>
      <c r="R998" s="2" t="inlineStr"/>
    </row>
    <row r="999" ht="15" customHeight="1">
      <c r="A999" t="inlineStr">
        <is>
          <t>A 10087-2023</t>
        </is>
      </c>
      <c r="B999" s="1" t="n">
        <v>44985</v>
      </c>
      <c r="C999" s="1" t="n">
        <v>45966</v>
      </c>
      <c r="D999" t="inlineStr">
        <is>
          <t>VÄSTERNORRLANDS LÄN</t>
        </is>
      </c>
      <c r="E999" t="inlineStr">
        <is>
          <t>ÅNGE</t>
        </is>
      </c>
      <c r="F999" t="inlineStr">
        <is>
          <t>SCA</t>
        </is>
      </c>
      <c r="G999" t="n">
        <v>7.9</v>
      </c>
      <c r="H999" t="n">
        <v>0</v>
      </c>
      <c r="I999" t="n">
        <v>0</v>
      </c>
      <c r="J999" t="n">
        <v>0</v>
      </c>
      <c r="K999" t="n">
        <v>0</v>
      </c>
      <c r="L999" t="n">
        <v>0</v>
      </c>
      <c r="M999" t="n">
        <v>0</v>
      </c>
      <c r="N999" t="n">
        <v>0</v>
      </c>
      <c r="O999" t="n">
        <v>0</v>
      </c>
      <c r="P999" t="n">
        <v>0</v>
      </c>
      <c r="Q999" t="n">
        <v>0</v>
      </c>
      <c r="R999" s="2" t="inlineStr"/>
    </row>
    <row r="1000" ht="15" customHeight="1">
      <c r="A1000" t="inlineStr">
        <is>
          <t>A 15288-2025</t>
        </is>
      </c>
      <c r="B1000" s="1" t="n">
        <v>45745.34423611111</v>
      </c>
      <c r="C1000" s="1" t="n">
        <v>45966</v>
      </c>
      <c r="D1000" t="inlineStr">
        <is>
          <t>VÄSTERNORRLANDS LÄN</t>
        </is>
      </c>
      <c r="E1000" t="inlineStr">
        <is>
          <t>ÅNGE</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11399-2025</t>
        </is>
      </c>
      <c r="B1001" s="1" t="n">
        <v>45726.57364583333</v>
      </c>
      <c r="C1001" s="1" t="n">
        <v>45966</v>
      </c>
      <c r="D1001" t="inlineStr">
        <is>
          <t>VÄSTERNORRLANDS LÄN</t>
        </is>
      </c>
      <c r="E1001" t="inlineStr">
        <is>
          <t>ÅNGE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39021-2024</t>
        </is>
      </c>
      <c r="B1002" s="1" t="n">
        <v>45548</v>
      </c>
      <c r="C1002" s="1" t="n">
        <v>45966</v>
      </c>
      <c r="D1002" t="inlineStr">
        <is>
          <t>VÄSTERNORRLANDS LÄN</t>
        </is>
      </c>
      <c r="E1002" t="inlineStr">
        <is>
          <t>ÅNGE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27915-2024</t>
        </is>
      </c>
      <c r="B1003" s="1" t="n">
        <v>45475</v>
      </c>
      <c r="C1003" s="1" t="n">
        <v>45966</v>
      </c>
      <c r="D1003" t="inlineStr">
        <is>
          <t>VÄSTERNORRLANDS LÄN</t>
        </is>
      </c>
      <c r="E1003" t="inlineStr">
        <is>
          <t>ÅNGE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2433-2024</t>
        </is>
      </c>
      <c r="B1004" s="1" t="n">
        <v>45310</v>
      </c>
      <c r="C1004" s="1" t="n">
        <v>45966</v>
      </c>
      <c r="D1004" t="inlineStr">
        <is>
          <t>VÄSTERNORRLANDS LÄN</t>
        </is>
      </c>
      <c r="E1004" t="inlineStr">
        <is>
          <t>ÅNGE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28085-2025</t>
        </is>
      </c>
      <c r="B1005" s="1" t="n">
        <v>45817.71924768519</v>
      </c>
      <c r="C1005" s="1" t="n">
        <v>45966</v>
      </c>
      <c r="D1005" t="inlineStr">
        <is>
          <t>VÄSTERNORRLANDS LÄN</t>
        </is>
      </c>
      <c r="E1005" t="inlineStr">
        <is>
          <t>ÅNGE</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28070-2025</t>
        </is>
      </c>
      <c r="B1006" s="1" t="n">
        <v>45817.67739583334</v>
      </c>
      <c r="C1006" s="1" t="n">
        <v>45966</v>
      </c>
      <c r="D1006" t="inlineStr">
        <is>
          <t>VÄSTERNORRLANDS LÄN</t>
        </is>
      </c>
      <c r="E1006" t="inlineStr">
        <is>
          <t>ÅNGE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57846-2022</t>
        </is>
      </c>
      <c r="B1007" s="1" t="n">
        <v>44897.95008101852</v>
      </c>
      <c r="C1007" s="1" t="n">
        <v>45966</v>
      </c>
      <c r="D1007" t="inlineStr">
        <is>
          <t>VÄSTERNORRLANDS LÄN</t>
        </is>
      </c>
      <c r="E1007" t="inlineStr">
        <is>
          <t>ÅNGE</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46249-2024</t>
        </is>
      </c>
      <c r="B1008" s="1" t="n">
        <v>45581.59409722222</v>
      </c>
      <c r="C1008" s="1" t="n">
        <v>45966</v>
      </c>
      <c r="D1008" t="inlineStr">
        <is>
          <t>VÄSTERNORRLANDS LÄN</t>
        </is>
      </c>
      <c r="E1008" t="inlineStr">
        <is>
          <t>ÅNGE</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17670-2023</t>
        </is>
      </c>
      <c r="B1009" s="1" t="n">
        <v>45036</v>
      </c>
      <c r="C1009" s="1" t="n">
        <v>45966</v>
      </c>
      <c r="D1009" t="inlineStr">
        <is>
          <t>VÄSTERNORRLANDS LÄN</t>
        </is>
      </c>
      <c r="E1009" t="inlineStr">
        <is>
          <t>ÅNGE</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57109-2023</t>
        </is>
      </c>
      <c r="B1010" s="1" t="n">
        <v>45239</v>
      </c>
      <c r="C1010" s="1" t="n">
        <v>45966</v>
      </c>
      <c r="D1010" t="inlineStr">
        <is>
          <t>VÄSTERNORRLANDS LÄN</t>
        </is>
      </c>
      <c r="E1010" t="inlineStr">
        <is>
          <t>ÅNGE</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8868-2023</t>
        </is>
      </c>
      <c r="B1011" s="1" t="n">
        <v>44978</v>
      </c>
      <c r="C1011" s="1" t="n">
        <v>45966</v>
      </c>
      <c r="D1011" t="inlineStr">
        <is>
          <t>VÄSTERNORRLANDS LÄN</t>
        </is>
      </c>
      <c r="E1011" t="inlineStr">
        <is>
          <t>ÅNGE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65229-2021</t>
        </is>
      </c>
      <c r="B1012" s="1" t="n">
        <v>44515</v>
      </c>
      <c r="C1012" s="1" t="n">
        <v>45966</v>
      </c>
      <c r="D1012" t="inlineStr">
        <is>
          <t>VÄSTERNORRLANDS LÄN</t>
        </is>
      </c>
      <c r="E1012" t="inlineStr">
        <is>
          <t>ÅNGE</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57291-2022</t>
        </is>
      </c>
      <c r="B1013" s="1" t="n">
        <v>44895</v>
      </c>
      <c r="C1013" s="1" t="n">
        <v>45966</v>
      </c>
      <c r="D1013" t="inlineStr">
        <is>
          <t>VÄSTERNORRLANDS LÄN</t>
        </is>
      </c>
      <c r="E1013" t="inlineStr">
        <is>
          <t>ÅNGE</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4883-2023</t>
        </is>
      </c>
      <c r="B1014" s="1" t="n">
        <v>44957</v>
      </c>
      <c r="C1014" s="1" t="n">
        <v>45966</v>
      </c>
      <c r="D1014" t="inlineStr">
        <is>
          <t>VÄSTERNORRLANDS LÄN</t>
        </is>
      </c>
      <c r="E1014" t="inlineStr">
        <is>
          <t>ÅNGE</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64945-2023</t>
        </is>
      </c>
      <c r="B1015" s="1" t="n">
        <v>45282.94668981482</v>
      </c>
      <c r="C1015" s="1" t="n">
        <v>45966</v>
      </c>
      <c r="D1015" t="inlineStr">
        <is>
          <t>VÄSTERNORRLANDS LÄN</t>
        </is>
      </c>
      <c r="E1015" t="inlineStr">
        <is>
          <t>ÅNGE</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28143-2025</t>
        </is>
      </c>
      <c r="B1016" s="1" t="n">
        <v>45818.34546296296</v>
      </c>
      <c r="C1016" s="1" t="n">
        <v>45966</v>
      </c>
      <c r="D1016" t="inlineStr">
        <is>
          <t>VÄSTERNORRLANDS LÄN</t>
        </is>
      </c>
      <c r="E1016" t="inlineStr">
        <is>
          <t>ÅNGE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26951-2024</t>
        </is>
      </c>
      <c r="B1017" s="1" t="n">
        <v>45470.96991898148</v>
      </c>
      <c r="C1017" s="1" t="n">
        <v>45966</v>
      </c>
      <c r="D1017" t="inlineStr">
        <is>
          <t>VÄSTERNORRLANDS LÄN</t>
        </is>
      </c>
      <c r="E1017" t="inlineStr">
        <is>
          <t>ÅNGE</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26952-2024</t>
        </is>
      </c>
      <c r="B1018" s="1" t="n">
        <v>45470</v>
      </c>
      <c r="C1018" s="1" t="n">
        <v>45966</v>
      </c>
      <c r="D1018" t="inlineStr">
        <is>
          <t>VÄSTERNORRLANDS LÄN</t>
        </is>
      </c>
      <c r="E1018" t="inlineStr">
        <is>
          <t>ÅNGE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28404-2025</t>
        </is>
      </c>
      <c r="B1019" s="1" t="n">
        <v>45819.34532407407</v>
      </c>
      <c r="C1019" s="1" t="n">
        <v>45966</v>
      </c>
      <c r="D1019" t="inlineStr">
        <is>
          <t>VÄSTERNORRLANDS LÄN</t>
        </is>
      </c>
      <c r="E1019" t="inlineStr">
        <is>
          <t>ÅNGE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56399-2022</t>
        </is>
      </c>
      <c r="B1020" s="1" t="n">
        <v>44890</v>
      </c>
      <c r="C1020" s="1" t="n">
        <v>45966</v>
      </c>
      <c r="D1020" t="inlineStr">
        <is>
          <t>VÄSTERNORRLANDS LÄN</t>
        </is>
      </c>
      <c r="E1020" t="inlineStr">
        <is>
          <t>ÅNGE</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29153-2025</t>
        </is>
      </c>
      <c r="B1021" s="1" t="n">
        <v>45821.63574074074</v>
      </c>
      <c r="C1021" s="1" t="n">
        <v>45966</v>
      </c>
      <c r="D1021" t="inlineStr">
        <is>
          <t>VÄSTERNORRLANDS LÄN</t>
        </is>
      </c>
      <c r="E1021" t="inlineStr">
        <is>
          <t>ÅNGE</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28896-2025</t>
        </is>
      </c>
      <c r="B1022" s="1" t="n">
        <v>45820.63584490741</v>
      </c>
      <c r="C1022" s="1" t="n">
        <v>45966</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28814-2025</t>
        </is>
      </c>
      <c r="B1023" s="1" t="n">
        <v>45820.52846064815</v>
      </c>
      <c r="C1023" s="1" t="n">
        <v>45966</v>
      </c>
      <c r="D1023" t="inlineStr">
        <is>
          <t>VÄSTERNORRLANDS LÄN</t>
        </is>
      </c>
      <c r="E1023" t="inlineStr">
        <is>
          <t>ÅNGE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61577-2023</t>
        </is>
      </c>
      <c r="B1024" s="1" t="n">
        <v>45265.47366898148</v>
      </c>
      <c r="C1024" s="1" t="n">
        <v>45966</v>
      </c>
      <c r="D1024" t="inlineStr">
        <is>
          <t>VÄSTERNORRLANDS LÄN</t>
        </is>
      </c>
      <c r="E1024" t="inlineStr">
        <is>
          <t>ÅNGE</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23058-2024</t>
        </is>
      </c>
      <c r="B1025" s="1" t="n">
        <v>45450.44020833333</v>
      </c>
      <c r="C1025" s="1" t="n">
        <v>45966</v>
      </c>
      <c r="D1025" t="inlineStr">
        <is>
          <t>VÄSTERNORRLANDS LÄN</t>
        </is>
      </c>
      <c r="E1025" t="inlineStr">
        <is>
          <t>ÅNGE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28717-2025</t>
        </is>
      </c>
      <c r="B1026" s="1" t="n">
        <v>45820</v>
      </c>
      <c r="C1026" s="1" t="n">
        <v>45966</v>
      </c>
      <c r="D1026" t="inlineStr">
        <is>
          <t>VÄSTERNORRLANDS LÄN</t>
        </is>
      </c>
      <c r="E1026" t="inlineStr">
        <is>
          <t>ÅNGE</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28819-2025</t>
        </is>
      </c>
      <c r="B1027" s="1" t="n">
        <v>45820.53758101852</v>
      </c>
      <c r="C1027" s="1" t="n">
        <v>45966</v>
      </c>
      <c r="D1027" t="inlineStr">
        <is>
          <t>VÄSTERNORRLANDS LÄN</t>
        </is>
      </c>
      <c r="E1027" t="inlineStr">
        <is>
          <t>ÅNGE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28845-2025</t>
        </is>
      </c>
      <c r="B1028" s="1" t="n">
        <v>45820.57324074074</v>
      </c>
      <c r="C1028" s="1" t="n">
        <v>45966</v>
      </c>
      <c r="D1028" t="inlineStr">
        <is>
          <t>VÄSTERNORRLANDS LÄN</t>
        </is>
      </c>
      <c r="E1028" t="inlineStr">
        <is>
          <t>ÅNGE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51024-2024</t>
        </is>
      </c>
      <c r="B1029" s="1" t="n">
        <v>45603.4141087963</v>
      </c>
      <c r="C1029" s="1" t="n">
        <v>45966</v>
      </c>
      <c r="D1029" t="inlineStr">
        <is>
          <t>VÄSTERNORRLANDS LÄN</t>
        </is>
      </c>
      <c r="E1029" t="inlineStr">
        <is>
          <t>ÅNGE</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29786-2025</t>
        </is>
      </c>
      <c r="B1030" s="1" t="n">
        <v>45825.65663194445</v>
      </c>
      <c r="C1030" s="1" t="n">
        <v>45966</v>
      </c>
      <c r="D1030" t="inlineStr">
        <is>
          <t>VÄSTERNORRLANDS LÄN</t>
        </is>
      </c>
      <c r="E1030" t="inlineStr">
        <is>
          <t>ÅNGE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35979-2023</t>
        </is>
      </c>
      <c r="B1031" s="1" t="n">
        <v>45148</v>
      </c>
      <c r="C1031" s="1" t="n">
        <v>45966</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3986-2025</t>
        </is>
      </c>
      <c r="B1032" s="1" t="n">
        <v>45684.55262731481</v>
      </c>
      <c r="C1032" s="1" t="n">
        <v>45966</v>
      </c>
      <c r="D1032" t="inlineStr">
        <is>
          <t>VÄSTERNORRLANDS LÄN</t>
        </is>
      </c>
      <c r="E1032" t="inlineStr">
        <is>
          <t>ÅNGE</t>
        </is>
      </c>
      <c r="F1032" t="inlineStr">
        <is>
          <t>SCA</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54456-2024</t>
        </is>
      </c>
      <c r="B1033" s="1" t="n">
        <v>45617.53160879629</v>
      </c>
      <c r="C1033" s="1" t="n">
        <v>45966</v>
      </c>
      <c r="D1033" t="inlineStr">
        <is>
          <t>VÄSTERNORRLANDS LÄN</t>
        </is>
      </c>
      <c r="E1033" t="inlineStr">
        <is>
          <t>ÅNGE</t>
        </is>
      </c>
      <c r="F1033" t="inlineStr">
        <is>
          <t>SCA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29350-2025</t>
        </is>
      </c>
      <c r="B1034" s="1" t="n">
        <v>45824.53206018519</v>
      </c>
      <c r="C1034" s="1" t="n">
        <v>45966</v>
      </c>
      <c r="D1034" t="inlineStr">
        <is>
          <t>VÄSTERNORRLANDS LÄN</t>
        </is>
      </c>
      <c r="E1034" t="inlineStr">
        <is>
          <t>ÅNGE</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50674-2024</t>
        </is>
      </c>
      <c r="B1035" s="1" t="n">
        <v>45601.85402777778</v>
      </c>
      <c r="C1035" s="1" t="n">
        <v>45966</v>
      </c>
      <c r="D1035" t="inlineStr">
        <is>
          <t>VÄSTERNORRLANDS LÄN</t>
        </is>
      </c>
      <c r="E1035" t="inlineStr">
        <is>
          <t>ÅNGE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3322-2025</t>
        </is>
      </c>
      <c r="B1036" s="1" t="n">
        <v>45679.6989699074</v>
      </c>
      <c r="C1036" s="1" t="n">
        <v>45966</v>
      </c>
      <c r="D1036" t="inlineStr">
        <is>
          <t>VÄSTERNORRLANDS LÄN</t>
        </is>
      </c>
      <c r="E1036" t="inlineStr">
        <is>
          <t>ÅNGE</t>
        </is>
      </c>
      <c r="F1036" t="inlineStr">
        <is>
          <t>SCA</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3327-2025</t>
        </is>
      </c>
      <c r="B1037" s="1" t="n">
        <v>45679.69967592593</v>
      </c>
      <c r="C1037" s="1" t="n">
        <v>45966</v>
      </c>
      <c r="D1037" t="inlineStr">
        <is>
          <t>VÄSTERNORRLANDS LÄN</t>
        </is>
      </c>
      <c r="E1037" t="inlineStr">
        <is>
          <t>ÅNGE</t>
        </is>
      </c>
      <c r="F1037" t="inlineStr">
        <is>
          <t>SCA</t>
        </is>
      </c>
      <c r="G1037" t="n">
        <v>12.9</v>
      </c>
      <c r="H1037" t="n">
        <v>0</v>
      </c>
      <c r="I1037" t="n">
        <v>0</v>
      </c>
      <c r="J1037" t="n">
        <v>0</v>
      </c>
      <c r="K1037" t="n">
        <v>0</v>
      </c>
      <c r="L1037" t="n">
        <v>0</v>
      </c>
      <c r="M1037" t="n">
        <v>0</v>
      </c>
      <c r="N1037" t="n">
        <v>0</v>
      </c>
      <c r="O1037" t="n">
        <v>0</v>
      </c>
      <c r="P1037" t="n">
        <v>0</v>
      </c>
      <c r="Q1037" t="n">
        <v>0</v>
      </c>
      <c r="R1037" s="2" t="inlineStr"/>
    </row>
    <row r="1038" ht="15" customHeight="1">
      <c r="A1038" t="inlineStr">
        <is>
          <t>A 23035-2024</t>
        </is>
      </c>
      <c r="B1038" s="1" t="n">
        <v>45450.39016203704</v>
      </c>
      <c r="C1038" s="1" t="n">
        <v>45966</v>
      </c>
      <c r="D1038" t="inlineStr">
        <is>
          <t>VÄSTERNORRLANDS LÄN</t>
        </is>
      </c>
      <c r="E1038" t="inlineStr">
        <is>
          <t>ÅNGE</t>
        </is>
      </c>
      <c r="G1038" t="n">
        <v>12.1</v>
      </c>
      <c r="H1038" t="n">
        <v>0</v>
      </c>
      <c r="I1038" t="n">
        <v>0</v>
      </c>
      <c r="J1038" t="n">
        <v>0</v>
      </c>
      <c r="K1038" t="n">
        <v>0</v>
      </c>
      <c r="L1038" t="n">
        <v>0</v>
      </c>
      <c r="M1038" t="n">
        <v>0</v>
      </c>
      <c r="N1038" t="n">
        <v>0</v>
      </c>
      <c r="O1038" t="n">
        <v>0</v>
      </c>
      <c r="P1038" t="n">
        <v>0</v>
      </c>
      <c r="Q1038" t="n">
        <v>0</v>
      </c>
      <c r="R1038" s="2" t="inlineStr"/>
    </row>
    <row r="1039" ht="15" customHeight="1">
      <c r="A1039" t="inlineStr">
        <is>
          <t>A 29560-2025</t>
        </is>
      </c>
      <c r="B1039" s="1" t="n">
        <v>45825.36497685185</v>
      </c>
      <c r="C1039" s="1" t="n">
        <v>45966</v>
      </c>
      <c r="D1039" t="inlineStr">
        <is>
          <t>VÄSTERNORRLANDS LÄN</t>
        </is>
      </c>
      <c r="E1039" t="inlineStr">
        <is>
          <t>ÅNGE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31729-2024</t>
        </is>
      </c>
      <c r="B1040" s="1" t="n">
        <v>45509.35844907408</v>
      </c>
      <c r="C1040" s="1" t="n">
        <v>45966</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4071-2025</t>
        </is>
      </c>
      <c r="B1041" s="1" t="n">
        <v>45684.63579861111</v>
      </c>
      <c r="C1041" s="1" t="n">
        <v>45966</v>
      </c>
      <c r="D1041" t="inlineStr">
        <is>
          <t>VÄSTERNORRLANDS LÄN</t>
        </is>
      </c>
      <c r="E1041" t="inlineStr">
        <is>
          <t>ÅNGE</t>
        </is>
      </c>
      <c r="F1041" t="inlineStr">
        <is>
          <t>SCA</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44606-2024</t>
        </is>
      </c>
      <c r="B1042" s="1" t="n">
        <v>45574.51195601852</v>
      </c>
      <c r="C1042" s="1" t="n">
        <v>45966</v>
      </c>
      <c r="D1042" t="inlineStr">
        <is>
          <t>VÄSTERNORRLANDS LÄN</t>
        </is>
      </c>
      <c r="E1042" t="inlineStr">
        <is>
          <t>ÅNGE</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44626-2024</t>
        </is>
      </c>
      <c r="B1043" s="1" t="n">
        <v>45574.51378472222</v>
      </c>
      <c r="C1043" s="1" t="n">
        <v>45966</v>
      </c>
      <c r="D1043" t="inlineStr">
        <is>
          <t>VÄSTERNORRLANDS LÄN</t>
        </is>
      </c>
      <c r="E1043" t="inlineStr">
        <is>
          <t>ÅNGE</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18668-2023</t>
        </is>
      </c>
      <c r="B1044" s="1" t="n">
        <v>45043.57108796296</v>
      </c>
      <c r="C1044" s="1" t="n">
        <v>45966</v>
      </c>
      <c r="D1044" t="inlineStr">
        <is>
          <t>VÄSTERNORRLANDS LÄN</t>
        </is>
      </c>
      <c r="E1044" t="inlineStr">
        <is>
          <t>ÅNGE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1964-2022</t>
        </is>
      </c>
      <c r="B1045" s="1" t="n">
        <v>44575.5050462963</v>
      </c>
      <c r="C1045" s="1" t="n">
        <v>45966</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18880-2024</t>
        </is>
      </c>
      <c r="B1046" s="1" t="n">
        <v>45426</v>
      </c>
      <c r="C1046" s="1" t="n">
        <v>45966</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48787-2024</t>
        </is>
      </c>
      <c r="B1047" s="1" t="n">
        <v>45593.63888888889</v>
      </c>
      <c r="C1047" s="1" t="n">
        <v>45966</v>
      </c>
      <c r="D1047" t="inlineStr">
        <is>
          <t>VÄSTERNORRLANDS LÄN</t>
        </is>
      </c>
      <c r="E1047" t="inlineStr">
        <is>
          <t>ÅNGE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34959-2023</t>
        </is>
      </c>
      <c r="B1048" s="1" t="n">
        <v>45142</v>
      </c>
      <c r="C1048" s="1" t="n">
        <v>45966</v>
      </c>
      <c r="D1048" t="inlineStr">
        <is>
          <t>VÄSTERNORRLANDS LÄN</t>
        </is>
      </c>
      <c r="E1048" t="inlineStr">
        <is>
          <t>ÅNGE</t>
        </is>
      </c>
      <c r="F1048" t="inlineStr">
        <is>
          <t>Sveaskog</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1886-2024</t>
        </is>
      </c>
      <c r="B1049" s="1" t="n">
        <v>45307.96335648148</v>
      </c>
      <c r="C1049" s="1" t="n">
        <v>45966</v>
      </c>
      <c r="D1049" t="inlineStr">
        <is>
          <t>VÄSTERNORRLANDS LÄN</t>
        </is>
      </c>
      <c r="E1049" t="inlineStr">
        <is>
          <t>ÅNGE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41370-2023</t>
        </is>
      </c>
      <c r="B1050" s="1" t="n">
        <v>45174.85951388889</v>
      </c>
      <c r="C1050" s="1" t="n">
        <v>45966</v>
      </c>
      <c r="D1050" t="inlineStr">
        <is>
          <t>VÄSTERNORRLANDS LÄN</t>
        </is>
      </c>
      <c r="E1050" t="inlineStr">
        <is>
          <t>ÅNGE</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29862-2025</t>
        </is>
      </c>
      <c r="B1051" s="1" t="n">
        <v>45826.3465625</v>
      </c>
      <c r="C1051" s="1" t="n">
        <v>45966</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29882-2025</t>
        </is>
      </c>
      <c r="B1052" s="1" t="n">
        <v>45826.36548611111</v>
      </c>
      <c r="C1052" s="1" t="n">
        <v>45966</v>
      </c>
      <c r="D1052" t="inlineStr">
        <is>
          <t>VÄSTERNORRLANDS LÄN</t>
        </is>
      </c>
      <c r="E1052" t="inlineStr">
        <is>
          <t>ÅNGE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29916-2025</t>
        </is>
      </c>
      <c r="B1053" s="1" t="n">
        <v>45826.41822916667</v>
      </c>
      <c r="C1053" s="1" t="n">
        <v>45966</v>
      </c>
      <c r="D1053" t="inlineStr">
        <is>
          <t>VÄSTERNORRLANDS LÄN</t>
        </is>
      </c>
      <c r="E1053" t="inlineStr">
        <is>
          <t>ÅNGE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8406-2023</t>
        </is>
      </c>
      <c r="B1054" s="1" t="n">
        <v>44971</v>
      </c>
      <c r="C1054" s="1" t="n">
        <v>45966</v>
      </c>
      <c r="D1054" t="inlineStr">
        <is>
          <t>VÄSTERNORRLANDS LÄN</t>
        </is>
      </c>
      <c r="E1054" t="inlineStr">
        <is>
          <t>ÅNGE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30235-2024</t>
        </is>
      </c>
      <c r="B1055" s="1" t="n">
        <v>45490.49040509259</v>
      </c>
      <c r="C1055" s="1" t="n">
        <v>45966</v>
      </c>
      <c r="D1055" t="inlineStr">
        <is>
          <t>VÄSTERNORRLANDS LÄN</t>
        </is>
      </c>
      <c r="E1055" t="inlineStr">
        <is>
          <t>ÅNGE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30475-2025</t>
        </is>
      </c>
      <c r="B1056" s="1" t="n">
        <v>45828.34444444445</v>
      </c>
      <c r="C1056" s="1" t="n">
        <v>45966</v>
      </c>
      <c r="D1056" t="inlineStr">
        <is>
          <t>VÄSTERNORRLANDS LÄN</t>
        </is>
      </c>
      <c r="E1056" t="inlineStr">
        <is>
          <t>ÅNGE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60817-2024</t>
        </is>
      </c>
      <c r="B1057" s="1" t="n">
        <v>45644</v>
      </c>
      <c r="C1057" s="1" t="n">
        <v>45966</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18456-2024</t>
        </is>
      </c>
      <c r="B1058" s="1" t="n">
        <v>45425.46831018518</v>
      </c>
      <c r="C1058" s="1" t="n">
        <v>45966</v>
      </c>
      <c r="D1058" t="inlineStr">
        <is>
          <t>VÄSTERNORRLANDS LÄN</t>
        </is>
      </c>
      <c r="E1058" t="inlineStr">
        <is>
          <t>ÅNGE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30618-2025</t>
        </is>
      </c>
      <c r="B1059" s="1" t="n">
        <v>45831.46909722222</v>
      </c>
      <c r="C1059" s="1" t="n">
        <v>45966</v>
      </c>
      <c r="D1059" t="inlineStr">
        <is>
          <t>VÄSTERNORRLANDS LÄN</t>
        </is>
      </c>
      <c r="E1059" t="inlineStr">
        <is>
          <t>ÅNGE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42857-2022</t>
        </is>
      </c>
      <c r="B1060" s="1" t="n">
        <v>44832</v>
      </c>
      <c r="C1060" s="1" t="n">
        <v>45966</v>
      </c>
      <c r="D1060" t="inlineStr">
        <is>
          <t>VÄSTERNORRLANDS LÄN</t>
        </is>
      </c>
      <c r="E1060" t="inlineStr">
        <is>
          <t>ÅNGE</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30598-2025</t>
        </is>
      </c>
      <c r="B1061" s="1" t="n">
        <v>45831.44834490741</v>
      </c>
      <c r="C1061" s="1" t="n">
        <v>45966</v>
      </c>
      <c r="D1061" t="inlineStr">
        <is>
          <t>VÄSTERNORRLANDS LÄN</t>
        </is>
      </c>
      <c r="E1061" t="inlineStr">
        <is>
          <t>ÅNGE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30892-2025</t>
        </is>
      </c>
      <c r="B1062" s="1" t="n">
        <v>45832.34663194444</v>
      </c>
      <c r="C1062" s="1" t="n">
        <v>45966</v>
      </c>
      <c r="D1062" t="inlineStr">
        <is>
          <t>VÄSTERNORRLANDS LÄN</t>
        </is>
      </c>
      <c r="E1062" t="inlineStr">
        <is>
          <t>ÅNGE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31188-2025</t>
        </is>
      </c>
      <c r="B1063" s="1" t="n">
        <v>45832.67842592593</v>
      </c>
      <c r="C1063" s="1" t="n">
        <v>45966</v>
      </c>
      <c r="D1063" t="inlineStr">
        <is>
          <t>VÄSTERNORRLANDS LÄN</t>
        </is>
      </c>
      <c r="E1063" t="inlineStr">
        <is>
          <t>ÅNGE</t>
        </is>
      </c>
      <c r="F1063" t="inlineStr">
        <is>
          <t>SCA</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31452-2025</t>
        </is>
      </c>
      <c r="B1064" s="1" t="n">
        <v>45833.53179398148</v>
      </c>
      <c r="C1064" s="1" t="n">
        <v>45966</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31544-2025</t>
        </is>
      </c>
      <c r="B1065" s="1" t="n">
        <v>45833.63597222222</v>
      </c>
      <c r="C1065" s="1" t="n">
        <v>45966</v>
      </c>
      <c r="D1065" t="inlineStr">
        <is>
          <t>VÄSTERNORRLANDS LÄN</t>
        </is>
      </c>
      <c r="E1065" t="inlineStr">
        <is>
          <t>ÅNGE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6-2025</t>
        </is>
      </c>
      <c r="B1066" s="1" t="n">
        <v>45658.50759259259</v>
      </c>
      <c r="C1066" s="1" t="n">
        <v>45966</v>
      </c>
      <c r="D1066" t="inlineStr">
        <is>
          <t>VÄSTERNORRLANDS LÄN</t>
        </is>
      </c>
      <c r="E1066" t="inlineStr">
        <is>
          <t>ÅNGE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31042-2025</t>
        </is>
      </c>
      <c r="B1067" s="1" t="n">
        <v>45832.55267361111</v>
      </c>
      <c r="C1067" s="1" t="n">
        <v>45966</v>
      </c>
      <c r="D1067" t="inlineStr">
        <is>
          <t>VÄSTERNORRLANDS LÄN</t>
        </is>
      </c>
      <c r="E1067" t="inlineStr">
        <is>
          <t>ÅNGE</t>
        </is>
      </c>
      <c r="F1067" t="inlineStr">
        <is>
          <t>SCA</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25047-2023</t>
        </is>
      </c>
      <c r="B1068" s="1" t="n">
        <v>45085.94569444445</v>
      </c>
      <c r="C1068" s="1" t="n">
        <v>45966</v>
      </c>
      <c r="D1068" t="inlineStr">
        <is>
          <t>VÄSTERNORRLANDS LÄN</t>
        </is>
      </c>
      <c r="E1068" t="inlineStr">
        <is>
          <t>ÅNGE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31275-2025</t>
        </is>
      </c>
      <c r="B1069" s="1" t="n">
        <v>45833.34459490741</v>
      </c>
      <c r="C1069" s="1" t="n">
        <v>45966</v>
      </c>
      <c r="D1069" t="inlineStr">
        <is>
          <t>VÄSTERNORRLANDS LÄN</t>
        </is>
      </c>
      <c r="E1069" t="inlineStr">
        <is>
          <t>ÅNGE</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31135-2025</t>
        </is>
      </c>
      <c r="B1070" s="1" t="n">
        <v>45832.63581018519</v>
      </c>
      <c r="C1070" s="1" t="n">
        <v>45966</v>
      </c>
      <c r="D1070" t="inlineStr">
        <is>
          <t>VÄSTERNORRLANDS LÄN</t>
        </is>
      </c>
      <c r="E1070" t="inlineStr">
        <is>
          <t>ÅNGE</t>
        </is>
      </c>
      <c r="F1070" t="inlineStr">
        <is>
          <t>SCA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30888-2025</t>
        </is>
      </c>
      <c r="B1071" s="1" t="n">
        <v>45832.34606481482</v>
      </c>
      <c r="C1071" s="1" t="n">
        <v>45966</v>
      </c>
      <c r="D1071" t="inlineStr">
        <is>
          <t>VÄSTERNORRLANDS LÄN</t>
        </is>
      </c>
      <c r="E1071" t="inlineStr">
        <is>
          <t>ÅNGE</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30875-2025</t>
        </is>
      </c>
      <c r="B1072" s="1" t="n">
        <v>45832.34447916667</v>
      </c>
      <c r="C1072" s="1" t="n">
        <v>45966</v>
      </c>
      <c r="D1072" t="inlineStr">
        <is>
          <t>VÄSTERNORRLANDS LÄN</t>
        </is>
      </c>
      <c r="E1072" t="inlineStr">
        <is>
          <t>ÅNGE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57815-2024</t>
        </is>
      </c>
      <c r="B1073" s="1" t="n">
        <v>45631.37068287037</v>
      </c>
      <c r="C1073" s="1" t="n">
        <v>45966</v>
      </c>
      <c r="D1073" t="inlineStr">
        <is>
          <t>VÄSTERNORRLANDS LÄN</t>
        </is>
      </c>
      <c r="E1073" t="inlineStr">
        <is>
          <t>ÅNGE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31211-2025</t>
        </is>
      </c>
      <c r="B1074" s="1" t="n">
        <v>45832.71938657408</v>
      </c>
      <c r="C1074" s="1" t="n">
        <v>45966</v>
      </c>
      <c r="D1074" t="inlineStr">
        <is>
          <t>VÄSTERNORRLANDS LÄN</t>
        </is>
      </c>
      <c r="E1074" t="inlineStr">
        <is>
          <t>ÅNGE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31484-2025</t>
        </is>
      </c>
      <c r="B1075" s="1" t="n">
        <v>45833.57418981481</v>
      </c>
      <c r="C1075" s="1" t="n">
        <v>45966</v>
      </c>
      <c r="D1075" t="inlineStr">
        <is>
          <t>VÄSTERNORRLANDS LÄN</t>
        </is>
      </c>
      <c r="E1075" t="inlineStr">
        <is>
          <t>ÅNGE</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30877-2025</t>
        </is>
      </c>
      <c r="B1076" s="1" t="n">
        <v>45832.34478009259</v>
      </c>
      <c r="C1076" s="1" t="n">
        <v>45966</v>
      </c>
      <c r="D1076" t="inlineStr">
        <is>
          <t>VÄSTERNORRLANDS LÄN</t>
        </is>
      </c>
      <c r="E1076" t="inlineStr">
        <is>
          <t>ÅNGE</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31139-2025</t>
        </is>
      </c>
      <c r="B1077" s="1" t="n">
        <v>45832.63633101852</v>
      </c>
      <c r="C1077" s="1" t="n">
        <v>45966</v>
      </c>
      <c r="D1077" t="inlineStr">
        <is>
          <t>VÄSTERNORRLANDS LÄN</t>
        </is>
      </c>
      <c r="E1077" t="inlineStr">
        <is>
          <t>ÅNGE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31041-2025</t>
        </is>
      </c>
      <c r="B1078" s="1" t="n">
        <v>45832.55247685185</v>
      </c>
      <c r="C1078" s="1" t="n">
        <v>45966</v>
      </c>
      <c r="D1078" t="inlineStr">
        <is>
          <t>VÄSTERNORRLANDS LÄN</t>
        </is>
      </c>
      <c r="E1078" t="inlineStr">
        <is>
          <t>ÅNGE</t>
        </is>
      </c>
      <c r="F1078" t="inlineStr">
        <is>
          <t>SCA</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24232-2024</t>
        </is>
      </c>
      <c r="B1079" s="1" t="n">
        <v>45457.34686342593</v>
      </c>
      <c r="C1079" s="1" t="n">
        <v>45966</v>
      </c>
      <c r="D1079" t="inlineStr">
        <is>
          <t>VÄSTERNORRLANDS LÄN</t>
        </is>
      </c>
      <c r="E1079" t="inlineStr">
        <is>
          <t>ÅNGE</t>
        </is>
      </c>
      <c r="F1079" t="inlineStr">
        <is>
          <t>Sveaskog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31646-2025</t>
        </is>
      </c>
      <c r="B1080" s="1" t="n">
        <v>45834.34563657407</v>
      </c>
      <c r="C1080" s="1" t="n">
        <v>45966</v>
      </c>
      <c r="D1080" t="inlineStr">
        <is>
          <t>VÄSTERNORRLANDS LÄN</t>
        </is>
      </c>
      <c r="E1080" t="inlineStr">
        <is>
          <t>ÅNGE</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31325-2022</t>
        </is>
      </c>
      <c r="B1081" s="1" t="n">
        <v>44774.41421296296</v>
      </c>
      <c r="C1081" s="1" t="n">
        <v>45966</v>
      </c>
      <c r="D1081" t="inlineStr">
        <is>
          <t>VÄSTERNORRLANDS LÄN</t>
        </is>
      </c>
      <c r="E1081" t="inlineStr">
        <is>
          <t>ÅNGE</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31642-2025</t>
        </is>
      </c>
      <c r="B1082" s="1" t="n">
        <v>45834.34474537037</v>
      </c>
      <c r="C1082" s="1" t="n">
        <v>45966</v>
      </c>
      <c r="D1082" t="inlineStr">
        <is>
          <t>VÄSTERNORRLANDS LÄN</t>
        </is>
      </c>
      <c r="E1082" t="inlineStr">
        <is>
          <t>ÅNGE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32025-2025</t>
        </is>
      </c>
      <c r="B1083" s="1" t="n">
        <v>45835.40721064815</v>
      </c>
      <c r="C1083" s="1" t="n">
        <v>45966</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42044-2024</t>
        </is>
      </c>
      <c r="B1084" s="1" t="n">
        <v>45561</v>
      </c>
      <c r="C1084" s="1" t="n">
        <v>45966</v>
      </c>
      <c r="D1084" t="inlineStr">
        <is>
          <t>VÄSTERNORRLANDS LÄN</t>
        </is>
      </c>
      <c r="E1084" t="inlineStr">
        <is>
          <t>ÅNGE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42090-2024</t>
        </is>
      </c>
      <c r="B1085" s="1" t="n">
        <v>45562</v>
      </c>
      <c r="C1085" s="1" t="n">
        <v>45966</v>
      </c>
      <c r="D1085" t="inlineStr">
        <is>
          <t>VÄSTERNORRLANDS LÄN</t>
        </is>
      </c>
      <c r="E1085" t="inlineStr">
        <is>
          <t>ÅNGE</t>
        </is>
      </c>
      <c r="F1085" t="inlineStr">
        <is>
          <t>SCA</t>
        </is>
      </c>
      <c r="G1085" t="n">
        <v>20.2</v>
      </c>
      <c r="H1085" t="n">
        <v>0</v>
      </c>
      <c r="I1085" t="n">
        <v>0</v>
      </c>
      <c r="J1085" t="n">
        <v>0</v>
      </c>
      <c r="K1085" t="n">
        <v>0</v>
      </c>
      <c r="L1085" t="n">
        <v>0</v>
      </c>
      <c r="M1085" t="n">
        <v>0</v>
      </c>
      <c r="N1085" t="n">
        <v>0</v>
      </c>
      <c r="O1085" t="n">
        <v>0</v>
      </c>
      <c r="P1085" t="n">
        <v>0</v>
      </c>
      <c r="Q1085" t="n">
        <v>0</v>
      </c>
      <c r="R1085" s="2" t="inlineStr"/>
    </row>
    <row r="1086" ht="15" customHeight="1">
      <c r="A1086" t="inlineStr">
        <is>
          <t>A 32024-2025</t>
        </is>
      </c>
      <c r="B1086" s="1" t="n">
        <v>45835.40706018519</v>
      </c>
      <c r="C1086" s="1" t="n">
        <v>45966</v>
      </c>
      <c r="D1086" t="inlineStr">
        <is>
          <t>VÄSTERNORRLANDS LÄN</t>
        </is>
      </c>
      <c r="E1086" t="inlineStr">
        <is>
          <t>ÅNGE</t>
        </is>
      </c>
      <c r="F1086" t="inlineStr">
        <is>
          <t>SCA</t>
        </is>
      </c>
      <c r="G1086" t="n">
        <v>12.3</v>
      </c>
      <c r="H1086" t="n">
        <v>0</v>
      </c>
      <c r="I1086" t="n">
        <v>0</v>
      </c>
      <c r="J1086" t="n">
        <v>0</v>
      </c>
      <c r="K1086" t="n">
        <v>0</v>
      </c>
      <c r="L1086" t="n">
        <v>0</v>
      </c>
      <c r="M1086" t="n">
        <v>0</v>
      </c>
      <c r="N1086" t="n">
        <v>0</v>
      </c>
      <c r="O1086" t="n">
        <v>0</v>
      </c>
      <c r="P1086" t="n">
        <v>0</v>
      </c>
      <c r="Q1086" t="n">
        <v>0</v>
      </c>
      <c r="R1086" s="2" t="inlineStr"/>
    </row>
    <row r="1087" ht="15" customHeight="1">
      <c r="A1087" t="inlineStr">
        <is>
          <t>A 26092-2025</t>
        </is>
      </c>
      <c r="B1087" s="1" t="n">
        <v>45805</v>
      </c>
      <c r="C1087" s="1" t="n">
        <v>45966</v>
      </c>
      <c r="D1087" t="inlineStr">
        <is>
          <t>VÄSTERNORRLANDS LÄN</t>
        </is>
      </c>
      <c r="E1087" t="inlineStr">
        <is>
          <t>ÅNGE</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18112-2025</t>
        </is>
      </c>
      <c r="B1088" s="1" t="n">
        <v>45761.57350694444</v>
      </c>
      <c r="C1088" s="1" t="n">
        <v>45966</v>
      </c>
      <c r="D1088" t="inlineStr">
        <is>
          <t>VÄSTERNORRLANDS LÄN</t>
        </is>
      </c>
      <c r="E1088" t="inlineStr">
        <is>
          <t>ÅNGE</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31666-2025</t>
        </is>
      </c>
      <c r="B1089" s="1" t="n">
        <v>45834.36519675926</v>
      </c>
      <c r="C1089" s="1" t="n">
        <v>45966</v>
      </c>
      <c r="D1089" t="inlineStr">
        <is>
          <t>VÄSTERNORRLANDS LÄN</t>
        </is>
      </c>
      <c r="E1089" t="inlineStr">
        <is>
          <t>ÅNGE</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11764-2024</t>
        </is>
      </c>
      <c r="B1090" s="1" t="n">
        <v>45373.94837962963</v>
      </c>
      <c r="C1090" s="1" t="n">
        <v>45966</v>
      </c>
      <c r="D1090" t="inlineStr">
        <is>
          <t>VÄSTERNORRLANDS LÄN</t>
        </is>
      </c>
      <c r="E1090" t="inlineStr">
        <is>
          <t>ÅNGE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25035-2023</t>
        </is>
      </c>
      <c r="B1091" s="1" t="n">
        <v>45085</v>
      </c>
      <c r="C1091" s="1" t="n">
        <v>45966</v>
      </c>
      <c r="D1091" t="inlineStr">
        <is>
          <t>VÄSTERNORRLANDS LÄN</t>
        </is>
      </c>
      <c r="E1091" t="inlineStr">
        <is>
          <t>ÅNGE</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10195-2024</t>
        </is>
      </c>
      <c r="B1092" s="1" t="n">
        <v>45364</v>
      </c>
      <c r="C1092" s="1" t="n">
        <v>45966</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42488-2024</t>
        </is>
      </c>
      <c r="B1093" s="1" t="n">
        <v>45565.49420138889</v>
      </c>
      <c r="C1093" s="1" t="n">
        <v>45966</v>
      </c>
      <c r="D1093" t="inlineStr">
        <is>
          <t>VÄSTERNORRLANDS LÄN</t>
        </is>
      </c>
      <c r="E1093" t="inlineStr">
        <is>
          <t>ÅNGE</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42529-2024</t>
        </is>
      </c>
      <c r="B1094" s="1" t="n">
        <v>45565.57324074074</v>
      </c>
      <c r="C1094" s="1" t="n">
        <v>45966</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9211-2023</t>
        </is>
      </c>
      <c r="B1095" s="1" t="n">
        <v>44980</v>
      </c>
      <c r="C1095" s="1" t="n">
        <v>45966</v>
      </c>
      <c r="D1095" t="inlineStr">
        <is>
          <t>VÄSTERNORRLANDS LÄN</t>
        </is>
      </c>
      <c r="E1095" t="inlineStr">
        <is>
          <t>ÅNGE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29193-2024</t>
        </is>
      </c>
      <c r="B1096" s="1" t="n">
        <v>45482.56510416666</v>
      </c>
      <c r="C1096" s="1" t="n">
        <v>45966</v>
      </c>
      <c r="D1096" t="inlineStr">
        <is>
          <t>VÄSTERNORRLANDS LÄN</t>
        </is>
      </c>
      <c r="E1096" t="inlineStr">
        <is>
          <t>ÅNGE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3023-2023</t>
        </is>
      </c>
      <c r="B1097" s="1" t="n">
        <v>44945</v>
      </c>
      <c r="C1097" s="1" t="n">
        <v>45966</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3025-2023</t>
        </is>
      </c>
      <c r="B1098" s="1" t="n">
        <v>44945</v>
      </c>
      <c r="C1098" s="1" t="n">
        <v>45966</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56232-2024</t>
        </is>
      </c>
      <c r="B1099" s="1" t="n">
        <v>45624</v>
      </c>
      <c r="C1099" s="1" t="n">
        <v>45966</v>
      </c>
      <c r="D1099" t="inlineStr">
        <is>
          <t>VÄSTERNORRLANDS LÄN</t>
        </is>
      </c>
      <c r="E1099" t="inlineStr">
        <is>
          <t>ÅNGE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16853-2023</t>
        </is>
      </c>
      <c r="B1100" s="1" t="n">
        <v>45033</v>
      </c>
      <c r="C1100" s="1" t="n">
        <v>45966</v>
      </c>
      <c r="D1100" t="inlineStr">
        <is>
          <t>VÄSTERNORRLANDS LÄN</t>
        </is>
      </c>
      <c r="E1100" t="inlineStr">
        <is>
          <t>ÅNGE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22411-2023</t>
        </is>
      </c>
      <c r="B1101" s="1" t="n">
        <v>45070</v>
      </c>
      <c r="C1101" s="1" t="n">
        <v>45966</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44971.97662037037</v>
      </c>
      <c r="C1102" s="1" t="n">
        <v>45966</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53988-2024</t>
        </is>
      </c>
      <c r="B1103" s="1" t="n">
        <v>45616.34408564815</v>
      </c>
      <c r="C1103" s="1" t="n">
        <v>45966</v>
      </c>
      <c r="D1103" t="inlineStr">
        <is>
          <t>VÄSTERNORRLANDS LÄN</t>
        </is>
      </c>
      <c r="E1103" t="inlineStr">
        <is>
          <t>ÅNGE</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54002-2024</t>
        </is>
      </c>
      <c r="B1104" s="1" t="n">
        <v>45616.36491898148</v>
      </c>
      <c r="C1104" s="1" t="n">
        <v>45966</v>
      </c>
      <c r="D1104" t="inlineStr">
        <is>
          <t>VÄSTERNORRLANDS LÄN</t>
        </is>
      </c>
      <c r="E1104" t="inlineStr">
        <is>
          <t>ÅNGE</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54059-2024</t>
        </is>
      </c>
      <c r="B1105" s="1" t="n">
        <v>45616.46943287037</v>
      </c>
      <c r="C1105" s="1" t="n">
        <v>45966</v>
      </c>
      <c r="D1105" t="inlineStr">
        <is>
          <t>VÄSTERNORRLANDS LÄN</t>
        </is>
      </c>
      <c r="E1105" t="inlineStr">
        <is>
          <t>ÅNGE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32847-2025</t>
        </is>
      </c>
      <c r="B1106" s="1" t="n">
        <v>45839.57354166666</v>
      </c>
      <c r="C1106" s="1" t="n">
        <v>45966</v>
      </c>
      <c r="D1106" t="inlineStr">
        <is>
          <t>VÄSTERNORRLANDS LÄN</t>
        </is>
      </c>
      <c r="E1106" t="inlineStr">
        <is>
          <t>ÅNGE</t>
        </is>
      </c>
      <c r="F1106" t="inlineStr">
        <is>
          <t>SCA</t>
        </is>
      </c>
      <c r="G1106" t="n">
        <v>9.4</v>
      </c>
      <c r="H1106" t="n">
        <v>0</v>
      </c>
      <c r="I1106" t="n">
        <v>0</v>
      </c>
      <c r="J1106" t="n">
        <v>0</v>
      </c>
      <c r="K1106" t="n">
        <v>0</v>
      </c>
      <c r="L1106" t="n">
        <v>0</v>
      </c>
      <c r="M1106" t="n">
        <v>0</v>
      </c>
      <c r="N1106" t="n">
        <v>0</v>
      </c>
      <c r="O1106" t="n">
        <v>0</v>
      </c>
      <c r="P1106" t="n">
        <v>0</v>
      </c>
      <c r="Q1106" t="n">
        <v>0</v>
      </c>
      <c r="R1106" s="2" t="inlineStr"/>
    </row>
    <row r="1107" ht="15" customHeight="1">
      <c r="A1107" t="inlineStr">
        <is>
          <t>A 50235-2021</t>
        </is>
      </c>
      <c r="B1107" s="1" t="n">
        <v>44457</v>
      </c>
      <c r="C1107" s="1" t="n">
        <v>45966</v>
      </c>
      <c r="D1107" t="inlineStr">
        <is>
          <t>VÄSTERNORRLANDS LÄN</t>
        </is>
      </c>
      <c r="E1107" t="inlineStr">
        <is>
          <t>ÅNGE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44600-2024</t>
        </is>
      </c>
      <c r="B1108" s="1" t="n">
        <v>45574.51113425926</v>
      </c>
      <c r="C1108" s="1" t="n">
        <v>45966</v>
      </c>
      <c r="D1108" t="inlineStr">
        <is>
          <t>VÄSTERNORRLANDS LÄN</t>
        </is>
      </c>
      <c r="E1108" t="inlineStr">
        <is>
          <t>ÅNGE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12806-2025</t>
        </is>
      </c>
      <c r="B1109" s="1" t="n">
        <v>45733.61518518518</v>
      </c>
      <c r="C1109" s="1" t="n">
        <v>45966</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45890-2021</t>
        </is>
      </c>
      <c r="B1110" s="1" t="n">
        <v>44441</v>
      </c>
      <c r="C1110" s="1" t="n">
        <v>45966</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1869-2022</t>
        </is>
      </c>
      <c r="B1111" s="1" t="n">
        <v>44574</v>
      </c>
      <c r="C1111" s="1" t="n">
        <v>45966</v>
      </c>
      <c r="D1111" t="inlineStr">
        <is>
          <t>VÄSTERNORRLANDS LÄN</t>
        </is>
      </c>
      <c r="E1111" t="inlineStr">
        <is>
          <t>ÅNGE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48988-2021</t>
        </is>
      </c>
      <c r="B1112" s="1" t="n">
        <v>44453.43</v>
      </c>
      <c r="C1112" s="1" t="n">
        <v>45966</v>
      </c>
      <c r="D1112" t="inlineStr">
        <is>
          <t>VÄSTERNORRLANDS LÄN</t>
        </is>
      </c>
      <c r="E1112" t="inlineStr">
        <is>
          <t>ÅNGE</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60812-2024</t>
        </is>
      </c>
      <c r="B1113" s="1" t="n">
        <v>45644</v>
      </c>
      <c r="C1113" s="1" t="n">
        <v>45966</v>
      </c>
      <c r="D1113" t="inlineStr">
        <is>
          <t>VÄSTERNORRLANDS LÄN</t>
        </is>
      </c>
      <c r="E1113" t="inlineStr">
        <is>
          <t>ÅNGE</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16606-2023</t>
        </is>
      </c>
      <c r="B1114" s="1" t="n">
        <v>45030.3990625</v>
      </c>
      <c r="C1114" s="1" t="n">
        <v>45966</v>
      </c>
      <c r="D1114" t="inlineStr">
        <is>
          <t>VÄSTERNORRLANDS LÄN</t>
        </is>
      </c>
      <c r="E1114" t="inlineStr">
        <is>
          <t>ÅNGE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54611-2023</t>
        </is>
      </c>
      <c r="B1115" s="1" t="n">
        <v>45233</v>
      </c>
      <c r="C1115" s="1" t="n">
        <v>45966</v>
      </c>
      <c r="D1115" t="inlineStr">
        <is>
          <t>VÄSTERNORRLANDS LÄN</t>
        </is>
      </c>
      <c r="E1115" t="inlineStr">
        <is>
          <t>ÅNGE</t>
        </is>
      </c>
      <c r="F1115" t="inlineStr">
        <is>
          <t>SCA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34031-2025</t>
        </is>
      </c>
      <c r="B1116" s="1" t="n">
        <v>45845.36508101852</v>
      </c>
      <c r="C1116" s="1" t="n">
        <v>45966</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60368-2024</t>
        </is>
      </c>
      <c r="B1117" s="1" t="n">
        <v>45643</v>
      </c>
      <c r="C1117" s="1" t="n">
        <v>45966</v>
      </c>
      <c r="D1117" t="inlineStr">
        <is>
          <t>VÄSTERNORRLANDS LÄN</t>
        </is>
      </c>
      <c r="E1117" t="inlineStr">
        <is>
          <t>ÅNGE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49187-2024</t>
        </is>
      </c>
      <c r="B1118" s="1" t="n">
        <v>45595.34490740741</v>
      </c>
      <c r="C1118" s="1" t="n">
        <v>45966</v>
      </c>
      <c r="D1118" t="inlineStr">
        <is>
          <t>VÄSTERNORRLANDS LÄN</t>
        </is>
      </c>
      <c r="E1118" t="inlineStr">
        <is>
          <t>ÅNGE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33738-2025</t>
        </is>
      </c>
      <c r="B1119" s="1" t="n">
        <v>45842.33795138889</v>
      </c>
      <c r="C1119" s="1" t="n">
        <v>45966</v>
      </c>
      <c r="D1119" t="inlineStr">
        <is>
          <t>VÄSTERNORRLANDS LÄN</t>
        </is>
      </c>
      <c r="E1119" t="inlineStr">
        <is>
          <t>ÅNGE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51810-2023</t>
        </is>
      </c>
      <c r="B1120" s="1" t="n">
        <v>45222.96583333334</v>
      </c>
      <c r="C1120" s="1" t="n">
        <v>45966</v>
      </c>
      <c r="D1120" t="inlineStr">
        <is>
          <t>VÄSTERNORRLANDS LÄN</t>
        </is>
      </c>
      <c r="E1120" t="inlineStr">
        <is>
          <t>ÅNGE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5520-2022</t>
        </is>
      </c>
      <c r="B1121" s="1" t="n">
        <v>44595</v>
      </c>
      <c r="C1121" s="1" t="n">
        <v>45966</v>
      </c>
      <c r="D1121" t="inlineStr">
        <is>
          <t>VÄSTERNORRLANDS LÄN</t>
        </is>
      </c>
      <c r="E1121" t="inlineStr">
        <is>
          <t>ÅNGE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33782-2025</t>
        </is>
      </c>
      <c r="B1122" s="1" t="n">
        <v>45842.40678240741</v>
      </c>
      <c r="C1122" s="1" t="n">
        <v>45966</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58469-2023</t>
        </is>
      </c>
      <c r="B1123" s="1" t="n">
        <v>45250</v>
      </c>
      <c r="C1123" s="1" t="n">
        <v>45966</v>
      </c>
      <c r="D1123" t="inlineStr">
        <is>
          <t>VÄSTERNORRLANDS LÄN</t>
        </is>
      </c>
      <c r="E1123" t="inlineStr">
        <is>
          <t>ÅNGE</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34019-2025</t>
        </is>
      </c>
      <c r="B1124" s="1" t="n">
        <v>45845.34416666667</v>
      </c>
      <c r="C1124" s="1" t="n">
        <v>45966</v>
      </c>
      <c r="D1124" t="inlineStr">
        <is>
          <t>VÄSTERNORRLANDS LÄN</t>
        </is>
      </c>
      <c r="E1124" t="inlineStr">
        <is>
          <t>ÅNGE</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33717-2025</t>
        </is>
      </c>
      <c r="B1125" s="1" t="n">
        <v>45841.89357638889</v>
      </c>
      <c r="C1125" s="1" t="n">
        <v>45966</v>
      </c>
      <c r="D1125" t="inlineStr">
        <is>
          <t>VÄSTERNORRLANDS LÄN</t>
        </is>
      </c>
      <c r="E1125" t="inlineStr">
        <is>
          <t>ÅNGE</t>
        </is>
      </c>
      <c r="G1125" t="n">
        <v>14.3</v>
      </c>
      <c r="H1125" t="n">
        <v>0</v>
      </c>
      <c r="I1125" t="n">
        <v>0</v>
      </c>
      <c r="J1125" t="n">
        <v>0</v>
      </c>
      <c r="K1125" t="n">
        <v>0</v>
      </c>
      <c r="L1125" t="n">
        <v>0</v>
      </c>
      <c r="M1125" t="n">
        <v>0</v>
      </c>
      <c r="N1125" t="n">
        <v>0</v>
      </c>
      <c r="O1125" t="n">
        <v>0</v>
      </c>
      <c r="P1125" t="n">
        <v>0</v>
      </c>
      <c r="Q1125" t="n">
        <v>0</v>
      </c>
      <c r="R1125" s="2" t="inlineStr"/>
    </row>
    <row r="1126" ht="15" customHeight="1">
      <c r="A1126" t="inlineStr">
        <is>
          <t>A 31177-2024</t>
        </is>
      </c>
      <c r="B1126" s="1" t="n">
        <v>45503</v>
      </c>
      <c r="C1126" s="1" t="n">
        <v>45966</v>
      </c>
      <c r="D1126" t="inlineStr">
        <is>
          <t>VÄSTERNORRLANDS LÄN</t>
        </is>
      </c>
      <c r="E1126" t="inlineStr">
        <is>
          <t>ÅNGE</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29063-2023</t>
        </is>
      </c>
      <c r="B1127" s="1" t="n">
        <v>45104.94068287037</v>
      </c>
      <c r="C1127" s="1" t="n">
        <v>45966</v>
      </c>
      <c r="D1127" t="inlineStr">
        <is>
          <t>VÄSTERNORRLANDS LÄN</t>
        </is>
      </c>
      <c r="E1127" t="inlineStr">
        <is>
          <t>ÅNGE</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59412-2024</t>
        </is>
      </c>
      <c r="B1128" s="1" t="n">
        <v>45638</v>
      </c>
      <c r="C1128" s="1" t="n">
        <v>45966</v>
      </c>
      <c r="D1128" t="inlineStr">
        <is>
          <t>VÄSTERNORRLANDS LÄN</t>
        </is>
      </c>
      <c r="E1128" t="inlineStr">
        <is>
          <t>ÅNGE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34591-2025</t>
        </is>
      </c>
      <c r="B1129" s="1" t="n">
        <v>45847.62920138889</v>
      </c>
      <c r="C1129" s="1" t="n">
        <v>45966</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34593-2025</t>
        </is>
      </c>
      <c r="B1130" s="1" t="n">
        <v>45847.6316087963</v>
      </c>
      <c r="C1130" s="1" t="n">
        <v>45966</v>
      </c>
      <c r="D1130" t="inlineStr">
        <is>
          <t>VÄSTERNORRLANDS LÄN</t>
        </is>
      </c>
      <c r="E1130" t="inlineStr">
        <is>
          <t>ÅNGE</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9382-2025</t>
        </is>
      </c>
      <c r="B1131" s="1" t="n">
        <v>45715.34425925926</v>
      </c>
      <c r="C1131" s="1" t="n">
        <v>45966</v>
      </c>
      <c r="D1131" t="inlineStr">
        <is>
          <t>VÄSTERNORRLANDS LÄN</t>
        </is>
      </c>
      <c r="E1131" t="inlineStr">
        <is>
          <t>ÅNGE</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34785-2025</t>
        </is>
      </c>
      <c r="B1132" s="1" t="n">
        <v>45848.67771990741</v>
      </c>
      <c r="C1132" s="1" t="n">
        <v>45966</v>
      </c>
      <c r="D1132" t="inlineStr">
        <is>
          <t>VÄSTERNORRLANDS LÄN</t>
        </is>
      </c>
      <c r="E1132" t="inlineStr">
        <is>
          <t>ÅNGE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9567-2024</t>
        </is>
      </c>
      <c r="B1133" s="1" t="n">
        <v>45360.03635416667</v>
      </c>
      <c r="C1133" s="1" t="n">
        <v>45966</v>
      </c>
      <c r="D1133" t="inlineStr">
        <is>
          <t>VÄSTERNORRLANDS LÄN</t>
        </is>
      </c>
      <c r="E1133" t="inlineStr">
        <is>
          <t>ÅNGE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22988-2024</t>
        </is>
      </c>
      <c r="B1134" s="1" t="n">
        <v>45449.94530092592</v>
      </c>
      <c r="C1134" s="1" t="n">
        <v>45966</v>
      </c>
      <c r="D1134" t="inlineStr">
        <is>
          <t>VÄSTERNORRLANDS LÄN</t>
        </is>
      </c>
      <c r="E1134" t="inlineStr">
        <is>
          <t>ÅNGE</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56908-2021</t>
        </is>
      </c>
      <c r="B1135" s="1" t="n">
        <v>44481.93844907408</v>
      </c>
      <c r="C1135" s="1" t="n">
        <v>45966</v>
      </c>
      <c r="D1135" t="inlineStr">
        <is>
          <t>VÄSTERNORRLANDS LÄN</t>
        </is>
      </c>
      <c r="E1135" t="inlineStr">
        <is>
          <t>ÅNGE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35143-2025</t>
        </is>
      </c>
      <c r="B1136" s="1" t="n">
        <v>45852.65660879629</v>
      </c>
      <c r="C1136" s="1" t="n">
        <v>45966</v>
      </c>
      <c r="D1136" t="inlineStr">
        <is>
          <t>VÄSTERNORRLANDS LÄN</t>
        </is>
      </c>
      <c r="E1136" t="inlineStr">
        <is>
          <t>ÅNGE</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56434-2021</t>
        </is>
      </c>
      <c r="B1137" s="1" t="n">
        <v>44477</v>
      </c>
      <c r="C1137" s="1" t="n">
        <v>45966</v>
      </c>
      <c r="D1137" t="inlineStr">
        <is>
          <t>VÄSTERNORRLANDS LÄN</t>
        </is>
      </c>
      <c r="E1137" t="inlineStr">
        <is>
          <t>ÅNGE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35061-2025</t>
        </is>
      </c>
      <c r="B1138" s="1" t="n">
        <v>45852</v>
      </c>
      <c r="C1138" s="1" t="n">
        <v>45966</v>
      </c>
      <c r="D1138" t="inlineStr">
        <is>
          <t>VÄSTERNORRLANDS LÄN</t>
        </is>
      </c>
      <c r="E1138" t="inlineStr">
        <is>
          <t>ÅNGE</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17210-2022</t>
        </is>
      </c>
      <c r="B1139" s="1" t="n">
        <v>44677.92701388889</v>
      </c>
      <c r="C1139" s="1" t="n">
        <v>45966</v>
      </c>
      <c r="D1139" t="inlineStr">
        <is>
          <t>VÄSTERNORRLANDS LÄN</t>
        </is>
      </c>
      <c r="E1139" t="inlineStr">
        <is>
          <t>ÅNGE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18067-2025</t>
        </is>
      </c>
      <c r="B1140" s="1" t="n">
        <v>45761.49016203704</v>
      </c>
      <c r="C1140" s="1" t="n">
        <v>45966</v>
      </c>
      <c r="D1140" t="inlineStr">
        <is>
          <t>VÄSTERNORRLANDS LÄN</t>
        </is>
      </c>
      <c r="E1140" t="inlineStr">
        <is>
          <t>ÅNGE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56574-2024</t>
        </is>
      </c>
      <c r="B1141" s="1" t="n">
        <v>45625.59616898148</v>
      </c>
      <c r="C1141" s="1" t="n">
        <v>45966</v>
      </c>
      <c r="D1141" t="inlineStr">
        <is>
          <t>VÄSTERNORRLANDS LÄN</t>
        </is>
      </c>
      <c r="E1141" t="inlineStr">
        <is>
          <t>ÅNGE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31568-2024</t>
        </is>
      </c>
      <c r="B1142" s="1" t="n">
        <v>45505.96721064814</v>
      </c>
      <c r="C1142" s="1" t="n">
        <v>45966</v>
      </c>
      <c r="D1142" t="inlineStr">
        <is>
          <t>VÄSTERNORRLANDS LÄN</t>
        </is>
      </c>
      <c r="E1142" t="inlineStr">
        <is>
          <t>ÅNGE</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27468-2024</t>
        </is>
      </c>
      <c r="B1143" s="1" t="n">
        <v>45474</v>
      </c>
      <c r="C1143" s="1" t="n">
        <v>45966</v>
      </c>
      <c r="D1143" t="inlineStr">
        <is>
          <t>VÄSTERNORRLANDS LÄN</t>
        </is>
      </c>
      <c r="E1143" t="inlineStr">
        <is>
          <t>ÅNGE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35432-2025</t>
        </is>
      </c>
      <c r="B1144" s="1" t="n">
        <v>45855.44831018519</v>
      </c>
      <c r="C1144" s="1" t="n">
        <v>45966</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12123-2024</t>
        </is>
      </c>
      <c r="B1145" s="1" t="n">
        <v>45377</v>
      </c>
      <c r="C1145" s="1" t="n">
        <v>45966</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11299-2023</t>
        </is>
      </c>
      <c r="B1146" s="1" t="n">
        <v>44993.01074074074</v>
      </c>
      <c r="C1146" s="1" t="n">
        <v>45966</v>
      </c>
      <c r="D1146" t="inlineStr">
        <is>
          <t>VÄSTERNORRLANDS LÄN</t>
        </is>
      </c>
      <c r="E1146" t="inlineStr">
        <is>
          <t>ÅNGE</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44993.0118287037</v>
      </c>
      <c r="C1147" s="1" t="n">
        <v>45966</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45932-2023</t>
        </is>
      </c>
      <c r="B1148" s="1" t="n">
        <v>45195</v>
      </c>
      <c r="C1148" s="1" t="n">
        <v>45966</v>
      </c>
      <c r="D1148" t="inlineStr">
        <is>
          <t>VÄSTERNORRLANDS LÄN</t>
        </is>
      </c>
      <c r="E1148" t="inlineStr">
        <is>
          <t>ÅNGE</t>
        </is>
      </c>
      <c r="F1148" t="inlineStr">
        <is>
          <t>SCA</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35497-2025</t>
        </is>
      </c>
      <c r="B1149" s="1" t="n">
        <v>45856.29752314815</v>
      </c>
      <c r="C1149" s="1" t="n">
        <v>45966</v>
      </c>
      <c r="D1149" t="inlineStr">
        <is>
          <t>VÄSTERNORRLANDS LÄN</t>
        </is>
      </c>
      <c r="E1149" t="inlineStr">
        <is>
          <t>ÅNGE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35577-2025</t>
        </is>
      </c>
      <c r="B1150" s="1" t="n">
        <v>45856.67762731481</v>
      </c>
      <c r="C1150" s="1" t="n">
        <v>45966</v>
      </c>
      <c r="D1150" t="inlineStr">
        <is>
          <t>VÄSTERNORRLANDS LÄN</t>
        </is>
      </c>
      <c r="E1150" t="inlineStr">
        <is>
          <t>ÅNGE</t>
        </is>
      </c>
      <c r="F1150" t="inlineStr">
        <is>
          <t>SCA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8648-2025</t>
        </is>
      </c>
      <c r="B1151" s="1" t="n">
        <v>45712.34501157407</v>
      </c>
      <c r="C1151" s="1" t="n">
        <v>45966</v>
      </c>
      <c r="D1151" t="inlineStr">
        <is>
          <t>VÄSTERNORRLANDS LÄN</t>
        </is>
      </c>
      <c r="E1151" t="inlineStr">
        <is>
          <t>ÅNGE</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24541-2023</t>
        </is>
      </c>
      <c r="B1152" s="1" t="n">
        <v>45082.94135416667</v>
      </c>
      <c r="C1152" s="1" t="n">
        <v>45966</v>
      </c>
      <c r="D1152" t="inlineStr">
        <is>
          <t>VÄSTERNORRLANDS LÄN</t>
        </is>
      </c>
      <c r="E1152" t="inlineStr">
        <is>
          <t>ÅNGE</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35548-2025</t>
        </is>
      </c>
      <c r="B1153" s="1" t="n">
        <v>45856.48995370371</v>
      </c>
      <c r="C1153" s="1" t="n">
        <v>45966</v>
      </c>
      <c r="D1153" t="inlineStr">
        <is>
          <t>VÄSTERNORRLANDS LÄN</t>
        </is>
      </c>
      <c r="E1153" t="inlineStr">
        <is>
          <t>ÅNGE</t>
        </is>
      </c>
      <c r="F1153" t="inlineStr">
        <is>
          <t>SCA</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35575-2025</t>
        </is>
      </c>
      <c r="B1154" s="1" t="n">
        <v>45856.63591435185</v>
      </c>
      <c r="C1154" s="1" t="n">
        <v>45966</v>
      </c>
      <c r="D1154" t="inlineStr">
        <is>
          <t>VÄSTERNORRLANDS LÄN</t>
        </is>
      </c>
      <c r="E1154" t="inlineStr">
        <is>
          <t>ÅNGE</t>
        </is>
      </c>
      <c r="F1154" t="inlineStr">
        <is>
          <t>SCA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35503-2025</t>
        </is>
      </c>
      <c r="B1155" s="1" t="n">
        <v>45856</v>
      </c>
      <c r="C1155" s="1" t="n">
        <v>45966</v>
      </c>
      <c r="D1155" t="inlineStr">
        <is>
          <t>VÄSTERNORRLANDS LÄN</t>
        </is>
      </c>
      <c r="E1155" t="inlineStr">
        <is>
          <t>ÅNGE</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35540-2025</t>
        </is>
      </c>
      <c r="B1156" s="1" t="n">
        <v>45856.46912037037</v>
      </c>
      <c r="C1156" s="1" t="n">
        <v>45966</v>
      </c>
      <c r="D1156" t="inlineStr">
        <is>
          <t>VÄSTERNORRLANDS LÄN</t>
        </is>
      </c>
      <c r="E1156" t="inlineStr">
        <is>
          <t>ÅNGE</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35838-2025</t>
        </is>
      </c>
      <c r="B1157" s="1" t="n">
        <v>45861.53829861111</v>
      </c>
      <c r="C1157" s="1" t="n">
        <v>45966</v>
      </c>
      <c r="D1157" t="inlineStr">
        <is>
          <t>VÄSTERNORRLANDS LÄN</t>
        </is>
      </c>
      <c r="E1157" t="inlineStr">
        <is>
          <t>ÅNGE</t>
        </is>
      </c>
      <c r="F1157" t="inlineStr">
        <is>
          <t>Sveaskog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30683-2024</t>
        </is>
      </c>
      <c r="B1158" s="1" t="n">
        <v>45495</v>
      </c>
      <c r="C1158" s="1" t="n">
        <v>45966</v>
      </c>
      <c r="D1158" t="inlineStr">
        <is>
          <t>VÄSTERNORRLANDS LÄN</t>
        </is>
      </c>
      <c r="E1158" t="inlineStr">
        <is>
          <t>ÅNGE</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51131-2022</t>
        </is>
      </c>
      <c r="B1159" s="1" t="n">
        <v>44868</v>
      </c>
      <c r="C1159" s="1" t="n">
        <v>45966</v>
      </c>
      <c r="D1159" t="inlineStr">
        <is>
          <t>VÄSTERNORRLANDS LÄN</t>
        </is>
      </c>
      <c r="E1159" t="inlineStr">
        <is>
          <t>ÅNGE</t>
        </is>
      </c>
      <c r="G1159" t="n">
        <v>11.1</v>
      </c>
      <c r="H1159" t="n">
        <v>0</v>
      </c>
      <c r="I1159" t="n">
        <v>0</v>
      </c>
      <c r="J1159" t="n">
        <v>0</v>
      </c>
      <c r="K1159" t="n">
        <v>0</v>
      </c>
      <c r="L1159" t="n">
        <v>0</v>
      </c>
      <c r="M1159" t="n">
        <v>0</v>
      </c>
      <c r="N1159" t="n">
        <v>0</v>
      </c>
      <c r="O1159" t="n">
        <v>0</v>
      </c>
      <c r="P1159" t="n">
        <v>0</v>
      </c>
      <c r="Q1159" t="n">
        <v>0</v>
      </c>
      <c r="R1159" s="2" t="inlineStr"/>
    </row>
    <row r="1160" ht="15" customHeight="1">
      <c r="A1160" t="inlineStr">
        <is>
          <t>A 35781-2025</t>
        </is>
      </c>
      <c r="B1160" s="1" t="n">
        <v>45860.70613425926</v>
      </c>
      <c r="C1160" s="1" t="n">
        <v>45966</v>
      </c>
      <c r="D1160" t="inlineStr">
        <is>
          <t>VÄSTERNORRLANDS LÄN</t>
        </is>
      </c>
      <c r="E1160" t="inlineStr">
        <is>
          <t>ÅNGE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33631-2024</t>
        </is>
      </c>
      <c r="B1161" s="1" t="n">
        <v>45520</v>
      </c>
      <c r="C1161" s="1" t="n">
        <v>45966</v>
      </c>
      <c r="D1161" t="inlineStr">
        <is>
          <t>VÄSTERNORRLANDS LÄN</t>
        </is>
      </c>
      <c r="E1161" t="inlineStr">
        <is>
          <t>ÅNGE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35826-2025</t>
        </is>
      </c>
      <c r="B1162" s="1" t="n">
        <v>45861.48997685185</v>
      </c>
      <c r="C1162" s="1" t="n">
        <v>45966</v>
      </c>
      <c r="D1162" t="inlineStr">
        <is>
          <t>VÄSTERNORRLANDS LÄN</t>
        </is>
      </c>
      <c r="E1162" t="inlineStr">
        <is>
          <t>ÅNGE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11396-2024</t>
        </is>
      </c>
      <c r="B1163" s="1" t="n">
        <v>45372</v>
      </c>
      <c r="C1163" s="1" t="n">
        <v>45966</v>
      </c>
      <c r="D1163" t="inlineStr">
        <is>
          <t>VÄSTERNORRLANDS LÄN</t>
        </is>
      </c>
      <c r="E1163" t="inlineStr">
        <is>
          <t>ÅNGE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35827-2025</t>
        </is>
      </c>
      <c r="B1164" s="1" t="n">
        <v>45861.49017361111</v>
      </c>
      <c r="C1164" s="1" t="n">
        <v>45966</v>
      </c>
      <c r="D1164" t="inlineStr">
        <is>
          <t>VÄSTERNORRLANDS LÄN</t>
        </is>
      </c>
      <c r="E1164" t="inlineStr">
        <is>
          <t>ÅNGE</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35690-2025</t>
        </is>
      </c>
      <c r="B1165" s="1" t="n">
        <v>45860.34421296296</v>
      </c>
      <c r="C1165" s="1" t="n">
        <v>45966</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63522-2021</t>
        </is>
      </c>
      <c r="B1166" s="1" t="n">
        <v>44508</v>
      </c>
      <c r="C1166" s="1" t="n">
        <v>45966</v>
      </c>
      <c r="D1166" t="inlineStr">
        <is>
          <t>VÄSTERNORRLANDS LÄN</t>
        </is>
      </c>
      <c r="E1166" t="inlineStr">
        <is>
          <t>ÅNGE</t>
        </is>
      </c>
      <c r="F1166" t="inlineStr">
        <is>
          <t>Övriga Aktiebolag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35766-2025</t>
        </is>
      </c>
      <c r="B1167" s="1" t="n">
        <v>45860.63077546296</v>
      </c>
      <c r="C1167" s="1" t="n">
        <v>45966</v>
      </c>
      <c r="D1167" t="inlineStr">
        <is>
          <t>VÄSTERNORRLANDS LÄN</t>
        </is>
      </c>
      <c r="E1167" t="inlineStr">
        <is>
          <t>ÅNGE</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51411-2023</t>
        </is>
      </c>
      <c r="B1168" s="1" t="n">
        <v>45219</v>
      </c>
      <c r="C1168" s="1" t="n">
        <v>45966</v>
      </c>
      <c r="D1168" t="inlineStr">
        <is>
          <t>VÄSTERNORRLANDS LÄN</t>
        </is>
      </c>
      <c r="E1168" t="inlineStr">
        <is>
          <t>ÅNGE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31229-2023</t>
        </is>
      </c>
      <c r="B1169" s="1" t="n">
        <v>45114</v>
      </c>
      <c r="C1169" s="1" t="n">
        <v>45966</v>
      </c>
      <c r="D1169" t="inlineStr">
        <is>
          <t>VÄSTERNORRLANDS LÄN</t>
        </is>
      </c>
      <c r="E1169" t="inlineStr">
        <is>
          <t>ÅNGE</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53336-2024</t>
        </is>
      </c>
      <c r="B1170" s="1" t="n">
        <v>45614.42753472222</v>
      </c>
      <c r="C1170" s="1" t="n">
        <v>45966</v>
      </c>
      <c r="D1170" t="inlineStr">
        <is>
          <t>VÄSTERNORRLANDS LÄN</t>
        </is>
      </c>
      <c r="E1170" t="inlineStr">
        <is>
          <t>ÅNGE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36237-2025</t>
        </is>
      </c>
      <c r="B1171" s="1" t="n">
        <v>45867.55263888889</v>
      </c>
      <c r="C1171" s="1" t="n">
        <v>45966</v>
      </c>
      <c r="D1171" t="inlineStr">
        <is>
          <t>VÄSTERNORRLANDS LÄN</t>
        </is>
      </c>
      <c r="E1171" t="inlineStr">
        <is>
          <t>ÅNGE</t>
        </is>
      </c>
      <c r="F1171" t="inlineStr">
        <is>
          <t>SCA</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36240-2025</t>
        </is>
      </c>
      <c r="B1172" s="1" t="n">
        <v>45867.55298611111</v>
      </c>
      <c r="C1172" s="1" t="n">
        <v>45966</v>
      </c>
      <c r="D1172" t="inlineStr">
        <is>
          <t>VÄSTERNORRLANDS LÄN</t>
        </is>
      </c>
      <c r="E1172" t="inlineStr">
        <is>
          <t>ÅNGE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7692-2024</t>
        </is>
      </c>
      <c r="B1173" s="1" t="n">
        <v>45349</v>
      </c>
      <c r="C1173" s="1" t="n">
        <v>45966</v>
      </c>
      <c r="D1173" t="inlineStr">
        <is>
          <t>VÄSTERNORRLANDS LÄN</t>
        </is>
      </c>
      <c r="E1173" t="inlineStr">
        <is>
          <t>ÅNGE</t>
        </is>
      </c>
      <c r="F1173" t="inlineStr">
        <is>
          <t>SCA</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47950-2024</t>
        </is>
      </c>
      <c r="B1174" s="1" t="n">
        <v>45589.36511574074</v>
      </c>
      <c r="C1174" s="1" t="n">
        <v>45966</v>
      </c>
      <c r="D1174" t="inlineStr">
        <is>
          <t>VÄSTERNORRLANDS LÄN</t>
        </is>
      </c>
      <c r="E1174" t="inlineStr">
        <is>
          <t>ÅNGE</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39589-2022</t>
        </is>
      </c>
      <c r="B1175" s="1" t="n">
        <v>44818</v>
      </c>
      <c r="C1175" s="1" t="n">
        <v>45966</v>
      </c>
      <c r="D1175" t="inlineStr">
        <is>
          <t>VÄSTERNORRLANDS LÄN</t>
        </is>
      </c>
      <c r="E1175" t="inlineStr">
        <is>
          <t>ÅNGE</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36210-2025</t>
        </is>
      </c>
      <c r="B1176" s="1" t="n">
        <v>45867.46930555555</v>
      </c>
      <c r="C1176" s="1" t="n">
        <v>45966</v>
      </c>
      <c r="D1176" t="inlineStr">
        <is>
          <t>VÄSTERNORRLANDS LÄN</t>
        </is>
      </c>
      <c r="E1176" t="inlineStr">
        <is>
          <t>ÅNGE</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36236-2025</t>
        </is>
      </c>
      <c r="B1177" s="1" t="n">
        <v>45867.55245370371</v>
      </c>
      <c r="C1177" s="1" t="n">
        <v>45966</v>
      </c>
      <c r="D1177" t="inlineStr">
        <is>
          <t>VÄSTERNORRLANDS LÄN</t>
        </is>
      </c>
      <c r="E1177" t="inlineStr">
        <is>
          <t>ÅNGE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15778-2025</t>
        </is>
      </c>
      <c r="B1178" s="1" t="n">
        <v>45748.60030092593</v>
      </c>
      <c r="C1178" s="1" t="n">
        <v>45966</v>
      </c>
      <c r="D1178" t="inlineStr">
        <is>
          <t>VÄSTERNORRLANDS LÄN</t>
        </is>
      </c>
      <c r="E1178" t="inlineStr">
        <is>
          <t>ÅNGE</t>
        </is>
      </c>
      <c r="F1178" t="inlineStr">
        <is>
          <t>SCA</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42098-2024</t>
        </is>
      </c>
      <c r="B1179" s="1" t="n">
        <v>45562.34532407407</v>
      </c>
      <c r="C1179" s="1" t="n">
        <v>45966</v>
      </c>
      <c r="D1179" t="inlineStr">
        <is>
          <t>VÄSTERNORRLANDS LÄN</t>
        </is>
      </c>
      <c r="E1179" t="inlineStr">
        <is>
          <t>ÅNGE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36248-2025</t>
        </is>
      </c>
      <c r="B1180" s="1" t="n">
        <v>45867.57326388889</v>
      </c>
      <c r="C1180" s="1" t="n">
        <v>45966</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10071-2023</t>
        </is>
      </c>
      <c r="B1181" s="1" t="n">
        <v>44985.92418981482</v>
      </c>
      <c r="C1181" s="1" t="n">
        <v>45966</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36193-2025</t>
        </is>
      </c>
      <c r="B1182" s="1" t="n">
        <v>45867.42741898148</v>
      </c>
      <c r="C1182" s="1" t="n">
        <v>45966</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36205-2025</t>
        </is>
      </c>
      <c r="B1183" s="1" t="n">
        <v>45867.44855324074</v>
      </c>
      <c r="C1183" s="1" t="n">
        <v>45966</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36491-2025</t>
        </is>
      </c>
      <c r="B1184" s="1" t="n">
        <v>45869.53173611111</v>
      </c>
      <c r="C1184" s="1" t="n">
        <v>45966</v>
      </c>
      <c r="D1184" t="inlineStr">
        <is>
          <t>VÄSTERNORRLANDS LÄN</t>
        </is>
      </c>
      <c r="E1184" t="inlineStr">
        <is>
          <t>ÅNGE</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44518-2024</t>
        </is>
      </c>
      <c r="B1185" s="1" t="n">
        <v>45574.43376157407</v>
      </c>
      <c r="C1185" s="1" t="n">
        <v>45966</v>
      </c>
      <c r="D1185" t="inlineStr">
        <is>
          <t>VÄSTERNORRLANDS LÄN</t>
        </is>
      </c>
      <c r="E1185" t="inlineStr">
        <is>
          <t>ÅNGE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39764-2024</t>
        </is>
      </c>
      <c r="B1186" s="1" t="n">
        <v>45552.7190162037</v>
      </c>
      <c r="C1186" s="1" t="n">
        <v>45966</v>
      </c>
      <c r="D1186" t="inlineStr">
        <is>
          <t>VÄSTERNORRLANDS LÄN</t>
        </is>
      </c>
      <c r="E1186" t="inlineStr">
        <is>
          <t>ÅNGE</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15822-2025</t>
        </is>
      </c>
      <c r="B1187" s="1" t="n">
        <v>45748.70172453704</v>
      </c>
      <c r="C1187" s="1" t="n">
        <v>45966</v>
      </c>
      <c r="D1187" t="inlineStr">
        <is>
          <t>VÄSTERNORRLANDS LÄN</t>
        </is>
      </c>
      <c r="E1187" t="inlineStr">
        <is>
          <t>ÅNGE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41083-2024</t>
        </is>
      </c>
      <c r="B1188" s="1" t="n">
        <v>45559.40684027778</v>
      </c>
      <c r="C1188" s="1" t="n">
        <v>45966</v>
      </c>
      <c r="D1188" t="inlineStr">
        <is>
          <t>VÄSTERNORRLANDS LÄN</t>
        </is>
      </c>
      <c r="E1188" t="inlineStr">
        <is>
          <t>ÅNGE</t>
        </is>
      </c>
      <c r="F1188" t="inlineStr">
        <is>
          <t>SCA</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36336-2025</t>
        </is>
      </c>
      <c r="B1189" s="1" t="n">
        <v>45868.44751157407</v>
      </c>
      <c r="C1189" s="1" t="n">
        <v>45966</v>
      </c>
      <c r="D1189" t="inlineStr">
        <is>
          <t>VÄSTERNORRLANDS LÄN</t>
        </is>
      </c>
      <c r="E1189" t="inlineStr">
        <is>
          <t>ÅNGE</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36457-2025</t>
        </is>
      </c>
      <c r="B1190" s="1" t="n">
        <v>45869.44842592593</v>
      </c>
      <c r="C1190" s="1" t="n">
        <v>45966</v>
      </c>
      <c r="D1190" t="inlineStr">
        <is>
          <t>VÄSTERNORRLANDS LÄN</t>
        </is>
      </c>
      <c r="E1190" t="inlineStr">
        <is>
          <t>ÅNGE</t>
        </is>
      </c>
      <c r="F1190" t="inlineStr">
        <is>
          <t>SCA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4094-2025</t>
        </is>
      </c>
      <c r="B1191" s="1" t="n">
        <v>45684.6778125</v>
      </c>
      <c r="C1191" s="1" t="n">
        <v>45966</v>
      </c>
      <c r="D1191" t="inlineStr">
        <is>
          <t>VÄSTERNORRLANDS LÄN</t>
        </is>
      </c>
      <c r="E1191" t="inlineStr">
        <is>
          <t>ÅNGE</t>
        </is>
      </c>
      <c r="F1191" t="inlineStr">
        <is>
          <t>SCA</t>
        </is>
      </c>
      <c r="G1191" t="n">
        <v>7.7</v>
      </c>
      <c r="H1191" t="n">
        <v>0</v>
      </c>
      <c r="I1191" t="n">
        <v>0</v>
      </c>
      <c r="J1191" t="n">
        <v>0</v>
      </c>
      <c r="K1191" t="n">
        <v>0</v>
      </c>
      <c r="L1191" t="n">
        <v>0</v>
      </c>
      <c r="M1191" t="n">
        <v>0</v>
      </c>
      <c r="N1191" t="n">
        <v>0</v>
      </c>
      <c r="O1191" t="n">
        <v>0</v>
      </c>
      <c r="P1191" t="n">
        <v>0</v>
      </c>
      <c r="Q1191" t="n">
        <v>0</v>
      </c>
      <c r="R1191" s="2" t="inlineStr"/>
    </row>
    <row r="1192" ht="15" customHeight="1">
      <c r="A1192" t="inlineStr">
        <is>
          <t>A 41507-2024</t>
        </is>
      </c>
      <c r="B1192" s="1" t="n">
        <v>45560</v>
      </c>
      <c r="C1192" s="1" t="n">
        <v>45966</v>
      </c>
      <c r="D1192" t="inlineStr">
        <is>
          <t>VÄSTERNORRLANDS LÄN</t>
        </is>
      </c>
      <c r="E1192" t="inlineStr">
        <is>
          <t>ÅNGE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26019-2024</t>
        </is>
      </c>
      <c r="B1193" s="1" t="n">
        <v>45467.96015046296</v>
      </c>
      <c r="C1193" s="1" t="n">
        <v>45966</v>
      </c>
      <c r="D1193" t="inlineStr">
        <is>
          <t>VÄSTERNORRLANDS LÄN</t>
        </is>
      </c>
      <c r="E1193" t="inlineStr">
        <is>
          <t>ÅNGE</t>
        </is>
      </c>
      <c r="F1193" t="inlineStr">
        <is>
          <t>SCA</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8747-2022</t>
        </is>
      </c>
      <c r="B1194" s="1" t="n">
        <v>44614.33912037037</v>
      </c>
      <c r="C1194" s="1" t="n">
        <v>45966</v>
      </c>
      <c r="D1194" t="inlineStr">
        <is>
          <t>VÄSTERNORRLANDS LÄN</t>
        </is>
      </c>
      <c r="E1194" t="inlineStr">
        <is>
          <t>ÅNGE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8755-2022</t>
        </is>
      </c>
      <c r="B1195" s="1" t="n">
        <v>44614</v>
      </c>
      <c r="C1195" s="1" t="n">
        <v>45966</v>
      </c>
      <c r="D1195" t="inlineStr">
        <is>
          <t>VÄSTERNORRLANDS LÄN</t>
        </is>
      </c>
      <c r="E1195" t="inlineStr">
        <is>
          <t>ÅNGE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46775-2024</t>
        </is>
      </c>
      <c r="B1196" s="1" t="n">
        <v>45583.49711805556</v>
      </c>
      <c r="C1196" s="1" t="n">
        <v>45966</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46780-2024</t>
        </is>
      </c>
      <c r="B1197" s="1" t="n">
        <v>45583.51076388889</v>
      </c>
      <c r="C1197" s="1" t="n">
        <v>45966</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41355-2024</t>
        </is>
      </c>
      <c r="B1198" s="1" t="n">
        <v>45559.69833333333</v>
      </c>
      <c r="C1198" s="1" t="n">
        <v>45966</v>
      </c>
      <c r="D1198" t="inlineStr">
        <is>
          <t>VÄSTERNORRLANDS LÄN</t>
        </is>
      </c>
      <c r="E1198" t="inlineStr">
        <is>
          <t>ÅNGE</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36723-2025</t>
        </is>
      </c>
      <c r="B1199" s="1" t="n">
        <v>45873.47770833333</v>
      </c>
      <c r="C1199" s="1" t="n">
        <v>45966</v>
      </c>
      <c r="D1199" t="inlineStr">
        <is>
          <t>VÄSTERNORRLANDS LÄN</t>
        </is>
      </c>
      <c r="E1199" t="inlineStr">
        <is>
          <t>ÅNGE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732-2023</t>
        </is>
      </c>
      <c r="B1200" s="1" t="n">
        <v>44931.29981481482</v>
      </c>
      <c r="C1200" s="1" t="n">
        <v>45966</v>
      </c>
      <c r="D1200" t="inlineStr">
        <is>
          <t>VÄSTERNORRLANDS LÄN</t>
        </is>
      </c>
      <c r="E1200" t="inlineStr">
        <is>
          <t>ÅNGE</t>
        </is>
      </c>
      <c r="F1200" t="inlineStr">
        <is>
          <t>Sveaskog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36674-2025</t>
        </is>
      </c>
      <c r="B1201" s="1" t="n">
        <v>45873.3930787037</v>
      </c>
      <c r="C1201" s="1" t="n">
        <v>45966</v>
      </c>
      <c r="D1201" t="inlineStr">
        <is>
          <t>VÄSTERNORRLANDS LÄN</t>
        </is>
      </c>
      <c r="E1201" t="inlineStr">
        <is>
          <t>ÅNGE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6690-2024</t>
        </is>
      </c>
      <c r="B1202" s="1" t="n">
        <v>45341</v>
      </c>
      <c r="C1202" s="1" t="n">
        <v>45966</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58613-2023</t>
        </is>
      </c>
      <c r="B1203" s="1" t="n">
        <v>45251.50709490741</v>
      </c>
      <c r="C1203" s="1" t="n">
        <v>45966</v>
      </c>
      <c r="D1203" t="inlineStr">
        <is>
          <t>VÄSTERNORRLANDS LÄN</t>
        </is>
      </c>
      <c r="E1203" t="inlineStr">
        <is>
          <t>ÅNGE</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64375-2023</t>
        </is>
      </c>
      <c r="B1204" s="1" t="n">
        <v>45280</v>
      </c>
      <c r="C1204" s="1" t="n">
        <v>45966</v>
      </c>
      <c r="D1204" t="inlineStr">
        <is>
          <t>VÄSTERNORRLANDS LÄN</t>
        </is>
      </c>
      <c r="E1204" t="inlineStr">
        <is>
          <t>ÅNGE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1235-2023</t>
        </is>
      </c>
      <c r="B1205" s="1" t="n">
        <v>44935</v>
      </c>
      <c r="C1205" s="1" t="n">
        <v>45966</v>
      </c>
      <c r="D1205" t="inlineStr">
        <is>
          <t>VÄSTERNORRLANDS LÄN</t>
        </is>
      </c>
      <c r="E1205" t="inlineStr">
        <is>
          <t>ÅNGE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62261-2022</t>
        </is>
      </c>
      <c r="B1206" s="1" t="n">
        <v>44922.94378472222</v>
      </c>
      <c r="C1206" s="1" t="n">
        <v>45966</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41302-2024</t>
        </is>
      </c>
      <c r="B1207" s="1" t="n">
        <v>45559.62077546296</v>
      </c>
      <c r="C1207" s="1" t="n">
        <v>45966</v>
      </c>
      <c r="D1207" t="inlineStr">
        <is>
          <t>VÄSTERNORRLANDS LÄN</t>
        </is>
      </c>
      <c r="E1207" t="inlineStr">
        <is>
          <t>ÅNGE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36740-2025</t>
        </is>
      </c>
      <c r="B1208" s="1" t="n">
        <v>45873.53237268519</v>
      </c>
      <c r="C1208" s="1" t="n">
        <v>45966</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5249-2025</t>
        </is>
      </c>
      <c r="B1209" s="1" t="n">
        <v>45692.34465277778</v>
      </c>
      <c r="C1209" s="1" t="n">
        <v>45966</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43366-2024</t>
        </is>
      </c>
      <c r="B1210" s="1" t="n">
        <v>45568</v>
      </c>
      <c r="C1210" s="1" t="n">
        <v>45966</v>
      </c>
      <c r="D1210" t="inlineStr">
        <is>
          <t>VÄSTERNORRLANDS LÄN</t>
        </is>
      </c>
      <c r="E1210" t="inlineStr">
        <is>
          <t>ÅNGE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36456-2025</t>
        </is>
      </c>
      <c r="B1211" s="1" t="n">
        <v>45869.44827546296</v>
      </c>
      <c r="C1211" s="1" t="n">
        <v>45966</v>
      </c>
      <c r="D1211" t="inlineStr">
        <is>
          <t>VÄSTERNORRLANDS LÄN</t>
        </is>
      </c>
      <c r="E1211" t="inlineStr">
        <is>
          <t>ÅNGE</t>
        </is>
      </c>
      <c r="F1211" t="inlineStr">
        <is>
          <t>SCA</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58943-2022</t>
        </is>
      </c>
      <c r="B1212" s="1" t="n">
        <v>44903.64400462963</v>
      </c>
      <c r="C1212" s="1" t="n">
        <v>45966</v>
      </c>
      <c r="D1212" t="inlineStr">
        <is>
          <t>VÄSTERNORRLANDS LÄN</t>
        </is>
      </c>
      <c r="E1212" t="inlineStr">
        <is>
          <t>ÅNGE</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36873-2025</t>
        </is>
      </c>
      <c r="B1213" s="1" t="n">
        <v>45874.42935185185</v>
      </c>
      <c r="C1213" s="1" t="n">
        <v>45966</v>
      </c>
      <c r="D1213" t="inlineStr">
        <is>
          <t>VÄSTERNORRLANDS LÄN</t>
        </is>
      </c>
      <c r="E1213" t="inlineStr">
        <is>
          <t>ÅNGE</t>
        </is>
      </c>
      <c r="F1213" t="inlineStr">
        <is>
          <t>SCA</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35577-2024</t>
        </is>
      </c>
      <c r="B1214" s="1" t="n">
        <v>45531</v>
      </c>
      <c r="C1214" s="1" t="n">
        <v>45966</v>
      </c>
      <c r="D1214" t="inlineStr">
        <is>
          <t>VÄSTERNORRLANDS LÄN</t>
        </is>
      </c>
      <c r="E1214" t="inlineStr">
        <is>
          <t>ÅNGE</t>
        </is>
      </c>
      <c r="F1214" t="inlineStr">
        <is>
          <t>SCA</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35580-2024</t>
        </is>
      </c>
      <c r="B1215" s="1" t="n">
        <v>45531</v>
      </c>
      <c r="C1215" s="1" t="n">
        <v>45966</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28428-2023</t>
        </is>
      </c>
      <c r="B1216" s="1" t="n">
        <v>45102</v>
      </c>
      <c r="C1216" s="1" t="n">
        <v>45966</v>
      </c>
      <c r="D1216" t="inlineStr">
        <is>
          <t>VÄSTERNORRLANDS LÄN</t>
        </is>
      </c>
      <c r="E1216" t="inlineStr">
        <is>
          <t>ÅNGE</t>
        </is>
      </c>
      <c r="F1216" t="inlineStr">
        <is>
          <t>Kyrkan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37045-2025</t>
        </is>
      </c>
      <c r="B1217" s="1" t="n">
        <v>45875.34451388889</v>
      </c>
      <c r="C1217" s="1" t="n">
        <v>45966</v>
      </c>
      <c r="D1217" t="inlineStr">
        <is>
          <t>VÄSTERNORRLANDS LÄN</t>
        </is>
      </c>
      <c r="E1217" t="inlineStr">
        <is>
          <t>ÅNGE</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37047-2025</t>
        </is>
      </c>
      <c r="B1218" s="1" t="n">
        <v>45875.34489583333</v>
      </c>
      <c r="C1218" s="1" t="n">
        <v>45966</v>
      </c>
      <c r="D1218" t="inlineStr">
        <is>
          <t>VÄSTERNORRLANDS LÄN</t>
        </is>
      </c>
      <c r="E1218" t="inlineStr">
        <is>
          <t>ÅNGE</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37108-2025</t>
        </is>
      </c>
      <c r="B1219" s="1" t="n">
        <v>45875</v>
      </c>
      <c r="C1219" s="1" t="n">
        <v>45966</v>
      </c>
      <c r="D1219" t="inlineStr">
        <is>
          <t>VÄSTERNORRLANDS LÄN</t>
        </is>
      </c>
      <c r="E1219" t="inlineStr">
        <is>
          <t>ÅNGE</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29462-2024</t>
        </is>
      </c>
      <c r="B1220" s="1" t="n">
        <v>45483.96979166667</v>
      </c>
      <c r="C1220" s="1" t="n">
        <v>45966</v>
      </c>
      <c r="D1220" t="inlineStr">
        <is>
          <t>VÄSTERNORRLANDS LÄN</t>
        </is>
      </c>
      <c r="E1220" t="inlineStr">
        <is>
          <t>ÅNGE</t>
        </is>
      </c>
      <c r="F1220" t="inlineStr">
        <is>
          <t>SCA</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36249-2025</t>
        </is>
      </c>
      <c r="B1221" s="1" t="n">
        <v>45867</v>
      </c>
      <c r="C1221" s="1" t="n">
        <v>45966</v>
      </c>
      <c r="D1221" t="inlineStr">
        <is>
          <t>VÄSTERNORRLANDS LÄN</t>
        </is>
      </c>
      <c r="E1221" t="inlineStr">
        <is>
          <t>ÅNGE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37177-2025</t>
        </is>
      </c>
      <c r="B1222" s="1" t="n">
        <v>45875.61539351852</v>
      </c>
      <c r="C1222" s="1" t="n">
        <v>45966</v>
      </c>
      <c r="D1222" t="inlineStr">
        <is>
          <t>VÄSTERNORRLANDS LÄN</t>
        </is>
      </c>
      <c r="E1222" t="inlineStr">
        <is>
          <t>ÅNGE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72239-2021</t>
        </is>
      </c>
      <c r="B1223" s="1" t="n">
        <v>44544.9203587963</v>
      </c>
      <c r="C1223" s="1" t="n">
        <v>45966</v>
      </c>
      <c r="D1223" t="inlineStr">
        <is>
          <t>VÄSTERNORRLANDS LÄN</t>
        </is>
      </c>
      <c r="E1223" t="inlineStr">
        <is>
          <t>ÅNGE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37275-2025</t>
        </is>
      </c>
      <c r="B1224" s="1" t="n">
        <v>45876.49003472222</v>
      </c>
      <c r="C1224" s="1" t="n">
        <v>45966</v>
      </c>
      <c r="D1224" t="inlineStr">
        <is>
          <t>VÄSTERNORRLANDS LÄN</t>
        </is>
      </c>
      <c r="E1224" t="inlineStr">
        <is>
          <t>ÅNGE</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37303-2025</t>
        </is>
      </c>
      <c r="B1225" s="1" t="n">
        <v>45876.59445601852</v>
      </c>
      <c r="C1225" s="1" t="n">
        <v>45966</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55177-2024</t>
        </is>
      </c>
      <c r="B1226" s="1" t="n">
        <v>45621.53179398148</v>
      </c>
      <c r="C1226" s="1" t="n">
        <v>45966</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37233-2025</t>
        </is>
      </c>
      <c r="B1227" s="1" t="n">
        <v>45876.34474537037</v>
      </c>
      <c r="C1227" s="1" t="n">
        <v>45966</v>
      </c>
      <c r="D1227" t="inlineStr">
        <is>
          <t>VÄSTERNORRLANDS LÄN</t>
        </is>
      </c>
      <c r="E1227" t="inlineStr">
        <is>
          <t>ÅNGE</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59986-2021</t>
        </is>
      </c>
      <c r="B1228" s="1" t="n">
        <v>44494</v>
      </c>
      <c r="C1228" s="1" t="n">
        <v>45966</v>
      </c>
      <c r="D1228" t="inlineStr">
        <is>
          <t>VÄSTERNORRLANDS LÄN</t>
        </is>
      </c>
      <c r="E1228" t="inlineStr">
        <is>
          <t>ÅNGE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37384-2025</t>
        </is>
      </c>
      <c r="B1229" s="1" t="n">
        <v>45877.3859837963</v>
      </c>
      <c r="C1229" s="1" t="n">
        <v>45966</v>
      </c>
      <c r="D1229" t="inlineStr">
        <is>
          <t>VÄSTERNORRLANDS LÄN</t>
        </is>
      </c>
      <c r="E1229" t="inlineStr">
        <is>
          <t>ÅNGE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30556-2023</t>
        </is>
      </c>
      <c r="B1230" s="1" t="n">
        <v>45111.87935185185</v>
      </c>
      <c r="C1230" s="1" t="n">
        <v>45966</v>
      </c>
      <c r="D1230" t="inlineStr">
        <is>
          <t>VÄSTERNORRLANDS LÄN</t>
        </is>
      </c>
      <c r="E1230" t="inlineStr">
        <is>
          <t>ÅNGE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37371-2025</t>
        </is>
      </c>
      <c r="B1231" s="1" t="n">
        <v>45877.34472222222</v>
      </c>
      <c r="C1231" s="1" t="n">
        <v>45966</v>
      </c>
      <c r="D1231" t="inlineStr">
        <is>
          <t>VÄSTERNORRLANDS LÄN</t>
        </is>
      </c>
      <c r="E1231" t="inlineStr">
        <is>
          <t>ÅNGE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53549-2023</t>
        </is>
      </c>
      <c r="B1232" s="1" t="n">
        <v>45230</v>
      </c>
      <c r="C1232" s="1" t="n">
        <v>45966</v>
      </c>
      <c r="D1232" t="inlineStr">
        <is>
          <t>VÄSTERNORRLANDS LÄN</t>
        </is>
      </c>
      <c r="E1232" t="inlineStr">
        <is>
          <t>ÅNGE</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37383-2025</t>
        </is>
      </c>
      <c r="B1233" s="1" t="n">
        <v>45877.38581018519</v>
      </c>
      <c r="C1233" s="1" t="n">
        <v>45966</v>
      </c>
      <c r="D1233" t="inlineStr">
        <is>
          <t>VÄSTERNORRLANDS LÄN</t>
        </is>
      </c>
      <c r="E1233" t="inlineStr">
        <is>
          <t>ÅNGE</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37719-2025</t>
        </is>
      </c>
      <c r="B1234" s="1" t="n">
        <v>45880.61505787037</v>
      </c>
      <c r="C1234" s="1" t="n">
        <v>45966</v>
      </c>
      <c r="D1234" t="inlineStr">
        <is>
          <t>VÄSTERNORRLANDS LÄN</t>
        </is>
      </c>
      <c r="E1234" t="inlineStr">
        <is>
          <t>ÅNGE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34705-2023</t>
        </is>
      </c>
      <c r="B1235" s="1" t="n">
        <v>45140.96452546296</v>
      </c>
      <c r="C1235" s="1" t="n">
        <v>45966</v>
      </c>
      <c r="D1235" t="inlineStr">
        <is>
          <t>VÄSTERNORRLANDS LÄN</t>
        </is>
      </c>
      <c r="E1235" t="inlineStr">
        <is>
          <t>ÅNGE</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33305-2024</t>
        </is>
      </c>
      <c r="B1236" s="1" t="n">
        <v>45518</v>
      </c>
      <c r="C1236" s="1" t="n">
        <v>45966</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33306-2024</t>
        </is>
      </c>
      <c r="B1237" s="1" t="n">
        <v>45518</v>
      </c>
      <c r="C1237" s="1" t="n">
        <v>45966</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50186-2021</t>
        </is>
      </c>
      <c r="B1238" s="1" t="n">
        <v>44456</v>
      </c>
      <c r="C1238" s="1" t="n">
        <v>45966</v>
      </c>
      <c r="D1238" t="inlineStr">
        <is>
          <t>VÄSTERNORRLANDS LÄN</t>
        </is>
      </c>
      <c r="E1238" t="inlineStr">
        <is>
          <t>ÅNGE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37663-2025</t>
        </is>
      </c>
      <c r="B1239" s="1" t="n">
        <v>45880.51079861111</v>
      </c>
      <c r="C1239" s="1" t="n">
        <v>45966</v>
      </c>
      <c r="D1239" t="inlineStr">
        <is>
          <t>VÄSTERNORRLANDS LÄN</t>
        </is>
      </c>
      <c r="E1239" t="inlineStr">
        <is>
          <t>ÅNGE</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37723-2025</t>
        </is>
      </c>
      <c r="B1240" s="1" t="n">
        <v>45880.61528935185</v>
      </c>
      <c r="C1240" s="1" t="n">
        <v>45966</v>
      </c>
      <c r="D1240" t="inlineStr">
        <is>
          <t>VÄSTERNORRLANDS LÄN</t>
        </is>
      </c>
      <c r="E1240" t="inlineStr">
        <is>
          <t>ÅNGE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34726-2024</t>
        </is>
      </c>
      <c r="B1241" s="1" t="n">
        <v>45526.5733912037</v>
      </c>
      <c r="C1241" s="1" t="n">
        <v>45966</v>
      </c>
      <c r="D1241" t="inlineStr">
        <is>
          <t>VÄSTERNORRLANDS LÄN</t>
        </is>
      </c>
      <c r="E1241" t="inlineStr">
        <is>
          <t>ÅNGE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35392-2024</t>
        </is>
      </c>
      <c r="B1242" s="1" t="n">
        <v>45531.4025462963</v>
      </c>
      <c r="C1242" s="1" t="n">
        <v>45966</v>
      </c>
      <c r="D1242" t="inlineStr">
        <is>
          <t>VÄSTERNORRLANDS LÄN</t>
        </is>
      </c>
      <c r="E1242" t="inlineStr">
        <is>
          <t>ÅNGE</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29270-2024</t>
        </is>
      </c>
      <c r="B1243" s="1" t="n">
        <v>45482.94979166667</v>
      </c>
      <c r="C1243" s="1" t="n">
        <v>45966</v>
      </c>
      <c r="D1243" t="inlineStr">
        <is>
          <t>VÄSTERNORRLANDS LÄN</t>
        </is>
      </c>
      <c r="E1243" t="inlineStr">
        <is>
          <t>ÅNGE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20110-2023</t>
        </is>
      </c>
      <c r="B1244" s="1" t="n">
        <v>45051</v>
      </c>
      <c r="C1244" s="1" t="n">
        <v>45966</v>
      </c>
      <c r="D1244" t="inlineStr">
        <is>
          <t>VÄSTERNORRLANDS LÄN</t>
        </is>
      </c>
      <c r="E1244" t="inlineStr">
        <is>
          <t>ÅNGE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28506-2024</t>
        </is>
      </c>
      <c r="B1245" s="1" t="n">
        <v>45477.9475</v>
      </c>
      <c r="C1245" s="1" t="n">
        <v>45966</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27952-2024</t>
        </is>
      </c>
      <c r="B1246" s="1" t="n">
        <v>45476.33063657407</v>
      </c>
      <c r="C1246" s="1" t="n">
        <v>45966</v>
      </c>
      <c r="D1246" t="inlineStr">
        <is>
          <t>VÄSTERNORRLANDS LÄN</t>
        </is>
      </c>
      <c r="E1246" t="inlineStr">
        <is>
          <t>ÅNGE</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46109-2025</t>
        </is>
      </c>
      <c r="B1247" s="1" t="n">
        <v>45924.5596412037</v>
      </c>
      <c r="C1247" s="1" t="n">
        <v>45966</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46111-2025</t>
        </is>
      </c>
      <c r="B1248" s="1" t="n">
        <v>45924.56684027778</v>
      </c>
      <c r="C1248" s="1" t="n">
        <v>45966</v>
      </c>
      <c r="D1248" t="inlineStr">
        <is>
          <t>VÄSTERNORRLANDS LÄN</t>
        </is>
      </c>
      <c r="E1248" t="inlineStr">
        <is>
          <t>ÅNGE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38078-2025</t>
        </is>
      </c>
      <c r="B1249" s="1" t="n">
        <v>45882.46918981482</v>
      </c>
      <c r="C1249" s="1" t="n">
        <v>45966</v>
      </c>
      <c r="D1249" t="inlineStr">
        <is>
          <t>VÄSTERNORRLANDS LÄN</t>
        </is>
      </c>
      <c r="E1249" t="inlineStr">
        <is>
          <t>ÅNGE</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58634-2023</t>
        </is>
      </c>
      <c r="B1250" s="1" t="n">
        <v>45251</v>
      </c>
      <c r="C1250" s="1" t="n">
        <v>45966</v>
      </c>
      <c r="D1250" t="inlineStr">
        <is>
          <t>VÄSTERNORRLANDS LÄN</t>
        </is>
      </c>
      <c r="E1250" t="inlineStr">
        <is>
          <t>ÅNGE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46416-2025</t>
        </is>
      </c>
      <c r="B1251" s="1" t="n">
        <v>45925.594375</v>
      </c>
      <c r="C1251" s="1" t="n">
        <v>45966</v>
      </c>
      <c r="D1251" t="inlineStr">
        <is>
          <t>VÄSTERNORRLANDS LÄN</t>
        </is>
      </c>
      <c r="E1251" t="inlineStr">
        <is>
          <t>ÅNGE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46419-2025</t>
        </is>
      </c>
      <c r="B1252" s="1" t="n">
        <v>45925.5949537037</v>
      </c>
      <c r="C1252" s="1" t="n">
        <v>45966</v>
      </c>
      <c r="D1252" t="inlineStr">
        <is>
          <t>VÄSTERNORRLANDS LÄN</t>
        </is>
      </c>
      <c r="E1252" t="inlineStr">
        <is>
          <t>ÅNGE</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41825-2022</t>
        </is>
      </c>
      <c r="B1253" s="1" t="n">
        <v>44827</v>
      </c>
      <c r="C1253" s="1" t="n">
        <v>45966</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c r="U1253">
        <f>HYPERLINK("https://klasma.github.io/Logging_2260/knärot/A 41825-2022 karta knärot.png", "A 41825-2022")</f>
        <v/>
      </c>
      <c r="V1253">
        <f>HYPERLINK("https://klasma.github.io/Logging_2260/klagomål/A 41825-2022 FSC-klagomål.docx", "A 41825-2022")</f>
        <v/>
      </c>
      <c r="W1253">
        <f>HYPERLINK("https://klasma.github.io/Logging_2260/klagomålsmail/A 41825-2022 FSC-klagomål mail.docx", "A 41825-2022")</f>
        <v/>
      </c>
      <c r="X1253">
        <f>HYPERLINK("https://klasma.github.io/Logging_2260/tillsyn/A 41825-2022 tillsynsbegäran.docx", "A 41825-2022")</f>
        <v/>
      </c>
      <c r="Y1253">
        <f>HYPERLINK("https://klasma.github.io/Logging_2260/tillsynsmail/A 41825-2022 tillsynsbegäran mail.docx", "A 41825-2022")</f>
        <v/>
      </c>
    </row>
    <row r="1254" ht="15" customHeight="1">
      <c r="A1254" t="inlineStr">
        <is>
          <t>A 35581-2024</t>
        </is>
      </c>
      <c r="B1254" s="1" t="n">
        <v>45531</v>
      </c>
      <c r="C1254" s="1" t="n">
        <v>45966</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35582-2024</t>
        </is>
      </c>
      <c r="B1255" s="1" t="n">
        <v>45531.64800925926</v>
      </c>
      <c r="C1255" s="1" t="n">
        <v>45966</v>
      </c>
      <c r="D1255" t="inlineStr">
        <is>
          <t>VÄSTERNORRLANDS LÄN</t>
        </is>
      </c>
      <c r="E1255" t="inlineStr">
        <is>
          <t>ÅNGE</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38332-2025</t>
        </is>
      </c>
      <c r="B1256" s="1" t="n">
        <v>45883.49151620371</v>
      </c>
      <c r="C1256" s="1" t="n">
        <v>45966</v>
      </c>
      <c r="D1256" t="inlineStr">
        <is>
          <t>VÄSTERNORRLANDS LÄN</t>
        </is>
      </c>
      <c r="E1256" t="inlineStr">
        <is>
          <t>ÅNGE</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4904-2024</t>
        </is>
      </c>
      <c r="B1257" s="1" t="n">
        <v>45329.47856481482</v>
      </c>
      <c r="C1257" s="1" t="n">
        <v>45966</v>
      </c>
      <c r="D1257" t="inlineStr">
        <is>
          <t>VÄSTERNORRLANDS LÄN</t>
        </is>
      </c>
      <c r="E1257" t="inlineStr">
        <is>
          <t>ÅNGE</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38386-2025</t>
        </is>
      </c>
      <c r="B1258" s="1" t="n">
        <v>45883.57430555556</v>
      </c>
      <c r="C1258" s="1" t="n">
        <v>45966</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57592-2022</t>
        </is>
      </c>
      <c r="B1259" s="1" t="n">
        <v>44896.97841435186</v>
      </c>
      <c r="C1259" s="1" t="n">
        <v>45966</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57602-2022</t>
        </is>
      </c>
      <c r="B1260" s="1" t="n">
        <v>44896</v>
      </c>
      <c r="C1260" s="1" t="n">
        <v>45966</v>
      </c>
      <c r="D1260" t="inlineStr">
        <is>
          <t>VÄSTERNORRLANDS LÄN</t>
        </is>
      </c>
      <c r="E1260" t="inlineStr">
        <is>
          <t>ÅNGE</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38283-2025</t>
        </is>
      </c>
      <c r="B1261" s="1" t="n">
        <v>45883.42740740741</v>
      </c>
      <c r="C1261" s="1" t="n">
        <v>45966</v>
      </c>
      <c r="D1261" t="inlineStr">
        <is>
          <t>VÄSTERNORRLANDS LÄN</t>
        </is>
      </c>
      <c r="E1261" t="inlineStr">
        <is>
          <t>ÅNGE</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46267-2025</t>
        </is>
      </c>
      <c r="B1262" s="1" t="n">
        <v>45925.36578703704</v>
      </c>
      <c r="C1262" s="1" t="n">
        <v>45966</v>
      </c>
      <c r="D1262" t="inlineStr">
        <is>
          <t>VÄSTERNORRLANDS LÄN</t>
        </is>
      </c>
      <c r="E1262" t="inlineStr">
        <is>
          <t>ÅNGE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45970-2025</t>
        </is>
      </c>
      <c r="B1263" s="1" t="n">
        <v>45924.36519675926</v>
      </c>
      <c r="C1263" s="1" t="n">
        <v>45966</v>
      </c>
      <c r="D1263" t="inlineStr">
        <is>
          <t>VÄSTERNORRLANDS LÄN</t>
        </is>
      </c>
      <c r="E1263" t="inlineStr">
        <is>
          <t>ÅNGE</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37919-2025</t>
        </is>
      </c>
      <c r="B1264" s="1" t="n">
        <v>45881.57478009259</v>
      </c>
      <c r="C1264" s="1" t="n">
        <v>45966</v>
      </c>
      <c r="D1264" t="inlineStr">
        <is>
          <t>VÄSTERNORRLANDS LÄN</t>
        </is>
      </c>
      <c r="E1264" t="inlineStr">
        <is>
          <t>ÅNGE</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34861-2024</t>
        </is>
      </c>
      <c r="B1265" s="1" t="n">
        <v>45527.339375</v>
      </c>
      <c r="C1265" s="1" t="n">
        <v>45966</v>
      </c>
      <c r="D1265" t="inlineStr">
        <is>
          <t>VÄSTERNORRLANDS LÄN</t>
        </is>
      </c>
      <c r="E1265" t="inlineStr">
        <is>
          <t>ÅNGE</t>
        </is>
      </c>
      <c r="F1265" t="inlineStr">
        <is>
          <t>SCA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37802-2025</t>
        </is>
      </c>
      <c r="B1266" s="1" t="n">
        <v>45881.34447916667</v>
      </c>
      <c r="C1266" s="1" t="n">
        <v>45966</v>
      </c>
      <c r="D1266" t="inlineStr">
        <is>
          <t>VÄSTERNORRLANDS LÄN</t>
        </is>
      </c>
      <c r="E1266" t="inlineStr">
        <is>
          <t>ÅNGE</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38273-2025</t>
        </is>
      </c>
      <c r="B1267" s="1" t="n">
        <v>45883.40740740741</v>
      </c>
      <c r="C1267" s="1" t="n">
        <v>45966</v>
      </c>
      <c r="D1267" t="inlineStr">
        <is>
          <t>VÄSTERNORRLANDS LÄN</t>
        </is>
      </c>
      <c r="E1267" t="inlineStr">
        <is>
          <t>ÅNGE</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22680-2024</t>
        </is>
      </c>
      <c r="B1268" s="1" t="n">
        <v>45447.94548611111</v>
      </c>
      <c r="C1268" s="1" t="n">
        <v>45966</v>
      </c>
      <c r="D1268" t="inlineStr">
        <is>
          <t>VÄSTERNORRLANDS LÄN</t>
        </is>
      </c>
      <c r="E1268" t="inlineStr">
        <is>
          <t>ÅNGE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18430-2025</t>
        </is>
      </c>
      <c r="B1269" s="1" t="n">
        <v>45762.63576388889</v>
      </c>
      <c r="C1269" s="1" t="n">
        <v>45966</v>
      </c>
      <c r="D1269" t="inlineStr">
        <is>
          <t>VÄSTERNORRLANDS LÄN</t>
        </is>
      </c>
      <c r="E1269" t="inlineStr">
        <is>
          <t>ÅNGE</t>
        </is>
      </c>
      <c r="F1269" t="inlineStr">
        <is>
          <t>SCA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13501-2021</t>
        </is>
      </c>
      <c r="B1270" s="1" t="n">
        <v>44273</v>
      </c>
      <c r="C1270" s="1" t="n">
        <v>45966</v>
      </c>
      <c r="D1270" t="inlineStr">
        <is>
          <t>VÄSTERNORRLANDS LÄN</t>
        </is>
      </c>
      <c r="E1270" t="inlineStr">
        <is>
          <t>ÅNGE</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61461-2023</t>
        </is>
      </c>
      <c r="B1271" s="1" t="n">
        <v>45264.9261574074</v>
      </c>
      <c r="C1271" s="1" t="n">
        <v>45966</v>
      </c>
      <c r="D1271" t="inlineStr">
        <is>
          <t>VÄSTERNORRLANDS LÄN</t>
        </is>
      </c>
      <c r="E1271" t="inlineStr">
        <is>
          <t>ÅNGE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39005-2024</t>
        </is>
      </c>
      <c r="B1272" s="1" t="n">
        <v>45548.42743055556</v>
      </c>
      <c r="C1272" s="1" t="n">
        <v>45966</v>
      </c>
      <c r="D1272" t="inlineStr">
        <is>
          <t>VÄSTERNORRLANDS LÄN</t>
        </is>
      </c>
      <c r="E1272" t="inlineStr">
        <is>
          <t>ÅNGE</t>
        </is>
      </c>
      <c r="F1272" t="inlineStr">
        <is>
          <t>SCA</t>
        </is>
      </c>
      <c r="G1272" t="n">
        <v>2.6</v>
      </c>
      <c r="H1272" t="n">
        <v>0</v>
      </c>
      <c r="I1272" t="n">
        <v>0</v>
      </c>
      <c r="J1272" t="n">
        <v>0</v>
      </c>
      <c r="K1272" t="n">
        <v>0</v>
      </c>
      <c r="L1272" t="n">
        <v>0</v>
      </c>
      <c r="M1272" t="n">
        <v>0</v>
      </c>
      <c r="N1272" t="n">
        <v>0</v>
      </c>
      <c r="O1272" t="n">
        <v>0</v>
      </c>
      <c r="P1272" t="n">
        <v>0</v>
      </c>
      <c r="Q1272" t="n">
        <v>0</v>
      </c>
      <c r="R1272" s="2" t="inlineStr"/>
      <c r="U1272">
        <f>HYPERLINK("https://klasma.github.io/Logging_2260/knärot/A 39005-2024 karta knärot.png", "A 39005-2024")</f>
        <v/>
      </c>
      <c r="V1272">
        <f>HYPERLINK("https://klasma.github.io/Logging_2260/klagomål/A 39005-2024 FSC-klagomål.docx", "A 39005-2024")</f>
        <v/>
      </c>
      <c r="W1272">
        <f>HYPERLINK("https://klasma.github.io/Logging_2260/klagomålsmail/A 39005-2024 FSC-klagomål mail.docx", "A 39005-2024")</f>
        <v/>
      </c>
      <c r="X1272">
        <f>HYPERLINK("https://klasma.github.io/Logging_2260/tillsyn/A 39005-2024 tillsynsbegäran.docx", "A 39005-2024")</f>
        <v/>
      </c>
      <c r="Y1272">
        <f>HYPERLINK("https://klasma.github.io/Logging_2260/tillsynsmail/A 39005-2024 tillsynsbegäran mail.docx", "A 39005-2024")</f>
        <v/>
      </c>
    </row>
    <row r="1273" ht="15" customHeight="1">
      <c r="A1273" t="inlineStr">
        <is>
          <t>A 3624-2024</t>
        </is>
      </c>
      <c r="B1273" s="1" t="n">
        <v>45320.95305555555</v>
      </c>
      <c r="C1273" s="1" t="n">
        <v>45966</v>
      </c>
      <c r="D1273" t="inlineStr">
        <is>
          <t>VÄSTERNORRLANDS LÄN</t>
        </is>
      </c>
      <c r="E1273" t="inlineStr">
        <is>
          <t>ÅNGE</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10922-2024</t>
        </is>
      </c>
      <c r="B1274" s="1" t="n">
        <v>45370</v>
      </c>
      <c r="C1274" s="1" t="n">
        <v>45966</v>
      </c>
      <c r="D1274" t="inlineStr">
        <is>
          <t>VÄSTERNORRLANDS LÄN</t>
        </is>
      </c>
      <c r="E1274" t="inlineStr">
        <is>
          <t>ÅNGE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57593-2022</t>
        </is>
      </c>
      <c r="B1275" s="1" t="n">
        <v>44896.97847222222</v>
      </c>
      <c r="C1275" s="1" t="n">
        <v>45966</v>
      </c>
      <c r="D1275" t="inlineStr">
        <is>
          <t>VÄSTERNORRLANDS LÄN</t>
        </is>
      </c>
      <c r="E1275" t="inlineStr">
        <is>
          <t>ÅNGE</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57596-2022</t>
        </is>
      </c>
      <c r="B1276" s="1" t="n">
        <v>44896.97871527778</v>
      </c>
      <c r="C1276" s="1" t="n">
        <v>45966</v>
      </c>
      <c r="D1276" t="inlineStr">
        <is>
          <t>VÄSTERNORRLANDS LÄN</t>
        </is>
      </c>
      <c r="E1276" t="inlineStr">
        <is>
          <t>ÅNGE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57598-2022</t>
        </is>
      </c>
      <c r="B1277" s="1" t="n">
        <v>44896</v>
      </c>
      <c r="C1277" s="1" t="n">
        <v>45966</v>
      </c>
      <c r="D1277" t="inlineStr">
        <is>
          <t>VÄSTERNORRLANDS LÄN</t>
        </is>
      </c>
      <c r="E1277" t="inlineStr">
        <is>
          <t>ÅNGE</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23063-2024</t>
        </is>
      </c>
      <c r="B1278" s="1" t="n">
        <v>45450.44278935185</v>
      </c>
      <c r="C1278" s="1" t="n">
        <v>45966</v>
      </c>
      <c r="D1278" t="inlineStr">
        <is>
          <t>VÄSTERNORRLANDS LÄN</t>
        </is>
      </c>
      <c r="E1278" t="inlineStr">
        <is>
          <t>ÅNGE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10558-2023</t>
        </is>
      </c>
      <c r="B1279" s="1" t="n">
        <v>44987.94438657408</v>
      </c>
      <c r="C1279" s="1" t="n">
        <v>45966</v>
      </c>
      <c r="D1279" t="inlineStr">
        <is>
          <t>VÄSTERNORRLANDS LÄN</t>
        </is>
      </c>
      <c r="E1279" t="inlineStr">
        <is>
          <t>ÅNGE</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44158-2024</t>
        </is>
      </c>
      <c r="B1280" s="1" t="n">
        <v>45572</v>
      </c>
      <c r="C1280" s="1" t="n">
        <v>45966</v>
      </c>
      <c r="D1280" t="inlineStr">
        <is>
          <t>VÄSTERNORRLANDS LÄN</t>
        </is>
      </c>
      <c r="E1280" t="inlineStr">
        <is>
          <t>ÅNGE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27951-2021</t>
        </is>
      </c>
      <c r="B1281" s="1" t="n">
        <v>44354</v>
      </c>
      <c r="C1281" s="1" t="n">
        <v>45966</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41829-2021</t>
        </is>
      </c>
      <c r="B1282" s="1" t="n">
        <v>44425.92202546296</v>
      </c>
      <c r="C1282" s="1" t="n">
        <v>45966</v>
      </c>
      <c r="D1282" t="inlineStr">
        <is>
          <t>VÄSTERNORRLANDS LÄN</t>
        </is>
      </c>
      <c r="E1282" t="inlineStr">
        <is>
          <t>ÅNGE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25903-2022</t>
        </is>
      </c>
      <c r="B1283" s="1" t="n">
        <v>44733</v>
      </c>
      <c r="C1283" s="1" t="n">
        <v>45966</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1103-2023</t>
        </is>
      </c>
      <c r="B1284" s="1" t="n">
        <v>44929</v>
      </c>
      <c r="C1284" s="1" t="n">
        <v>45966</v>
      </c>
      <c r="D1284" t="inlineStr">
        <is>
          <t>VÄSTERNORRLANDS LÄN</t>
        </is>
      </c>
      <c r="E1284" t="inlineStr">
        <is>
          <t>ÅNGE</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2140-2023</t>
        </is>
      </c>
      <c r="B1285" s="1" t="n">
        <v>44940</v>
      </c>
      <c r="C1285" s="1" t="n">
        <v>45966</v>
      </c>
      <c r="D1285" t="inlineStr">
        <is>
          <t>VÄSTERNORRLANDS LÄN</t>
        </is>
      </c>
      <c r="E1285" t="inlineStr">
        <is>
          <t>ÅNGE</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47488-2023</t>
        </is>
      </c>
      <c r="B1286" s="1" t="n">
        <v>45202.94168981481</v>
      </c>
      <c r="C1286" s="1" t="n">
        <v>45966</v>
      </c>
      <c r="D1286" t="inlineStr">
        <is>
          <t>VÄSTERNORRLANDS LÄN</t>
        </is>
      </c>
      <c r="E1286" t="inlineStr">
        <is>
          <t>ÅNGE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34754-2024</t>
        </is>
      </c>
      <c r="B1287" s="1" t="n">
        <v>45526</v>
      </c>
      <c r="C1287" s="1" t="n">
        <v>45966</v>
      </c>
      <c r="D1287" t="inlineStr">
        <is>
          <t>VÄSTERNORRLANDS LÄN</t>
        </is>
      </c>
      <c r="E1287" t="inlineStr">
        <is>
          <t>ÅNGE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3362-2023</t>
        </is>
      </c>
      <c r="B1288" s="1" t="n">
        <v>44945</v>
      </c>
      <c r="C1288" s="1" t="n">
        <v>45966</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59600-2024</t>
        </is>
      </c>
      <c r="B1289" s="1" t="n">
        <v>45638.71763888889</v>
      </c>
      <c r="C1289" s="1" t="n">
        <v>45966</v>
      </c>
      <c r="D1289" t="inlineStr">
        <is>
          <t>VÄSTERNORRLANDS LÄN</t>
        </is>
      </c>
      <c r="E1289" t="inlineStr">
        <is>
          <t>ÅNGE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52685-2024</t>
        </is>
      </c>
      <c r="B1290" s="1" t="n">
        <v>45610</v>
      </c>
      <c r="C1290" s="1" t="n">
        <v>45966</v>
      </c>
      <c r="D1290" t="inlineStr">
        <is>
          <t>VÄSTERNORRLANDS LÄN</t>
        </is>
      </c>
      <c r="E1290" t="inlineStr">
        <is>
          <t>ÅNGE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36466-2024</t>
        </is>
      </c>
      <c r="B1291" s="1" t="n">
        <v>45537.35872685185</v>
      </c>
      <c r="C1291" s="1" t="n">
        <v>45966</v>
      </c>
      <c r="D1291" t="inlineStr">
        <is>
          <t>VÄSTERNORRLANDS LÄN</t>
        </is>
      </c>
      <c r="E1291" t="inlineStr">
        <is>
          <t>ÅNGE</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54720-2024</t>
        </is>
      </c>
      <c r="B1292" s="1" t="n">
        <v>45618.43715277778</v>
      </c>
      <c r="C1292" s="1" t="n">
        <v>45966</v>
      </c>
      <c r="D1292" t="inlineStr">
        <is>
          <t>VÄSTERNORRLANDS LÄN</t>
        </is>
      </c>
      <c r="E1292" t="inlineStr">
        <is>
          <t>ÅNGE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35650-2024</t>
        </is>
      </c>
      <c r="B1293" s="1" t="n">
        <v>45532.34123842593</v>
      </c>
      <c r="C1293" s="1" t="n">
        <v>45966</v>
      </c>
      <c r="D1293" t="inlineStr">
        <is>
          <t>VÄSTERNORRLANDS LÄN</t>
        </is>
      </c>
      <c r="E1293" t="inlineStr">
        <is>
          <t>ÅNGE</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19709-2025</t>
        </is>
      </c>
      <c r="B1294" s="1" t="n">
        <v>45771.34263888889</v>
      </c>
      <c r="C1294" s="1" t="n">
        <v>45966</v>
      </c>
      <c r="D1294" t="inlineStr">
        <is>
          <t>VÄSTERNORRLANDS LÄN</t>
        </is>
      </c>
      <c r="E1294" t="inlineStr">
        <is>
          <t>ÅNGE</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11531-2023</t>
        </is>
      </c>
      <c r="B1295" s="1" t="n">
        <v>44993.77038194444</v>
      </c>
      <c r="C1295" s="1" t="n">
        <v>45966</v>
      </c>
      <c r="D1295" t="inlineStr">
        <is>
          <t>VÄSTERNORRLANDS LÄN</t>
        </is>
      </c>
      <c r="E1295" t="inlineStr">
        <is>
          <t>ÅNGE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11532-2023</t>
        </is>
      </c>
      <c r="B1296" s="1" t="n">
        <v>44993.77212962963</v>
      </c>
      <c r="C1296" s="1" t="n">
        <v>45966</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45459-2022</t>
        </is>
      </c>
      <c r="B1297" s="1" t="n">
        <v>44845</v>
      </c>
      <c r="C1297" s="1" t="n">
        <v>45966</v>
      </c>
      <c r="D1297" t="inlineStr">
        <is>
          <t>VÄSTERNORRLANDS LÄN</t>
        </is>
      </c>
      <c r="E1297" t="inlineStr">
        <is>
          <t>ÅNGE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41758-2024</t>
        </is>
      </c>
      <c r="B1298" s="1" t="n">
        <v>45561.34478009259</v>
      </c>
      <c r="C1298" s="1" t="n">
        <v>45966</v>
      </c>
      <c r="D1298" t="inlineStr">
        <is>
          <t>VÄSTERNORRLANDS LÄN</t>
        </is>
      </c>
      <c r="E1298" t="inlineStr">
        <is>
          <t>ÅNGE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9759-2024</t>
        </is>
      </c>
      <c r="B1299" s="1" t="n">
        <v>45362</v>
      </c>
      <c r="C1299" s="1" t="n">
        <v>45966</v>
      </c>
      <c r="D1299" t="inlineStr">
        <is>
          <t>VÄSTERNORRLANDS LÄN</t>
        </is>
      </c>
      <c r="E1299" t="inlineStr">
        <is>
          <t>ÅNGE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55328-2023</t>
        </is>
      </c>
      <c r="B1300" s="1" t="n">
        <v>45237</v>
      </c>
      <c r="C1300" s="1" t="n">
        <v>45966</v>
      </c>
      <c r="D1300" t="inlineStr">
        <is>
          <t>VÄSTERNORRLANDS LÄN</t>
        </is>
      </c>
      <c r="E1300" t="inlineStr">
        <is>
          <t>ÅNGE</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5369-2022</t>
        </is>
      </c>
      <c r="B1301" s="1" t="n">
        <v>44594.92113425926</v>
      </c>
      <c r="C1301" s="1" t="n">
        <v>45966</v>
      </c>
      <c r="D1301" t="inlineStr">
        <is>
          <t>VÄSTERNORRLANDS LÄN</t>
        </is>
      </c>
      <c r="E1301" t="inlineStr">
        <is>
          <t>ÅNGE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213-2024</t>
        </is>
      </c>
      <c r="B1302" s="1" t="n">
        <v>45293</v>
      </c>
      <c r="C1302" s="1" t="n">
        <v>45966</v>
      </c>
      <c r="D1302" t="inlineStr">
        <is>
          <t>VÄSTERNORRLANDS LÄN</t>
        </is>
      </c>
      <c r="E1302" t="inlineStr">
        <is>
          <t>ÅNGE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4872-2025</t>
        </is>
      </c>
      <c r="B1303" s="1" t="n">
        <v>45688.67619212963</v>
      </c>
      <c r="C1303" s="1" t="n">
        <v>45966</v>
      </c>
      <c r="D1303" t="inlineStr">
        <is>
          <t>VÄSTERNORRLANDS LÄN</t>
        </is>
      </c>
      <c r="E1303" t="inlineStr">
        <is>
          <t>ÅNGE</t>
        </is>
      </c>
      <c r="F1303" t="inlineStr">
        <is>
          <t>SCA</t>
        </is>
      </c>
      <c r="G1303" t="n">
        <v>31.3</v>
      </c>
      <c r="H1303" t="n">
        <v>0</v>
      </c>
      <c r="I1303" t="n">
        <v>0</v>
      </c>
      <c r="J1303" t="n">
        <v>0</v>
      </c>
      <c r="K1303" t="n">
        <v>0</v>
      </c>
      <c r="L1303" t="n">
        <v>0</v>
      </c>
      <c r="M1303" t="n">
        <v>0</v>
      </c>
      <c r="N1303" t="n">
        <v>0</v>
      </c>
      <c r="O1303" t="n">
        <v>0</v>
      </c>
      <c r="P1303" t="n">
        <v>0</v>
      </c>
      <c r="Q1303" t="n">
        <v>0</v>
      </c>
      <c r="R1303" s="2" t="inlineStr"/>
      <c r="U1303">
        <f>HYPERLINK("https://klasma.github.io/Logging_2260/knärot/A 4872-2025 karta knärot.png", "A 4872-2025")</f>
        <v/>
      </c>
      <c r="V1303">
        <f>HYPERLINK("https://klasma.github.io/Logging_2260/klagomål/A 4872-2025 FSC-klagomål.docx", "A 4872-2025")</f>
        <v/>
      </c>
      <c r="W1303">
        <f>HYPERLINK("https://klasma.github.io/Logging_2260/klagomålsmail/A 4872-2025 FSC-klagomål mail.docx", "A 4872-2025")</f>
        <v/>
      </c>
      <c r="X1303">
        <f>HYPERLINK("https://klasma.github.io/Logging_2260/tillsyn/A 4872-2025 tillsynsbegäran.docx", "A 4872-2025")</f>
        <v/>
      </c>
      <c r="Y1303">
        <f>HYPERLINK("https://klasma.github.io/Logging_2260/tillsynsmail/A 4872-2025 tillsynsbegäran mail.docx", "A 4872-2025")</f>
        <v/>
      </c>
    </row>
    <row r="1304" ht="15" customHeight="1">
      <c r="A1304" t="inlineStr">
        <is>
          <t>A 35426-2024</t>
        </is>
      </c>
      <c r="B1304" s="1" t="n">
        <v>45531</v>
      </c>
      <c r="C1304" s="1" t="n">
        <v>45966</v>
      </c>
      <c r="D1304" t="inlineStr">
        <is>
          <t>VÄSTERNORRLANDS LÄN</t>
        </is>
      </c>
      <c r="E1304" t="inlineStr">
        <is>
          <t>ÅNGE</t>
        </is>
      </c>
      <c r="F1304" t="inlineStr">
        <is>
          <t>SCA</t>
        </is>
      </c>
      <c r="G1304" t="n">
        <v>10.9</v>
      </c>
      <c r="H1304" t="n">
        <v>0</v>
      </c>
      <c r="I1304" t="n">
        <v>0</v>
      </c>
      <c r="J1304" t="n">
        <v>0</v>
      </c>
      <c r="K1304" t="n">
        <v>0</v>
      </c>
      <c r="L1304" t="n">
        <v>0</v>
      </c>
      <c r="M1304" t="n">
        <v>0</v>
      </c>
      <c r="N1304" t="n">
        <v>0</v>
      </c>
      <c r="O1304" t="n">
        <v>0</v>
      </c>
      <c r="P1304" t="n">
        <v>0</v>
      </c>
      <c r="Q1304" t="n">
        <v>0</v>
      </c>
      <c r="R1304" s="2" t="inlineStr"/>
    </row>
    <row r="1305" ht="15" customHeight="1">
      <c r="A1305" t="inlineStr">
        <is>
          <t>A 35488-2024</t>
        </is>
      </c>
      <c r="B1305" s="1" t="n">
        <v>45531</v>
      </c>
      <c r="C1305" s="1" t="n">
        <v>45966</v>
      </c>
      <c r="D1305" t="inlineStr">
        <is>
          <t>VÄSTERNORRLANDS LÄN</t>
        </is>
      </c>
      <c r="E1305" t="inlineStr">
        <is>
          <t>ÅNGE</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3347-2024</t>
        </is>
      </c>
      <c r="B1306" s="1" t="n">
        <v>45317</v>
      </c>
      <c r="C1306" s="1" t="n">
        <v>45966</v>
      </c>
      <c r="D1306" t="inlineStr">
        <is>
          <t>VÄSTERNORRLANDS LÄN</t>
        </is>
      </c>
      <c r="E1306" t="inlineStr">
        <is>
          <t>ÅNGE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31563-2024</t>
        </is>
      </c>
      <c r="B1307" s="1" t="n">
        <v>45505</v>
      </c>
      <c r="C1307" s="1" t="n">
        <v>45966</v>
      </c>
      <c r="D1307" t="inlineStr">
        <is>
          <t>VÄSTERNORRLANDS LÄN</t>
        </is>
      </c>
      <c r="E1307" t="inlineStr">
        <is>
          <t>ÅNGE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741-2024</t>
        </is>
      </c>
      <c r="B1308" s="1" t="n">
        <v>45300.46591435185</v>
      </c>
      <c r="C1308" s="1" t="n">
        <v>45966</v>
      </c>
      <c r="D1308" t="inlineStr">
        <is>
          <t>VÄSTERNORRLANDS LÄN</t>
        </is>
      </c>
      <c r="E1308" t="inlineStr">
        <is>
          <t>ÅNGE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48369-2024</t>
        </is>
      </c>
      <c r="B1309" s="1" t="n">
        <v>45590.57960648148</v>
      </c>
      <c r="C1309" s="1" t="n">
        <v>45966</v>
      </c>
      <c r="D1309" t="inlineStr">
        <is>
          <t>VÄSTERNORRLANDS LÄN</t>
        </is>
      </c>
      <c r="E1309" t="inlineStr">
        <is>
          <t>ÅNGE</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16524-2025</t>
        </is>
      </c>
      <c r="B1310" s="1" t="n">
        <v>45751.64310185185</v>
      </c>
      <c r="C1310" s="1" t="n">
        <v>45966</v>
      </c>
      <c r="D1310" t="inlineStr">
        <is>
          <t>VÄSTERNORRLANDS LÄN</t>
        </is>
      </c>
      <c r="E1310" t="inlineStr">
        <is>
          <t>ÅNGE</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52683-2024</t>
        </is>
      </c>
      <c r="B1311" s="1" t="n">
        <v>45610</v>
      </c>
      <c r="C1311" s="1" t="n">
        <v>45966</v>
      </c>
      <c r="D1311" t="inlineStr">
        <is>
          <t>VÄSTERNORRLANDS LÄN</t>
        </is>
      </c>
      <c r="E1311" t="inlineStr">
        <is>
          <t>ÅNGE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40790-2023</t>
        </is>
      </c>
      <c r="B1312" s="1" t="n">
        <v>45170.95814814815</v>
      </c>
      <c r="C1312" s="1" t="n">
        <v>45966</v>
      </c>
      <c r="D1312" t="inlineStr">
        <is>
          <t>VÄSTERNORRLANDS LÄN</t>
        </is>
      </c>
      <c r="E1312" t="inlineStr">
        <is>
          <t>ÅNGE</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38002-2024</t>
        </is>
      </c>
      <c r="B1313" s="1" t="n">
        <v>45544.61484953704</v>
      </c>
      <c r="C1313" s="1" t="n">
        <v>45966</v>
      </c>
      <c r="D1313" t="inlineStr">
        <is>
          <t>VÄSTERNORRLANDS LÄN</t>
        </is>
      </c>
      <c r="E1313" t="inlineStr">
        <is>
          <t>ÅNGE</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60514-2024</t>
        </is>
      </c>
      <c r="B1314" s="1" t="n">
        <v>45643.67474537037</v>
      </c>
      <c r="C1314" s="1" t="n">
        <v>45966</v>
      </c>
      <c r="D1314" t="inlineStr">
        <is>
          <t>VÄSTERNORRLANDS LÄN</t>
        </is>
      </c>
      <c r="E1314" t="inlineStr">
        <is>
          <t>ÅNGE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6684-2024</t>
        </is>
      </c>
      <c r="B1315" s="1" t="n">
        <v>45341.92555555556</v>
      </c>
      <c r="C1315" s="1" t="n">
        <v>45966</v>
      </c>
      <c r="D1315" t="inlineStr">
        <is>
          <t>VÄSTERNORRLANDS LÄN</t>
        </is>
      </c>
      <c r="E1315" t="inlineStr">
        <is>
          <t>ÅNGE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6691-2024</t>
        </is>
      </c>
      <c r="B1316" s="1" t="n">
        <v>45341</v>
      </c>
      <c r="C1316" s="1" t="n">
        <v>45966</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56874-2024</t>
        </is>
      </c>
      <c r="B1317" s="1" t="n">
        <v>45628</v>
      </c>
      <c r="C1317" s="1" t="n">
        <v>45966</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58087-2024</t>
        </is>
      </c>
      <c r="B1318" s="1" t="n">
        <v>45632.34502314815</v>
      </c>
      <c r="C1318" s="1" t="n">
        <v>45966</v>
      </c>
      <c r="D1318" t="inlineStr">
        <is>
          <t>VÄSTERNORRLANDS LÄN</t>
        </is>
      </c>
      <c r="E1318" t="inlineStr">
        <is>
          <t>ÅNGE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21200-2024</t>
        </is>
      </c>
      <c r="B1319" s="1" t="n">
        <v>45440</v>
      </c>
      <c r="C1319" s="1" t="n">
        <v>45966</v>
      </c>
      <c r="D1319" t="inlineStr">
        <is>
          <t>VÄSTERNORRLANDS LÄN</t>
        </is>
      </c>
      <c r="E1319" t="inlineStr">
        <is>
          <t>ÅNGE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10017-2025</t>
        </is>
      </c>
      <c r="B1320" s="1" t="n">
        <v>45719.46957175926</v>
      </c>
      <c r="C1320" s="1" t="n">
        <v>45966</v>
      </c>
      <c r="D1320" t="inlineStr">
        <is>
          <t>VÄSTERNORRLANDS LÄN</t>
        </is>
      </c>
      <c r="E1320" t="inlineStr">
        <is>
          <t>ÅNGE</t>
        </is>
      </c>
      <c r="F1320" t="inlineStr">
        <is>
          <t>SCA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1127-2023</t>
        </is>
      </c>
      <c r="B1321" s="1" t="n">
        <v>44929</v>
      </c>
      <c r="C1321" s="1" t="n">
        <v>45966</v>
      </c>
      <c r="D1321" t="inlineStr">
        <is>
          <t>VÄSTERNORRLANDS LÄN</t>
        </is>
      </c>
      <c r="E1321" t="inlineStr">
        <is>
          <t>ÅNGE</t>
        </is>
      </c>
      <c r="G1321" t="n">
        <v>10.5</v>
      </c>
      <c r="H1321" t="n">
        <v>0</v>
      </c>
      <c r="I1321" t="n">
        <v>0</v>
      </c>
      <c r="J1321" t="n">
        <v>0</v>
      </c>
      <c r="K1321" t="n">
        <v>0</v>
      </c>
      <c r="L1321" t="n">
        <v>0</v>
      </c>
      <c r="M1321" t="n">
        <v>0</v>
      </c>
      <c r="N1321" t="n">
        <v>0</v>
      </c>
      <c r="O1321" t="n">
        <v>0</v>
      </c>
      <c r="P1321" t="n">
        <v>0</v>
      </c>
      <c r="Q1321" t="n">
        <v>0</v>
      </c>
      <c r="R1321" s="2" t="inlineStr"/>
    </row>
    <row r="1322" ht="15" customHeight="1">
      <c r="A1322" t="inlineStr">
        <is>
          <t>A 22755-2023</t>
        </is>
      </c>
      <c r="B1322" s="1" t="n">
        <v>45071.94127314815</v>
      </c>
      <c r="C1322" s="1" t="n">
        <v>45966</v>
      </c>
      <c r="D1322" t="inlineStr">
        <is>
          <t>VÄSTERNORRLANDS LÄN</t>
        </is>
      </c>
      <c r="E1322" t="inlineStr">
        <is>
          <t>ÅNGE</t>
        </is>
      </c>
      <c r="F1322" t="inlineStr">
        <is>
          <t>SCA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4727-2023</t>
        </is>
      </c>
      <c r="B1323" s="1" t="n">
        <v>44953</v>
      </c>
      <c r="C1323" s="1" t="n">
        <v>45966</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42881-2023</t>
        </is>
      </c>
      <c r="B1324" s="1" t="n">
        <v>45182.45256944445</v>
      </c>
      <c r="C1324" s="1" t="n">
        <v>45966</v>
      </c>
      <c r="D1324" t="inlineStr">
        <is>
          <t>VÄSTERNORRLANDS LÄN</t>
        </is>
      </c>
      <c r="E1324" t="inlineStr">
        <is>
          <t>ÅNGE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30474-2024</t>
        </is>
      </c>
      <c r="B1325" s="1" t="n">
        <v>45491</v>
      </c>
      <c r="C1325" s="1" t="n">
        <v>45966</v>
      </c>
      <c r="D1325" t="inlineStr">
        <is>
          <t>VÄSTERNORRLANDS LÄN</t>
        </is>
      </c>
      <c r="E1325" t="inlineStr">
        <is>
          <t>ÅNGE</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30475-2024</t>
        </is>
      </c>
      <c r="B1326" s="1" t="n">
        <v>45491</v>
      </c>
      <c r="C1326" s="1" t="n">
        <v>45966</v>
      </c>
      <c r="D1326" t="inlineStr">
        <is>
          <t>VÄSTERNORRLANDS LÄN</t>
        </is>
      </c>
      <c r="E1326" t="inlineStr">
        <is>
          <t>ÅNGE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47243-2024</t>
        </is>
      </c>
      <c r="B1327" s="1" t="n">
        <v>45586.6987962963</v>
      </c>
      <c r="C1327" s="1" t="n">
        <v>45966</v>
      </c>
      <c r="D1327" t="inlineStr">
        <is>
          <t>VÄSTERNORRLANDS LÄN</t>
        </is>
      </c>
      <c r="E1327" t="inlineStr">
        <is>
          <t>ÅNGE</t>
        </is>
      </c>
      <c r="F1327" t="inlineStr">
        <is>
          <t>SCA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42043-2024</t>
        </is>
      </c>
      <c r="B1328" s="1" t="n">
        <v>45561</v>
      </c>
      <c r="C1328" s="1" t="n">
        <v>45966</v>
      </c>
      <c r="D1328" t="inlineStr">
        <is>
          <t>VÄSTERNORRLANDS LÄN</t>
        </is>
      </c>
      <c r="E1328" t="inlineStr">
        <is>
          <t>ÅNGE</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42046-2024</t>
        </is>
      </c>
      <c r="B1329" s="1" t="n">
        <v>45561.83422453704</v>
      </c>
      <c r="C1329" s="1" t="n">
        <v>45966</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55664-2023</t>
        </is>
      </c>
      <c r="B1330" s="1" t="n">
        <v>45238.96748842593</v>
      </c>
      <c r="C1330" s="1" t="n">
        <v>45966</v>
      </c>
      <c r="D1330" t="inlineStr">
        <is>
          <t>VÄSTERNORRLANDS LÄN</t>
        </is>
      </c>
      <c r="E1330" t="inlineStr">
        <is>
          <t>ÅNGE</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57595-2022</t>
        </is>
      </c>
      <c r="B1331" s="1" t="n">
        <v>44896.97862268519</v>
      </c>
      <c r="C1331" s="1" t="n">
        <v>45966</v>
      </c>
      <c r="D1331" t="inlineStr">
        <is>
          <t>VÄSTERNORRLANDS LÄN</t>
        </is>
      </c>
      <c r="E1331" t="inlineStr">
        <is>
          <t>ÅNGE</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30747-2024</t>
        </is>
      </c>
      <c r="B1332" s="1" t="n">
        <v>45496</v>
      </c>
      <c r="C1332" s="1" t="n">
        <v>45966</v>
      </c>
      <c r="D1332" t="inlineStr">
        <is>
          <t>VÄSTERNORRLANDS LÄN</t>
        </is>
      </c>
      <c r="E1332" t="inlineStr">
        <is>
          <t>ÅNGE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58939-2021</t>
        </is>
      </c>
      <c r="B1333" s="1" t="n">
        <v>44489</v>
      </c>
      <c r="C1333" s="1" t="n">
        <v>45966</v>
      </c>
      <c r="D1333" t="inlineStr">
        <is>
          <t>VÄSTERNORRLANDS LÄN</t>
        </is>
      </c>
      <c r="E1333" t="inlineStr">
        <is>
          <t>ÅNGE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58639-2023</t>
        </is>
      </c>
      <c r="B1334" s="1" t="n">
        <v>45251</v>
      </c>
      <c r="C1334" s="1" t="n">
        <v>45966</v>
      </c>
      <c r="D1334" t="inlineStr">
        <is>
          <t>VÄSTERNORRLANDS LÄN</t>
        </is>
      </c>
      <c r="E1334" t="inlineStr">
        <is>
          <t>ÅNGE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44635-2024</t>
        </is>
      </c>
      <c r="B1335" s="1" t="n">
        <v>45574.51488425926</v>
      </c>
      <c r="C1335" s="1" t="n">
        <v>45966</v>
      </c>
      <c r="D1335" t="inlineStr">
        <is>
          <t>VÄSTERNORRLANDS LÄN</t>
        </is>
      </c>
      <c r="E1335" t="inlineStr">
        <is>
          <t>ÅNGE</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43066-2022</t>
        </is>
      </c>
      <c r="B1336" s="1" t="n">
        <v>44833</v>
      </c>
      <c r="C1336" s="1" t="n">
        <v>45966</v>
      </c>
      <c r="D1336" t="inlineStr">
        <is>
          <t>VÄSTERNORRLANDS LÄN</t>
        </is>
      </c>
      <c r="E1336" t="inlineStr">
        <is>
          <t>ÅNGE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54346-2023</t>
        </is>
      </c>
      <c r="B1337" s="1" t="n">
        <v>45232.96087962963</v>
      </c>
      <c r="C1337" s="1" t="n">
        <v>45966</v>
      </c>
      <c r="D1337" t="inlineStr">
        <is>
          <t>VÄSTERNORRLANDS LÄN</t>
        </is>
      </c>
      <c r="E1337" t="inlineStr">
        <is>
          <t>ÅNGE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63530-2023</t>
        </is>
      </c>
      <c r="B1338" s="1" t="n">
        <v>45274</v>
      </c>
      <c r="C1338" s="1" t="n">
        <v>45966</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60401-2020</t>
        </is>
      </c>
      <c r="B1339" s="1" t="n">
        <v>44152</v>
      </c>
      <c r="C1339" s="1" t="n">
        <v>45966</v>
      </c>
      <c r="D1339" t="inlineStr">
        <is>
          <t>VÄSTERNORRLANDS LÄN</t>
        </is>
      </c>
      <c r="E1339" t="inlineStr">
        <is>
          <t>ÅNGE</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3249-2024</t>
        </is>
      </c>
      <c r="B1340" s="1" t="n">
        <v>45316</v>
      </c>
      <c r="C1340" s="1" t="n">
        <v>45966</v>
      </c>
      <c r="D1340" t="inlineStr">
        <is>
          <t>VÄSTERNORRLANDS LÄN</t>
        </is>
      </c>
      <c r="E1340" t="inlineStr">
        <is>
          <t>ÅNGE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58275-2022</t>
        </is>
      </c>
      <c r="B1341" s="1" t="n">
        <v>44901.47865740741</v>
      </c>
      <c r="C1341" s="1" t="n">
        <v>45966</v>
      </c>
      <c r="D1341" t="inlineStr">
        <is>
          <t>VÄSTERNORRLANDS LÄN</t>
        </is>
      </c>
      <c r="E1341" t="inlineStr">
        <is>
          <t>ÅNGE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42948-2024</t>
        </is>
      </c>
      <c r="B1342" s="1" t="n">
        <v>45567.36628472222</v>
      </c>
      <c r="C1342" s="1" t="n">
        <v>45966</v>
      </c>
      <c r="D1342" t="inlineStr">
        <is>
          <t>VÄSTERNORRLANDS LÄN</t>
        </is>
      </c>
      <c r="E1342" t="inlineStr">
        <is>
          <t>ÅNGE</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42953-2024</t>
        </is>
      </c>
      <c r="B1343" s="1" t="n">
        <v>45567</v>
      </c>
      <c r="C1343" s="1" t="n">
        <v>45966</v>
      </c>
      <c r="D1343" t="inlineStr">
        <is>
          <t>VÄSTERNORRLANDS LÄN</t>
        </is>
      </c>
      <c r="E1343" t="inlineStr">
        <is>
          <t>ÅNGE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42968-2024</t>
        </is>
      </c>
      <c r="B1344" s="1" t="n">
        <v>45567</v>
      </c>
      <c r="C1344" s="1" t="n">
        <v>45966</v>
      </c>
      <c r="D1344" t="inlineStr">
        <is>
          <t>VÄSTERNORRLANDS LÄN</t>
        </is>
      </c>
      <c r="E1344" t="inlineStr">
        <is>
          <t>ÅNGE</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14673-2025</t>
        </is>
      </c>
      <c r="B1345" s="1" t="n">
        <v>45742.55309027778</v>
      </c>
      <c r="C1345" s="1" t="n">
        <v>45966</v>
      </c>
      <c r="D1345" t="inlineStr">
        <is>
          <t>VÄSTERNORRLANDS LÄN</t>
        </is>
      </c>
      <c r="E1345" t="inlineStr">
        <is>
          <t>ÅNGE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16191-2023</t>
        </is>
      </c>
      <c r="B1346" s="1" t="n">
        <v>45027.94111111111</v>
      </c>
      <c r="C1346" s="1" t="n">
        <v>45966</v>
      </c>
      <c r="D1346" t="inlineStr">
        <is>
          <t>VÄSTERNORRLANDS LÄN</t>
        </is>
      </c>
      <c r="E1346" t="inlineStr">
        <is>
          <t>ÅNGE</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35498-2022</t>
        </is>
      </c>
      <c r="B1347" s="1" t="n">
        <v>44798.94810185185</v>
      </c>
      <c r="C1347" s="1" t="n">
        <v>45966</v>
      </c>
      <c r="D1347" t="inlineStr">
        <is>
          <t>VÄSTERNORRLANDS LÄN</t>
        </is>
      </c>
      <c r="E1347" t="inlineStr">
        <is>
          <t>ÅNGE</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2299-2025</t>
        </is>
      </c>
      <c r="B1348" s="1" t="n">
        <v>45673.59516203704</v>
      </c>
      <c r="C1348" s="1" t="n">
        <v>45966</v>
      </c>
      <c r="D1348" t="inlineStr">
        <is>
          <t>VÄSTERNORRLANDS LÄN</t>
        </is>
      </c>
      <c r="E1348" t="inlineStr">
        <is>
          <t>ÅNGE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31457-2024</t>
        </is>
      </c>
      <c r="B1349" s="1" t="n">
        <v>45505</v>
      </c>
      <c r="C1349" s="1" t="n">
        <v>45966</v>
      </c>
      <c r="D1349" t="inlineStr">
        <is>
          <t>VÄSTERNORRLANDS LÄN</t>
        </is>
      </c>
      <c r="E1349" t="inlineStr">
        <is>
          <t>ÅNGE</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54771-2023</t>
        </is>
      </c>
      <c r="B1350" s="1" t="n">
        <v>45229</v>
      </c>
      <c r="C1350" s="1" t="n">
        <v>45966</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26011-2024</t>
        </is>
      </c>
      <c r="B1351" s="1" t="n">
        <v>45467.95828703704</v>
      </c>
      <c r="C1351" s="1" t="n">
        <v>45966</v>
      </c>
      <c r="D1351" t="inlineStr">
        <is>
          <t>VÄSTERNORRLANDS LÄN</t>
        </is>
      </c>
      <c r="E1351" t="inlineStr">
        <is>
          <t>ÅNGE</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26014-2024</t>
        </is>
      </c>
      <c r="B1352" s="1" t="n">
        <v>45467.95862268518</v>
      </c>
      <c r="C1352" s="1" t="n">
        <v>45966</v>
      </c>
      <c r="D1352" t="inlineStr">
        <is>
          <t>VÄSTERNORRLANDS LÄN</t>
        </is>
      </c>
      <c r="E1352" t="inlineStr">
        <is>
          <t>ÅNGE</t>
        </is>
      </c>
      <c r="F1352" t="inlineStr">
        <is>
          <t>SCA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3629-2023</t>
        </is>
      </c>
      <c r="B1353" s="1" t="n">
        <v>44950</v>
      </c>
      <c r="C1353" s="1" t="n">
        <v>45966</v>
      </c>
      <c r="D1353" t="inlineStr">
        <is>
          <t>VÄSTERNORRLANDS LÄN</t>
        </is>
      </c>
      <c r="E1353" t="inlineStr">
        <is>
          <t>ÅNGE</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3631-2023</t>
        </is>
      </c>
      <c r="B1354" s="1" t="n">
        <v>44950</v>
      </c>
      <c r="C1354" s="1" t="n">
        <v>45966</v>
      </c>
      <c r="D1354" t="inlineStr">
        <is>
          <t>VÄSTERNORRLANDS LÄN</t>
        </is>
      </c>
      <c r="E1354" t="inlineStr">
        <is>
          <t>ÅNGE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17703-2025</t>
        </is>
      </c>
      <c r="B1355" s="1" t="n">
        <v>45758.4275462963</v>
      </c>
      <c r="C1355" s="1" t="n">
        <v>45966</v>
      </c>
      <c r="D1355" t="inlineStr">
        <is>
          <t>VÄSTERNORRLANDS LÄN</t>
        </is>
      </c>
      <c r="E1355" t="inlineStr">
        <is>
          <t>ÅNGE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28779-2023</t>
        </is>
      </c>
      <c r="B1356" s="1" t="n">
        <v>45104.34314814815</v>
      </c>
      <c r="C1356" s="1" t="n">
        <v>45966</v>
      </c>
      <c r="D1356" t="inlineStr">
        <is>
          <t>VÄSTERNORRLANDS LÄN</t>
        </is>
      </c>
      <c r="E1356" t="inlineStr">
        <is>
          <t>ÅNGE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25311-2023</t>
        </is>
      </c>
      <c r="B1357" s="1" t="n">
        <v>45086.93869212963</v>
      </c>
      <c r="C1357" s="1" t="n">
        <v>45966</v>
      </c>
      <c r="D1357" t="inlineStr">
        <is>
          <t>VÄSTERNORRLANDS LÄN</t>
        </is>
      </c>
      <c r="E1357" t="inlineStr">
        <is>
          <t>ÅNGE</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28873-2024</t>
        </is>
      </c>
      <c r="B1358" s="1" t="n">
        <v>45478.94766203704</v>
      </c>
      <c r="C1358" s="1" t="n">
        <v>45966</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27682-2023</t>
        </is>
      </c>
      <c r="B1359" s="1" t="n">
        <v>45097.93758101852</v>
      </c>
      <c r="C1359" s="1" t="n">
        <v>45966</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50612-2024</t>
        </is>
      </c>
      <c r="B1360" s="1" t="n">
        <v>45601</v>
      </c>
      <c r="C1360" s="1" t="n">
        <v>45966</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56699-2023</t>
        </is>
      </c>
      <c r="B1361" s="1" t="n">
        <v>45243</v>
      </c>
      <c r="C1361" s="1" t="n">
        <v>45966</v>
      </c>
      <c r="D1361" t="inlineStr">
        <is>
          <t>VÄSTERNORRLANDS LÄN</t>
        </is>
      </c>
      <c r="E1361" t="inlineStr">
        <is>
          <t>ÅNGE</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30751-2024</t>
        </is>
      </c>
      <c r="B1362" s="1" t="n">
        <v>45496.69339120371</v>
      </c>
      <c r="C1362" s="1" t="n">
        <v>45966</v>
      </c>
      <c r="D1362" t="inlineStr">
        <is>
          <t>VÄSTERNORRLANDS LÄN</t>
        </is>
      </c>
      <c r="E1362" t="inlineStr">
        <is>
          <t>ÅNGE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55324-2023</t>
        </is>
      </c>
      <c r="B1363" s="1" t="n">
        <v>45237.9734837963</v>
      </c>
      <c r="C1363" s="1" t="n">
        <v>45966</v>
      </c>
      <c r="D1363" t="inlineStr">
        <is>
          <t>VÄSTERNORRLANDS LÄN</t>
        </is>
      </c>
      <c r="E1363" t="inlineStr">
        <is>
          <t>ÅNGE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58445-2022</t>
        </is>
      </c>
      <c r="B1364" s="1" t="n">
        <v>44901.95453703704</v>
      </c>
      <c r="C1364" s="1" t="n">
        <v>45966</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25680-2023</t>
        </is>
      </c>
      <c r="B1365" s="1" t="n">
        <v>45089</v>
      </c>
      <c r="C1365" s="1" t="n">
        <v>45966</v>
      </c>
      <c r="D1365" t="inlineStr">
        <is>
          <t>VÄSTERNORRLANDS LÄN</t>
        </is>
      </c>
      <c r="E1365" t="inlineStr">
        <is>
          <t>ÅNGE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18542-2022</t>
        </is>
      </c>
      <c r="B1366" s="1" t="n">
        <v>44686</v>
      </c>
      <c r="C1366" s="1" t="n">
        <v>45966</v>
      </c>
      <c r="D1366" t="inlineStr">
        <is>
          <t>VÄSTERNORRLANDS LÄN</t>
        </is>
      </c>
      <c r="E1366" t="inlineStr">
        <is>
          <t>ÅNGE</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55007-2022</t>
        </is>
      </c>
      <c r="B1367" s="1" t="n">
        <v>44881</v>
      </c>
      <c r="C1367" s="1" t="n">
        <v>45966</v>
      </c>
      <c r="D1367" t="inlineStr">
        <is>
          <t>VÄSTERNORRLANDS LÄN</t>
        </is>
      </c>
      <c r="E1367" t="inlineStr">
        <is>
          <t>ÅNGE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63607-2021</t>
        </is>
      </c>
      <c r="B1368" s="1" t="n">
        <v>44508.94650462963</v>
      </c>
      <c r="C1368" s="1" t="n">
        <v>45966</v>
      </c>
      <c r="D1368" t="inlineStr">
        <is>
          <t>VÄSTERNORRLANDS LÄN</t>
        </is>
      </c>
      <c r="E1368" t="inlineStr">
        <is>
          <t>ÅNGE</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41222-2024</t>
        </is>
      </c>
      <c r="B1369" s="1" t="n">
        <v>45559.55306712963</v>
      </c>
      <c r="C1369" s="1" t="n">
        <v>45966</v>
      </c>
      <c r="D1369" t="inlineStr">
        <is>
          <t>VÄSTERNORRLANDS LÄN</t>
        </is>
      </c>
      <c r="E1369" t="inlineStr">
        <is>
          <t>ÅNGE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13706-2023</t>
        </is>
      </c>
      <c r="B1370" s="1" t="n">
        <v>45006</v>
      </c>
      <c r="C1370" s="1" t="n">
        <v>45966</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36342-2024</t>
        </is>
      </c>
      <c r="B1371" s="1" t="n">
        <v>45534.64315972223</v>
      </c>
      <c r="C1371" s="1" t="n">
        <v>45966</v>
      </c>
      <c r="D1371" t="inlineStr">
        <is>
          <t>VÄSTERNORRLANDS LÄN</t>
        </is>
      </c>
      <c r="E1371" t="inlineStr">
        <is>
          <t>ÅNGE</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17749-2025</t>
        </is>
      </c>
      <c r="B1372" s="1" t="n">
        <v>45758.48380787037</v>
      </c>
      <c r="C1372" s="1" t="n">
        <v>45966</v>
      </c>
      <c r="D1372" t="inlineStr">
        <is>
          <t>VÄSTERNORRLANDS LÄN</t>
        </is>
      </c>
      <c r="E1372" t="inlineStr">
        <is>
          <t>ÅNGE</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41781-2024</t>
        </is>
      </c>
      <c r="B1373" s="1" t="n">
        <v>45561.34938657407</v>
      </c>
      <c r="C1373" s="1" t="n">
        <v>45966</v>
      </c>
      <c r="D1373" t="inlineStr">
        <is>
          <t>VÄSTERNORRLANDS LÄN</t>
        </is>
      </c>
      <c r="E1373" t="inlineStr">
        <is>
          <t>ÅNGE</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3330-2025</t>
        </is>
      </c>
      <c r="B1374" s="1" t="n">
        <v>45679.70041666667</v>
      </c>
      <c r="C1374" s="1" t="n">
        <v>45966</v>
      </c>
      <c r="D1374" t="inlineStr">
        <is>
          <t>VÄSTERNORRLANDS LÄN</t>
        </is>
      </c>
      <c r="E1374" t="inlineStr">
        <is>
          <t>ÅNGE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38272-2024</t>
        </is>
      </c>
      <c r="B1375" s="1" t="n">
        <v>45545.60392361111</v>
      </c>
      <c r="C1375" s="1" t="n">
        <v>45966</v>
      </c>
      <c r="D1375" t="inlineStr">
        <is>
          <t>VÄSTERNORRLANDS LÄN</t>
        </is>
      </c>
      <c r="E1375" t="inlineStr">
        <is>
          <t>ÅNGE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41831-2021</t>
        </is>
      </c>
      <c r="B1376" s="1" t="n">
        <v>44425.92212962963</v>
      </c>
      <c r="C1376" s="1" t="n">
        <v>45966</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32922-2024</t>
        </is>
      </c>
      <c r="B1377" s="1" t="n">
        <v>45516.95263888889</v>
      </c>
      <c r="C1377" s="1" t="n">
        <v>45966</v>
      </c>
      <c r="D1377" t="inlineStr">
        <is>
          <t>VÄSTERNORRLANDS LÄN</t>
        </is>
      </c>
      <c r="E1377" t="inlineStr">
        <is>
          <t>ÅNGE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10282-2025</t>
        </is>
      </c>
      <c r="B1378" s="1" t="n">
        <v>45720.40659722222</v>
      </c>
      <c r="C1378" s="1" t="n">
        <v>45966</v>
      </c>
      <c r="D1378" t="inlineStr">
        <is>
          <t>VÄSTERNORRLANDS LÄN</t>
        </is>
      </c>
      <c r="E1378" t="inlineStr">
        <is>
          <t>ÅNGE</t>
        </is>
      </c>
      <c r="F1378" t="inlineStr">
        <is>
          <t>SCA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51055-2023</t>
        </is>
      </c>
      <c r="B1379" s="1" t="n">
        <v>45218</v>
      </c>
      <c r="C1379" s="1" t="n">
        <v>45966</v>
      </c>
      <c r="D1379" t="inlineStr">
        <is>
          <t>VÄSTERNORRLANDS LÄN</t>
        </is>
      </c>
      <c r="E1379" t="inlineStr">
        <is>
          <t>ÅNGE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5455-2023</t>
        </is>
      </c>
      <c r="B1380" s="1" t="n">
        <v>44959.93983796296</v>
      </c>
      <c r="C1380" s="1" t="n">
        <v>45966</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43775-2022</t>
        </is>
      </c>
      <c r="B1381" s="1" t="n">
        <v>44837.95053240741</v>
      </c>
      <c r="C1381" s="1" t="n">
        <v>45966</v>
      </c>
      <c r="D1381" t="inlineStr">
        <is>
          <t>VÄSTERNORRLANDS LÄN</t>
        </is>
      </c>
      <c r="E1381" t="inlineStr">
        <is>
          <t>ÅNGE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16915-2024</t>
        </is>
      </c>
      <c r="B1382" s="1" t="n">
        <v>45411.65185185185</v>
      </c>
      <c r="C1382" s="1" t="n">
        <v>45966</v>
      </c>
      <c r="D1382" t="inlineStr">
        <is>
          <t>VÄSTERNORRLANDS LÄN</t>
        </is>
      </c>
      <c r="E1382" t="inlineStr">
        <is>
          <t>ÅNGE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57560-2023</t>
        </is>
      </c>
      <c r="B1383" s="1" t="n">
        <v>45243</v>
      </c>
      <c r="C1383" s="1" t="n">
        <v>45966</v>
      </c>
      <c r="D1383" t="inlineStr">
        <is>
          <t>VÄSTERNORRLANDS LÄN</t>
        </is>
      </c>
      <c r="E1383" t="inlineStr">
        <is>
          <t>ÅNGE</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57568-2023</t>
        </is>
      </c>
      <c r="B1384" s="1" t="n">
        <v>45246.50484953704</v>
      </c>
      <c r="C1384" s="1" t="n">
        <v>45966</v>
      </c>
      <c r="D1384" t="inlineStr">
        <is>
          <t>VÄSTERNORRLANDS LÄN</t>
        </is>
      </c>
      <c r="E1384" t="inlineStr">
        <is>
          <t>ÅNGE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16576-2023</t>
        </is>
      </c>
      <c r="B1385" s="1" t="n">
        <v>45029.94251157407</v>
      </c>
      <c r="C1385" s="1" t="n">
        <v>45966</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4359-2025</t>
        </is>
      </c>
      <c r="B1386" s="1" t="n">
        <v>45686.33072916666</v>
      </c>
      <c r="C1386" s="1" t="n">
        <v>45966</v>
      </c>
      <c r="D1386" t="inlineStr">
        <is>
          <t>VÄSTERNORRLANDS LÄN</t>
        </is>
      </c>
      <c r="E1386" t="inlineStr">
        <is>
          <t>ÅNGE</t>
        </is>
      </c>
      <c r="F1386" t="inlineStr">
        <is>
          <t>Holmen skog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24797-2024</t>
        </is>
      </c>
      <c r="B1387" s="1" t="n">
        <v>45460.95269675926</v>
      </c>
      <c r="C1387" s="1" t="n">
        <v>45966</v>
      </c>
      <c r="D1387" t="inlineStr">
        <is>
          <t>VÄSTERNORRLANDS LÄN</t>
        </is>
      </c>
      <c r="E1387" t="inlineStr">
        <is>
          <t>ÅNGE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32069-2023</t>
        </is>
      </c>
      <c r="B1388" s="1" t="n">
        <v>45107</v>
      </c>
      <c r="C1388" s="1" t="n">
        <v>45966</v>
      </c>
      <c r="D1388" t="inlineStr">
        <is>
          <t>VÄSTERNORRLANDS LÄN</t>
        </is>
      </c>
      <c r="E1388" t="inlineStr">
        <is>
          <t>ÅNGE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26013-2024</t>
        </is>
      </c>
      <c r="B1389" s="1" t="n">
        <v>45467</v>
      </c>
      <c r="C1389" s="1" t="n">
        <v>45966</v>
      </c>
      <c r="D1389" t="inlineStr">
        <is>
          <t>VÄSTERNORRLANDS LÄN</t>
        </is>
      </c>
      <c r="E1389" t="inlineStr">
        <is>
          <t>ÅNGE</t>
        </is>
      </c>
      <c r="F1389" t="inlineStr">
        <is>
          <t>SCA</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16903-2024</t>
        </is>
      </c>
      <c r="B1390" s="1" t="n">
        <v>45411.63106481481</v>
      </c>
      <c r="C1390" s="1" t="n">
        <v>45966</v>
      </c>
      <c r="D1390" t="inlineStr">
        <is>
          <t>VÄSTERNORRLANDS LÄN</t>
        </is>
      </c>
      <c r="E1390" t="inlineStr">
        <is>
          <t>ÅNGE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32439-2024</t>
        </is>
      </c>
      <c r="B1391" s="1" t="n">
        <v>45512</v>
      </c>
      <c r="C1391" s="1" t="n">
        <v>45966</v>
      </c>
      <c r="D1391" t="inlineStr">
        <is>
          <t>VÄSTERNORRLANDS LÄN</t>
        </is>
      </c>
      <c r="E1391" t="inlineStr">
        <is>
          <t>ÅNGE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16572-2023</t>
        </is>
      </c>
      <c r="B1392" s="1" t="n">
        <v>45029.94224537037</v>
      </c>
      <c r="C1392" s="1" t="n">
        <v>45966</v>
      </c>
      <c r="D1392" t="inlineStr">
        <is>
          <t>VÄSTERNORRLANDS LÄN</t>
        </is>
      </c>
      <c r="E1392" t="inlineStr">
        <is>
          <t>ÅNGE</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3256-2024</t>
        </is>
      </c>
      <c r="B1393" s="1" t="n">
        <v>45316</v>
      </c>
      <c r="C1393" s="1" t="n">
        <v>45966</v>
      </c>
      <c r="D1393" t="inlineStr">
        <is>
          <t>VÄSTERNORRLANDS LÄN</t>
        </is>
      </c>
      <c r="E1393" t="inlineStr">
        <is>
          <t>ÅNGE</t>
        </is>
      </c>
      <c r="G1393" t="n">
        <v>3.7</v>
      </c>
      <c r="H1393" t="n">
        <v>0</v>
      </c>
      <c r="I1393" t="n">
        <v>0</v>
      </c>
      <c r="J1393" t="n">
        <v>0</v>
      </c>
      <c r="K1393" t="n">
        <v>0</v>
      </c>
      <c r="L1393" t="n">
        <v>0</v>
      </c>
      <c r="M1393" t="n">
        <v>0</v>
      </c>
      <c r="N1393" t="n">
        <v>0</v>
      </c>
      <c r="O1393" t="n">
        <v>0</v>
      </c>
      <c r="P1393" t="n">
        <v>0</v>
      </c>
      <c r="Q1393" t="n">
        <v>0</v>
      </c>
      <c r="R1393" s="2" t="inlineStr"/>
    </row>
    <row r="1394">
      <c r="A1394" t="inlineStr">
        <is>
          <t>A 49487-2024</t>
        </is>
      </c>
      <c r="B1394" s="1" t="n">
        <v>45596.35813657408</v>
      </c>
      <c r="C1394" s="1" t="n">
        <v>45966</v>
      </c>
      <c r="D1394" t="inlineStr">
        <is>
          <t>VÄSTERNORRLANDS LÄN</t>
        </is>
      </c>
      <c r="E1394" t="inlineStr">
        <is>
          <t>ÅNGE</t>
        </is>
      </c>
      <c r="G1394" t="n">
        <v>4.3</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2025-11-05T10:09:53Z</dcterms:created>
  <dcterms:modified xmlns:dcterms="http://purl.org/dc/terms/" xmlns:xsi="http://www.w3.org/2001/XMLSchema-instance" xsi:type="dcterms:W3CDTF">2025-11-05T10:09:54Z</dcterms:modified>
</cp:coreProperties>
</file>