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45354</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45354</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45354</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45354</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45354</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45354</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45354</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45354</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45354</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45354</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45354</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45354</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45354</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45354</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45354</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45354</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45354</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45354</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45354</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45354</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45354</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45354</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45354</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45354</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45354</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45354</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45354</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45354</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45354</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45354</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45354</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45354</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45354</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45354</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45354</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45354</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45354</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45354</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45354</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45354</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45354</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45354</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45354</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45354</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45354</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45354</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45354</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45354</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45354</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45354</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45354</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45354</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45354</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45354</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45354</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45354</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45354</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45354</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45354</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45354</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45354</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45354</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45354</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45354</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45354</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45354</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45354</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45354</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45354</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45354</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45354</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45354</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45354</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45354</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45354</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45354</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45354</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45354</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45354</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45354</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45354</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45354</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45354</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45354</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45354</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45354</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45354</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45354</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45354</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45354</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45354</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45354</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45354</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45354</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45354</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45354</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45354</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45354</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45354</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45354</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45354</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45354</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45354</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45354</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45354</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45354</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45354</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45354</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45354</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45354</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45354</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45354</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45354</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45354</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45354</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45354</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45354</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45354</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45354</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45354</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45354</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45354</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45354</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45354</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45354</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45354</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45354</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45354</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45354</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45354</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45354</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45354</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45354</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45354</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45354</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45354</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45354</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45354</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45354</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45354</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45354</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45354</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45354</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45354</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45354</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45354</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45354</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45354</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45354</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45354</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45354</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45354</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45354</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45354</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45354</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45354</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45354</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45354</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45354</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45354</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45354</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45354</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45354</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45354</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45354</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45354</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45354</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45354</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45354</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45354</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45354</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45354</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45354</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45354</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45354</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45354</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45354</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45354</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45354</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45354</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45354</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45354</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45354</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45354</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45354</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45354</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45354</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37755-2018</t>
        </is>
      </c>
      <c r="B190" s="1" t="n">
        <v>43334</v>
      </c>
      <c r="C190" s="1" t="n">
        <v>45354</v>
      </c>
      <c r="D190" t="inlineStr">
        <is>
          <t>VÄSTERNORRLANDS LÄN</t>
        </is>
      </c>
      <c r="E190" t="inlineStr">
        <is>
          <t>ÅNGE</t>
        </is>
      </c>
      <c r="G190" t="n">
        <v>0.2</v>
      </c>
      <c r="H190" t="n">
        <v>0</v>
      </c>
      <c r="I190" t="n">
        <v>0</v>
      </c>
      <c r="J190" t="n">
        <v>0</v>
      </c>
      <c r="K190" t="n">
        <v>0</v>
      </c>
      <c r="L190" t="n">
        <v>0</v>
      </c>
      <c r="M190" t="n">
        <v>0</v>
      </c>
      <c r="N190" t="n">
        <v>0</v>
      </c>
      <c r="O190" t="n">
        <v>0</v>
      </c>
      <c r="P190" t="n">
        <v>0</v>
      </c>
      <c r="Q190" t="n">
        <v>0</v>
      </c>
      <c r="R190" s="2" t="inlineStr"/>
    </row>
    <row r="191" ht="15" customHeight="1">
      <c r="A191" t="inlineStr">
        <is>
          <t>A 37747-2018</t>
        </is>
      </c>
      <c r="B191" s="1" t="n">
        <v>43334</v>
      </c>
      <c r="C191" s="1" t="n">
        <v>45354</v>
      </c>
      <c r="D191" t="inlineStr">
        <is>
          <t>VÄSTERNORRLANDS LÄN</t>
        </is>
      </c>
      <c r="E191" t="inlineStr">
        <is>
          <t>ÅNGE</t>
        </is>
      </c>
      <c r="G191" t="n">
        <v>0.1</v>
      </c>
      <c r="H191" t="n">
        <v>0</v>
      </c>
      <c r="I191" t="n">
        <v>0</v>
      </c>
      <c r="J191" t="n">
        <v>0</v>
      </c>
      <c r="K191" t="n">
        <v>0</v>
      </c>
      <c r="L191" t="n">
        <v>0</v>
      </c>
      <c r="M191" t="n">
        <v>0</v>
      </c>
      <c r="N191" t="n">
        <v>0</v>
      </c>
      <c r="O191" t="n">
        <v>0</v>
      </c>
      <c r="P191" t="n">
        <v>0</v>
      </c>
      <c r="Q191" t="n">
        <v>0</v>
      </c>
      <c r="R191" s="2" t="inlineStr"/>
    </row>
    <row r="192" ht="15" customHeight="1">
      <c r="A192" t="inlineStr">
        <is>
          <t>A 38943-2018</t>
        </is>
      </c>
      <c r="B192" s="1" t="n">
        <v>43336</v>
      </c>
      <c r="C192" s="1" t="n">
        <v>45354</v>
      </c>
      <c r="D192" t="inlineStr">
        <is>
          <t>VÄSTERNORRLANDS LÄN</t>
        </is>
      </c>
      <c r="E192" t="inlineStr">
        <is>
          <t>ÅNGE</t>
        </is>
      </c>
      <c r="G192" t="n">
        <v>2.7</v>
      </c>
      <c r="H192" t="n">
        <v>0</v>
      </c>
      <c r="I192" t="n">
        <v>0</v>
      </c>
      <c r="J192" t="n">
        <v>0</v>
      </c>
      <c r="K192" t="n">
        <v>0</v>
      </c>
      <c r="L192" t="n">
        <v>0</v>
      </c>
      <c r="M192" t="n">
        <v>0</v>
      </c>
      <c r="N192" t="n">
        <v>0</v>
      </c>
      <c r="O192" t="n">
        <v>0</v>
      </c>
      <c r="P192" t="n">
        <v>0</v>
      </c>
      <c r="Q192" t="n">
        <v>0</v>
      </c>
      <c r="R192" s="2" t="inlineStr"/>
    </row>
    <row r="193" ht="15" customHeight="1">
      <c r="A193" t="inlineStr">
        <is>
          <t>A 39508-2018</t>
        </is>
      </c>
      <c r="B193" s="1" t="n">
        <v>43340</v>
      </c>
      <c r="C193" s="1" t="n">
        <v>45354</v>
      </c>
      <c r="D193" t="inlineStr">
        <is>
          <t>VÄSTERNORRLANDS LÄN</t>
        </is>
      </c>
      <c r="E193" t="inlineStr">
        <is>
          <t>ÅNGE</t>
        </is>
      </c>
      <c r="G193" t="n">
        <v>0.6</v>
      </c>
      <c r="H193" t="n">
        <v>0</v>
      </c>
      <c r="I193" t="n">
        <v>0</v>
      </c>
      <c r="J193" t="n">
        <v>0</v>
      </c>
      <c r="K193" t="n">
        <v>0</v>
      </c>
      <c r="L193" t="n">
        <v>0</v>
      </c>
      <c r="M193" t="n">
        <v>0</v>
      </c>
      <c r="N193" t="n">
        <v>0</v>
      </c>
      <c r="O193" t="n">
        <v>0</v>
      </c>
      <c r="P193" t="n">
        <v>0</v>
      </c>
      <c r="Q193" t="n">
        <v>0</v>
      </c>
      <c r="R193" s="2" t="inlineStr"/>
    </row>
    <row r="194" ht="15" customHeight="1">
      <c r="A194" t="inlineStr">
        <is>
          <t>A 49165-2018</t>
        </is>
      </c>
      <c r="B194" s="1" t="n">
        <v>43375</v>
      </c>
      <c r="C194" s="1" t="n">
        <v>45354</v>
      </c>
      <c r="D194" t="inlineStr">
        <is>
          <t>VÄSTERNORRLANDS LÄN</t>
        </is>
      </c>
      <c r="E194" t="inlineStr">
        <is>
          <t>ÅNGE</t>
        </is>
      </c>
      <c r="G194" t="n">
        <v>7.8</v>
      </c>
      <c r="H194" t="n">
        <v>0</v>
      </c>
      <c r="I194" t="n">
        <v>0</v>
      </c>
      <c r="J194" t="n">
        <v>0</v>
      </c>
      <c r="K194" t="n">
        <v>0</v>
      </c>
      <c r="L194" t="n">
        <v>0</v>
      </c>
      <c r="M194" t="n">
        <v>0</v>
      </c>
      <c r="N194" t="n">
        <v>0</v>
      </c>
      <c r="O194" t="n">
        <v>0</v>
      </c>
      <c r="P194" t="n">
        <v>0</v>
      </c>
      <c r="Q194" t="n">
        <v>0</v>
      </c>
      <c r="R194" s="2" t="inlineStr"/>
    </row>
    <row r="195" ht="15" customHeight="1">
      <c r="A195" t="inlineStr">
        <is>
          <t>A 49658-2018</t>
        </is>
      </c>
      <c r="B195" s="1" t="n">
        <v>43376</v>
      </c>
      <c r="C195" s="1" t="n">
        <v>45354</v>
      </c>
      <c r="D195" t="inlineStr">
        <is>
          <t>VÄSTERNORRLANDS LÄN</t>
        </is>
      </c>
      <c r="E195" t="inlineStr">
        <is>
          <t>ÅNGE</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52621-2018</t>
        </is>
      </c>
      <c r="B196" s="1" t="n">
        <v>43383</v>
      </c>
      <c r="C196" s="1" t="n">
        <v>45354</v>
      </c>
      <c r="D196" t="inlineStr">
        <is>
          <t>VÄSTERNORRLANDS LÄN</t>
        </is>
      </c>
      <c r="E196" t="inlineStr">
        <is>
          <t>ÅNGE</t>
        </is>
      </c>
      <c r="G196" t="n">
        <v>2.1</v>
      </c>
      <c r="H196" t="n">
        <v>0</v>
      </c>
      <c r="I196" t="n">
        <v>0</v>
      </c>
      <c r="J196" t="n">
        <v>0</v>
      </c>
      <c r="K196" t="n">
        <v>0</v>
      </c>
      <c r="L196" t="n">
        <v>0</v>
      </c>
      <c r="M196" t="n">
        <v>0</v>
      </c>
      <c r="N196" t="n">
        <v>0</v>
      </c>
      <c r="O196" t="n">
        <v>0</v>
      </c>
      <c r="P196" t="n">
        <v>0</v>
      </c>
      <c r="Q196" t="n">
        <v>0</v>
      </c>
      <c r="R196" s="2" t="inlineStr"/>
    </row>
    <row r="197" ht="15" customHeight="1">
      <c r="A197" t="inlineStr">
        <is>
          <t>A 56839-2018</t>
        </is>
      </c>
      <c r="B197" s="1" t="n">
        <v>43402</v>
      </c>
      <c r="C197" s="1" t="n">
        <v>45354</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56838-2018</t>
        </is>
      </c>
      <c r="B198" s="1" t="n">
        <v>43402</v>
      </c>
      <c r="C198" s="1" t="n">
        <v>45354</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57613-2018</t>
        </is>
      </c>
      <c r="B199" s="1" t="n">
        <v>43404</v>
      </c>
      <c r="C199" s="1" t="n">
        <v>45354</v>
      </c>
      <c r="D199" t="inlineStr">
        <is>
          <t>VÄSTERNORRLANDS LÄN</t>
        </is>
      </c>
      <c r="E199" t="inlineStr">
        <is>
          <t>ÅNGE</t>
        </is>
      </c>
      <c r="G199" t="n">
        <v>1.4</v>
      </c>
      <c r="H199" t="n">
        <v>0</v>
      </c>
      <c r="I199" t="n">
        <v>0</v>
      </c>
      <c r="J199" t="n">
        <v>0</v>
      </c>
      <c r="K199" t="n">
        <v>0</v>
      </c>
      <c r="L199" t="n">
        <v>0</v>
      </c>
      <c r="M199" t="n">
        <v>0</v>
      </c>
      <c r="N199" t="n">
        <v>0</v>
      </c>
      <c r="O199" t="n">
        <v>0</v>
      </c>
      <c r="P199" t="n">
        <v>0</v>
      </c>
      <c r="Q199" t="n">
        <v>0</v>
      </c>
      <c r="R199" s="2" t="inlineStr"/>
    </row>
    <row r="200" ht="15" customHeight="1">
      <c r="A200" t="inlineStr">
        <is>
          <t>A 57616-2018</t>
        </is>
      </c>
      <c r="B200" s="1" t="n">
        <v>43404</v>
      </c>
      <c r="C200" s="1" t="n">
        <v>45354</v>
      </c>
      <c r="D200" t="inlineStr">
        <is>
          <t>VÄSTERNORRLANDS LÄN</t>
        </is>
      </c>
      <c r="E200" t="inlineStr">
        <is>
          <t>ÅNGE</t>
        </is>
      </c>
      <c r="G200" t="n">
        <v>0.6</v>
      </c>
      <c r="H200" t="n">
        <v>0</v>
      </c>
      <c r="I200" t="n">
        <v>0</v>
      </c>
      <c r="J200" t="n">
        <v>0</v>
      </c>
      <c r="K200" t="n">
        <v>0</v>
      </c>
      <c r="L200" t="n">
        <v>0</v>
      </c>
      <c r="M200" t="n">
        <v>0</v>
      </c>
      <c r="N200" t="n">
        <v>0</v>
      </c>
      <c r="O200" t="n">
        <v>0</v>
      </c>
      <c r="P200" t="n">
        <v>0</v>
      </c>
      <c r="Q200" t="n">
        <v>0</v>
      </c>
      <c r="R200" s="2" t="inlineStr"/>
    </row>
    <row r="201" ht="15" customHeight="1">
      <c r="A201" t="inlineStr">
        <is>
          <t>A 58567-2018</t>
        </is>
      </c>
      <c r="B201" s="1" t="n">
        <v>43409</v>
      </c>
      <c r="C201" s="1" t="n">
        <v>45354</v>
      </c>
      <c r="D201" t="inlineStr">
        <is>
          <t>VÄSTERNORRLANDS LÄN</t>
        </is>
      </c>
      <c r="E201" t="inlineStr">
        <is>
          <t>ÅNGE</t>
        </is>
      </c>
      <c r="F201" t="inlineStr">
        <is>
          <t>SCA</t>
        </is>
      </c>
      <c r="G201" t="n">
        <v>12.7</v>
      </c>
      <c r="H201" t="n">
        <v>0</v>
      </c>
      <c r="I201" t="n">
        <v>0</v>
      </c>
      <c r="J201" t="n">
        <v>0</v>
      </c>
      <c r="K201" t="n">
        <v>0</v>
      </c>
      <c r="L201" t="n">
        <v>0</v>
      </c>
      <c r="M201" t="n">
        <v>0</v>
      </c>
      <c r="N201" t="n">
        <v>0</v>
      </c>
      <c r="O201" t="n">
        <v>0</v>
      </c>
      <c r="P201" t="n">
        <v>0</v>
      </c>
      <c r="Q201" t="n">
        <v>0</v>
      </c>
      <c r="R201" s="2" t="inlineStr"/>
    </row>
    <row r="202" ht="15" customHeight="1">
      <c r="A202" t="inlineStr">
        <is>
          <t>A 58920-2018</t>
        </is>
      </c>
      <c r="B202" s="1" t="n">
        <v>43410</v>
      </c>
      <c r="C202" s="1" t="n">
        <v>45354</v>
      </c>
      <c r="D202" t="inlineStr">
        <is>
          <t>VÄSTERNORRLANDS LÄN</t>
        </is>
      </c>
      <c r="E202" t="inlineStr">
        <is>
          <t>ÅNGE</t>
        </is>
      </c>
      <c r="G202" t="n">
        <v>2.4</v>
      </c>
      <c r="H202" t="n">
        <v>0</v>
      </c>
      <c r="I202" t="n">
        <v>0</v>
      </c>
      <c r="J202" t="n">
        <v>0</v>
      </c>
      <c r="K202" t="n">
        <v>0</v>
      </c>
      <c r="L202" t="n">
        <v>0</v>
      </c>
      <c r="M202" t="n">
        <v>0</v>
      </c>
      <c r="N202" t="n">
        <v>0</v>
      </c>
      <c r="O202" t="n">
        <v>0</v>
      </c>
      <c r="P202" t="n">
        <v>0</v>
      </c>
      <c r="Q202" t="n">
        <v>0</v>
      </c>
      <c r="R202" s="2" t="inlineStr"/>
    </row>
    <row r="203" ht="15" customHeight="1">
      <c r="A203" t="inlineStr">
        <is>
          <t>A 58790-2018</t>
        </is>
      </c>
      <c r="B203" s="1" t="n">
        <v>43410</v>
      </c>
      <c r="C203" s="1" t="n">
        <v>45354</v>
      </c>
      <c r="D203" t="inlineStr">
        <is>
          <t>VÄSTERNORRLANDS LÄN</t>
        </is>
      </c>
      <c r="E203" t="inlineStr">
        <is>
          <t>ÅNGE</t>
        </is>
      </c>
      <c r="G203" t="n">
        <v>0.7</v>
      </c>
      <c r="H203" t="n">
        <v>0</v>
      </c>
      <c r="I203" t="n">
        <v>0</v>
      </c>
      <c r="J203" t="n">
        <v>0</v>
      </c>
      <c r="K203" t="n">
        <v>0</v>
      </c>
      <c r="L203" t="n">
        <v>0</v>
      </c>
      <c r="M203" t="n">
        <v>0</v>
      </c>
      <c r="N203" t="n">
        <v>0</v>
      </c>
      <c r="O203" t="n">
        <v>0</v>
      </c>
      <c r="P203" t="n">
        <v>0</v>
      </c>
      <c r="Q203" t="n">
        <v>0</v>
      </c>
      <c r="R203" s="2" t="inlineStr"/>
    </row>
    <row r="204" ht="15" customHeight="1">
      <c r="A204" t="inlineStr">
        <is>
          <t>A 59691-2018</t>
        </is>
      </c>
      <c r="B204" s="1" t="n">
        <v>43411</v>
      </c>
      <c r="C204" s="1" t="n">
        <v>45354</v>
      </c>
      <c r="D204" t="inlineStr">
        <is>
          <t>VÄSTERNORRLANDS LÄN</t>
        </is>
      </c>
      <c r="E204" t="inlineStr">
        <is>
          <t>ÅNGE</t>
        </is>
      </c>
      <c r="G204" t="n">
        <v>2.6</v>
      </c>
      <c r="H204" t="n">
        <v>0</v>
      </c>
      <c r="I204" t="n">
        <v>0</v>
      </c>
      <c r="J204" t="n">
        <v>0</v>
      </c>
      <c r="K204" t="n">
        <v>0</v>
      </c>
      <c r="L204" t="n">
        <v>0</v>
      </c>
      <c r="M204" t="n">
        <v>0</v>
      </c>
      <c r="N204" t="n">
        <v>0</v>
      </c>
      <c r="O204" t="n">
        <v>0</v>
      </c>
      <c r="P204" t="n">
        <v>0</v>
      </c>
      <c r="Q204" t="n">
        <v>0</v>
      </c>
      <c r="R204" s="2" t="inlineStr"/>
    </row>
    <row r="205" ht="15" customHeight="1">
      <c r="A205" t="inlineStr">
        <is>
          <t>A 59989-2018</t>
        </is>
      </c>
      <c r="B205" s="1" t="n">
        <v>43411</v>
      </c>
      <c r="C205" s="1" t="n">
        <v>45354</v>
      </c>
      <c r="D205" t="inlineStr">
        <is>
          <t>VÄSTERNORRLANDS LÄN</t>
        </is>
      </c>
      <c r="E205" t="inlineStr">
        <is>
          <t>ÅNGE</t>
        </is>
      </c>
      <c r="F205" t="inlineStr">
        <is>
          <t>SCA</t>
        </is>
      </c>
      <c r="G205" t="n">
        <v>14.2</v>
      </c>
      <c r="H205" t="n">
        <v>0</v>
      </c>
      <c r="I205" t="n">
        <v>0</v>
      </c>
      <c r="J205" t="n">
        <v>0</v>
      </c>
      <c r="K205" t="n">
        <v>0</v>
      </c>
      <c r="L205" t="n">
        <v>0</v>
      </c>
      <c r="M205" t="n">
        <v>0</v>
      </c>
      <c r="N205" t="n">
        <v>0</v>
      </c>
      <c r="O205" t="n">
        <v>0</v>
      </c>
      <c r="P205" t="n">
        <v>0</v>
      </c>
      <c r="Q205" t="n">
        <v>0</v>
      </c>
      <c r="R205" s="2" t="inlineStr"/>
    </row>
    <row r="206" ht="15" customHeight="1">
      <c r="A206" t="inlineStr">
        <is>
          <t>A 58971-2018</t>
        </is>
      </c>
      <c r="B206" s="1" t="n">
        <v>43411</v>
      </c>
      <c r="C206" s="1" t="n">
        <v>45354</v>
      </c>
      <c r="D206" t="inlineStr">
        <is>
          <t>VÄSTERNORRLANDS LÄN</t>
        </is>
      </c>
      <c r="E206" t="inlineStr">
        <is>
          <t>ÅNGE</t>
        </is>
      </c>
      <c r="G206" t="n">
        <v>4.3</v>
      </c>
      <c r="H206" t="n">
        <v>0</v>
      </c>
      <c r="I206" t="n">
        <v>0</v>
      </c>
      <c r="J206" t="n">
        <v>0</v>
      </c>
      <c r="K206" t="n">
        <v>0</v>
      </c>
      <c r="L206" t="n">
        <v>0</v>
      </c>
      <c r="M206" t="n">
        <v>0</v>
      </c>
      <c r="N206" t="n">
        <v>0</v>
      </c>
      <c r="O206" t="n">
        <v>0</v>
      </c>
      <c r="P206" t="n">
        <v>0</v>
      </c>
      <c r="Q206" t="n">
        <v>0</v>
      </c>
      <c r="R206" s="2" t="inlineStr"/>
    </row>
    <row r="207" ht="15" customHeight="1">
      <c r="A207" t="inlineStr">
        <is>
          <t>A 60015-2018</t>
        </is>
      </c>
      <c r="B207" s="1" t="n">
        <v>43412</v>
      </c>
      <c r="C207" s="1" t="n">
        <v>45354</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60176-2018</t>
        </is>
      </c>
      <c r="B208" s="1" t="n">
        <v>43412</v>
      </c>
      <c r="C208" s="1" t="n">
        <v>45354</v>
      </c>
      <c r="D208" t="inlineStr">
        <is>
          <t>VÄSTERNORRLANDS LÄN</t>
        </is>
      </c>
      <c r="E208" t="inlineStr">
        <is>
          <t>ÅNGE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60023-2018</t>
        </is>
      </c>
      <c r="B209" s="1" t="n">
        <v>43412</v>
      </c>
      <c r="C209" s="1" t="n">
        <v>45354</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62533-2018</t>
        </is>
      </c>
      <c r="B210" s="1" t="n">
        <v>43413</v>
      </c>
      <c r="C210" s="1" t="n">
        <v>45354</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61684-2018</t>
        </is>
      </c>
      <c r="B211" s="1" t="n">
        <v>43413</v>
      </c>
      <c r="C211" s="1" t="n">
        <v>45354</v>
      </c>
      <c r="D211" t="inlineStr">
        <is>
          <t>VÄSTERNORRLANDS LÄN</t>
        </is>
      </c>
      <c r="E211" t="inlineStr">
        <is>
          <t>ÅNGE</t>
        </is>
      </c>
      <c r="G211" t="n">
        <v>5.6</v>
      </c>
      <c r="H211" t="n">
        <v>0</v>
      </c>
      <c r="I211" t="n">
        <v>0</v>
      </c>
      <c r="J211" t="n">
        <v>0</v>
      </c>
      <c r="K211" t="n">
        <v>0</v>
      </c>
      <c r="L211" t="n">
        <v>0</v>
      </c>
      <c r="M211" t="n">
        <v>0</v>
      </c>
      <c r="N211" t="n">
        <v>0</v>
      </c>
      <c r="O211" t="n">
        <v>0</v>
      </c>
      <c r="P211" t="n">
        <v>0</v>
      </c>
      <c r="Q211" t="n">
        <v>0</v>
      </c>
      <c r="R211" s="2" t="inlineStr"/>
    </row>
    <row r="212" ht="15" customHeight="1">
      <c r="A212" t="inlineStr">
        <is>
          <t>A 62072-2018</t>
        </is>
      </c>
      <c r="B212" s="1" t="n">
        <v>43416</v>
      </c>
      <c r="C212" s="1" t="n">
        <v>45354</v>
      </c>
      <c r="D212" t="inlineStr">
        <is>
          <t>VÄSTERNORRLANDS LÄN</t>
        </is>
      </c>
      <c r="E212" t="inlineStr">
        <is>
          <t>ÅNGE</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63387-2018</t>
        </is>
      </c>
      <c r="B213" s="1" t="n">
        <v>43416</v>
      </c>
      <c r="C213" s="1" t="n">
        <v>45354</v>
      </c>
      <c r="D213" t="inlineStr">
        <is>
          <t>VÄSTERNORRLANDS LÄN</t>
        </is>
      </c>
      <c r="E213" t="inlineStr">
        <is>
          <t>ÅNGE</t>
        </is>
      </c>
      <c r="G213" t="n">
        <v>6.7</v>
      </c>
      <c r="H213" t="n">
        <v>0</v>
      </c>
      <c r="I213" t="n">
        <v>0</v>
      </c>
      <c r="J213" t="n">
        <v>0</v>
      </c>
      <c r="K213" t="n">
        <v>0</v>
      </c>
      <c r="L213" t="n">
        <v>0</v>
      </c>
      <c r="M213" t="n">
        <v>0</v>
      </c>
      <c r="N213" t="n">
        <v>0</v>
      </c>
      <c r="O213" t="n">
        <v>0</v>
      </c>
      <c r="P213" t="n">
        <v>0</v>
      </c>
      <c r="Q213" t="n">
        <v>0</v>
      </c>
      <c r="R213" s="2" t="inlineStr"/>
    </row>
    <row r="214" ht="15" customHeight="1">
      <c r="A214" t="inlineStr">
        <is>
          <t>A 59936-2018</t>
        </is>
      </c>
      <c r="B214" s="1" t="n">
        <v>43419</v>
      </c>
      <c r="C214" s="1" t="n">
        <v>45354</v>
      </c>
      <c r="D214" t="inlineStr">
        <is>
          <t>VÄSTERNORRLANDS LÄN</t>
        </is>
      </c>
      <c r="E214" t="inlineStr">
        <is>
          <t>ÅNGE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60598-2018</t>
        </is>
      </c>
      <c r="B215" s="1" t="n">
        <v>43420</v>
      </c>
      <c r="C215" s="1" t="n">
        <v>45354</v>
      </c>
      <c r="D215" t="inlineStr">
        <is>
          <t>VÄSTERNORRLANDS LÄN</t>
        </is>
      </c>
      <c r="E215" t="inlineStr">
        <is>
          <t>ÅNGE</t>
        </is>
      </c>
      <c r="G215" t="n">
        <v>5.8</v>
      </c>
      <c r="H215" t="n">
        <v>0</v>
      </c>
      <c r="I215" t="n">
        <v>0</v>
      </c>
      <c r="J215" t="n">
        <v>0</v>
      </c>
      <c r="K215" t="n">
        <v>0</v>
      </c>
      <c r="L215" t="n">
        <v>0</v>
      </c>
      <c r="M215" t="n">
        <v>0</v>
      </c>
      <c r="N215" t="n">
        <v>0</v>
      </c>
      <c r="O215" t="n">
        <v>0</v>
      </c>
      <c r="P215" t="n">
        <v>0</v>
      </c>
      <c r="Q215" t="n">
        <v>0</v>
      </c>
      <c r="R215" s="2" t="inlineStr"/>
    </row>
    <row r="216" ht="15" customHeight="1">
      <c r="A216" t="inlineStr">
        <is>
          <t>A 60656-2018</t>
        </is>
      </c>
      <c r="B216" s="1" t="n">
        <v>43420</v>
      </c>
      <c r="C216" s="1" t="n">
        <v>45354</v>
      </c>
      <c r="D216" t="inlineStr">
        <is>
          <t>VÄSTERNORRLANDS LÄN</t>
        </is>
      </c>
      <c r="E216" t="inlineStr">
        <is>
          <t>ÅNGE</t>
        </is>
      </c>
      <c r="G216" t="n">
        <v>6.2</v>
      </c>
      <c r="H216" t="n">
        <v>0</v>
      </c>
      <c r="I216" t="n">
        <v>0</v>
      </c>
      <c r="J216" t="n">
        <v>0</v>
      </c>
      <c r="K216" t="n">
        <v>0</v>
      </c>
      <c r="L216" t="n">
        <v>0</v>
      </c>
      <c r="M216" t="n">
        <v>0</v>
      </c>
      <c r="N216" t="n">
        <v>0</v>
      </c>
      <c r="O216" t="n">
        <v>0</v>
      </c>
      <c r="P216" t="n">
        <v>0</v>
      </c>
      <c r="Q216" t="n">
        <v>0</v>
      </c>
      <c r="R216" s="2" t="inlineStr"/>
    </row>
    <row r="217" ht="15" customHeight="1">
      <c r="A217" t="inlineStr">
        <is>
          <t>A 61640-2018</t>
        </is>
      </c>
      <c r="B217" s="1" t="n">
        <v>43424</v>
      </c>
      <c r="C217" s="1" t="n">
        <v>45354</v>
      </c>
      <c r="D217" t="inlineStr">
        <is>
          <t>VÄSTERNORRLANDS LÄN</t>
        </is>
      </c>
      <c r="E217" t="inlineStr">
        <is>
          <t>ÅNGE</t>
        </is>
      </c>
      <c r="G217" t="n">
        <v>5.2</v>
      </c>
      <c r="H217" t="n">
        <v>0</v>
      </c>
      <c r="I217" t="n">
        <v>0</v>
      </c>
      <c r="J217" t="n">
        <v>0</v>
      </c>
      <c r="K217" t="n">
        <v>0</v>
      </c>
      <c r="L217" t="n">
        <v>0</v>
      </c>
      <c r="M217" t="n">
        <v>0</v>
      </c>
      <c r="N217" t="n">
        <v>0</v>
      </c>
      <c r="O217" t="n">
        <v>0</v>
      </c>
      <c r="P217" t="n">
        <v>0</v>
      </c>
      <c r="Q217" t="n">
        <v>0</v>
      </c>
      <c r="R217" s="2" t="inlineStr"/>
    </row>
    <row r="218" ht="15" customHeight="1">
      <c r="A218" t="inlineStr">
        <is>
          <t>A 61638-2018</t>
        </is>
      </c>
      <c r="B218" s="1" t="n">
        <v>43424</v>
      </c>
      <c r="C218" s="1" t="n">
        <v>45354</v>
      </c>
      <c r="D218" t="inlineStr">
        <is>
          <t>VÄSTERNORRLANDS LÄN</t>
        </is>
      </c>
      <c r="E218" t="inlineStr">
        <is>
          <t>ÅNGE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63998-2018</t>
        </is>
      </c>
      <c r="B219" s="1" t="n">
        <v>43430</v>
      </c>
      <c r="C219" s="1" t="n">
        <v>45354</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67425-2018</t>
        </is>
      </c>
      <c r="B220" s="1" t="n">
        <v>43432</v>
      </c>
      <c r="C220" s="1" t="n">
        <v>45354</v>
      </c>
      <c r="D220" t="inlineStr">
        <is>
          <t>VÄSTERNORRLANDS LÄN</t>
        </is>
      </c>
      <c r="E220" t="inlineStr">
        <is>
          <t>ÅNGE</t>
        </is>
      </c>
      <c r="G220" t="n">
        <v>5.5</v>
      </c>
      <c r="H220" t="n">
        <v>0</v>
      </c>
      <c r="I220" t="n">
        <v>0</v>
      </c>
      <c r="J220" t="n">
        <v>0</v>
      </c>
      <c r="K220" t="n">
        <v>0</v>
      </c>
      <c r="L220" t="n">
        <v>0</v>
      </c>
      <c r="M220" t="n">
        <v>0</v>
      </c>
      <c r="N220" t="n">
        <v>0</v>
      </c>
      <c r="O220" t="n">
        <v>0</v>
      </c>
      <c r="P220" t="n">
        <v>0</v>
      </c>
      <c r="Q220" t="n">
        <v>0</v>
      </c>
      <c r="R220" s="2" t="inlineStr"/>
    </row>
    <row r="221" ht="15" customHeight="1">
      <c r="A221" t="inlineStr">
        <is>
          <t>A 65430-2018</t>
        </is>
      </c>
      <c r="B221" s="1" t="n">
        <v>43433</v>
      </c>
      <c r="C221" s="1" t="n">
        <v>45354</v>
      </c>
      <c r="D221" t="inlineStr">
        <is>
          <t>VÄSTERNORRLANDS LÄN</t>
        </is>
      </c>
      <c r="E221" t="inlineStr">
        <is>
          <t>ÅNGE</t>
        </is>
      </c>
      <c r="G221" t="n">
        <v>3.9</v>
      </c>
      <c r="H221" t="n">
        <v>0</v>
      </c>
      <c r="I221" t="n">
        <v>0</v>
      </c>
      <c r="J221" t="n">
        <v>0</v>
      </c>
      <c r="K221" t="n">
        <v>0</v>
      </c>
      <c r="L221" t="n">
        <v>0</v>
      </c>
      <c r="M221" t="n">
        <v>0</v>
      </c>
      <c r="N221" t="n">
        <v>0</v>
      </c>
      <c r="O221" t="n">
        <v>0</v>
      </c>
      <c r="P221" t="n">
        <v>0</v>
      </c>
      <c r="Q221" t="n">
        <v>0</v>
      </c>
      <c r="R221" s="2" t="inlineStr"/>
    </row>
    <row r="222" ht="15" customHeight="1">
      <c r="A222" t="inlineStr">
        <is>
          <t>A 66195-2018</t>
        </is>
      </c>
      <c r="B222" s="1" t="n">
        <v>43434</v>
      </c>
      <c r="C222" s="1" t="n">
        <v>45354</v>
      </c>
      <c r="D222" t="inlineStr">
        <is>
          <t>VÄSTERNORRLANDS LÄN</t>
        </is>
      </c>
      <c r="E222" t="inlineStr">
        <is>
          <t>ÅNGE</t>
        </is>
      </c>
      <c r="G222" t="n">
        <v>4.8</v>
      </c>
      <c r="H222" t="n">
        <v>0</v>
      </c>
      <c r="I222" t="n">
        <v>0</v>
      </c>
      <c r="J222" t="n">
        <v>0</v>
      </c>
      <c r="K222" t="n">
        <v>0</v>
      </c>
      <c r="L222" t="n">
        <v>0</v>
      </c>
      <c r="M222" t="n">
        <v>0</v>
      </c>
      <c r="N222" t="n">
        <v>0</v>
      </c>
      <c r="O222" t="n">
        <v>0</v>
      </c>
      <c r="P222" t="n">
        <v>0</v>
      </c>
      <c r="Q222" t="n">
        <v>0</v>
      </c>
      <c r="R222" s="2" t="inlineStr"/>
    </row>
    <row r="223" ht="15" customHeight="1">
      <c r="A223" t="inlineStr">
        <is>
          <t>A 67802-2018</t>
        </is>
      </c>
      <c r="B223" s="1" t="n">
        <v>43440</v>
      </c>
      <c r="C223" s="1" t="n">
        <v>45354</v>
      </c>
      <c r="D223" t="inlineStr">
        <is>
          <t>VÄSTERNORRLANDS LÄN</t>
        </is>
      </c>
      <c r="E223" t="inlineStr">
        <is>
          <t>ÅNGE</t>
        </is>
      </c>
      <c r="G223" t="n">
        <v>1.6</v>
      </c>
      <c r="H223" t="n">
        <v>0</v>
      </c>
      <c r="I223" t="n">
        <v>0</v>
      </c>
      <c r="J223" t="n">
        <v>0</v>
      </c>
      <c r="K223" t="n">
        <v>0</v>
      </c>
      <c r="L223" t="n">
        <v>0</v>
      </c>
      <c r="M223" t="n">
        <v>0</v>
      </c>
      <c r="N223" t="n">
        <v>0</v>
      </c>
      <c r="O223" t="n">
        <v>0</v>
      </c>
      <c r="P223" t="n">
        <v>0</v>
      </c>
      <c r="Q223" t="n">
        <v>0</v>
      </c>
      <c r="R223" s="2" t="inlineStr"/>
    </row>
    <row r="224" ht="15" customHeight="1">
      <c r="A224" t="inlineStr">
        <is>
          <t>A 68339-2018</t>
        </is>
      </c>
      <c r="B224" s="1" t="n">
        <v>43441</v>
      </c>
      <c r="C224" s="1" t="n">
        <v>45354</v>
      </c>
      <c r="D224" t="inlineStr">
        <is>
          <t>VÄSTERNORRLANDS LÄN</t>
        </is>
      </c>
      <c r="E224" t="inlineStr">
        <is>
          <t>ÅNGE</t>
        </is>
      </c>
      <c r="G224" t="n">
        <v>1.9</v>
      </c>
      <c r="H224" t="n">
        <v>0</v>
      </c>
      <c r="I224" t="n">
        <v>0</v>
      </c>
      <c r="J224" t="n">
        <v>0</v>
      </c>
      <c r="K224" t="n">
        <v>0</v>
      </c>
      <c r="L224" t="n">
        <v>0</v>
      </c>
      <c r="M224" t="n">
        <v>0</v>
      </c>
      <c r="N224" t="n">
        <v>0</v>
      </c>
      <c r="O224" t="n">
        <v>0</v>
      </c>
      <c r="P224" t="n">
        <v>0</v>
      </c>
      <c r="Q224" t="n">
        <v>0</v>
      </c>
      <c r="R224" s="2" t="inlineStr"/>
    </row>
    <row r="225" ht="15" customHeight="1">
      <c r="A225" t="inlineStr">
        <is>
          <t>A 69604-2018</t>
        </is>
      </c>
      <c r="B225" s="1" t="n">
        <v>43446</v>
      </c>
      <c r="C225" s="1" t="n">
        <v>45354</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69655-2018</t>
        </is>
      </c>
      <c r="B226" s="1" t="n">
        <v>43447</v>
      </c>
      <c r="C226" s="1" t="n">
        <v>45354</v>
      </c>
      <c r="D226" t="inlineStr">
        <is>
          <t>VÄSTERNORRLANDS LÄN</t>
        </is>
      </c>
      <c r="E226" t="inlineStr">
        <is>
          <t>ÅNGE</t>
        </is>
      </c>
      <c r="G226" t="n">
        <v>6.3</v>
      </c>
      <c r="H226" t="n">
        <v>0</v>
      </c>
      <c r="I226" t="n">
        <v>0</v>
      </c>
      <c r="J226" t="n">
        <v>0</v>
      </c>
      <c r="K226" t="n">
        <v>0</v>
      </c>
      <c r="L226" t="n">
        <v>0</v>
      </c>
      <c r="M226" t="n">
        <v>0</v>
      </c>
      <c r="N226" t="n">
        <v>0</v>
      </c>
      <c r="O226" t="n">
        <v>0</v>
      </c>
      <c r="P226" t="n">
        <v>0</v>
      </c>
      <c r="Q226" t="n">
        <v>0</v>
      </c>
      <c r="R226" s="2" t="inlineStr"/>
    </row>
    <row r="227" ht="15" customHeight="1">
      <c r="A227" t="inlineStr">
        <is>
          <t>A 69908-2018</t>
        </is>
      </c>
      <c r="B227" s="1" t="n">
        <v>43447</v>
      </c>
      <c r="C227" s="1" t="n">
        <v>45354</v>
      </c>
      <c r="D227" t="inlineStr">
        <is>
          <t>VÄSTERNORRLANDS LÄN</t>
        </is>
      </c>
      <c r="E227" t="inlineStr">
        <is>
          <t>ÅNGE</t>
        </is>
      </c>
      <c r="G227" t="n">
        <v>2.6</v>
      </c>
      <c r="H227" t="n">
        <v>0</v>
      </c>
      <c r="I227" t="n">
        <v>0</v>
      </c>
      <c r="J227" t="n">
        <v>0</v>
      </c>
      <c r="K227" t="n">
        <v>0</v>
      </c>
      <c r="L227" t="n">
        <v>0</v>
      </c>
      <c r="M227" t="n">
        <v>0</v>
      </c>
      <c r="N227" t="n">
        <v>0</v>
      </c>
      <c r="O227" t="n">
        <v>0</v>
      </c>
      <c r="P227" t="n">
        <v>0</v>
      </c>
      <c r="Q227" t="n">
        <v>0</v>
      </c>
      <c r="R227" s="2" t="inlineStr"/>
    </row>
    <row r="228" ht="15" customHeight="1">
      <c r="A228" t="inlineStr">
        <is>
          <t>A 70549-2018</t>
        </is>
      </c>
      <c r="B228" s="1" t="n">
        <v>43447</v>
      </c>
      <c r="C228" s="1" t="n">
        <v>45354</v>
      </c>
      <c r="D228" t="inlineStr">
        <is>
          <t>VÄSTERNORRLANDS LÄN</t>
        </is>
      </c>
      <c r="E228" t="inlineStr">
        <is>
          <t>ÅNGE</t>
        </is>
      </c>
      <c r="G228" t="n">
        <v>5</v>
      </c>
      <c r="H228" t="n">
        <v>0</v>
      </c>
      <c r="I228" t="n">
        <v>0</v>
      </c>
      <c r="J228" t="n">
        <v>0</v>
      </c>
      <c r="K228" t="n">
        <v>0</v>
      </c>
      <c r="L228" t="n">
        <v>0</v>
      </c>
      <c r="M228" t="n">
        <v>0</v>
      </c>
      <c r="N228" t="n">
        <v>0</v>
      </c>
      <c r="O228" t="n">
        <v>0</v>
      </c>
      <c r="P228" t="n">
        <v>0</v>
      </c>
      <c r="Q228" t="n">
        <v>0</v>
      </c>
      <c r="R228" s="2" t="inlineStr"/>
    </row>
    <row r="229" ht="15" customHeight="1">
      <c r="A229" t="inlineStr">
        <is>
          <t>A 69973-2018</t>
        </is>
      </c>
      <c r="B229" s="1" t="n">
        <v>43447</v>
      </c>
      <c r="C229" s="1" t="n">
        <v>45354</v>
      </c>
      <c r="D229" t="inlineStr">
        <is>
          <t>VÄSTERNORRLANDS LÄN</t>
        </is>
      </c>
      <c r="E229" t="inlineStr">
        <is>
          <t>ÅNGE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69906-2018</t>
        </is>
      </c>
      <c r="B230" s="1" t="n">
        <v>43447</v>
      </c>
      <c r="C230" s="1" t="n">
        <v>45354</v>
      </c>
      <c r="D230" t="inlineStr">
        <is>
          <t>VÄSTERNORRLANDS LÄN</t>
        </is>
      </c>
      <c r="E230" t="inlineStr">
        <is>
          <t>ÅNGE</t>
        </is>
      </c>
      <c r="G230" t="n">
        <v>2.7</v>
      </c>
      <c r="H230" t="n">
        <v>0</v>
      </c>
      <c r="I230" t="n">
        <v>0</v>
      </c>
      <c r="J230" t="n">
        <v>0</v>
      </c>
      <c r="K230" t="n">
        <v>0</v>
      </c>
      <c r="L230" t="n">
        <v>0</v>
      </c>
      <c r="M230" t="n">
        <v>0</v>
      </c>
      <c r="N230" t="n">
        <v>0</v>
      </c>
      <c r="O230" t="n">
        <v>0</v>
      </c>
      <c r="P230" t="n">
        <v>0</v>
      </c>
      <c r="Q230" t="n">
        <v>0</v>
      </c>
      <c r="R230" s="2" t="inlineStr"/>
    </row>
    <row r="231" ht="15" customHeight="1">
      <c r="A231" t="inlineStr">
        <is>
          <t>A 69853-2018</t>
        </is>
      </c>
      <c r="B231" s="1" t="n">
        <v>43447</v>
      </c>
      <c r="C231" s="1" t="n">
        <v>45354</v>
      </c>
      <c r="D231" t="inlineStr">
        <is>
          <t>VÄSTERNORRLANDS LÄN</t>
        </is>
      </c>
      <c r="E231" t="inlineStr">
        <is>
          <t>ÅNGE</t>
        </is>
      </c>
      <c r="G231" t="n">
        <v>0.8</v>
      </c>
      <c r="H231" t="n">
        <v>0</v>
      </c>
      <c r="I231" t="n">
        <v>0</v>
      </c>
      <c r="J231" t="n">
        <v>0</v>
      </c>
      <c r="K231" t="n">
        <v>0</v>
      </c>
      <c r="L231" t="n">
        <v>0</v>
      </c>
      <c r="M231" t="n">
        <v>0</v>
      </c>
      <c r="N231" t="n">
        <v>0</v>
      </c>
      <c r="O231" t="n">
        <v>0</v>
      </c>
      <c r="P231" t="n">
        <v>0</v>
      </c>
      <c r="Q231" t="n">
        <v>0</v>
      </c>
      <c r="R231" s="2" t="inlineStr"/>
    </row>
    <row r="232" ht="15" customHeight="1">
      <c r="A232" t="inlineStr">
        <is>
          <t>A 70547-2018</t>
        </is>
      </c>
      <c r="B232" s="1" t="n">
        <v>43447</v>
      </c>
      <c r="C232" s="1" t="n">
        <v>45354</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69850-2018</t>
        </is>
      </c>
      <c r="B233" s="1" t="n">
        <v>43447</v>
      </c>
      <c r="C233" s="1" t="n">
        <v>45354</v>
      </c>
      <c r="D233" t="inlineStr">
        <is>
          <t>VÄSTERNORRLANDS LÄN</t>
        </is>
      </c>
      <c r="E233" t="inlineStr">
        <is>
          <t>ÅNGE</t>
        </is>
      </c>
      <c r="G233" t="n">
        <v>4</v>
      </c>
      <c r="H233" t="n">
        <v>0</v>
      </c>
      <c r="I233" t="n">
        <v>0</v>
      </c>
      <c r="J233" t="n">
        <v>0</v>
      </c>
      <c r="K233" t="n">
        <v>0</v>
      </c>
      <c r="L233" t="n">
        <v>0</v>
      </c>
      <c r="M233" t="n">
        <v>0</v>
      </c>
      <c r="N233" t="n">
        <v>0</v>
      </c>
      <c r="O233" t="n">
        <v>0</v>
      </c>
      <c r="P233" t="n">
        <v>0</v>
      </c>
      <c r="Q233" t="n">
        <v>0</v>
      </c>
      <c r="R233" s="2" t="inlineStr"/>
    </row>
    <row r="234" ht="15" customHeight="1">
      <c r="A234" t="inlineStr">
        <is>
          <t>A 71422-2018</t>
        </is>
      </c>
      <c r="B234" s="1" t="n">
        <v>43453</v>
      </c>
      <c r="C234" s="1" t="n">
        <v>45354</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71211-2018</t>
        </is>
      </c>
      <c r="B235" s="1" t="n">
        <v>43453</v>
      </c>
      <c r="C235" s="1" t="n">
        <v>45354</v>
      </c>
      <c r="D235" t="inlineStr">
        <is>
          <t>VÄSTERNORRLANDS LÄN</t>
        </is>
      </c>
      <c r="E235" t="inlineStr">
        <is>
          <t>ÅNGE</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72166-2018</t>
        </is>
      </c>
      <c r="B236" s="1" t="n">
        <v>43455</v>
      </c>
      <c r="C236" s="1" t="n">
        <v>45354</v>
      </c>
      <c r="D236" t="inlineStr">
        <is>
          <t>VÄSTERNORRLANDS LÄN</t>
        </is>
      </c>
      <c r="E236" t="inlineStr">
        <is>
          <t>ÅNGE</t>
        </is>
      </c>
      <c r="G236" t="n">
        <v>2.5</v>
      </c>
      <c r="H236" t="n">
        <v>0</v>
      </c>
      <c r="I236" t="n">
        <v>0</v>
      </c>
      <c r="J236" t="n">
        <v>0</v>
      </c>
      <c r="K236" t="n">
        <v>0</v>
      </c>
      <c r="L236" t="n">
        <v>0</v>
      </c>
      <c r="M236" t="n">
        <v>0</v>
      </c>
      <c r="N236" t="n">
        <v>0</v>
      </c>
      <c r="O236" t="n">
        <v>0</v>
      </c>
      <c r="P236" t="n">
        <v>0</v>
      </c>
      <c r="Q236" t="n">
        <v>0</v>
      </c>
      <c r="R236" s="2" t="inlineStr"/>
    </row>
    <row r="237" ht="15" customHeight="1">
      <c r="A237" t="inlineStr">
        <is>
          <t>A 72136-2018</t>
        </is>
      </c>
      <c r="B237" s="1" t="n">
        <v>43455</v>
      </c>
      <c r="C237" s="1" t="n">
        <v>45354</v>
      </c>
      <c r="D237" t="inlineStr">
        <is>
          <t>VÄSTERNORRLANDS LÄN</t>
        </is>
      </c>
      <c r="E237" t="inlineStr">
        <is>
          <t>ÅNGE</t>
        </is>
      </c>
      <c r="G237" t="n">
        <v>0.3</v>
      </c>
      <c r="H237" t="n">
        <v>0</v>
      </c>
      <c r="I237" t="n">
        <v>0</v>
      </c>
      <c r="J237" t="n">
        <v>0</v>
      </c>
      <c r="K237" t="n">
        <v>0</v>
      </c>
      <c r="L237" t="n">
        <v>0</v>
      </c>
      <c r="M237" t="n">
        <v>0</v>
      </c>
      <c r="N237" t="n">
        <v>0</v>
      </c>
      <c r="O237" t="n">
        <v>0</v>
      </c>
      <c r="P237" t="n">
        <v>0</v>
      </c>
      <c r="Q237" t="n">
        <v>0</v>
      </c>
      <c r="R237" s="2" t="inlineStr"/>
    </row>
    <row r="238" ht="15" customHeight="1">
      <c r="A238" t="inlineStr">
        <is>
          <t>A 72099-2018</t>
        </is>
      </c>
      <c r="B238" s="1" t="n">
        <v>43455</v>
      </c>
      <c r="C238" s="1" t="n">
        <v>45354</v>
      </c>
      <c r="D238" t="inlineStr">
        <is>
          <t>VÄSTERNORRLANDS LÄN</t>
        </is>
      </c>
      <c r="E238" t="inlineStr">
        <is>
          <t>ÅNGE</t>
        </is>
      </c>
      <c r="G238" t="n">
        <v>1.4</v>
      </c>
      <c r="H238" t="n">
        <v>0</v>
      </c>
      <c r="I238" t="n">
        <v>0</v>
      </c>
      <c r="J238" t="n">
        <v>0</v>
      </c>
      <c r="K238" t="n">
        <v>0</v>
      </c>
      <c r="L238" t="n">
        <v>0</v>
      </c>
      <c r="M238" t="n">
        <v>0</v>
      </c>
      <c r="N238" t="n">
        <v>0</v>
      </c>
      <c r="O238" t="n">
        <v>0</v>
      </c>
      <c r="P238" t="n">
        <v>0</v>
      </c>
      <c r="Q238" t="n">
        <v>0</v>
      </c>
      <c r="R238" s="2" t="inlineStr"/>
    </row>
    <row r="239" ht="15" customHeight="1">
      <c r="A239" t="inlineStr">
        <is>
          <t>A 2098-2019</t>
        </is>
      </c>
      <c r="B239" s="1" t="n">
        <v>43467</v>
      </c>
      <c r="C239" s="1" t="n">
        <v>45354</v>
      </c>
      <c r="D239" t="inlineStr">
        <is>
          <t>VÄSTERNORRLANDS LÄN</t>
        </is>
      </c>
      <c r="E239" t="inlineStr">
        <is>
          <t>ÅNGE</t>
        </is>
      </c>
      <c r="G239" t="n">
        <v>3.6</v>
      </c>
      <c r="H239" t="n">
        <v>0</v>
      </c>
      <c r="I239" t="n">
        <v>0</v>
      </c>
      <c r="J239" t="n">
        <v>0</v>
      </c>
      <c r="K239" t="n">
        <v>0</v>
      </c>
      <c r="L239" t="n">
        <v>0</v>
      </c>
      <c r="M239" t="n">
        <v>0</v>
      </c>
      <c r="N239" t="n">
        <v>0</v>
      </c>
      <c r="O239" t="n">
        <v>0</v>
      </c>
      <c r="P239" t="n">
        <v>0</v>
      </c>
      <c r="Q239" t="n">
        <v>0</v>
      </c>
      <c r="R239" s="2" t="inlineStr"/>
    </row>
    <row r="240" ht="15" customHeight="1">
      <c r="A240" t="inlineStr">
        <is>
          <t>A 2798-2019</t>
        </is>
      </c>
      <c r="B240" s="1" t="n">
        <v>43469</v>
      </c>
      <c r="C240" s="1" t="n">
        <v>45354</v>
      </c>
      <c r="D240" t="inlineStr">
        <is>
          <t>VÄSTERNORRLANDS LÄN</t>
        </is>
      </c>
      <c r="E240" t="inlineStr">
        <is>
          <t>ÅNGE</t>
        </is>
      </c>
      <c r="G240" t="n">
        <v>1.2</v>
      </c>
      <c r="H240" t="n">
        <v>0</v>
      </c>
      <c r="I240" t="n">
        <v>0</v>
      </c>
      <c r="J240" t="n">
        <v>0</v>
      </c>
      <c r="K240" t="n">
        <v>0</v>
      </c>
      <c r="L240" t="n">
        <v>0</v>
      </c>
      <c r="M240" t="n">
        <v>0</v>
      </c>
      <c r="N240" t="n">
        <v>0</v>
      </c>
      <c r="O240" t="n">
        <v>0</v>
      </c>
      <c r="P240" t="n">
        <v>0</v>
      </c>
      <c r="Q240" t="n">
        <v>0</v>
      </c>
      <c r="R240" s="2" t="inlineStr"/>
    </row>
    <row r="241" ht="15" customHeight="1">
      <c r="A241" t="inlineStr">
        <is>
          <t>A 546-2019</t>
        </is>
      </c>
      <c r="B241" s="1" t="n">
        <v>43469</v>
      </c>
      <c r="C241" s="1" t="n">
        <v>45354</v>
      </c>
      <c r="D241" t="inlineStr">
        <is>
          <t>VÄSTERNORRLANDS LÄN</t>
        </is>
      </c>
      <c r="E241" t="inlineStr">
        <is>
          <t>ÅNGE</t>
        </is>
      </c>
      <c r="G241" t="n">
        <v>3.7</v>
      </c>
      <c r="H241" t="n">
        <v>0</v>
      </c>
      <c r="I241" t="n">
        <v>0</v>
      </c>
      <c r="J241" t="n">
        <v>0</v>
      </c>
      <c r="K241" t="n">
        <v>0</v>
      </c>
      <c r="L241" t="n">
        <v>0</v>
      </c>
      <c r="M241" t="n">
        <v>0</v>
      </c>
      <c r="N241" t="n">
        <v>0</v>
      </c>
      <c r="O241" t="n">
        <v>0</v>
      </c>
      <c r="P241" t="n">
        <v>0</v>
      </c>
      <c r="Q241" t="n">
        <v>0</v>
      </c>
      <c r="R241" s="2" t="inlineStr"/>
    </row>
    <row r="242" ht="15" customHeight="1">
      <c r="A242" t="inlineStr">
        <is>
          <t>A 1538-2019</t>
        </is>
      </c>
      <c r="B242" s="1" t="n">
        <v>43473</v>
      </c>
      <c r="C242" s="1" t="n">
        <v>45354</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4891-2019</t>
        </is>
      </c>
      <c r="B243" s="1" t="n">
        <v>43479</v>
      </c>
      <c r="C243" s="1" t="n">
        <v>45354</v>
      </c>
      <c r="D243" t="inlineStr">
        <is>
          <t>VÄSTERNORRLANDS LÄN</t>
        </is>
      </c>
      <c r="E243" t="inlineStr">
        <is>
          <t>ÅNGE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3080-2019</t>
        </is>
      </c>
      <c r="B244" s="1" t="n">
        <v>43479</v>
      </c>
      <c r="C244" s="1" t="n">
        <v>45354</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4913-2019</t>
        </is>
      </c>
      <c r="B245" s="1" t="n">
        <v>43479</v>
      </c>
      <c r="C245" s="1" t="n">
        <v>45354</v>
      </c>
      <c r="D245" t="inlineStr">
        <is>
          <t>VÄSTERNORRLANDS LÄN</t>
        </is>
      </c>
      <c r="E245" t="inlineStr">
        <is>
          <t>ÅNGE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4901-2019</t>
        </is>
      </c>
      <c r="B246" s="1" t="n">
        <v>43479</v>
      </c>
      <c r="C246" s="1" t="n">
        <v>45354</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4068-2019</t>
        </is>
      </c>
      <c r="B247" s="1" t="n">
        <v>43482</v>
      </c>
      <c r="C247" s="1" t="n">
        <v>45354</v>
      </c>
      <c r="D247" t="inlineStr">
        <is>
          <t>VÄSTERNORRLANDS LÄN</t>
        </is>
      </c>
      <c r="E247" t="inlineStr">
        <is>
          <t>ÅNGE</t>
        </is>
      </c>
      <c r="G247" t="n">
        <v>14.4</v>
      </c>
      <c r="H247" t="n">
        <v>0</v>
      </c>
      <c r="I247" t="n">
        <v>0</v>
      </c>
      <c r="J247" t="n">
        <v>0</v>
      </c>
      <c r="K247" t="n">
        <v>0</v>
      </c>
      <c r="L247" t="n">
        <v>0</v>
      </c>
      <c r="M247" t="n">
        <v>0</v>
      </c>
      <c r="N247" t="n">
        <v>0</v>
      </c>
      <c r="O247" t="n">
        <v>0</v>
      </c>
      <c r="P247" t="n">
        <v>0</v>
      </c>
      <c r="Q247" t="n">
        <v>0</v>
      </c>
      <c r="R247" s="2" t="inlineStr"/>
    </row>
    <row r="248" ht="15" customHeight="1">
      <c r="A248" t="inlineStr">
        <is>
          <t>A 4144-2019</t>
        </is>
      </c>
      <c r="B248" s="1" t="n">
        <v>43483</v>
      </c>
      <c r="C248" s="1" t="n">
        <v>45354</v>
      </c>
      <c r="D248" t="inlineStr">
        <is>
          <t>VÄSTERNORRLANDS LÄN</t>
        </is>
      </c>
      <c r="E248" t="inlineStr">
        <is>
          <t>ÅNGE</t>
        </is>
      </c>
      <c r="F248" t="inlineStr">
        <is>
          <t>Holmen skog AB</t>
        </is>
      </c>
      <c r="G248" t="n">
        <v>18.9</v>
      </c>
      <c r="H248" t="n">
        <v>0</v>
      </c>
      <c r="I248" t="n">
        <v>0</v>
      </c>
      <c r="J248" t="n">
        <v>0</v>
      </c>
      <c r="K248" t="n">
        <v>0</v>
      </c>
      <c r="L248" t="n">
        <v>0</v>
      </c>
      <c r="M248" t="n">
        <v>0</v>
      </c>
      <c r="N248" t="n">
        <v>0</v>
      </c>
      <c r="O248" t="n">
        <v>0</v>
      </c>
      <c r="P248" t="n">
        <v>0</v>
      </c>
      <c r="Q248" t="n">
        <v>0</v>
      </c>
      <c r="R248" s="2" t="inlineStr"/>
    </row>
    <row r="249" ht="15" customHeight="1">
      <c r="A249" t="inlineStr">
        <is>
          <t>A 6267-2019</t>
        </is>
      </c>
      <c r="B249" s="1" t="n">
        <v>43486</v>
      </c>
      <c r="C249" s="1" t="n">
        <v>45354</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6075-2019</t>
        </is>
      </c>
      <c r="B250" s="1" t="n">
        <v>43493</v>
      </c>
      <c r="C250" s="1" t="n">
        <v>45354</v>
      </c>
      <c r="D250" t="inlineStr">
        <is>
          <t>VÄSTERNORRLANDS LÄN</t>
        </is>
      </c>
      <c r="E250" t="inlineStr">
        <is>
          <t>ÅNGE</t>
        </is>
      </c>
      <c r="G250" t="n">
        <v>1.8</v>
      </c>
      <c r="H250" t="n">
        <v>0</v>
      </c>
      <c r="I250" t="n">
        <v>0</v>
      </c>
      <c r="J250" t="n">
        <v>0</v>
      </c>
      <c r="K250" t="n">
        <v>0</v>
      </c>
      <c r="L250" t="n">
        <v>0</v>
      </c>
      <c r="M250" t="n">
        <v>0</v>
      </c>
      <c r="N250" t="n">
        <v>0</v>
      </c>
      <c r="O250" t="n">
        <v>0</v>
      </c>
      <c r="P250" t="n">
        <v>0</v>
      </c>
      <c r="Q250" t="n">
        <v>0</v>
      </c>
      <c r="R250" s="2" t="inlineStr"/>
    </row>
    <row r="251" ht="15" customHeight="1">
      <c r="A251" t="inlineStr">
        <is>
          <t>A 7992-2019</t>
        </is>
      </c>
      <c r="B251" s="1" t="n">
        <v>43493</v>
      </c>
      <c r="C251" s="1" t="n">
        <v>45354</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7990-2019</t>
        </is>
      </c>
      <c r="B252" s="1" t="n">
        <v>43493</v>
      </c>
      <c r="C252" s="1" t="n">
        <v>45354</v>
      </c>
      <c r="D252" t="inlineStr">
        <is>
          <t>VÄSTERNORRLANDS LÄN</t>
        </is>
      </c>
      <c r="E252" t="inlineStr">
        <is>
          <t>ÅNGE</t>
        </is>
      </c>
      <c r="G252" t="n">
        <v>2.8</v>
      </c>
      <c r="H252" t="n">
        <v>0</v>
      </c>
      <c r="I252" t="n">
        <v>0</v>
      </c>
      <c r="J252" t="n">
        <v>0</v>
      </c>
      <c r="K252" t="n">
        <v>0</v>
      </c>
      <c r="L252" t="n">
        <v>0</v>
      </c>
      <c r="M252" t="n">
        <v>0</v>
      </c>
      <c r="N252" t="n">
        <v>0</v>
      </c>
      <c r="O252" t="n">
        <v>0</v>
      </c>
      <c r="P252" t="n">
        <v>0</v>
      </c>
      <c r="Q252" t="n">
        <v>0</v>
      </c>
      <c r="R252" s="2" t="inlineStr"/>
    </row>
    <row r="253" ht="15" customHeight="1">
      <c r="A253" t="inlineStr">
        <is>
          <t>A 7075-2019</t>
        </is>
      </c>
      <c r="B253" s="1" t="n">
        <v>43496</v>
      </c>
      <c r="C253" s="1" t="n">
        <v>45354</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7131-2019</t>
        </is>
      </c>
      <c r="B254" s="1" t="n">
        <v>43496</v>
      </c>
      <c r="C254" s="1" t="n">
        <v>45354</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7079-2019</t>
        </is>
      </c>
      <c r="B255" s="1" t="n">
        <v>43496</v>
      </c>
      <c r="C255" s="1" t="n">
        <v>45354</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7148-2019</t>
        </is>
      </c>
      <c r="B256" s="1" t="n">
        <v>43496</v>
      </c>
      <c r="C256" s="1" t="n">
        <v>45354</v>
      </c>
      <c r="D256" t="inlineStr">
        <is>
          <t>VÄSTERNORRLANDS LÄN</t>
        </is>
      </c>
      <c r="E256" t="inlineStr">
        <is>
          <t>ÅNGE</t>
        </is>
      </c>
      <c r="G256" t="n">
        <v>12.8</v>
      </c>
      <c r="H256" t="n">
        <v>0</v>
      </c>
      <c r="I256" t="n">
        <v>0</v>
      </c>
      <c r="J256" t="n">
        <v>0</v>
      </c>
      <c r="K256" t="n">
        <v>0</v>
      </c>
      <c r="L256" t="n">
        <v>0</v>
      </c>
      <c r="M256" t="n">
        <v>0</v>
      </c>
      <c r="N256" t="n">
        <v>0</v>
      </c>
      <c r="O256" t="n">
        <v>0</v>
      </c>
      <c r="P256" t="n">
        <v>0</v>
      </c>
      <c r="Q256" t="n">
        <v>0</v>
      </c>
      <c r="R256" s="2" t="inlineStr"/>
    </row>
    <row r="257" ht="15" customHeight="1">
      <c r="A257" t="inlineStr">
        <is>
          <t>A 8276-2019</t>
        </is>
      </c>
      <c r="B257" s="1" t="n">
        <v>43501</v>
      </c>
      <c r="C257" s="1" t="n">
        <v>45354</v>
      </c>
      <c r="D257" t="inlineStr">
        <is>
          <t>VÄSTERNORRLANDS LÄN</t>
        </is>
      </c>
      <c r="E257" t="inlineStr">
        <is>
          <t>ÅNGE</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8278-2019</t>
        </is>
      </c>
      <c r="B258" s="1" t="n">
        <v>43501</v>
      </c>
      <c r="C258" s="1" t="n">
        <v>45354</v>
      </c>
      <c r="D258" t="inlineStr">
        <is>
          <t>VÄSTERNORRLANDS LÄN</t>
        </is>
      </c>
      <c r="E258" t="inlineStr">
        <is>
          <t>ÅNGE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12014-2019</t>
        </is>
      </c>
      <c r="B259" s="1" t="n">
        <v>43521</v>
      </c>
      <c r="C259" s="1" t="n">
        <v>45354</v>
      </c>
      <c r="D259" t="inlineStr">
        <is>
          <t>VÄSTERNORRLANDS LÄN</t>
        </is>
      </c>
      <c r="E259" t="inlineStr">
        <is>
          <t>ÅNGE</t>
        </is>
      </c>
      <c r="G259" t="n">
        <v>3.6</v>
      </c>
      <c r="H259" t="n">
        <v>0</v>
      </c>
      <c r="I259" t="n">
        <v>0</v>
      </c>
      <c r="J259" t="n">
        <v>0</v>
      </c>
      <c r="K259" t="n">
        <v>0</v>
      </c>
      <c r="L259" t="n">
        <v>0</v>
      </c>
      <c r="M259" t="n">
        <v>0</v>
      </c>
      <c r="N259" t="n">
        <v>0</v>
      </c>
      <c r="O259" t="n">
        <v>0</v>
      </c>
      <c r="P259" t="n">
        <v>0</v>
      </c>
      <c r="Q259" t="n">
        <v>0</v>
      </c>
      <c r="R259" s="2" t="inlineStr"/>
    </row>
    <row r="260" ht="15" customHeight="1">
      <c r="A260" t="inlineStr">
        <is>
          <t>A 13905-2019</t>
        </is>
      </c>
      <c r="B260" s="1" t="n">
        <v>43531</v>
      </c>
      <c r="C260" s="1" t="n">
        <v>45354</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14734-2019</t>
        </is>
      </c>
      <c r="B261" s="1" t="n">
        <v>43535</v>
      </c>
      <c r="C261" s="1" t="n">
        <v>45354</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14722-2019</t>
        </is>
      </c>
      <c r="B262" s="1" t="n">
        <v>43535</v>
      </c>
      <c r="C262" s="1" t="n">
        <v>45354</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14730-2019</t>
        </is>
      </c>
      <c r="B263" s="1" t="n">
        <v>43535</v>
      </c>
      <c r="C263" s="1" t="n">
        <v>45354</v>
      </c>
      <c r="D263" t="inlineStr">
        <is>
          <t>VÄSTERNORRLANDS LÄN</t>
        </is>
      </c>
      <c r="E263" t="inlineStr">
        <is>
          <t>ÅNGE</t>
        </is>
      </c>
      <c r="F263" t="inlineStr">
        <is>
          <t>SCA</t>
        </is>
      </c>
      <c r="G263" t="n">
        <v>10.9</v>
      </c>
      <c r="H263" t="n">
        <v>0</v>
      </c>
      <c r="I263" t="n">
        <v>0</v>
      </c>
      <c r="J263" t="n">
        <v>0</v>
      </c>
      <c r="K263" t="n">
        <v>0</v>
      </c>
      <c r="L263" t="n">
        <v>0</v>
      </c>
      <c r="M263" t="n">
        <v>0</v>
      </c>
      <c r="N263" t="n">
        <v>0</v>
      </c>
      <c r="O263" t="n">
        <v>0</v>
      </c>
      <c r="P263" t="n">
        <v>0</v>
      </c>
      <c r="Q263" t="n">
        <v>0</v>
      </c>
      <c r="R263" s="2" t="inlineStr"/>
    </row>
    <row r="264" ht="15" customHeight="1">
      <c r="A264" t="inlineStr">
        <is>
          <t>A 14827-2019</t>
        </is>
      </c>
      <c r="B264" s="1" t="n">
        <v>43538</v>
      </c>
      <c r="C264" s="1" t="n">
        <v>45354</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15439-2019</t>
        </is>
      </c>
      <c r="B265" s="1" t="n">
        <v>43542</v>
      </c>
      <c r="C265" s="1" t="n">
        <v>45354</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15905-2019</t>
        </is>
      </c>
      <c r="B266" s="1" t="n">
        <v>43543</v>
      </c>
      <c r="C266" s="1" t="n">
        <v>45354</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16536-2019</t>
        </is>
      </c>
      <c r="B267" s="1" t="n">
        <v>43546</v>
      </c>
      <c r="C267" s="1" t="n">
        <v>45354</v>
      </c>
      <c r="D267" t="inlineStr">
        <is>
          <t>VÄSTERNORRLANDS LÄN</t>
        </is>
      </c>
      <c r="E267" t="inlineStr">
        <is>
          <t>ÅNGE</t>
        </is>
      </c>
      <c r="F267" t="inlineStr">
        <is>
          <t>SCA</t>
        </is>
      </c>
      <c r="G267" t="n">
        <v>27.8</v>
      </c>
      <c r="H267" t="n">
        <v>0</v>
      </c>
      <c r="I267" t="n">
        <v>0</v>
      </c>
      <c r="J267" t="n">
        <v>0</v>
      </c>
      <c r="K267" t="n">
        <v>0</v>
      </c>
      <c r="L267" t="n">
        <v>0</v>
      </c>
      <c r="M267" t="n">
        <v>0</v>
      </c>
      <c r="N267" t="n">
        <v>0</v>
      </c>
      <c r="O267" t="n">
        <v>0</v>
      </c>
      <c r="P267" t="n">
        <v>0</v>
      </c>
      <c r="Q267" t="n">
        <v>0</v>
      </c>
      <c r="R267" s="2" t="inlineStr"/>
    </row>
    <row r="268" ht="15" customHeight="1">
      <c r="A268" t="inlineStr">
        <is>
          <t>A 17188-2019</t>
        </is>
      </c>
      <c r="B268" s="1" t="n">
        <v>43551</v>
      </c>
      <c r="C268" s="1" t="n">
        <v>45354</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17278-2019</t>
        </is>
      </c>
      <c r="B269" s="1" t="n">
        <v>43552</v>
      </c>
      <c r="C269" s="1" t="n">
        <v>45354</v>
      </c>
      <c r="D269" t="inlineStr">
        <is>
          <t>VÄSTERNORRLANDS LÄN</t>
        </is>
      </c>
      <c r="E269" t="inlineStr">
        <is>
          <t>ÅNGE</t>
        </is>
      </c>
      <c r="G269" t="n">
        <v>1.4</v>
      </c>
      <c r="H269" t="n">
        <v>0</v>
      </c>
      <c r="I269" t="n">
        <v>0</v>
      </c>
      <c r="J269" t="n">
        <v>0</v>
      </c>
      <c r="K269" t="n">
        <v>0</v>
      </c>
      <c r="L269" t="n">
        <v>0</v>
      </c>
      <c r="M269" t="n">
        <v>0</v>
      </c>
      <c r="N269" t="n">
        <v>0</v>
      </c>
      <c r="O269" t="n">
        <v>0</v>
      </c>
      <c r="P269" t="n">
        <v>0</v>
      </c>
      <c r="Q269" t="n">
        <v>0</v>
      </c>
      <c r="R269" s="2" t="inlineStr"/>
    </row>
    <row r="270" ht="15" customHeight="1">
      <c r="A270" t="inlineStr">
        <is>
          <t>A 17281-2019</t>
        </is>
      </c>
      <c r="B270" s="1" t="n">
        <v>43552</v>
      </c>
      <c r="C270" s="1" t="n">
        <v>45354</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17357-2019</t>
        </is>
      </c>
      <c r="B271" s="1" t="n">
        <v>43552</v>
      </c>
      <c r="C271" s="1" t="n">
        <v>45354</v>
      </c>
      <c r="D271" t="inlineStr">
        <is>
          <t>VÄSTERNORRLANDS LÄN</t>
        </is>
      </c>
      <c r="E271" t="inlineStr">
        <is>
          <t>ÅNGE</t>
        </is>
      </c>
      <c r="G271" t="n">
        <v>6.5</v>
      </c>
      <c r="H271" t="n">
        <v>0</v>
      </c>
      <c r="I271" t="n">
        <v>0</v>
      </c>
      <c r="J271" t="n">
        <v>0</v>
      </c>
      <c r="K271" t="n">
        <v>0</v>
      </c>
      <c r="L271" t="n">
        <v>0</v>
      </c>
      <c r="M271" t="n">
        <v>0</v>
      </c>
      <c r="N271" t="n">
        <v>0</v>
      </c>
      <c r="O271" t="n">
        <v>0</v>
      </c>
      <c r="P271" t="n">
        <v>0</v>
      </c>
      <c r="Q271" t="n">
        <v>0</v>
      </c>
      <c r="R271" s="2" t="inlineStr"/>
    </row>
    <row r="272" ht="15" customHeight="1">
      <c r="A272" t="inlineStr">
        <is>
          <t>A 17513-2019</t>
        </is>
      </c>
      <c r="B272" s="1" t="n">
        <v>43553</v>
      </c>
      <c r="C272" s="1" t="n">
        <v>45354</v>
      </c>
      <c r="D272" t="inlineStr">
        <is>
          <t>VÄSTERNORRLANDS LÄN</t>
        </is>
      </c>
      <c r="E272" t="inlineStr">
        <is>
          <t>ÅNGE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17587-2019</t>
        </is>
      </c>
      <c r="B273" s="1" t="n">
        <v>43553</v>
      </c>
      <c r="C273" s="1" t="n">
        <v>45354</v>
      </c>
      <c r="D273" t="inlineStr">
        <is>
          <t>VÄSTERNORRLANDS LÄN</t>
        </is>
      </c>
      <c r="E273" t="inlineStr">
        <is>
          <t>ÅNGE</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17588-2019</t>
        </is>
      </c>
      <c r="B274" s="1" t="n">
        <v>43553</v>
      </c>
      <c r="C274" s="1" t="n">
        <v>45354</v>
      </c>
      <c r="D274" t="inlineStr">
        <is>
          <t>VÄSTERNORRLANDS LÄN</t>
        </is>
      </c>
      <c r="E274" t="inlineStr">
        <is>
          <t>ÅNGE</t>
        </is>
      </c>
      <c r="F274" t="inlineStr">
        <is>
          <t>SCA</t>
        </is>
      </c>
      <c r="G274" t="n">
        <v>11.6</v>
      </c>
      <c r="H274" t="n">
        <v>0</v>
      </c>
      <c r="I274" t="n">
        <v>0</v>
      </c>
      <c r="J274" t="n">
        <v>0</v>
      </c>
      <c r="K274" t="n">
        <v>0</v>
      </c>
      <c r="L274" t="n">
        <v>0</v>
      </c>
      <c r="M274" t="n">
        <v>0</v>
      </c>
      <c r="N274" t="n">
        <v>0</v>
      </c>
      <c r="O274" t="n">
        <v>0</v>
      </c>
      <c r="P274" t="n">
        <v>0</v>
      </c>
      <c r="Q274" t="n">
        <v>0</v>
      </c>
      <c r="R274" s="2" t="inlineStr"/>
    </row>
    <row r="275" ht="15" customHeight="1">
      <c r="A275" t="inlineStr">
        <is>
          <t>A 17854-2019</t>
        </is>
      </c>
      <c r="B275" s="1" t="n">
        <v>43556</v>
      </c>
      <c r="C275" s="1" t="n">
        <v>45354</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17857-2019</t>
        </is>
      </c>
      <c r="B276" s="1" t="n">
        <v>43556</v>
      </c>
      <c r="C276" s="1" t="n">
        <v>45354</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17764-2019</t>
        </is>
      </c>
      <c r="B277" s="1" t="n">
        <v>43556</v>
      </c>
      <c r="C277" s="1" t="n">
        <v>45354</v>
      </c>
      <c r="D277" t="inlineStr">
        <is>
          <t>VÄSTERNORRLANDS LÄN</t>
        </is>
      </c>
      <c r="E277" t="inlineStr">
        <is>
          <t>ÅNGE</t>
        </is>
      </c>
      <c r="F277" t="inlineStr">
        <is>
          <t>Kyrkan</t>
        </is>
      </c>
      <c r="G277" t="n">
        <v>20.7</v>
      </c>
      <c r="H277" t="n">
        <v>0</v>
      </c>
      <c r="I277" t="n">
        <v>0</v>
      </c>
      <c r="J277" t="n">
        <v>0</v>
      </c>
      <c r="K277" t="n">
        <v>0</v>
      </c>
      <c r="L277" t="n">
        <v>0</v>
      </c>
      <c r="M277" t="n">
        <v>0</v>
      </c>
      <c r="N277" t="n">
        <v>0</v>
      </c>
      <c r="O277" t="n">
        <v>0</v>
      </c>
      <c r="P277" t="n">
        <v>0</v>
      </c>
      <c r="Q277" t="n">
        <v>0</v>
      </c>
      <c r="R277" s="2" t="inlineStr"/>
    </row>
    <row r="278" ht="15" customHeight="1">
      <c r="A278" t="inlineStr">
        <is>
          <t>A 18069-2019</t>
        </is>
      </c>
      <c r="B278" s="1" t="n">
        <v>43557</v>
      </c>
      <c r="C278" s="1" t="n">
        <v>45354</v>
      </c>
      <c r="D278" t="inlineStr">
        <is>
          <t>VÄSTERNORRLANDS LÄN</t>
        </is>
      </c>
      <c r="E278" t="inlineStr">
        <is>
          <t>ÅNGE</t>
        </is>
      </c>
      <c r="F278" t="inlineStr">
        <is>
          <t>SCA</t>
        </is>
      </c>
      <c r="G278" t="n">
        <v>21.2</v>
      </c>
      <c r="H278" t="n">
        <v>0</v>
      </c>
      <c r="I278" t="n">
        <v>0</v>
      </c>
      <c r="J278" t="n">
        <v>0</v>
      </c>
      <c r="K278" t="n">
        <v>0</v>
      </c>
      <c r="L278" t="n">
        <v>0</v>
      </c>
      <c r="M278" t="n">
        <v>0</v>
      </c>
      <c r="N278" t="n">
        <v>0</v>
      </c>
      <c r="O278" t="n">
        <v>0</v>
      </c>
      <c r="P278" t="n">
        <v>0</v>
      </c>
      <c r="Q278" t="n">
        <v>0</v>
      </c>
      <c r="R278" s="2" t="inlineStr"/>
    </row>
    <row r="279" ht="15" customHeight="1">
      <c r="A279" t="inlineStr">
        <is>
          <t>A 18304-2019</t>
        </is>
      </c>
      <c r="B279" s="1" t="n">
        <v>43558</v>
      </c>
      <c r="C279" s="1" t="n">
        <v>45354</v>
      </c>
      <c r="D279" t="inlineStr">
        <is>
          <t>VÄSTERNORRLANDS LÄN</t>
        </is>
      </c>
      <c r="E279" t="inlineStr">
        <is>
          <t>ÅNGE</t>
        </is>
      </c>
      <c r="F279" t="inlineStr">
        <is>
          <t>SCA</t>
        </is>
      </c>
      <c r="G279" t="n">
        <v>7.9</v>
      </c>
      <c r="H279" t="n">
        <v>0</v>
      </c>
      <c r="I279" t="n">
        <v>0</v>
      </c>
      <c r="J279" t="n">
        <v>0</v>
      </c>
      <c r="K279" t="n">
        <v>0</v>
      </c>
      <c r="L279" t="n">
        <v>0</v>
      </c>
      <c r="M279" t="n">
        <v>0</v>
      </c>
      <c r="N279" t="n">
        <v>0</v>
      </c>
      <c r="O279" t="n">
        <v>0</v>
      </c>
      <c r="P279" t="n">
        <v>0</v>
      </c>
      <c r="Q279" t="n">
        <v>0</v>
      </c>
      <c r="R279" s="2" t="inlineStr"/>
    </row>
    <row r="280" ht="15" customHeight="1">
      <c r="A280" t="inlineStr">
        <is>
          <t>A 19008-2019</t>
        </is>
      </c>
      <c r="B280" s="1" t="n">
        <v>43563</v>
      </c>
      <c r="C280" s="1" t="n">
        <v>45354</v>
      </c>
      <c r="D280" t="inlineStr">
        <is>
          <t>VÄSTERNORRLANDS LÄN</t>
        </is>
      </c>
      <c r="E280" t="inlineStr">
        <is>
          <t>ÅNGE</t>
        </is>
      </c>
      <c r="G280" t="n">
        <v>5.7</v>
      </c>
      <c r="H280" t="n">
        <v>0</v>
      </c>
      <c r="I280" t="n">
        <v>0</v>
      </c>
      <c r="J280" t="n">
        <v>0</v>
      </c>
      <c r="K280" t="n">
        <v>0</v>
      </c>
      <c r="L280" t="n">
        <v>0</v>
      </c>
      <c r="M280" t="n">
        <v>0</v>
      </c>
      <c r="N280" t="n">
        <v>0</v>
      </c>
      <c r="O280" t="n">
        <v>0</v>
      </c>
      <c r="P280" t="n">
        <v>0</v>
      </c>
      <c r="Q280" t="n">
        <v>0</v>
      </c>
      <c r="R280" s="2" t="inlineStr"/>
    </row>
    <row r="281" ht="15" customHeight="1">
      <c r="A281" t="inlineStr">
        <is>
          <t>A 19273-2019</t>
        </is>
      </c>
      <c r="B281" s="1" t="n">
        <v>43564</v>
      </c>
      <c r="C281" s="1" t="n">
        <v>45354</v>
      </c>
      <c r="D281" t="inlineStr">
        <is>
          <t>VÄSTERNORRLANDS LÄN</t>
        </is>
      </c>
      <c r="E281" t="inlineStr">
        <is>
          <t>ÅNGE</t>
        </is>
      </c>
      <c r="G281" t="n">
        <v>5.3</v>
      </c>
      <c r="H281" t="n">
        <v>0</v>
      </c>
      <c r="I281" t="n">
        <v>0</v>
      </c>
      <c r="J281" t="n">
        <v>0</v>
      </c>
      <c r="K281" t="n">
        <v>0</v>
      </c>
      <c r="L281" t="n">
        <v>0</v>
      </c>
      <c r="M281" t="n">
        <v>0</v>
      </c>
      <c r="N281" t="n">
        <v>0</v>
      </c>
      <c r="O281" t="n">
        <v>0</v>
      </c>
      <c r="P281" t="n">
        <v>0</v>
      </c>
      <c r="Q281" t="n">
        <v>0</v>
      </c>
      <c r="R281" s="2" t="inlineStr"/>
    </row>
    <row r="282" ht="15" customHeight="1">
      <c r="A282" t="inlineStr">
        <is>
          <t>A 19274-2019</t>
        </is>
      </c>
      <c r="B282" s="1" t="n">
        <v>43564</v>
      </c>
      <c r="C282" s="1" t="n">
        <v>45354</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19266-2019</t>
        </is>
      </c>
      <c r="B283" s="1" t="n">
        <v>43564</v>
      </c>
      <c r="C283" s="1" t="n">
        <v>45354</v>
      </c>
      <c r="D283" t="inlineStr">
        <is>
          <t>VÄSTERNORRLANDS LÄN</t>
        </is>
      </c>
      <c r="E283" t="inlineStr">
        <is>
          <t>ÅNGE</t>
        </is>
      </c>
      <c r="G283" t="n">
        <v>4</v>
      </c>
      <c r="H283" t="n">
        <v>0</v>
      </c>
      <c r="I283" t="n">
        <v>0</v>
      </c>
      <c r="J283" t="n">
        <v>0</v>
      </c>
      <c r="K283" t="n">
        <v>0</v>
      </c>
      <c r="L283" t="n">
        <v>0</v>
      </c>
      <c r="M283" t="n">
        <v>0</v>
      </c>
      <c r="N283" t="n">
        <v>0</v>
      </c>
      <c r="O283" t="n">
        <v>0</v>
      </c>
      <c r="P283" t="n">
        <v>0</v>
      </c>
      <c r="Q283" t="n">
        <v>0</v>
      </c>
      <c r="R283" s="2" t="inlineStr"/>
    </row>
    <row r="284" ht="15" customHeight="1">
      <c r="A284" t="inlineStr">
        <is>
          <t>A 19270-2019</t>
        </is>
      </c>
      <c r="B284" s="1" t="n">
        <v>43564</v>
      </c>
      <c r="C284" s="1" t="n">
        <v>45354</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19310-2019</t>
        </is>
      </c>
      <c r="B285" s="1" t="n">
        <v>43565</v>
      </c>
      <c r="C285" s="1" t="n">
        <v>45354</v>
      </c>
      <c r="D285" t="inlineStr">
        <is>
          <t>VÄSTERNORRLANDS LÄN</t>
        </is>
      </c>
      <c r="E285" t="inlineStr">
        <is>
          <t>ÅNGE</t>
        </is>
      </c>
      <c r="G285" t="n">
        <v>1.4</v>
      </c>
      <c r="H285" t="n">
        <v>0</v>
      </c>
      <c r="I285" t="n">
        <v>0</v>
      </c>
      <c r="J285" t="n">
        <v>0</v>
      </c>
      <c r="K285" t="n">
        <v>0</v>
      </c>
      <c r="L285" t="n">
        <v>0</v>
      </c>
      <c r="M285" t="n">
        <v>0</v>
      </c>
      <c r="N285" t="n">
        <v>0</v>
      </c>
      <c r="O285" t="n">
        <v>0</v>
      </c>
      <c r="P285" t="n">
        <v>0</v>
      </c>
      <c r="Q285" t="n">
        <v>0</v>
      </c>
      <c r="R285" s="2" t="inlineStr"/>
    </row>
    <row r="286" ht="15" customHeight="1">
      <c r="A286" t="inlineStr">
        <is>
          <t>A 20062-2019</t>
        </is>
      </c>
      <c r="B286" s="1" t="n">
        <v>43570</v>
      </c>
      <c r="C286" s="1" t="n">
        <v>45354</v>
      </c>
      <c r="D286" t="inlineStr">
        <is>
          <t>VÄSTERNORRLANDS LÄN</t>
        </is>
      </c>
      <c r="E286" t="inlineStr">
        <is>
          <t>ÅNGE</t>
        </is>
      </c>
      <c r="G286" t="n">
        <v>4.3</v>
      </c>
      <c r="H286" t="n">
        <v>0</v>
      </c>
      <c r="I286" t="n">
        <v>0</v>
      </c>
      <c r="J286" t="n">
        <v>0</v>
      </c>
      <c r="K286" t="n">
        <v>0</v>
      </c>
      <c r="L286" t="n">
        <v>0</v>
      </c>
      <c r="M286" t="n">
        <v>0</v>
      </c>
      <c r="N286" t="n">
        <v>0</v>
      </c>
      <c r="O286" t="n">
        <v>0</v>
      </c>
      <c r="P286" t="n">
        <v>0</v>
      </c>
      <c r="Q286" t="n">
        <v>0</v>
      </c>
      <c r="R286" s="2" t="inlineStr"/>
    </row>
    <row r="287" ht="15" customHeight="1">
      <c r="A287" t="inlineStr">
        <is>
          <t>A 20102-2019</t>
        </is>
      </c>
      <c r="B287" s="1" t="n">
        <v>43570</v>
      </c>
      <c r="C287" s="1" t="n">
        <v>45354</v>
      </c>
      <c r="D287" t="inlineStr">
        <is>
          <t>VÄSTERNORRLANDS LÄN</t>
        </is>
      </c>
      <c r="E287" t="inlineStr">
        <is>
          <t>ÅNGE</t>
        </is>
      </c>
      <c r="F287" t="inlineStr">
        <is>
          <t>Övriga Aktiebolag</t>
        </is>
      </c>
      <c r="G287" t="n">
        <v>3.6</v>
      </c>
      <c r="H287" t="n">
        <v>0</v>
      </c>
      <c r="I287" t="n">
        <v>0</v>
      </c>
      <c r="J287" t="n">
        <v>0</v>
      </c>
      <c r="K287" t="n">
        <v>0</v>
      </c>
      <c r="L287" t="n">
        <v>0</v>
      </c>
      <c r="M287" t="n">
        <v>0</v>
      </c>
      <c r="N287" t="n">
        <v>0</v>
      </c>
      <c r="O287" t="n">
        <v>0</v>
      </c>
      <c r="P287" t="n">
        <v>0</v>
      </c>
      <c r="Q287" t="n">
        <v>0</v>
      </c>
      <c r="R287" s="2" t="inlineStr"/>
    </row>
    <row r="288" ht="15" customHeight="1">
      <c r="A288" t="inlineStr">
        <is>
          <t>A 20397-2019</t>
        </is>
      </c>
      <c r="B288" s="1" t="n">
        <v>43571</v>
      </c>
      <c r="C288" s="1" t="n">
        <v>45354</v>
      </c>
      <c r="D288" t="inlineStr">
        <is>
          <t>VÄSTERNORRLANDS LÄN</t>
        </is>
      </c>
      <c r="E288" t="inlineStr">
        <is>
          <t>ÅNGE</t>
        </is>
      </c>
      <c r="G288" t="n">
        <v>2.4</v>
      </c>
      <c r="H288" t="n">
        <v>0</v>
      </c>
      <c r="I288" t="n">
        <v>0</v>
      </c>
      <c r="J288" t="n">
        <v>0</v>
      </c>
      <c r="K288" t="n">
        <v>0</v>
      </c>
      <c r="L288" t="n">
        <v>0</v>
      </c>
      <c r="M288" t="n">
        <v>0</v>
      </c>
      <c r="N288" t="n">
        <v>0</v>
      </c>
      <c r="O288" t="n">
        <v>0</v>
      </c>
      <c r="P288" t="n">
        <v>0</v>
      </c>
      <c r="Q288" t="n">
        <v>0</v>
      </c>
      <c r="R288" s="2" t="inlineStr"/>
    </row>
    <row r="289" ht="15" customHeight="1">
      <c r="A289" t="inlineStr">
        <is>
          <t>A 20400-2019</t>
        </is>
      </c>
      <c r="B289" s="1" t="n">
        <v>43571</v>
      </c>
      <c r="C289" s="1" t="n">
        <v>45354</v>
      </c>
      <c r="D289" t="inlineStr">
        <is>
          <t>VÄSTERNORRLANDS LÄN</t>
        </is>
      </c>
      <c r="E289" t="inlineStr">
        <is>
          <t>ÅNGE</t>
        </is>
      </c>
      <c r="G289" t="n">
        <v>0.2</v>
      </c>
      <c r="H289" t="n">
        <v>0</v>
      </c>
      <c r="I289" t="n">
        <v>0</v>
      </c>
      <c r="J289" t="n">
        <v>0</v>
      </c>
      <c r="K289" t="n">
        <v>0</v>
      </c>
      <c r="L289" t="n">
        <v>0</v>
      </c>
      <c r="M289" t="n">
        <v>0</v>
      </c>
      <c r="N289" t="n">
        <v>0</v>
      </c>
      <c r="O289" t="n">
        <v>0</v>
      </c>
      <c r="P289" t="n">
        <v>0</v>
      </c>
      <c r="Q289" t="n">
        <v>0</v>
      </c>
      <c r="R289" s="2" t="inlineStr"/>
    </row>
    <row r="290" ht="15" customHeight="1">
      <c r="A290" t="inlineStr">
        <is>
          <t>A 20600-2019</t>
        </is>
      </c>
      <c r="B290" s="1" t="n">
        <v>43572</v>
      </c>
      <c r="C290" s="1" t="n">
        <v>45354</v>
      </c>
      <c r="D290" t="inlineStr">
        <is>
          <t>VÄSTERNORRLANDS LÄN</t>
        </is>
      </c>
      <c r="E290" t="inlineStr">
        <is>
          <t>ÅNGE</t>
        </is>
      </c>
      <c r="G290" t="n">
        <v>3.9</v>
      </c>
      <c r="H290" t="n">
        <v>0</v>
      </c>
      <c r="I290" t="n">
        <v>0</v>
      </c>
      <c r="J290" t="n">
        <v>0</v>
      </c>
      <c r="K290" t="n">
        <v>0</v>
      </c>
      <c r="L290" t="n">
        <v>0</v>
      </c>
      <c r="M290" t="n">
        <v>0</v>
      </c>
      <c r="N290" t="n">
        <v>0</v>
      </c>
      <c r="O290" t="n">
        <v>0</v>
      </c>
      <c r="P290" t="n">
        <v>0</v>
      </c>
      <c r="Q290" t="n">
        <v>0</v>
      </c>
      <c r="R290" s="2" t="inlineStr"/>
    </row>
    <row r="291" ht="15" customHeight="1">
      <c r="A291" t="inlineStr">
        <is>
          <t>A 21375-2019</t>
        </is>
      </c>
      <c r="B291" s="1" t="n">
        <v>43579</v>
      </c>
      <c r="C291" s="1" t="n">
        <v>45354</v>
      </c>
      <c r="D291" t="inlineStr">
        <is>
          <t>VÄSTERNORRLANDS LÄN</t>
        </is>
      </c>
      <c r="E291" t="inlineStr">
        <is>
          <t>ÅNGE</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21715-2019</t>
        </is>
      </c>
      <c r="B292" s="1" t="n">
        <v>43581</v>
      </c>
      <c r="C292" s="1" t="n">
        <v>45354</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21726-2019</t>
        </is>
      </c>
      <c r="B293" s="1" t="n">
        <v>43581</v>
      </c>
      <c r="C293" s="1" t="n">
        <v>45354</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21795-2019</t>
        </is>
      </c>
      <c r="B294" s="1" t="n">
        <v>43581</v>
      </c>
      <c r="C294" s="1" t="n">
        <v>45354</v>
      </c>
      <c r="D294" t="inlineStr">
        <is>
          <t>VÄSTERNORRLANDS LÄN</t>
        </is>
      </c>
      <c r="E294" t="inlineStr">
        <is>
          <t>ÅNGE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21633-2019</t>
        </is>
      </c>
      <c r="B295" s="1" t="n">
        <v>43581</v>
      </c>
      <c r="C295" s="1" t="n">
        <v>45354</v>
      </c>
      <c r="D295" t="inlineStr">
        <is>
          <t>VÄSTERNORRLANDS LÄN</t>
        </is>
      </c>
      <c r="E295" t="inlineStr">
        <is>
          <t>ÅNGE</t>
        </is>
      </c>
      <c r="G295" t="n">
        <v>7.1</v>
      </c>
      <c r="H295" t="n">
        <v>0</v>
      </c>
      <c r="I295" t="n">
        <v>0</v>
      </c>
      <c r="J295" t="n">
        <v>0</v>
      </c>
      <c r="K295" t="n">
        <v>0</v>
      </c>
      <c r="L295" t="n">
        <v>0</v>
      </c>
      <c r="M295" t="n">
        <v>0</v>
      </c>
      <c r="N295" t="n">
        <v>0</v>
      </c>
      <c r="O295" t="n">
        <v>0</v>
      </c>
      <c r="P295" t="n">
        <v>0</v>
      </c>
      <c r="Q295" t="n">
        <v>0</v>
      </c>
      <c r="R295" s="2" t="inlineStr"/>
    </row>
    <row r="296" ht="15" customHeight="1">
      <c r="A296" t="inlineStr">
        <is>
          <t>A 22202-2019</t>
        </is>
      </c>
      <c r="B296" s="1" t="n">
        <v>43585</v>
      </c>
      <c r="C296" s="1" t="n">
        <v>45354</v>
      </c>
      <c r="D296" t="inlineStr">
        <is>
          <t>VÄSTERNORRLANDS LÄN</t>
        </is>
      </c>
      <c r="E296" t="inlineStr">
        <is>
          <t>ÅNGE</t>
        </is>
      </c>
      <c r="F296" t="inlineStr">
        <is>
          <t>Holmen skog AB</t>
        </is>
      </c>
      <c r="G296" t="n">
        <v>1.8</v>
      </c>
      <c r="H296" t="n">
        <v>0</v>
      </c>
      <c r="I296" t="n">
        <v>0</v>
      </c>
      <c r="J296" t="n">
        <v>0</v>
      </c>
      <c r="K296" t="n">
        <v>0</v>
      </c>
      <c r="L296" t="n">
        <v>0</v>
      </c>
      <c r="M296" t="n">
        <v>0</v>
      </c>
      <c r="N296" t="n">
        <v>0</v>
      </c>
      <c r="O296" t="n">
        <v>0</v>
      </c>
      <c r="P296" t="n">
        <v>0</v>
      </c>
      <c r="Q296" t="n">
        <v>0</v>
      </c>
      <c r="R296" s="2" t="inlineStr"/>
    </row>
    <row r="297" ht="15" customHeight="1">
      <c r="A297" t="inlineStr">
        <is>
          <t>A 23403-2019</t>
        </is>
      </c>
      <c r="B297" s="1" t="n">
        <v>43592</v>
      </c>
      <c r="C297" s="1" t="n">
        <v>45354</v>
      </c>
      <c r="D297" t="inlineStr">
        <is>
          <t>VÄSTERNORRLANDS LÄN</t>
        </is>
      </c>
      <c r="E297" t="inlineStr">
        <is>
          <t>ÅNGE</t>
        </is>
      </c>
      <c r="G297" t="n">
        <v>2.2</v>
      </c>
      <c r="H297" t="n">
        <v>0</v>
      </c>
      <c r="I297" t="n">
        <v>0</v>
      </c>
      <c r="J297" t="n">
        <v>0</v>
      </c>
      <c r="K297" t="n">
        <v>0</v>
      </c>
      <c r="L297" t="n">
        <v>0</v>
      </c>
      <c r="M297" t="n">
        <v>0</v>
      </c>
      <c r="N297" t="n">
        <v>0</v>
      </c>
      <c r="O297" t="n">
        <v>0</v>
      </c>
      <c r="P297" t="n">
        <v>0</v>
      </c>
      <c r="Q297" t="n">
        <v>0</v>
      </c>
      <c r="R297" s="2" t="inlineStr"/>
    </row>
    <row r="298" ht="15" customHeight="1">
      <c r="A298" t="inlineStr">
        <is>
          <t>A 23288-2019</t>
        </is>
      </c>
      <c r="B298" s="1" t="n">
        <v>43593</v>
      </c>
      <c r="C298" s="1" t="n">
        <v>45354</v>
      </c>
      <c r="D298" t="inlineStr">
        <is>
          <t>VÄSTERNORRLANDS LÄN</t>
        </is>
      </c>
      <c r="E298" t="inlineStr">
        <is>
          <t>ÅNGE</t>
        </is>
      </c>
      <c r="G298" t="n">
        <v>2.9</v>
      </c>
      <c r="H298" t="n">
        <v>0</v>
      </c>
      <c r="I298" t="n">
        <v>0</v>
      </c>
      <c r="J298" t="n">
        <v>0</v>
      </c>
      <c r="K298" t="n">
        <v>0</v>
      </c>
      <c r="L298" t="n">
        <v>0</v>
      </c>
      <c r="M298" t="n">
        <v>0</v>
      </c>
      <c r="N298" t="n">
        <v>0</v>
      </c>
      <c r="O298" t="n">
        <v>0</v>
      </c>
      <c r="P298" t="n">
        <v>0</v>
      </c>
      <c r="Q298" t="n">
        <v>0</v>
      </c>
      <c r="R298" s="2" t="inlineStr"/>
    </row>
    <row r="299" ht="15" customHeight="1">
      <c r="A299" t="inlineStr">
        <is>
          <t>A 24567-2019</t>
        </is>
      </c>
      <c r="B299" s="1" t="n">
        <v>43600</v>
      </c>
      <c r="C299" s="1" t="n">
        <v>45354</v>
      </c>
      <c r="D299" t="inlineStr">
        <is>
          <t>VÄSTERNORRLANDS LÄN</t>
        </is>
      </c>
      <c r="E299" t="inlineStr">
        <is>
          <t>ÅNGE</t>
        </is>
      </c>
      <c r="G299" t="n">
        <v>2.7</v>
      </c>
      <c r="H299" t="n">
        <v>0</v>
      </c>
      <c r="I299" t="n">
        <v>0</v>
      </c>
      <c r="J299" t="n">
        <v>0</v>
      </c>
      <c r="K299" t="n">
        <v>0</v>
      </c>
      <c r="L299" t="n">
        <v>0</v>
      </c>
      <c r="M299" t="n">
        <v>0</v>
      </c>
      <c r="N299" t="n">
        <v>0</v>
      </c>
      <c r="O299" t="n">
        <v>0</v>
      </c>
      <c r="P299" t="n">
        <v>0</v>
      </c>
      <c r="Q299" t="n">
        <v>0</v>
      </c>
      <c r="R299" s="2" t="inlineStr"/>
    </row>
    <row r="300" ht="15" customHeight="1">
      <c r="A300" t="inlineStr">
        <is>
          <t>A 24568-2019</t>
        </is>
      </c>
      <c r="B300" s="1" t="n">
        <v>43600</v>
      </c>
      <c r="C300" s="1" t="n">
        <v>45354</v>
      </c>
      <c r="D300" t="inlineStr">
        <is>
          <t>VÄSTERNORRLANDS LÄN</t>
        </is>
      </c>
      <c r="E300" t="inlineStr">
        <is>
          <t>ÅNGE</t>
        </is>
      </c>
      <c r="G300" t="n">
        <v>3.2</v>
      </c>
      <c r="H300" t="n">
        <v>0</v>
      </c>
      <c r="I300" t="n">
        <v>0</v>
      </c>
      <c r="J300" t="n">
        <v>0</v>
      </c>
      <c r="K300" t="n">
        <v>0</v>
      </c>
      <c r="L300" t="n">
        <v>0</v>
      </c>
      <c r="M300" t="n">
        <v>0</v>
      </c>
      <c r="N300" t="n">
        <v>0</v>
      </c>
      <c r="O300" t="n">
        <v>0</v>
      </c>
      <c r="P300" t="n">
        <v>0</v>
      </c>
      <c r="Q300" t="n">
        <v>0</v>
      </c>
      <c r="R300" s="2" t="inlineStr"/>
    </row>
    <row r="301" ht="15" customHeight="1">
      <c r="A301" t="inlineStr">
        <is>
          <t>A 24569-2019</t>
        </is>
      </c>
      <c r="B301" s="1" t="n">
        <v>43600</v>
      </c>
      <c r="C301" s="1" t="n">
        <v>45354</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24781-2019</t>
        </is>
      </c>
      <c r="B302" s="1" t="n">
        <v>43601</v>
      </c>
      <c r="C302" s="1" t="n">
        <v>45354</v>
      </c>
      <c r="D302" t="inlineStr">
        <is>
          <t>VÄSTERNORRLANDS LÄN</t>
        </is>
      </c>
      <c r="E302" t="inlineStr">
        <is>
          <t>ÅNGE</t>
        </is>
      </c>
      <c r="F302" t="inlineStr">
        <is>
          <t>SCA</t>
        </is>
      </c>
      <c r="G302" t="n">
        <v>14.6</v>
      </c>
      <c r="H302" t="n">
        <v>0</v>
      </c>
      <c r="I302" t="n">
        <v>0</v>
      </c>
      <c r="J302" t="n">
        <v>0</v>
      </c>
      <c r="K302" t="n">
        <v>0</v>
      </c>
      <c r="L302" t="n">
        <v>0</v>
      </c>
      <c r="M302" t="n">
        <v>0</v>
      </c>
      <c r="N302" t="n">
        <v>0</v>
      </c>
      <c r="O302" t="n">
        <v>0</v>
      </c>
      <c r="P302" t="n">
        <v>0</v>
      </c>
      <c r="Q302" t="n">
        <v>0</v>
      </c>
      <c r="R302" s="2" t="inlineStr"/>
    </row>
    <row r="303" ht="15" customHeight="1">
      <c r="A303" t="inlineStr">
        <is>
          <t>A 25453-2019</t>
        </is>
      </c>
      <c r="B303" s="1" t="n">
        <v>43606</v>
      </c>
      <c r="C303" s="1" t="n">
        <v>45354</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25549-2019</t>
        </is>
      </c>
      <c r="B304" s="1" t="n">
        <v>43607</v>
      </c>
      <c r="C304" s="1" t="n">
        <v>45354</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26545-2019</t>
        </is>
      </c>
      <c r="B305" s="1" t="n">
        <v>43612</v>
      </c>
      <c r="C305" s="1" t="n">
        <v>45354</v>
      </c>
      <c r="D305" t="inlineStr">
        <is>
          <t>VÄSTERNORRLANDS LÄN</t>
        </is>
      </c>
      <c r="E305" t="inlineStr">
        <is>
          <t>ÅNGE</t>
        </is>
      </c>
      <c r="G305" t="n">
        <v>1</v>
      </c>
      <c r="H305" t="n">
        <v>0</v>
      </c>
      <c r="I305" t="n">
        <v>0</v>
      </c>
      <c r="J305" t="n">
        <v>0</v>
      </c>
      <c r="K305" t="n">
        <v>0</v>
      </c>
      <c r="L305" t="n">
        <v>0</v>
      </c>
      <c r="M305" t="n">
        <v>0</v>
      </c>
      <c r="N305" t="n">
        <v>0</v>
      </c>
      <c r="O305" t="n">
        <v>0</v>
      </c>
      <c r="P305" t="n">
        <v>0</v>
      </c>
      <c r="Q305" t="n">
        <v>0</v>
      </c>
      <c r="R305" s="2" t="inlineStr"/>
    </row>
    <row r="306" ht="15" customHeight="1">
      <c r="A306" t="inlineStr">
        <is>
          <t>A 27211-2019</t>
        </is>
      </c>
      <c r="B306" s="1" t="n">
        <v>43614</v>
      </c>
      <c r="C306" s="1" t="n">
        <v>45354</v>
      </c>
      <c r="D306" t="inlineStr">
        <is>
          <t>VÄSTERNORRLANDS LÄN</t>
        </is>
      </c>
      <c r="E306" t="inlineStr">
        <is>
          <t>ÅNGE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27759-2019</t>
        </is>
      </c>
      <c r="B307" s="1" t="n">
        <v>43619</v>
      </c>
      <c r="C307" s="1" t="n">
        <v>45354</v>
      </c>
      <c r="D307" t="inlineStr">
        <is>
          <t>VÄSTERNORRLANDS LÄN</t>
        </is>
      </c>
      <c r="E307" t="inlineStr">
        <is>
          <t>ÅNGE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28856-2019</t>
        </is>
      </c>
      <c r="B308" s="1" t="n">
        <v>43627</v>
      </c>
      <c r="C308" s="1" t="n">
        <v>45354</v>
      </c>
      <c r="D308" t="inlineStr">
        <is>
          <t>VÄSTERNORRLANDS LÄN</t>
        </is>
      </c>
      <c r="E308" t="inlineStr">
        <is>
          <t>ÅNGE</t>
        </is>
      </c>
      <c r="G308" t="n">
        <v>6.9</v>
      </c>
      <c r="H308" t="n">
        <v>0</v>
      </c>
      <c r="I308" t="n">
        <v>0</v>
      </c>
      <c r="J308" t="n">
        <v>0</v>
      </c>
      <c r="K308" t="n">
        <v>0</v>
      </c>
      <c r="L308" t="n">
        <v>0</v>
      </c>
      <c r="M308" t="n">
        <v>0</v>
      </c>
      <c r="N308" t="n">
        <v>0</v>
      </c>
      <c r="O308" t="n">
        <v>0</v>
      </c>
      <c r="P308" t="n">
        <v>0</v>
      </c>
      <c r="Q308" t="n">
        <v>0</v>
      </c>
      <c r="R308" s="2" t="inlineStr"/>
    </row>
    <row r="309" ht="15" customHeight="1">
      <c r="A309" t="inlineStr">
        <is>
          <t>A 28858-2019</t>
        </is>
      </c>
      <c r="B309" s="1" t="n">
        <v>43627</v>
      </c>
      <c r="C309" s="1" t="n">
        <v>45354</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28857-2019</t>
        </is>
      </c>
      <c r="B310" s="1" t="n">
        <v>43627</v>
      </c>
      <c r="C310" s="1" t="n">
        <v>45354</v>
      </c>
      <c r="D310" t="inlineStr">
        <is>
          <t>VÄSTERNORRLANDS LÄN</t>
        </is>
      </c>
      <c r="E310" t="inlineStr">
        <is>
          <t>ÅNGE</t>
        </is>
      </c>
      <c r="G310" t="n">
        <v>4.1</v>
      </c>
      <c r="H310" t="n">
        <v>0</v>
      </c>
      <c r="I310" t="n">
        <v>0</v>
      </c>
      <c r="J310" t="n">
        <v>0</v>
      </c>
      <c r="K310" t="n">
        <v>0</v>
      </c>
      <c r="L310" t="n">
        <v>0</v>
      </c>
      <c r="M310" t="n">
        <v>0</v>
      </c>
      <c r="N310" t="n">
        <v>0</v>
      </c>
      <c r="O310" t="n">
        <v>0</v>
      </c>
      <c r="P310" t="n">
        <v>0</v>
      </c>
      <c r="Q310" t="n">
        <v>0</v>
      </c>
      <c r="R310" s="2" t="inlineStr"/>
    </row>
    <row r="311" ht="15" customHeight="1">
      <c r="A311" t="inlineStr">
        <is>
          <t>A 28855-2019</t>
        </is>
      </c>
      <c r="B311" s="1" t="n">
        <v>43627</v>
      </c>
      <c r="C311" s="1" t="n">
        <v>45354</v>
      </c>
      <c r="D311" t="inlineStr">
        <is>
          <t>VÄSTERNORRLANDS LÄN</t>
        </is>
      </c>
      <c r="E311" t="inlineStr">
        <is>
          <t>ÅNGE</t>
        </is>
      </c>
      <c r="G311" t="n">
        <v>8.6</v>
      </c>
      <c r="H311" t="n">
        <v>0</v>
      </c>
      <c r="I311" t="n">
        <v>0</v>
      </c>
      <c r="J311" t="n">
        <v>0</v>
      </c>
      <c r="K311" t="n">
        <v>0</v>
      </c>
      <c r="L311" t="n">
        <v>0</v>
      </c>
      <c r="M311" t="n">
        <v>0</v>
      </c>
      <c r="N311" t="n">
        <v>0</v>
      </c>
      <c r="O311" t="n">
        <v>0</v>
      </c>
      <c r="P311" t="n">
        <v>0</v>
      </c>
      <c r="Q311" t="n">
        <v>0</v>
      </c>
      <c r="R311" s="2" t="inlineStr"/>
    </row>
    <row r="312" ht="15" customHeight="1">
      <c r="A312" t="inlineStr">
        <is>
          <t>A 29141-2019</t>
        </is>
      </c>
      <c r="B312" s="1" t="n">
        <v>43628</v>
      </c>
      <c r="C312" s="1" t="n">
        <v>45354</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29794-2019</t>
        </is>
      </c>
      <c r="B313" s="1" t="n">
        <v>43633</v>
      </c>
      <c r="C313" s="1" t="n">
        <v>45354</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29786-2019</t>
        </is>
      </c>
      <c r="B314" s="1" t="n">
        <v>43633</v>
      </c>
      <c r="C314" s="1" t="n">
        <v>45354</v>
      </c>
      <c r="D314" t="inlineStr">
        <is>
          <t>VÄSTERNORRLANDS LÄN</t>
        </is>
      </c>
      <c r="E314" t="inlineStr">
        <is>
          <t>ÅNGE</t>
        </is>
      </c>
      <c r="G314" t="n">
        <v>1.8</v>
      </c>
      <c r="H314" t="n">
        <v>0</v>
      </c>
      <c r="I314" t="n">
        <v>0</v>
      </c>
      <c r="J314" t="n">
        <v>0</v>
      </c>
      <c r="K314" t="n">
        <v>0</v>
      </c>
      <c r="L314" t="n">
        <v>0</v>
      </c>
      <c r="M314" t="n">
        <v>0</v>
      </c>
      <c r="N314" t="n">
        <v>0</v>
      </c>
      <c r="O314" t="n">
        <v>0</v>
      </c>
      <c r="P314" t="n">
        <v>0</v>
      </c>
      <c r="Q314" t="n">
        <v>0</v>
      </c>
      <c r="R314" s="2" t="inlineStr"/>
    </row>
    <row r="315" ht="15" customHeight="1">
      <c r="A315" t="inlineStr">
        <is>
          <t>A 31001-2019</t>
        </is>
      </c>
      <c r="B315" s="1" t="n">
        <v>43640</v>
      </c>
      <c r="C315" s="1" t="n">
        <v>45354</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31804-2019</t>
        </is>
      </c>
      <c r="B316" s="1" t="n">
        <v>43642</v>
      </c>
      <c r="C316" s="1" t="n">
        <v>45354</v>
      </c>
      <c r="D316" t="inlineStr">
        <is>
          <t>VÄSTERNORRLANDS LÄN</t>
        </is>
      </c>
      <c r="E316" t="inlineStr">
        <is>
          <t>ÅNGE</t>
        </is>
      </c>
      <c r="G316" t="n">
        <v>10.3</v>
      </c>
      <c r="H316" t="n">
        <v>0</v>
      </c>
      <c r="I316" t="n">
        <v>0</v>
      </c>
      <c r="J316" t="n">
        <v>0</v>
      </c>
      <c r="K316" t="n">
        <v>0</v>
      </c>
      <c r="L316" t="n">
        <v>0</v>
      </c>
      <c r="M316" t="n">
        <v>0</v>
      </c>
      <c r="N316" t="n">
        <v>0</v>
      </c>
      <c r="O316" t="n">
        <v>0</v>
      </c>
      <c r="P316" t="n">
        <v>0</v>
      </c>
      <c r="Q316" t="n">
        <v>0</v>
      </c>
      <c r="R316" s="2" t="inlineStr"/>
    </row>
    <row r="317" ht="15" customHeight="1">
      <c r="A317" t="inlineStr">
        <is>
          <t>A 32740-2019</t>
        </is>
      </c>
      <c r="B317" s="1" t="n">
        <v>43647</v>
      </c>
      <c r="C317" s="1" t="n">
        <v>45354</v>
      </c>
      <c r="D317" t="inlineStr">
        <is>
          <t>VÄSTERNORRLANDS LÄN</t>
        </is>
      </c>
      <c r="E317" t="inlineStr">
        <is>
          <t>ÅNGE</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33471-2019</t>
        </is>
      </c>
      <c r="B318" s="1" t="n">
        <v>43650</v>
      </c>
      <c r="C318" s="1" t="n">
        <v>45354</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33470-2019</t>
        </is>
      </c>
      <c r="B319" s="1" t="n">
        <v>43650</v>
      </c>
      <c r="C319" s="1" t="n">
        <v>45354</v>
      </c>
      <c r="D319" t="inlineStr">
        <is>
          <t>VÄSTERNORRLANDS LÄN</t>
        </is>
      </c>
      <c r="E319" t="inlineStr">
        <is>
          <t>ÅNGE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34135-2019</t>
        </is>
      </c>
      <c r="B320" s="1" t="n">
        <v>43654</v>
      </c>
      <c r="C320" s="1" t="n">
        <v>45354</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c r="U320">
        <f>HYPERLINK("https://klasma.github.io/Logging_2260/knärot/A 34135-2019 karta knärot.png", "A 34135-2019")</f>
        <v/>
      </c>
      <c r="V320">
        <f>HYPERLINK("https://klasma.github.io/Logging_2260/klagomål/A 34135-2019 FSC-klagomål.docx", "A 34135-2019")</f>
        <v/>
      </c>
      <c r="W320">
        <f>HYPERLINK("https://klasma.github.io/Logging_2260/klagomålsmail/A 34135-2019 FSC-klagomål mail.docx", "A 34135-2019")</f>
        <v/>
      </c>
      <c r="X320">
        <f>HYPERLINK("https://klasma.github.io/Logging_2260/tillsyn/A 34135-2019 tillsynsbegäran.docx", "A 34135-2019")</f>
        <v/>
      </c>
      <c r="Y320">
        <f>HYPERLINK("https://klasma.github.io/Logging_2260/tillsynsmail/A 34135-2019 tillsynsbegäran mail.docx", "A 34135-2019")</f>
        <v/>
      </c>
    </row>
    <row r="321" ht="15" customHeight="1">
      <c r="A321" t="inlineStr">
        <is>
          <t>A 36438-2019</t>
        </is>
      </c>
      <c r="B321" s="1" t="n">
        <v>43664</v>
      </c>
      <c r="C321" s="1" t="n">
        <v>45354</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36311-2019</t>
        </is>
      </c>
      <c r="B322" s="1" t="n">
        <v>43670</v>
      </c>
      <c r="C322" s="1" t="n">
        <v>45354</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37745-2019</t>
        </is>
      </c>
      <c r="B323" s="1" t="n">
        <v>43679</v>
      </c>
      <c r="C323" s="1" t="n">
        <v>45354</v>
      </c>
      <c r="D323" t="inlineStr">
        <is>
          <t>VÄSTERNORRLANDS LÄN</t>
        </is>
      </c>
      <c r="E323" t="inlineStr">
        <is>
          <t>ÅNGE</t>
        </is>
      </c>
      <c r="G323" t="n">
        <v>11.4</v>
      </c>
      <c r="H323" t="n">
        <v>0</v>
      </c>
      <c r="I323" t="n">
        <v>0</v>
      </c>
      <c r="J323" t="n">
        <v>0</v>
      </c>
      <c r="K323" t="n">
        <v>0</v>
      </c>
      <c r="L323" t="n">
        <v>0</v>
      </c>
      <c r="M323" t="n">
        <v>0</v>
      </c>
      <c r="N323" t="n">
        <v>0</v>
      </c>
      <c r="O323" t="n">
        <v>0</v>
      </c>
      <c r="P323" t="n">
        <v>0</v>
      </c>
      <c r="Q323" t="n">
        <v>0</v>
      </c>
      <c r="R323" s="2" t="inlineStr"/>
    </row>
    <row r="324" ht="15" customHeight="1">
      <c r="A324" t="inlineStr">
        <is>
          <t>A 37887-2019</t>
        </is>
      </c>
      <c r="B324" s="1" t="n">
        <v>43682</v>
      </c>
      <c r="C324" s="1" t="n">
        <v>45354</v>
      </c>
      <c r="D324" t="inlineStr">
        <is>
          <t>VÄSTERNORRLANDS LÄN</t>
        </is>
      </c>
      <c r="E324" t="inlineStr">
        <is>
          <t>ÅNGE</t>
        </is>
      </c>
      <c r="G324" t="n">
        <v>3</v>
      </c>
      <c r="H324" t="n">
        <v>0</v>
      </c>
      <c r="I324" t="n">
        <v>0</v>
      </c>
      <c r="J324" t="n">
        <v>0</v>
      </c>
      <c r="K324" t="n">
        <v>0</v>
      </c>
      <c r="L324" t="n">
        <v>0</v>
      </c>
      <c r="M324" t="n">
        <v>0</v>
      </c>
      <c r="N324" t="n">
        <v>0</v>
      </c>
      <c r="O324" t="n">
        <v>0</v>
      </c>
      <c r="P324" t="n">
        <v>0</v>
      </c>
      <c r="Q324" t="n">
        <v>0</v>
      </c>
      <c r="R324" s="2" t="inlineStr"/>
    </row>
    <row r="325" ht="15" customHeight="1">
      <c r="A325" t="inlineStr">
        <is>
          <t>A 37954-2019</t>
        </is>
      </c>
      <c r="B325" s="1" t="n">
        <v>43683</v>
      </c>
      <c r="C325" s="1" t="n">
        <v>45354</v>
      </c>
      <c r="D325" t="inlineStr">
        <is>
          <t>VÄSTERNORRLANDS LÄN</t>
        </is>
      </c>
      <c r="E325" t="inlineStr">
        <is>
          <t>ÅNGE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38222-2019</t>
        </is>
      </c>
      <c r="B326" s="1" t="n">
        <v>43684</v>
      </c>
      <c r="C326" s="1" t="n">
        <v>45354</v>
      </c>
      <c r="D326" t="inlineStr">
        <is>
          <t>VÄSTERNORRLANDS LÄN</t>
        </is>
      </c>
      <c r="E326" t="inlineStr">
        <is>
          <t>ÅNGE</t>
        </is>
      </c>
      <c r="G326" t="n">
        <v>4.4</v>
      </c>
      <c r="H326" t="n">
        <v>0</v>
      </c>
      <c r="I326" t="n">
        <v>0</v>
      </c>
      <c r="J326" t="n">
        <v>0</v>
      </c>
      <c r="K326" t="n">
        <v>0</v>
      </c>
      <c r="L326" t="n">
        <v>0</v>
      </c>
      <c r="M326" t="n">
        <v>0</v>
      </c>
      <c r="N326" t="n">
        <v>0</v>
      </c>
      <c r="O326" t="n">
        <v>0</v>
      </c>
      <c r="P326" t="n">
        <v>0</v>
      </c>
      <c r="Q326" t="n">
        <v>0</v>
      </c>
      <c r="R326" s="2" t="inlineStr"/>
    </row>
    <row r="327" ht="15" customHeight="1">
      <c r="A327" t="inlineStr">
        <is>
          <t>A 38215-2019</t>
        </is>
      </c>
      <c r="B327" s="1" t="n">
        <v>43684</v>
      </c>
      <c r="C327" s="1" t="n">
        <v>45354</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38310-2019</t>
        </is>
      </c>
      <c r="B328" s="1" t="n">
        <v>43684</v>
      </c>
      <c r="C328" s="1" t="n">
        <v>45354</v>
      </c>
      <c r="D328" t="inlineStr">
        <is>
          <t>VÄSTERNORRLANDS LÄN</t>
        </is>
      </c>
      <c r="E328" t="inlineStr">
        <is>
          <t>ÅNGE</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38573-2019</t>
        </is>
      </c>
      <c r="B329" s="1" t="n">
        <v>43685</v>
      </c>
      <c r="C329" s="1" t="n">
        <v>45354</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39403-2019</t>
        </is>
      </c>
      <c r="B330" s="1" t="n">
        <v>43690</v>
      </c>
      <c r="C330" s="1" t="n">
        <v>45354</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41510-2019</t>
        </is>
      </c>
      <c r="B331" s="1" t="n">
        <v>43696</v>
      </c>
      <c r="C331" s="1" t="n">
        <v>45354</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41018-2019</t>
        </is>
      </c>
      <c r="B332" s="1" t="n">
        <v>43697</v>
      </c>
      <c r="C332" s="1" t="n">
        <v>45354</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42066-2019</t>
        </is>
      </c>
      <c r="B333" s="1" t="n">
        <v>43700</v>
      </c>
      <c r="C333" s="1" t="n">
        <v>45354</v>
      </c>
      <c r="D333" t="inlineStr">
        <is>
          <t>VÄSTERNORRLANDS LÄN</t>
        </is>
      </c>
      <c r="E333" t="inlineStr">
        <is>
          <t>ÅNGE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43240-2019</t>
        </is>
      </c>
      <c r="B334" s="1" t="n">
        <v>43706</v>
      </c>
      <c r="C334" s="1" t="n">
        <v>45354</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43250-2019</t>
        </is>
      </c>
      <c r="B335" s="1" t="n">
        <v>43706</v>
      </c>
      <c r="C335" s="1" t="n">
        <v>45354</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43236-2019</t>
        </is>
      </c>
      <c r="B336" s="1" t="n">
        <v>43706</v>
      </c>
      <c r="C336" s="1" t="n">
        <v>45354</v>
      </c>
      <c r="D336" t="inlineStr">
        <is>
          <t>VÄSTERNORRLANDS LÄN</t>
        </is>
      </c>
      <c r="E336" t="inlineStr">
        <is>
          <t>ÅNGE</t>
        </is>
      </c>
      <c r="G336" t="n">
        <v>33.1</v>
      </c>
      <c r="H336" t="n">
        <v>0</v>
      </c>
      <c r="I336" t="n">
        <v>0</v>
      </c>
      <c r="J336" t="n">
        <v>0</v>
      </c>
      <c r="K336" t="n">
        <v>0</v>
      </c>
      <c r="L336" t="n">
        <v>0</v>
      </c>
      <c r="M336" t="n">
        <v>0</v>
      </c>
      <c r="N336" t="n">
        <v>0</v>
      </c>
      <c r="O336" t="n">
        <v>0</v>
      </c>
      <c r="P336" t="n">
        <v>0</v>
      </c>
      <c r="Q336" t="n">
        <v>0</v>
      </c>
      <c r="R336" s="2" t="inlineStr"/>
    </row>
    <row r="337" ht="15" customHeight="1">
      <c r="A337" t="inlineStr">
        <is>
          <t>A 43248-2019</t>
        </is>
      </c>
      <c r="B337" s="1" t="n">
        <v>43706</v>
      </c>
      <c r="C337" s="1" t="n">
        <v>45354</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43241-2019</t>
        </is>
      </c>
      <c r="B338" s="1" t="n">
        <v>43706</v>
      </c>
      <c r="C338" s="1" t="n">
        <v>45354</v>
      </c>
      <c r="D338" t="inlineStr">
        <is>
          <t>VÄSTERNORRLANDS LÄN</t>
        </is>
      </c>
      <c r="E338" t="inlineStr">
        <is>
          <t>ÅNGE</t>
        </is>
      </c>
      <c r="G338" t="n">
        <v>8.1</v>
      </c>
      <c r="H338" t="n">
        <v>0</v>
      </c>
      <c r="I338" t="n">
        <v>0</v>
      </c>
      <c r="J338" t="n">
        <v>0</v>
      </c>
      <c r="K338" t="n">
        <v>0</v>
      </c>
      <c r="L338" t="n">
        <v>0</v>
      </c>
      <c r="M338" t="n">
        <v>0</v>
      </c>
      <c r="N338" t="n">
        <v>0</v>
      </c>
      <c r="O338" t="n">
        <v>0</v>
      </c>
      <c r="P338" t="n">
        <v>0</v>
      </c>
      <c r="Q338" t="n">
        <v>0</v>
      </c>
      <c r="R338" s="2" t="inlineStr"/>
    </row>
    <row r="339" ht="15" customHeight="1">
      <c r="A339" t="inlineStr">
        <is>
          <t>A 43254-2019</t>
        </is>
      </c>
      <c r="B339" s="1" t="n">
        <v>43706</v>
      </c>
      <c r="C339" s="1" t="n">
        <v>45354</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43509-2019</t>
        </is>
      </c>
      <c r="B340" s="1" t="n">
        <v>43706</v>
      </c>
      <c r="C340" s="1" t="n">
        <v>45354</v>
      </c>
      <c r="D340" t="inlineStr">
        <is>
          <t>VÄSTERNORRLANDS LÄN</t>
        </is>
      </c>
      <c r="E340" t="inlineStr">
        <is>
          <t>ÅNGE</t>
        </is>
      </c>
      <c r="G340" t="n">
        <v>4.2</v>
      </c>
      <c r="H340" t="n">
        <v>0</v>
      </c>
      <c r="I340" t="n">
        <v>0</v>
      </c>
      <c r="J340" t="n">
        <v>0</v>
      </c>
      <c r="K340" t="n">
        <v>0</v>
      </c>
      <c r="L340" t="n">
        <v>0</v>
      </c>
      <c r="M340" t="n">
        <v>0</v>
      </c>
      <c r="N340" t="n">
        <v>0</v>
      </c>
      <c r="O340" t="n">
        <v>0</v>
      </c>
      <c r="P340" t="n">
        <v>0</v>
      </c>
      <c r="Q340" t="n">
        <v>0</v>
      </c>
      <c r="R340" s="2" t="inlineStr"/>
    </row>
    <row r="341" ht="15" customHeight="1">
      <c r="A341" t="inlineStr">
        <is>
          <t>A 43517-2019</t>
        </is>
      </c>
      <c r="B341" s="1" t="n">
        <v>43706</v>
      </c>
      <c r="C341" s="1" t="n">
        <v>45354</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43895-2019</t>
        </is>
      </c>
      <c r="B342" s="1" t="n">
        <v>43707</v>
      </c>
      <c r="C342" s="1" t="n">
        <v>45354</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44313-2019</t>
        </is>
      </c>
      <c r="B343" s="1" t="n">
        <v>43710</v>
      </c>
      <c r="C343" s="1" t="n">
        <v>45354</v>
      </c>
      <c r="D343" t="inlineStr">
        <is>
          <t>VÄSTERNORRLANDS LÄN</t>
        </is>
      </c>
      <c r="E343" t="inlineStr">
        <is>
          <t>ÅNGE</t>
        </is>
      </c>
      <c r="F343" t="inlineStr">
        <is>
          <t>SCA</t>
        </is>
      </c>
      <c r="G343" t="n">
        <v>8.9</v>
      </c>
      <c r="H343" t="n">
        <v>0</v>
      </c>
      <c r="I343" t="n">
        <v>0</v>
      </c>
      <c r="J343" t="n">
        <v>0</v>
      </c>
      <c r="K343" t="n">
        <v>0</v>
      </c>
      <c r="L343" t="n">
        <v>0</v>
      </c>
      <c r="M343" t="n">
        <v>0</v>
      </c>
      <c r="N343" t="n">
        <v>0</v>
      </c>
      <c r="O343" t="n">
        <v>0</v>
      </c>
      <c r="P343" t="n">
        <v>0</v>
      </c>
      <c r="Q343" t="n">
        <v>0</v>
      </c>
      <c r="R343" s="2" t="inlineStr"/>
    </row>
    <row r="344" ht="15" customHeight="1">
      <c r="A344" t="inlineStr">
        <is>
          <t>A 45274-2019</t>
        </is>
      </c>
      <c r="B344" s="1" t="n">
        <v>43713</v>
      </c>
      <c r="C344" s="1" t="n">
        <v>45354</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48958-2019</t>
        </is>
      </c>
      <c r="B345" s="1" t="n">
        <v>43728</v>
      </c>
      <c r="C345" s="1" t="n">
        <v>45354</v>
      </c>
      <c r="D345" t="inlineStr">
        <is>
          <t>VÄSTERNORRLANDS LÄN</t>
        </is>
      </c>
      <c r="E345" t="inlineStr">
        <is>
          <t>ÅNGE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50278-2019</t>
        </is>
      </c>
      <c r="B346" s="1" t="n">
        <v>43734</v>
      </c>
      <c r="C346" s="1" t="n">
        <v>45354</v>
      </c>
      <c r="D346" t="inlineStr">
        <is>
          <t>VÄSTERNORRLANDS LÄN</t>
        </is>
      </c>
      <c r="E346" t="inlineStr">
        <is>
          <t>ÅNGE</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50280-2019</t>
        </is>
      </c>
      <c r="B347" s="1" t="n">
        <v>43734</v>
      </c>
      <c r="C347" s="1" t="n">
        <v>45354</v>
      </c>
      <c r="D347" t="inlineStr">
        <is>
          <t>VÄSTERNORRLANDS LÄN</t>
        </is>
      </c>
      <c r="E347" t="inlineStr">
        <is>
          <t>ÅNGE</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50352-2019</t>
        </is>
      </c>
      <c r="B348" s="1" t="n">
        <v>43735</v>
      </c>
      <c r="C348" s="1" t="n">
        <v>45354</v>
      </c>
      <c r="D348" t="inlineStr">
        <is>
          <t>VÄSTERNORRLANDS LÄN</t>
        </is>
      </c>
      <c r="E348" t="inlineStr">
        <is>
          <t>ÅNGE</t>
        </is>
      </c>
      <c r="G348" t="n">
        <v>1.3</v>
      </c>
      <c r="H348" t="n">
        <v>0</v>
      </c>
      <c r="I348" t="n">
        <v>0</v>
      </c>
      <c r="J348" t="n">
        <v>0</v>
      </c>
      <c r="K348" t="n">
        <v>0</v>
      </c>
      <c r="L348" t="n">
        <v>0</v>
      </c>
      <c r="M348" t="n">
        <v>0</v>
      </c>
      <c r="N348" t="n">
        <v>0</v>
      </c>
      <c r="O348" t="n">
        <v>0</v>
      </c>
      <c r="P348" t="n">
        <v>0</v>
      </c>
      <c r="Q348" t="n">
        <v>0</v>
      </c>
      <c r="R348" s="2" t="inlineStr"/>
    </row>
    <row r="349" ht="15" customHeight="1">
      <c r="A349" t="inlineStr">
        <is>
          <t>A 50997-2019</t>
        </is>
      </c>
      <c r="B349" s="1" t="n">
        <v>43738</v>
      </c>
      <c r="C349" s="1" t="n">
        <v>45354</v>
      </c>
      <c r="D349" t="inlineStr">
        <is>
          <t>VÄSTERNORRLANDS LÄN</t>
        </is>
      </c>
      <c r="E349" t="inlineStr">
        <is>
          <t>ÅNGE</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52505-2019</t>
        </is>
      </c>
      <c r="B350" s="1" t="n">
        <v>43738</v>
      </c>
      <c r="C350" s="1" t="n">
        <v>45354</v>
      </c>
      <c r="D350" t="inlineStr">
        <is>
          <t>VÄSTERNORRLANDS LÄN</t>
        </is>
      </c>
      <c r="E350" t="inlineStr">
        <is>
          <t>ÅNGE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51321-2019</t>
        </is>
      </c>
      <c r="B351" s="1" t="n">
        <v>43739</v>
      </c>
      <c r="C351" s="1" t="n">
        <v>45354</v>
      </c>
      <c r="D351" t="inlineStr">
        <is>
          <t>VÄSTERNORRLANDS LÄN</t>
        </is>
      </c>
      <c r="E351" t="inlineStr">
        <is>
          <t>ÅNGE</t>
        </is>
      </c>
      <c r="G351" t="n">
        <v>9.4</v>
      </c>
      <c r="H351" t="n">
        <v>0</v>
      </c>
      <c r="I351" t="n">
        <v>0</v>
      </c>
      <c r="J351" t="n">
        <v>0</v>
      </c>
      <c r="K351" t="n">
        <v>0</v>
      </c>
      <c r="L351" t="n">
        <v>0</v>
      </c>
      <c r="M351" t="n">
        <v>0</v>
      </c>
      <c r="N351" t="n">
        <v>0</v>
      </c>
      <c r="O351" t="n">
        <v>0</v>
      </c>
      <c r="P351" t="n">
        <v>0</v>
      </c>
      <c r="Q351" t="n">
        <v>0</v>
      </c>
      <c r="R351" s="2" t="inlineStr"/>
    </row>
    <row r="352" ht="15" customHeight="1">
      <c r="A352" t="inlineStr">
        <is>
          <t>A 51947-2019</t>
        </is>
      </c>
      <c r="B352" s="1" t="n">
        <v>43741</v>
      </c>
      <c r="C352" s="1" t="n">
        <v>45354</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51946-2019</t>
        </is>
      </c>
      <c r="B353" s="1" t="n">
        <v>43741</v>
      </c>
      <c r="C353" s="1" t="n">
        <v>45354</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52171-2019</t>
        </is>
      </c>
      <c r="B354" s="1" t="n">
        <v>43742</v>
      </c>
      <c r="C354" s="1" t="n">
        <v>45354</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52684-2019</t>
        </is>
      </c>
      <c r="B355" s="1" t="n">
        <v>43746</v>
      </c>
      <c r="C355" s="1" t="n">
        <v>45354</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52660-2019</t>
        </is>
      </c>
      <c r="B356" s="1" t="n">
        <v>43746</v>
      </c>
      <c r="C356" s="1" t="n">
        <v>45354</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53107-2019</t>
        </is>
      </c>
      <c r="B357" s="1" t="n">
        <v>43747</v>
      </c>
      <c r="C357" s="1" t="n">
        <v>45354</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53579-2019</t>
        </is>
      </c>
      <c r="B358" s="1" t="n">
        <v>43749</v>
      </c>
      <c r="C358" s="1" t="n">
        <v>45354</v>
      </c>
      <c r="D358" t="inlineStr">
        <is>
          <t>VÄSTERNORRLANDS LÄN</t>
        </is>
      </c>
      <c r="E358" t="inlineStr">
        <is>
          <t>ÅNGE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54025-2019</t>
        </is>
      </c>
      <c r="B359" s="1" t="n">
        <v>43752</v>
      </c>
      <c r="C359" s="1" t="n">
        <v>45354</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54027-2019</t>
        </is>
      </c>
      <c r="B360" s="1" t="n">
        <v>43752</v>
      </c>
      <c r="C360" s="1" t="n">
        <v>45354</v>
      </c>
      <c r="D360" t="inlineStr">
        <is>
          <t>VÄSTERNORRLANDS LÄN</t>
        </is>
      </c>
      <c r="E360" t="inlineStr">
        <is>
          <t>ÅNGE</t>
        </is>
      </c>
      <c r="G360" t="n">
        <v>3.8</v>
      </c>
      <c r="H360" t="n">
        <v>0</v>
      </c>
      <c r="I360" t="n">
        <v>0</v>
      </c>
      <c r="J360" t="n">
        <v>0</v>
      </c>
      <c r="K360" t="n">
        <v>0</v>
      </c>
      <c r="L360" t="n">
        <v>0</v>
      </c>
      <c r="M360" t="n">
        <v>0</v>
      </c>
      <c r="N360" t="n">
        <v>0</v>
      </c>
      <c r="O360" t="n">
        <v>0</v>
      </c>
      <c r="P360" t="n">
        <v>0</v>
      </c>
      <c r="Q360" t="n">
        <v>0</v>
      </c>
      <c r="R360" s="2" t="inlineStr"/>
    </row>
    <row r="361" ht="15" customHeight="1">
      <c r="A361" t="inlineStr">
        <is>
          <t>A 55352-2019</t>
        </is>
      </c>
      <c r="B361" s="1" t="n">
        <v>43756</v>
      </c>
      <c r="C361" s="1" t="n">
        <v>45354</v>
      </c>
      <c r="D361" t="inlineStr">
        <is>
          <t>VÄSTERNORRLANDS LÄN</t>
        </is>
      </c>
      <c r="E361" t="inlineStr">
        <is>
          <t>ÅNGE</t>
        </is>
      </c>
      <c r="G361" t="n">
        <v>10.9</v>
      </c>
      <c r="H361" t="n">
        <v>0</v>
      </c>
      <c r="I361" t="n">
        <v>0</v>
      </c>
      <c r="J361" t="n">
        <v>0</v>
      </c>
      <c r="K361" t="n">
        <v>0</v>
      </c>
      <c r="L361" t="n">
        <v>0</v>
      </c>
      <c r="M361" t="n">
        <v>0</v>
      </c>
      <c r="N361" t="n">
        <v>0</v>
      </c>
      <c r="O361" t="n">
        <v>0</v>
      </c>
      <c r="P361" t="n">
        <v>0</v>
      </c>
      <c r="Q361" t="n">
        <v>0</v>
      </c>
      <c r="R361" s="2" t="inlineStr"/>
    </row>
    <row r="362" ht="15" customHeight="1">
      <c r="A362" t="inlineStr">
        <is>
          <t>A 55637-2019</t>
        </is>
      </c>
      <c r="B362" s="1" t="n">
        <v>43760</v>
      </c>
      <c r="C362" s="1" t="n">
        <v>45354</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55634-2019</t>
        </is>
      </c>
      <c r="B363" s="1" t="n">
        <v>43760</v>
      </c>
      <c r="C363" s="1" t="n">
        <v>45354</v>
      </c>
      <c r="D363" t="inlineStr">
        <is>
          <t>VÄSTERNORRLANDS LÄN</t>
        </is>
      </c>
      <c r="E363" t="inlineStr">
        <is>
          <t>ÅNGE</t>
        </is>
      </c>
      <c r="G363" t="n">
        <v>3.1</v>
      </c>
      <c r="H363" t="n">
        <v>0</v>
      </c>
      <c r="I363" t="n">
        <v>0</v>
      </c>
      <c r="J363" t="n">
        <v>0</v>
      </c>
      <c r="K363" t="n">
        <v>0</v>
      </c>
      <c r="L363" t="n">
        <v>0</v>
      </c>
      <c r="M363" t="n">
        <v>0</v>
      </c>
      <c r="N363" t="n">
        <v>0</v>
      </c>
      <c r="O363" t="n">
        <v>0</v>
      </c>
      <c r="P363" t="n">
        <v>0</v>
      </c>
      <c r="Q363" t="n">
        <v>0</v>
      </c>
      <c r="R363" s="2" t="inlineStr"/>
    </row>
    <row r="364" ht="15" customHeight="1">
      <c r="A364" t="inlineStr">
        <is>
          <t>A 55730-2019</t>
        </is>
      </c>
      <c r="B364" s="1" t="n">
        <v>43760</v>
      </c>
      <c r="C364" s="1" t="n">
        <v>45354</v>
      </c>
      <c r="D364" t="inlineStr">
        <is>
          <t>VÄSTERNORRLANDS LÄN</t>
        </is>
      </c>
      <c r="E364" t="inlineStr">
        <is>
          <t>ÅNGE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55729-2019</t>
        </is>
      </c>
      <c r="B365" s="1" t="n">
        <v>43760</v>
      </c>
      <c r="C365" s="1" t="n">
        <v>45354</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56137-2019</t>
        </is>
      </c>
      <c r="B366" s="1" t="n">
        <v>43761</v>
      </c>
      <c r="C366" s="1" t="n">
        <v>45354</v>
      </c>
      <c r="D366" t="inlineStr">
        <is>
          <t>VÄSTERNORRLANDS LÄN</t>
        </is>
      </c>
      <c r="E366" t="inlineStr">
        <is>
          <t>ÅNGE</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56171-2019</t>
        </is>
      </c>
      <c r="B367" s="1" t="n">
        <v>43761</v>
      </c>
      <c r="C367" s="1" t="n">
        <v>45354</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56186-2019</t>
        </is>
      </c>
      <c r="B368" s="1" t="n">
        <v>43761</v>
      </c>
      <c r="C368" s="1" t="n">
        <v>45354</v>
      </c>
      <c r="D368" t="inlineStr">
        <is>
          <t>VÄSTERNORRLANDS LÄN</t>
        </is>
      </c>
      <c r="E368" t="inlineStr">
        <is>
          <t>ÅNGE</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56490-2019</t>
        </is>
      </c>
      <c r="B369" s="1" t="n">
        <v>43762</v>
      </c>
      <c r="C369" s="1" t="n">
        <v>45354</v>
      </c>
      <c r="D369" t="inlineStr">
        <is>
          <t>VÄSTERNORRLANDS LÄN</t>
        </is>
      </c>
      <c r="E369" t="inlineStr">
        <is>
          <t>ÅNGE</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57184-2019</t>
        </is>
      </c>
      <c r="B370" s="1" t="n">
        <v>43766</v>
      </c>
      <c r="C370" s="1" t="n">
        <v>45354</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57183-2019</t>
        </is>
      </c>
      <c r="B371" s="1" t="n">
        <v>43766</v>
      </c>
      <c r="C371" s="1" t="n">
        <v>45354</v>
      </c>
      <c r="D371" t="inlineStr">
        <is>
          <t>VÄSTERNORRLANDS LÄN</t>
        </is>
      </c>
      <c r="E371" t="inlineStr">
        <is>
          <t>ÅNGE</t>
        </is>
      </c>
      <c r="G371" t="n">
        <v>1.2</v>
      </c>
      <c r="H371" t="n">
        <v>0</v>
      </c>
      <c r="I371" t="n">
        <v>0</v>
      </c>
      <c r="J371" t="n">
        <v>0</v>
      </c>
      <c r="K371" t="n">
        <v>0</v>
      </c>
      <c r="L371" t="n">
        <v>0</v>
      </c>
      <c r="M371" t="n">
        <v>0</v>
      </c>
      <c r="N371" t="n">
        <v>0</v>
      </c>
      <c r="O371" t="n">
        <v>0</v>
      </c>
      <c r="P371" t="n">
        <v>0</v>
      </c>
      <c r="Q371" t="n">
        <v>0</v>
      </c>
      <c r="R371" s="2" t="inlineStr"/>
    </row>
    <row r="372" ht="15" customHeight="1">
      <c r="A372" t="inlineStr">
        <is>
          <t>A 58720-2019</t>
        </is>
      </c>
      <c r="B372" s="1" t="n">
        <v>43773</v>
      </c>
      <c r="C372" s="1" t="n">
        <v>45354</v>
      </c>
      <c r="D372" t="inlineStr">
        <is>
          <t>VÄSTERNORRLANDS LÄN</t>
        </is>
      </c>
      <c r="E372" t="inlineStr">
        <is>
          <t>ÅNGE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58790-2019</t>
        </is>
      </c>
      <c r="B373" s="1" t="n">
        <v>43773</v>
      </c>
      <c r="C373" s="1" t="n">
        <v>45354</v>
      </c>
      <c r="D373" t="inlineStr">
        <is>
          <t>VÄSTERNORRLANDS LÄN</t>
        </is>
      </c>
      <c r="E373" t="inlineStr">
        <is>
          <t>ÅNGE</t>
        </is>
      </c>
      <c r="G373" t="n">
        <v>0.1</v>
      </c>
      <c r="H373" t="n">
        <v>0</v>
      </c>
      <c r="I373" t="n">
        <v>0</v>
      </c>
      <c r="J373" t="n">
        <v>0</v>
      </c>
      <c r="K373" t="n">
        <v>0</v>
      </c>
      <c r="L373" t="n">
        <v>0</v>
      </c>
      <c r="M373" t="n">
        <v>0</v>
      </c>
      <c r="N373" t="n">
        <v>0</v>
      </c>
      <c r="O373" t="n">
        <v>0</v>
      </c>
      <c r="P373" t="n">
        <v>0</v>
      </c>
      <c r="Q373" t="n">
        <v>0</v>
      </c>
      <c r="R373" s="2" t="inlineStr"/>
    </row>
    <row r="374" ht="15" customHeight="1">
      <c r="A374" t="inlineStr">
        <is>
          <t>A 58941-2019</t>
        </is>
      </c>
      <c r="B374" s="1" t="n">
        <v>43774</v>
      </c>
      <c r="C374" s="1" t="n">
        <v>45354</v>
      </c>
      <c r="D374" t="inlineStr">
        <is>
          <t>VÄSTERNORRLANDS LÄN</t>
        </is>
      </c>
      <c r="E374" t="inlineStr">
        <is>
          <t>ÅNGE</t>
        </is>
      </c>
      <c r="G374" t="n">
        <v>4</v>
      </c>
      <c r="H374" t="n">
        <v>0</v>
      </c>
      <c r="I374" t="n">
        <v>0</v>
      </c>
      <c r="J374" t="n">
        <v>0</v>
      </c>
      <c r="K374" t="n">
        <v>0</v>
      </c>
      <c r="L374" t="n">
        <v>0</v>
      </c>
      <c r="M374" t="n">
        <v>0</v>
      </c>
      <c r="N374" t="n">
        <v>0</v>
      </c>
      <c r="O374" t="n">
        <v>0</v>
      </c>
      <c r="P374" t="n">
        <v>0</v>
      </c>
      <c r="Q374" t="n">
        <v>0</v>
      </c>
      <c r="R374" s="2" t="inlineStr"/>
    </row>
    <row r="375" ht="15" customHeight="1">
      <c r="A375" t="inlineStr">
        <is>
          <t>A 58932-2019</t>
        </is>
      </c>
      <c r="B375" s="1" t="n">
        <v>43774</v>
      </c>
      <c r="C375" s="1" t="n">
        <v>45354</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58951-2019</t>
        </is>
      </c>
      <c r="B376" s="1" t="n">
        <v>43774</v>
      </c>
      <c r="C376" s="1" t="n">
        <v>45354</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60577-2019</t>
        </is>
      </c>
      <c r="B377" s="1" t="n">
        <v>43781</v>
      </c>
      <c r="C377" s="1" t="n">
        <v>45354</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60687-2019</t>
        </is>
      </c>
      <c r="B378" s="1" t="n">
        <v>43781</v>
      </c>
      <c r="C378" s="1" t="n">
        <v>45354</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60868-2019</t>
        </is>
      </c>
      <c r="B379" s="1" t="n">
        <v>43781</v>
      </c>
      <c r="C379" s="1" t="n">
        <v>45354</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61521-2019</t>
        </is>
      </c>
      <c r="B380" s="1" t="n">
        <v>43783</v>
      </c>
      <c r="C380" s="1" t="n">
        <v>45354</v>
      </c>
      <c r="D380" t="inlineStr">
        <is>
          <t>VÄSTERNORRLANDS LÄN</t>
        </is>
      </c>
      <c r="E380" t="inlineStr">
        <is>
          <t>ÅNGE</t>
        </is>
      </c>
      <c r="F380" t="inlineStr">
        <is>
          <t>SCA</t>
        </is>
      </c>
      <c r="G380" t="n">
        <v>40.5</v>
      </c>
      <c r="H380" t="n">
        <v>0</v>
      </c>
      <c r="I380" t="n">
        <v>0</v>
      </c>
      <c r="J380" t="n">
        <v>0</v>
      </c>
      <c r="K380" t="n">
        <v>0</v>
      </c>
      <c r="L380" t="n">
        <v>0</v>
      </c>
      <c r="M380" t="n">
        <v>0</v>
      </c>
      <c r="N380" t="n">
        <v>0</v>
      </c>
      <c r="O380" t="n">
        <v>0</v>
      </c>
      <c r="P380" t="n">
        <v>0</v>
      </c>
      <c r="Q380" t="n">
        <v>0</v>
      </c>
      <c r="R380" s="2" t="inlineStr"/>
    </row>
    <row r="381" ht="15" customHeight="1">
      <c r="A381" t="inlineStr">
        <is>
          <t>A 61520-2019</t>
        </is>
      </c>
      <c r="B381" s="1" t="n">
        <v>43783</v>
      </c>
      <c r="C381" s="1" t="n">
        <v>45354</v>
      </c>
      <c r="D381" t="inlineStr">
        <is>
          <t>VÄSTERNORRLANDS LÄN</t>
        </is>
      </c>
      <c r="E381" t="inlineStr">
        <is>
          <t>ÅNGE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61918-2019</t>
        </is>
      </c>
      <c r="B382" s="1" t="n">
        <v>43787</v>
      </c>
      <c r="C382" s="1" t="n">
        <v>45354</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61862-2019</t>
        </is>
      </c>
      <c r="B383" s="1" t="n">
        <v>43787</v>
      </c>
      <c r="C383" s="1" t="n">
        <v>45354</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62222-2019</t>
        </is>
      </c>
      <c r="B384" s="1" t="n">
        <v>43788</v>
      </c>
      <c r="C384" s="1" t="n">
        <v>45354</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62547-2019</t>
        </is>
      </c>
      <c r="B385" s="1" t="n">
        <v>43789</v>
      </c>
      <c r="C385" s="1" t="n">
        <v>45354</v>
      </c>
      <c r="D385" t="inlineStr">
        <is>
          <t>VÄSTERNORRLANDS LÄN</t>
        </is>
      </c>
      <c r="E385" t="inlineStr">
        <is>
          <t>ÅNGE</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62925-2019</t>
        </is>
      </c>
      <c r="B386" s="1" t="n">
        <v>43790</v>
      </c>
      <c r="C386" s="1" t="n">
        <v>45354</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63300-2019</t>
        </is>
      </c>
      <c r="B387" s="1" t="n">
        <v>43794</v>
      </c>
      <c r="C387" s="1" t="n">
        <v>45354</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63329-2019</t>
        </is>
      </c>
      <c r="B388" s="1" t="n">
        <v>43794</v>
      </c>
      <c r="C388" s="1" t="n">
        <v>45354</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63453-2019</t>
        </is>
      </c>
      <c r="B389" s="1" t="n">
        <v>43794</v>
      </c>
      <c r="C389" s="1" t="n">
        <v>45354</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63324-2019</t>
        </is>
      </c>
      <c r="B390" s="1" t="n">
        <v>43794</v>
      </c>
      <c r="C390" s="1" t="n">
        <v>45354</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63549-2019</t>
        </is>
      </c>
      <c r="B391" s="1" t="n">
        <v>43794</v>
      </c>
      <c r="C391" s="1" t="n">
        <v>45354</v>
      </c>
      <c r="D391" t="inlineStr">
        <is>
          <t>VÄSTERNORRLANDS LÄN</t>
        </is>
      </c>
      <c r="E391" t="inlineStr">
        <is>
          <t>ÅNGE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63454-2019</t>
        </is>
      </c>
      <c r="B392" s="1" t="n">
        <v>43794</v>
      </c>
      <c r="C392" s="1" t="n">
        <v>45354</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63679-2019</t>
        </is>
      </c>
      <c r="B393" s="1" t="n">
        <v>43795</v>
      </c>
      <c r="C393" s="1" t="n">
        <v>45354</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63677-2019</t>
        </is>
      </c>
      <c r="B394" s="1" t="n">
        <v>43795</v>
      </c>
      <c r="C394" s="1" t="n">
        <v>45354</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63683-2019</t>
        </is>
      </c>
      <c r="B395" s="1" t="n">
        <v>43795</v>
      </c>
      <c r="C395" s="1" t="n">
        <v>45354</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65050-2019</t>
        </is>
      </c>
      <c r="B396" s="1" t="n">
        <v>43801</v>
      </c>
      <c r="C396" s="1" t="n">
        <v>45354</v>
      </c>
      <c r="D396" t="inlineStr">
        <is>
          <t>VÄSTERNORRLANDS LÄN</t>
        </is>
      </c>
      <c r="E396" t="inlineStr">
        <is>
          <t>ÅNGE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65046-2019</t>
        </is>
      </c>
      <c r="B397" s="1" t="n">
        <v>43801</v>
      </c>
      <c r="C397" s="1" t="n">
        <v>45354</v>
      </c>
      <c r="D397" t="inlineStr">
        <is>
          <t>VÄSTERNORRLANDS LÄN</t>
        </is>
      </c>
      <c r="E397" t="inlineStr">
        <is>
          <t>ÅNGE</t>
        </is>
      </c>
      <c r="G397" t="n">
        <v>17.3</v>
      </c>
      <c r="H397" t="n">
        <v>0</v>
      </c>
      <c r="I397" t="n">
        <v>0</v>
      </c>
      <c r="J397" t="n">
        <v>0</v>
      </c>
      <c r="K397" t="n">
        <v>0</v>
      </c>
      <c r="L397" t="n">
        <v>0</v>
      </c>
      <c r="M397" t="n">
        <v>0</v>
      </c>
      <c r="N397" t="n">
        <v>0</v>
      </c>
      <c r="O397" t="n">
        <v>0</v>
      </c>
      <c r="P397" t="n">
        <v>0</v>
      </c>
      <c r="Q397" t="n">
        <v>0</v>
      </c>
      <c r="R397" s="2" t="inlineStr"/>
    </row>
    <row r="398" ht="15" customHeight="1">
      <c r="A398" t="inlineStr">
        <is>
          <t>A 65049-2019</t>
        </is>
      </c>
      <c r="B398" s="1" t="n">
        <v>43801</v>
      </c>
      <c r="C398" s="1" t="n">
        <v>45354</v>
      </c>
      <c r="D398" t="inlineStr">
        <is>
          <t>VÄSTERNORRLANDS LÄN</t>
        </is>
      </c>
      <c r="E398" t="inlineStr">
        <is>
          <t>ÅNGE</t>
        </is>
      </c>
      <c r="G398" t="n">
        <v>3.3</v>
      </c>
      <c r="H398" t="n">
        <v>0</v>
      </c>
      <c r="I398" t="n">
        <v>0</v>
      </c>
      <c r="J398" t="n">
        <v>0</v>
      </c>
      <c r="K398" t="n">
        <v>0</v>
      </c>
      <c r="L398" t="n">
        <v>0</v>
      </c>
      <c r="M398" t="n">
        <v>0</v>
      </c>
      <c r="N398" t="n">
        <v>0</v>
      </c>
      <c r="O398" t="n">
        <v>0</v>
      </c>
      <c r="P398" t="n">
        <v>0</v>
      </c>
      <c r="Q398" t="n">
        <v>0</v>
      </c>
      <c r="R398" s="2" t="inlineStr"/>
    </row>
    <row r="399" ht="15" customHeight="1">
      <c r="A399" t="inlineStr">
        <is>
          <t>A 65048-2019</t>
        </is>
      </c>
      <c r="B399" s="1" t="n">
        <v>43801</v>
      </c>
      <c r="C399" s="1" t="n">
        <v>45354</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65951-2019</t>
        </is>
      </c>
      <c r="B400" s="1" t="n">
        <v>43805</v>
      </c>
      <c r="C400" s="1" t="n">
        <v>45354</v>
      </c>
      <c r="D400" t="inlineStr">
        <is>
          <t>VÄSTERNORRLANDS LÄN</t>
        </is>
      </c>
      <c r="E400" t="inlineStr">
        <is>
          <t>ÅNGE</t>
        </is>
      </c>
      <c r="G400" t="n">
        <v>0.9</v>
      </c>
      <c r="H400" t="n">
        <v>0</v>
      </c>
      <c r="I400" t="n">
        <v>0</v>
      </c>
      <c r="J400" t="n">
        <v>0</v>
      </c>
      <c r="K400" t="n">
        <v>0</v>
      </c>
      <c r="L400" t="n">
        <v>0</v>
      </c>
      <c r="M400" t="n">
        <v>0</v>
      </c>
      <c r="N400" t="n">
        <v>0</v>
      </c>
      <c r="O400" t="n">
        <v>0</v>
      </c>
      <c r="P400" t="n">
        <v>0</v>
      </c>
      <c r="Q400" t="n">
        <v>0</v>
      </c>
      <c r="R400" s="2" t="inlineStr"/>
    </row>
    <row r="401" ht="15" customHeight="1">
      <c r="A401" t="inlineStr">
        <is>
          <t>A 65909-2019</t>
        </is>
      </c>
      <c r="B401" s="1" t="n">
        <v>43805</v>
      </c>
      <c r="C401" s="1" t="n">
        <v>45354</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66048-2019</t>
        </is>
      </c>
      <c r="B402" s="1" t="n">
        <v>43805</v>
      </c>
      <c r="C402" s="1" t="n">
        <v>45354</v>
      </c>
      <c r="D402" t="inlineStr">
        <is>
          <t>VÄSTERNORRLANDS LÄN</t>
        </is>
      </c>
      <c r="E402" t="inlineStr">
        <is>
          <t>ÅNGE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66017-2019</t>
        </is>
      </c>
      <c r="B403" s="1" t="n">
        <v>43805</v>
      </c>
      <c r="C403" s="1" t="n">
        <v>45354</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66013-2019</t>
        </is>
      </c>
      <c r="B404" s="1" t="n">
        <v>43805</v>
      </c>
      <c r="C404" s="1" t="n">
        <v>45354</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68809-2019</t>
        </is>
      </c>
      <c r="B405" s="1" t="n">
        <v>43815</v>
      </c>
      <c r="C405" s="1" t="n">
        <v>45354</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714-2020</t>
        </is>
      </c>
      <c r="B406" s="1" t="n">
        <v>43818</v>
      </c>
      <c r="C406" s="1" t="n">
        <v>45354</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68807-2019</t>
        </is>
      </c>
      <c r="B407" s="1" t="n">
        <v>43819</v>
      </c>
      <c r="C407" s="1" t="n">
        <v>45354</v>
      </c>
      <c r="D407" t="inlineStr">
        <is>
          <t>VÄSTERNORRLANDS LÄN</t>
        </is>
      </c>
      <c r="E407" t="inlineStr">
        <is>
          <t>ÅNGE</t>
        </is>
      </c>
      <c r="G407" t="n">
        <v>2.1</v>
      </c>
      <c r="H407" t="n">
        <v>0</v>
      </c>
      <c r="I407" t="n">
        <v>0</v>
      </c>
      <c r="J407" t="n">
        <v>0</v>
      </c>
      <c r="K407" t="n">
        <v>0</v>
      </c>
      <c r="L407" t="n">
        <v>0</v>
      </c>
      <c r="M407" t="n">
        <v>0</v>
      </c>
      <c r="N407" t="n">
        <v>0</v>
      </c>
      <c r="O407" t="n">
        <v>0</v>
      </c>
      <c r="P407" t="n">
        <v>0</v>
      </c>
      <c r="Q407" t="n">
        <v>0</v>
      </c>
      <c r="R407" s="2" t="inlineStr"/>
    </row>
    <row r="408" ht="15" customHeight="1">
      <c r="A408" t="inlineStr">
        <is>
          <t>A 69169-2019</t>
        </is>
      </c>
      <c r="B408" s="1" t="n">
        <v>43830</v>
      </c>
      <c r="C408" s="1" t="n">
        <v>45354</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69171-2019</t>
        </is>
      </c>
      <c r="B409" s="1" t="n">
        <v>43830</v>
      </c>
      <c r="C409" s="1" t="n">
        <v>45354</v>
      </c>
      <c r="D409" t="inlineStr">
        <is>
          <t>VÄSTERNORRLANDS LÄN</t>
        </is>
      </c>
      <c r="E409" t="inlineStr">
        <is>
          <t>ÅNGE</t>
        </is>
      </c>
      <c r="G409" t="n">
        <v>3.1</v>
      </c>
      <c r="H409" t="n">
        <v>0</v>
      </c>
      <c r="I409" t="n">
        <v>0</v>
      </c>
      <c r="J409" t="n">
        <v>0</v>
      </c>
      <c r="K409" t="n">
        <v>0</v>
      </c>
      <c r="L409" t="n">
        <v>0</v>
      </c>
      <c r="M409" t="n">
        <v>0</v>
      </c>
      <c r="N409" t="n">
        <v>0</v>
      </c>
      <c r="O409" t="n">
        <v>0</v>
      </c>
      <c r="P409" t="n">
        <v>0</v>
      </c>
      <c r="Q409" t="n">
        <v>0</v>
      </c>
      <c r="R409" s="2" t="inlineStr"/>
    </row>
    <row r="410" ht="15" customHeight="1">
      <c r="A410" t="inlineStr">
        <is>
          <t>A 114-2020</t>
        </is>
      </c>
      <c r="B410" s="1" t="n">
        <v>43832</v>
      </c>
      <c r="C410" s="1" t="n">
        <v>45354</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531-2020</t>
        </is>
      </c>
      <c r="B411" s="1" t="n">
        <v>43837</v>
      </c>
      <c r="C411" s="1" t="n">
        <v>45354</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664-2020</t>
        </is>
      </c>
      <c r="B412" s="1" t="n">
        <v>43838</v>
      </c>
      <c r="C412" s="1" t="n">
        <v>45354</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2650-2020</t>
        </is>
      </c>
      <c r="B413" s="1" t="n">
        <v>43847</v>
      </c>
      <c r="C413" s="1" t="n">
        <v>45354</v>
      </c>
      <c r="D413" t="inlineStr">
        <is>
          <t>VÄSTERNORRLANDS LÄN</t>
        </is>
      </c>
      <c r="E413" t="inlineStr">
        <is>
          <t>ÅNGE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3658-2020</t>
        </is>
      </c>
      <c r="B414" s="1" t="n">
        <v>43853</v>
      </c>
      <c r="C414" s="1" t="n">
        <v>45354</v>
      </c>
      <c r="D414" t="inlineStr">
        <is>
          <t>VÄSTERNORRLANDS LÄN</t>
        </is>
      </c>
      <c r="E414" t="inlineStr">
        <is>
          <t>ÅNGE</t>
        </is>
      </c>
      <c r="G414" t="n">
        <v>4.4</v>
      </c>
      <c r="H414" t="n">
        <v>0</v>
      </c>
      <c r="I414" t="n">
        <v>0</v>
      </c>
      <c r="J414" t="n">
        <v>0</v>
      </c>
      <c r="K414" t="n">
        <v>0</v>
      </c>
      <c r="L414" t="n">
        <v>0</v>
      </c>
      <c r="M414" t="n">
        <v>0</v>
      </c>
      <c r="N414" t="n">
        <v>0</v>
      </c>
      <c r="O414" t="n">
        <v>0</v>
      </c>
      <c r="P414" t="n">
        <v>0</v>
      </c>
      <c r="Q414" t="n">
        <v>0</v>
      </c>
      <c r="R414" s="2" t="inlineStr"/>
    </row>
    <row r="415" ht="15" customHeight="1">
      <c r="A415" t="inlineStr">
        <is>
          <t>A 3664-2020</t>
        </is>
      </c>
      <c r="B415" s="1" t="n">
        <v>43853</v>
      </c>
      <c r="C415" s="1" t="n">
        <v>45354</v>
      </c>
      <c r="D415" t="inlineStr">
        <is>
          <t>VÄSTERNORRLANDS LÄN</t>
        </is>
      </c>
      <c r="E415" t="inlineStr">
        <is>
          <t>ÅNGE</t>
        </is>
      </c>
      <c r="G415" t="n">
        <v>10.8</v>
      </c>
      <c r="H415" t="n">
        <v>0</v>
      </c>
      <c r="I415" t="n">
        <v>0</v>
      </c>
      <c r="J415" t="n">
        <v>0</v>
      </c>
      <c r="K415" t="n">
        <v>0</v>
      </c>
      <c r="L415" t="n">
        <v>0</v>
      </c>
      <c r="M415" t="n">
        <v>0</v>
      </c>
      <c r="N415" t="n">
        <v>0</v>
      </c>
      <c r="O415" t="n">
        <v>0</v>
      </c>
      <c r="P415" t="n">
        <v>0</v>
      </c>
      <c r="Q415" t="n">
        <v>0</v>
      </c>
      <c r="R415" s="2" t="inlineStr"/>
    </row>
    <row r="416" ht="15" customHeight="1">
      <c r="A416" t="inlineStr">
        <is>
          <t>A 3993-2020</t>
        </is>
      </c>
      <c r="B416" s="1" t="n">
        <v>43856</v>
      </c>
      <c r="C416" s="1" t="n">
        <v>45354</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4365-2020</t>
        </is>
      </c>
      <c r="B417" s="1" t="n">
        <v>43857</v>
      </c>
      <c r="C417" s="1" t="n">
        <v>45354</v>
      </c>
      <c r="D417" t="inlineStr">
        <is>
          <t>VÄSTERNORRLANDS LÄN</t>
        </is>
      </c>
      <c r="E417" t="inlineStr">
        <is>
          <t>ÅNGE</t>
        </is>
      </c>
      <c r="G417" t="n">
        <v>0.3</v>
      </c>
      <c r="H417" t="n">
        <v>0</v>
      </c>
      <c r="I417" t="n">
        <v>0</v>
      </c>
      <c r="J417" t="n">
        <v>0</v>
      </c>
      <c r="K417" t="n">
        <v>0</v>
      </c>
      <c r="L417" t="n">
        <v>0</v>
      </c>
      <c r="M417" t="n">
        <v>0</v>
      </c>
      <c r="N417" t="n">
        <v>0</v>
      </c>
      <c r="O417" t="n">
        <v>0</v>
      </c>
      <c r="P417" t="n">
        <v>0</v>
      </c>
      <c r="Q417" t="n">
        <v>0</v>
      </c>
      <c r="R417" s="2" t="inlineStr"/>
    </row>
    <row r="418" ht="15" customHeight="1">
      <c r="A418" t="inlineStr">
        <is>
          <t>A 4458-2020</t>
        </is>
      </c>
      <c r="B418" s="1" t="n">
        <v>43858</v>
      </c>
      <c r="C418" s="1" t="n">
        <v>45354</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5102-2020</t>
        </is>
      </c>
      <c r="B419" s="1" t="n">
        <v>43859</v>
      </c>
      <c r="C419" s="1" t="n">
        <v>45354</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5975-2020</t>
        </is>
      </c>
      <c r="B420" s="1" t="n">
        <v>43864</v>
      </c>
      <c r="C420" s="1" t="n">
        <v>45354</v>
      </c>
      <c r="D420" t="inlineStr">
        <is>
          <t>VÄSTERNORRLANDS LÄN</t>
        </is>
      </c>
      <c r="E420" t="inlineStr">
        <is>
          <t>ÅNGE</t>
        </is>
      </c>
      <c r="G420" t="n">
        <v>6.5</v>
      </c>
      <c r="H420" t="n">
        <v>0</v>
      </c>
      <c r="I420" t="n">
        <v>0</v>
      </c>
      <c r="J420" t="n">
        <v>0</v>
      </c>
      <c r="K420" t="n">
        <v>0</v>
      </c>
      <c r="L420" t="n">
        <v>0</v>
      </c>
      <c r="M420" t="n">
        <v>0</v>
      </c>
      <c r="N420" t="n">
        <v>0</v>
      </c>
      <c r="O420" t="n">
        <v>0</v>
      </c>
      <c r="P420" t="n">
        <v>0</v>
      </c>
      <c r="Q420" t="n">
        <v>0</v>
      </c>
      <c r="R420" s="2" t="inlineStr"/>
    </row>
    <row r="421" ht="15" customHeight="1">
      <c r="A421" t="inlineStr">
        <is>
          <t>A 6393-2020</t>
        </is>
      </c>
      <c r="B421" s="1" t="n">
        <v>43866</v>
      </c>
      <c r="C421" s="1" t="n">
        <v>45354</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6557-2020</t>
        </is>
      </c>
      <c r="B422" s="1" t="n">
        <v>43867</v>
      </c>
      <c r="C422" s="1" t="n">
        <v>45354</v>
      </c>
      <c r="D422" t="inlineStr">
        <is>
          <t>VÄSTERNORRLANDS LÄN</t>
        </is>
      </c>
      <c r="E422" t="inlineStr">
        <is>
          <t>ÅNGE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6551-2020</t>
        </is>
      </c>
      <c r="B423" s="1" t="n">
        <v>43867</v>
      </c>
      <c r="C423" s="1" t="n">
        <v>45354</v>
      </c>
      <c r="D423" t="inlineStr">
        <is>
          <t>VÄSTERNORRLANDS LÄN</t>
        </is>
      </c>
      <c r="E423" t="inlineStr">
        <is>
          <t>ÅNGE</t>
        </is>
      </c>
      <c r="G423" t="n">
        <v>12.5</v>
      </c>
      <c r="H423" t="n">
        <v>0</v>
      </c>
      <c r="I423" t="n">
        <v>0</v>
      </c>
      <c r="J423" t="n">
        <v>0</v>
      </c>
      <c r="K423" t="n">
        <v>0</v>
      </c>
      <c r="L423" t="n">
        <v>0</v>
      </c>
      <c r="M423" t="n">
        <v>0</v>
      </c>
      <c r="N423" t="n">
        <v>0</v>
      </c>
      <c r="O423" t="n">
        <v>0</v>
      </c>
      <c r="P423" t="n">
        <v>0</v>
      </c>
      <c r="Q423" t="n">
        <v>0</v>
      </c>
      <c r="R423" s="2" t="inlineStr"/>
    </row>
    <row r="424" ht="15" customHeight="1">
      <c r="A424" t="inlineStr">
        <is>
          <t>A 6563-2020</t>
        </is>
      </c>
      <c r="B424" s="1" t="n">
        <v>43867</v>
      </c>
      <c r="C424" s="1" t="n">
        <v>45354</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6555-2020</t>
        </is>
      </c>
      <c r="B425" s="1" t="n">
        <v>43867</v>
      </c>
      <c r="C425" s="1" t="n">
        <v>45354</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6562-2020</t>
        </is>
      </c>
      <c r="B426" s="1" t="n">
        <v>43867</v>
      </c>
      <c r="C426" s="1" t="n">
        <v>45354</v>
      </c>
      <c r="D426" t="inlineStr">
        <is>
          <t>VÄSTERNORRLANDS LÄN</t>
        </is>
      </c>
      <c r="E426" t="inlineStr">
        <is>
          <t>ÅNGE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6565-2020</t>
        </is>
      </c>
      <c r="B427" s="1" t="n">
        <v>43867</v>
      </c>
      <c r="C427" s="1" t="n">
        <v>45354</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7787-2020</t>
        </is>
      </c>
      <c r="B428" s="1" t="n">
        <v>43872</v>
      </c>
      <c r="C428" s="1" t="n">
        <v>45354</v>
      </c>
      <c r="D428" t="inlineStr">
        <is>
          <t>VÄSTERNORRLANDS LÄN</t>
        </is>
      </c>
      <c r="E428" t="inlineStr">
        <is>
          <t>ÅNGE</t>
        </is>
      </c>
      <c r="F428" t="inlineStr">
        <is>
          <t>SCA</t>
        </is>
      </c>
      <c r="G428" t="n">
        <v>22.8</v>
      </c>
      <c r="H428" t="n">
        <v>0</v>
      </c>
      <c r="I428" t="n">
        <v>0</v>
      </c>
      <c r="J428" t="n">
        <v>0</v>
      </c>
      <c r="K428" t="n">
        <v>0</v>
      </c>
      <c r="L428" t="n">
        <v>0</v>
      </c>
      <c r="M428" t="n">
        <v>0</v>
      </c>
      <c r="N428" t="n">
        <v>0</v>
      </c>
      <c r="O428" t="n">
        <v>0</v>
      </c>
      <c r="P428" t="n">
        <v>0</v>
      </c>
      <c r="Q428" t="n">
        <v>0</v>
      </c>
      <c r="R428" s="2" t="inlineStr"/>
    </row>
    <row r="429" ht="15" customHeight="1">
      <c r="A429" t="inlineStr">
        <is>
          <t>A 8533-2020</t>
        </is>
      </c>
      <c r="B429" s="1" t="n">
        <v>43875</v>
      </c>
      <c r="C429" s="1" t="n">
        <v>45354</v>
      </c>
      <c r="D429" t="inlineStr">
        <is>
          <t>VÄSTERNORRLANDS LÄN</t>
        </is>
      </c>
      <c r="E429" t="inlineStr">
        <is>
          <t>ÅNGE</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8534-2020</t>
        </is>
      </c>
      <c r="B430" s="1" t="n">
        <v>43875</v>
      </c>
      <c r="C430" s="1" t="n">
        <v>45354</v>
      </c>
      <c r="D430" t="inlineStr">
        <is>
          <t>VÄSTERNORRLANDS LÄN</t>
        </is>
      </c>
      <c r="E430" t="inlineStr">
        <is>
          <t>ÅNGE</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10144-2020</t>
        </is>
      </c>
      <c r="B431" s="1" t="n">
        <v>43886</v>
      </c>
      <c r="C431" s="1" t="n">
        <v>45354</v>
      </c>
      <c r="D431" t="inlineStr">
        <is>
          <t>VÄSTERNORRLANDS LÄN</t>
        </is>
      </c>
      <c r="E431" t="inlineStr">
        <is>
          <t>ÅNGE</t>
        </is>
      </c>
      <c r="F431" t="inlineStr">
        <is>
          <t>SCA</t>
        </is>
      </c>
      <c r="G431" t="n">
        <v>21.7</v>
      </c>
      <c r="H431" t="n">
        <v>0</v>
      </c>
      <c r="I431" t="n">
        <v>0</v>
      </c>
      <c r="J431" t="n">
        <v>0</v>
      </c>
      <c r="K431" t="n">
        <v>0</v>
      </c>
      <c r="L431" t="n">
        <v>0</v>
      </c>
      <c r="M431" t="n">
        <v>0</v>
      </c>
      <c r="N431" t="n">
        <v>0</v>
      </c>
      <c r="O431" t="n">
        <v>0</v>
      </c>
      <c r="P431" t="n">
        <v>0</v>
      </c>
      <c r="Q431" t="n">
        <v>0</v>
      </c>
      <c r="R431" s="2" t="inlineStr"/>
    </row>
    <row r="432" ht="15" customHeight="1">
      <c r="A432" t="inlineStr">
        <is>
          <t>A 10145-2020</t>
        </is>
      </c>
      <c r="B432" s="1" t="n">
        <v>43886</v>
      </c>
      <c r="C432" s="1" t="n">
        <v>45354</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11101-2020</t>
        </is>
      </c>
      <c r="B433" s="1" t="n">
        <v>43889</v>
      </c>
      <c r="C433" s="1" t="n">
        <v>45354</v>
      </c>
      <c r="D433" t="inlineStr">
        <is>
          <t>VÄSTERNORRLANDS LÄN</t>
        </is>
      </c>
      <c r="E433" t="inlineStr">
        <is>
          <t>ÅNGE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12866-2020</t>
        </is>
      </c>
      <c r="B434" s="1" t="n">
        <v>43899</v>
      </c>
      <c r="C434" s="1" t="n">
        <v>45354</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12868-2020</t>
        </is>
      </c>
      <c r="B435" s="1" t="n">
        <v>43899</v>
      </c>
      <c r="C435" s="1" t="n">
        <v>45354</v>
      </c>
      <c r="D435" t="inlineStr">
        <is>
          <t>VÄSTERNORRLANDS LÄN</t>
        </is>
      </c>
      <c r="E435" t="inlineStr">
        <is>
          <t>ÅNGE</t>
        </is>
      </c>
      <c r="G435" t="n">
        <v>9.6</v>
      </c>
      <c r="H435" t="n">
        <v>0</v>
      </c>
      <c r="I435" t="n">
        <v>0</v>
      </c>
      <c r="J435" t="n">
        <v>0</v>
      </c>
      <c r="K435" t="n">
        <v>0</v>
      </c>
      <c r="L435" t="n">
        <v>0</v>
      </c>
      <c r="M435" t="n">
        <v>0</v>
      </c>
      <c r="N435" t="n">
        <v>0</v>
      </c>
      <c r="O435" t="n">
        <v>0</v>
      </c>
      <c r="P435" t="n">
        <v>0</v>
      </c>
      <c r="Q435" t="n">
        <v>0</v>
      </c>
      <c r="R435" s="2" t="inlineStr"/>
    </row>
    <row r="436" ht="15" customHeight="1">
      <c r="A436" t="inlineStr">
        <is>
          <t>A 13559-2020</t>
        </is>
      </c>
      <c r="B436" s="1" t="n">
        <v>43902</v>
      </c>
      <c r="C436" s="1" t="n">
        <v>45354</v>
      </c>
      <c r="D436" t="inlineStr">
        <is>
          <t>VÄSTERNORRLANDS LÄN</t>
        </is>
      </c>
      <c r="E436" t="inlineStr">
        <is>
          <t>ÅNGE</t>
        </is>
      </c>
      <c r="F436" t="inlineStr">
        <is>
          <t>SCA</t>
        </is>
      </c>
      <c r="G436" t="n">
        <v>24.5</v>
      </c>
      <c r="H436" t="n">
        <v>0</v>
      </c>
      <c r="I436" t="n">
        <v>0</v>
      </c>
      <c r="J436" t="n">
        <v>0</v>
      </c>
      <c r="K436" t="n">
        <v>0</v>
      </c>
      <c r="L436" t="n">
        <v>0</v>
      </c>
      <c r="M436" t="n">
        <v>0</v>
      </c>
      <c r="N436" t="n">
        <v>0</v>
      </c>
      <c r="O436" t="n">
        <v>0</v>
      </c>
      <c r="P436" t="n">
        <v>0</v>
      </c>
      <c r="Q436" t="n">
        <v>0</v>
      </c>
      <c r="R436" s="2" t="inlineStr"/>
    </row>
    <row r="437" ht="15" customHeight="1">
      <c r="A437" t="inlineStr">
        <is>
          <t>A 14586-2020</t>
        </is>
      </c>
      <c r="B437" s="1" t="n">
        <v>43908</v>
      </c>
      <c r="C437" s="1" t="n">
        <v>45354</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17101-2020</t>
        </is>
      </c>
      <c r="B438" s="1" t="n">
        <v>43914</v>
      </c>
      <c r="C438" s="1" t="n">
        <v>45354</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17098-2020</t>
        </is>
      </c>
      <c r="B439" s="1" t="n">
        <v>43914</v>
      </c>
      <c r="C439" s="1" t="n">
        <v>45354</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17007-2020</t>
        </is>
      </c>
      <c r="B440" s="1" t="n">
        <v>43921</v>
      </c>
      <c r="C440" s="1" t="n">
        <v>45354</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17069-2020</t>
        </is>
      </c>
      <c r="B441" s="1" t="n">
        <v>43921</v>
      </c>
      <c r="C441" s="1" t="n">
        <v>45354</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19125-2020</t>
        </is>
      </c>
      <c r="B442" s="1" t="n">
        <v>43936</v>
      </c>
      <c r="C442" s="1" t="n">
        <v>45354</v>
      </c>
      <c r="D442" t="inlineStr">
        <is>
          <t>VÄSTERNORRLANDS LÄN</t>
        </is>
      </c>
      <c r="E442" t="inlineStr">
        <is>
          <t>ÅNGE</t>
        </is>
      </c>
      <c r="G442" t="n">
        <v>1.9</v>
      </c>
      <c r="H442" t="n">
        <v>0</v>
      </c>
      <c r="I442" t="n">
        <v>0</v>
      </c>
      <c r="J442" t="n">
        <v>0</v>
      </c>
      <c r="K442" t="n">
        <v>0</v>
      </c>
      <c r="L442" t="n">
        <v>0</v>
      </c>
      <c r="M442" t="n">
        <v>0</v>
      </c>
      <c r="N442" t="n">
        <v>0</v>
      </c>
      <c r="O442" t="n">
        <v>0</v>
      </c>
      <c r="P442" t="n">
        <v>0</v>
      </c>
      <c r="Q442" t="n">
        <v>0</v>
      </c>
      <c r="R442" s="2" t="inlineStr"/>
    </row>
    <row r="443" ht="15" customHeight="1">
      <c r="A443" t="inlineStr">
        <is>
          <t>A 19619-2020</t>
        </is>
      </c>
      <c r="B443" s="1" t="n">
        <v>43941</v>
      </c>
      <c r="C443" s="1" t="n">
        <v>45354</v>
      </c>
      <c r="D443" t="inlineStr">
        <is>
          <t>VÄSTERNORRLANDS LÄN</t>
        </is>
      </c>
      <c r="E443" t="inlineStr">
        <is>
          <t>ÅNGE</t>
        </is>
      </c>
      <c r="G443" t="n">
        <v>4.6</v>
      </c>
      <c r="H443" t="n">
        <v>0</v>
      </c>
      <c r="I443" t="n">
        <v>0</v>
      </c>
      <c r="J443" t="n">
        <v>0</v>
      </c>
      <c r="K443" t="n">
        <v>0</v>
      </c>
      <c r="L443" t="n">
        <v>0</v>
      </c>
      <c r="M443" t="n">
        <v>0</v>
      </c>
      <c r="N443" t="n">
        <v>0</v>
      </c>
      <c r="O443" t="n">
        <v>0</v>
      </c>
      <c r="P443" t="n">
        <v>0</v>
      </c>
      <c r="Q443" t="n">
        <v>0</v>
      </c>
      <c r="R443" s="2" t="inlineStr"/>
    </row>
    <row r="444" ht="15" customHeight="1">
      <c r="A444" t="inlineStr">
        <is>
          <t>A 20079-2020</t>
        </is>
      </c>
      <c r="B444" s="1" t="n">
        <v>43943</v>
      </c>
      <c r="C444" s="1" t="n">
        <v>45354</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20211-2020</t>
        </is>
      </c>
      <c r="B445" s="1" t="n">
        <v>43944</v>
      </c>
      <c r="C445" s="1" t="n">
        <v>45354</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20192-2020</t>
        </is>
      </c>
      <c r="B446" s="1" t="n">
        <v>43944</v>
      </c>
      <c r="C446" s="1" t="n">
        <v>45354</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20820-2020</t>
        </is>
      </c>
      <c r="B447" s="1" t="n">
        <v>43949</v>
      </c>
      <c r="C447" s="1" t="n">
        <v>45354</v>
      </c>
      <c r="D447" t="inlineStr">
        <is>
          <t>VÄSTERNORRLANDS LÄN</t>
        </is>
      </c>
      <c r="E447" t="inlineStr">
        <is>
          <t>ÅNGE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21207-2020</t>
        </is>
      </c>
      <c r="B448" s="1" t="n">
        <v>43951</v>
      </c>
      <c r="C448" s="1" t="n">
        <v>45354</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21763-2020</t>
        </is>
      </c>
      <c r="B449" s="1" t="n">
        <v>43957</v>
      </c>
      <c r="C449" s="1" t="n">
        <v>45354</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22041-2020</t>
        </is>
      </c>
      <c r="B450" s="1" t="n">
        <v>43959</v>
      </c>
      <c r="C450" s="1" t="n">
        <v>45354</v>
      </c>
      <c r="D450" t="inlineStr">
        <is>
          <t>VÄSTERNORRLANDS LÄN</t>
        </is>
      </c>
      <c r="E450" t="inlineStr">
        <is>
          <t>ÅNGE</t>
        </is>
      </c>
      <c r="G450" t="n">
        <v>4.5</v>
      </c>
      <c r="H450" t="n">
        <v>0</v>
      </c>
      <c r="I450" t="n">
        <v>0</v>
      </c>
      <c r="J450" t="n">
        <v>0</v>
      </c>
      <c r="K450" t="n">
        <v>0</v>
      </c>
      <c r="L450" t="n">
        <v>0</v>
      </c>
      <c r="M450" t="n">
        <v>0</v>
      </c>
      <c r="N450" t="n">
        <v>0</v>
      </c>
      <c r="O450" t="n">
        <v>0</v>
      </c>
      <c r="P450" t="n">
        <v>0</v>
      </c>
      <c r="Q450" t="n">
        <v>0</v>
      </c>
      <c r="R450" s="2" t="inlineStr"/>
    </row>
    <row r="451" ht="15" customHeight="1">
      <c r="A451" t="inlineStr">
        <is>
          <t>A 22039-2020</t>
        </is>
      </c>
      <c r="B451" s="1" t="n">
        <v>43959</v>
      </c>
      <c r="C451" s="1" t="n">
        <v>45354</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22552-2020</t>
        </is>
      </c>
      <c r="B452" s="1" t="n">
        <v>43963</v>
      </c>
      <c r="C452" s="1" t="n">
        <v>45354</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22690-2020</t>
        </is>
      </c>
      <c r="B453" s="1" t="n">
        <v>43963</v>
      </c>
      <c r="C453" s="1" t="n">
        <v>45354</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22911-2020</t>
        </is>
      </c>
      <c r="B454" s="1" t="n">
        <v>43964</v>
      </c>
      <c r="C454" s="1" t="n">
        <v>45354</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22907-2020</t>
        </is>
      </c>
      <c r="B455" s="1" t="n">
        <v>43964</v>
      </c>
      <c r="C455" s="1" t="n">
        <v>45354</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22909-2020</t>
        </is>
      </c>
      <c r="B456" s="1" t="n">
        <v>43964</v>
      </c>
      <c r="C456" s="1" t="n">
        <v>45354</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23352-2020</t>
        </is>
      </c>
      <c r="B457" s="1" t="n">
        <v>43966</v>
      </c>
      <c r="C457" s="1" t="n">
        <v>45354</v>
      </c>
      <c r="D457" t="inlineStr">
        <is>
          <t>VÄSTERNORRLANDS LÄN</t>
        </is>
      </c>
      <c r="E457" t="inlineStr">
        <is>
          <t>ÅNGE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23660-2020</t>
        </is>
      </c>
      <c r="B458" s="1" t="n">
        <v>43969</v>
      </c>
      <c r="C458" s="1" t="n">
        <v>45354</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24353-2020</t>
        </is>
      </c>
      <c r="B459" s="1" t="n">
        <v>43976</v>
      </c>
      <c r="C459" s="1" t="n">
        <v>45354</v>
      </c>
      <c r="D459" t="inlineStr">
        <is>
          <t>VÄSTERNORRLANDS LÄN</t>
        </is>
      </c>
      <c r="E459" t="inlineStr">
        <is>
          <t>ÅNGE</t>
        </is>
      </c>
      <c r="G459" t="n">
        <v>3.2</v>
      </c>
      <c r="H459" t="n">
        <v>0</v>
      </c>
      <c r="I459" t="n">
        <v>0</v>
      </c>
      <c r="J459" t="n">
        <v>0</v>
      </c>
      <c r="K459" t="n">
        <v>0</v>
      </c>
      <c r="L459" t="n">
        <v>0</v>
      </c>
      <c r="M459" t="n">
        <v>0</v>
      </c>
      <c r="N459" t="n">
        <v>0</v>
      </c>
      <c r="O459" t="n">
        <v>0</v>
      </c>
      <c r="P459" t="n">
        <v>0</v>
      </c>
      <c r="Q459" t="n">
        <v>0</v>
      </c>
      <c r="R459" s="2" t="inlineStr"/>
    </row>
    <row r="460" ht="15" customHeight="1">
      <c r="A460" t="inlineStr">
        <is>
          <t>A 24411-2020</t>
        </is>
      </c>
      <c r="B460" s="1" t="n">
        <v>43976</v>
      </c>
      <c r="C460" s="1" t="n">
        <v>45354</v>
      </c>
      <c r="D460" t="inlineStr">
        <is>
          <t>VÄSTERNORRLANDS LÄN</t>
        </is>
      </c>
      <c r="E460" t="inlineStr">
        <is>
          <t>ÅNGE</t>
        </is>
      </c>
      <c r="G460" t="n">
        <v>5.6</v>
      </c>
      <c r="H460" t="n">
        <v>0</v>
      </c>
      <c r="I460" t="n">
        <v>0</v>
      </c>
      <c r="J460" t="n">
        <v>0</v>
      </c>
      <c r="K460" t="n">
        <v>0</v>
      </c>
      <c r="L460" t="n">
        <v>0</v>
      </c>
      <c r="M460" t="n">
        <v>0</v>
      </c>
      <c r="N460" t="n">
        <v>0</v>
      </c>
      <c r="O460" t="n">
        <v>0</v>
      </c>
      <c r="P460" t="n">
        <v>0</v>
      </c>
      <c r="Q460" t="n">
        <v>0</v>
      </c>
      <c r="R460" s="2" t="inlineStr"/>
    </row>
    <row r="461" ht="15" customHeight="1">
      <c r="A461" t="inlineStr">
        <is>
          <t>A 24361-2020</t>
        </is>
      </c>
      <c r="B461" s="1" t="n">
        <v>43976</v>
      </c>
      <c r="C461" s="1" t="n">
        <v>45354</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24696-2020</t>
        </is>
      </c>
      <c r="B462" s="1" t="n">
        <v>43978</v>
      </c>
      <c r="C462" s="1" t="n">
        <v>45354</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24857-2020</t>
        </is>
      </c>
      <c r="B463" s="1" t="n">
        <v>43978</v>
      </c>
      <c r="C463" s="1" t="n">
        <v>45354</v>
      </c>
      <c r="D463" t="inlineStr">
        <is>
          <t>VÄSTERNORRLANDS LÄN</t>
        </is>
      </c>
      <c r="E463" t="inlineStr">
        <is>
          <t>ÅNGE</t>
        </is>
      </c>
      <c r="G463" t="n">
        <v>5</v>
      </c>
      <c r="H463" t="n">
        <v>0</v>
      </c>
      <c r="I463" t="n">
        <v>0</v>
      </c>
      <c r="J463" t="n">
        <v>0</v>
      </c>
      <c r="K463" t="n">
        <v>0</v>
      </c>
      <c r="L463" t="n">
        <v>0</v>
      </c>
      <c r="M463" t="n">
        <v>0</v>
      </c>
      <c r="N463" t="n">
        <v>0</v>
      </c>
      <c r="O463" t="n">
        <v>0</v>
      </c>
      <c r="P463" t="n">
        <v>0</v>
      </c>
      <c r="Q463" t="n">
        <v>0</v>
      </c>
      <c r="R463" s="2" t="inlineStr"/>
    </row>
    <row r="464" ht="15" customHeight="1">
      <c r="A464" t="inlineStr">
        <is>
          <t>A 24859-2020</t>
        </is>
      </c>
      <c r="B464" s="1" t="n">
        <v>43978</v>
      </c>
      <c r="C464" s="1" t="n">
        <v>45354</v>
      </c>
      <c r="D464" t="inlineStr">
        <is>
          <t>VÄSTERNORRLANDS LÄN</t>
        </is>
      </c>
      <c r="E464" t="inlineStr">
        <is>
          <t>ÅNGE</t>
        </is>
      </c>
      <c r="G464" t="n">
        <v>3.7</v>
      </c>
      <c r="H464" t="n">
        <v>0</v>
      </c>
      <c r="I464" t="n">
        <v>0</v>
      </c>
      <c r="J464" t="n">
        <v>0</v>
      </c>
      <c r="K464" t="n">
        <v>0</v>
      </c>
      <c r="L464" t="n">
        <v>0</v>
      </c>
      <c r="M464" t="n">
        <v>0</v>
      </c>
      <c r="N464" t="n">
        <v>0</v>
      </c>
      <c r="O464" t="n">
        <v>0</v>
      </c>
      <c r="P464" t="n">
        <v>0</v>
      </c>
      <c r="Q464" t="n">
        <v>0</v>
      </c>
      <c r="R464" s="2" t="inlineStr"/>
    </row>
    <row r="465" ht="15" customHeight="1">
      <c r="A465" t="inlineStr">
        <is>
          <t>A 25370-2020</t>
        </is>
      </c>
      <c r="B465" s="1" t="n">
        <v>43980</v>
      </c>
      <c r="C465" s="1" t="n">
        <v>45354</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26447-2020</t>
        </is>
      </c>
      <c r="B466" s="1" t="n">
        <v>43987</v>
      </c>
      <c r="C466" s="1" t="n">
        <v>45354</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27773-2020</t>
        </is>
      </c>
      <c r="B467" s="1" t="n">
        <v>43992</v>
      </c>
      <c r="C467" s="1" t="n">
        <v>45354</v>
      </c>
      <c r="D467" t="inlineStr">
        <is>
          <t>VÄSTERNORRLANDS LÄN</t>
        </is>
      </c>
      <c r="E467" t="inlineStr">
        <is>
          <t>ÅNGE</t>
        </is>
      </c>
      <c r="G467" t="n">
        <v>7.2</v>
      </c>
      <c r="H467" t="n">
        <v>0</v>
      </c>
      <c r="I467" t="n">
        <v>0</v>
      </c>
      <c r="J467" t="n">
        <v>0</v>
      </c>
      <c r="K467" t="n">
        <v>0</v>
      </c>
      <c r="L467" t="n">
        <v>0</v>
      </c>
      <c r="M467" t="n">
        <v>0</v>
      </c>
      <c r="N467" t="n">
        <v>0</v>
      </c>
      <c r="O467" t="n">
        <v>0</v>
      </c>
      <c r="P467" t="n">
        <v>0</v>
      </c>
      <c r="Q467" t="n">
        <v>0</v>
      </c>
      <c r="R467" s="2" t="inlineStr"/>
    </row>
    <row r="468" ht="15" customHeight="1">
      <c r="A468" t="inlineStr">
        <is>
          <t>A 28064-2020</t>
        </is>
      </c>
      <c r="B468" s="1" t="n">
        <v>43997</v>
      </c>
      <c r="C468" s="1" t="n">
        <v>45354</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28890-2020</t>
        </is>
      </c>
      <c r="B469" s="1" t="n">
        <v>44000</v>
      </c>
      <c r="C469" s="1" t="n">
        <v>45354</v>
      </c>
      <c r="D469" t="inlineStr">
        <is>
          <t>VÄSTERNORRLANDS LÄN</t>
        </is>
      </c>
      <c r="E469" t="inlineStr">
        <is>
          <t>ÅNGE</t>
        </is>
      </c>
      <c r="G469" t="n">
        <v>15.2</v>
      </c>
      <c r="H469" t="n">
        <v>0</v>
      </c>
      <c r="I469" t="n">
        <v>0</v>
      </c>
      <c r="J469" t="n">
        <v>0</v>
      </c>
      <c r="K469" t="n">
        <v>0</v>
      </c>
      <c r="L469" t="n">
        <v>0</v>
      </c>
      <c r="M469" t="n">
        <v>0</v>
      </c>
      <c r="N469" t="n">
        <v>0</v>
      </c>
      <c r="O469" t="n">
        <v>0</v>
      </c>
      <c r="P469" t="n">
        <v>0</v>
      </c>
      <c r="Q469" t="n">
        <v>0</v>
      </c>
      <c r="R469" s="2" t="inlineStr"/>
    </row>
    <row r="470" ht="15" customHeight="1">
      <c r="A470" t="inlineStr">
        <is>
          <t>A 28832-2020</t>
        </is>
      </c>
      <c r="B470" s="1" t="n">
        <v>44000</v>
      </c>
      <c r="C470" s="1" t="n">
        <v>45354</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29950-2020</t>
        </is>
      </c>
      <c r="B471" s="1" t="n">
        <v>44006</v>
      </c>
      <c r="C471" s="1" t="n">
        <v>45354</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31079-2020</t>
        </is>
      </c>
      <c r="B472" s="1" t="n">
        <v>44011</v>
      </c>
      <c r="C472" s="1" t="n">
        <v>45354</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31643-2020</t>
        </is>
      </c>
      <c r="B473" s="1" t="n">
        <v>44013</v>
      </c>
      <c r="C473" s="1" t="n">
        <v>45354</v>
      </c>
      <c r="D473" t="inlineStr">
        <is>
          <t>VÄSTERNORRLANDS LÄN</t>
        </is>
      </c>
      <c r="E473" t="inlineStr">
        <is>
          <t>ÅNGE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31867-2020</t>
        </is>
      </c>
      <c r="B474" s="1" t="n">
        <v>44014</v>
      </c>
      <c r="C474" s="1" t="n">
        <v>45354</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31926-2020</t>
        </is>
      </c>
      <c r="B475" s="1" t="n">
        <v>44014</v>
      </c>
      <c r="C475" s="1" t="n">
        <v>45354</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32299-2020</t>
        </is>
      </c>
      <c r="B476" s="1" t="n">
        <v>44015</v>
      </c>
      <c r="C476" s="1" t="n">
        <v>45354</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32303-2020</t>
        </is>
      </c>
      <c r="B477" s="1" t="n">
        <v>44015</v>
      </c>
      <c r="C477" s="1" t="n">
        <v>45354</v>
      </c>
      <c r="D477" t="inlineStr">
        <is>
          <t>VÄSTERNORRLANDS LÄN</t>
        </is>
      </c>
      <c r="E477" t="inlineStr">
        <is>
          <t>ÅNGE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32760-2020</t>
        </is>
      </c>
      <c r="B478" s="1" t="n">
        <v>44019</v>
      </c>
      <c r="C478" s="1" t="n">
        <v>45354</v>
      </c>
      <c r="D478" t="inlineStr">
        <is>
          <t>VÄSTERNORRLANDS LÄN</t>
        </is>
      </c>
      <c r="E478" t="inlineStr">
        <is>
          <t>ÅNGE</t>
        </is>
      </c>
      <c r="F478" t="inlineStr">
        <is>
          <t>SCA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33442-2020</t>
        </is>
      </c>
      <c r="B479" s="1" t="n">
        <v>44023</v>
      </c>
      <c r="C479" s="1" t="n">
        <v>45354</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33619-2020</t>
        </is>
      </c>
      <c r="B480" s="1" t="n">
        <v>44026</v>
      </c>
      <c r="C480" s="1" t="n">
        <v>45354</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33524-2020</t>
        </is>
      </c>
      <c r="B481" s="1" t="n">
        <v>44025</v>
      </c>
      <c r="C481" s="1" t="n">
        <v>45354</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34175-2020</t>
        </is>
      </c>
      <c r="B482" s="1" t="n">
        <v>44029</v>
      </c>
      <c r="C482" s="1" t="n">
        <v>45354</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34237-2020</t>
        </is>
      </c>
      <c r="B483" s="1" t="n">
        <v>44029</v>
      </c>
      <c r="C483" s="1" t="n">
        <v>45354</v>
      </c>
      <c r="D483" t="inlineStr">
        <is>
          <t>VÄSTERNORRLANDS LÄN</t>
        </is>
      </c>
      <c r="E483" t="inlineStr">
        <is>
          <t>ÅNGE</t>
        </is>
      </c>
      <c r="G483" t="n">
        <v>5.3</v>
      </c>
      <c r="H483" t="n">
        <v>0</v>
      </c>
      <c r="I483" t="n">
        <v>0</v>
      </c>
      <c r="J483" t="n">
        <v>0</v>
      </c>
      <c r="K483" t="n">
        <v>0</v>
      </c>
      <c r="L483" t="n">
        <v>0</v>
      </c>
      <c r="M483" t="n">
        <v>0</v>
      </c>
      <c r="N483" t="n">
        <v>0</v>
      </c>
      <c r="O483" t="n">
        <v>0</v>
      </c>
      <c r="P483" t="n">
        <v>0</v>
      </c>
      <c r="Q483" t="n">
        <v>0</v>
      </c>
      <c r="R483" s="2" t="inlineStr"/>
    </row>
    <row r="484" ht="15" customHeight="1">
      <c r="A484" t="inlineStr">
        <is>
          <t>A 34420-2020</t>
        </is>
      </c>
      <c r="B484" s="1" t="n">
        <v>44032</v>
      </c>
      <c r="C484" s="1" t="n">
        <v>45354</v>
      </c>
      <c r="D484" t="inlineStr">
        <is>
          <t>VÄSTERNORRLANDS LÄN</t>
        </is>
      </c>
      <c r="E484" t="inlineStr">
        <is>
          <t>ÅNGE</t>
        </is>
      </c>
      <c r="G484" t="n">
        <v>13.9</v>
      </c>
      <c r="H484" t="n">
        <v>0</v>
      </c>
      <c r="I484" t="n">
        <v>0</v>
      </c>
      <c r="J484" t="n">
        <v>0</v>
      </c>
      <c r="K484" t="n">
        <v>0</v>
      </c>
      <c r="L484" t="n">
        <v>0</v>
      </c>
      <c r="M484" t="n">
        <v>0</v>
      </c>
      <c r="N484" t="n">
        <v>0</v>
      </c>
      <c r="O484" t="n">
        <v>0</v>
      </c>
      <c r="P484" t="n">
        <v>0</v>
      </c>
      <c r="Q484" t="n">
        <v>0</v>
      </c>
      <c r="R484" s="2" t="inlineStr"/>
    </row>
    <row r="485" ht="15" customHeight="1">
      <c r="A485" t="inlineStr">
        <is>
          <t>A 34400-2020</t>
        </is>
      </c>
      <c r="B485" s="1" t="n">
        <v>44032</v>
      </c>
      <c r="C485" s="1" t="n">
        <v>45354</v>
      </c>
      <c r="D485" t="inlineStr">
        <is>
          <t>VÄSTERNORRLANDS LÄN</t>
        </is>
      </c>
      <c r="E485" t="inlineStr">
        <is>
          <t>ÅNGE</t>
        </is>
      </c>
      <c r="G485" t="n">
        <v>3.8</v>
      </c>
      <c r="H485" t="n">
        <v>0</v>
      </c>
      <c r="I485" t="n">
        <v>0</v>
      </c>
      <c r="J485" t="n">
        <v>0</v>
      </c>
      <c r="K485" t="n">
        <v>0</v>
      </c>
      <c r="L485" t="n">
        <v>0</v>
      </c>
      <c r="M485" t="n">
        <v>0</v>
      </c>
      <c r="N485" t="n">
        <v>0</v>
      </c>
      <c r="O485" t="n">
        <v>0</v>
      </c>
      <c r="P485" t="n">
        <v>0</v>
      </c>
      <c r="Q485" t="n">
        <v>0</v>
      </c>
      <c r="R485" s="2" t="inlineStr"/>
    </row>
    <row r="486" ht="15" customHeight="1">
      <c r="A486" t="inlineStr">
        <is>
          <t>A 34677-2020</t>
        </is>
      </c>
      <c r="B486" s="1" t="n">
        <v>44035</v>
      </c>
      <c r="C486" s="1" t="n">
        <v>45354</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34777-2020</t>
        </is>
      </c>
      <c r="B487" s="1" t="n">
        <v>44035</v>
      </c>
      <c r="C487" s="1" t="n">
        <v>45354</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34928-2020</t>
        </is>
      </c>
      <c r="B488" s="1" t="n">
        <v>44036</v>
      </c>
      <c r="C488" s="1" t="n">
        <v>45354</v>
      </c>
      <c r="D488" t="inlineStr">
        <is>
          <t>VÄSTERNORRLANDS LÄN</t>
        </is>
      </c>
      <c r="E488" t="inlineStr">
        <is>
          <t>ÅNGE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34974-2020</t>
        </is>
      </c>
      <c r="B489" s="1" t="n">
        <v>44039</v>
      </c>
      <c r="C489" s="1" t="n">
        <v>45354</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35419-2020</t>
        </is>
      </c>
      <c r="B490" s="1" t="n">
        <v>44042</v>
      </c>
      <c r="C490" s="1" t="n">
        <v>45354</v>
      </c>
      <c r="D490" t="inlineStr">
        <is>
          <t>VÄSTERNORRLANDS LÄN</t>
        </is>
      </c>
      <c r="E490" t="inlineStr">
        <is>
          <t>ÅNGE</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38871-2020</t>
        </is>
      </c>
      <c r="B491" s="1" t="n">
        <v>44062</v>
      </c>
      <c r="C491" s="1" t="n">
        <v>45354</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38894-2020</t>
        </is>
      </c>
      <c r="B492" s="1" t="n">
        <v>44062</v>
      </c>
      <c r="C492" s="1" t="n">
        <v>45354</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39919-2020</t>
        </is>
      </c>
      <c r="B493" s="1" t="n">
        <v>44063</v>
      </c>
      <c r="C493" s="1" t="n">
        <v>45354</v>
      </c>
      <c r="D493" t="inlineStr">
        <is>
          <t>VÄSTERNORRLANDS LÄN</t>
        </is>
      </c>
      <c r="E493" t="inlineStr">
        <is>
          <t>ÅNGE</t>
        </is>
      </c>
      <c r="G493" t="n">
        <v>4.9</v>
      </c>
      <c r="H493" t="n">
        <v>0</v>
      </c>
      <c r="I493" t="n">
        <v>0</v>
      </c>
      <c r="J493" t="n">
        <v>0</v>
      </c>
      <c r="K493" t="n">
        <v>0</v>
      </c>
      <c r="L493" t="n">
        <v>0</v>
      </c>
      <c r="M493" t="n">
        <v>0</v>
      </c>
      <c r="N493" t="n">
        <v>0</v>
      </c>
      <c r="O493" t="n">
        <v>0</v>
      </c>
      <c r="P493" t="n">
        <v>0</v>
      </c>
      <c r="Q493" t="n">
        <v>0</v>
      </c>
      <c r="R493" s="2" t="inlineStr"/>
    </row>
    <row r="494" ht="15" customHeight="1">
      <c r="A494" t="inlineStr">
        <is>
          <t>A 39561-2020</t>
        </is>
      </c>
      <c r="B494" s="1" t="n">
        <v>44064</v>
      </c>
      <c r="C494" s="1" t="n">
        <v>45354</v>
      </c>
      <c r="D494" t="inlineStr">
        <is>
          <t>VÄSTERNORRLANDS LÄN</t>
        </is>
      </c>
      <c r="E494" t="inlineStr">
        <is>
          <t>ÅNGE</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41366-2020</t>
        </is>
      </c>
      <c r="B495" s="1" t="n">
        <v>44071</v>
      </c>
      <c r="C495" s="1" t="n">
        <v>45354</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42296-2020</t>
        </is>
      </c>
      <c r="B496" s="1" t="n">
        <v>44076</v>
      </c>
      <c r="C496" s="1" t="n">
        <v>45354</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42289-2020</t>
        </is>
      </c>
      <c r="B497" s="1" t="n">
        <v>44076</v>
      </c>
      <c r="C497" s="1" t="n">
        <v>45354</v>
      </c>
      <c r="D497" t="inlineStr">
        <is>
          <t>VÄSTERNORRLANDS LÄN</t>
        </is>
      </c>
      <c r="E497" t="inlineStr">
        <is>
          <t>ÅNGE</t>
        </is>
      </c>
      <c r="G497" t="n">
        <v>16.7</v>
      </c>
      <c r="H497" t="n">
        <v>0</v>
      </c>
      <c r="I497" t="n">
        <v>0</v>
      </c>
      <c r="J497" t="n">
        <v>0</v>
      </c>
      <c r="K497" t="n">
        <v>0</v>
      </c>
      <c r="L497" t="n">
        <v>0</v>
      </c>
      <c r="M497" t="n">
        <v>0</v>
      </c>
      <c r="N497" t="n">
        <v>0</v>
      </c>
      <c r="O497" t="n">
        <v>0</v>
      </c>
      <c r="P497" t="n">
        <v>0</v>
      </c>
      <c r="Q497" t="n">
        <v>0</v>
      </c>
      <c r="R497" s="2" t="inlineStr"/>
    </row>
    <row r="498" ht="15" customHeight="1">
      <c r="A498" t="inlineStr">
        <is>
          <t>A 42299-2020</t>
        </is>
      </c>
      <c r="B498" s="1" t="n">
        <v>44076</v>
      </c>
      <c r="C498" s="1" t="n">
        <v>45354</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42751-2020</t>
        </is>
      </c>
      <c r="B499" s="1" t="n">
        <v>44077</v>
      </c>
      <c r="C499" s="1" t="n">
        <v>45354</v>
      </c>
      <c r="D499" t="inlineStr">
        <is>
          <t>VÄSTERNORRLANDS LÄN</t>
        </is>
      </c>
      <c r="E499" t="inlineStr">
        <is>
          <t>ÅNGE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43093-2020</t>
        </is>
      </c>
      <c r="B500" s="1" t="n">
        <v>44078</v>
      </c>
      <c r="C500" s="1" t="n">
        <v>45354</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45808-2020</t>
        </is>
      </c>
      <c r="B501" s="1" t="n">
        <v>44090</v>
      </c>
      <c r="C501" s="1" t="n">
        <v>45354</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45813-2020</t>
        </is>
      </c>
      <c r="B502" s="1" t="n">
        <v>44090</v>
      </c>
      <c r="C502" s="1" t="n">
        <v>45354</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45812-2020</t>
        </is>
      </c>
      <c r="B503" s="1" t="n">
        <v>44090</v>
      </c>
      <c r="C503" s="1" t="n">
        <v>45354</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45810-2020</t>
        </is>
      </c>
      <c r="B504" s="1" t="n">
        <v>44090</v>
      </c>
      <c r="C504" s="1" t="n">
        <v>45354</v>
      </c>
      <c r="D504" t="inlineStr">
        <is>
          <t>VÄSTERNORRLANDS LÄN</t>
        </is>
      </c>
      <c r="E504" t="inlineStr">
        <is>
          <t>ÅNGE</t>
        </is>
      </c>
      <c r="G504" t="n">
        <v>0.2</v>
      </c>
      <c r="H504" t="n">
        <v>0</v>
      </c>
      <c r="I504" t="n">
        <v>0</v>
      </c>
      <c r="J504" t="n">
        <v>0</v>
      </c>
      <c r="K504" t="n">
        <v>0</v>
      </c>
      <c r="L504" t="n">
        <v>0</v>
      </c>
      <c r="M504" t="n">
        <v>0</v>
      </c>
      <c r="N504" t="n">
        <v>0</v>
      </c>
      <c r="O504" t="n">
        <v>0</v>
      </c>
      <c r="P504" t="n">
        <v>0</v>
      </c>
      <c r="Q504" t="n">
        <v>0</v>
      </c>
      <c r="R504" s="2" t="inlineStr"/>
    </row>
    <row r="505" ht="15" customHeight="1">
      <c r="A505" t="inlineStr">
        <is>
          <t>A 47041-2020</t>
        </is>
      </c>
      <c r="B505" s="1" t="n">
        <v>44091</v>
      </c>
      <c r="C505" s="1" t="n">
        <v>45354</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46518-2020</t>
        </is>
      </c>
      <c r="B506" s="1" t="n">
        <v>44095</v>
      </c>
      <c r="C506" s="1" t="n">
        <v>45354</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47411-2020</t>
        </is>
      </c>
      <c r="B507" s="1" t="n">
        <v>44095</v>
      </c>
      <c r="C507" s="1" t="n">
        <v>45354</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47127-2020</t>
        </is>
      </c>
      <c r="B508" s="1" t="n">
        <v>44096</v>
      </c>
      <c r="C508" s="1" t="n">
        <v>45354</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48238-2020</t>
        </is>
      </c>
      <c r="B509" s="1" t="n">
        <v>44097</v>
      </c>
      <c r="C509" s="1" t="n">
        <v>45354</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48810-2020</t>
        </is>
      </c>
      <c r="B510" s="1" t="n">
        <v>44103</v>
      </c>
      <c r="C510" s="1" t="n">
        <v>45354</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c r="U510">
        <f>HYPERLINK("https://klasma.github.io/Logging_2260/knärot/A 48810-2020 karta knärot.png", "A 48810-2020")</f>
        <v/>
      </c>
      <c r="V510">
        <f>HYPERLINK("https://klasma.github.io/Logging_2260/klagomål/A 48810-2020 FSC-klagomål.docx", "A 48810-2020")</f>
        <v/>
      </c>
      <c r="W510">
        <f>HYPERLINK("https://klasma.github.io/Logging_2260/klagomålsmail/A 48810-2020 FSC-klagomål mail.docx", "A 48810-2020")</f>
        <v/>
      </c>
      <c r="X510">
        <f>HYPERLINK("https://klasma.github.io/Logging_2260/tillsyn/A 48810-2020 tillsynsbegäran.docx", "A 48810-2020")</f>
        <v/>
      </c>
      <c r="Y510">
        <f>HYPERLINK("https://klasma.github.io/Logging_2260/tillsynsmail/A 48810-2020 tillsynsbegäran mail.docx", "A 48810-2020")</f>
        <v/>
      </c>
    </row>
    <row r="511" ht="15" customHeight="1">
      <c r="A511" t="inlineStr">
        <is>
          <t>A 49343-2020</t>
        </is>
      </c>
      <c r="B511" s="1" t="n">
        <v>44105</v>
      </c>
      <c r="C511" s="1" t="n">
        <v>45354</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49346-2020</t>
        </is>
      </c>
      <c r="B512" s="1" t="n">
        <v>44105</v>
      </c>
      <c r="C512" s="1" t="n">
        <v>45354</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49656-2020</t>
        </is>
      </c>
      <c r="B513" s="1" t="n">
        <v>44106</v>
      </c>
      <c r="C513" s="1" t="n">
        <v>45354</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49838-2020</t>
        </is>
      </c>
      <c r="B514" s="1" t="n">
        <v>44106</v>
      </c>
      <c r="C514" s="1" t="n">
        <v>45354</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50265-2020</t>
        </is>
      </c>
      <c r="B515" s="1" t="n">
        <v>44109</v>
      </c>
      <c r="C515" s="1" t="n">
        <v>45354</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50259-2020</t>
        </is>
      </c>
      <c r="B516" s="1" t="n">
        <v>44109</v>
      </c>
      <c r="C516" s="1" t="n">
        <v>45354</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50260-2020</t>
        </is>
      </c>
      <c r="B517" s="1" t="n">
        <v>44109</v>
      </c>
      <c r="C517" s="1" t="n">
        <v>45354</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50258-2020</t>
        </is>
      </c>
      <c r="B518" s="1" t="n">
        <v>44109</v>
      </c>
      <c r="C518" s="1" t="n">
        <v>45354</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50268-2020</t>
        </is>
      </c>
      <c r="B519" s="1" t="n">
        <v>44109</v>
      </c>
      <c r="C519" s="1" t="n">
        <v>45354</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52232-2020</t>
        </is>
      </c>
      <c r="B520" s="1" t="n">
        <v>44111</v>
      </c>
      <c r="C520" s="1" t="n">
        <v>45354</v>
      </c>
      <c r="D520" t="inlineStr">
        <is>
          <t>VÄSTERNORRLANDS LÄN</t>
        </is>
      </c>
      <c r="E520" t="inlineStr">
        <is>
          <t>ÅNGE</t>
        </is>
      </c>
      <c r="G520" t="n">
        <v>1.1</v>
      </c>
      <c r="H520" t="n">
        <v>0</v>
      </c>
      <c r="I520" t="n">
        <v>0</v>
      </c>
      <c r="J520" t="n">
        <v>0</v>
      </c>
      <c r="K520" t="n">
        <v>0</v>
      </c>
      <c r="L520" t="n">
        <v>0</v>
      </c>
      <c r="M520" t="n">
        <v>0</v>
      </c>
      <c r="N520" t="n">
        <v>0</v>
      </c>
      <c r="O520" t="n">
        <v>0</v>
      </c>
      <c r="P520" t="n">
        <v>0</v>
      </c>
      <c r="Q520" t="n">
        <v>0</v>
      </c>
      <c r="R520" s="2" t="inlineStr"/>
    </row>
    <row r="521" ht="15" customHeight="1">
      <c r="A521" t="inlineStr">
        <is>
          <t>A 51610-2020</t>
        </is>
      </c>
      <c r="B521" s="1" t="n">
        <v>44113</v>
      </c>
      <c r="C521" s="1" t="n">
        <v>45354</v>
      </c>
      <c r="D521" t="inlineStr">
        <is>
          <t>VÄSTERNORRLANDS LÄN</t>
        </is>
      </c>
      <c r="E521" t="inlineStr">
        <is>
          <t>ÅNGE</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52504-2020</t>
        </is>
      </c>
      <c r="B522" s="1" t="n">
        <v>44113</v>
      </c>
      <c r="C522" s="1" t="n">
        <v>45354</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51755-2020</t>
        </is>
      </c>
      <c r="B523" s="1" t="n">
        <v>44114</v>
      </c>
      <c r="C523" s="1" t="n">
        <v>45354</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52637-2020</t>
        </is>
      </c>
      <c r="B524" s="1" t="n">
        <v>44118</v>
      </c>
      <c r="C524" s="1" t="n">
        <v>45354</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52629-2020</t>
        </is>
      </c>
      <c r="B525" s="1" t="n">
        <v>44118</v>
      </c>
      <c r="C525" s="1" t="n">
        <v>45354</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52633-2020</t>
        </is>
      </c>
      <c r="B526" s="1" t="n">
        <v>44118</v>
      </c>
      <c r="C526" s="1" t="n">
        <v>45354</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52627-2020</t>
        </is>
      </c>
      <c r="B527" s="1" t="n">
        <v>44118</v>
      </c>
      <c r="C527" s="1" t="n">
        <v>45354</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53171-2020</t>
        </is>
      </c>
      <c r="B528" s="1" t="n">
        <v>44120</v>
      </c>
      <c r="C528" s="1" t="n">
        <v>45354</v>
      </c>
      <c r="D528" t="inlineStr">
        <is>
          <t>VÄSTERNORRLANDS LÄN</t>
        </is>
      </c>
      <c r="E528" t="inlineStr">
        <is>
          <t>ÅNGE</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53173-2020</t>
        </is>
      </c>
      <c r="B529" s="1" t="n">
        <v>44120</v>
      </c>
      <c r="C529" s="1" t="n">
        <v>45354</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53170-2020</t>
        </is>
      </c>
      <c r="B530" s="1" t="n">
        <v>44120</v>
      </c>
      <c r="C530" s="1" t="n">
        <v>45354</v>
      </c>
      <c r="D530" t="inlineStr">
        <is>
          <t>VÄSTERNORRLANDS LÄN</t>
        </is>
      </c>
      <c r="E530" t="inlineStr">
        <is>
          <t>ÅNGE</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53175-2020</t>
        </is>
      </c>
      <c r="B531" s="1" t="n">
        <v>44120</v>
      </c>
      <c r="C531" s="1" t="n">
        <v>45354</v>
      </c>
      <c r="D531" t="inlineStr">
        <is>
          <t>VÄSTERNORRLANDS LÄN</t>
        </is>
      </c>
      <c r="E531" t="inlineStr">
        <is>
          <t>ÅNGE</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53174-2020</t>
        </is>
      </c>
      <c r="B532" s="1" t="n">
        <v>44120</v>
      </c>
      <c r="C532" s="1" t="n">
        <v>45354</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53474-2020</t>
        </is>
      </c>
      <c r="B533" s="1" t="n">
        <v>44123</v>
      </c>
      <c r="C533" s="1" t="n">
        <v>45354</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53660-2020</t>
        </is>
      </c>
      <c r="B534" s="1" t="n">
        <v>44124</v>
      </c>
      <c r="C534" s="1" t="n">
        <v>45354</v>
      </c>
      <c r="D534" t="inlineStr">
        <is>
          <t>VÄSTERNORRLANDS LÄN</t>
        </is>
      </c>
      <c r="E534" t="inlineStr">
        <is>
          <t>ÅNGE</t>
        </is>
      </c>
      <c r="G534" t="n">
        <v>5.4</v>
      </c>
      <c r="H534" t="n">
        <v>0</v>
      </c>
      <c r="I534" t="n">
        <v>0</v>
      </c>
      <c r="J534" t="n">
        <v>0</v>
      </c>
      <c r="K534" t="n">
        <v>0</v>
      </c>
      <c r="L534" t="n">
        <v>0</v>
      </c>
      <c r="M534" t="n">
        <v>0</v>
      </c>
      <c r="N534" t="n">
        <v>0</v>
      </c>
      <c r="O534" t="n">
        <v>0</v>
      </c>
      <c r="P534" t="n">
        <v>0</v>
      </c>
      <c r="Q534" t="n">
        <v>0</v>
      </c>
      <c r="R534" s="2" t="inlineStr"/>
    </row>
    <row r="535" ht="15" customHeight="1">
      <c r="A535" t="inlineStr">
        <is>
          <t>A 53661-2020</t>
        </is>
      </c>
      <c r="B535" s="1" t="n">
        <v>44124</v>
      </c>
      <c r="C535" s="1" t="n">
        <v>45354</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53962-2020</t>
        </is>
      </c>
      <c r="B536" s="1" t="n">
        <v>44125</v>
      </c>
      <c r="C536" s="1" t="n">
        <v>45354</v>
      </c>
      <c r="D536" t="inlineStr">
        <is>
          <t>VÄSTERNORRLANDS LÄN</t>
        </is>
      </c>
      <c r="E536" t="inlineStr">
        <is>
          <t>ÅNGE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54471-2020</t>
        </is>
      </c>
      <c r="B537" s="1" t="n">
        <v>44126</v>
      </c>
      <c r="C537" s="1" t="n">
        <v>45354</v>
      </c>
      <c r="D537" t="inlineStr">
        <is>
          <t>VÄSTERNORRLANDS LÄN</t>
        </is>
      </c>
      <c r="E537" t="inlineStr">
        <is>
          <t>ÅNGE</t>
        </is>
      </c>
      <c r="G537" t="n">
        <v>3.1</v>
      </c>
      <c r="H537" t="n">
        <v>0</v>
      </c>
      <c r="I537" t="n">
        <v>0</v>
      </c>
      <c r="J537" t="n">
        <v>0</v>
      </c>
      <c r="K537" t="n">
        <v>0</v>
      </c>
      <c r="L537" t="n">
        <v>0</v>
      </c>
      <c r="M537" t="n">
        <v>0</v>
      </c>
      <c r="N537" t="n">
        <v>0</v>
      </c>
      <c r="O537" t="n">
        <v>0</v>
      </c>
      <c r="P537" t="n">
        <v>0</v>
      </c>
      <c r="Q537" t="n">
        <v>0</v>
      </c>
      <c r="R537" s="2" t="inlineStr"/>
    </row>
    <row r="538" ht="15" customHeight="1">
      <c r="A538" t="inlineStr">
        <is>
          <t>A 54469-2020</t>
        </is>
      </c>
      <c r="B538" s="1" t="n">
        <v>44126</v>
      </c>
      <c r="C538" s="1" t="n">
        <v>45354</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55317-2020</t>
        </is>
      </c>
      <c r="B539" s="1" t="n">
        <v>44130</v>
      </c>
      <c r="C539" s="1" t="n">
        <v>45354</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57111-2020</t>
        </is>
      </c>
      <c r="B540" s="1" t="n">
        <v>44139</v>
      </c>
      <c r="C540" s="1" t="n">
        <v>45354</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59222-2020</t>
        </is>
      </c>
      <c r="B541" s="1" t="n">
        <v>44147</v>
      </c>
      <c r="C541" s="1" t="n">
        <v>45354</v>
      </c>
      <c r="D541" t="inlineStr">
        <is>
          <t>VÄSTERNORRLANDS LÄN</t>
        </is>
      </c>
      <c r="E541" t="inlineStr">
        <is>
          <t>ÅNGE</t>
        </is>
      </c>
      <c r="G541" t="n">
        <v>7.6</v>
      </c>
      <c r="H541" t="n">
        <v>0</v>
      </c>
      <c r="I541" t="n">
        <v>0</v>
      </c>
      <c r="J541" t="n">
        <v>0</v>
      </c>
      <c r="K541" t="n">
        <v>0</v>
      </c>
      <c r="L541" t="n">
        <v>0</v>
      </c>
      <c r="M541" t="n">
        <v>0</v>
      </c>
      <c r="N541" t="n">
        <v>0</v>
      </c>
      <c r="O541" t="n">
        <v>0</v>
      </c>
      <c r="P541" t="n">
        <v>0</v>
      </c>
      <c r="Q541" t="n">
        <v>0</v>
      </c>
      <c r="R541" s="2" t="inlineStr"/>
    </row>
    <row r="542" ht="15" customHeight="1">
      <c r="A542" t="inlineStr">
        <is>
          <t>A 60064-2020</t>
        </is>
      </c>
      <c r="B542" s="1" t="n">
        <v>44151</v>
      </c>
      <c r="C542" s="1" t="n">
        <v>45354</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60401-2020</t>
        </is>
      </c>
      <c r="B543" s="1" t="n">
        <v>44152</v>
      </c>
      <c r="C543" s="1" t="n">
        <v>45354</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62640-2020</t>
        </is>
      </c>
      <c r="B544" s="1" t="n">
        <v>44161</v>
      </c>
      <c r="C544" s="1" t="n">
        <v>45354</v>
      </c>
      <c r="D544" t="inlineStr">
        <is>
          <t>VÄSTERNORRLANDS LÄN</t>
        </is>
      </c>
      <c r="E544" t="inlineStr">
        <is>
          <t>ÅNGE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45354</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45354</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45354</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45354</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45354</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45354</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45354</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45354</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45354</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45354</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45354</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45354</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45354</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45354</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45354</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45354</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45354</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45354</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45354</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45354</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45354</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45354</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45354</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45354</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45354</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45354</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45354</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45354</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45354</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45354</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45354</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45354</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45354</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45354</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45354</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45354</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45354</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45354</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45354</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45354</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45354</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45354</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45354</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45354</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45354</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45354</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45354</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45354</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45354</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45354</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45354</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45354</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45354</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45354</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45354</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45354</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45354</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45354</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45354</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45354</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45354</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45354</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45354</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45354</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45354</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45354</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45354</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45354</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27954-2021</t>
        </is>
      </c>
      <c r="B613" s="1" t="n">
        <v>44354</v>
      </c>
      <c r="C613" s="1" t="n">
        <v>45354</v>
      </c>
      <c r="D613" t="inlineStr">
        <is>
          <t>VÄSTERNORRLANDS LÄN</t>
        </is>
      </c>
      <c r="E613" t="inlineStr">
        <is>
          <t>ÅNGE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29048-2021</t>
        </is>
      </c>
      <c r="B614" s="1" t="n">
        <v>44358</v>
      </c>
      <c r="C614" s="1" t="n">
        <v>45354</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29180-2021</t>
        </is>
      </c>
      <c r="B615" s="1" t="n">
        <v>44358</v>
      </c>
      <c r="C615" s="1" t="n">
        <v>45354</v>
      </c>
      <c r="D615" t="inlineStr">
        <is>
          <t>VÄSTERNORRLANDS LÄN</t>
        </is>
      </c>
      <c r="E615" t="inlineStr">
        <is>
          <t>ÅNGE</t>
        </is>
      </c>
      <c r="G615" t="n">
        <v>5.3</v>
      </c>
      <c r="H615" t="n">
        <v>0</v>
      </c>
      <c r="I615" t="n">
        <v>0</v>
      </c>
      <c r="J615" t="n">
        <v>0</v>
      </c>
      <c r="K615" t="n">
        <v>0</v>
      </c>
      <c r="L615" t="n">
        <v>0</v>
      </c>
      <c r="M615" t="n">
        <v>0</v>
      </c>
      <c r="N615" t="n">
        <v>0</v>
      </c>
      <c r="O615" t="n">
        <v>0</v>
      </c>
      <c r="P615" t="n">
        <v>0</v>
      </c>
      <c r="Q615" t="n">
        <v>0</v>
      </c>
      <c r="R615" s="2" t="inlineStr"/>
    </row>
    <row r="616" ht="15" customHeight="1">
      <c r="A616" t="inlineStr">
        <is>
          <t>A 29187-2021</t>
        </is>
      </c>
      <c r="B616" s="1" t="n">
        <v>44358</v>
      </c>
      <c r="C616" s="1" t="n">
        <v>45354</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29191-2021</t>
        </is>
      </c>
      <c r="B617" s="1" t="n">
        <v>44358</v>
      </c>
      <c r="C617" s="1" t="n">
        <v>45354</v>
      </c>
      <c r="D617" t="inlineStr">
        <is>
          <t>VÄSTERNORRLANDS LÄN</t>
        </is>
      </c>
      <c r="E617" t="inlineStr">
        <is>
          <t>ÅNGE</t>
        </is>
      </c>
      <c r="G617" t="n">
        <v>1.7</v>
      </c>
      <c r="H617" t="n">
        <v>0</v>
      </c>
      <c r="I617" t="n">
        <v>0</v>
      </c>
      <c r="J617" t="n">
        <v>0</v>
      </c>
      <c r="K617" t="n">
        <v>0</v>
      </c>
      <c r="L617" t="n">
        <v>0</v>
      </c>
      <c r="M617" t="n">
        <v>0</v>
      </c>
      <c r="N617" t="n">
        <v>0</v>
      </c>
      <c r="O617" t="n">
        <v>0</v>
      </c>
      <c r="P617" t="n">
        <v>0</v>
      </c>
      <c r="Q617" t="n">
        <v>0</v>
      </c>
      <c r="R617" s="2" t="inlineStr"/>
    </row>
    <row r="618" ht="15" customHeight="1">
      <c r="A618" t="inlineStr">
        <is>
          <t>A 29390-2021</t>
        </is>
      </c>
      <c r="B618" s="1" t="n">
        <v>44361</v>
      </c>
      <c r="C618" s="1" t="n">
        <v>45354</v>
      </c>
      <c r="D618" t="inlineStr">
        <is>
          <t>VÄSTERNORRLANDS LÄN</t>
        </is>
      </c>
      <c r="E618" t="inlineStr">
        <is>
          <t>ÅNGE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29509-2021</t>
        </is>
      </c>
      <c r="B619" s="1" t="n">
        <v>44361</v>
      </c>
      <c r="C619" s="1" t="n">
        <v>45354</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30286-2021</t>
        </is>
      </c>
      <c r="B620" s="1" t="n">
        <v>44363</v>
      </c>
      <c r="C620" s="1" t="n">
        <v>45354</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45354</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45354</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45354</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45354</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45354</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45354</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45354</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45354</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45354</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45354</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45354</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45354</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45354</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45354</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45354</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45354</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45354</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45354</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45354</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45354</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45354</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45354</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45354</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45354</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45354</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45354</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45354</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45354</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45354</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45354</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45354</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45354</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45354</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45354</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45354</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45354</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45354</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45354</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45354</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45354</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45354</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45354</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45354</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45354</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45354</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45354</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45354</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45354</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45354</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45354</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45354</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45354</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45354</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45354</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45354</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45354</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45354</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45354</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45354</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45354</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45354</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45354</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45354</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45354</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45354</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45354</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45354</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45354</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45354</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45354</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45354</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45354</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45354</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45354</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45354</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45354</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45354</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45354</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45354</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45354</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45354</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45354</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45354</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45354</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45354</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45354</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45354</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45354</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45354</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45354</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45354</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45354</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45354</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45354</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45354</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45354</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45354</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45354</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45354</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45354</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45354</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45354</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45354</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45354</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45354</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45354</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45354</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45354</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45354</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45354</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45354</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45354</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45354</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45354</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45354</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45354</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45354</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45354</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45354</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45354</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45354</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45354</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45354</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45354</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45354</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45354</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45354</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45354</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45354</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45354</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45354</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45354</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45354</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45354</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45354</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45354</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45354</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45354</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45354</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45354</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45354</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45354</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45354</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45354</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45354</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45354</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45354</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45354</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45354</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45354</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45354</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45354</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45354</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45354</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45354</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45354</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45354</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45354</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45354</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45354</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45354</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45354</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45354</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45354</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45354</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45354</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45354</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45354</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45354</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45354</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45354</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45354</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45354</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45354</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45354</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45354</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45354</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45354</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45354</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45354</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45354</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45354</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45354</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45354</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45354</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45354</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45354</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45354</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45354</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45354</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45354</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45354</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45354</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45354</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45354</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45354</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45354</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45354</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45354</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45354</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45354</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45354</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45354</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45354</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45354</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45354</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45354</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45354</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45354</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45354</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45354</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45354</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45354</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45354</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45354</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45354</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45354</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45354</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45354</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45354</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45354</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45354</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45354</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45354</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45354</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45354</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45354</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45354</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45354</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45354</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45354</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45354</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45354</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45354</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45354</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45354</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45354</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45354</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45354</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45354</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45354</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45354</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45354</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45354</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45354</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45354</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45354</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45354</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45354</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45354</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45354</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45354</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45354</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45354</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45354</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45354</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45354</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45354</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45354</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45354</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45354</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45354</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45354</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45354</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45354</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45354</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45354</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45354</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45354</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45354</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45354</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45354</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45354</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45354</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45354</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45354</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45354</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45354</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45354</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45354</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45354</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45354</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45354</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45354</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45354</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45354</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45354</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45354</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45354</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45354</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45354</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45354</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45354</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45354</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45354</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45354</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45354</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45354</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45354</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45354</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45354</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45354</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45354</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45354</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45354</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45354</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45354</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45354</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45354</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45354</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45354</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45354</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45354</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45354</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45354</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45354</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45354</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45354</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45354</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45354</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45354</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45354</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45354</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45354</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45354</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45354</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45354</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45354</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45354</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45354</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45354</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45354</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45354</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45354</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45354</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45354</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45354</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45354</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45354</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45354</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45354</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45354</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45354</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45354</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45354</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45354</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45354</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45354</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45354</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45354</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45354</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45354</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45354</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45354</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45354</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45354</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45354</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45354</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45354</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45354</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45354</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45354</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45354</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45354</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45354</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45354</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45354</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45354</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45354</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45354</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45354</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45354</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45354</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45354</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45354</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45354</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45354</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45354</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45354</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45354</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45354</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45354</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45354</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45354</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45354</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45354</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45354</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45354</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45354</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45354</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45354</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45354</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45354</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45354</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45354</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45354</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45354</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45354</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45354</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45354</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45354</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45354</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45354</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45354</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45354</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45354</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45354</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45354</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45354</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45354</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45354</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45354</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45354</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45354</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45354</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45354</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45354</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45354</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45354</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45354</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45354</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45354</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45354</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45354</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45354</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45354</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45354</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45354</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45354</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45354</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45354</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45354</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45354</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45354</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45354</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45354</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45354</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45354</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45354</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45354</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45354</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45354</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45354</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45354</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45354</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45354</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45354</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45354</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45354</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45354</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45354</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45354</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45354</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45354</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45354</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45354</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45354</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45354</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45354</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45354</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45354</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45354</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45354</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45354</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45354</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45354</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45354</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45354</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45354</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45354</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45354</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45354</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45354</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45354</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45354</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45354</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45354</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45354</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45354</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45354</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45354</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45354</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45354</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45354</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45354</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45354</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45354</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45354</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45354</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45354</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45354</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45354</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45354</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45354</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45354</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45354</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45354</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45354</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45354</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45354</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45354</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45354</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45354</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45354</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45354</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45354</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45354</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45354</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45354</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45354</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45354</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45354</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45354</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45354</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45354</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45354</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45354</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45354</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45354</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45354</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45354</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45354</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45354</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45354</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45354</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45354</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45354</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45354</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45354</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45354</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45354</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45354</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45354</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45354</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45354</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45354</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45354</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45354</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45354</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45354</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45354</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45354</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45354</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45354</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45354</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45354</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45354</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45354</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45354</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45354</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45354</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45354</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45354</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45354</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45354</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45354</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45354</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45354</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45354</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45354</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45354</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45354</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45354</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45354</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45354</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45354</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45354</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45354</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45354</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45354</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45354</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45354</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45354</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45354</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45354</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45354</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45354</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45354</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45354</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45354</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45354</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45354</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45354</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45354</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45354</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45354</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45354</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45354</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45354</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45354</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45354</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45354</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45354</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45354</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45354</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45354</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45354</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45354</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45354</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45354</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45354</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45354</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45354</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45354</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45354</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45354</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45354</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45354</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45354</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45354</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45354</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45354</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45354</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45354</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45354</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45354</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45354</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45354</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45354</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45354</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45354</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45354</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45354</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45354</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45354</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45354</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45354</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45354</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45354</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45354</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45354</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45354</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45354</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45354</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45354</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45354</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45354</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45354</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45354</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45354</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45354</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45354</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45354</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45354</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45354</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45354</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45354</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45354</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45354</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45354</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45354</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45354</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45354</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45354</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45354</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45354</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45354</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45354</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45354</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45354</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45354</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45354</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45354</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45354</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45354</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45354</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45354</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45354</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45354</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45354</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45354</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45354</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45354</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45354</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45354</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45354</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45354</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45354</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45354</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45354</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45354</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45354</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45354</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45354</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45354</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45354</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45354</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45354</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45354</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45354</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45354</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45354</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45354</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45354</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45354</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45354</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45354</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45354</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45354</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45354</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45354</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45354</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45354</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45354</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45354</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45354</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45354</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45354</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45354</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45354</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45354</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45354</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45354</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45354</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45354</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45354</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45354</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45354</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45354</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45354</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45354</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45354</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45354</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45354</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45354</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45354</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45354</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45354</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45354</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45354</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45354</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45354</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45354</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45354</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45354</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45354</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45354</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45354</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45354</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45354</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45354</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45354</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45354</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45354</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45354</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45354</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45354</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45354</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45354</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45354</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45354</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45354</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45354</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45354</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45354</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45354</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45354</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45354</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45354</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45354</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45354</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45354</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45354</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45354</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45354</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45354</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45354</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45354</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45354</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45354</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45354</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45354</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45354</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45354</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45354</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45354</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45354</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45354</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45354</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45354</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45354</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45354</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45354</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45354</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45354</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45354</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45354</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45354</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45354</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45354</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45354</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45354</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45354</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45354</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45354</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45354</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45354</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45354</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45354</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45354</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45354</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45354</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45354</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45354</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45354</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45354</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45354</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45354</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45354</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45354</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45354</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45354</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45354</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45354</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45354</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45354</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45354</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45354</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45354</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45354</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45354</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45354</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45354</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45354</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45354</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45354</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45354</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45354</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45354</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45354</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45354</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45354</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45354</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45354</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45354</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45354</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45354</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45354</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45354</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45354</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45354</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45354</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45354</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45354</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45354</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45354</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45354</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45354</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45354</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45354</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45354</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45354</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45354</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45354</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45354</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45354</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45354</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45354</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45354</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45354</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45354</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45354</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45354</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45354</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45354</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45354</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45354</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45354</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45354</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45354</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45354</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45354</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45354</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45354</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45354</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45354</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45354</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45354</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45354</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45354</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45354</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45354</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45354</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45354</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45354</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45354</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45354</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45354</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45354</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45354</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45354</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45354</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45354</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45354</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45354</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45354</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45354</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45354</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45354</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45354</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45354</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45354</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45354</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45354</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45354</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45354</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45354</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45354</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45354</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45354</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45354</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45354</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45354</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45354</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45354</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45354</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45354</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45354</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45354</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45354</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45354</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45354</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45354</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45354</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45354</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45354</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45354</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45354</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45354</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45354</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45354</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45354</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45354</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45354</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45354</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45354</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45354</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45354</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45354</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45354</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45354</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45354</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45354</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45354</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45354</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45354</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45354</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45354</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45354</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45354</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45354</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45354</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45354</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45354</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45354</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45354</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45354</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45354</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45354</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45354</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45354</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45354</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45354</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45354</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45354</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45354</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45354</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45354</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45354</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45354</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45354</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45354</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45354</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45354</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45354</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45354</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45354</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45354</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45354</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45354</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45354</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45354</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45354</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45354</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45354</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45354</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45354</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45354</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45354</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45354</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45354</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45354</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45354</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45354</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45354</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45354</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45354</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45354</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45354</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45354</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45354</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45354</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45354</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45354</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45354</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45354</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45354</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45354</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45354</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45354</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45354</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45354</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45354</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45354</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45354</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45354</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45354</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45354</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45354</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45354</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45354</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45354</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45354</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45354</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45354</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45354</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45354</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45354</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45354</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45354</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45354</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45354</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45354</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45354</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45354</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45354</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45354</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45354</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45354</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45354</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45354</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45354</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45354</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45354</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45354</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45354</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45354</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45354</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45354</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45354</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45354</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45354</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45354</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45354</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45354</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45354</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45354</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45354</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45354</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45354</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45354</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45354</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45354</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45354</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45354</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6680-2024</t>
        </is>
      </c>
      <c r="B1691" s="1" t="n">
        <v>45341</v>
      </c>
      <c r="C1691" s="1" t="n">
        <v>45354</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6684-2024</t>
        </is>
      </c>
      <c r="B1692" s="1" t="n">
        <v>45341</v>
      </c>
      <c r="C1692" s="1" t="n">
        <v>45354</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6691-2024</t>
        </is>
      </c>
      <c r="B1693" s="1" t="n">
        <v>45341</v>
      </c>
      <c r="C1693" s="1" t="n">
        <v>45354</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6685-2024</t>
        </is>
      </c>
      <c r="B1694" s="1" t="n">
        <v>45341</v>
      </c>
      <c r="C1694" s="1" t="n">
        <v>45354</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6689-2024</t>
        </is>
      </c>
      <c r="B1695" s="1" t="n">
        <v>45341</v>
      </c>
      <c r="C1695" s="1" t="n">
        <v>45354</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6686-2024</t>
        </is>
      </c>
      <c r="B1696" s="1" t="n">
        <v>45341</v>
      </c>
      <c r="C1696" s="1" t="n">
        <v>45354</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6690-2024</t>
        </is>
      </c>
      <c r="B1697" s="1" t="n">
        <v>45341</v>
      </c>
      <c r="C1697" s="1" t="n">
        <v>45354</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45354</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45354</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45354</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45354</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45354</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45354</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45354</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45354</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8025-2024</t>
        </is>
      </c>
      <c r="B1706" s="1" t="n">
        <v>45350</v>
      </c>
      <c r="C1706" s="1" t="n">
        <v>45354</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8226-2024</t>
        </is>
      </c>
      <c r="B1707" s="1" t="n">
        <v>45351</v>
      </c>
      <c r="C1707" s="1" t="n">
        <v>45354</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8413-2024</t>
        </is>
      </c>
      <c r="B1708" s="1" t="n">
        <v>45353</v>
      </c>
      <c r="C1708" s="1" t="n">
        <v>45354</v>
      </c>
      <c r="D1708" t="inlineStr">
        <is>
          <t>VÄSTERNORRLANDS LÄN</t>
        </is>
      </c>
      <c r="E1708" t="inlineStr">
        <is>
          <t>ÅNGE</t>
        </is>
      </c>
      <c r="F1708" t="inlineStr">
        <is>
          <t>SCA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8425-2024</t>
        </is>
      </c>
      <c r="B1709" s="1" t="n">
        <v>45353</v>
      </c>
      <c r="C1709" s="1" t="n">
        <v>45354</v>
      </c>
      <c r="D1709" t="inlineStr">
        <is>
          <t>VÄSTERNORRLANDS LÄN</t>
        </is>
      </c>
      <c r="E1709" t="inlineStr">
        <is>
          <t>ÅNGE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45354</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8426-2024</t>
        </is>
      </c>
      <c r="B1711" s="1" t="n">
        <v>45353</v>
      </c>
      <c r="C1711" s="1" t="n">
        <v>45354</v>
      </c>
      <c r="D1711" t="inlineStr">
        <is>
          <t>VÄSTERNORRLANDS LÄN</t>
        </is>
      </c>
      <c r="E1711" t="inlineStr">
        <is>
          <t>ÅNGE</t>
        </is>
      </c>
      <c r="F1711" t="inlineStr">
        <is>
          <t>SCA</t>
        </is>
      </c>
      <c r="G1711" t="n">
        <v>3.6</v>
      </c>
      <c r="H1711" t="n">
        <v>0</v>
      </c>
      <c r="I1711" t="n">
        <v>0</v>
      </c>
      <c r="J1711" t="n">
        <v>0</v>
      </c>
      <c r="K1711" t="n">
        <v>0</v>
      </c>
      <c r="L1711" t="n">
        <v>0</v>
      </c>
      <c r="M1711" t="n">
        <v>0</v>
      </c>
      <c r="N1711" t="n">
        <v>0</v>
      </c>
      <c r="O1711" t="n">
        <v>0</v>
      </c>
      <c r="P1711" t="n">
        <v>0</v>
      </c>
      <c r="Q1711" t="n">
        <v>0</v>
      </c>
      <c r="R1711" s="2" t="inlineStr"/>
    </row>
    <row r="1712">
      <c r="A1712" t="inlineStr">
        <is>
          <t>A 8435-2024</t>
        </is>
      </c>
      <c r="B1712" s="1" t="n">
        <v>45353</v>
      </c>
      <c r="C1712" s="1" t="n">
        <v>45354</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2024-03-03T13:02:35Z</dcterms:created>
  <dcterms:modified xmlns:dcterms="http://purl.org/dc/terms/" xmlns:xsi="http://www.w3.org/2001/XMLSchema-instance" xsi:type="dcterms:W3CDTF">2024-03-03T13:02:36Z</dcterms:modified>
</cp:coreProperties>
</file>