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45878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45878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45878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45878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45878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45878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45878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45878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45878</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45878</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45878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45878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45878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45878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45878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45878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45878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45878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45878</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45878</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45878</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45878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45878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45878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45878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45878</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45878</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45878</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45878</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45878</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45878</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45878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45878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38081-2020</t>
        </is>
      </c>
      <c r="B35" s="1" t="n">
        <v>44057</v>
      </c>
      <c r="C35" s="1" t="n">
        <v>45878</v>
      </c>
      <c r="D35" t="inlineStr">
        <is>
          <t>VÄSTERNORRLANDS LÄN</t>
        </is>
      </c>
      <c r="E35" t="inlineStr">
        <is>
          <t>ÅNGE</t>
        </is>
      </c>
      <c r="F35" t="inlineStr">
        <is>
          <t>SCA</t>
        </is>
      </c>
      <c r="G35" t="n">
        <v>3.5</v>
      </c>
      <c r="H35" t="n">
        <v>1</v>
      </c>
      <c r="I35" t="n">
        <v>6</v>
      </c>
      <c r="J35" t="n">
        <v>3</v>
      </c>
      <c r="K35" t="n">
        <v>2</v>
      </c>
      <c r="L35" t="n">
        <v>0</v>
      </c>
      <c r="M35" t="n">
        <v>0</v>
      </c>
      <c r="N35" t="n">
        <v>0</v>
      </c>
      <c r="O35" t="n">
        <v>5</v>
      </c>
      <c r="P35" t="n">
        <v>2</v>
      </c>
      <c r="Q35" t="n">
        <v>11</v>
      </c>
      <c r="R35" s="2" t="inlineStr">
        <is>
          <t>Fläckporing
Gräddporing
Gränsticka
Lunglav
Stiftgelélav
Bårdlav
Gulnål
Plattlummer
Skinnlav
Stuplav
Vedticka</t>
        </is>
      </c>
      <c r="S35">
        <f>HYPERLINK("https://klasma.github.io/Logging_2260/artfynd/A 38081-2020 artfynd.xlsx", "A 38081-2020")</f>
        <v/>
      </c>
      <c r="T35">
        <f>HYPERLINK("https://klasma.github.io/Logging_2260/kartor/A 38081-2020 karta.png", "A 38081-2020")</f>
        <v/>
      </c>
      <c r="V35">
        <f>HYPERLINK("https://klasma.github.io/Logging_2260/klagomål/A 38081-2020 FSC-klagomål.docx", "A 38081-2020")</f>
        <v/>
      </c>
      <c r="W35">
        <f>HYPERLINK("https://klasma.github.io/Logging_2260/klagomålsmail/A 38081-2020 FSC-klagomål mail.docx", "A 38081-2020")</f>
        <v/>
      </c>
      <c r="X35">
        <f>HYPERLINK("https://klasma.github.io/Logging_2260/tillsyn/A 38081-2020 tillsynsbegäran.docx", "A 38081-2020")</f>
        <v/>
      </c>
      <c r="Y35">
        <f>HYPERLINK("https://klasma.github.io/Logging_2260/tillsynsmail/A 38081-2020 tillsynsbegäran mail.docx", "A 38081-2020")</f>
        <v/>
      </c>
    </row>
    <row r="36" ht="15" customHeight="1">
      <c r="A36" t="inlineStr">
        <is>
          <t>A 14887-2022</t>
        </is>
      </c>
      <c r="B36" s="1" t="n">
        <v>44656</v>
      </c>
      <c r="C36" s="1" t="n">
        <v>45878</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45878</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45878</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6429-2022</t>
        </is>
      </c>
      <c r="B39" s="1" t="n">
        <v>44600</v>
      </c>
      <c r="C39" s="1" t="n">
        <v>45878</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45878</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45878</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45878</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45878</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45878</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30474-2025</t>
        </is>
      </c>
      <c r="B45" s="1" t="n">
        <v>45828.34430555555</v>
      </c>
      <c r="C45" s="1" t="n">
        <v>45878</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45878</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45878</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45878</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45878</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45878</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33783-2025</t>
        </is>
      </c>
      <c r="B51" s="1" t="n">
        <v>45842.40699074074</v>
      </c>
      <c r="C51" s="1" t="n">
        <v>45878</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26473-2025</t>
        </is>
      </c>
      <c r="B52" s="1" t="n">
        <v>45807</v>
      </c>
      <c r="C52" s="1" t="n">
        <v>45878</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45878</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45878</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40545-2024</t>
        </is>
      </c>
      <c r="B55" s="1" t="n">
        <v>45555</v>
      </c>
      <c r="C55" s="1" t="n">
        <v>45878</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57843-2024</t>
        </is>
      </c>
      <c r="B56" s="1" t="n">
        <v>45631</v>
      </c>
      <c r="C56" s="1" t="n">
        <v>45878</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10086-2023</t>
        </is>
      </c>
      <c r="B57" s="1" t="n">
        <v>44985</v>
      </c>
      <c r="C57" s="1" t="n">
        <v>45878</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31113-2025</t>
        </is>
      </c>
      <c r="B58" s="1" t="n">
        <v>45832.61501157407</v>
      </c>
      <c r="C58" s="1" t="n">
        <v>45878</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39065-2023</t>
        </is>
      </c>
      <c r="B59" s="1" t="n">
        <v>45163</v>
      </c>
      <c r="C59" s="1" t="n">
        <v>45878</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45878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45878</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45878</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45878</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45878</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45878</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45878</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45878</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27955-2021</t>
        </is>
      </c>
      <c r="B68" s="1" t="n">
        <v>44354</v>
      </c>
      <c r="C68" s="1" t="n">
        <v>45878</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31509-2024</t>
        </is>
      </c>
      <c r="B69" s="1" t="n">
        <v>45505</v>
      </c>
      <c r="C69" s="1" t="n">
        <v>45878</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45878</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45878</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45878</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55147-2024</t>
        </is>
      </c>
      <c r="B73" s="1" t="n">
        <v>45621.49002314815</v>
      </c>
      <c r="C73" s="1" t="n">
        <v>45878</v>
      </c>
      <c r="D73" t="inlineStr">
        <is>
          <t>VÄSTERNORRLANDS LÄN</t>
        </is>
      </c>
      <c r="E73" t="inlineStr">
        <is>
          <t>ÅNGE</t>
        </is>
      </c>
      <c r="F73" t="inlineStr">
        <is>
          <t>SCA</t>
        </is>
      </c>
      <c r="G73" t="n">
        <v>1.3</v>
      </c>
      <c r="H73" t="n">
        <v>0</v>
      </c>
      <c r="I73" t="n">
        <v>1</v>
      </c>
      <c r="J73" t="n">
        <v>4</v>
      </c>
      <c r="K73" t="n">
        <v>1</v>
      </c>
      <c r="L73" t="n">
        <v>0</v>
      </c>
      <c r="M73" t="n">
        <v>0</v>
      </c>
      <c r="N73" t="n">
        <v>0</v>
      </c>
      <c r="O73" t="n">
        <v>5</v>
      </c>
      <c r="P73" t="n">
        <v>1</v>
      </c>
      <c r="Q73" t="n">
        <v>6</v>
      </c>
      <c r="R73" s="2" t="inlineStr">
        <is>
          <t>Fläckporing
Blågrå svartspik
Garnlav
Mörk kolflarnlav
Violettgrå tagellav
Dropptaggsvamp</t>
        </is>
      </c>
      <c r="S73">
        <f>HYPERLINK("https://klasma.github.io/Logging_2260/artfynd/A 55147-2024 artfynd.xlsx", "A 55147-2024")</f>
        <v/>
      </c>
      <c r="T73">
        <f>HYPERLINK("https://klasma.github.io/Logging_2260/kartor/A 55147-2024 karta.png", "A 55147-2024")</f>
        <v/>
      </c>
      <c r="U73">
        <f>HYPERLINK("https://klasma.github.io/Logging_2260/knärot/A 55147-2024 karta knärot.png", "A 55147-2024")</f>
        <v/>
      </c>
      <c r="V73">
        <f>HYPERLINK("https://klasma.github.io/Logging_2260/klagomål/A 55147-2024 FSC-klagomål.docx", "A 55147-2024")</f>
        <v/>
      </c>
      <c r="W73">
        <f>HYPERLINK("https://klasma.github.io/Logging_2260/klagomålsmail/A 55147-2024 FSC-klagomål mail.docx", "A 55147-2024")</f>
        <v/>
      </c>
      <c r="X73">
        <f>HYPERLINK("https://klasma.github.io/Logging_2260/tillsyn/A 55147-2024 tillsynsbegäran.docx", "A 55147-2024")</f>
        <v/>
      </c>
      <c r="Y73">
        <f>HYPERLINK("https://klasma.github.io/Logging_2260/tillsynsmail/A 55147-2024 tillsynsbegäran mail.docx", "A 55147-2024")</f>
        <v/>
      </c>
    </row>
    <row r="74" ht="15" customHeight="1">
      <c r="A74" t="inlineStr">
        <is>
          <t>A 19010-2025</t>
        </is>
      </c>
      <c r="B74" s="1" t="n">
        <v>45764</v>
      </c>
      <c r="C74" s="1" t="n">
        <v>45878</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24073-2025</t>
        </is>
      </c>
      <c r="B75" s="1" t="n">
        <v>45796.54840277778</v>
      </c>
      <c r="C75" s="1" t="n">
        <v>45878</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55176-2024</t>
        </is>
      </c>
      <c r="B76" s="1" t="n">
        <v>45621</v>
      </c>
      <c r="C76" s="1" t="n">
        <v>45878</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45878</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45878</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45878</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13696-2023</t>
        </is>
      </c>
      <c r="B80" s="1" t="n">
        <v>45006</v>
      </c>
      <c r="C80" s="1" t="n">
        <v>45878</v>
      </c>
      <c r="D80" t="inlineStr">
        <is>
          <t>VÄSTERNORRLANDS LÄN</t>
        </is>
      </c>
      <c r="E80" t="inlineStr">
        <is>
          <t>ÅNGE</t>
        </is>
      </c>
      <c r="F80" t="inlineStr">
        <is>
          <t>SCA</t>
        </is>
      </c>
      <c r="G80" t="n">
        <v>47.6</v>
      </c>
      <c r="H80" t="n">
        <v>1</v>
      </c>
      <c r="I80" t="n">
        <v>0</v>
      </c>
      <c r="J80" t="n">
        <v>4</v>
      </c>
      <c r="K80" t="n">
        <v>1</v>
      </c>
      <c r="L80" t="n">
        <v>0</v>
      </c>
      <c r="M80" t="n">
        <v>0</v>
      </c>
      <c r="N80" t="n">
        <v>0</v>
      </c>
      <c r="O80" t="n">
        <v>5</v>
      </c>
      <c r="P80" t="n">
        <v>1</v>
      </c>
      <c r="Q80" t="n">
        <v>5</v>
      </c>
      <c r="R80" s="2" t="inlineStr">
        <is>
          <t>Knärot
Dvärgbägarlav
Knottrig blåslav
Mörk kolflarnlav
Nordtagging</t>
        </is>
      </c>
      <c r="S80">
        <f>HYPERLINK("https://klasma.github.io/Logging_2260/artfynd/A 13696-2023 artfynd.xlsx", "A 13696-2023")</f>
        <v/>
      </c>
      <c r="T80">
        <f>HYPERLINK("https://klasma.github.io/Logging_2260/kartor/A 13696-2023 karta.png", "A 13696-2023")</f>
        <v/>
      </c>
      <c r="U80">
        <f>HYPERLINK("https://klasma.github.io/Logging_2260/knärot/A 13696-2023 karta knärot.png", "A 13696-2023")</f>
        <v/>
      </c>
      <c r="V80">
        <f>HYPERLINK("https://klasma.github.io/Logging_2260/klagomål/A 13696-2023 FSC-klagomål.docx", "A 13696-2023")</f>
        <v/>
      </c>
      <c r="W80">
        <f>HYPERLINK("https://klasma.github.io/Logging_2260/klagomålsmail/A 13696-2023 FSC-klagomål mail.docx", "A 13696-2023")</f>
        <v/>
      </c>
      <c r="X80">
        <f>HYPERLINK("https://klasma.github.io/Logging_2260/tillsyn/A 13696-2023 tillsynsbegäran.docx", "A 13696-2023")</f>
        <v/>
      </c>
      <c r="Y80">
        <f>HYPERLINK("https://klasma.github.io/Logging_2260/tillsynsmail/A 13696-2023 tillsynsbegäran mail.docx", "A 13696-2023")</f>
        <v/>
      </c>
    </row>
    <row r="81" ht="15" customHeight="1">
      <c r="A81" t="inlineStr">
        <is>
          <t>A 32911-2024</t>
        </is>
      </c>
      <c r="B81" s="1" t="n">
        <v>45516</v>
      </c>
      <c r="C81" s="1" t="n">
        <v>45878</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45878</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45878</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52269-2024</t>
        </is>
      </c>
      <c r="B84" s="1" t="n">
        <v>45608.65660879629</v>
      </c>
      <c r="C84" s="1" t="n">
        <v>45878</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62640-2020</t>
        </is>
      </c>
      <c r="B85" s="1" t="n">
        <v>44161</v>
      </c>
      <c r="C85" s="1" t="n">
        <v>45878</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23601-2025</t>
        </is>
      </c>
      <c r="B86" s="1" t="n">
        <v>45792</v>
      </c>
      <c r="C86" s="1" t="n">
        <v>45878</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51065-2024</t>
        </is>
      </c>
      <c r="B87" s="1" t="n">
        <v>45603</v>
      </c>
      <c r="C87" s="1" t="n">
        <v>45878</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55004-2023</t>
        </is>
      </c>
      <c r="B88" s="1" t="n">
        <v>45236</v>
      </c>
      <c r="C88" s="1" t="n">
        <v>45878</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53169-2020</t>
        </is>
      </c>
      <c r="B89" s="1" t="n">
        <v>44120</v>
      </c>
      <c r="C89" s="1" t="n">
        <v>45878</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45878</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26953-2024</t>
        </is>
      </c>
      <c r="B91" s="1" t="n">
        <v>45470</v>
      </c>
      <c r="C91" s="1" t="n">
        <v>45878</v>
      </c>
      <c r="D91" t="inlineStr">
        <is>
          <t>VÄSTERNORRLANDS LÄN</t>
        </is>
      </c>
      <c r="E91" t="inlineStr">
        <is>
          <t>ÅNGE</t>
        </is>
      </c>
      <c r="F91" t="inlineStr">
        <is>
          <t>SCA</t>
        </is>
      </c>
      <c r="G91" t="n">
        <v>3.1</v>
      </c>
      <c r="H91" t="n">
        <v>0</v>
      </c>
      <c r="I91" t="n">
        <v>0</v>
      </c>
      <c r="J91" t="n">
        <v>4</v>
      </c>
      <c r="K91" t="n">
        <v>0</v>
      </c>
      <c r="L91" t="n">
        <v>0</v>
      </c>
      <c r="M91" t="n">
        <v>0</v>
      </c>
      <c r="N91" t="n">
        <v>0</v>
      </c>
      <c r="O91" t="n">
        <v>4</v>
      </c>
      <c r="P91" t="n">
        <v>0</v>
      </c>
      <c r="Q91" t="n">
        <v>4</v>
      </c>
      <c r="R91" s="2" t="inlineStr">
        <is>
          <t>Blågrå svartspik
Garnlav
Kolflarnlav
Mörk kolflarnlav</t>
        </is>
      </c>
      <c r="S91">
        <f>HYPERLINK("https://klasma.github.io/Logging_2260/artfynd/A 26953-2024 artfynd.xlsx", "A 26953-2024")</f>
        <v/>
      </c>
      <c r="T91">
        <f>HYPERLINK("https://klasma.github.io/Logging_2260/kartor/A 26953-2024 karta.png", "A 26953-2024")</f>
        <v/>
      </c>
      <c r="V91">
        <f>HYPERLINK("https://klasma.github.io/Logging_2260/klagomål/A 26953-2024 FSC-klagomål.docx", "A 26953-2024")</f>
        <v/>
      </c>
      <c r="W91">
        <f>HYPERLINK("https://klasma.github.io/Logging_2260/klagomålsmail/A 26953-2024 FSC-klagomål mail.docx", "A 26953-2024")</f>
        <v/>
      </c>
      <c r="X91">
        <f>HYPERLINK("https://klasma.github.io/Logging_2260/tillsyn/A 26953-2024 tillsynsbegäran.docx", "A 26953-2024")</f>
        <v/>
      </c>
      <c r="Y91">
        <f>HYPERLINK("https://klasma.github.io/Logging_2260/tillsynsmail/A 26953-2024 tillsynsbegäran mail.docx", "A 26953-2024")</f>
        <v/>
      </c>
    </row>
    <row r="92" ht="15" customHeight="1">
      <c r="A92" t="inlineStr">
        <is>
          <t>A 57299-2022</t>
        </is>
      </c>
      <c r="B92" s="1" t="n">
        <v>44895.95090277777</v>
      </c>
      <c r="C92" s="1" t="n">
        <v>45878</v>
      </c>
      <c r="D92" t="inlineStr">
        <is>
          <t>VÄSTERNORRLANDS LÄN</t>
        </is>
      </c>
      <c r="E92" t="inlineStr">
        <is>
          <t>ÅNGE</t>
        </is>
      </c>
      <c r="F92" t="inlineStr">
        <is>
          <t>SCA</t>
        </is>
      </c>
      <c r="G92" t="n">
        <v>3.4</v>
      </c>
      <c r="H92" t="n">
        <v>0</v>
      </c>
      <c r="I92" t="n">
        <v>0</v>
      </c>
      <c r="J92" t="n">
        <v>4</v>
      </c>
      <c r="K92" t="n">
        <v>0</v>
      </c>
      <c r="L92" t="n">
        <v>0</v>
      </c>
      <c r="M92" t="n">
        <v>0</v>
      </c>
      <c r="N92" t="n">
        <v>0</v>
      </c>
      <c r="O92" t="n">
        <v>4</v>
      </c>
      <c r="P92" t="n">
        <v>0</v>
      </c>
      <c r="Q92" t="n">
        <v>4</v>
      </c>
      <c r="R92" s="2" t="inlineStr">
        <is>
          <t>Garnlav
Lunglav
Ullticka
Violmussling</t>
        </is>
      </c>
      <c r="S92">
        <f>HYPERLINK("https://klasma.github.io/Logging_2260/artfynd/A 57299-2022 artfynd.xlsx", "A 57299-2022")</f>
        <v/>
      </c>
      <c r="T92">
        <f>HYPERLINK("https://klasma.github.io/Logging_2260/kartor/A 57299-2022 karta.png", "A 57299-2022")</f>
        <v/>
      </c>
      <c r="V92">
        <f>HYPERLINK("https://klasma.github.io/Logging_2260/klagomål/A 57299-2022 FSC-klagomål.docx", "A 57299-2022")</f>
        <v/>
      </c>
      <c r="W92">
        <f>HYPERLINK("https://klasma.github.io/Logging_2260/klagomålsmail/A 57299-2022 FSC-klagomål mail.docx", "A 57299-2022")</f>
        <v/>
      </c>
      <c r="X92">
        <f>HYPERLINK("https://klasma.github.io/Logging_2260/tillsyn/A 57299-2022 tillsynsbegäran.docx", "A 57299-2022")</f>
        <v/>
      </c>
      <c r="Y92">
        <f>HYPERLINK("https://klasma.github.io/Logging_2260/tillsynsmail/A 57299-2022 tillsynsbegäran mail.docx", "A 57299-2022")</f>
        <v/>
      </c>
    </row>
    <row r="93" ht="15" customHeight="1">
      <c r="A93" t="inlineStr">
        <is>
          <t>A 38326-2024</t>
        </is>
      </c>
      <c r="B93" s="1" t="n">
        <v>45545.67741898148</v>
      </c>
      <c r="C93" s="1" t="n">
        <v>45878</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723-2025</t>
        </is>
      </c>
      <c r="B94" s="1" t="n">
        <v>45665.38576388889</v>
      </c>
      <c r="C94" s="1" t="n">
        <v>45878</v>
      </c>
      <c r="D94" t="inlineStr">
        <is>
          <t>VÄSTERNORRLANDS LÄN</t>
        </is>
      </c>
      <c r="E94" t="inlineStr">
        <is>
          <t>ÅNGE</t>
        </is>
      </c>
      <c r="G94" t="n">
        <v>4.1</v>
      </c>
      <c r="H94" t="n">
        <v>2</v>
      </c>
      <c r="I94" t="n">
        <v>1</v>
      </c>
      <c r="J94" t="n">
        <v>1</v>
      </c>
      <c r="K94" t="n">
        <v>0</v>
      </c>
      <c r="L94" t="n">
        <v>0</v>
      </c>
      <c r="M94" t="n">
        <v>0</v>
      </c>
      <c r="N94" t="n">
        <v>0</v>
      </c>
      <c r="O94" t="n">
        <v>1</v>
      </c>
      <c r="P94" t="n">
        <v>0</v>
      </c>
      <c r="Q94" t="n">
        <v>4</v>
      </c>
      <c r="R94" s="2" t="inlineStr">
        <is>
          <t>Lunglav
Stuplav
Fläcknycklar
Revlummer</t>
        </is>
      </c>
      <c r="S94">
        <f>HYPERLINK("https://klasma.github.io/Logging_2260/artfynd/A 723-2025 artfynd.xlsx", "A 723-2025")</f>
        <v/>
      </c>
      <c r="T94">
        <f>HYPERLINK("https://klasma.github.io/Logging_2260/kartor/A 723-2025 karta.png", "A 723-2025")</f>
        <v/>
      </c>
      <c r="V94">
        <f>HYPERLINK("https://klasma.github.io/Logging_2260/klagomål/A 723-2025 FSC-klagomål.docx", "A 723-2025")</f>
        <v/>
      </c>
      <c r="W94">
        <f>HYPERLINK("https://klasma.github.io/Logging_2260/klagomålsmail/A 723-2025 FSC-klagomål mail.docx", "A 723-2025")</f>
        <v/>
      </c>
      <c r="X94">
        <f>HYPERLINK("https://klasma.github.io/Logging_2260/tillsyn/A 723-2025 tillsynsbegäran.docx", "A 723-2025")</f>
        <v/>
      </c>
      <c r="Y94">
        <f>HYPERLINK("https://klasma.github.io/Logging_2260/tillsynsmail/A 723-2025 tillsynsbegäran mail.docx", "A 723-2025")</f>
        <v/>
      </c>
    </row>
    <row r="95" ht="15" customHeight="1">
      <c r="A95" t="inlineStr">
        <is>
          <t>A 39176-2024</t>
        </is>
      </c>
      <c r="B95" s="1" t="n">
        <v>45548</v>
      </c>
      <c r="C95" s="1" t="n">
        <v>45878</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44558-2024</t>
        </is>
      </c>
      <c r="B96" s="1" t="n">
        <v>45574.47001157407</v>
      </c>
      <c r="C96" s="1" t="n">
        <v>45878</v>
      </c>
      <c r="D96" t="inlineStr">
        <is>
          <t>VÄSTERNORRLANDS LÄN</t>
        </is>
      </c>
      <c r="E96" t="inlineStr">
        <is>
          <t>ÅNGE</t>
        </is>
      </c>
      <c r="F96" t="inlineStr">
        <is>
          <t>SCA</t>
        </is>
      </c>
      <c r="G96" t="n">
        <v>6.1</v>
      </c>
      <c r="H96" t="n">
        <v>0</v>
      </c>
      <c r="I96" t="n">
        <v>0</v>
      </c>
      <c r="J96" t="n">
        <v>3</v>
      </c>
      <c r="K96" t="n">
        <v>1</v>
      </c>
      <c r="L96" t="n">
        <v>0</v>
      </c>
      <c r="M96" t="n">
        <v>0</v>
      </c>
      <c r="N96" t="n">
        <v>0</v>
      </c>
      <c r="O96" t="n">
        <v>4</v>
      </c>
      <c r="P96" t="n">
        <v>1</v>
      </c>
      <c r="Q96" t="n">
        <v>4</v>
      </c>
      <c r="R96" s="2" t="inlineStr">
        <is>
          <t>Gräddporing
Kortskaftad ärgspik
Reliktbock
Ullticka</t>
        </is>
      </c>
      <c r="S96">
        <f>HYPERLINK("https://klasma.github.io/Logging_2260/artfynd/A 44558-2024 artfynd.xlsx", "A 44558-2024")</f>
        <v/>
      </c>
      <c r="T96">
        <f>HYPERLINK("https://klasma.github.io/Logging_2260/kartor/A 44558-2024 karta.png", "A 44558-2024")</f>
        <v/>
      </c>
      <c r="V96">
        <f>HYPERLINK("https://klasma.github.io/Logging_2260/klagomål/A 44558-2024 FSC-klagomål.docx", "A 44558-2024")</f>
        <v/>
      </c>
      <c r="W96">
        <f>HYPERLINK("https://klasma.github.io/Logging_2260/klagomålsmail/A 44558-2024 FSC-klagomål mail.docx", "A 44558-2024")</f>
        <v/>
      </c>
      <c r="X96">
        <f>HYPERLINK("https://klasma.github.io/Logging_2260/tillsyn/A 44558-2024 tillsynsbegäran.docx", "A 44558-2024")</f>
        <v/>
      </c>
      <c r="Y96">
        <f>HYPERLINK("https://klasma.github.io/Logging_2260/tillsynsmail/A 44558-2024 tillsynsbegäran mail.docx", "A 44558-2024")</f>
        <v/>
      </c>
    </row>
    <row r="97" ht="15" customHeight="1">
      <c r="A97" t="inlineStr">
        <is>
          <t>A 11029-2025</t>
        </is>
      </c>
      <c r="B97" s="1" t="n">
        <v>45723</v>
      </c>
      <c r="C97" s="1" t="n">
        <v>45878</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55179-2024</t>
        </is>
      </c>
      <c r="B98" s="1" t="n">
        <v>45621.53204861111</v>
      </c>
      <c r="C98" s="1" t="n">
        <v>45878</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27956-2021</t>
        </is>
      </c>
      <c r="B99" s="1" t="n">
        <v>44354</v>
      </c>
      <c r="C99" s="1" t="n">
        <v>45878</v>
      </c>
      <c r="D99" t="inlineStr">
        <is>
          <t>VÄSTERNORRLANDS LÄN</t>
        </is>
      </c>
      <c r="E99" t="inlineStr">
        <is>
          <t>ÅNGE</t>
        </is>
      </c>
      <c r="G99" t="n">
        <v>1.4</v>
      </c>
      <c r="H99" t="n">
        <v>0</v>
      </c>
      <c r="I99" t="n">
        <v>0</v>
      </c>
      <c r="J99" t="n">
        <v>3</v>
      </c>
      <c r="K99" t="n">
        <v>0</v>
      </c>
      <c r="L99" t="n">
        <v>0</v>
      </c>
      <c r="M99" t="n">
        <v>0</v>
      </c>
      <c r="N99" t="n">
        <v>0</v>
      </c>
      <c r="O99" t="n">
        <v>3</v>
      </c>
      <c r="P99" t="n">
        <v>0</v>
      </c>
      <c r="Q99" t="n">
        <v>3</v>
      </c>
      <c r="R99" s="2" t="inlineStr">
        <is>
          <t>Garnlav
Lunglav
Ullticka</t>
        </is>
      </c>
      <c r="S99">
        <f>HYPERLINK("https://klasma.github.io/Logging_2260/artfynd/A 27956-2021 artfynd.xlsx", "A 27956-2021")</f>
        <v/>
      </c>
      <c r="T99">
        <f>HYPERLINK("https://klasma.github.io/Logging_2260/kartor/A 27956-2021 karta.png", "A 27956-2021")</f>
        <v/>
      </c>
      <c r="V99">
        <f>HYPERLINK("https://klasma.github.io/Logging_2260/klagomål/A 27956-2021 FSC-klagomål.docx", "A 27956-2021")</f>
        <v/>
      </c>
      <c r="W99">
        <f>HYPERLINK("https://klasma.github.io/Logging_2260/klagomålsmail/A 27956-2021 FSC-klagomål mail.docx", "A 27956-2021")</f>
        <v/>
      </c>
      <c r="X99">
        <f>HYPERLINK("https://klasma.github.io/Logging_2260/tillsyn/A 27956-2021 tillsynsbegäran.docx", "A 27956-2021")</f>
        <v/>
      </c>
      <c r="Y99">
        <f>HYPERLINK("https://klasma.github.io/Logging_2260/tillsynsmail/A 27956-2021 tillsynsbegäran mail.docx", "A 27956-2021")</f>
        <v/>
      </c>
    </row>
    <row r="100" ht="15" customHeight="1">
      <c r="A100" t="inlineStr">
        <is>
          <t>A 10317-2022</t>
        </is>
      </c>
      <c r="B100" s="1" t="n">
        <v>44622</v>
      </c>
      <c r="C100" s="1" t="n">
        <v>45878</v>
      </c>
      <c r="D100" t="inlineStr">
        <is>
          <t>VÄSTERNORRLANDS LÄN</t>
        </is>
      </c>
      <c r="E100" t="inlineStr">
        <is>
          <t>ÅNGE</t>
        </is>
      </c>
      <c r="F100" t="inlineStr">
        <is>
          <t>SCA</t>
        </is>
      </c>
      <c r="G100" t="n">
        <v>3</v>
      </c>
      <c r="H100" t="n">
        <v>2</v>
      </c>
      <c r="I100" t="n">
        <v>1</v>
      </c>
      <c r="J100" t="n">
        <v>1</v>
      </c>
      <c r="K100" t="n">
        <v>1</v>
      </c>
      <c r="L100" t="n">
        <v>0</v>
      </c>
      <c r="M100" t="n">
        <v>0</v>
      </c>
      <c r="N100" t="n">
        <v>0</v>
      </c>
      <c r="O100" t="n">
        <v>2</v>
      </c>
      <c r="P100" t="n">
        <v>1</v>
      </c>
      <c r="Q100" t="n">
        <v>3</v>
      </c>
      <c r="R100" s="2" t="inlineStr">
        <is>
          <t>Knärot
Granticka
Tvåblad</t>
        </is>
      </c>
      <c r="S100">
        <f>HYPERLINK("https://klasma.github.io/Logging_2260/artfynd/A 10317-2022 artfynd.xlsx", "A 10317-2022")</f>
        <v/>
      </c>
      <c r="T100">
        <f>HYPERLINK("https://klasma.github.io/Logging_2260/kartor/A 10317-2022 karta.png", "A 10317-2022")</f>
        <v/>
      </c>
      <c r="U100">
        <f>HYPERLINK("https://klasma.github.io/Logging_2260/knärot/A 10317-2022 karta knärot.png", "A 10317-2022")</f>
        <v/>
      </c>
      <c r="V100">
        <f>HYPERLINK("https://klasma.github.io/Logging_2260/klagomål/A 10317-2022 FSC-klagomål.docx", "A 10317-2022")</f>
        <v/>
      </c>
      <c r="W100">
        <f>HYPERLINK("https://klasma.github.io/Logging_2260/klagomålsmail/A 10317-2022 FSC-klagomål mail.docx", "A 10317-2022")</f>
        <v/>
      </c>
      <c r="X100">
        <f>HYPERLINK("https://klasma.github.io/Logging_2260/tillsyn/A 10317-2022 tillsynsbegäran.docx", "A 10317-2022")</f>
        <v/>
      </c>
      <c r="Y100">
        <f>HYPERLINK("https://klasma.github.io/Logging_2260/tillsynsmail/A 10317-2022 tillsynsbegäran mail.docx", "A 10317-2022")</f>
        <v/>
      </c>
    </row>
    <row r="101" ht="15" customHeight="1">
      <c r="A101" t="inlineStr">
        <is>
          <t>A 39181-2024</t>
        </is>
      </c>
      <c r="B101" s="1" t="n">
        <v>45548</v>
      </c>
      <c r="C101" s="1" t="n">
        <v>45878</v>
      </c>
      <c r="D101" t="inlineStr">
        <is>
          <t>VÄSTERNORRLANDS LÄN</t>
        </is>
      </c>
      <c r="E101" t="inlineStr">
        <is>
          <t>ÅNGE</t>
        </is>
      </c>
      <c r="F101" t="inlineStr">
        <is>
          <t>SCA</t>
        </is>
      </c>
      <c r="G101" t="n">
        <v>21.1</v>
      </c>
      <c r="H101" t="n">
        <v>1</v>
      </c>
      <c r="I101" t="n">
        <v>1</v>
      </c>
      <c r="J101" t="n">
        <v>1</v>
      </c>
      <c r="K101" t="n">
        <v>1</v>
      </c>
      <c r="L101" t="n">
        <v>0</v>
      </c>
      <c r="M101" t="n">
        <v>0</v>
      </c>
      <c r="N101" t="n">
        <v>0</v>
      </c>
      <c r="O101" t="n">
        <v>2</v>
      </c>
      <c r="P101" t="n">
        <v>1</v>
      </c>
      <c r="Q101" t="n">
        <v>3</v>
      </c>
      <c r="R101" s="2" t="inlineStr">
        <is>
          <t>Knärot
Granticka
Kransrams</t>
        </is>
      </c>
      <c r="S101">
        <f>HYPERLINK("https://klasma.github.io/Logging_2260/artfynd/A 39181-2024 artfynd.xlsx", "A 39181-2024")</f>
        <v/>
      </c>
      <c r="T101">
        <f>HYPERLINK("https://klasma.github.io/Logging_2260/kartor/A 39181-2024 karta.png", "A 39181-2024")</f>
        <v/>
      </c>
      <c r="U101">
        <f>HYPERLINK("https://klasma.github.io/Logging_2260/knärot/A 39181-2024 karta knärot.png", "A 39181-2024")</f>
        <v/>
      </c>
      <c r="V101">
        <f>HYPERLINK("https://klasma.github.io/Logging_2260/klagomål/A 39181-2024 FSC-klagomål.docx", "A 39181-2024")</f>
        <v/>
      </c>
      <c r="W101">
        <f>HYPERLINK("https://klasma.github.io/Logging_2260/klagomålsmail/A 39181-2024 FSC-klagomål mail.docx", "A 39181-2024")</f>
        <v/>
      </c>
      <c r="X101">
        <f>HYPERLINK("https://klasma.github.io/Logging_2260/tillsyn/A 39181-2024 tillsynsbegäran.docx", "A 39181-2024")</f>
        <v/>
      </c>
      <c r="Y101">
        <f>HYPERLINK("https://klasma.github.io/Logging_2260/tillsynsmail/A 39181-2024 tillsynsbegäran mail.docx", "A 39181-2024")</f>
        <v/>
      </c>
    </row>
    <row r="102" ht="15" customHeight="1">
      <c r="A102" t="inlineStr">
        <is>
          <t>A 29665-2024</t>
        </is>
      </c>
      <c r="B102" s="1" t="n">
        <v>45484</v>
      </c>
      <c r="C102" s="1" t="n">
        <v>45878</v>
      </c>
      <c r="D102" t="inlineStr">
        <is>
          <t>VÄSTERNORRLANDS LÄN</t>
        </is>
      </c>
      <c r="E102" t="inlineStr">
        <is>
          <t>ÅNGE</t>
        </is>
      </c>
      <c r="F102" t="inlineStr">
        <is>
          <t>SCA</t>
        </is>
      </c>
      <c r="G102" t="n">
        <v>3.3</v>
      </c>
      <c r="H102" t="n">
        <v>1</v>
      </c>
      <c r="I102" t="n">
        <v>0</v>
      </c>
      <c r="J102" t="n">
        <v>3</v>
      </c>
      <c r="K102" t="n">
        <v>0</v>
      </c>
      <c r="L102" t="n">
        <v>0</v>
      </c>
      <c r="M102" t="n">
        <v>0</v>
      </c>
      <c r="N102" t="n">
        <v>0</v>
      </c>
      <c r="O102" t="n">
        <v>3</v>
      </c>
      <c r="P102" t="n">
        <v>0</v>
      </c>
      <c r="Q102" t="n">
        <v>3</v>
      </c>
      <c r="R102" s="2" t="inlineStr">
        <is>
          <t>Garnlav
Granticka
Utter</t>
        </is>
      </c>
      <c r="S102">
        <f>HYPERLINK("https://klasma.github.io/Logging_2260/artfynd/A 29665-2024 artfynd.xlsx", "A 29665-2024")</f>
        <v/>
      </c>
      <c r="T102">
        <f>HYPERLINK("https://klasma.github.io/Logging_2260/kartor/A 29665-2024 karta.png", "A 29665-2024")</f>
        <v/>
      </c>
      <c r="V102">
        <f>HYPERLINK("https://klasma.github.io/Logging_2260/klagomål/A 29665-2024 FSC-klagomål.docx", "A 29665-2024")</f>
        <v/>
      </c>
      <c r="W102">
        <f>HYPERLINK("https://klasma.github.io/Logging_2260/klagomålsmail/A 29665-2024 FSC-klagomål mail.docx", "A 29665-2024")</f>
        <v/>
      </c>
      <c r="X102">
        <f>HYPERLINK("https://klasma.github.io/Logging_2260/tillsyn/A 29665-2024 tillsynsbegäran.docx", "A 29665-2024")</f>
        <v/>
      </c>
      <c r="Y102">
        <f>HYPERLINK("https://klasma.github.io/Logging_2260/tillsynsmail/A 29665-2024 tillsynsbegäran mail.docx", "A 29665-2024")</f>
        <v/>
      </c>
    </row>
    <row r="103" ht="15" customHeight="1">
      <c r="A103" t="inlineStr">
        <is>
          <t>A 29691-2024</t>
        </is>
      </c>
      <c r="B103" s="1" t="n">
        <v>45484.9446875</v>
      </c>
      <c r="C103" s="1" t="n">
        <v>45878</v>
      </c>
      <c r="D103" t="inlineStr">
        <is>
          <t>VÄSTERNORRLANDS LÄN</t>
        </is>
      </c>
      <c r="E103" t="inlineStr">
        <is>
          <t>ÅNGE</t>
        </is>
      </c>
      <c r="F103" t="inlineStr">
        <is>
          <t>SCA</t>
        </is>
      </c>
      <c r="G103" t="n">
        <v>6.8</v>
      </c>
      <c r="H103" t="n">
        <v>0</v>
      </c>
      <c r="I103" t="n">
        <v>1</v>
      </c>
      <c r="J103" t="n">
        <v>2</v>
      </c>
      <c r="K103" t="n">
        <v>0</v>
      </c>
      <c r="L103" t="n">
        <v>0</v>
      </c>
      <c r="M103" t="n">
        <v>0</v>
      </c>
      <c r="N103" t="n">
        <v>0</v>
      </c>
      <c r="O103" t="n">
        <v>2</v>
      </c>
      <c r="P103" t="n">
        <v>0</v>
      </c>
      <c r="Q103" t="n">
        <v>3</v>
      </c>
      <c r="R103" s="2" t="inlineStr">
        <is>
          <t>Lunglav
Rosenticka
Vedticka</t>
        </is>
      </c>
      <c r="S103">
        <f>HYPERLINK("https://klasma.github.io/Logging_2260/artfynd/A 29691-2024 artfynd.xlsx", "A 29691-2024")</f>
        <v/>
      </c>
      <c r="T103">
        <f>HYPERLINK("https://klasma.github.io/Logging_2260/kartor/A 29691-2024 karta.png", "A 29691-2024")</f>
        <v/>
      </c>
      <c r="V103">
        <f>HYPERLINK("https://klasma.github.io/Logging_2260/klagomål/A 29691-2024 FSC-klagomål.docx", "A 29691-2024")</f>
        <v/>
      </c>
      <c r="W103">
        <f>HYPERLINK("https://klasma.github.io/Logging_2260/klagomålsmail/A 29691-2024 FSC-klagomål mail.docx", "A 29691-2024")</f>
        <v/>
      </c>
      <c r="X103">
        <f>HYPERLINK("https://klasma.github.io/Logging_2260/tillsyn/A 29691-2024 tillsynsbegäran.docx", "A 29691-2024")</f>
        <v/>
      </c>
      <c r="Y103">
        <f>HYPERLINK("https://klasma.github.io/Logging_2260/tillsynsmail/A 29691-2024 tillsynsbegäran mail.docx", "A 29691-2024")</f>
        <v/>
      </c>
    </row>
    <row r="104" ht="15" customHeight="1">
      <c r="A104" t="inlineStr">
        <is>
          <t>A 28274-2023</t>
        </is>
      </c>
      <c r="B104" s="1" t="n">
        <v>45099</v>
      </c>
      <c r="C104" s="1" t="n">
        <v>45878</v>
      </c>
      <c r="D104" t="inlineStr">
        <is>
          <t>VÄSTERNORRLANDS LÄN</t>
        </is>
      </c>
      <c r="E104" t="inlineStr">
        <is>
          <t>ÅNGE</t>
        </is>
      </c>
      <c r="G104" t="n">
        <v>19.2</v>
      </c>
      <c r="H104" t="n">
        <v>1</v>
      </c>
      <c r="I104" t="n">
        <v>1</v>
      </c>
      <c r="J104" t="n">
        <v>1</v>
      </c>
      <c r="K104" t="n">
        <v>1</v>
      </c>
      <c r="L104" t="n">
        <v>0</v>
      </c>
      <c r="M104" t="n">
        <v>0</v>
      </c>
      <c r="N104" t="n">
        <v>0</v>
      </c>
      <c r="O104" t="n">
        <v>2</v>
      </c>
      <c r="P104" t="n">
        <v>1</v>
      </c>
      <c r="Q104" t="n">
        <v>3</v>
      </c>
      <c r="R104" s="2" t="inlineStr">
        <is>
          <t>Knärot
Lunglav
Grönpyrola</t>
        </is>
      </c>
      <c r="S104">
        <f>HYPERLINK("https://klasma.github.io/Logging_2260/artfynd/A 28274-2023 artfynd.xlsx", "A 28274-2023")</f>
        <v/>
      </c>
      <c r="T104">
        <f>HYPERLINK("https://klasma.github.io/Logging_2260/kartor/A 28274-2023 karta.png", "A 28274-2023")</f>
        <v/>
      </c>
      <c r="U104">
        <f>HYPERLINK("https://klasma.github.io/Logging_2260/knärot/A 28274-2023 karta knärot.png", "A 28274-2023")</f>
        <v/>
      </c>
      <c r="V104">
        <f>HYPERLINK("https://klasma.github.io/Logging_2260/klagomål/A 28274-2023 FSC-klagomål.docx", "A 28274-2023")</f>
        <v/>
      </c>
      <c r="W104">
        <f>HYPERLINK("https://klasma.github.io/Logging_2260/klagomålsmail/A 28274-2023 FSC-klagomål mail.docx", "A 28274-2023")</f>
        <v/>
      </c>
      <c r="X104">
        <f>HYPERLINK("https://klasma.github.io/Logging_2260/tillsyn/A 28274-2023 tillsynsbegäran.docx", "A 28274-2023")</f>
        <v/>
      </c>
      <c r="Y104">
        <f>HYPERLINK("https://klasma.github.io/Logging_2260/tillsynsmail/A 28274-2023 tillsynsbegäran mail.docx", "A 28274-2023")</f>
        <v/>
      </c>
    </row>
    <row r="105" ht="15" customHeight="1">
      <c r="A105" t="inlineStr">
        <is>
          <t>A 21267-2025</t>
        </is>
      </c>
      <c r="B105" s="1" t="n">
        <v>45779</v>
      </c>
      <c r="C105" s="1" t="n">
        <v>45878</v>
      </c>
      <c r="D105" t="inlineStr">
        <is>
          <t>VÄSTERNORRLANDS LÄN</t>
        </is>
      </c>
      <c r="E105" t="inlineStr">
        <is>
          <t>ÅNGE</t>
        </is>
      </c>
      <c r="F105" t="inlineStr">
        <is>
          <t>Sveaskog</t>
        </is>
      </c>
      <c r="G105" t="n">
        <v>3.7</v>
      </c>
      <c r="H105" t="n">
        <v>2</v>
      </c>
      <c r="I105" t="n">
        <v>2</v>
      </c>
      <c r="J105" t="n">
        <v>1</v>
      </c>
      <c r="K105" t="n">
        <v>0</v>
      </c>
      <c r="L105" t="n">
        <v>0</v>
      </c>
      <c r="M105" t="n">
        <v>0</v>
      </c>
      <c r="N105" t="n">
        <v>0</v>
      </c>
      <c r="O105" t="n">
        <v>1</v>
      </c>
      <c r="P105" t="n">
        <v>0</v>
      </c>
      <c r="Q105" t="n">
        <v>3</v>
      </c>
      <c r="R105" s="2" t="inlineStr">
        <is>
          <t>Lunglav
Korallrot
Spindelblomster</t>
        </is>
      </c>
      <c r="S105">
        <f>HYPERLINK("https://klasma.github.io/Logging_2260/artfynd/A 21267-2025 artfynd.xlsx", "A 21267-2025")</f>
        <v/>
      </c>
      <c r="T105">
        <f>HYPERLINK("https://klasma.github.io/Logging_2260/kartor/A 21267-2025 karta.png", "A 21267-2025")</f>
        <v/>
      </c>
      <c r="V105">
        <f>HYPERLINK("https://klasma.github.io/Logging_2260/klagomål/A 21267-2025 FSC-klagomål.docx", "A 21267-2025")</f>
        <v/>
      </c>
      <c r="W105">
        <f>HYPERLINK("https://klasma.github.io/Logging_2260/klagomålsmail/A 21267-2025 FSC-klagomål mail.docx", "A 21267-2025")</f>
        <v/>
      </c>
      <c r="X105">
        <f>HYPERLINK("https://klasma.github.io/Logging_2260/tillsyn/A 21267-2025 tillsynsbegäran.docx", "A 21267-2025")</f>
        <v/>
      </c>
      <c r="Y105">
        <f>HYPERLINK("https://klasma.github.io/Logging_2260/tillsynsmail/A 21267-2025 tillsynsbegäran mail.docx", "A 21267-2025")</f>
        <v/>
      </c>
    </row>
    <row r="106" ht="15" customHeight="1">
      <c r="A106" t="inlineStr">
        <is>
          <t>A 39179-2024</t>
        </is>
      </c>
      <c r="B106" s="1" t="n">
        <v>45548.65703703704</v>
      </c>
      <c r="C106" s="1" t="n">
        <v>45878</v>
      </c>
      <c r="D106" t="inlineStr">
        <is>
          <t>VÄSTERNORRLANDS LÄN</t>
        </is>
      </c>
      <c r="E106" t="inlineStr">
        <is>
          <t>ÅNGE</t>
        </is>
      </c>
      <c r="F106" t="inlineStr">
        <is>
          <t>SCA</t>
        </is>
      </c>
      <c r="G106" t="n">
        <v>4.2</v>
      </c>
      <c r="H106" t="n">
        <v>1</v>
      </c>
      <c r="I106" t="n">
        <v>2</v>
      </c>
      <c r="J106" t="n">
        <v>1</v>
      </c>
      <c r="K106" t="n">
        <v>0</v>
      </c>
      <c r="L106" t="n">
        <v>0</v>
      </c>
      <c r="M106" t="n">
        <v>0</v>
      </c>
      <c r="N106" t="n">
        <v>0</v>
      </c>
      <c r="O106" t="n">
        <v>1</v>
      </c>
      <c r="P106" t="n">
        <v>0</v>
      </c>
      <c r="Q106" t="n">
        <v>3</v>
      </c>
      <c r="R106" s="2" t="inlineStr">
        <is>
          <t>Rosenticka
Fjällig taggsvamp s.str.
Spindelblomster</t>
        </is>
      </c>
      <c r="S106">
        <f>HYPERLINK("https://klasma.github.io/Logging_2260/artfynd/A 39179-2024 artfynd.xlsx", "A 39179-2024")</f>
        <v/>
      </c>
      <c r="T106">
        <f>HYPERLINK("https://klasma.github.io/Logging_2260/kartor/A 39179-2024 karta.png", "A 39179-2024")</f>
        <v/>
      </c>
      <c r="V106">
        <f>HYPERLINK("https://klasma.github.io/Logging_2260/klagomål/A 39179-2024 FSC-klagomål.docx", "A 39179-2024")</f>
        <v/>
      </c>
      <c r="W106">
        <f>HYPERLINK("https://klasma.github.io/Logging_2260/klagomålsmail/A 39179-2024 FSC-klagomål mail.docx", "A 39179-2024")</f>
        <v/>
      </c>
      <c r="X106">
        <f>HYPERLINK("https://klasma.github.io/Logging_2260/tillsyn/A 39179-2024 tillsynsbegäran.docx", "A 39179-2024")</f>
        <v/>
      </c>
      <c r="Y106">
        <f>HYPERLINK("https://klasma.github.io/Logging_2260/tillsynsmail/A 39179-2024 tillsynsbegäran mail.docx", "A 39179-2024")</f>
        <v/>
      </c>
    </row>
    <row r="107" ht="15" customHeight="1">
      <c r="A107" t="inlineStr">
        <is>
          <t>A 39708-2024</t>
        </is>
      </c>
      <c r="B107" s="1" t="n">
        <v>45552.59408564815</v>
      </c>
      <c r="C107" s="1" t="n">
        <v>45878</v>
      </c>
      <c r="D107" t="inlineStr">
        <is>
          <t>VÄSTERNORRLANDS LÄN</t>
        </is>
      </c>
      <c r="E107" t="inlineStr">
        <is>
          <t>ÅNGE</t>
        </is>
      </c>
      <c r="F107" t="inlineStr">
        <is>
          <t>SCA</t>
        </is>
      </c>
      <c r="G107" t="n">
        <v>6.2</v>
      </c>
      <c r="H107" t="n">
        <v>0</v>
      </c>
      <c r="I107" t="n">
        <v>0</v>
      </c>
      <c r="J107" t="n">
        <v>3</v>
      </c>
      <c r="K107" t="n">
        <v>0</v>
      </c>
      <c r="L107" t="n">
        <v>0</v>
      </c>
      <c r="M107" t="n">
        <v>0</v>
      </c>
      <c r="N107" t="n">
        <v>0</v>
      </c>
      <c r="O107" t="n">
        <v>3</v>
      </c>
      <c r="P107" t="n">
        <v>0</v>
      </c>
      <c r="Q107" t="n">
        <v>3</v>
      </c>
      <c r="R107" s="2" t="inlineStr">
        <is>
          <t>Granticka
Ullticka
Vitgrynig nållav</t>
        </is>
      </c>
      <c r="S107">
        <f>HYPERLINK("https://klasma.github.io/Logging_2260/artfynd/A 39708-2024 artfynd.xlsx", "A 39708-2024")</f>
        <v/>
      </c>
      <c r="T107">
        <f>HYPERLINK("https://klasma.github.io/Logging_2260/kartor/A 39708-2024 karta.png", "A 39708-2024")</f>
        <v/>
      </c>
      <c r="V107">
        <f>HYPERLINK("https://klasma.github.io/Logging_2260/klagomål/A 39708-2024 FSC-klagomål.docx", "A 39708-2024")</f>
        <v/>
      </c>
      <c r="W107">
        <f>HYPERLINK("https://klasma.github.io/Logging_2260/klagomålsmail/A 39708-2024 FSC-klagomål mail.docx", "A 39708-2024")</f>
        <v/>
      </c>
      <c r="X107">
        <f>HYPERLINK("https://klasma.github.io/Logging_2260/tillsyn/A 39708-2024 tillsynsbegäran.docx", "A 39708-2024")</f>
        <v/>
      </c>
      <c r="Y107">
        <f>HYPERLINK("https://klasma.github.io/Logging_2260/tillsynsmail/A 39708-2024 tillsynsbegäran mail.docx", "A 39708-2024")</f>
        <v/>
      </c>
    </row>
    <row r="108" ht="15" customHeight="1">
      <c r="A108" t="inlineStr">
        <is>
          <t>A 23754-2025</t>
        </is>
      </c>
      <c r="B108" s="1" t="n">
        <v>45793.45782407407</v>
      </c>
      <c r="C108" s="1" t="n">
        <v>45878</v>
      </c>
      <c r="D108" t="inlineStr">
        <is>
          <t>VÄSTERNORRLANDS LÄN</t>
        </is>
      </c>
      <c r="E108" t="inlineStr">
        <is>
          <t>ÅNGE</t>
        </is>
      </c>
      <c r="F108" t="inlineStr">
        <is>
          <t>Sveaskog</t>
        </is>
      </c>
      <c r="G108" t="n">
        <v>4.3</v>
      </c>
      <c r="H108" t="n">
        <v>3</v>
      </c>
      <c r="I108" t="n">
        <v>0</v>
      </c>
      <c r="J108" t="n">
        <v>1</v>
      </c>
      <c r="K108" t="n">
        <v>0</v>
      </c>
      <c r="L108" t="n">
        <v>0</v>
      </c>
      <c r="M108" t="n">
        <v>0</v>
      </c>
      <c r="N108" t="n">
        <v>0</v>
      </c>
      <c r="O108" t="n">
        <v>1</v>
      </c>
      <c r="P108" t="n">
        <v>0</v>
      </c>
      <c r="Q108" t="n">
        <v>3</v>
      </c>
      <c r="R108" s="2" t="inlineStr">
        <is>
          <t>Spillkråka
Tjäder
Blåsippa</t>
        </is>
      </c>
      <c r="S108">
        <f>HYPERLINK("https://klasma.github.io/Logging_2260/artfynd/A 23754-2025 artfynd.xlsx", "A 23754-2025")</f>
        <v/>
      </c>
      <c r="T108">
        <f>HYPERLINK("https://klasma.github.io/Logging_2260/kartor/A 23754-2025 karta.png", "A 23754-2025")</f>
        <v/>
      </c>
      <c r="U108">
        <f>HYPERLINK("https://klasma.github.io/Logging_2260/knärot/A 23754-2025 karta knärot.png", "A 23754-2025")</f>
        <v/>
      </c>
      <c r="V108">
        <f>HYPERLINK("https://klasma.github.io/Logging_2260/klagomål/A 23754-2025 FSC-klagomål.docx", "A 23754-2025")</f>
        <v/>
      </c>
      <c r="W108">
        <f>HYPERLINK("https://klasma.github.io/Logging_2260/klagomålsmail/A 23754-2025 FSC-klagomål mail.docx", "A 23754-2025")</f>
        <v/>
      </c>
      <c r="X108">
        <f>HYPERLINK("https://klasma.github.io/Logging_2260/tillsyn/A 23754-2025 tillsynsbegäran.docx", "A 23754-2025")</f>
        <v/>
      </c>
      <c r="Y108">
        <f>HYPERLINK("https://klasma.github.io/Logging_2260/tillsynsmail/A 23754-2025 tillsynsbegäran mail.docx", "A 23754-2025")</f>
        <v/>
      </c>
      <c r="Z108">
        <f>HYPERLINK("https://klasma.github.io/Logging_2260/fåglar/A 23754-2025 prioriterade fågelarter.docx", "A 23754-2025")</f>
        <v/>
      </c>
    </row>
    <row r="109" ht="15" customHeight="1">
      <c r="A109" t="inlineStr">
        <is>
          <t>A 47617-2024</t>
        </is>
      </c>
      <c r="B109" s="1" t="n">
        <v>45588.32125</v>
      </c>
      <c r="C109" s="1" t="n">
        <v>45878</v>
      </c>
      <c r="D109" t="inlineStr">
        <is>
          <t>VÄSTERNORRLANDS LÄN</t>
        </is>
      </c>
      <c r="E109" t="inlineStr">
        <is>
          <t>ÅNGE</t>
        </is>
      </c>
      <c r="F109" t="inlineStr">
        <is>
          <t>Holmen skog AB</t>
        </is>
      </c>
      <c r="G109" t="n">
        <v>8.300000000000001</v>
      </c>
      <c r="H109" t="n">
        <v>0</v>
      </c>
      <c r="I109" t="n">
        <v>0</v>
      </c>
      <c r="J109" t="n">
        <v>3</v>
      </c>
      <c r="K109" t="n">
        <v>0</v>
      </c>
      <c r="L109" t="n">
        <v>0</v>
      </c>
      <c r="M109" t="n">
        <v>0</v>
      </c>
      <c r="N109" t="n">
        <v>0</v>
      </c>
      <c r="O109" t="n">
        <v>3</v>
      </c>
      <c r="P109" t="n">
        <v>0</v>
      </c>
      <c r="Q109" t="n">
        <v>3</v>
      </c>
      <c r="R109" s="2" t="inlineStr">
        <is>
          <t>Granticka
Gränsticka
Lunglav</t>
        </is>
      </c>
      <c r="S109">
        <f>HYPERLINK("https://klasma.github.io/Logging_2260/artfynd/A 47617-2024 artfynd.xlsx", "A 47617-2024")</f>
        <v/>
      </c>
      <c r="T109">
        <f>HYPERLINK("https://klasma.github.io/Logging_2260/kartor/A 47617-2024 karta.png", "A 47617-2024")</f>
        <v/>
      </c>
      <c r="V109">
        <f>HYPERLINK("https://klasma.github.io/Logging_2260/klagomål/A 47617-2024 FSC-klagomål.docx", "A 47617-2024")</f>
        <v/>
      </c>
      <c r="W109">
        <f>HYPERLINK("https://klasma.github.io/Logging_2260/klagomålsmail/A 47617-2024 FSC-klagomål mail.docx", "A 47617-2024")</f>
        <v/>
      </c>
      <c r="X109">
        <f>HYPERLINK("https://klasma.github.io/Logging_2260/tillsyn/A 47617-2024 tillsynsbegäran.docx", "A 47617-2024")</f>
        <v/>
      </c>
      <c r="Y109">
        <f>HYPERLINK("https://klasma.github.io/Logging_2260/tillsynsmail/A 47617-2024 tillsynsbegäran mail.docx", "A 47617-2024")</f>
        <v/>
      </c>
    </row>
    <row r="110" ht="15" customHeight="1">
      <c r="A110" t="inlineStr">
        <is>
          <t>A 23759-2025</t>
        </is>
      </c>
      <c r="B110" s="1" t="n">
        <v>45793.46409722222</v>
      </c>
      <c r="C110" s="1" t="n">
        <v>45878</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22996-2023</t>
        </is>
      </c>
      <c r="B111" s="1" t="n">
        <v>45072</v>
      </c>
      <c r="C111" s="1" t="n">
        <v>45878</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45878</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24796-2024</t>
        </is>
      </c>
      <c r="B113" s="1" t="n">
        <v>45460</v>
      </c>
      <c r="C113" s="1" t="n">
        <v>45878</v>
      </c>
      <c r="D113" t="inlineStr">
        <is>
          <t>VÄSTERNORRLANDS LÄN</t>
        </is>
      </c>
      <c r="E113" t="inlineStr">
        <is>
          <t>ÅNGE</t>
        </is>
      </c>
      <c r="F113" t="inlineStr">
        <is>
          <t>SCA</t>
        </is>
      </c>
      <c r="G113" t="n">
        <v>6.7</v>
      </c>
      <c r="H113" t="n">
        <v>1</v>
      </c>
      <c r="I113" t="n">
        <v>2</v>
      </c>
      <c r="J113" t="n">
        <v>1</v>
      </c>
      <c r="K113" t="n">
        <v>0</v>
      </c>
      <c r="L113" t="n">
        <v>0</v>
      </c>
      <c r="M113" t="n">
        <v>0</v>
      </c>
      <c r="N113" t="n">
        <v>0</v>
      </c>
      <c r="O113" t="n">
        <v>1</v>
      </c>
      <c r="P113" t="n">
        <v>0</v>
      </c>
      <c r="Q113" t="n">
        <v>3</v>
      </c>
      <c r="R113" s="2" t="inlineStr">
        <is>
          <t>Doftskinn
Korallrot
Skinnlav</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row>
    <row r="114" ht="15" customHeight="1">
      <c r="A114" t="inlineStr">
        <is>
          <t>A 16307-2025</t>
        </is>
      </c>
      <c r="B114" s="1" t="n">
        <v>45751.34686342593</v>
      </c>
      <c r="C114" s="1" t="n">
        <v>45878</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31212-2025</t>
        </is>
      </c>
      <c r="B115" s="1" t="n">
        <v>45832.71978009259</v>
      </c>
      <c r="C115" s="1" t="n">
        <v>45878</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45878</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7533-2023</t>
        </is>
      </c>
      <c r="B117" s="1" t="n">
        <v>44971</v>
      </c>
      <c r="C117" s="1" t="n">
        <v>45878</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46130-2020</t>
        </is>
      </c>
      <c r="B118" s="1" t="n">
        <v>44091</v>
      </c>
      <c r="C118" s="1" t="n">
        <v>45878</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36635-2021</t>
        </is>
      </c>
      <c r="B119" s="1" t="n">
        <v>44391</v>
      </c>
      <c r="C119" s="1" t="n">
        <v>45878</v>
      </c>
      <c r="D119" t="inlineStr">
        <is>
          <t>VÄSTERNORRLANDS LÄN</t>
        </is>
      </c>
      <c r="E119" t="inlineStr">
        <is>
          <t>ÅNGE</t>
        </is>
      </c>
      <c r="F119" t="inlineStr">
        <is>
          <t>SCA</t>
        </is>
      </c>
      <c r="G119" t="n">
        <v>3.7</v>
      </c>
      <c r="H119" t="n">
        <v>1</v>
      </c>
      <c r="I119" t="n">
        <v>0</v>
      </c>
      <c r="J119" t="n">
        <v>1</v>
      </c>
      <c r="K119" t="n">
        <v>1</v>
      </c>
      <c r="L119" t="n">
        <v>0</v>
      </c>
      <c r="M119" t="n">
        <v>0</v>
      </c>
      <c r="N119" t="n">
        <v>0</v>
      </c>
      <c r="O119" t="n">
        <v>2</v>
      </c>
      <c r="P119" t="n">
        <v>1</v>
      </c>
      <c r="Q119" t="n">
        <v>2</v>
      </c>
      <c r="R119" s="2" t="inlineStr">
        <is>
          <t>Knärot
Tallticka</t>
        </is>
      </c>
      <c r="S119">
        <f>HYPERLINK("https://klasma.github.io/Logging_2260/artfynd/A 36635-2021 artfynd.xlsx", "A 36635-2021")</f>
        <v/>
      </c>
      <c r="T119">
        <f>HYPERLINK("https://klasma.github.io/Logging_2260/kartor/A 36635-2021 karta.png", "A 36635-2021")</f>
        <v/>
      </c>
      <c r="U119">
        <f>HYPERLINK("https://klasma.github.io/Logging_2260/knärot/A 36635-2021 karta knärot.png", "A 36635-2021")</f>
        <v/>
      </c>
      <c r="V119">
        <f>HYPERLINK("https://klasma.github.io/Logging_2260/klagomål/A 36635-2021 FSC-klagomål.docx", "A 36635-2021")</f>
        <v/>
      </c>
      <c r="W119">
        <f>HYPERLINK("https://klasma.github.io/Logging_2260/klagomålsmail/A 36635-2021 FSC-klagomål mail.docx", "A 36635-2021")</f>
        <v/>
      </c>
      <c r="X119">
        <f>HYPERLINK("https://klasma.github.io/Logging_2260/tillsyn/A 36635-2021 tillsynsbegäran.docx", "A 36635-2021")</f>
        <v/>
      </c>
      <c r="Y119">
        <f>HYPERLINK("https://klasma.github.io/Logging_2260/tillsynsmail/A 36635-2021 tillsynsbegäran mail.docx", "A 36635-2021")</f>
        <v/>
      </c>
    </row>
    <row r="120" ht="15" customHeight="1">
      <c r="A120" t="inlineStr">
        <is>
          <t>A 1082-2022</t>
        </is>
      </c>
      <c r="B120" s="1" t="n">
        <v>44571</v>
      </c>
      <c r="C120" s="1" t="n">
        <v>45878</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c r="Z120">
        <f>HYPERLINK("https://klasma.github.io/Logging_2260/fåglar/A 1082-2022 prioriterade fågelarter.docx", "A 1082-2022")</f>
        <v/>
      </c>
    </row>
    <row r="121" ht="15" customHeight="1">
      <c r="A121" t="inlineStr">
        <is>
          <t>A 47798-2022</t>
        </is>
      </c>
      <c r="B121" s="1" t="n">
        <v>44854.95365740741</v>
      </c>
      <c r="C121" s="1" t="n">
        <v>45878</v>
      </c>
      <c r="D121" t="inlineStr">
        <is>
          <t>VÄSTERNORRLANDS LÄN</t>
        </is>
      </c>
      <c r="E121" t="inlineStr">
        <is>
          <t>ÅNGE</t>
        </is>
      </c>
      <c r="F121" t="inlineStr">
        <is>
          <t>SCA</t>
        </is>
      </c>
      <c r="G121" t="n">
        <v>8.300000000000001</v>
      </c>
      <c r="H121" t="n">
        <v>0</v>
      </c>
      <c r="I121" t="n">
        <v>1</v>
      </c>
      <c r="J121" t="n">
        <v>1</v>
      </c>
      <c r="K121" t="n">
        <v>0</v>
      </c>
      <c r="L121" t="n">
        <v>0</v>
      </c>
      <c r="M121" t="n">
        <v>0</v>
      </c>
      <c r="N121" t="n">
        <v>0</v>
      </c>
      <c r="O121" t="n">
        <v>1</v>
      </c>
      <c r="P121" t="n">
        <v>0</v>
      </c>
      <c r="Q121" t="n">
        <v>2</v>
      </c>
      <c r="R121" s="2" t="inlineStr">
        <is>
          <t>Lunglav
Kransrams</t>
        </is>
      </c>
      <c r="S121">
        <f>HYPERLINK("https://klasma.github.io/Logging_2260/artfynd/A 47798-2022 artfynd.xlsx", "A 47798-2022")</f>
        <v/>
      </c>
      <c r="T121">
        <f>HYPERLINK("https://klasma.github.io/Logging_2260/kartor/A 47798-2022 karta.png", "A 47798-2022")</f>
        <v/>
      </c>
      <c r="V121">
        <f>HYPERLINK("https://klasma.github.io/Logging_2260/klagomål/A 47798-2022 FSC-klagomål.docx", "A 47798-2022")</f>
        <v/>
      </c>
      <c r="W121">
        <f>HYPERLINK("https://klasma.github.io/Logging_2260/klagomålsmail/A 47798-2022 FSC-klagomål mail.docx", "A 47798-2022")</f>
        <v/>
      </c>
      <c r="X121">
        <f>HYPERLINK("https://klasma.github.io/Logging_2260/tillsyn/A 47798-2022 tillsynsbegäran.docx", "A 47798-2022")</f>
        <v/>
      </c>
      <c r="Y121">
        <f>HYPERLINK("https://klasma.github.io/Logging_2260/tillsynsmail/A 47798-2022 tillsynsbegäran mail.docx", "A 47798-2022")</f>
        <v/>
      </c>
    </row>
    <row r="122" ht="15" customHeight="1">
      <c r="A122" t="inlineStr">
        <is>
          <t>A 48152-2022</t>
        </is>
      </c>
      <c r="B122" s="1" t="n">
        <v>44853</v>
      </c>
      <c r="C122" s="1" t="n">
        <v>45878</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44854.95371527778</v>
      </c>
      <c r="C123" s="1" t="n">
        <v>45878</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40965-2021</t>
        </is>
      </c>
      <c r="B124" s="1" t="n">
        <v>44421.57918981482</v>
      </c>
      <c r="C124" s="1" t="n">
        <v>45878</v>
      </c>
      <c r="D124" t="inlineStr">
        <is>
          <t>VÄSTERNORRLANDS LÄN</t>
        </is>
      </c>
      <c r="E124" t="inlineStr">
        <is>
          <t>ÅNGE</t>
        </is>
      </c>
      <c r="F124" t="inlineStr">
        <is>
          <t>Sveaskog</t>
        </is>
      </c>
      <c r="G124" t="n">
        <v>5.4</v>
      </c>
      <c r="H124" t="n">
        <v>1</v>
      </c>
      <c r="I124" t="n">
        <v>1</v>
      </c>
      <c r="J124" t="n">
        <v>1</v>
      </c>
      <c r="K124" t="n">
        <v>0</v>
      </c>
      <c r="L124" t="n">
        <v>0</v>
      </c>
      <c r="M124" t="n">
        <v>0</v>
      </c>
      <c r="N124" t="n">
        <v>0</v>
      </c>
      <c r="O124" t="n">
        <v>1</v>
      </c>
      <c r="P124" t="n">
        <v>0</v>
      </c>
      <c r="Q124" t="n">
        <v>2</v>
      </c>
      <c r="R124" s="2" t="inlineStr">
        <is>
          <t>Skogsfru
Skogsbräsma</t>
        </is>
      </c>
      <c r="S124">
        <f>HYPERLINK("https://klasma.github.io/Logging_2260/artfynd/A 40965-2021 artfynd.xlsx", "A 40965-2021")</f>
        <v/>
      </c>
      <c r="T124">
        <f>HYPERLINK("https://klasma.github.io/Logging_2260/kartor/A 40965-2021 karta.png", "A 40965-2021")</f>
        <v/>
      </c>
      <c r="V124">
        <f>HYPERLINK("https://klasma.github.io/Logging_2260/klagomål/A 40965-2021 FSC-klagomål.docx", "A 40965-2021")</f>
        <v/>
      </c>
      <c r="W124">
        <f>HYPERLINK("https://klasma.github.io/Logging_2260/klagomålsmail/A 40965-2021 FSC-klagomål mail.docx", "A 40965-2021")</f>
        <v/>
      </c>
      <c r="X124">
        <f>HYPERLINK("https://klasma.github.io/Logging_2260/tillsyn/A 40965-2021 tillsynsbegäran.docx", "A 40965-2021")</f>
        <v/>
      </c>
      <c r="Y124">
        <f>HYPERLINK("https://klasma.github.io/Logging_2260/tillsynsmail/A 40965-2021 tillsynsbegäran mail.docx", "A 40965-2021")</f>
        <v/>
      </c>
    </row>
    <row r="125" ht="15" customHeight="1">
      <c r="A125" t="inlineStr">
        <is>
          <t>A 8234-2022</t>
        </is>
      </c>
      <c r="B125" s="1" t="n">
        <v>44609</v>
      </c>
      <c r="C125" s="1" t="n">
        <v>45878</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48374-2024</t>
        </is>
      </c>
      <c r="B126" s="1" t="n">
        <v>45590.58028935185</v>
      </c>
      <c r="C126" s="1" t="n">
        <v>45878</v>
      </c>
      <c r="D126" t="inlineStr">
        <is>
          <t>VÄSTERNORRLANDS LÄN</t>
        </is>
      </c>
      <c r="E126" t="inlineStr">
        <is>
          <t>ÅNGE</t>
        </is>
      </c>
      <c r="G126" t="n">
        <v>6.6</v>
      </c>
      <c r="H126" t="n">
        <v>0</v>
      </c>
      <c r="I126" t="n">
        <v>1</v>
      </c>
      <c r="J126" t="n">
        <v>1</v>
      </c>
      <c r="K126" t="n">
        <v>0</v>
      </c>
      <c r="L126" t="n">
        <v>0</v>
      </c>
      <c r="M126" t="n">
        <v>0</v>
      </c>
      <c r="N126" t="n">
        <v>0</v>
      </c>
      <c r="O126" t="n">
        <v>1</v>
      </c>
      <c r="P126" t="n">
        <v>0</v>
      </c>
      <c r="Q126" t="n">
        <v>2</v>
      </c>
      <c r="R126" s="2" t="inlineStr">
        <is>
          <t>Kolflarnlav
Bollvitmossa</t>
        </is>
      </c>
      <c r="S126">
        <f>HYPERLINK("https://klasma.github.io/Logging_2260/artfynd/A 48374-2024 artfynd.xlsx", "A 48374-2024")</f>
        <v/>
      </c>
      <c r="T126">
        <f>HYPERLINK("https://klasma.github.io/Logging_2260/kartor/A 48374-2024 karta.png", "A 48374-2024")</f>
        <v/>
      </c>
      <c r="V126">
        <f>HYPERLINK("https://klasma.github.io/Logging_2260/klagomål/A 48374-2024 FSC-klagomål.docx", "A 48374-2024")</f>
        <v/>
      </c>
      <c r="W126">
        <f>HYPERLINK("https://klasma.github.io/Logging_2260/klagomålsmail/A 48374-2024 FSC-klagomål mail.docx", "A 48374-2024")</f>
        <v/>
      </c>
      <c r="X126">
        <f>HYPERLINK("https://klasma.github.io/Logging_2260/tillsyn/A 48374-2024 tillsynsbegäran.docx", "A 48374-2024")</f>
        <v/>
      </c>
      <c r="Y126">
        <f>HYPERLINK("https://klasma.github.io/Logging_2260/tillsynsmail/A 48374-2024 tillsynsbegäran mail.docx", "A 48374-2024")</f>
        <v/>
      </c>
    </row>
    <row r="127" ht="15" customHeight="1">
      <c r="A127" t="inlineStr">
        <is>
          <t>A 48695-2024</t>
        </is>
      </c>
      <c r="B127" s="1" t="n">
        <v>45593.5109837963</v>
      </c>
      <c r="C127" s="1" t="n">
        <v>45878</v>
      </c>
      <c r="D127" t="inlineStr">
        <is>
          <t>VÄSTERNORRLANDS LÄN</t>
        </is>
      </c>
      <c r="E127" t="inlineStr">
        <is>
          <t>ÅNGE</t>
        </is>
      </c>
      <c r="F127" t="inlineStr">
        <is>
          <t>SCA</t>
        </is>
      </c>
      <c r="G127" t="n">
        <v>1.2</v>
      </c>
      <c r="H127" t="n">
        <v>0</v>
      </c>
      <c r="I127" t="n">
        <v>0</v>
      </c>
      <c r="J127" t="n">
        <v>2</v>
      </c>
      <c r="K127" t="n">
        <v>0</v>
      </c>
      <c r="L127" t="n">
        <v>0</v>
      </c>
      <c r="M127" t="n">
        <v>0</v>
      </c>
      <c r="N127" t="n">
        <v>0</v>
      </c>
      <c r="O127" t="n">
        <v>2</v>
      </c>
      <c r="P127" t="n">
        <v>0</v>
      </c>
      <c r="Q127" t="n">
        <v>2</v>
      </c>
      <c r="R127" s="2" t="inlineStr">
        <is>
          <t>Lunglav
Ullticka</t>
        </is>
      </c>
      <c r="S127">
        <f>HYPERLINK("https://klasma.github.io/Logging_2260/artfynd/A 48695-2024 artfynd.xlsx", "A 48695-2024")</f>
        <v/>
      </c>
      <c r="T127">
        <f>HYPERLINK("https://klasma.github.io/Logging_2260/kartor/A 48695-2024 karta.png", "A 48695-2024")</f>
        <v/>
      </c>
      <c r="V127">
        <f>HYPERLINK("https://klasma.github.io/Logging_2260/klagomål/A 48695-2024 FSC-klagomål.docx", "A 48695-2024")</f>
        <v/>
      </c>
      <c r="W127">
        <f>HYPERLINK("https://klasma.github.io/Logging_2260/klagomålsmail/A 48695-2024 FSC-klagomål mail.docx", "A 48695-2024")</f>
        <v/>
      </c>
      <c r="X127">
        <f>HYPERLINK("https://klasma.github.io/Logging_2260/tillsyn/A 48695-2024 tillsynsbegäran.docx", "A 48695-2024")</f>
        <v/>
      </c>
      <c r="Y127">
        <f>HYPERLINK("https://klasma.github.io/Logging_2260/tillsynsmail/A 48695-2024 tillsynsbegäran mail.docx", "A 48695-2024")</f>
        <v/>
      </c>
    </row>
    <row r="128" ht="15" customHeight="1">
      <c r="A128" t="inlineStr">
        <is>
          <t>A 49871-2024</t>
        </is>
      </c>
      <c r="B128" s="1" t="n">
        <v>45597.4903125</v>
      </c>
      <c r="C128" s="1" t="n">
        <v>45878</v>
      </c>
      <c r="D128" t="inlineStr">
        <is>
          <t>VÄSTERNORRLANDS LÄN</t>
        </is>
      </c>
      <c r="E128" t="inlineStr">
        <is>
          <t>ÅNGE</t>
        </is>
      </c>
      <c r="F128" t="inlineStr">
        <is>
          <t>SCA</t>
        </is>
      </c>
      <c r="G128" t="n">
        <v>6.3</v>
      </c>
      <c r="H128" t="n">
        <v>1</v>
      </c>
      <c r="I128" t="n">
        <v>0</v>
      </c>
      <c r="J128" t="n">
        <v>1</v>
      </c>
      <c r="K128" t="n">
        <v>1</v>
      </c>
      <c r="L128" t="n">
        <v>0</v>
      </c>
      <c r="M128" t="n">
        <v>0</v>
      </c>
      <c r="N128" t="n">
        <v>0</v>
      </c>
      <c r="O128" t="n">
        <v>2</v>
      </c>
      <c r="P128" t="n">
        <v>1</v>
      </c>
      <c r="Q128" t="n">
        <v>2</v>
      </c>
      <c r="R128" s="2" t="inlineStr">
        <is>
          <t>Knärot
Garnlav</t>
        </is>
      </c>
      <c r="S128">
        <f>HYPERLINK("https://klasma.github.io/Logging_2260/artfynd/A 49871-2024 artfynd.xlsx", "A 49871-2024")</f>
        <v/>
      </c>
      <c r="T128">
        <f>HYPERLINK("https://klasma.github.io/Logging_2260/kartor/A 49871-2024 karta.png", "A 49871-2024")</f>
        <v/>
      </c>
      <c r="U128">
        <f>HYPERLINK("https://klasma.github.io/Logging_2260/knärot/A 49871-2024 karta knärot.png", "A 49871-2024")</f>
        <v/>
      </c>
      <c r="V128">
        <f>HYPERLINK("https://klasma.github.io/Logging_2260/klagomål/A 49871-2024 FSC-klagomål.docx", "A 49871-2024")</f>
        <v/>
      </c>
      <c r="W128">
        <f>HYPERLINK("https://klasma.github.io/Logging_2260/klagomålsmail/A 49871-2024 FSC-klagomål mail.docx", "A 49871-2024")</f>
        <v/>
      </c>
      <c r="X128">
        <f>HYPERLINK("https://klasma.github.io/Logging_2260/tillsyn/A 49871-2024 tillsynsbegäran.docx", "A 49871-2024")</f>
        <v/>
      </c>
      <c r="Y128">
        <f>HYPERLINK("https://klasma.github.io/Logging_2260/tillsynsmail/A 49871-2024 tillsynsbegäran mail.docx", "A 49871-2024")</f>
        <v/>
      </c>
    </row>
    <row r="129" ht="15" customHeight="1">
      <c r="A129" t="inlineStr">
        <is>
          <t>A 29325-2023</t>
        </is>
      </c>
      <c r="B129" s="1" t="n">
        <v>45105</v>
      </c>
      <c r="C129" s="1" t="n">
        <v>45878</v>
      </c>
      <c r="D129" t="inlineStr">
        <is>
          <t>VÄSTERNORRLANDS LÄN</t>
        </is>
      </c>
      <c r="E129" t="inlineStr">
        <is>
          <t>ÅNGE</t>
        </is>
      </c>
      <c r="G129" t="n">
        <v>12.4</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HYPERLINK("https://klasma.github.io/Logging_2260/artfynd/A 29325-2023 artfynd.xlsx", "A 29325-2023")</f>
        <v/>
      </c>
      <c r="T129">
        <f>HYPERLINK("https://klasma.github.io/Logging_2260/kartor/A 29325-2023 karta.png", "A 29325-2023")</f>
        <v/>
      </c>
      <c r="V129">
        <f>HYPERLINK("https://klasma.github.io/Logging_2260/klagomål/A 29325-2023 FSC-klagomål.docx", "A 29325-2023")</f>
        <v/>
      </c>
      <c r="W129">
        <f>HYPERLINK("https://klasma.github.io/Logging_2260/klagomålsmail/A 29325-2023 FSC-klagomål mail.docx", "A 29325-2023")</f>
        <v/>
      </c>
      <c r="X129">
        <f>HYPERLINK("https://klasma.github.io/Logging_2260/tillsyn/A 29325-2023 tillsynsbegäran.docx", "A 29325-2023")</f>
        <v/>
      </c>
      <c r="Y129">
        <f>HYPERLINK("https://klasma.github.io/Logging_2260/tillsynsmail/A 29325-2023 tillsynsbegäran mail.docx", "A 29325-2023")</f>
        <v/>
      </c>
    </row>
    <row r="130" ht="15" customHeight="1">
      <c r="A130" t="inlineStr">
        <is>
          <t>A 8324-2025</t>
        </is>
      </c>
      <c r="B130" s="1" t="n">
        <v>45708.63621527778</v>
      </c>
      <c r="C130" s="1" t="n">
        <v>45878</v>
      </c>
      <c r="D130" t="inlineStr">
        <is>
          <t>VÄSTERNORRLANDS LÄN</t>
        </is>
      </c>
      <c r="E130" t="inlineStr">
        <is>
          <t>ÅNGE</t>
        </is>
      </c>
      <c r="F130" t="inlineStr">
        <is>
          <t>SCA</t>
        </is>
      </c>
      <c r="G130" t="n">
        <v>7.8</v>
      </c>
      <c r="H130" t="n">
        <v>0</v>
      </c>
      <c r="I130" t="n">
        <v>1</v>
      </c>
      <c r="J130" t="n">
        <v>1</v>
      </c>
      <c r="K130" t="n">
        <v>0</v>
      </c>
      <c r="L130" t="n">
        <v>0</v>
      </c>
      <c r="M130" t="n">
        <v>0</v>
      </c>
      <c r="N130" t="n">
        <v>0</v>
      </c>
      <c r="O130" t="n">
        <v>1</v>
      </c>
      <c r="P130" t="n">
        <v>0</v>
      </c>
      <c r="Q130" t="n">
        <v>2</v>
      </c>
      <c r="R130" s="2" t="inlineStr">
        <is>
          <t>Vitgrynig nållav
Bollvitmossa</t>
        </is>
      </c>
      <c r="S130">
        <f>HYPERLINK("https://klasma.github.io/Logging_2260/artfynd/A 8324-2025 artfynd.xlsx", "A 8324-2025")</f>
        <v/>
      </c>
      <c r="T130">
        <f>HYPERLINK("https://klasma.github.io/Logging_2260/kartor/A 8324-2025 karta.png", "A 8324-2025")</f>
        <v/>
      </c>
      <c r="V130">
        <f>HYPERLINK("https://klasma.github.io/Logging_2260/klagomål/A 8324-2025 FSC-klagomål.docx", "A 8324-2025")</f>
        <v/>
      </c>
      <c r="W130">
        <f>HYPERLINK("https://klasma.github.io/Logging_2260/klagomålsmail/A 8324-2025 FSC-klagomål mail.docx", "A 8324-2025")</f>
        <v/>
      </c>
      <c r="X130">
        <f>HYPERLINK("https://klasma.github.io/Logging_2260/tillsyn/A 8324-2025 tillsynsbegäran.docx", "A 8324-2025")</f>
        <v/>
      </c>
      <c r="Y130">
        <f>HYPERLINK("https://klasma.github.io/Logging_2260/tillsynsmail/A 8324-2025 tillsynsbegäran mail.docx", "A 8324-2025")</f>
        <v/>
      </c>
    </row>
    <row r="131" ht="15" customHeight="1">
      <c r="A131" t="inlineStr">
        <is>
          <t>A 4093-2025</t>
        </is>
      </c>
      <c r="B131" s="1" t="n">
        <v>45684.67762731481</v>
      </c>
      <c r="C131" s="1" t="n">
        <v>45878</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51756-2020</t>
        </is>
      </c>
      <c r="B132" s="1" t="n">
        <v>44114</v>
      </c>
      <c r="C132" s="1" t="n">
        <v>45878</v>
      </c>
      <c r="D132" t="inlineStr">
        <is>
          <t>VÄSTERNORRLANDS LÄN</t>
        </is>
      </c>
      <c r="E132" t="inlineStr">
        <is>
          <t>ÅNGE</t>
        </is>
      </c>
      <c r="G132" t="n">
        <v>0.8</v>
      </c>
      <c r="H132" t="n">
        <v>1</v>
      </c>
      <c r="I132" t="n">
        <v>0</v>
      </c>
      <c r="J132" t="n">
        <v>0</v>
      </c>
      <c r="K132" t="n">
        <v>0</v>
      </c>
      <c r="L132" t="n">
        <v>2</v>
      </c>
      <c r="M132" t="n">
        <v>0</v>
      </c>
      <c r="N132" t="n">
        <v>0</v>
      </c>
      <c r="O132" t="n">
        <v>2</v>
      </c>
      <c r="P132" t="n">
        <v>2</v>
      </c>
      <c r="Q132" t="n">
        <v>2</v>
      </c>
      <c r="R132" s="2" t="inlineStr">
        <is>
          <t>Mikroskapania
Timmerskapania</t>
        </is>
      </c>
      <c r="S132">
        <f>HYPERLINK("https://klasma.github.io/Logging_2260/artfynd/A 51756-2020 artfynd.xlsx", "A 51756-2020")</f>
        <v/>
      </c>
      <c r="T132">
        <f>HYPERLINK("https://klasma.github.io/Logging_2260/kartor/A 51756-2020 karta.png", "A 51756-2020")</f>
        <v/>
      </c>
      <c r="V132">
        <f>HYPERLINK("https://klasma.github.io/Logging_2260/klagomål/A 51756-2020 FSC-klagomål.docx", "A 51756-2020")</f>
        <v/>
      </c>
      <c r="W132">
        <f>HYPERLINK("https://klasma.github.io/Logging_2260/klagomålsmail/A 51756-2020 FSC-klagomål mail.docx", "A 51756-2020")</f>
        <v/>
      </c>
      <c r="X132">
        <f>HYPERLINK("https://klasma.github.io/Logging_2260/tillsyn/A 51756-2020 tillsynsbegäran.docx", "A 51756-2020")</f>
        <v/>
      </c>
      <c r="Y132">
        <f>HYPERLINK("https://klasma.github.io/Logging_2260/tillsynsmail/A 51756-2020 tillsynsbegäran mail.docx", "A 51756-2020")</f>
        <v/>
      </c>
    </row>
    <row r="133" ht="15" customHeight="1">
      <c r="A133" t="inlineStr">
        <is>
          <t>A 21453-2025</t>
        </is>
      </c>
      <c r="B133" s="1" t="n">
        <v>45782.55311342593</v>
      </c>
      <c r="C133" s="1" t="n">
        <v>45878</v>
      </c>
      <c r="D133" t="inlineStr">
        <is>
          <t>VÄSTERNORRLANDS LÄN</t>
        </is>
      </c>
      <c r="E133" t="inlineStr">
        <is>
          <t>ÅNGE</t>
        </is>
      </c>
      <c r="F133" t="inlineStr">
        <is>
          <t>SCA</t>
        </is>
      </c>
      <c r="G133" t="n">
        <v>1</v>
      </c>
      <c r="H133" t="n">
        <v>0</v>
      </c>
      <c r="I133" t="n">
        <v>2</v>
      </c>
      <c r="J133" t="n">
        <v>0</v>
      </c>
      <c r="K133" t="n">
        <v>0</v>
      </c>
      <c r="L133" t="n">
        <v>0</v>
      </c>
      <c r="M133" t="n">
        <v>0</v>
      </c>
      <c r="N133" t="n">
        <v>0</v>
      </c>
      <c r="O133" t="n">
        <v>0</v>
      </c>
      <c r="P133" t="n">
        <v>0</v>
      </c>
      <c r="Q133" t="n">
        <v>2</v>
      </c>
      <c r="R133" s="2" t="inlineStr">
        <is>
          <t>Svart trolldruva
Tibast</t>
        </is>
      </c>
      <c r="S133">
        <f>HYPERLINK("https://klasma.github.io/Logging_2260/artfynd/A 21453-2025 artfynd.xlsx", "A 21453-2025")</f>
        <v/>
      </c>
      <c r="T133">
        <f>HYPERLINK("https://klasma.github.io/Logging_2260/kartor/A 21453-2025 karta.png", "A 21453-2025")</f>
        <v/>
      </c>
      <c r="V133">
        <f>HYPERLINK("https://klasma.github.io/Logging_2260/klagomål/A 21453-2025 FSC-klagomål.docx", "A 21453-2025")</f>
        <v/>
      </c>
      <c r="W133">
        <f>HYPERLINK("https://klasma.github.io/Logging_2260/klagomålsmail/A 21453-2025 FSC-klagomål mail.docx", "A 21453-2025")</f>
        <v/>
      </c>
      <c r="X133">
        <f>HYPERLINK("https://klasma.github.io/Logging_2260/tillsyn/A 21453-2025 tillsynsbegäran.docx", "A 21453-2025")</f>
        <v/>
      </c>
      <c r="Y133">
        <f>HYPERLINK("https://klasma.github.io/Logging_2260/tillsynsmail/A 21453-2025 tillsynsbegäran mail.docx", "A 21453-2025")</f>
        <v/>
      </c>
    </row>
    <row r="134" ht="15" customHeight="1">
      <c r="A134" t="inlineStr">
        <is>
          <t>A 25034-2024</t>
        </is>
      </c>
      <c r="B134" s="1" t="n">
        <v>45461.96458333333</v>
      </c>
      <c r="C134" s="1" t="n">
        <v>45878</v>
      </c>
      <c r="D134" t="inlineStr">
        <is>
          <t>VÄSTERNORRLANDS LÄN</t>
        </is>
      </c>
      <c r="E134" t="inlineStr">
        <is>
          <t>ÅNGE</t>
        </is>
      </c>
      <c r="F134" t="inlineStr">
        <is>
          <t>SCA</t>
        </is>
      </c>
      <c r="G134" t="n">
        <v>3.3</v>
      </c>
      <c r="H134" t="n">
        <v>0</v>
      </c>
      <c r="I134" t="n">
        <v>0</v>
      </c>
      <c r="J134" t="n">
        <v>2</v>
      </c>
      <c r="K134" t="n">
        <v>0</v>
      </c>
      <c r="L134" t="n">
        <v>0</v>
      </c>
      <c r="M134" t="n">
        <v>0</v>
      </c>
      <c r="N134" t="n">
        <v>0</v>
      </c>
      <c r="O134" t="n">
        <v>2</v>
      </c>
      <c r="P134" t="n">
        <v>0</v>
      </c>
      <c r="Q134" t="n">
        <v>2</v>
      </c>
      <c r="R134" s="2" t="inlineStr">
        <is>
          <t>Rosenticka
Ullticka</t>
        </is>
      </c>
      <c r="S134">
        <f>HYPERLINK("https://klasma.github.io/Logging_2260/artfynd/A 25034-2024 artfynd.xlsx", "A 25034-2024")</f>
        <v/>
      </c>
      <c r="T134">
        <f>HYPERLINK("https://klasma.github.io/Logging_2260/kartor/A 25034-2024 karta.png", "A 25034-2024")</f>
        <v/>
      </c>
      <c r="V134">
        <f>HYPERLINK("https://klasma.github.io/Logging_2260/klagomål/A 25034-2024 FSC-klagomål.docx", "A 25034-2024")</f>
        <v/>
      </c>
      <c r="W134">
        <f>HYPERLINK("https://klasma.github.io/Logging_2260/klagomålsmail/A 25034-2024 FSC-klagomål mail.docx", "A 25034-2024")</f>
        <v/>
      </c>
      <c r="X134">
        <f>HYPERLINK("https://klasma.github.io/Logging_2260/tillsyn/A 25034-2024 tillsynsbegäran.docx", "A 25034-2024")</f>
        <v/>
      </c>
      <c r="Y134">
        <f>HYPERLINK("https://klasma.github.io/Logging_2260/tillsynsmail/A 25034-2024 tillsynsbegäran mail.docx", "A 25034-2024")</f>
        <v/>
      </c>
    </row>
    <row r="135" ht="15" customHeight="1">
      <c r="A135" t="inlineStr">
        <is>
          <t>A 24795-2024</t>
        </is>
      </c>
      <c r="B135" s="1" t="n">
        <v>45460.95252314815</v>
      </c>
      <c r="C135" s="1" t="n">
        <v>45878</v>
      </c>
      <c r="D135" t="inlineStr">
        <is>
          <t>VÄSTERNORRLANDS LÄN</t>
        </is>
      </c>
      <c r="E135" t="inlineStr">
        <is>
          <t>ÅNGE</t>
        </is>
      </c>
      <c r="F135" t="inlineStr">
        <is>
          <t>SCA</t>
        </is>
      </c>
      <c r="G135" t="n">
        <v>2.2</v>
      </c>
      <c r="H135" t="n">
        <v>0</v>
      </c>
      <c r="I135" t="n">
        <v>1</v>
      </c>
      <c r="J135" t="n">
        <v>1</v>
      </c>
      <c r="K135" t="n">
        <v>0</v>
      </c>
      <c r="L135" t="n">
        <v>0</v>
      </c>
      <c r="M135" t="n">
        <v>0</v>
      </c>
      <c r="N135" t="n">
        <v>0</v>
      </c>
      <c r="O135" t="n">
        <v>1</v>
      </c>
      <c r="P135" t="n">
        <v>0</v>
      </c>
      <c r="Q135" t="n">
        <v>2</v>
      </c>
      <c r="R135" s="2" t="inlineStr">
        <is>
          <t>Lunglav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57089-2024</t>
        </is>
      </c>
      <c r="B136" s="1" t="n">
        <v>45629.35665509259</v>
      </c>
      <c r="C136" s="1" t="n">
        <v>45878</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45878</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165-2025</t>
        </is>
      </c>
      <c r="B138" s="1" t="n">
        <v>45659</v>
      </c>
      <c r="C138" s="1" t="n">
        <v>45878</v>
      </c>
      <c r="D138" t="inlineStr">
        <is>
          <t>VÄSTERNORRLANDS LÄN</t>
        </is>
      </c>
      <c r="E138" t="inlineStr">
        <is>
          <t>ÅNGE</t>
        </is>
      </c>
      <c r="G138" t="n">
        <v>13.9</v>
      </c>
      <c r="H138" t="n">
        <v>1</v>
      </c>
      <c r="I138" t="n">
        <v>0</v>
      </c>
      <c r="J138" t="n">
        <v>2</v>
      </c>
      <c r="K138" t="n">
        <v>0</v>
      </c>
      <c r="L138" t="n">
        <v>0</v>
      </c>
      <c r="M138" t="n">
        <v>0</v>
      </c>
      <c r="N138" t="n">
        <v>0</v>
      </c>
      <c r="O138" t="n">
        <v>2</v>
      </c>
      <c r="P138" t="n">
        <v>0</v>
      </c>
      <c r="Q138" t="n">
        <v>2</v>
      </c>
      <c r="R138" s="2" t="inlineStr">
        <is>
          <t>Doftskinn
Tretåig hackspett</t>
        </is>
      </c>
      <c r="S138">
        <f>HYPERLINK("https://klasma.github.io/Logging_2260/artfynd/A 165-2025 artfynd.xlsx", "A 165-2025")</f>
        <v/>
      </c>
      <c r="T138">
        <f>HYPERLINK("https://klasma.github.io/Logging_2260/kartor/A 165-2025 karta.png", "A 165-2025")</f>
        <v/>
      </c>
      <c r="V138">
        <f>HYPERLINK("https://klasma.github.io/Logging_2260/klagomål/A 165-2025 FSC-klagomål.docx", "A 165-2025")</f>
        <v/>
      </c>
      <c r="W138">
        <f>HYPERLINK("https://klasma.github.io/Logging_2260/klagomålsmail/A 165-2025 FSC-klagomål mail.docx", "A 165-2025")</f>
        <v/>
      </c>
      <c r="X138">
        <f>HYPERLINK("https://klasma.github.io/Logging_2260/tillsyn/A 165-2025 tillsynsbegäran.docx", "A 165-2025")</f>
        <v/>
      </c>
      <c r="Y138">
        <f>HYPERLINK("https://klasma.github.io/Logging_2260/tillsynsmail/A 165-2025 tillsynsbegäran mail.docx", "A 165-2025")</f>
        <v/>
      </c>
      <c r="Z138">
        <f>HYPERLINK("https://klasma.github.io/Logging_2260/fåglar/A 165-2025 prioriterade fågelarter.docx", "A 165-2025")</f>
        <v/>
      </c>
    </row>
    <row r="139" ht="15" customHeight="1">
      <c r="A139" t="inlineStr">
        <is>
          <t>A 47719-2024</t>
        </is>
      </c>
      <c r="B139" s="1" t="n">
        <v>45588.48996527777</v>
      </c>
      <c r="C139" s="1" t="n">
        <v>45878</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24176-2025</t>
        </is>
      </c>
      <c r="B140" s="1" t="n">
        <v>45796.69832175926</v>
      </c>
      <c r="C140" s="1" t="n">
        <v>45878</v>
      </c>
      <c r="D140" t="inlineStr">
        <is>
          <t>VÄSTERNORRLANDS LÄN</t>
        </is>
      </c>
      <c r="E140" t="inlineStr">
        <is>
          <t>ÅNGE</t>
        </is>
      </c>
      <c r="F140" t="inlineStr">
        <is>
          <t>SCA</t>
        </is>
      </c>
      <c r="G140" t="n">
        <v>3.9</v>
      </c>
      <c r="H140" t="n">
        <v>0</v>
      </c>
      <c r="I140" t="n">
        <v>1</v>
      </c>
      <c r="J140" t="n">
        <v>1</v>
      </c>
      <c r="K140" t="n">
        <v>0</v>
      </c>
      <c r="L140" t="n">
        <v>0</v>
      </c>
      <c r="M140" t="n">
        <v>0</v>
      </c>
      <c r="N140" t="n">
        <v>0</v>
      </c>
      <c r="O140" t="n">
        <v>1</v>
      </c>
      <c r="P140" t="n">
        <v>0</v>
      </c>
      <c r="Q140" t="n">
        <v>2</v>
      </c>
      <c r="R140" s="2" t="inlineStr">
        <is>
          <t>Vitgrynig nållav
Vedticka</t>
        </is>
      </c>
      <c r="S140">
        <f>HYPERLINK("https://klasma.github.io/Logging_2260/artfynd/A 24176-2025 artfynd.xlsx", "A 24176-2025")</f>
        <v/>
      </c>
      <c r="T140">
        <f>HYPERLINK("https://klasma.github.io/Logging_2260/kartor/A 24176-2025 karta.png", "A 24176-2025")</f>
        <v/>
      </c>
      <c r="V140">
        <f>HYPERLINK("https://klasma.github.io/Logging_2260/klagomål/A 24176-2025 FSC-klagomål.docx", "A 24176-2025")</f>
        <v/>
      </c>
      <c r="W140">
        <f>HYPERLINK("https://klasma.github.io/Logging_2260/klagomålsmail/A 24176-2025 FSC-klagomål mail.docx", "A 24176-2025")</f>
        <v/>
      </c>
      <c r="X140">
        <f>HYPERLINK("https://klasma.github.io/Logging_2260/tillsyn/A 24176-2025 tillsynsbegäran.docx", "A 24176-2025")</f>
        <v/>
      </c>
      <c r="Y140">
        <f>HYPERLINK("https://klasma.github.io/Logging_2260/tillsynsmail/A 24176-2025 tillsynsbegäran mail.docx", "A 24176-2025")</f>
        <v/>
      </c>
    </row>
    <row r="141" ht="15" customHeight="1">
      <c r="A141" t="inlineStr">
        <is>
          <t>A 57594-2022</t>
        </is>
      </c>
      <c r="B141" s="1" t="n">
        <v>44896.97854166666</v>
      </c>
      <c r="C141" s="1" t="n">
        <v>45878</v>
      </c>
      <c r="D141" t="inlineStr">
        <is>
          <t>VÄSTERNORRLANDS LÄN</t>
        </is>
      </c>
      <c r="E141" t="inlineStr">
        <is>
          <t>ÅNGE</t>
        </is>
      </c>
      <c r="F141" t="inlineStr">
        <is>
          <t>SCA</t>
        </is>
      </c>
      <c r="G141" t="n">
        <v>5.3</v>
      </c>
      <c r="H141" t="n">
        <v>0</v>
      </c>
      <c r="I141" t="n">
        <v>0</v>
      </c>
      <c r="J141" t="n">
        <v>2</v>
      </c>
      <c r="K141" t="n">
        <v>0</v>
      </c>
      <c r="L141" t="n">
        <v>0</v>
      </c>
      <c r="M141" t="n">
        <v>0</v>
      </c>
      <c r="N141" t="n">
        <v>0</v>
      </c>
      <c r="O141" t="n">
        <v>2</v>
      </c>
      <c r="P141" t="n">
        <v>0</v>
      </c>
      <c r="Q141" t="n">
        <v>2</v>
      </c>
      <c r="R141" s="2" t="inlineStr">
        <is>
          <t>Granticka
Lunglav</t>
        </is>
      </c>
      <c r="S141">
        <f>HYPERLINK("https://klasma.github.io/Logging_2260/artfynd/A 57594-2022 artfynd.xlsx", "A 57594-2022")</f>
        <v/>
      </c>
      <c r="T141">
        <f>HYPERLINK("https://klasma.github.io/Logging_2260/kartor/A 57594-2022 karta.png", "A 57594-2022")</f>
        <v/>
      </c>
      <c r="V141">
        <f>HYPERLINK("https://klasma.github.io/Logging_2260/klagomål/A 57594-2022 FSC-klagomål.docx", "A 57594-2022")</f>
        <v/>
      </c>
      <c r="W141">
        <f>HYPERLINK("https://klasma.github.io/Logging_2260/klagomålsmail/A 57594-2022 FSC-klagomål mail.docx", "A 57594-2022")</f>
        <v/>
      </c>
      <c r="X141">
        <f>HYPERLINK("https://klasma.github.io/Logging_2260/tillsyn/A 57594-2022 tillsynsbegäran.docx", "A 57594-2022")</f>
        <v/>
      </c>
      <c r="Y141">
        <f>HYPERLINK("https://klasma.github.io/Logging_2260/tillsynsmail/A 57594-2022 tillsynsbegäran mail.docx", "A 57594-2022")</f>
        <v/>
      </c>
    </row>
    <row r="142" ht="15" customHeight="1">
      <c r="A142" t="inlineStr">
        <is>
          <t>A 57597-2022</t>
        </is>
      </c>
      <c r="B142" s="1" t="n">
        <v>44896.97878472223</v>
      </c>
      <c r="C142" s="1" t="n">
        <v>45878</v>
      </c>
      <c r="D142" t="inlineStr">
        <is>
          <t>VÄSTERNORRLANDS LÄN</t>
        </is>
      </c>
      <c r="E142" t="inlineStr">
        <is>
          <t>ÅNGE</t>
        </is>
      </c>
      <c r="F142" t="inlineStr">
        <is>
          <t>SCA</t>
        </is>
      </c>
      <c r="G142" t="n">
        <v>6.2</v>
      </c>
      <c r="H142" t="n">
        <v>0</v>
      </c>
      <c r="I142" t="n">
        <v>0</v>
      </c>
      <c r="J142" t="n">
        <v>2</v>
      </c>
      <c r="K142" t="n">
        <v>0</v>
      </c>
      <c r="L142" t="n">
        <v>0</v>
      </c>
      <c r="M142" t="n">
        <v>0</v>
      </c>
      <c r="N142" t="n">
        <v>0</v>
      </c>
      <c r="O142" t="n">
        <v>2</v>
      </c>
      <c r="P142" t="n">
        <v>0</v>
      </c>
      <c r="Q142" t="n">
        <v>2</v>
      </c>
      <c r="R142" s="2" t="inlineStr">
        <is>
          <t>Garnlav
Lunglav</t>
        </is>
      </c>
      <c r="S142">
        <f>HYPERLINK("https://klasma.github.io/Logging_2260/artfynd/A 57597-2022 artfynd.xlsx", "A 57597-2022")</f>
        <v/>
      </c>
      <c r="T142">
        <f>HYPERLINK("https://klasma.github.io/Logging_2260/kartor/A 57597-2022 karta.png", "A 57597-2022")</f>
        <v/>
      </c>
      <c r="V142">
        <f>HYPERLINK("https://klasma.github.io/Logging_2260/klagomål/A 57597-2022 FSC-klagomål.docx", "A 57597-2022")</f>
        <v/>
      </c>
      <c r="W142">
        <f>HYPERLINK("https://klasma.github.io/Logging_2260/klagomålsmail/A 57597-2022 FSC-klagomål mail.docx", "A 57597-2022")</f>
        <v/>
      </c>
      <c r="X142">
        <f>HYPERLINK("https://klasma.github.io/Logging_2260/tillsyn/A 57597-2022 tillsynsbegäran.docx", "A 57597-2022")</f>
        <v/>
      </c>
      <c r="Y142">
        <f>HYPERLINK("https://klasma.github.io/Logging_2260/tillsynsmail/A 57597-2022 tillsynsbegäran mail.docx", "A 57597-2022")</f>
        <v/>
      </c>
    </row>
    <row r="143" ht="15" customHeight="1">
      <c r="A143" t="inlineStr">
        <is>
          <t>A 31493-2024</t>
        </is>
      </c>
      <c r="B143" s="1" t="n">
        <v>45505</v>
      </c>
      <c r="C143" s="1" t="n">
        <v>45878</v>
      </c>
      <c r="D143" t="inlineStr">
        <is>
          <t>VÄSTERNORRLANDS LÄN</t>
        </is>
      </c>
      <c r="E143" t="inlineStr">
        <is>
          <t>ÅNGE</t>
        </is>
      </c>
      <c r="F143" t="inlineStr">
        <is>
          <t>SCA</t>
        </is>
      </c>
      <c r="G143" t="n">
        <v>4.4</v>
      </c>
      <c r="H143" t="n">
        <v>1</v>
      </c>
      <c r="I143" t="n">
        <v>1</v>
      </c>
      <c r="J143" t="n">
        <v>0</v>
      </c>
      <c r="K143" t="n">
        <v>1</v>
      </c>
      <c r="L143" t="n">
        <v>0</v>
      </c>
      <c r="M143" t="n">
        <v>0</v>
      </c>
      <c r="N143" t="n">
        <v>0</v>
      </c>
      <c r="O143" t="n">
        <v>1</v>
      </c>
      <c r="P143" t="n">
        <v>1</v>
      </c>
      <c r="Q143" t="n">
        <v>2</v>
      </c>
      <c r="R143" s="2" t="inlineStr">
        <is>
          <t>Knärot
Korallblylav</t>
        </is>
      </c>
      <c r="S143">
        <f>HYPERLINK("https://klasma.github.io/Logging_2260/artfynd/A 31493-2024 artfynd.xlsx", "A 31493-2024")</f>
        <v/>
      </c>
      <c r="T143">
        <f>HYPERLINK("https://klasma.github.io/Logging_2260/kartor/A 31493-2024 karta.png", "A 31493-2024")</f>
        <v/>
      </c>
      <c r="U143">
        <f>HYPERLINK("https://klasma.github.io/Logging_2260/knärot/A 31493-2024 karta knärot.png", "A 31493-2024")</f>
        <v/>
      </c>
      <c r="V143">
        <f>HYPERLINK("https://klasma.github.io/Logging_2260/klagomål/A 31493-2024 FSC-klagomål.docx", "A 31493-2024")</f>
        <v/>
      </c>
      <c r="W143">
        <f>HYPERLINK("https://klasma.github.io/Logging_2260/klagomålsmail/A 31493-2024 FSC-klagomål mail.docx", "A 31493-2024")</f>
        <v/>
      </c>
      <c r="X143">
        <f>HYPERLINK("https://klasma.github.io/Logging_2260/tillsyn/A 31493-2024 tillsynsbegäran.docx", "A 31493-2024")</f>
        <v/>
      </c>
      <c r="Y143">
        <f>HYPERLINK("https://klasma.github.io/Logging_2260/tillsynsmail/A 31493-2024 tillsynsbegäran mail.docx", "A 31493-2024")</f>
        <v/>
      </c>
    </row>
    <row r="144" ht="15" customHeight="1">
      <c r="A144" t="inlineStr">
        <is>
          <t>A 32659-2024</t>
        </is>
      </c>
      <c r="B144" s="1" t="n">
        <v>45513</v>
      </c>
      <c r="C144" s="1" t="n">
        <v>45878</v>
      </c>
      <c r="D144" t="inlineStr">
        <is>
          <t>VÄSTERNORRLANDS LÄN</t>
        </is>
      </c>
      <c r="E144" t="inlineStr">
        <is>
          <t>ÅNGE</t>
        </is>
      </c>
      <c r="F144" t="inlineStr">
        <is>
          <t>SCA</t>
        </is>
      </c>
      <c r="G144" t="n">
        <v>6.9</v>
      </c>
      <c r="H144" t="n">
        <v>0</v>
      </c>
      <c r="I144" t="n">
        <v>0</v>
      </c>
      <c r="J144" t="n">
        <v>2</v>
      </c>
      <c r="K144" t="n">
        <v>0</v>
      </c>
      <c r="L144" t="n">
        <v>0</v>
      </c>
      <c r="M144" t="n">
        <v>0</v>
      </c>
      <c r="N144" t="n">
        <v>0</v>
      </c>
      <c r="O144" t="n">
        <v>2</v>
      </c>
      <c r="P144" t="n">
        <v>0</v>
      </c>
      <c r="Q144" t="n">
        <v>2</v>
      </c>
      <c r="R144" s="2" t="inlineStr">
        <is>
          <t>Lunglav
Stjärntagging</t>
        </is>
      </c>
      <c r="S144">
        <f>HYPERLINK("https://klasma.github.io/Logging_2260/artfynd/A 32659-2024 artfynd.xlsx", "A 32659-2024")</f>
        <v/>
      </c>
      <c r="T144">
        <f>HYPERLINK("https://klasma.github.io/Logging_2260/kartor/A 32659-2024 karta.png", "A 32659-2024")</f>
        <v/>
      </c>
      <c r="V144">
        <f>HYPERLINK("https://klasma.github.io/Logging_2260/klagomål/A 32659-2024 FSC-klagomål.docx", "A 32659-2024")</f>
        <v/>
      </c>
      <c r="W144">
        <f>HYPERLINK("https://klasma.github.io/Logging_2260/klagomålsmail/A 32659-2024 FSC-klagomål mail.docx", "A 32659-2024")</f>
        <v/>
      </c>
      <c r="X144">
        <f>HYPERLINK("https://klasma.github.io/Logging_2260/tillsyn/A 32659-2024 tillsynsbegäran.docx", "A 32659-2024")</f>
        <v/>
      </c>
      <c r="Y144">
        <f>HYPERLINK("https://klasma.github.io/Logging_2260/tillsynsmail/A 32659-2024 tillsynsbegäran mail.docx", "A 32659-2024")</f>
        <v/>
      </c>
    </row>
    <row r="145" ht="15" customHeight="1">
      <c r="A145" t="inlineStr">
        <is>
          <t>A 26906-2025</t>
        </is>
      </c>
      <c r="B145" s="1" t="n">
        <v>45811.34552083333</v>
      </c>
      <c r="C145" s="1" t="n">
        <v>45878</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7121-2025</t>
        </is>
      </c>
      <c r="B146" s="1" t="n">
        <v>45702.34414351852</v>
      </c>
      <c r="C146" s="1" t="n">
        <v>45878</v>
      </c>
      <c r="D146" t="inlineStr">
        <is>
          <t>VÄSTERNORRLANDS LÄN</t>
        </is>
      </c>
      <c r="E146" t="inlineStr">
        <is>
          <t>ÅNGE</t>
        </is>
      </c>
      <c r="F146" t="inlineStr">
        <is>
          <t>SCA</t>
        </is>
      </c>
      <c r="G146" t="n">
        <v>11</v>
      </c>
      <c r="H146" t="n">
        <v>0</v>
      </c>
      <c r="I146" t="n">
        <v>0</v>
      </c>
      <c r="J146" t="n">
        <v>2</v>
      </c>
      <c r="K146" t="n">
        <v>0</v>
      </c>
      <c r="L146" t="n">
        <v>0</v>
      </c>
      <c r="M146" t="n">
        <v>0</v>
      </c>
      <c r="N146" t="n">
        <v>0</v>
      </c>
      <c r="O146" t="n">
        <v>2</v>
      </c>
      <c r="P146" t="n">
        <v>0</v>
      </c>
      <c r="Q146" t="n">
        <v>2</v>
      </c>
      <c r="R146" s="2" t="inlineStr">
        <is>
          <t>Lunglav
Småflikig brosklav</t>
        </is>
      </c>
      <c r="S146">
        <f>HYPERLINK("https://klasma.github.io/Logging_2260/artfynd/A 7121-2025 artfynd.xlsx", "A 7121-2025")</f>
        <v/>
      </c>
      <c r="T146">
        <f>HYPERLINK("https://klasma.github.io/Logging_2260/kartor/A 7121-2025 karta.png", "A 7121-2025")</f>
        <v/>
      </c>
      <c r="V146">
        <f>HYPERLINK("https://klasma.github.io/Logging_2260/klagomål/A 7121-2025 FSC-klagomål.docx", "A 7121-2025")</f>
        <v/>
      </c>
      <c r="W146">
        <f>HYPERLINK("https://klasma.github.io/Logging_2260/klagomålsmail/A 7121-2025 FSC-klagomål mail.docx", "A 7121-2025")</f>
        <v/>
      </c>
      <c r="X146">
        <f>HYPERLINK("https://klasma.github.io/Logging_2260/tillsyn/A 7121-2025 tillsynsbegäran.docx", "A 7121-2025")</f>
        <v/>
      </c>
      <c r="Y146">
        <f>HYPERLINK("https://klasma.github.io/Logging_2260/tillsynsmail/A 7121-2025 tillsynsbegäran mail.docx", "A 7121-2025")</f>
        <v/>
      </c>
    </row>
    <row r="147" ht="15" customHeight="1">
      <c r="A147" t="inlineStr">
        <is>
          <t>A 17861-2023</t>
        </is>
      </c>
      <c r="B147" s="1" t="n">
        <v>45037.94171296297</v>
      </c>
      <c r="C147" s="1" t="n">
        <v>45878</v>
      </c>
      <c r="D147" t="inlineStr">
        <is>
          <t>VÄSTERNORRLANDS LÄN</t>
        </is>
      </c>
      <c r="E147" t="inlineStr">
        <is>
          <t>ÅNGE</t>
        </is>
      </c>
      <c r="F147" t="inlineStr">
        <is>
          <t>SCA</t>
        </is>
      </c>
      <c r="G147" t="n">
        <v>1.1</v>
      </c>
      <c r="H147" t="n">
        <v>0</v>
      </c>
      <c r="I147" t="n">
        <v>1</v>
      </c>
      <c r="J147" t="n">
        <v>1</v>
      </c>
      <c r="K147" t="n">
        <v>0</v>
      </c>
      <c r="L147" t="n">
        <v>0</v>
      </c>
      <c r="M147" t="n">
        <v>0</v>
      </c>
      <c r="N147" t="n">
        <v>0</v>
      </c>
      <c r="O147" t="n">
        <v>1</v>
      </c>
      <c r="P147" t="n">
        <v>0</v>
      </c>
      <c r="Q147" t="n">
        <v>2</v>
      </c>
      <c r="R147" s="2" t="inlineStr">
        <is>
          <t>Skrovlig taggsvamp
Dropptaggsvamp</t>
        </is>
      </c>
      <c r="S147">
        <f>HYPERLINK("https://klasma.github.io/Logging_2260/artfynd/A 17861-2023 artfynd.xlsx", "A 17861-2023")</f>
        <v/>
      </c>
      <c r="T147">
        <f>HYPERLINK("https://klasma.github.io/Logging_2260/kartor/A 17861-2023 karta.png", "A 17861-2023")</f>
        <v/>
      </c>
      <c r="V147">
        <f>HYPERLINK("https://klasma.github.io/Logging_2260/klagomål/A 17861-2023 FSC-klagomål.docx", "A 17861-2023")</f>
        <v/>
      </c>
      <c r="W147">
        <f>HYPERLINK("https://klasma.github.io/Logging_2260/klagomålsmail/A 17861-2023 FSC-klagomål mail.docx", "A 17861-2023")</f>
        <v/>
      </c>
      <c r="X147">
        <f>HYPERLINK("https://klasma.github.io/Logging_2260/tillsyn/A 17861-2023 tillsynsbegäran.docx", "A 17861-2023")</f>
        <v/>
      </c>
      <c r="Y147">
        <f>HYPERLINK("https://klasma.github.io/Logging_2260/tillsynsmail/A 17861-2023 tillsynsbegäran mail.docx", "A 17861-2023")</f>
        <v/>
      </c>
    </row>
    <row r="148" ht="15" customHeight="1">
      <c r="A148" t="inlineStr">
        <is>
          <t>A 62861-2021</t>
        </is>
      </c>
      <c r="B148" s="1" t="n">
        <v>44503</v>
      </c>
      <c r="C148" s="1" t="n">
        <v>45878</v>
      </c>
      <c r="D148" t="inlineStr">
        <is>
          <t>VÄSTERNORRLANDS LÄN</t>
        </is>
      </c>
      <c r="E148" t="inlineStr">
        <is>
          <t>ÅNGE</t>
        </is>
      </c>
      <c r="F148" t="inlineStr">
        <is>
          <t>Övriga statliga verk och myndigheter</t>
        </is>
      </c>
      <c r="G148" t="n">
        <v>12.1</v>
      </c>
      <c r="H148" t="n">
        <v>1</v>
      </c>
      <c r="I148" t="n">
        <v>0</v>
      </c>
      <c r="J148" t="n">
        <v>1</v>
      </c>
      <c r="K148" t="n">
        <v>1</v>
      </c>
      <c r="L148" t="n">
        <v>0</v>
      </c>
      <c r="M148" t="n">
        <v>0</v>
      </c>
      <c r="N148" t="n">
        <v>0</v>
      </c>
      <c r="O148" t="n">
        <v>2</v>
      </c>
      <c r="P148" t="n">
        <v>1</v>
      </c>
      <c r="Q148" t="n">
        <v>2</v>
      </c>
      <c r="R148" s="2" t="inlineStr">
        <is>
          <t>Knärot
Rosenticka</t>
        </is>
      </c>
      <c r="S148">
        <f>HYPERLINK("https://klasma.github.io/Logging_2260/artfynd/A 62861-2021 artfynd.xlsx", "A 62861-2021")</f>
        <v/>
      </c>
      <c r="T148">
        <f>HYPERLINK("https://klasma.github.io/Logging_2260/kartor/A 62861-2021 karta.png", "A 62861-2021")</f>
        <v/>
      </c>
      <c r="U148">
        <f>HYPERLINK("https://klasma.github.io/Logging_2260/knärot/A 62861-2021 karta knärot.png", "A 62861-2021")</f>
        <v/>
      </c>
      <c r="V148">
        <f>HYPERLINK("https://klasma.github.io/Logging_2260/klagomål/A 62861-2021 FSC-klagomål.docx", "A 62861-2021")</f>
        <v/>
      </c>
      <c r="W148">
        <f>HYPERLINK("https://klasma.github.io/Logging_2260/klagomålsmail/A 62861-2021 FSC-klagomål mail.docx", "A 62861-2021")</f>
        <v/>
      </c>
      <c r="X148">
        <f>HYPERLINK("https://klasma.github.io/Logging_2260/tillsyn/A 62861-2021 tillsynsbegäran.docx", "A 62861-2021")</f>
        <v/>
      </c>
      <c r="Y148">
        <f>HYPERLINK("https://klasma.github.io/Logging_2260/tillsynsmail/A 62861-2021 tillsynsbegäran mail.docx", "A 62861-2021")</f>
        <v/>
      </c>
    </row>
    <row r="149" ht="15" customHeight="1">
      <c r="A149" t="inlineStr">
        <is>
          <t>A 55178-2024</t>
        </is>
      </c>
      <c r="B149" s="1" t="n">
        <v>45621</v>
      </c>
      <c r="C149" s="1" t="n">
        <v>45878</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55591-2021</t>
        </is>
      </c>
      <c r="B150" s="1" t="n">
        <v>44475</v>
      </c>
      <c r="C150" s="1" t="n">
        <v>45878</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58902-2020</t>
        </is>
      </c>
      <c r="B151" s="1" t="n">
        <v>44146</v>
      </c>
      <c r="C151" s="1" t="n">
        <v>45878</v>
      </c>
      <c r="D151" t="inlineStr">
        <is>
          <t>VÄSTERNORRLANDS LÄN</t>
        </is>
      </c>
      <c r="E151" t="inlineStr">
        <is>
          <t>ÅNGE</t>
        </is>
      </c>
      <c r="G151" t="n">
        <v>8.199999999999999</v>
      </c>
      <c r="H151" t="n">
        <v>0</v>
      </c>
      <c r="I151" t="n">
        <v>1</v>
      </c>
      <c r="J151" t="n">
        <v>1</v>
      </c>
      <c r="K151" t="n">
        <v>0</v>
      </c>
      <c r="L151" t="n">
        <v>0</v>
      </c>
      <c r="M151" t="n">
        <v>0</v>
      </c>
      <c r="N151" t="n">
        <v>0</v>
      </c>
      <c r="O151" t="n">
        <v>1</v>
      </c>
      <c r="P151" t="n">
        <v>0</v>
      </c>
      <c r="Q151" t="n">
        <v>2</v>
      </c>
      <c r="R151" s="2" t="inlineStr">
        <is>
          <t>Ullticka
Vedticka</t>
        </is>
      </c>
      <c r="S151">
        <f>HYPERLINK("https://klasma.github.io/Logging_2260/artfynd/A 58902-2020 artfynd.xlsx", "A 58902-2020")</f>
        <v/>
      </c>
      <c r="T151">
        <f>HYPERLINK("https://klasma.github.io/Logging_2260/kartor/A 58902-2020 karta.png", "A 58902-2020")</f>
        <v/>
      </c>
      <c r="V151">
        <f>HYPERLINK("https://klasma.github.io/Logging_2260/klagomål/A 58902-2020 FSC-klagomål.docx", "A 58902-2020")</f>
        <v/>
      </c>
      <c r="W151">
        <f>HYPERLINK("https://klasma.github.io/Logging_2260/klagomålsmail/A 58902-2020 FSC-klagomål mail.docx", "A 58902-2020")</f>
        <v/>
      </c>
      <c r="X151">
        <f>HYPERLINK("https://klasma.github.io/Logging_2260/tillsyn/A 58902-2020 tillsynsbegäran.docx", "A 58902-2020")</f>
        <v/>
      </c>
      <c r="Y151">
        <f>HYPERLINK("https://klasma.github.io/Logging_2260/tillsynsmail/A 58902-2020 tillsynsbegäran mail.docx", "A 58902-2020")</f>
        <v/>
      </c>
    </row>
    <row r="152" ht="15" customHeight="1">
      <c r="A152" t="inlineStr">
        <is>
          <t>A 26020-2024</t>
        </is>
      </c>
      <c r="B152" s="1" t="n">
        <v>45467.9603125</v>
      </c>
      <c r="C152" s="1" t="n">
        <v>45878</v>
      </c>
      <c r="D152" t="inlineStr">
        <is>
          <t>VÄSTERNORRLANDS LÄN</t>
        </is>
      </c>
      <c r="E152" t="inlineStr">
        <is>
          <t>ÅNGE</t>
        </is>
      </c>
      <c r="F152" t="inlineStr">
        <is>
          <t>SCA</t>
        </is>
      </c>
      <c r="G152" t="n">
        <v>4.8</v>
      </c>
      <c r="H152" t="n">
        <v>0</v>
      </c>
      <c r="I152" t="n">
        <v>1</v>
      </c>
      <c r="J152" t="n">
        <v>1</v>
      </c>
      <c r="K152" t="n">
        <v>0</v>
      </c>
      <c r="L152" t="n">
        <v>0</v>
      </c>
      <c r="M152" t="n">
        <v>0</v>
      </c>
      <c r="N152" t="n">
        <v>0</v>
      </c>
      <c r="O152" t="n">
        <v>1</v>
      </c>
      <c r="P152" t="n">
        <v>0</v>
      </c>
      <c r="Q152" t="n">
        <v>2</v>
      </c>
      <c r="R152" s="2" t="inlineStr">
        <is>
          <t>Lunglav
Stuplav</t>
        </is>
      </c>
      <c r="S152">
        <f>HYPERLINK("https://klasma.github.io/Logging_2260/artfynd/A 26020-2024 artfynd.xlsx", "A 26020-2024")</f>
        <v/>
      </c>
      <c r="T152">
        <f>HYPERLINK("https://klasma.github.io/Logging_2260/kartor/A 26020-2024 karta.png", "A 26020-2024")</f>
        <v/>
      </c>
      <c r="V152">
        <f>HYPERLINK("https://klasma.github.io/Logging_2260/klagomål/A 26020-2024 FSC-klagomål.docx", "A 26020-2024")</f>
        <v/>
      </c>
      <c r="W152">
        <f>HYPERLINK("https://klasma.github.io/Logging_2260/klagomålsmail/A 26020-2024 FSC-klagomål mail.docx", "A 26020-2024")</f>
        <v/>
      </c>
      <c r="X152">
        <f>HYPERLINK("https://klasma.github.io/Logging_2260/tillsyn/A 26020-2024 tillsynsbegäran.docx", "A 26020-2024")</f>
        <v/>
      </c>
      <c r="Y152">
        <f>HYPERLINK("https://klasma.github.io/Logging_2260/tillsynsmail/A 26020-2024 tillsynsbegäran mail.docx", "A 26020-2024")</f>
        <v/>
      </c>
    </row>
    <row r="153" ht="15" customHeight="1">
      <c r="A153" t="inlineStr">
        <is>
          <t>A 20367-2022</t>
        </is>
      </c>
      <c r="B153" s="1" t="n">
        <v>44699</v>
      </c>
      <c r="C153" s="1" t="n">
        <v>45878</v>
      </c>
      <c r="D153" t="inlineStr">
        <is>
          <t>VÄSTERNORRLANDS LÄN</t>
        </is>
      </c>
      <c r="E153" t="inlineStr">
        <is>
          <t>ÅNGE</t>
        </is>
      </c>
      <c r="G153" t="n">
        <v>9.6</v>
      </c>
      <c r="H153" t="n">
        <v>1</v>
      </c>
      <c r="I153" t="n">
        <v>0</v>
      </c>
      <c r="J153" t="n">
        <v>0</v>
      </c>
      <c r="K153" t="n">
        <v>0</v>
      </c>
      <c r="L153" t="n">
        <v>0</v>
      </c>
      <c r="M153" t="n">
        <v>0</v>
      </c>
      <c r="N153" t="n">
        <v>0</v>
      </c>
      <c r="O153" t="n">
        <v>0</v>
      </c>
      <c r="P153" t="n">
        <v>0</v>
      </c>
      <c r="Q153" t="n">
        <v>1</v>
      </c>
      <c r="R153" s="2" t="inlineStr">
        <is>
          <t>Fläcknycklar</t>
        </is>
      </c>
      <c r="S153">
        <f>HYPERLINK("https://klasma.github.io/Logging_2260/artfynd/A 20367-2022 artfynd.xlsx", "A 20367-2022")</f>
        <v/>
      </c>
      <c r="T153">
        <f>HYPERLINK("https://klasma.github.io/Logging_2260/kartor/A 20367-2022 karta.png", "A 20367-2022")</f>
        <v/>
      </c>
      <c r="V153">
        <f>HYPERLINK("https://klasma.github.io/Logging_2260/klagomål/A 20367-2022 FSC-klagomål.docx", "A 20367-2022")</f>
        <v/>
      </c>
      <c r="W153">
        <f>HYPERLINK("https://klasma.github.io/Logging_2260/klagomålsmail/A 20367-2022 FSC-klagomål mail.docx", "A 20367-2022")</f>
        <v/>
      </c>
      <c r="X153">
        <f>HYPERLINK("https://klasma.github.io/Logging_2260/tillsyn/A 20367-2022 tillsynsbegäran.docx", "A 20367-2022")</f>
        <v/>
      </c>
      <c r="Y153">
        <f>HYPERLINK("https://klasma.github.io/Logging_2260/tillsynsmail/A 20367-2022 tillsynsbegäran mail.docx", "A 20367-2022")</f>
        <v/>
      </c>
    </row>
    <row r="154" ht="15" customHeight="1">
      <c r="A154" t="inlineStr">
        <is>
          <t>A 31136-2022</t>
        </is>
      </c>
      <c r="B154" s="1" t="n">
        <v>44770.40920138889</v>
      </c>
      <c r="C154" s="1" t="n">
        <v>45878</v>
      </c>
      <c r="D154" t="inlineStr">
        <is>
          <t>VÄSTERNORRLANDS LÄN</t>
        </is>
      </c>
      <c r="E154" t="inlineStr">
        <is>
          <t>ÅNGE</t>
        </is>
      </c>
      <c r="F154" t="inlineStr">
        <is>
          <t>Övriga Aktiebolag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HYPERLINK("https://klasma.github.io/Logging_2260/artfynd/A 31136-2022 artfynd.xlsx", "A 31136-2022")</f>
        <v/>
      </c>
      <c r="T154">
        <f>HYPERLINK("https://klasma.github.io/Logging_2260/kartor/A 31136-2022 karta.png", "A 31136-2022")</f>
        <v/>
      </c>
      <c r="V154">
        <f>HYPERLINK("https://klasma.github.io/Logging_2260/klagomål/A 31136-2022 FSC-klagomål.docx", "A 31136-2022")</f>
        <v/>
      </c>
      <c r="W154">
        <f>HYPERLINK("https://klasma.github.io/Logging_2260/klagomålsmail/A 31136-2022 FSC-klagomål mail.docx", "A 31136-2022")</f>
        <v/>
      </c>
      <c r="X154">
        <f>HYPERLINK("https://klasma.github.io/Logging_2260/tillsyn/A 31136-2022 tillsynsbegäran.docx", "A 31136-2022")</f>
        <v/>
      </c>
      <c r="Y154">
        <f>HYPERLINK("https://klasma.github.io/Logging_2260/tillsynsmail/A 31136-2022 tillsynsbegäran mail.docx", "A 31136-2022")</f>
        <v/>
      </c>
      <c r="Z154">
        <f>HYPERLINK("https://klasma.github.io/Logging_2260/fåglar/A 31136-2022 prioriterade fågelarter.docx", "A 31136-2022")</f>
        <v/>
      </c>
    </row>
    <row r="155" ht="15" customHeight="1">
      <c r="A155" t="inlineStr">
        <is>
          <t>A 61479-2021</t>
        </is>
      </c>
      <c r="B155" s="1" t="n">
        <v>44500</v>
      </c>
      <c r="C155" s="1" t="n">
        <v>45878</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31578-2021</t>
        </is>
      </c>
      <c r="B156" s="1" t="n">
        <v>44369</v>
      </c>
      <c r="C156" s="1" t="n">
        <v>45878</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44383.69549768518</v>
      </c>
      <c r="C157" s="1" t="n">
        <v>45878</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5558-2021</t>
        </is>
      </c>
      <c r="B158" s="1" t="n">
        <v>44230</v>
      </c>
      <c r="C158" s="1" t="n">
        <v>45878</v>
      </c>
      <c r="D158" t="inlineStr">
        <is>
          <t>VÄSTERNORRLANDS LÄN</t>
        </is>
      </c>
      <c r="E158" t="inlineStr">
        <is>
          <t>ÅNGE</t>
        </is>
      </c>
      <c r="G158" t="n">
        <v>60.6</v>
      </c>
      <c r="H158" t="n">
        <v>0</v>
      </c>
      <c r="I158" t="n">
        <v>0</v>
      </c>
      <c r="J158" t="n">
        <v>1</v>
      </c>
      <c r="K158" t="n">
        <v>0</v>
      </c>
      <c r="L158" t="n">
        <v>0</v>
      </c>
      <c r="M158" t="n">
        <v>0</v>
      </c>
      <c r="N158" t="n">
        <v>0</v>
      </c>
      <c r="O158" t="n">
        <v>1</v>
      </c>
      <c r="P158" t="n">
        <v>0</v>
      </c>
      <c r="Q158" t="n">
        <v>1</v>
      </c>
      <c r="R158" s="2" t="inlineStr">
        <is>
          <t>Garnlav</t>
        </is>
      </c>
      <c r="S158">
        <f>HYPERLINK("https://klasma.github.io/Logging_2260/artfynd/A 5558-2021 artfynd.xlsx", "A 5558-2021")</f>
        <v/>
      </c>
      <c r="T158">
        <f>HYPERLINK("https://klasma.github.io/Logging_2260/kartor/A 5558-2021 karta.png", "A 5558-2021")</f>
        <v/>
      </c>
      <c r="V158">
        <f>HYPERLINK("https://klasma.github.io/Logging_2260/klagomål/A 5558-2021 FSC-klagomål.docx", "A 5558-2021")</f>
        <v/>
      </c>
      <c r="W158">
        <f>HYPERLINK("https://klasma.github.io/Logging_2260/klagomålsmail/A 5558-2021 FSC-klagomål mail.docx", "A 5558-2021")</f>
        <v/>
      </c>
      <c r="X158">
        <f>HYPERLINK("https://klasma.github.io/Logging_2260/tillsyn/A 5558-2021 tillsynsbegäran.docx", "A 5558-2021")</f>
        <v/>
      </c>
      <c r="Y158">
        <f>HYPERLINK("https://klasma.github.io/Logging_2260/tillsynsmail/A 5558-2021 tillsynsbegäran mail.docx", "A 5558-2021")</f>
        <v/>
      </c>
    </row>
    <row r="159" ht="15" customHeight="1">
      <c r="A159" t="inlineStr">
        <is>
          <t>A 38606-2024</t>
        </is>
      </c>
      <c r="B159" s="1" t="n">
        <v>45546.67804398148</v>
      </c>
      <c r="C159" s="1" t="n">
        <v>45878</v>
      </c>
      <c r="D159" t="inlineStr">
        <is>
          <t>VÄSTERNORRLANDS LÄN</t>
        </is>
      </c>
      <c r="E159" t="inlineStr">
        <is>
          <t>ÅNGE</t>
        </is>
      </c>
      <c r="F159" t="inlineStr">
        <is>
          <t>SCA</t>
        </is>
      </c>
      <c r="G159" t="n">
        <v>2.4</v>
      </c>
      <c r="H159" t="n">
        <v>0</v>
      </c>
      <c r="I159" t="n">
        <v>0</v>
      </c>
      <c r="J159" t="n">
        <v>1</v>
      </c>
      <c r="K159" t="n">
        <v>0</v>
      </c>
      <c r="L159" t="n">
        <v>0</v>
      </c>
      <c r="M159" t="n">
        <v>0</v>
      </c>
      <c r="N159" t="n">
        <v>0</v>
      </c>
      <c r="O159" t="n">
        <v>1</v>
      </c>
      <c r="P159" t="n">
        <v>0</v>
      </c>
      <c r="Q159" t="n">
        <v>1</v>
      </c>
      <c r="R159" s="2" t="inlineStr">
        <is>
          <t>Ullticka</t>
        </is>
      </c>
      <c r="S159">
        <f>HYPERLINK("https://klasma.github.io/Logging_2260/artfynd/A 38606-2024 artfynd.xlsx", "A 38606-2024")</f>
        <v/>
      </c>
      <c r="T159">
        <f>HYPERLINK("https://klasma.github.io/Logging_2260/kartor/A 38606-2024 karta.png", "A 38606-2024")</f>
        <v/>
      </c>
      <c r="V159">
        <f>HYPERLINK("https://klasma.github.io/Logging_2260/klagomål/A 38606-2024 FSC-klagomål.docx", "A 38606-2024")</f>
        <v/>
      </c>
      <c r="W159">
        <f>HYPERLINK("https://klasma.github.io/Logging_2260/klagomålsmail/A 38606-2024 FSC-klagomål mail.docx", "A 38606-2024")</f>
        <v/>
      </c>
      <c r="X159">
        <f>HYPERLINK("https://klasma.github.io/Logging_2260/tillsyn/A 38606-2024 tillsynsbegäran.docx", "A 38606-2024")</f>
        <v/>
      </c>
      <c r="Y159">
        <f>HYPERLINK("https://klasma.github.io/Logging_2260/tillsynsmail/A 38606-2024 tillsynsbegäran mail.docx", "A 38606-2024")</f>
        <v/>
      </c>
    </row>
    <row r="160" ht="15" customHeight="1">
      <c r="A160" t="inlineStr">
        <is>
          <t>A 40776-2023</t>
        </is>
      </c>
      <c r="B160" s="1" t="n">
        <v>45170</v>
      </c>
      <c r="C160" s="1" t="n">
        <v>45878</v>
      </c>
      <c r="D160" t="inlineStr">
        <is>
          <t>VÄSTERNORRLANDS LÄN</t>
        </is>
      </c>
      <c r="E160" t="inlineStr">
        <is>
          <t>ÅNGE</t>
        </is>
      </c>
      <c r="F160" t="inlineStr">
        <is>
          <t>SCA</t>
        </is>
      </c>
      <c r="G160" t="n">
        <v>3</v>
      </c>
      <c r="H160" t="n">
        <v>1</v>
      </c>
      <c r="I160" t="n">
        <v>0</v>
      </c>
      <c r="J160" t="n">
        <v>1</v>
      </c>
      <c r="K160" t="n">
        <v>0</v>
      </c>
      <c r="L160" t="n">
        <v>0</v>
      </c>
      <c r="M160" t="n">
        <v>0</v>
      </c>
      <c r="N160" t="n">
        <v>0</v>
      </c>
      <c r="O160" t="n">
        <v>1</v>
      </c>
      <c r="P160" t="n">
        <v>0</v>
      </c>
      <c r="Q160" t="n">
        <v>1</v>
      </c>
      <c r="R160" s="2" t="inlineStr">
        <is>
          <t>Tretåig hackspett</t>
        </is>
      </c>
      <c r="S160">
        <f>HYPERLINK("https://klasma.github.io/Logging_2260/artfynd/A 40776-2023 artfynd.xlsx", "A 40776-2023")</f>
        <v/>
      </c>
      <c r="T160">
        <f>HYPERLINK("https://klasma.github.io/Logging_2260/kartor/A 40776-2023 karta.png", "A 40776-2023")</f>
        <v/>
      </c>
      <c r="V160">
        <f>HYPERLINK("https://klasma.github.io/Logging_2260/klagomål/A 40776-2023 FSC-klagomål.docx", "A 40776-2023")</f>
        <v/>
      </c>
      <c r="W160">
        <f>HYPERLINK("https://klasma.github.io/Logging_2260/klagomålsmail/A 40776-2023 FSC-klagomål mail.docx", "A 40776-2023")</f>
        <v/>
      </c>
      <c r="X160">
        <f>HYPERLINK("https://klasma.github.io/Logging_2260/tillsyn/A 40776-2023 tillsynsbegäran.docx", "A 40776-2023")</f>
        <v/>
      </c>
      <c r="Y160">
        <f>HYPERLINK("https://klasma.github.io/Logging_2260/tillsynsmail/A 40776-2023 tillsynsbegäran mail.docx", "A 40776-2023")</f>
        <v/>
      </c>
      <c r="Z160">
        <f>HYPERLINK("https://klasma.github.io/Logging_2260/fåglar/A 40776-2023 prioriterade fågelarter.docx", "A 40776-2023")</f>
        <v/>
      </c>
    </row>
    <row r="161" ht="15" customHeight="1">
      <c r="A161" t="inlineStr">
        <is>
          <t>A 29327-2023</t>
        </is>
      </c>
      <c r="B161" s="1" t="n">
        <v>45105.94349537037</v>
      </c>
      <c r="C161" s="1" t="n">
        <v>45878</v>
      </c>
      <c r="D161" t="inlineStr">
        <is>
          <t>VÄSTERNORRLANDS LÄN</t>
        </is>
      </c>
      <c r="E161" t="inlineStr">
        <is>
          <t>ÅNGE</t>
        </is>
      </c>
      <c r="G161" t="n">
        <v>7.8</v>
      </c>
      <c r="H161" t="n">
        <v>0</v>
      </c>
      <c r="I161" t="n">
        <v>0</v>
      </c>
      <c r="J161" t="n">
        <v>1</v>
      </c>
      <c r="K161" t="n">
        <v>0</v>
      </c>
      <c r="L161" t="n">
        <v>0</v>
      </c>
      <c r="M161" t="n">
        <v>0</v>
      </c>
      <c r="N161" t="n">
        <v>0</v>
      </c>
      <c r="O161" t="n">
        <v>1</v>
      </c>
      <c r="P161" t="n">
        <v>0</v>
      </c>
      <c r="Q161" t="n">
        <v>1</v>
      </c>
      <c r="R161" s="2" t="inlineStr">
        <is>
          <t>Mörk kolflarnlav</t>
        </is>
      </c>
      <c r="S161">
        <f>HYPERLINK("https://klasma.github.io/Logging_2260/artfynd/A 29327-2023 artfynd.xlsx", "A 29327-2023")</f>
        <v/>
      </c>
      <c r="T161">
        <f>HYPERLINK("https://klasma.github.io/Logging_2260/kartor/A 29327-2023 karta.png", "A 29327-2023")</f>
        <v/>
      </c>
      <c r="V161">
        <f>HYPERLINK("https://klasma.github.io/Logging_2260/klagomål/A 29327-2023 FSC-klagomål.docx", "A 29327-2023")</f>
        <v/>
      </c>
      <c r="W161">
        <f>HYPERLINK("https://klasma.github.io/Logging_2260/klagomålsmail/A 29327-2023 FSC-klagomål mail.docx", "A 29327-2023")</f>
        <v/>
      </c>
      <c r="X161">
        <f>HYPERLINK("https://klasma.github.io/Logging_2260/tillsyn/A 29327-2023 tillsynsbegäran.docx", "A 29327-2023")</f>
        <v/>
      </c>
      <c r="Y161">
        <f>HYPERLINK("https://klasma.github.io/Logging_2260/tillsynsmail/A 29327-2023 tillsynsbegäran mail.docx", "A 29327-2023")</f>
        <v/>
      </c>
    </row>
    <row r="162" ht="15" customHeight="1">
      <c r="A162" t="inlineStr">
        <is>
          <t>A 39180-2024</t>
        </is>
      </c>
      <c r="B162" s="1" t="n">
        <v>45548.6571412037</v>
      </c>
      <c r="C162" s="1" t="n">
        <v>45878</v>
      </c>
      <c r="D162" t="inlineStr">
        <is>
          <t>VÄSTERNORRLANDS LÄN</t>
        </is>
      </c>
      <c r="E162" t="inlineStr">
        <is>
          <t>ÅNGE</t>
        </is>
      </c>
      <c r="F162" t="inlineStr">
        <is>
          <t>SCA</t>
        </is>
      </c>
      <c r="G162" t="n">
        <v>8.699999999999999</v>
      </c>
      <c r="H162" t="n">
        <v>0</v>
      </c>
      <c r="I162" t="n">
        <v>0</v>
      </c>
      <c r="J162" t="n">
        <v>1</v>
      </c>
      <c r="K162" t="n">
        <v>0</v>
      </c>
      <c r="L162" t="n">
        <v>0</v>
      </c>
      <c r="M162" t="n">
        <v>0</v>
      </c>
      <c r="N162" t="n">
        <v>0</v>
      </c>
      <c r="O162" t="n">
        <v>1</v>
      </c>
      <c r="P162" t="n">
        <v>0</v>
      </c>
      <c r="Q162" t="n">
        <v>1</v>
      </c>
      <c r="R162" s="2" t="inlineStr">
        <is>
          <t>Lunglav</t>
        </is>
      </c>
      <c r="S162">
        <f>HYPERLINK("https://klasma.github.io/Logging_2260/artfynd/A 39180-2024 artfynd.xlsx", "A 39180-2024")</f>
        <v/>
      </c>
      <c r="T162">
        <f>HYPERLINK("https://klasma.github.io/Logging_2260/kartor/A 39180-2024 karta.png", "A 39180-2024")</f>
        <v/>
      </c>
      <c r="V162">
        <f>HYPERLINK("https://klasma.github.io/Logging_2260/klagomål/A 39180-2024 FSC-klagomål.docx", "A 39180-2024")</f>
        <v/>
      </c>
      <c r="W162">
        <f>HYPERLINK("https://klasma.github.io/Logging_2260/klagomålsmail/A 39180-2024 FSC-klagomål mail.docx", "A 39180-2024")</f>
        <v/>
      </c>
      <c r="X162">
        <f>HYPERLINK("https://klasma.github.io/Logging_2260/tillsyn/A 39180-2024 tillsynsbegäran.docx", "A 39180-2024")</f>
        <v/>
      </c>
      <c r="Y162">
        <f>HYPERLINK("https://klasma.github.io/Logging_2260/tillsynsmail/A 39180-2024 tillsynsbegäran mail.docx", "A 39180-2024")</f>
        <v/>
      </c>
    </row>
    <row r="163" ht="15" customHeight="1">
      <c r="A163" t="inlineStr">
        <is>
          <t>A 43171-2024</t>
        </is>
      </c>
      <c r="B163" s="1" t="n">
        <v>45567</v>
      </c>
      <c r="C163" s="1" t="n">
        <v>45878</v>
      </c>
      <c r="D163" t="inlineStr">
        <is>
          <t>VÄSTERNORRLANDS LÄN</t>
        </is>
      </c>
      <c r="E163" t="inlineStr">
        <is>
          <t>ÅNGE</t>
        </is>
      </c>
      <c r="F163" t="inlineStr">
        <is>
          <t>SCA</t>
        </is>
      </c>
      <c r="G163" t="n">
        <v>3.4</v>
      </c>
      <c r="H163" t="n">
        <v>0</v>
      </c>
      <c r="I163" t="n">
        <v>0</v>
      </c>
      <c r="J163" t="n">
        <v>1</v>
      </c>
      <c r="K163" t="n">
        <v>0</v>
      </c>
      <c r="L163" t="n">
        <v>0</v>
      </c>
      <c r="M163" t="n">
        <v>0</v>
      </c>
      <c r="N163" t="n">
        <v>0</v>
      </c>
      <c r="O163" t="n">
        <v>1</v>
      </c>
      <c r="P163" t="n">
        <v>0</v>
      </c>
      <c r="Q163" t="n">
        <v>1</v>
      </c>
      <c r="R163" s="2" t="inlineStr">
        <is>
          <t>Rosenticka</t>
        </is>
      </c>
      <c r="S163">
        <f>HYPERLINK("https://klasma.github.io/Logging_2260/artfynd/A 43171-2024 artfynd.xlsx", "A 43171-2024")</f>
        <v/>
      </c>
      <c r="T163">
        <f>HYPERLINK("https://klasma.github.io/Logging_2260/kartor/A 43171-2024 karta.png", "A 43171-2024")</f>
        <v/>
      </c>
      <c r="V163">
        <f>HYPERLINK("https://klasma.github.io/Logging_2260/klagomål/A 43171-2024 FSC-klagomål.docx", "A 43171-2024")</f>
        <v/>
      </c>
      <c r="W163">
        <f>HYPERLINK("https://klasma.github.io/Logging_2260/klagomålsmail/A 43171-2024 FSC-klagomål mail.docx", "A 43171-2024")</f>
        <v/>
      </c>
      <c r="X163">
        <f>HYPERLINK("https://klasma.github.io/Logging_2260/tillsyn/A 43171-2024 tillsynsbegäran.docx", "A 43171-2024")</f>
        <v/>
      </c>
      <c r="Y163">
        <f>HYPERLINK("https://klasma.github.io/Logging_2260/tillsynsmail/A 43171-2024 tillsynsbegäran mail.docx", "A 43171-2024")</f>
        <v/>
      </c>
    </row>
    <row r="164" ht="15" customHeight="1">
      <c r="A164" t="inlineStr">
        <is>
          <t>A 5-2025</t>
        </is>
      </c>
      <c r="B164" s="1" t="n">
        <v>45658.50527777777</v>
      </c>
      <c r="C164" s="1" t="n">
        <v>45878</v>
      </c>
      <c r="D164" t="inlineStr">
        <is>
          <t>VÄSTERNORRLANDS LÄN</t>
        </is>
      </c>
      <c r="E164" t="inlineStr">
        <is>
          <t>ÅNGE</t>
        </is>
      </c>
      <c r="G164" t="n">
        <v>5.7</v>
      </c>
      <c r="H164" t="n">
        <v>1</v>
      </c>
      <c r="I164" t="n">
        <v>0</v>
      </c>
      <c r="J164" t="n">
        <v>0</v>
      </c>
      <c r="K164" t="n">
        <v>0</v>
      </c>
      <c r="L164" t="n">
        <v>0</v>
      </c>
      <c r="M164" t="n">
        <v>0</v>
      </c>
      <c r="N164" t="n">
        <v>0</v>
      </c>
      <c r="O164" t="n">
        <v>0</v>
      </c>
      <c r="P164" t="n">
        <v>0</v>
      </c>
      <c r="Q164" t="n">
        <v>1</v>
      </c>
      <c r="R164" s="2" t="inlineStr">
        <is>
          <t>Vanlig groda</t>
        </is>
      </c>
      <c r="S164">
        <f>HYPERLINK("https://klasma.github.io/Logging_2260/artfynd/A 5-2025 artfynd.xlsx", "A 5-2025")</f>
        <v/>
      </c>
      <c r="T164">
        <f>HYPERLINK("https://klasma.github.io/Logging_2260/kartor/A 5-2025 karta.png", "A 5-2025")</f>
        <v/>
      </c>
      <c r="V164">
        <f>HYPERLINK("https://klasma.github.io/Logging_2260/klagomål/A 5-2025 FSC-klagomål.docx", "A 5-2025")</f>
        <v/>
      </c>
      <c r="W164">
        <f>HYPERLINK("https://klasma.github.io/Logging_2260/klagomålsmail/A 5-2025 FSC-klagomål mail.docx", "A 5-2025")</f>
        <v/>
      </c>
      <c r="X164">
        <f>HYPERLINK("https://klasma.github.io/Logging_2260/tillsyn/A 5-2025 tillsynsbegäran.docx", "A 5-2025")</f>
        <v/>
      </c>
      <c r="Y164">
        <f>HYPERLINK("https://klasma.github.io/Logging_2260/tillsynsmail/A 5-2025 tillsynsbegäran mail.docx", "A 5-2025")</f>
        <v/>
      </c>
    </row>
    <row r="165" ht="15" customHeight="1">
      <c r="A165" t="inlineStr">
        <is>
          <t>A 39933-2022</t>
        </is>
      </c>
      <c r="B165" s="1" t="n">
        <v>44819</v>
      </c>
      <c r="C165" s="1" t="n">
        <v>45878</v>
      </c>
      <c r="D165" t="inlineStr">
        <is>
          <t>VÄSTERNORRLANDS LÄN</t>
        </is>
      </c>
      <c r="E165" t="inlineStr">
        <is>
          <t>ÅNGE</t>
        </is>
      </c>
      <c r="F165" t="inlineStr">
        <is>
          <t>SCA</t>
        </is>
      </c>
      <c r="G165" t="n">
        <v>13.8</v>
      </c>
      <c r="H165" t="n">
        <v>1</v>
      </c>
      <c r="I165" t="n">
        <v>0</v>
      </c>
      <c r="J165" t="n">
        <v>0</v>
      </c>
      <c r="K165" t="n">
        <v>1</v>
      </c>
      <c r="L165" t="n">
        <v>0</v>
      </c>
      <c r="M165" t="n">
        <v>0</v>
      </c>
      <c r="N165" t="n">
        <v>0</v>
      </c>
      <c r="O165" t="n">
        <v>1</v>
      </c>
      <c r="P165" t="n">
        <v>1</v>
      </c>
      <c r="Q165" t="n">
        <v>1</v>
      </c>
      <c r="R165" s="2" t="inlineStr">
        <is>
          <t>Knärot</t>
        </is>
      </c>
      <c r="S165">
        <f>HYPERLINK("https://klasma.github.io/Logging_2260/artfynd/A 39933-2022 artfynd.xlsx", "A 39933-2022")</f>
        <v/>
      </c>
      <c r="T165">
        <f>HYPERLINK("https://klasma.github.io/Logging_2260/kartor/A 39933-2022 karta.png", "A 39933-2022")</f>
        <v/>
      </c>
      <c r="U165">
        <f>HYPERLINK("https://klasma.github.io/Logging_2260/knärot/A 39933-2022 karta knärot.png", "A 39933-2022")</f>
        <v/>
      </c>
      <c r="V165">
        <f>HYPERLINK("https://klasma.github.io/Logging_2260/klagomål/A 39933-2022 FSC-klagomål.docx", "A 39933-2022")</f>
        <v/>
      </c>
      <c r="W165">
        <f>HYPERLINK("https://klasma.github.io/Logging_2260/klagomålsmail/A 39933-2022 FSC-klagomål mail.docx", "A 39933-2022")</f>
        <v/>
      </c>
      <c r="X165">
        <f>HYPERLINK("https://klasma.github.io/Logging_2260/tillsyn/A 39933-2022 tillsynsbegäran.docx", "A 39933-2022")</f>
        <v/>
      </c>
      <c r="Y165">
        <f>HYPERLINK("https://klasma.github.io/Logging_2260/tillsynsmail/A 39933-2022 tillsynsbegäran mail.docx", "A 39933-2022")</f>
        <v/>
      </c>
    </row>
    <row r="166" ht="15" customHeight="1">
      <c r="A166" t="inlineStr">
        <is>
          <t>A 24799-2024</t>
        </is>
      </c>
      <c r="B166" s="1" t="n">
        <v>45460</v>
      </c>
      <c r="C166" s="1" t="n">
        <v>45878</v>
      </c>
      <c r="D166" t="inlineStr">
        <is>
          <t>VÄSTERNORRLANDS LÄN</t>
        </is>
      </c>
      <c r="E166" t="inlineStr">
        <is>
          <t>ÅNGE</t>
        </is>
      </c>
      <c r="F166" t="inlineStr">
        <is>
          <t>SCA</t>
        </is>
      </c>
      <c r="G166" t="n">
        <v>2.8</v>
      </c>
      <c r="H166" t="n">
        <v>1</v>
      </c>
      <c r="I166" t="n">
        <v>0</v>
      </c>
      <c r="J166" t="n">
        <v>0</v>
      </c>
      <c r="K166" t="n">
        <v>1</v>
      </c>
      <c r="L166" t="n">
        <v>0</v>
      </c>
      <c r="M166" t="n">
        <v>0</v>
      </c>
      <c r="N166" t="n">
        <v>0</v>
      </c>
      <c r="O166" t="n">
        <v>1</v>
      </c>
      <c r="P166" t="n">
        <v>1</v>
      </c>
      <c r="Q166" t="n">
        <v>1</v>
      </c>
      <c r="R166" s="2" t="inlineStr">
        <is>
          <t>Doftticka</t>
        </is>
      </c>
      <c r="S166">
        <f>HYPERLINK("https://klasma.github.io/Logging_2260/artfynd/A 24799-2024 artfynd.xlsx", "A 24799-2024")</f>
        <v/>
      </c>
      <c r="T166">
        <f>HYPERLINK("https://klasma.github.io/Logging_2260/kartor/A 24799-2024 karta.png", "A 24799-2024")</f>
        <v/>
      </c>
      <c r="V166">
        <f>HYPERLINK("https://klasma.github.io/Logging_2260/klagomål/A 24799-2024 FSC-klagomål.docx", "A 24799-2024")</f>
        <v/>
      </c>
      <c r="W166">
        <f>HYPERLINK("https://klasma.github.io/Logging_2260/klagomålsmail/A 24799-2024 FSC-klagomål mail.docx", "A 24799-2024")</f>
        <v/>
      </c>
      <c r="X166">
        <f>HYPERLINK("https://klasma.github.io/Logging_2260/tillsyn/A 24799-2024 tillsynsbegäran.docx", "A 24799-2024")</f>
        <v/>
      </c>
      <c r="Y166">
        <f>HYPERLINK("https://klasma.github.io/Logging_2260/tillsynsmail/A 24799-2024 tillsynsbegäran mail.docx", "A 24799-2024")</f>
        <v/>
      </c>
    </row>
    <row r="167" ht="15" customHeight="1">
      <c r="A167" t="inlineStr">
        <is>
          <t>A 32457-2024</t>
        </is>
      </c>
      <c r="B167" s="1" t="n">
        <v>45512</v>
      </c>
      <c r="C167" s="1" t="n">
        <v>45878</v>
      </c>
      <c r="D167" t="inlineStr">
        <is>
          <t>VÄSTERNORRLANDS LÄN</t>
        </is>
      </c>
      <c r="E167" t="inlineStr">
        <is>
          <t>ÅNGE</t>
        </is>
      </c>
      <c r="F167" t="inlineStr">
        <is>
          <t>SCA</t>
        </is>
      </c>
      <c r="G167" t="n">
        <v>1.3</v>
      </c>
      <c r="H167" t="n">
        <v>0</v>
      </c>
      <c r="I167" t="n">
        <v>0</v>
      </c>
      <c r="J167" t="n">
        <v>1</v>
      </c>
      <c r="K167" t="n">
        <v>0</v>
      </c>
      <c r="L167" t="n">
        <v>0</v>
      </c>
      <c r="M167" t="n">
        <v>0</v>
      </c>
      <c r="N167" t="n">
        <v>0</v>
      </c>
      <c r="O167" t="n">
        <v>1</v>
      </c>
      <c r="P167" t="n">
        <v>0</v>
      </c>
      <c r="Q167" t="n">
        <v>1</v>
      </c>
      <c r="R167" s="2" t="inlineStr">
        <is>
          <t>Ullticka</t>
        </is>
      </c>
      <c r="S167">
        <f>HYPERLINK("https://klasma.github.io/Logging_2260/artfynd/A 32457-2024 artfynd.xlsx", "A 32457-2024")</f>
        <v/>
      </c>
      <c r="T167">
        <f>HYPERLINK("https://klasma.github.io/Logging_2260/kartor/A 32457-2024 karta.png", "A 32457-2024")</f>
        <v/>
      </c>
      <c r="V167">
        <f>HYPERLINK("https://klasma.github.io/Logging_2260/klagomål/A 32457-2024 FSC-klagomål.docx", "A 32457-2024")</f>
        <v/>
      </c>
      <c r="W167">
        <f>HYPERLINK("https://klasma.github.io/Logging_2260/klagomålsmail/A 32457-2024 FSC-klagomål mail.docx", "A 32457-2024")</f>
        <v/>
      </c>
      <c r="X167">
        <f>HYPERLINK("https://klasma.github.io/Logging_2260/tillsyn/A 32457-2024 tillsynsbegäran.docx", "A 32457-2024")</f>
        <v/>
      </c>
      <c r="Y167">
        <f>HYPERLINK("https://klasma.github.io/Logging_2260/tillsynsmail/A 32457-2024 tillsynsbegäran mail.docx", "A 32457-2024")</f>
        <v/>
      </c>
    </row>
    <row r="168" ht="15" customHeight="1">
      <c r="A168" t="inlineStr">
        <is>
          <t>A 13934-2024</t>
        </is>
      </c>
      <c r="B168" s="1" t="n">
        <v>45391</v>
      </c>
      <c r="C168" s="1" t="n">
        <v>45878</v>
      </c>
      <c r="D168" t="inlineStr">
        <is>
          <t>VÄSTERNORRLANDS LÄN</t>
        </is>
      </c>
      <c r="E168" t="inlineStr">
        <is>
          <t>ÅNGE</t>
        </is>
      </c>
      <c r="F168" t="inlineStr">
        <is>
          <t>SCA</t>
        </is>
      </c>
      <c r="G168" t="n">
        <v>5.8</v>
      </c>
      <c r="H168" t="n">
        <v>0</v>
      </c>
      <c r="I168" t="n">
        <v>0</v>
      </c>
      <c r="J168" t="n">
        <v>1</v>
      </c>
      <c r="K168" t="n">
        <v>0</v>
      </c>
      <c r="L168" t="n">
        <v>0</v>
      </c>
      <c r="M168" t="n">
        <v>0</v>
      </c>
      <c r="N168" t="n">
        <v>0</v>
      </c>
      <c r="O168" t="n">
        <v>1</v>
      </c>
      <c r="P168" t="n">
        <v>0</v>
      </c>
      <c r="Q168" t="n">
        <v>1</v>
      </c>
      <c r="R168" s="2" t="inlineStr">
        <is>
          <t>Ullticka</t>
        </is>
      </c>
      <c r="S168">
        <f>HYPERLINK("https://klasma.github.io/Logging_2260/artfynd/A 13934-2024 artfynd.xlsx", "A 13934-2024")</f>
        <v/>
      </c>
      <c r="T168">
        <f>HYPERLINK("https://klasma.github.io/Logging_2260/kartor/A 13934-2024 karta.png", "A 13934-2024")</f>
        <v/>
      </c>
      <c r="V168">
        <f>HYPERLINK("https://klasma.github.io/Logging_2260/klagomål/A 13934-2024 FSC-klagomål.docx", "A 13934-2024")</f>
        <v/>
      </c>
      <c r="W168">
        <f>HYPERLINK("https://klasma.github.io/Logging_2260/klagomålsmail/A 13934-2024 FSC-klagomål mail.docx", "A 13934-2024")</f>
        <v/>
      </c>
      <c r="X168">
        <f>HYPERLINK("https://klasma.github.io/Logging_2260/tillsyn/A 13934-2024 tillsynsbegäran.docx", "A 13934-2024")</f>
        <v/>
      </c>
      <c r="Y168">
        <f>HYPERLINK("https://klasma.github.io/Logging_2260/tillsynsmail/A 13934-2024 tillsynsbegäran mail.docx", "A 13934-2024")</f>
        <v/>
      </c>
    </row>
    <row r="169" ht="15" customHeight="1">
      <c r="A169" t="inlineStr">
        <is>
          <t>A 30774-2024</t>
        </is>
      </c>
      <c r="B169" s="1" t="n">
        <v>45496.949375</v>
      </c>
      <c r="C169" s="1" t="n">
        <v>45878</v>
      </c>
      <c r="D169" t="inlineStr">
        <is>
          <t>VÄSTERNORRLANDS LÄN</t>
        </is>
      </c>
      <c r="E169" t="inlineStr">
        <is>
          <t>ÅNGE</t>
        </is>
      </c>
      <c r="F169" t="inlineStr">
        <is>
          <t>SCA</t>
        </is>
      </c>
      <c r="G169" t="n">
        <v>2.2</v>
      </c>
      <c r="H169" t="n">
        <v>1</v>
      </c>
      <c r="I169" t="n">
        <v>0</v>
      </c>
      <c r="J169" t="n">
        <v>0</v>
      </c>
      <c r="K169" t="n">
        <v>0</v>
      </c>
      <c r="L169" t="n">
        <v>0</v>
      </c>
      <c r="M169" t="n">
        <v>0</v>
      </c>
      <c r="N169" t="n">
        <v>0</v>
      </c>
      <c r="O169" t="n">
        <v>0</v>
      </c>
      <c r="P169" t="n">
        <v>0</v>
      </c>
      <c r="Q169" t="n">
        <v>1</v>
      </c>
      <c r="R169" s="2" t="inlineStr">
        <is>
          <t>Tjäder</t>
        </is>
      </c>
      <c r="S169">
        <f>HYPERLINK("https://klasma.github.io/Logging_2260/artfynd/A 30774-2024 artfynd.xlsx", "A 30774-2024")</f>
        <v/>
      </c>
      <c r="T169">
        <f>HYPERLINK("https://klasma.github.io/Logging_2260/kartor/A 30774-2024 karta.png", "A 30774-2024")</f>
        <v/>
      </c>
      <c r="V169">
        <f>HYPERLINK("https://klasma.github.io/Logging_2260/klagomål/A 30774-2024 FSC-klagomål.docx", "A 30774-2024")</f>
        <v/>
      </c>
      <c r="W169">
        <f>HYPERLINK("https://klasma.github.io/Logging_2260/klagomålsmail/A 30774-2024 FSC-klagomål mail.docx", "A 30774-2024")</f>
        <v/>
      </c>
      <c r="X169">
        <f>HYPERLINK("https://klasma.github.io/Logging_2260/tillsyn/A 30774-2024 tillsynsbegäran.docx", "A 30774-2024")</f>
        <v/>
      </c>
      <c r="Y169">
        <f>HYPERLINK("https://klasma.github.io/Logging_2260/tillsynsmail/A 30774-2024 tillsynsbegäran mail.docx", "A 30774-2024")</f>
        <v/>
      </c>
      <c r="Z169">
        <f>HYPERLINK("https://klasma.github.io/Logging_2260/fåglar/A 30774-2024 prioriterade fågelarter.docx", "A 30774-2024")</f>
        <v/>
      </c>
    </row>
    <row r="170" ht="15" customHeight="1">
      <c r="A170" t="inlineStr">
        <is>
          <t>A 64510-2023</t>
        </is>
      </c>
      <c r="B170" s="1" t="n">
        <v>45281</v>
      </c>
      <c r="C170" s="1" t="n">
        <v>45878</v>
      </c>
      <c r="D170" t="inlineStr">
        <is>
          <t>VÄSTERNORRLANDS LÄN</t>
        </is>
      </c>
      <c r="E170" t="inlineStr">
        <is>
          <t>ÅNGE</t>
        </is>
      </c>
      <c r="G170" t="n">
        <v>3.7</v>
      </c>
      <c r="H170" t="n">
        <v>0</v>
      </c>
      <c r="I170" t="n">
        <v>1</v>
      </c>
      <c r="J170" t="n">
        <v>0</v>
      </c>
      <c r="K170" t="n">
        <v>0</v>
      </c>
      <c r="L170" t="n">
        <v>0</v>
      </c>
      <c r="M170" t="n">
        <v>0</v>
      </c>
      <c r="N170" t="n">
        <v>0</v>
      </c>
      <c r="O170" t="n">
        <v>0</v>
      </c>
      <c r="P170" t="n">
        <v>0</v>
      </c>
      <c r="Q170" t="n">
        <v>1</v>
      </c>
      <c r="R170" s="2" t="inlineStr">
        <is>
          <t>Dropptaggsvamp</t>
        </is>
      </c>
      <c r="S170">
        <f>HYPERLINK("https://klasma.github.io/Logging_2260/artfynd/A 64510-2023 artfynd.xlsx", "A 64510-2023")</f>
        <v/>
      </c>
      <c r="T170">
        <f>HYPERLINK("https://klasma.github.io/Logging_2260/kartor/A 64510-2023 karta.png", "A 64510-2023")</f>
        <v/>
      </c>
      <c r="V170">
        <f>HYPERLINK("https://klasma.github.io/Logging_2260/klagomål/A 64510-2023 FSC-klagomål.docx", "A 64510-2023")</f>
        <v/>
      </c>
      <c r="W170">
        <f>HYPERLINK("https://klasma.github.io/Logging_2260/klagomålsmail/A 64510-2023 FSC-klagomål mail.docx", "A 64510-2023")</f>
        <v/>
      </c>
      <c r="X170">
        <f>HYPERLINK("https://klasma.github.io/Logging_2260/tillsyn/A 64510-2023 tillsynsbegäran.docx", "A 64510-2023")</f>
        <v/>
      </c>
      <c r="Y170">
        <f>HYPERLINK("https://klasma.github.io/Logging_2260/tillsynsmail/A 64510-2023 tillsynsbegäran mail.docx", "A 64510-2023")</f>
        <v/>
      </c>
    </row>
    <row r="171" ht="15" customHeight="1">
      <c r="A171" t="inlineStr">
        <is>
          <t>A 38603-2024</t>
        </is>
      </c>
      <c r="B171" s="1" t="n">
        <v>45546</v>
      </c>
      <c r="C171" s="1" t="n">
        <v>45878</v>
      </c>
      <c r="D171" t="inlineStr">
        <is>
          <t>VÄSTERNORRLANDS LÄN</t>
        </is>
      </c>
      <c r="E171" t="inlineStr">
        <is>
          <t>ÅNGE</t>
        </is>
      </c>
      <c r="F171" t="inlineStr">
        <is>
          <t>SCA</t>
        </is>
      </c>
      <c r="G171" t="n">
        <v>5.6</v>
      </c>
      <c r="H171" t="n">
        <v>0</v>
      </c>
      <c r="I171" t="n">
        <v>0</v>
      </c>
      <c r="J171" t="n">
        <v>0</v>
      </c>
      <c r="K171" t="n">
        <v>1</v>
      </c>
      <c r="L171" t="n">
        <v>0</v>
      </c>
      <c r="M171" t="n">
        <v>0</v>
      </c>
      <c r="N171" t="n">
        <v>0</v>
      </c>
      <c r="O171" t="n">
        <v>1</v>
      </c>
      <c r="P171" t="n">
        <v>1</v>
      </c>
      <c r="Q171" t="n">
        <v>1</v>
      </c>
      <c r="R171" s="2" t="inlineStr">
        <is>
          <t>Rynkskinn</t>
        </is>
      </c>
      <c r="S171">
        <f>HYPERLINK("https://klasma.github.io/Logging_2260/artfynd/A 38603-2024 artfynd.xlsx", "A 38603-2024")</f>
        <v/>
      </c>
      <c r="T171">
        <f>HYPERLINK("https://klasma.github.io/Logging_2260/kartor/A 38603-2024 karta.png", "A 38603-2024")</f>
        <v/>
      </c>
      <c r="V171">
        <f>HYPERLINK("https://klasma.github.io/Logging_2260/klagomål/A 38603-2024 FSC-klagomål.docx", "A 38603-2024")</f>
        <v/>
      </c>
      <c r="W171">
        <f>HYPERLINK("https://klasma.github.io/Logging_2260/klagomålsmail/A 38603-2024 FSC-klagomål mail.docx", "A 38603-2024")</f>
        <v/>
      </c>
      <c r="X171">
        <f>HYPERLINK("https://klasma.github.io/Logging_2260/tillsyn/A 38603-2024 tillsynsbegäran.docx", "A 38603-2024")</f>
        <v/>
      </c>
      <c r="Y171">
        <f>HYPERLINK("https://klasma.github.io/Logging_2260/tillsynsmail/A 38603-2024 tillsynsbegäran mail.docx", "A 38603-2024")</f>
        <v/>
      </c>
    </row>
    <row r="172" ht="15" customHeight="1">
      <c r="A172" t="inlineStr">
        <is>
          <t>A 20192-2025</t>
        </is>
      </c>
      <c r="B172" s="1" t="n">
        <v>45772.60177083333</v>
      </c>
      <c r="C172" s="1" t="n">
        <v>45878</v>
      </c>
      <c r="D172" t="inlineStr">
        <is>
          <t>VÄSTERNORRLANDS LÄN</t>
        </is>
      </c>
      <c r="E172" t="inlineStr">
        <is>
          <t>ÅNGE</t>
        </is>
      </c>
      <c r="F172" t="inlineStr">
        <is>
          <t>Sveaskog</t>
        </is>
      </c>
      <c r="G172" t="n">
        <v>8.800000000000001</v>
      </c>
      <c r="H172" t="n">
        <v>1</v>
      </c>
      <c r="I172" t="n">
        <v>0</v>
      </c>
      <c r="J172" t="n">
        <v>0</v>
      </c>
      <c r="K172" t="n">
        <v>0</v>
      </c>
      <c r="L172" t="n">
        <v>0</v>
      </c>
      <c r="M172" t="n">
        <v>0</v>
      </c>
      <c r="N172" t="n">
        <v>0</v>
      </c>
      <c r="O172" t="n">
        <v>0</v>
      </c>
      <c r="P172" t="n">
        <v>0</v>
      </c>
      <c r="Q172" t="n">
        <v>1</v>
      </c>
      <c r="R172" s="2" t="inlineStr">
        <is>
          <t>Blåsippa</t>
        </is>
      </c>
      <c r="S172">
        <f>HYPERLINK("https://klasma.github.io/Logging_2260/artfynd/A 20192-2025 artfynd.xlsx", "A 20192-2025")</f>
        <v/>
      </c>
      <c r="T172">
        <f>HYPERLINK("https://klasma.github.io/Logging_2260/kartor/A 20192-2025 karta.png", "A 20192-2025")</f>
        <v/>
      </c>
      <c r="V172">
        <f>HYPERLINK("https://klasma.github.io/Logging_2260/klagomål/A 20192-2025 FSC-klagomål.docx", "A 20192-2025")</f>
        <v/>
      </c>
      <c r="W172">
        <f>HYPERLINK("https://klasma.github.io/Logging_2260/klagomålsmail/A 20192-2025 FSC-klagomål mail.docx", "A 20192-2025")</f>
        <v/>
      </c>
      <c r="X172">
        <f>HYPERLINK("https://klasma.github.io/Logging_2260/tillsyn/A 20192-2025 tillsynsbegäran.docx", "A 20192-2025")</f>
        <v/>
      </c>
      <c r="Y172">
        <f>HYPERLINK("https://klasma.github.io/Logging_2260/tillsynsmail/A 20192-2025 tillsynsbegäran mail.docx", "A 20192-2025")</f>
        <v/>
      </c>
    </row>
    <row r="173" ht="15" customHeight="1">
      <c r="A173" t="inlineStr">
        <is>
          <t>A 40416-2020</t>
        </is>
      </c>
      <c r="B173" s="1" t="n">
        <v>44068</v>
      </c>
      <c r="C173" s="1" t="n">
        <v>45878</v>
      </c>
      <c r="D173" t="inlineStr">
        <is>
          <t>VÄSTERNORRLANDS LÄN</t>
        </is>
      </c>
      <c r="E173" t="inlineStr">
        <is>
          <t>ÅNGE</t>
        </is>
      </c>
      <c r="F173" t="inlineStr">
        <is>
          <t>SCA</t>
        </is>
      </c>
      <c r="G173" t="n">
        <v>7.7</v>
      </c>
      <c r="H173" t="n">
        <v>1</v>
      </c>
      <c r="I173" t="n">
        <v>0</v>
      </c>
      <c r="J173" t="n">
        <v>0</v>
      </c>
      <c r="K173" t="n">
        <v>1</v>
      </c>
      <c r="L173" t="n">
        <v>0</v>
      </c>
      <c r="M173" t="n">
        <v>0</v>
      </c>
      <c r="N173" t="n">
        <v>0</v>
      </c>
      <c r="O173" t="n">
        <v>1</v>
      </c>
      <c r="P173" t="n">
        <v>1</v>
      </c>
      <c r="Q173" t="n">
        <v>1</v>
      </c>
      <c r="R173" s="2" t="inlineStr">
        <is>
          <t>Knärot</t>
        </is>
      </c>
      <c r="S173">
        <f>HYPERLINK("https://klasma.github.io/Logging_2260/artfynd/A 40416-2020 artfynd.xlsx", "A 40416-2020")</f>
        <v/>
      </c>
      <c r="T173">
        <f>HYPERLINK("https://klasma.github.io/Logging_2260/kartor/A 40416-2020 karta.png", "A 40416-2020")</f>
        <v/>
      </c>
      <c r="U173">
        <f>HYPERLINK("https://klasma.github.io/Logging_2260/knärot/A 40416-2020 karta knärot.png", "A 40416-2020")</f>
        <v/>
      </c>
      <c r="V173">
        <f>HYPERLINK("https://klasma.github.io/Logging_2260/klagomål/A 40416-2020 FSC-klagomål.docx", "A 40416-2020")</f>
        <v/>
      </c>
      <c r="W173">
        <f>HYPERLINK("https://klasma.github.io/Logging_2260/klagomålsmail/A 40416-2020 FSC-klagomål mail.docx", "A 40416-2020")</f>
        <v/>
      </c>
      <c r="X173">
        <f>HYPERLINK("https://klasma.github.io/Logging_2260/tillsyn/A 40416-2020 tillsynsbegäran.docx", "A 40416-2020")</f>
        <v/>
      </c>
      <c r="Y173">
        <f>HYPERLINK("https://klasma.github.io/Logging_2260/tillsynsmail/A 40416-2020 tillsynsbegäran mail.docx", "A 40416-2020")</f>
        <v/>
      </c>
    </row>
    <row r="174" ht="15" customHeight="1">
      <c r="A174" t="inlineStr">
        <is>
          <t>A 31544-2024</t>
        </is>
      </c>
      <c r="B174" s="1" t="n">
        <v>45505</v>
      </c>
      <c r="C174" s="1" t="n">
        <v>45878</v>
      </c>
      <c r="D174" t="inlineStr">
        <is>
          <t>VÄSTERNORRLANDS LÄN</t>
        </is>
      </c>
      <c r="E174" t="inlineStr">
        <is>
          <t>ÅNGE</t>
        </is>
      </c>
      <c r="F174" t="inlineStr">
        <is>
          <t>SCA</t>
        </is>
      </c>
      <c r="G174" t="n">
        <v>3.5</v>
      </c>
      <c r="H174" t="n">
        <v>0</v>
      </c>
      <c r="I174" t="n">
        <v>0</v>
      </c>
      <c r="J174" t="n">
        <v>1</v>
      </c>
      <c r="K174" t="n">
        <v>0</v>
      </c>
      <c r="L174" t="n">
        <v>0</v>
      </c>
      <c r="M174" t="n">
        <v>0</v>
      </c>
      <c r="N174" t="n">
        <v>0</v>
      </c>
      <c r="O174" t="n">
        <v>1</v>
      </c>
      <c r="P174" t="n">
        <v>0</v>
      </c>
      <c r="Q174" t="n">
        <v>1</v>
      </c>
      <c r="R174" s="2" t="inlineStr">
        <is>
          <t>Granticka</t>
        </is>
      </c>
      <c r="S174">
        <f>HYPERLINK("https://klasma.github.io/Logging_2260/artfynd/A 31544-2024 artfynd.xlsx", "A 31544-2024")</f>
        <v/>
      </c>
      <c r="T174">
        <f>HYPERLINK("https://klasma.github.io/Logging_2260/kartor/A 31544-2024 karta.png", "A 31544-2024")</f>
        <v/>
      </c>
      <c r="V174">
        <f>HYPERLINK("https://klasma.github.io/Logging_2260/klagomål/A 31544-2024 FSC-klagomål.docx", "A 31544-2024")</f>
        <v/>
      </c>
      <c r="W174">
        <f>HYPERLINK("https://klasma.github.io/Logging_2260/klagomålsmail/A 31544-2024 FSC-klagomål mail.docx", "A 31544-2024")</f>
        <v/>
      </c>
      <c r="X174">
        <f>HYPERLINK("https://klasma.github.io/Logging_2260/tillsyn/A 31544-2024 tillsynsbegäran.docx", "A 31544-2024")</f>
        <v/>
      </c>
      <c r="Y174">
        <f>HYPERLINK("https://klasma.github.io/Logging_2260/tillsynsmail/A 31544-2024 tillsynsbegäran mail.docx", "A 31544-2024")</f>
        <v/>
      </c>
    </row>
    <row r="175" ht="15" customHeight="1">
      <c r="A175" t="inlineStr">
        <is>
          <t>A 4351-2024</t>
        </is>
      </c>
      <c r="B175" s="1" t="n">
        <v>45324</v>
      </c>
      <c r="C175" s="1" t="n">
        <v>45878</v>
      </c>
      <c r="D175" t="inlineStr">
        <is>
          <t>VÄSTERNORRLANDS LÄN</t>
        </is>
      </c>
      <c r="E175" t="inlineStr">
        <is>
          <t>ÅNGE</t>
        </is>
      </c>
      <c r="F175" t="inlineStr">
        <is>
          <t>SCA</t>
        </is>
      </c>
      <c r="G175" t="n">
        <v>0.5</v>
      </c>
      <c r="H175" t="n">
        <v>0</v>
      </c>
      <c r="I175" t="n">
        <v>0</v>
      </c>
      <c r="J175" t="n">
        <v>1</v>
      </c>
      <c r="K175" t="n">
        <v>0</v>
      </c>
      <c r="L175" t="n">
        <v>0</v>
      </c>
      <c r="M175" t="n">
        <v>0</v>
      </c>
      <c r="N175" t="n">
        <v>0</v>
      </c>
      <c r="O175" t="n">
        <v>1</v>
      </c>
      <c r="P175" t="n">
        <v>0</v>
      </c>
      <c r="Q175" t="n">
        <v>1</v>
      </c>
      <c r="R175" s="2" t="inlineStr">
        <is>
          <t>Garnlav</t>
        </is>
      </c>
      <c r="S175">
        <f>HYPERLINK("https://klasma.github.io/Logging_2260/artfynd/A 4351-2024 artfynd.xlsx", "A 4351-2024")</f>
        <v/>
      </c>
      <c r="T175">
        <f>HYPERLINK("https://klasma.github.io/Logging_2260/kartor/A 4351-2024 karta.png", "A 4351-2024")</f>
        <v/>
      </c>
      <c r="V175">
        <f>HYPERLINK("https://klasma.github.io/Logging_2260/klagomål/A 4351-2024 FSC-klagomål.docx", "A 4351-2024")</f>
        <v/>
      </c>
      <c r="W175">
        <f>HYPERLINK("https://klasma.github.io/Logging_2260/klagomålsmail/A 4351-2024 FSC-klagomål mail.docx", "A 4351-2024")</f>
        <v/>
      </c>
      <c r="X175">
        <f>HYPERLINK("https://klasma.github.io/Logging_2260/tillsyn/A 4351-2024 tillsynsbegäran.docx", "A 4351-2024")</f>
        <v/>
      </c>
      <c r="Y175">
        <f>HYPERLINK("https://klasma.github.io/Logging_2260/tillsynsmail/A 4351-2024 tillsynsbegäran mail.docx", "A 4351-2024")</f>
        <v/>
      </c>
    </row>
    <row r="176" ht="15" customHeight="1">
      <c r="A176" t="inlineStr">
        <is>
          <t>A 27308-2024</t>
        </is>
      </c>
      <c r="B176" s="1" t="n">
        <v>45471</v>
      </c>
      <c r="C176" s="1" t="n">
        <v>45878</v>
      </c>
      <c r="D176" t="inlineStr">
        <is>
          <t>VÄSTERNORRLANDS LÄN</t>
        </is>
      </c>
      <c r="E176" t="inlineStr">
        <is>
          <t>ÅNGE</t>
        </is>
      </c>
      <c r="F176" t="inlineStr">
        <is>
          <t>SCA</t>
        </is>
      </c>
      <c r="G176" t="n">
        <v>15.9</v>
      </c>
      <c r="H176" t="n">
        <v>0</v>
      </c>
      <c r="I176" t="n">
        <v>0</v>
      </c>
      <c r="J176" t="n">
        <v>1</v>
      </c>
      <c r="K176" t="n">
        <v>0</v>
      </c>
      <c r="L176" t="n">
        <v>0</v>
      </c>
      <c r="M176" t="n">
        <v>0</v>
      </c>
      <c r="N176" t="n">
        <v>0</v>
      </c>
      <c r="O176" t="n">
        <v>1</v>
      </c>
      <c r="P176" t="n">
        <v>0</v>
      </c>
      <c r="Q176" t="n">
        <v>1</v>
      </c>
      <c r="R176" s="2" t="inlineStr">
        <is>
          <t>Lunglav</t>
        </is>
      </c>
      <c r="S176">
        <f>HYPERLINK("https://klasma.github.io/Logging_2260/artfynd/A 27308-2024 artfynd.xlsx", "A 27308-2024")</f>
        <v/>
      </c>
      <c r="T176">
        <f>HYPERLINK("https://klasma.github.io/Logging_2260/kartor/A 27308-2024 karta.png", "A 27308-2024")</f>
        <v/>
      </c>
      <c r="V176">
        <f>HYPERLINK("https://klasma.github.io/Logging_2260/klagomål/A 27308-2024 FSC-klagomål.docx", "A 27308-2024")</f>
        <v/>
      </c>
      <c r="W176">
        <f>HYPERLINK("https://klasma.github.io/Logging_2260/klagomålsmail/A 27308-2024 FSC-klagomål mail.docx", "A 27308-2024")</f>
        <v/>
      </c>
      <c r="X176">
        <f>HYPERLINK("https://klasma.github.io/Logging_2260/tillsyn/A 27308-2024 tillsynsbegäran.docx", "A 27308-2024")</f>
        <v/>
      </c>
      <c r="Y176">
        <f>HYPERLINK("https://klasma.github.io/Logging_2260/tillsynsmail/A 27308-2024 tillsynsbegäran mail.docx", "A 27308-2024")</f>
        <v/>
      </c>
    </row>
    <row r="177" ht="15" customHeight="1">
      <c r="A177" t="inlineStr">
        <is>
          <t>A 71366-2021</t>
        </is>
      </c>
      <c r="B177" s="1" t="n">
        <v>44539</v>
      </c>
      <c r="C177" s="1" t="n">
        <v>45878</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56091-2024</t>
        </is>
      </c>
      <c r="B178" s="1" t="n">
        <v>45624.40678240741</v>
      </c>
      <c r="C178" s="1" t="n">
        <v>45878</v>
      </c>
      <c r="D178" t="inlineStr">
        <is>
          <t>VÄSTERNORRLANDS LÄN</t>
        </is>
      </c>
      <c r="E178" t="inlineStr">
        <is>
          <t>ÅNGE</t>
        </is>
      </c>
      <c r="F178" t="inlineStr">
        <is>
          <t>SCA</t>
        </is>
      </c>
      <c r="G178" t="n">
        <v>2.5</v>
      </c>
      <c r="H178" t="n">
        <v>0</v>
      </c>
      <c r="I178" t="n">
        <v>0</v>
      </c>
      <c r="J178" t="n">
        <v>1</v>
      </c>
      <c r="K178" t="n">
        <v>0</v>
      </c>
      <c r="L178" t="n">
        <v>0</v>
      </c>
      <c r="M178" t="n">
        <v>0</v>
      </c>
      <c r="N178" t="n">
        <v>0</v>
      </c>
      <c r="O178" t="n">
        <v>1</v>
      </c>
      <c r="P178" t="n">
        <v>0</v>
      </c>
      <c r="Q178" t="n">
        <v>1</v>
      </c>
      <c r="R178" s="2" t="inlineStr">
        <is>
          <t>Mörk kolflarnlav</t>
        </is>
      </c>
      <c r="S178">
        <f>HYPERLINK("https://klasma.github.io/Logging_2260/artfynd/A 56091-2024 artfynd.xlsx", "A 56091-2024")</f>
        <v/>
      </c>
      <c r="T178">
        <f>HYPERLINK("https://klasma.github.io/Logging_2260/kartor/A 56091-2024 karta.png", "A 56091-2024")</f>
        <v/>
      </c>
      <c r="V178">
        <f>HYPERLINK("https://klasma.github.io/Logging_2260/klagomål/A 56091-2024 FSC-klagomål.docx", "A 56091-2024")</f>
        <v/>
      </c>
      <c r="W178">
        <f>HYPERLINK("https://klasma.github.io/Logging_2260/klagomålsmail/A 56091-2024 FSC-klagomål mail.docx", "A 56091-2024")</f>
        <v/>
      </c>
      <c r="X178">
        <f>HYPERLINK("https://klasma.github.io/Logging_2260/tillsyn/A 56091-2024 tillsynsbegäran.docx", "A 56091-2024")</f>
        <v/>
      </c>
      <c r="Y178">
        <f>HYPERLINK("https://klasma.github.io/Logging_2260/tillsynsmail/A 56091-2024 tillsynsbegäran mail.docx", "A 56091-2024")</f>
        <v/>
      </c>
    </row>
    <row r="179" ht="15" customHeight="1">
      <c r="A179" t="inlineStr">
        <is>
          <t>A 37914-2024</t>
        </is>
      </c>
      <c r="B179" s="1" t="n">
        <v>45544</v>
      </c>
      <c r="C179" s="1" t="n">
        <v>45878</v>
      </c>
      <c r="D179" t="inlineStr">
        <is>
          <t>VÄSTERNORRLANDS LÄN</t>
        </is>
      </c>
      <c r="E179" t="inlineStr">
        <is>
          <t>ÅNGE</t>
        </is>
      </c>
      <c r="F179" t="inlineStr">
        <is>
          <t>SCA</t>
        </is>
      </c>
      <c r="G179" t="n">
        <v>9</v>
      </c>
      <c r="H179" t="n">
        <v>0</v>
      </c>
      <c r="I179" t="n">
        <v>0</v>
      </c>
      <c r="J179" t="n">
        <v>1</v>
      </c>
      <c r="K179" t="n">
        <v>0</v>
      </c>
      <c r="L179" t="n">
        <v>0</v>
      </c>
      <c r="M179" t="n">
        <v>0</v>
      </c>
      <c r="N179" t="n">
        <v>0</v>
      </c>
      <c r="O179" t="n">
        <v>1</v>
      </c>
      <c r="P179" t="n">
        <v>0</v>
      </c>
      <c r="Q179" t="n">
        <v>1</v>
      </c>
      <c r="R179" s="2" t="inlineStr">
        <is>
          <t>Granticka</t>
        </is>
      </c>
      <c r="S179">
        <f>HYPERLINK("https://klasma.github.io/Logging_2260/artfynd/A 37914-2024 artfynd.xlsx", "A 37914-2024")</f>
        <v/>
      </c>
      <c r="T179">
        <f>HYPERLINK("https://klasma.github.io/Logging_2260/kartor/A 37914-2024 karta.png", "A 37914-2024")</f>
        <v/>
      </c>
      <c r="V179">
        <f>HYPERLINK("https://klasma.github.io/Logging_2260/klagomål/A 37914-2024 FSC-klagomål.docx", "A 37914-2024")</f>
        <v/>
      </c>
      <c r="W179">
        <f>HYPERLINK("https://klasma.github.io/Logging_2260/klagomålsmail/A 37914-2024 FSC-klagomål mail.docx", "A 37914-2024")</f>
        <v/>
      </c>
      <c r="X179">
        <f>HYPERLINK("https://klasma.github.io/Logging_2260/tillsyn/A 37914-2024 tillsynsbegäran.docx", "A 37914-2024")</f>
        <v/>
      </c>
      <c r="Y179">
        <f>HYPERLINK("https://klasma.github.io/Logging_2260/tillsynsmail/A 37914-2024 tillsynsbegäran mail.docx", "A 37914-2024")</f>
        <v/>
      </c>
    </row>
    <row r="180" ht="15" customHeight="1">
      <c r="A180" t="inlineStr">
        <is>
          <t>A 31878-2024</t>
        </is>
      </c>
      <c r="B180" s="1" t="n">
        <v>45509</v>
      </c>
      <c r="C180" s="1" t="n">
        <v>45878</v>
      </c>
      <c r="D180" t="inlineStr">
        <is>
          <t>VÄSTERNORRLANDS LÄN</t>
        </is>
      </c>
      <c r="E180" t="inlineStr">
        <is>
          <t>ÅNGE</t>
        </is>
      </c>
      <c r="F180" t="inlineStr">
        <is>
          <t>SCA</t>
        </is>
      </c>
      <c r="G180" t="n">
        <v>5.1</v>
      </c>
      <c r="H180" t="n">
        <v>0</v>
      </c>
      <c r="I180" t="n">
        <v>1</v>
      </c>
      <c r="J180" t="n">
        <v>0</v>
      </c>
      <c r="K180" t="n">
        <v>0</v>
      </c>
      <c r="L180" t="n">
        <v>0</v>
      </c>
      <c r="M180" t="n">
        <v>0</v>
      </c>
      <c r="N180" t="n">
        <v>0</v>
      </c>
      <c r="O180" t="n">
        <v>0</v>
      </c>
      <c r="P180" t="n">
        <v>0</v>
      </c>
      <c r="Q180" t="n">
        <v>1</v>
      </c>
      <c r="R180" s="2" t="inlineStr">
        <is>
          <t>Grönpyrola</t>
        </is>
      </c>
      <c r="S180">
        <f>HYPERLINK("https://klasma.github.io/Logging_2260/artfynd/A 31878-2024 artfynd.xlsx", "A 31878-2024")</f>
        <v/>
      </c>
      <c r="T180">
        <f>HYPERLINK("https://klasma.github.io/Logging_2260/kartor/A 31878-2024 karta.png", "A 31878-2024")</f>
        <v/>
      </c>
      <c r="V180">
        <f>HYPERLINK("https://klasma.github.io/Logging_2260/klagomål/A 31878-2024 FSC-klagomål.docx", "A 31878-2024")</f>
        <v/>
      </c>
      <c r="W180">
        <f>HYPERLINK("https://klasma.github.io/Logging_2260/klagomålsmail/A 31878-2024 FSC-klagomål mail.docx", "A 31878-2024")</f>
        <v/>
      </c>
      <c r="X180">
        <f>HYPERLINK("https://klasma.github.io/Logging_2260/tillsyn/A 31878-2024 tillsynsbegäran.docx", "A 31878-2024")</f>
        <v/>
      </c>
      <c r="Y180">
        <f>HYPERLINK("https://klasma.github.io/Logging_2260/tillsynsmail/A 31878-2024 tillsynsbegäran mail.docx", "A 31878-2024")</f>
        <v/>
      </c>
    </row>
    <row r="181" ht="15" customHeight="1">
      <c r="A181" t="inlineStr">
        <is>
          <t>A 31510-2024</t>
        </is>
      </c>
      <c r="B181" s="1" t="n">
        <v>45505</v>
      </c>
      <c r="C181" s="1" t="n">
        <v>45878</v>
      </c>
      <c r="D181" t="inlineStr">
        <is>
          <t>VÄSTERNORRLANDS LÄN</t>
        </is>
      </c>
      <c r="E181" t="inlineStr">
        <is>
          <t>ÅNGE</t>
        </is>
      </c>
      <c r="F181" t="inlineStr">
        <is>
          <t>SCA</t>
        </is>
      </c>
      <c r="G181" t="n">
        <v>6</v>
      </c>
      <c r="H181" t="n">
        <v>1</v>
      </c>
      <c r="I181" t="n">
        <v>0</v>
      </c>
      <c r="J181" t="n">
        <v>0</v>
      </c>
      <c r="K181" t="n">
        <v>1</v>
      </c>
      <c r="L181" t="n">
        <v>0</v>
      </c>
      <c r="M181" t="n">
        <v>0</v>
      </c>
      <c r="N181" t="n">
        <v>0</v>
      </c>
      <c r="O181" t="n">
        <v>1</v>
      </c>
      <c r="P181" t="n">
        <v>1</v>
      </c>
      <c r="Q181" t="n">
        <v>1</v>
      </c>
      <c r="R181" s="2" t="inlineStr">
        <is>
          <t>Doftticka</t>
        </is>
      </c>
      <c r="S181">
        <f>HYPERLINK("https://klasma.github.io/Logging_2260/artfynd/A 31510-2024 artfynd.xlsx", "A 31510-2024")</f>
        <v/>
      </c>
      <c r="T181">
        <f>HYPERLINK("https://klasma.github.io/Logging_2260/kartor/A 31510-2024 karta.png", "A 31510-2024")</f>
        <v/>
      </c>
      <c r="V181">
        <f>HYPERLINK("https://klasma.github.io/Logging_2260/klagomål/A 31510-2024 FSC-klagomål.docx", "A 31510-2024")</f>
        <v/>
      </c>
      <c r="W181">
        <f>HYPERLINK("https://klasma.github.io/Logging_2260/klagomålsmail/A 31510-2024 FSC-klagomål mail.docx", "A 31510-2024")</f>
        <v/>
      </c>
      <c r="X181">
        <f>HYPERLINK("https://klasma.github.io/Logging_2260/tillsyn/A 31510-2024 tillsynsbegäran.docx", "A 31510-2024")</f>
        <v/>
      </c>
      <c r="Y181">
        <f>HYPERLINK("https://klasma.github.io/Logging_2260/tillsynsmail/A 31510-2024 tillsynsbegäran mail.docx", "A 31510-2024")</f>
        <v/>
      </c>
    </row>
    <row r="182" ht="15" customHeight="1">
      <c r="A182" t="inlineStr">
        <is>
          <t>A 57272-2024</t>
        </is>
      </c>
      <c r="B182" s="1" t="n">
        <v>45629.57380787037</v>
      </c>
      <c r="C182" s="1" t="n">
        <v>45878</v>
      </c>
      <c r="D182" t="inlineStr">
        <is>
          <t>VÄSTERNORRLANDS LÄN</t>
        </is>
      </c>
      <c r="E182" t="inlineStr">
        <is>
          <t>ÅNGE</t>
        </is>
      </c>
      <c r="F182" t="inlineStr">
        <is>
          <t>SCA</t>
        </is>
      </c>
      <c r="G182" t="n">
        <v>5.4</v>
      </c>
      <c r="H182" t="n">
        <v>0</v>
      </c>
      <c r="I182" t="n">
        <v>0</v>
      </c>
      <c r="J182" t="n">
        <v>1</v>
      </c>
      <c r="K182" t="n">
        <v>0</v>
      </c>
      <c r="L182" t="n">
        <v>0</v>
      </c>
      <c r="M182" t="n">
        <v>0</v>
      </c>
      <c r="N182" t="n">
        <v>0</v>
      </c>
      <c r="O182" t="n">
        <v>1</v>
      </c>
      <c r="P182" t="n">
        <v>0</v>
      </c>
      <c r="Q182" t="n">
        <v>1</v>
      </c>
      <c r="R182" s="2" t="inlineStr">
        <is>
          <t>Orange taggsvamp</t>
        </is>
      </c>
      <c r="S182">
        <f>HYPERLINK("https://klasma.github.io/Logging_2260/artfynd/A 57272-2024 artfynd.xlsx", "A 57272-2024")</f>
        <v/>
      </c>
      <c r="T182">
        <f>HYPERLINK("https://klasma.github.io/Logging_2260/kartor/A 57272-2024 karta.png", "A 57272-2024")</f>
        <v/>
      </c>
      <c r="V182">
        <f>HYPERLINK("https://klasma.github.io/Logging_2260/klagomål/A 57272-2024 FSC-klagomål.docx", "A 57272-2024")</f>
        <v/>
      </c>
      <c r="W182">
        <f>HYPERLINK("https://klasma.github.io/Logging_2260/klagomålsmail/A 57272-2024 FSC-klagomål mail.docx", "A 57272-2024")</f>
        <v/>
      </c>
      <c r="X182">
        <f>HYPERLINK("https://klasma.github.io/Logging_2260/tillsyn/A 57272-2024 tillsynsbegäran.docx", "A 57272-2024")</f>
        <v/>
      </c>
      <c r="Y182">
        <f>HYPERLINK("https://klasma.github.io/Logging_2260/tillsynsmail/A 57272-2024 tillsynsbegäran mail.docx", "A 57272-2024")</f>
        <v/>
      </c>
    </row>
    <row r="183" ht="15" customHeight="1">
      <c r="A183" t="inlineStr">
        <is>
          <t>A 54386-2024</t>
        </is>
      </c>
      <c r="B183" s="1" t="n">
        <v>45617.44822916666</v>
      </c>
      <c r="C183" s="1" t="n">
        <v>45878</v>
      </c>
      <c r="D183" t="inlineStr">
        <is>
          <t>VÄSTERNORRLANDS LÄN</t>
        </is>
      </c>
      <c r="E183" t="inlineStr">
        <is>
          <t>ÅNGE</t>
        </is>
      </c>
      <c r="F183" t="inlineStr">
        <is>
          <t>SCA</t>
        </is>
      </c>
      <c r="G183" t="n">
        <v>1.9</v>
      </c>
      <c r="H183" t="n">
        <v>0</v>
      </c>
      <c r="I183" t="n">
        <v>0</v>
      </c>
      <c r="J183" t="n">
        <v>1</v>
      </c>
      <c r="K183" t="n">
        <v>0</v>
      </c>
      <c r="L183" t="n">
        <v>0</v>
      </c>
      <c r="M183" t="n">
        <v>0</v>
      </c>
      <c r="N183" t="n">
        <v>0</v>
      </c>
      <c r="O183" t="n">
        <v>1</v>
      </c>
      <c r="P183" t="n">
        <v>0</v>
      </c>
      <c r="Q183" t="n">
        <v>1</v>
      </c>
      <c r="R183" s="2" t="inlineStr">
        <is>
          <t>Reliktbock</t>
        </is>
      </c>
      <c r="S183">
        <f>HYPERLINK("https://klasma.github.io/Logging_2260/artfynd/A 54386-2024 artfynd.xlsx", "A 54386-2024")</f>
        <v/>
      </c>
      <c r="T183">
        <f>HYPERLINK("https://klasma.github.io/Logging_2260/kartor/A 54386-2024 karta.png", "A 54386-2024")</f>
        <v/>
      </c>
      <c r="V183">
        <f>HYPERLINK("https://klasma.github.io/Logging_2260/klagomål/A 54386-2024 FSC-klagomål.docx", "A 54386-2024")</f>
        <v/>
      </c>
      <c r="W183">
        <f>HYPERLINK("https://klasma.github.io/Logging_2260/klagomålsmail/A 54386-2024 FSC-klagomål mail.docx", "A 54386-2024")</f>
        <v/>
      </c>
      <c r="X183">
        <f>HYPERLINK("https://klasma.github.io/Logging_2260/tillsyn/A 54386-2024 tillsynsbegäran.docx", "A 54386-2024")</f>
        <v/>
      </c>
      <c r="Y183">
        <f>HYPERLINK("https://klasma.github.io/Logging_2260/tillsynsmail/A 54386-2024 tillsynsbegäran mail.docx", "A 54386-2024")</f>
        <v/>
      </c>
    </row>
    <row r="184" ht="15" customHeight="1">
      <c r="A184" t="inlineStr">
        <is>
          <t>A 55015-2023</t>
        </is>
      </c>
      <c r="B184" s="1" t="n">
        <v>45237.32185185186</v>
      </c>
      <c r="C184" s="1" t="n">
        <v>45878</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1449-2025</t>
        </is>
      </c>
      <c r="B185" s="1" t="n">
        <v>45670.27537037037</v>
      </c>
      <c r="C185" s="1" t="n">
        <v>45878</v>
      </c>
      <c r="D185" t="inlineStr">
        <is>
          <t>VÄSTERNORRLANDS LÄN</t>
        </is>
      </c>
      <c r="E185" t="inlineStr">
        <is>
          <t>ÅNGE</t>
        </is>
      </c>
      <c r="G185" t="n">
        <v>6.3</v>
      </c>
      <c r="H185" t="n">
        <v>0</v>
      </c>
      <c r="I185" t="n">
        <v>1</v>
      </c>
      <c r="J185" t="n">
        <v>0</v>
      </c>
      <c r="K185" t="n">
        <v>0</v>
      </c>
      <c r="L185" t="n">
        <v>0</v>
      </c>
      <c r="M185" t="n">
        <v>0</v>
      </c>
      <c r="N185" t="n">
        <v>0</v>
      </c>
      <c r="O185" t="n">
        <v>0</v>
      </c>
      <c r="P185" t="n">
        <v>0</v>
      </c>
      <c r="Q185" t="n">
        <v>1</v>
      </c>
      <c r="R185" s="2" t="inlineStr">
        <is>
          <t>Korallblylav</t>
        </is>
      </c>
      <c r="S185">
        <f>HYPERLINK("https://klasma.github.io/Logging_2260/artfynd/A 1449-2025 artfynd.xlsx", "A 1449-2025")</f>
        <v/>
      </c>
      <c r="T185">
        <f>HYPERLINK("https://klasma.github.io/Logging_2260/kartor/A 1449-2025 karta.png", "A 1449-2025")</f>
        <v/>
      </c>
      <c r="V185">
        <f>HYPERLINK("https://klasma.github.io/Logging_2260/klagomål/A 1449-2025 FSC-klagomål.docx", "A 1449-2025")</f>
        <v/>
      </c>
      <c r="W185">
        <f>HYPERLINK("https://klasma.github.io/Logging_2260/klagomålsmail/A 1449-2025 FSC-klagomål mail.docx", "A 1449-2025")</f>
        <v/>
      </c>
      <c r="X185">
        <f>HYPERLINK("https://klasma.github.io/Logging_2260/tillsyn/A 1449-2025 tillsynsbegäran.docx", "A 1449-2025")</f>
        <v/>
      </c>
      <c r="Y185">
        <f>HYPERLINK("https://klasma.github.io/Logging_2260/tillsynsmail/A 1449-2025 tillsynsbegäran mail.docx", "A 1449-2025")</f>
        <v/>
      </c>
    </row>
    <row r="186" ht="15" customHeight="1">
      <c r="A186" t="inlineStr">
        <is>
          <t>A 27025-2025</t>
        </is>
      </c>
      <c r="B186" s="1" t="n">
        <v>45811</v>
      </c>
      <c r="C186" s="1" t="n">
        <v>45878</v>
      </c>
      <c r="D186" t="inlineStr">
        <is>
          <t>VÄSTERNORRLANDS LÄN</t>
        </is>
      </c>
      <c r="E186" t="inlineStr">
        <is>
          <t>ÅNGE</t>
        </is>
      </c>
      <c r="G186" t="n">
        <v>25.5</v>
      </c>
      <c r="H186" t="n">
        <v>0</v>
      </c>
      <c r="I186" t="n">
        <v>0</v>
      </c>
      <c r="J186" t="n">
        <v>1</v>
      </c>
      <c r="K186" t="n">
        <v>0</v>
      </c>
      <c r="L186" t="n">
        <v>0</v>
      </c>
      <c r="M186" t="n">
        <v>0</v>
      </c>
      <c r="N186" t="n">
        <v>0</v>
      </c>
      <c r="O186" t="n">
        <v>1</v>
      </c>
      <c r="P186" t="n">
        <v>0</v>
      </c>
      <c r="Q186" t="n">
        <v>1</v>
      </c>
      <c r="R186" s="2" t="inlineStr">
        <is>
          <t>Garnlav</t>
        </is>
      </c>
      <c r="S186">
        <f>HYPERLINK("https://klasma.github.io/Logging_2260/artfynd/A 27025-2025 artfynd.xlsx", "A 27025-2025")</f>
        <v/>
      </c>
      <c r="T186">
        <f>HYPERLINK("https://klasma.github.io/Logging_2260/kartor/A 27025-2025 karta.png", "A 27025-2025")</f>
        <v/>
      </c>
      <c r="U186">
        <f>HYPERLINK("https://klasma.github.io/Logging_2260/knärot/A 27025-2025 karta knärot.png", "A 27025-2025")</f>
        <v/>
      </c>
      <c r="V186">
        <f>HYPERLINK("https://klasma.github.io/Logging_2260/klagomål/A 27025-2025 FSC-klagomål.docx", "A 27025-2025")</f>
        <v/>
      </c>
      <c r="W186">
        <f>HYPERLINK("https://klasma.github.io/Logging_2260/klagomålsmail/A 27025-2025 FSC-klagomål mail.docx", "A 27025-2025")</f>
        <v/>
      </c>
      <c r="X186">
        <f>HYPERLINK("https://klasma.github.io/Logging_2260/tillsyn/A 27025-2025 tillsynsbegäran.docx", "A 27025-2025")</f>
        <v/>
      </c>
      <c r="Y186">
        <f>HYPERLINK("https://klasma.github.io/Logging_2260/tillsynsmail/A 27025-2025 tillsynsbegäran mail.docx", "A 27025-2025")</f>
        <v/>
      </c>
    </row>
    <row r="187" ht="15" customHeight="1">
      <c r="A187" t="inlineStr">
        <is>
          <t>A 34696-2024</t>
        </is>
      </c>
      <c r="B187" s="1" t="n">
        <v>45526</v>
      </c>
      <c r="C187" s="1" t="n">
        <v>45878</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41493-2021</t>
        </is>
      </c>
      <c r="B188" s="1" t="n">
        <v>44424</v>
      </c>
      <c r="C188" s="1" t="n">
        <v>45878</v>
      </c>
      <c r="D188" t="inlineStr">
        <is>
          <t>VÄSTERNORRLANDS LÄN</t>
        </is>
      </c>
      <c r="E188" t="inlineStr">
        <is>
          <t>ÅNGE</t>
        </is>
      </c>
      <c r="F188" t="inlineStr">
        <is>
          <t>SCA</t>
        </is>
      </c>
      <c r="G188" t="n">
        <v>8</v>
      </c>
      <c r="H188" t="n">
        <v>1</v>
      </c>
      <c r="I188" t="n">
        <v>0</v>
      </c>
      <c r="J188" t="n">
        <v>0</v>
      </c>
      <c r="K188" t="n">
        <v>1</v>
      </c>
      <c r="L188" t="n">
        <v>0</v>
      </c>
      <c r="M188" t="n">
        <v>0</v>
      </c>
      <c r="N188" t="n">
        <v>0</v>
      </c>
      <c r="O188" t="n">
        <v>1</v>
      </c>
      <c r="P188" t="n">
        <v>1</v>
      </c>
      <c r="Q188" t="n">
        <v>1</v>
      </c>
      <c r="R188" s="2" t="inlineStr">
        <is>
          <t>Knärot</t>
        </is>
      </c>
      <c r="S188">
        <f>HYPERLINK("https://klasma.github.io/Logging_2260/artfynd/A 41493-2021 artfynd.xlsx", "A 41493-2021")</f>
        <v/>
      </c>
      <c r="T188">
        <f>HYPERLINK("https://klasma.github.io/Logging_2260/kartor/A 41493-2021 karta.png", "A 41493-2021")</f>
        <v/>
      </c>
      <c r="U188">
        <f>HYPERLINK("https://klasma.github.io/Logging_2260/knärot/A 41493-2021 karta knärot.png", "A 41493-2021")</f>
        <v/>
      </c>
      <c r="V188">
        <f>HYPERLINK("https://klasma.github.io/Logging_2260/klagomål/A 41493-2021 FSC-klagomål.docx", "A 41493-2021")</f>
        <v/>
      </c>
      <c r="W188">
        <f>HYPERLINK("https://klasma.github.io/Logging_2260/klagomålsmail/A 41493-2021 FSC-klagomål mail.docx", "A 41493-2021")</f>
        <v/>
      </c>
      <c r="X188">
        <f>HYPERLINK("https://klasma.github.io/Logging_2260/tillsyn/A 41493-2021 tillsynsbegäran.docx", "A 41493-2021")</f>
        <v/>
      </c>
      <c r="Y188">
        <f>HYPERLINK("https://klasma.github.io/Logging_2260/tillsynsmail/A 41493-2021 tillsynsbegäran mail.docx", "A 41493-2021")</f>
        <v/>
      </c>
    </row>
    <row r="189" ht="15" customHeight="1">
      <c r="A189" t="inlineStr">
        <is>
          <t>A 25705-2024</t>
        </is>
      </c>
      <c r="B189" s="1" t="n">
        <v>45463.9428587963</v>
      </c>
      <c r="C189" s="1" t="n">
        <v>45878</v>
      </c>
      <c r="D189" t="inlineStr">
        <is>
          <t>VÄSTERNORRLANDS LÄN</t>
        </is>
      </c>
      <c r="E189" t="inlineStr">
        <is>
          <t>ÅNGE</t>
        </is>
      </c>
      <c r="F189" t="inlineStr">
        <is>
          <t>SCA</t>
        </is>
      </c>
      <c r="G189" t="n">
        <v>10.6</v>
      </c>
      <c r="H189" t="n">
        <v>1</v>
      </c>
      <c r="I189" t="n">
        <v>1</v>
      </c>
      <c r="J189" t="n">
        <v>0</v>
      </c>
      <c r="K189" t="n">
        <v>0</v>
      </c>
      <c r="L189" t="n">
        <v>0</v>
      </c>
      <c r="M189" t="n">
        <v>0</v>
      </c>
      <c r="N189" t="n">
        <v>0</v>
      </c>
      <c r="O189" t="n">
        <v>0</v>
      </c>
      <c r="P189" t="n">
        <v>0</v>
      </c>
      <c r="Q189" t="n">
        <v>1</v>
      </c>
      <c r="R189" s="2" t="inlineStr">
        <is>
          <t>Korallrot</t>
        </is>
      </c>
      <c r="S189">
        <f>HYPERLINK("https://klasma.github.io/Logging_2260/artfynd/A 25705-2024 artfynd.xlsx", "A 25705-2024")</f>
        <v/>
      </c>
      <c r="T189">
        <f>HYPERLINK("https://klasma.github.io/Logging_2260/kartor/A 25705-2024 karta.png", "A 25705-2024")</f>
        <v/>
      </c>
      <c r="V189">
        <f>HYPERLINK("https://klasma.github.io/Logging_2260/klagomål/A 25705-2024 FSC-klagomål.docx", "A 25705-2024")</f>
        <v/>
      </c>
      <c r="W189">
        <f>HYPERLINK("https://klasma.github.io/Logging_2260/klagomålsmail/A 25705-2024 FSC-klagomål mail.docx", "A 25705-2024")</f>
        <v/>
      </c>
      <c r="X189">
        <f>HYPERLINK("https://klasma.github.io/Logging_2260/tillsyn/A 25705-2024 tillsynsbegäran.docx", "A 25705-2024")</f>
        <v/>
      </c>
      <c r="Y189">
        <f>HYPERLINK("https://klasma.github.io/Logging_2260/tillsynsmail/A 25705-2024 tillsynsbegäran mail.docx", "A 25705-2024")</f>
        <v/>
      </c>
    </row>
    <row r="190" ht="15" customHeight="1">
      <c r="A190" t="inlineStr">
        <is>
          <t>A 63983-2020</t>
        </is>
      </c>
      <c r="B190" s="1" t="n">
        <v>44167</v>
      </c>
      <c r="C190" s="1" t="n">
        <v>45878</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52424-2023</t>
        </is>
      </c>
      <c r="B191" s="1" t="n">
        <v>45217</v>
      </c>
      <c r="C191" s="1" t="n">
        <v>45878</v>
      </c>
      <c r="D191" t="inlineStr">
        <is>
          <t>VÄSTERNORRLANDS LÄN</t>
        </is>
      </c>
      <c r="E191" t="inlineStr">
        <is>
          <t>ÅNGE</t>
        </is>
      </c>
      <c r="F191" t="inlineStr">
        <is>
          <t>SCA</t>
        </is>
      </c>
      <c r="G191" t="n">
        <v>3.8</v>
      </c>
      <c r="H191" t="n">
        <v>1</v>
      </c>
      <c r="I191" t="n">
        <v>0</v>
      </c>
      <c r="J191" t="n">
        <v>0</v>
      </c>
      <c r="K191" t="n">
        <v>0</v>
      </c>
      <c r="L191" t="n">
        <v>0</v>
      </c>
      <c r="M191" t="n">
        <v>0</v>
      </c>
      <c r="N191" t="n">
        <v>0</v>
      </c>
      <c r="O191" t="n">
        <v>0</v>
      </c>
      <c r="P191" t="n">
        <v>0</v>
      </c>
      <c r="Q191" t="n">
        <v>1</v>
      </c>
      <c r="R191" s="2" t="inlineStr">
        <is>
          <t>Revlummer</t>
        </is>
      </c>
      <c r="S191">
        <f>HYPERLINK("https://klasma.github.io/Logging_2260/artfynd/A 52424-2023 artfynd.xlsx", "A 52424-2023")</f>
        <v/>
      </c>
      <c r="T191">
        <f>HYPERLINK("https://klasma.github.io/Logging_2260/kartor/A 52424-2023 karta.png", "A 52424-2023")</f>
        <v/>
      </c>
      <c r="V191">
        <f>HYPERLINK("https://klasma.github.io/Logging_2260/klagomål/A 52424-2023 FSC-klagomål.docx", "A 52424-2023")</f>
        <v/>
      </c>
      <c r="W191">
        <f>HYPERLINK("https://klasma.github.io/Logging_2260/klagomålsmail/A 52424-2023 FSC-klagomål mail.docx", "A 52424-2023")</f>
        <v/>
      </c>
      <c r="X191">
        <f>HYPERLINK("https://klasma.github.io/Logging_2260/tillsyn/A 52424-2023 tillsynsbegäran.docx", "A 52424-2023")</f>
        <v/>
      </c>
      <c r="Y191">
        <f>HYPERLINK("https://klasma.github.io/Logging_2260/tillsynsmail/A 52424-2023 tillsynsbegäran mail.docx", "A 52424-2023")</f>
        <v/>
      </c>
    </row>
    <row r="192" ht="15" customHeight="1">
      <c r="A192" t="inlineStr">
        <is>
          <t>A 39638-2024</t>
        </is>
      </c>
      <c r="B192" s="1" t="n">
        <v>45552</v>
      </c>
      <c r="C192" s="1" t="n">
        <v>45878</v>
      </c>
      <c r="D192" t="inlineStr">
        <is>
          <t>VÄSTERNORRLANDS LÄN</t>
        </is>
      </c>
      <c r="E192" t="inlineStr">
        <is>
          <t>ÅNGE</t>
        </is>
      </c>
      <c r="G192" t="n">
        <v>3</v>
      </c>
      <c r="H192" t="n">
        <v>1</v>
      </c>
      <c r="I192" t="n">
        <v>0</v>
      </c>
      <c r="J192" t="n">
        <v>0</v>
      </c>
      <c r="K192" t="n">
        <v>0</v>
      </c>
      <c r="L192" t="n">
        <v>0</v>
      </c>
      <c r="M192" t="n">
        <v>0</v>
      </c>
      <c r="N192" t="n">
        <v>0</v>
      </c>
      <c r="O192" t="n">
        <v>0</v>
      </c>
      <c r="P192" t="n">
        <v>0</v>
      </c>
      <c r="Q192" t="n">
        <v>1</v>
      </c>
      <c r="R192" s="2" t="inlineStr">
        <is>
          <t>Tjäder</t>
        </is>
      </c>
      <c r="S192">
        <f>HYPERLINK("https://klasma.github.io/Logging_2260/artfynd/A 39638-2024 artfynd.xlsx", "A 39638-2024")</f>
        <v/>
      </c>
      <c r="T192">
        <f>HYPERLINK("https://klasma.github.io/Logging_2260/kartor/A 39638-2024 karta.png", "A 39638-2024")</f>
        <v/>
      </c>
      <c r="V192">
        <f>HYPERLINK("https://klasma.github.io/Logging_2260/klagomål/A 39638-2024 FSC-klagomål.docx", "A 39638-2024")</f>
        <v/>
      </c>
      <c r="W192">
        <f>HYPERLINK("https://klasma.github.io/Logging_2260/klagomålsmail/A 39638-2024 FSC-klagomål mail.docx", "A 39638-2024")</f>
        <v/>
      </c>
      <c r="X192">
        <f>HYPERLINK("https://klasma.github.io/Logging_2260/tillsyn/A 39638-2024 tillsynsbegäran.docx", "A 39638-2024")</f>
        <v/>
      </c>
      <c r="Y192">
        <f>HYPERLINK("https://klasma.github.io/Logging_2260/tillsynsmail/A 39638-2024 tillsynsbegäran mail.docx", "A 39638-2024")</f>
        <v/>
      </c>
      <c r="Z192">
        <f>HYPERLINK("https://klasma.github.io/Logging_2260/fåglar/A 39638-2024 prioriterade fågelarter.docx", "A 39638-2024")</f>
        <v/>
      </c>
    </row>
    <row r="193" ht="15" customHeight="1">
      <c r="A193" t="inlineStr">
        <is>
          <t>A 54751-2021</t>
        </is>
      </c>
      <c r="B193" s="1" t="n">
        <v>44473</v>
      </c>
      <c r="C193" s="1" t="n">
        <v>45878</v>
      </c>
      <c r="D193" t="inlineStr">
        <is>
          <t>VÄSTERNORRLANDS LÄN</t>
        </is>
      </c>
      <c r="E193" t="inlineStr">
        <is>
          <t>ÅNGE</t>
        </is>
      </c>
      <c r="G193" t="n">
        <v>6.5</v>
      </c>
      <c r="H193" t="n">
        <v>0</v>
      </c>
      <c r="I193" t="n">
        <v>0</v>
      </c>
      <c r="J193" t="n">
        <v>0</v>
      </c>
      <c r="K193" t="n">
        <v>1</v>
      </c>
      <c r="L193" t="n">
        <v>0</v>
      </c>
      <c r="M193" t="n">
        <v>0</v>
      </c>
      <c r="N193" t="n">
        <v>0</v>
      </c>
      <c r="O193" t="n">
        <v>1</v>
      </c>
      <c r="P193" t="n">
        <v>1</v>
      </c>
      <c r="Q193" t="n">
        <v>1</v>
      </c>
      <c r="R193" s="2" t="inlineStr">
        <is>
          <t>Gräddporing</t>
        </is>
      </c>
      <c r="S193">
        <f>HYPERLINK("https://klasma.github.io/Logging_2260/artfynd/A 54751-2021 artfynd.xlsx", "A 54751-2021")</f>
        <v/>
      </c>
      <c r="T193">
        <f>HYPERLINK("https://klasma.github.io/Logging_2260/kartor/A 54751-2021 karta.png", "A 54751-2021")</f>
        <v/>
      </c>
      <c r="V193">
        <f>HYPERLINK("https://klasma.github.io/Logging_2260/klagomål/A 54751-2021 FSC-klagomål.docx", "A 54751-2021")</f>
        <v/>
      </c>
      <c r="W193">
        <f>HYPERLINK("https://klasma.github.io/Logging_2260/klagomålsmail/A 54751-2021 FSC-klagomål mail.docx", "A 54751-2021")</f>
        <v/>
      </c>
      <c r="X193">
        <f>HYPERLINK("https://klasma.github.io/Logging_2260/tillsyn/A 54751-2021 tillsynsbegäran.docx", "A 54751-2021")</f>
        <v/>
      </c>
      <c r="Y193">
        <f>HYPERLINK("https://klasma.github.io/Logging_2260/tillsynsmail/A 54751-2021 tillsynsbegäran mail.docx", "A 54751-2021")</f>
        <v/>
      </c>
    </row>
    <row r="194" ht="15" customHeight="1">
      <c r="A194" t="inlineStr">
        <is>
          <t>A 40214-2024</t>
        </is>
      </c>
      <c r="B194" s="1" t="n">
        <v>45554.59460648148</v>
      </c>
      <c r="C194" s="1" t="n">
        <v>45878</v>
      </c>
      <c r="D194" t="inlineStr">
        <is>
          <t>VÄSTERNORRLANDS LÄN</t>
        </is>
      </c>
      <c r="E194" t="inlineStr">
        <is>
          <t>ÅNGE</t>
        </is>
      </c>
      <c r="F194" t="inlineStr">
        <is>
          <t>SCA</t>
        </is>
      </c>
      <c r="G194" t="n">
        <v>7.7</v>
      </c>
      <c r="H194" t="n">
        <v>0</v>
      </c>
      <c r="I194" t="n">
        <v>0</v>
      </c>
      <c r="J194" t="n">
        <v>1</v>
      </c>
      <c r="K194" t="n">
        <v>0</v>
      </c>
      <c r="L194" t="n">
        <v>0</v>
      </c>
      <c r="M194" t="n">
        <v>0</v>
      </c>
      <c r="N194" t="n">
        <v>0</v>
      </c>
      <c r="O194" t="n">
        <v>1</v>
      </c>
      <c r="P194" t="n">
        <v>0</v>
      </c>
      <c r="Q194" t="n">
        <v>1</v>
      </c>
      <c r="R194" s="2" t="inlineStr">
        <is>
          <t>Lunglav</t>
        </is>
      </c>
      <c r="S194">
        <f>HYPERLINK("https://klasma.github.io/Logging_2260/artfynd/A 40214-2024 artfynd.xlsx", "A 40214-2024")</f>
        <v/>
      </c>
      <c r="T194">
        <f>HYPERLINK("https://klasma.github.io/Logging_2260/kartor/A 40214-2024 karta.png", "A 40214-2024")</f>
        <v/>
      </c>
      <c r="V194">
        <f>HYPERLINK("https://klasma.github.io/Logging_2260/klagomål/A 40214-2024 FSC-klagomål.docx", "A 40214-2024")</f>
        <v/>
      </c>
      <c r="W194">
        <f>HYPERLINK("https://klasma.github.io/Logging_2260/klagomålsmail/A 40214-2024 FSC-klagomål mail.docx", "A 40214-2024")</f>
        <v/>
      </c>
      <c r="X194">
        <f>HYPERLINK("https://klasma.github.io/Logging_2260/tillsyn/A 40214-2024 tillsynsbegäran.docx", "A 40214-2024")</f>
        <v/>
      </c>
      <c r="Y194">
        <f>HYPERLINK("https://klasma.github.io/Logging_2260/tillsynsmail/A 40214-2024 tillsynsbegäran mail.docx", "A 40214-2024")</f>
        <v/>
      </c>
    </row>
    <row r="195" ht="15" customHeight="1">
      <c r="A195" t="inlineStr">
        <is>
          <t>A 8057-2021</t>
        </is>
      </c>
      <c r="B195" s="1" t="n">
        <v>44238</v>
      </c>
      <c r="C195" s="1" t="n">
        <v>45878</v>
      </c>
      <c r="D195" t="inlineStr">
        <is>
          <t>VÄSTERNORRLANDS LÄN</t>
        </is>
      </c>
      <c r="E195" t="inlineStr">
        <is>
          <t>ÅNGE</t>
        </is>
      </c>
      <c r="G195" t="n">
        <v>1.2</v>
      </c>
      <c r="H195" t="n">
        <v>0</v>
      </c>
      <c r="I195" t="n">
        <v>0</v>
      </c>
      <c r="J195" t="n">
        <v>0</v>
      </c>
      <c r="K195" t="n">
        <v>0</v>
      </c>
      <c r="L195" t="n">
        <v>0</v>
      </c>
      <c r="M195" t="n">
        <v>0</v>
      </c>
      <c r="N195" t="n">
        <v>0</v>
      </c>
      <c r="O195" t="n">
        <v>0</v>
      </c>
      <c r="P195" t="n">
        <v>0</v>
      </c>
      <c r="Q195" t="n">
        <v>0</v>
      </c>
      <c r="R195" s="2" t="inlineStr"/>
    </row>
    <row r="196" ht="15" customHeight="1">
      <c r="A196" t="inlineStr">
        <is>
          <t>A 47127-2020</t>
        </is>
      </c>
      <c r="B196" s="1" t="n">
        <v>44096</v>
      </c>
      <c r="C196" s="1" t="n">
        <v>45878</v>
      </c>
      <c r="D196" t="inlineStr">
        <is>
          <t>VÄSTERNORRLANDS LÄN</t>
        </is>
      </c>
      <c r="E196" t="inlineStr">
        <is>
          <t>ÅNGE</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52627-2020</t>
        </is>
      </c>
      <c r="B197" s="1" t="n">
        <v>44118</v>
      </c>
      <c r="C197" s="1" t="n">
        <v>45878</v>
      </c>
      <c r="D197" t="inlineStr">
        <is>
          <t>VÄSTERNORRLANDS LÄN</t>
        </is>
      </c>
      <c r="E197" t="inlineStr">
        <is>
          <t>ÅNGE</t>
        </is>
      </c>
      <c r="G197" t="n">
        <v>0.8</v>
      </c>
      <c r="H197" t="n">
        <v>0</v>
      </c>
      <c r="I197" t="n">
        <v>0</v>
      </c>
      <c r="J197" t="n">
        <v>0</v>
      </c>
      <c r="K197" t="n">
        <v>0</v>
      </c>
      <c r="L197" t="n">
        <v>0</v>
      </c>
      <c r="M197" t="n">
        <v>0</v>
      </c>
      <c r="N197" t="n">
        <v>0</v>
      </c>
      <c r="O197" t="n">
        <v>0</v>
      </c>
      <c r="P197" t="n">
        <v>0</v>
      </c>
      <c r="Q197" t="n">
        <v>0</v>
      </c>
      <c r="R197" s="2" t="inlineStr"/>
    </row>
    <row r="198" ht="15" customHeight="1">
      <c r="A198" t="inlineStr">
        <is>
          <t>A 52633-2020</t>
        </is>
      </c>
      <c r="B198" s="1" t="n">
        <v>44118</v>
      </c>
      <c r="C198" s="1" t="n">
        <v>45878</v>
      </c>
      <c r="D198" t="inlineStr">
        <is>
          <t>VÄSTERNORRLANDS LÄN</t>
        </is>
      </c>
      <c r="E198" t="inlineStr">
        <is>
          <t>ÅNGE</t>
        </is>
      </c>
      <c r="G198" t="n">
        <v>3.6</v>
      </c>
      <c r="H198" t="n">
        <v>0</v>
      </c>
      <c r="I198" t="n">
        <v>0</v>
      </c>
      <c r="J198" t="n">
        <v>0</v>
      </c>
      <c r="K198" t="n">
        <v>0</v>
      </c>
      <c r="L198" t="n">
        <v>0</v>
      </c>
      <c r="M198" t="n">
        <v>0</v>
      </c>
      <c r="N198" t="n">
        <v>0</v>
      </c>
      <c r="O198" t="n">
        <v>0</v>
      </c>
      <c r="P198" t="n">
        <v>0</v>
      </c>
      <c r="Q198" t="n">
        <v>0</v>
      </c>
      <c r="R198" s="2" t="inlineStr"/>
    </row>
    <row r="199" ht="15" customHeight="1">
      <c r="A199" t="inlineStr">
        <is>
          <t>A 20354-2021</t>
        </is>
      </c>
      <c r="B199" s="1" t="n">
        <v>44312</v>
      </c>
      <c r="C199" s="1" t="n">
        <v>45878</v>
      </c>
      <c r="D199" t="inlineStr">
        <is>
          <t>VÄSTERNORRLANDS LÄN</t>
        </is>
      </c>
      <c r="E199" t="inlineStr">
        <is>
          <t>ÅNGE</t>
        </is>
      </c>
      <c r="G199" t="n">
        <v>1.3</v>
      </c>
      <c r="H199" t="n">
        <v>0</v>
      </c>
      <c r="I199" t="n">
        <v>0</v>
      </c>
      <c r="J199" t="n">
        <v>0</v>
      </c>
      <c r="K199" t="n">
        <v>0</v>
      </c>
      <c r="L199" t="n">
        <v>0</v>
      </c>
      <c r="M199" t="n">
        <v>0</v>
      </c>
      <c r="N199" t="n">
        <v>0</v>
      </c>
      <c r="O199" t="n">
        <v>0</v>
      </c>
      <c r="P199" t="n">
        <v>0</v>
      </c>
      <c r="Q199" t="n">
        <v>0</v>
      </c>
      <c r="R199" s="2" t="inlineStr"/>
    </row>
    <row r="200" ht="15" customHeight="1">
      <c r="A200" t="inlineStr">
        <is>
          <t>A 53474-2020</t>
        </is>
      </c>
      <c r="B200" s="1" t="n">
        <v>44123.68413194444</v>
      </c>
      <c r="C200" s="1" t="n">
        <v>45878</v>
      </c>
      <c r="D200" t="inlineStr">
        <is>
          <t>VÄSTERNORRLANDS LÄN</t>
        </is>
      </c>
      <c r="E200" t="inlineStr">
        <is>
          <t>ÅNGE</t>
        </is>
      </c>
      <c r="G200" t="n">
        <v>1.3</v>
      </c>
      <c r="H200" t="n">
        <v>0</v>
      </c>
      <c r="I200" t="n">
        <v>0</v>
      </c>
      <c r="J200" t="n">
        <v>0</v>
      </c>
      <c r="K200" t="n">
        <v>0</v>
      </c>
      <c r="L200" t="n">
        <v>0</v>
      </c>
      <c r="M200" t="n">
        <v>0</v>
      </c>
      <c r="N200" t="n">
        <v>0</v>
      </c>
      <c r="O200" t="n">
        <v>0</v>
      </c>
      <c r="P200" t="n">
        <v>0</v>
      </c>
      <c r="Q200" t="n">
        <v>0</v>
      </c>
      <c r="R200" s="2" t="inlineStr"/>
    </row>
    <row r="201" ht="15" customHeight="1">
      <c r="A201" t="inlineStr">
        <is>
          <t>A 49343-2020</t>
        </is>
      </c>
      <c r="B201" s="1" t="n">
        <v>44105.56329861111</v>
      </c>
      <c r="C201" s="1" t="n">
        <v>45878</v>
      </c>
      <c r="D201" t="inlineStr">
        <is>
          <t>VÄSTERNORRLANDS LÄN</t>
        </is>
      </c>
      <c r="E201" t="inlineStr">
        <is>
          <t>ÅNGE</t>
        </is>
      </c>
      <c r="G201" t="n">
        <v>1.2</v>
      </c>
      <c r="H201" t="n">
        <v>0</v>
      </c>
      <c r="I201" t="n">
        <v>0</v>
      </c>
      <c r="J201" t="n">
        <v>0</v>
      </c>
      <c r="K201" t="n">
        <v>0</v>
      </c>
      <c r="L201" t="n">
        <v>0</v>
      </c>
      <c r="M201" t="n">
        <v>0</v>
      </c>
      <c r="N201" t="n">
        <v>0</v>
      </c>
      <c r="O201" t="n">
        <v>0</v>
      </c>
      <c r="P201" t="n">
        <v>0</v>
      </c>
      <c r="Q201" t="n">
        <v>0</v>
      </c>
      <c r="R201" s="2" t="inlineStr"/>
    </row>
    <row r="202" ht="15" customHeight="1">
      <c r="A202" t="inlineStr">
        <is>
          <t>A 53660-2020</t>
        </is>
      </c>
      <c r="B202" s="1" t="n">
        <v>44124</v>
      </c>
      <c r="C202" s="1" t="n">
        <v>45878</v>
      </c>
      <c r="D202" t="inlineStr">
        <is>
          <t>VÄSTERNORRLANDS LÄN</t>
        </is>
      </c>
      <c r="E202" t="inlineStr">
        <is>
          <t>ÅNGE</t>
        </is>
      </c>
      <c r="G202" t="n">
        <v>5.4</v>
      </c>
      <c r="H202" t="n">
        <v>0</v>
      </c>
      <c r="I202" t="n">
        <v>0</v>
      </c>
      <c r="J202" t="n">
        <v>0</v>
      </c>
      <c r="K202" t="n">
        <v>0</v>
      </c>
      <c r="L202" t="n">
        <v>0</v>
      </c>
      <c r="M202" t="n">
        <v>0</v>
      </c>
      <c r="N202" t="n">
        <v>0</v>
      </c>
      <c r="O202" t="n">
        <v>0</v>
      </c>
      <c r="P202" t="n">
        <v>0</v>
      </c>
      <c r="Q202" t="n">
        <v>0</v>
      </c>
      <c r="R202" s="2" t="inlineStr"/>
    </row>
    <row r="203" ht="15" customHeight="1">
      <c r="A203" t="inlineStr">
        <is>
          <t>A 68715-2020</t>
        </is>
      </c>
      <c r="B203" s="1" t="n">
        <v>44187</v>
      </c>
      <c r="C203" s="1" t="n">
        <v>45878</v>
      </c>
      <c r="D203" t="inlineStr">
        <is>
          <t>VÄSTERNORRLANDS LÄN</t>
        </is>
      </c>
      <c r="E203" t="inlineStr">
        <is>
          <t>ÅNGE</t>
        </is>
      </c>
      <c r="G203" t="n">
        <v>19.1</v>
      </c>
      <c r="H203" t="n">
        <v>0</v>
      </c>
      <c r="I203" t="n">
        <v>0</v>
      </c>
      <c r="J203" t="n">
        <v>0</v>
      </c>
      <c r="K203" t="n">
        <v>0</v>
      </c>
      <c r="L203" t="n">
        <v>0</v>
      </c>
      <c r="M203" t="n">
        <v>0</v>
      </c>
      <c r="N203" t="n">
        <v>0</v>
      </c>
      <c r="O203" t="n">
        <v>0</v>
      </c>
      <c r="P203" t="n">
        <v>0</v>
      </c>
      <c r="Q203" t="n">
        <v>0</v>
      </c>
      <c r="R203" s="2" t="inlineStr"/>
    </row>
    <row r="204" ht="15" customHeight="1">
      <c r="A204" t="inlineStr">
        <is>
          <t>A 21740-2022</t>
        </is>
      </c>
      <c r="B204" s="1" t="n">
        <v>44708.37472222222</v>
      </c>
      <c r="C204" s="1" t="n">
        <v>45878</v>
      </c>
      <c r="D204" t="inlineStr">
        <is>
          <t>VÄSTERNORRLANDS LÄN</t>
        </is>
      </c>
      <c r="E204" t="inlineStr">
        <is>
          <t>ÅNGE</t>
        </is>
      </c>
      <c r="G204" t="n">
        <v>2</v>
      </c>
      <c r="H204" t="n">
        <v>0</v>
      </c>
      <c r="I204" t="n">
        <v>0</v>
      </c>
      <c r="J204" t="n">
        <v>0</v>
      </c>
      <c r="K204" t="n">
        <v>0</v>
      </c>
      <c r="L204" t="n">
        <v>0</v>
      </c>
      <c r="M204" t="n">
        <v>0</v>
      </c>
      <c r="N204" t="n">
        <v>0</v>
      </c>
      <c r="O204" t="n">
        <v>0</v>
      </c>
      <c r="P204" t="n">
        <v>0</v>
      </c>
      <c r="Q204" t="n">
        <v>0</v>
      </c>
      <c r="R204" s="2" t="inlineStr"/>
    </row>
    <row r="205" ht="15" customHeight="1">
      <c r="A205" t="inlineStr">
        <is>
          <t>A 37624-2021</t>
        </is>
      </c>
      <c r="B205" s="1" t="n">
        <v>44399</v>
      </c>
      <c r="C205" s="1" t="n">
        <v>45878</v>
      </c>
      <c r="D205" t="inlineStr">
        <is>
          <t>VÄSTERNORRLANDS LÄN</t>
        </is>
      </c>
      <c r="E205" t="inlineStr">
        <is>
          <t>ÅNGE</t>
        </is>
      </c>
      <c r="G205" t="n">
        <v>4.1</v>
      </c>
      <c r="H205" t="n">
        <v>0</v>
      </c>
      <c r="I205" t="n">
        <v>0</v>
      </c>
      <c r="J205" t="n">
        <v>0</v>
      </c>
      <c r="K205" t="n">
        <v>0</v>
      </c>
      <c r="L205" t="n">
        <v>0</v>
      </c>
      <c r="M205" t="n">
        <v>0</v>
      </c>
      <c r="N205" t="n">
        <v>0</v>
      </c>
      <c r="O205" t="n">
        <v>0</v>
      </c>
      <c r="P205" t="n">
        <v>0</v>
      </c>
      <c r="Q205" t="n">
        <v>0</v>
      </c>
      <c r="R205" s="2" t="inlineStr"/>
    </row>
    <row r="206" ht="15" customHeight="1">
      <c r="A206" t="inlineStr">
        <is>
          <t>A 24353-2022</t>
        </is>
      </c>
      <c r="B206" s="1" t="n">
        <v>44726.37769675926</v>
      </c>
      <c r="C206" s="1" t="n">
        <v>45878</v>
      </c>
      <c r="D206" t="inlineStr">
        <is>
          <t>VÄSTERNORRLANDS LÄN</t>
        </is>
      </c>
      <c r="E206" t="inlineStr">
        <is>
          <t>ÅNGE</t>
        </is>
      </c>
      <c r="G206" t="n">
        <v>1</v>
      </c>
      <c r="H206" t="n">
        <v>0</v>
      </c>
      <c r="I206" t="n">
        <v>0</v>
      </c>
      <c r="J206" t="n">
        <v>0</v>
      </c>
      <c r="K206" t="n">
        <v>0</v>
      </c>
      <c r="L206" t="n">
        <v>0</v>
      </c>
      <c r="M206" t="n">
        <v>0</v>
      </c>
      <c r="N206" t="n">
        <v>0</v>
      </c>
      <c r="O206" t="n">
        <v>0</v>
      </c>
      <c r="P206" t="n">
        <v>0</v>
      </c>
      <c r="Q206" t="n">
        <v>0</v>
      </c>
      <c r="R206" s="2" t="inlineStr"/>
    </row>
    <row r="207" ht="15" customHeight="1">
      <c r="A207" t="inlineStr">
        <is>
          <t>A 38432-2021</t>
        </is>
      </c>
      <c r="B207" s="1" t="n">
        <v>44406</v>
      </c>
      <c r="C207" s="1" t="n">
        <v>45878</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5381-2022</t>
        </is>
      </c>
      <c r="B208" s="1" t="n">
        <v>44594.9337037037</v>
      </c>
      <c r="C208" s="1" t="n">
        <v>45878</v>
      </c>
      <c r="D208" t="inlineStr">
        <is>
          <t>VÄSTERNORRLANDS LÄN</t>
        </is>
      </c>
      <c r="E208" t="inlineStr">
        <is>
          <t>ÅNGE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48876-2021</t>
        </is>
      </c>
      <c r="B209" s="1" t="n">
        <v>44452</v>
      </c>
      <c r="C209" s="1" t="n">
        <v>45878</v>
      </c>
      <c r="D209" t="inlineStr">
        <is>
          <t>VÄSTERNORRLANDS LÄN</t>
        </is>
      </c>
      <c r="E209" t="inlineStr">
        <is>
          <t>ÅNGE</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14433-2022</t>
        </is>
      </c>
      <c r="B210" s="1" t="n">
        <v>44652</v>
      </c>
      <c r="C210" s="1" t="n">
        <v>45878</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48990-2021</t>
        </is>
      </c>
      <c r="B211" s="1" t="n">
        <v>44453</v>
      </c>
      <c r="C211" s="1" t="n">
        <v>45878</v>
      </c>
      <c r="D211" t="inlineStr">
        <is>
          <t>VÄSTERNORRLANDS LÄN</t>
        </is>
      </c>
      <c r="E211" t="inlineStr">
        <is>
          <t>ÅNGE</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39744-2021</t>
        </is>
      </c>
      <c r="B212" s="1" t="n">
        <v>44417</v>
      </c>
      <c r="C212" s="1" t="n">
        <v>45878</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46518-2020</t>
        </is>
      </c>
      <c r="B213" s="1" t="n">
        <v>44095</v>
      </c>
      <c r="C213" s="1" t="n">
        <v>45878</v>
      </c>
      <c r="D213" t="inlineStr">
        <is>
          <t>VÄSTERNORRLANDS LÄN</t>
        </is>
      </c>
      <c r="E213" t="inlineStr">
        <is>
          <t>ÅNGE</t>
        </is>
      </c>
      <c r="G213" t="n">
        <v>0.8</v>
      </c>
      <c r="H213" t="n">
        <v>0</v>
      </c>
      <c r="I213" t="n">
        <v>0</v>
      </c>
      <c r="J213" t="n">
        <v>0</v>
      </c>
      <c r="K213" t="n">
        <v>0</v>
      </c>
      <c r="L213" t="n">
        <v>0</v>
      </c>
      <c r="M213" t="n">
        <v>0</v>
      </c>
      <c r="N213" t="n">
        <v>0</v>
      </c>
      <c r="O213" t="n">
        <v>0</v>
      </c>
      <c r="P213" t="n">
        <v>0</v>
      </c>
      <c r="Q213" t="n">
        <v>0</v>
      </c>
      <c r="R213" s="2" t="inlineStr"/>
    </row>
    <row r="214" ht="15" customHeight="1">
      <c r="A214" t="inlineStr">
        <is>
          <t>A 69271-2020</t>
        </is>
      </c>
      <c r="B214" s="1" t="n">
        <v>44193</v>
      </c>
      <c r="C214" s="1" t="n">
        <v>45878</v>
      </c>
      <c r="D214" t="inlineStr">
        <is>
          <t>VÄSTERNORRLANDS LÄN</t>
        </is>
      </c>
      <c r="E214" t="inlineStr">
        <is>
          <t>ÅNGE</t>
        </is>
      </c>
      <c r="G214" t="n">
        <v>0.8</v>
      </c>
      <c r="H214" t="n">
        <v>0</v>
      </c>
      <c r="I214" t="n">
        <v>0</v>
      </c>
      <c r="J214" t="n">
        <v>0</v>
      </c>
      <c r="K214" t="n">
        <v>0</v>
      </c>
      <c r="L214" t="n">
        <v>0</v>
      </c>
      <c r="M214" t="n">
        <v>0</v>
      </c>
      <c r="N214" t="n">
        <v>0</v>
      </c>
      <c r="O214" t="n">
        <v>0</v>
      </c>
      <c r="P214" t="n">
        <v>0</v>
      </c>
      <c r="Q214" t="n">
        <v>0</v>
      </c>
      <c r="R214" s="2" t="inlineStr"/>
    </row>
    <row r="215" ht="15" customHeight="1">
      <c r="A215" t="inlineStr">
        <is>
          <t>A 74088-2021</t>
        </is>
      </c>
      <c r="B215" s="1" t="n">
        <v>44557.59435185185</v>
      </c>
      <c r="C215" s="1" t="n">
        <v>45878</v>
      </c>
      <c r="D215" t="inlineStr">
        <is>
          <t>VÄSTERNORRLANDS LÄN</t>
        </is>
      </c>
      <c r="E215" t="inlineStr">
        <is>
          <t>ÅNGE</t>
        </is>
      </c>
      <c r="G215" t="n">
        <v>0.6</v>
      </c>
      <c r="H215" t="n">
        <v>0</v>
      </c>
      <c r="I215" t="n">
        <v>0</v>
      </c>
      <c r="J215" t="n">
        <v>0</v>
      </c>
      <c r="K215" t="n">
        <v>0</v>
      </c>
      <c r="L215" t="n">
        <v>0</v>
      </c>
      <c r="M215" t="n">
        <v>0</v>
      </c>
      <c r="N215" t="n">
        <v>0</v>
      </c>
      <c r="O215" t="n">
        <v>0</v>
      </c>
      <c r="P215" t="n">
        <v>0</v>
      </c>
      <c r="Q215" t="n">
        <v>0</v>
      </c>
      <c r="R215" s="2" t="inlineStr"/>
    </row>
    <row r="216" ht="15" customHeight="1">
      <c r="A216" t="inlineStr">
        <is>
          <t>A 65593-2020</t>
        </is>
      </c>
      <c r="B216" s="1" t="n">
        <v>44173</v>
      </c>
      <c r="C216" s="1" t="n">
        <v>45878</v>
      </c>
      <c r="D216" t="inlineStr">
        <is>
          <t>VÄSTERNORRLANDS LÄN</t>
        </is>
      </c>
      <c r="E216" t="inlineStr">
        <is>
          <t>ÅNGE</t>
        </is>
      </c>
      <c r="G216" t="n">
        <v>4</v>
      </c>
      <c r="H216" t="n">
        <v>0</v>
      </c>
      <c r="I216" t="n">
        <v>0</v>
      </c>
      <c r="J216" t="n">
        <v>0</v>
      </c>
      <c r="K216" t="n">
        <v>0</v>
      </c>
      <c r="L216" t="n">
        <v>0</v>
      </c>
      <c r="M216" t="n">
        <v>0</v>
      </c>
      <c r="N216" t="n">
        <v>0</v>
      </c>
      <c r="O216" t="n">
        <v>0</v>
      </c>
      <c r="P216" t="n">
        <v>0</v>
      </c>
      <c r="Q216" t="n">
        <v>0</v>
      </c>
      <c r="R216" s="2" t="inlineStr"/>
    </row>
    <row r="217" ht="15" customHeight="1">
      <c r="A217" t="inlineStr">
        <is>
          <t>A 19102-2021</t>
        </is>
      </c>
      <c r="B217" s="1" t="n">
        <v>44308</v>
      </c>
      <c r="C217" s="1" t="n">
        <v>45878</v>
      </c>
      <c r="D217" t="inlineStr">
        <is>
          <t>VÄSTERNORRLANDS LÄN</t>
        </is>
      </c>
      <c r="E217" t="inlineStr">
        <is>
          <t>ÅNGE</t>
        </is>
      </c>
      <c r="G217" t="n">
        <v>3.3</v>
      </c>
      <c r="H217" t="n">
        <v>0</v>
      </c>
      <c r="I217" t="n">
        <v>0</v>
      </c>
      <c r="J217" t="n">
        <v>0</v>
      </c>
      <c r="K217" t="n">
        <v>0</v>
      </c>
      <c r="L217" t="n">
        <v>0</v>
      </c>
      <c r="M217" t="n">
        <v>0</v>
      </c>
      <c r="N217" t="n">
        <v>0</v>
      </c>
      <c r="O217" t="n">
        <v>0</v>
      </c>
      <c r="P217" t="n">
        <v>0</v>
      </c>
      <c r="Q217" t="n">
        <v>0</v>
      </c>
      <c r="R217" s="2" t="inlineStr"/>
    </row>
    <row r="218" ht="15" customHeight="1">
      <c r="A218" t="inlineStr">
        <is>
          <t>A 53173-2020</t>
        </is>
      </c>
      <c r="B218" s="1" t="n">
        <v>44120</v>
      </c>
      <c r="C218" s="1" t="n">
        <v>45878</v>
      </c>
      <c r="D218" t="inlineStr">
        <is>
          <t>VÄSTERNORRLANDS LÄN</t>
        </is>
      </c>
      <c r="E218" t="inlineStr">
        <is>
          <t>ÅNGE</t>
        </is>
      </c>
      <c r="F218" t="inlineStr">
        <is>
          <t>SCA</t>
        </is>
      </c>
      <c r="G218" t="n">
        <v>2.2</v>
      </c>
      <c r="H218" t="n">
        <v>0</v>
      </c>
      <c r="I218" t="n">
        <v>0</v>
      </c>
      <c r="J218" t="n">
        <v>0</v>
      </c>
      <c r="K218" t="n">
        <v>0</v>
      </c>
      <c r="L218" t="n">
        <v>0</v>
      </c>
      <c r="M218" t="n">
        <v>0</v>
      </c>
      <c r="N218" t="n">
        <v>0</v>
      </c>
      <c r="O218" t="n">
        <v>0</v>
      </c>
      <c r="P218" t="n">
        <v>0</v>
      </c>
      <c r="Q218" t="n">
        <v>0</v>
      </c>
      <c r="R218" s="2" t="inlineStr"/>
    </row>
    <row r="219" ht="15" customHeight="1">
      <c r="A219" t="inlineStr">
        <is>
          <t>A 53174-2020</t>
        </is>
      </c>
      <c r="B219" s="1" t="n">
        <v>44120</v>
      </c>
      <c r="C219" s="1" t="n">
        <v>45878</v>
      </c>
      <c r="D219" t="inlineStr">
        <is>
          <t>VÄSTERNORRLANDS LÄN</t>
        </is>
      </c>
      <c r="E219" t="inlineStr">
        <is>
          <t>ÅNGE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65594-2020</t>
        </is>
      </c>
      <c r="B220" s="1" t="n">
        <v>44173</v>
      </c>
      <c r="C220" s="1" t="n">
        <v>45878</v>
      </c>
      <c r="D220" t="inlineStr">
        <is>
          <t>VÄSTERNORRLANDS LÄN</t>
        </is>
      </c>
      <c r="E220" t="inlineStr">
        <is>
          <t>ÅNGE</t>
        </is>
      </c>
      <c r="G220" t="n">
        <v>5.9</v>
      </c>
      <c r="H220" t="n">
        <v>0</v>
      </c>
      <c r="I220" t="n">
        <v>0</v>
      </c>
      <c r="J220" t="n">
        <v>0</v>
      </c>
      <c r="K220" t="n">
        <v>0</v>
      </c>
      <c r="L220" t="n">
        <v>0</v>
      </c>
      <c r="M220" t="n">
        <v>0</v>
      </c>
      <c r="N220" t="n">
        <v>0</v>
      </c>
      <c r="O220" t="n">
        <v>0</v>
      </c>
      <c r="P220" t="n">
        <v>0</v>
      </c>
      <c r="Q220" t="n">
        <v>0</v>
      </c>
      <c r="R220" s="2" t="inlineStr"/>
    </row>
    <row r="221" ht="15" customHeight="1">
      <c r="A221" t="inlineStr">
        <is>
          <t>A 71396-2021</t>
        </is>
      </c>
      <c r="B221" s="1" t="n">
        <v>44540.35644675926</v>
      </c>
      <c r="C221" s="1" t="n">
        <v>45878</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66265-2021</t>
        </is>
      </c>
      <c r="B222" s="1" t="n">
        <v>44518.45263888889</v>
      </c>
      <c r="C222" s="1" t="n">
        <v>45878</v>
      </c>
      <c r="D222" t="inlineStr">
        <is>
          <t>VÄSTERNORRLANDS LÄN</t>
        </is>
      </c>
      <c r="E222" t="inlineStr">
        <is>
          <t>ÅNGE</t>
        </is>
      </c>
      <c r="G222" t="n">
        <v>6</v>
      </c>
      <c r="H222" t="n">
        <v>0</v>
      </c>
      <c r="I222" t="n">
        <v>0</v>
      </c>
      <c r="J222" t="n">
        <v>0</v>
      </c>
      <c r="K222" t="n">
        <v>0</v>
      </c>
      <c r="L222" t="n">
        <v>0</v>
      </c>
      <c r="M222" t="n">
        <v>0</v>
      </c>
      <c r="N222" t="n">
        <v>0</v>
      </c>
      <c r="O222" t="n">
        <v>0</v>
      </c>
      <c r="P222" t="n">
        <v>0</v>
      </c>
      <c r="Q222" t="n">
        <v>0</v>
      </c>
      <c r="R222" s="2" t="inlineStr"/>
    </row>
    <row r="223" ht="15" customHeight="1">
      <c r="A223" t="inlineStr">
        <is>
          <t>A 71669-2021</t>
        </is>
      </c>
      <c r="B223" s="1" t="n">
        <v>44538</v>
      </c>
      <c r="C223" s="1" t="n">
        <v>45878</v>
      </c>
      <c r="D223" t="inlineStr">
        <is>
          <t>VÄSTERNORRLANDS LÄN</t>
        </is>
      </c>
      <c r="E223" t="inlineStr">
        <is>
          <t>ÅNGE</t>
        </is>
      </c>
      <c r="G223" t="n">
        <v>2.1</v>
      </c>
      <c r="H223" t="n">
        <v>0</v>
      </c>
      <c r="I223" t="n">
        <v>0</v>
      </c>
      <c r="J223" t="n">
        <v>0</v>
      </c>
      <c r="K223" t="n">
        <v>0</v>
      </c>
      <c r="L223" t="n">
        <v>0</v>
      </c>
      <c r="M223" t="n">
        <v>0</v>
      </c>
      <c r="N223" t="n">
        <v>0</v>
      </c>
      <c r="O223" t="n">
        <v>0</v>
      </c>
      <c r="P223" t="n">
        <v>0</v>
      </c>
      <c r="Q223" t="n">
        <v>0</v>
      </c>
      <c r="R223" s="2" t="inlineStr"/>
    </row>
    <row r="224" ht="15" customHeight="1">
      <c r="A224" t="inlineStr">
        <is>
          <t>A 50258-2020</t>
        </is>
      </c>
      <c r="B224" s="1" t="n">
        <v>44109</v>
      </c>
      <c r="C224" s="1" t="n">
        <v>45878</v>
      </c>
      <c r="D224" t="inlineStr">
        <is>
          <t>VÄSTERNORRLANDS LÄN</t>
        </is>
      </c>
      <c r="E224" t="inlineStr">
        <is>
          <t>ÅNGE</t>
        </is>
      </c>
      <c r="G224" t="n">
        <v>1.6</v>
      </c>
      <c r="H224" t="n">
        <v>0</v>
      </c>
      <c r="I224" t="n">
        <v>0</v>
      </c>
      <c r="J224" t="n">
        <v>0</v>
      </c>
      <c r="K224" t="n">
        <v>0</v>
      </c>
      <c r="L224" t="n">
        <v>0</v>
      </c>
      <c r="M224" t="n">
        <v>0</v>
      </c>
      <c r="N224" t="n">
        <v>0</v>
      </c>
      <c r="O224" t="n">
        <v>0</v>
      </c>
      <c r="P224" t="n">
        <v>0</v>
      </c>
      <c r="Q224" t="n">
        <v>0</v>
      </c>
      <c r="R224" s="2" t="inlineStr"/>
    </row>
    <row r="225" ht="15" customHeight="1">
      <c r="A225" t="inlineStr">
        <is>
          <t>A 50259-2020</t>
        </is>
      </c>
      <c r="B225" s="1" t="n">
        <v>44109</v>
      </c>
      <c r="C225" s="1" t="n">
        <v>45878</v>
      </c>
      <c r="D225" t="inlineStr">
        <is>
          <t>VÄSTERNORRLANDS LÄN</t>
        </is>
      </c>
      <c r="E225" t="inlineStr">
        <is>
          <t>ÅNGE</t>
        </is>
      </c>
      <c r="G225" t="n">
        <v>5.1</v>
      </c>
      <c r="H225" t="n">
        <v>0</v>
      </c>
      <c r="I225" t="n">
        <v>0</v>
      </c>
      <c r="J225" t="n">
        <v>0</v>
      </c>
      <c r="K225" t="n">
        <v>0</v>
      </c>
      <c r="L225" t="n">
        <v>0</v>
      </c>
      <c r="M225" t="n">
        <v>0</v>
      </c>
      <c r="N225" t="n">
        <v>0</v>
      </c>
      <c r="O225" t="n">
        <v>0</v>
      </c>
      <c r="P225" t="n">
        <v>0</v>
      </c>
      <c r="Q225" t="n">
        <v>0</v>
      </c>
      <c r="R225" s="2" t="inlineStr"/>
    </row>
    <row r="226" ht="15" customHeight="1">
      <c r="A226" t="inlineStr">
        <is>
          <t>A 9619-2021</t>
        </is>
      </c>
      <c r="B226" s="1" t="n">
        <v>44251</v>
      </c>
      <c r="C226" s="1" t="n">
        <v>45878</v>
      </c>
      <c r="D226" t="inlineStr">
        <is>
          <t>VÄSTERNORRLANDS LÄN</t>
        </is>
      </c>
      <c r="E226" t="inlineStr">
        <is>
          <t>ÅNGE</t>
        </is>
      </c>
      <c r="G226" t="n">
        <v>10.4</v>
      </c>
      <c r="H226" t="n">
        <v>0</v>
      </c>
      <c r="I226" t="n">
        <v>0</v>
      </c>
      <c r="J226" t="n">
        <v>0</v>
      </c>
      <c r="K226" t="n">
        <v>0</v>
      </c>
      <c r="L226" t="n">
        <v>0</v>
      </c>
      <c r="M226" t="n">
        <v>0</v>
      </c>
      <c r="N226" t="n">
        <v>0</v>
      </c>
      <c r="O226" t="n">
        <v>0</v>
      </c>
      <c r="P226" t="n">
        <v>0</v>
      </c>
      <c r="Q226" t="n">
        <v>0</v>
      </c>
      <c r="R226" s="2" t="inlineStr"/>
    </row>
    <row r="227" ht="15" customHeight="1">
      <c r="A227" t="inlineStr">
        <is>
          <t>A 14812-2021</t>
        </is>
      </c>
      <c r="B227" s="1" t="n">
        <v>44280</v>
      </c>
      <c r="C227" s="1" t="n">
        <v>45878</v>
      </c>
      <c r="D227" t="inlineStr">
        <is>
          <t>VÄSTERNORRLANDS LÄN</t>
        </is>
      </c>
      <c r="E227" t="inlineStr">
        <is>
          <t>ÅNGE</t>
        </is>
      </c>
      <c r="G227" t="n">
        <v>1.6</v>
      </c>
      <c r="H227" t="n">
        <v>0</v>
      </c>
      <c r="I227" t="n">
        <v>0</v>
      </c>
      <c r="J227" t="n">
        <v>0</v>
      </c>
      <c r="K227" t="n">
        <v>0</v>
      </c>
      <c r="L227" t="n">
        <v>0</v>
      </c>
      <c r="M227" t="n">
        <v>0</v>
      </c>
      <c r="N227" t="n">
        <v>0</v>
      </c>
      <c r="O227" t="n">
        <v>0</v>
      </c>
      <c r="P227" t="n">
        <v>0</v>
      </c>
      <c r="Q227" t="n">
        <v>0</v>
      </c>
      <c r="R227" s="2" t="inlineStr"/>
    </row>
    <row r="228" ht="15" customHeight="1">
      <c r="A228" t="inlineStr">
        <is>
          <t>A 46350-2022</t>
        </is>
      </c>
      <c r="B228" s="1" t="n">
        <v>44847.95120370371</v>
      </c>
      <c r="C228" s="1" t="n">
        <v>45878</v>
      </c>
      <c r="D228" t="inlineStr">
        <is>
          <t>VÄSTERNORRLANDS LÄN</t>
        </is>
      </c>
      <c r="E228" t="inlineStr">
        <is>
          <t>ÅNGE</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54105-2020</t>
        </is>
      </c>
      <c r="B229" s="1" t="n">
        <v>44125</v>
      </c>
      <c r="C229" s="1" t="n">
        <v>45878</v>
      </c>
      <c r="D229" t="inlineStr">
        <is>
          <t>VÄSTERNORRLANDS LÄN</t>
        </is>
      </c>
      <c r="E229" t="inlineStr">
        <is>
          <t>ÅNGE</t>
        </is>
      </c>
      <c r="G229" t="n">
        <v>1.1</v>
      </c>
      <c r="H229" t="n">
        <v>0</v>
      </c>
      <c r="I229" t="n">
        <v>0</v>
      </c>
      <c r="J229" t="n">
        <v>0</v>
      </c>
      <c r="K229" t="n">
        <v>0</v>
      </c>
      <c r="L229" t="n">
        <v>0</v>
      </c>
      <c r="M229" t="n">
        <v>0</v>
      </c>
      <c r="N229" t="n">
        <v>0</v>
      </c>
      <c r="O229" t="n">
        <v>0</v>
      </c>
      <c r="P229" t="n">
        <v>0</v>
      </c>
      <c r="Q229" t="n">
        <v>0</v>
      </c>
      <c r="R229" s="2" t="inlineStr"/>
    </row>
    <row r="230" ht="15" customHeight="1">
      <c r="A230" t="inlineStr">
        <is>
          <t>A 24819-2021</t>
        </is>
      </c>
      <c r="B230" s="1" t="n">
        <v>44340</v>
      </c>
      <c r="C230" s="1" t="n">
        <v>45878</v>
      </c>
      <c r="D230" t="inlineStr">
        <is>
          <t>VÄSTERNORRLANDS LÄN</t>
        </is>
      </c>
      <c r="E230" t="inlineStr">
        <is>
          <t>ÅNGE</t>
        </is>
      </c>
      <c r="G230" t="n">
        <v>1.5</v>
      </c>
      <c r="H230" t="n">
        <v>0</v>
      </c>
      <c r="I230" t="n">
        <v>0</v>
      </c>
      <c r="J230" t="n">
        <v>0</v>
      </c>
      <c r="K230" t="n">
        <v>0</v>
      </c>
      <c r="L230" t="n">
        <v>0</v>
      </c>
      <c r="M230" t="n">
        <v>0</v>
      </c>
      <c r="N230" t="n">
        <v>0</v>
      </c>
      <c r="O230" t="n">
        <v>0</v>
      </c>
      <c r="P230" t="n">
        <v>0</v>
      </c>
      <c r="Q230" t="n">
        <v>0</v>
      </c>
      <c r="R230" s="2" t="inlineStr"/>
    </row>
    <row r="231" ht="15" customHeight="1">
      <c r="A231" t="inlineStr">
        <is>
          <t>A 53969-2021</t>
        </is>
      </c>
      <c r="B231" s="1" t="n">
        <v>44469</v>
      </c>
      <c r="C231" s="1" t="n">
        <v>45878</v>
      </c>
      <c r="D231" t="inlineStr">
        <is>
          <t>VÄSTERNORRLANDS LÄN</t>
        </is>
      </c>
      <c r="E231" t="inlineStr">
        <is>
          <t>ÅNGE</t>
        </is>
      </c>
      <c r="G231" t="n">
        <v>0.7</v>
      </c>
      <c r="H231" t="n">
        <v>0</v>
      </c>
      <c r="I231" t="n">
        <v>0</v>
      </c>
      <c r="J231" t="n">
        <v>0</v>
      </c>
      <c r="K231" t="n">
        <v>0</v>
      </c>
      <c r="L231" t="n">
        <v>0</v>
      </c>
      <c r="M231" t="n">
        <v>0</v>
      </c>
      <c r="N231" t="n">
        <v>0</v>
      </c>
      <c r="O231" t="n">
        <v>0</v>
      </c>
      <c r="P231" t="n">
        <v>0</v>
      </c>
      <c r="Q231" t="n">
        <v>0</v>
      </c>
      <c r="R231" s="2" t="inlineStr"/>
    </row>
    <row r="232" ht="15" customHeight="1">
      <c r="A232" t="inlineStr">
        <is>
          <t>A 35359-2021</t>
        </is>
      </c>
      <c r="B232" s="1" t="n">
        <v>44384.93608796296</v>
      </c>
      <c r="C232" s="1" t="n">
        <v>45878</v>
      </c>
      <c r="D232" t="inlineStr">
        <is>
          <t>VÄSTERNORRLANDS LÄN</t>
        </is>
      </c>
      <c r="E232" t="inlineStr">
        <is>
          <t>ÅNGE</t>
        </is>
      </c>
      <c r="F232" t="inlineStr">
        <is>
          <t>SCA</t>
        </is>
      </c>
      <c r="G232" t="n">
        <v>10.1</v>
      </c>
      <c r="H232" t="n">
        <v>0</v>
      </c>
      <c r="I232" t="n">
        <v>0</v>
      </c>
      <c r="J232" t="n">
        <v>0</v>
      </c>
      <c r="K232" t="n">
        <v>0</v>
      </c>
      <c r="L232" t="n">
        <v>0</v>
      </c>
      <c r="M232" t="n">
        <v>0</v>
      </c>
      <c r="N232" t="n">
        <v>0</v>
      </c>
      <c r="O232" t="n">
        <v>0</v>
      </c>
      <c r="P232" t="n">
        <v>0</v>
      </c>
      <c r="Q232" t="n">
        <v>0</v>
      </c>
      <c r="R232" s="2" t="inlineStr"/>
    </row>
    <row r="233" ht="15" customHeight="1">
      <c r="A233" t="inlineStr">
        <is>
          <t>A 31191-2021</t>
        </is>
      </c>
      <c r="B233" s="1" t="n">
        <v>44368</v>
      </c>
      <c r="C233" s="1" t="n">
        <v>45878</v>
      </c>
      <c r="D233" t="inlineStr">
        <is>
          <t>VÄSTERNORRLANDS LÄN</t>
        </is>
      </c>
      <c r="E233" t="inlineStr">
        <is>
          <t>ÅNGE</t>
        </is>
      </c>
      <c r="F233" t="inlineStr">
        <is>
          <t>Sveaskog</t>
        </is>
      </c>
      <c r="G233" t="n">
        <v>21.6</v>
      </c>
      <c r="H233" t="n">
        <v>0</v>
      </c>
      <c r="I233" t="n">
        <v>0</v>
      </c>
      <c r="J233" t="n">
        <v>0</v>
      </c>
      <c r="K233" t="n">
        <v>0</v>
      </c>
      <c r="L233" t="n">
        <v>0</v>
      </c>
      <c r="M233" t="n">
        <v>0</v>
      </c>
      <c r="N233" t="n">
        <v>0</v>
      </c>
      <c r="O233" t="n">
        <v>0</v>
      </c>
      <c r="P233" t="n">
        <v>0</v>
      </c>
      <c r="Q233" t="n">
        <v>0</v>
      </c>
      <c r="R233" s="2" t="inlineStr"/>
    </row>
    <row r="234" ht="15" customHeight="1">
      <c r="A234" t="inlineStr">
        <is>
          <t>A 63609-2021</t>
        </is>
      </c>
      <c r="B234" s="1" t="n">
        <v>44508.94660879629</v>
      </c>
      <c r="C234" s="1" t="n">
        <v>45878</v>
      </c>
      <c r="D234" t="inlineStr">
        <is>
          <t>VÄSTERNORRLANDS LÄN</t>
        </is>
      </c>
      <c r="E234" t="inlineStr">
        <is>
          <t>ÅNGE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7158-2022</t>
        </is>
      </c>
      <c r="B235" s="1" t="n">
        <v>44603.96534722222</v>
      </c>
      <c r="C235" s="1" t="n">
        <v>45878</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43093-2020</t>
        </is>
      </c>
      <c r="B236" s="1" t="n">
        <v>44078</v>
      </c>
      <c r="C236" s="1" t="n">
        <v>45878</v>
      </c>
      <c r="D236" t="inlineStr">
        <is>
          <t>VÄSTERNORRLANDS LÄN</t>
        </is>
      </c>
      <c r="E236" t="inlineStr">
        <is>
          <t>ÅNGE</t>
        </is>
      </c>
      <c r="F236" t="inlineStr">
        <is>
          <t>SCA</t>
        </is>
      </c>
      <c r="G236" t="n">
        <v>1.2</v>
      </c>
      <c r="H236" t="n">
        <v>0</v>
      </c>
      <c r="I236" t="n">
        <v>0</v>
      </c>
      <c r="J236" t="n">
        <v>0</v>
      </c>
      <c r="K236" t="n">
        <v>0</v>
      </c>
      <c r="L236" t="n">
        <v>0</v>
      </c>
      <c r="M236" t="n">
        <v>0</v>
      </c>
      <c r="N236" t="n">
        <v>0</v>
      </c>
      <c r="O236" t="n">
        <v>0</v>
      </c>
      <c r="P236" t="n">
        <v>0</v>
      </c>
      <c r="Q236" t="n">
        <v>0</v>
      </c>
      <c r="R236" s="2" t="inlineStr"/>
    </row>
    <row r="237" ht="15" customHeight="1">
      <c r="A237" t="inlineStr">
        <is>
          <t>A 58941-2021</t>
        </is>
      </c>
      <c r="B237" s="1" t="n">
        <v>44489.92215277778</v>
      </c>
      <c r="C237" s="1" t="n">
        <v>45878</v>
      </c>
      <c r="D237" t="inlineStr">
        <is>
          <t>VÄSTERNORRLANDS LÄN</t>
        </is>
      </c>
      <c r="E237" t="inlineStr">
        <is>
          <t>ÅNGE</t>
        </is>
      </c>
      <c r="G237" t="n">
        <v>6.7</v>
      </c>
      <c r="H237" t="n">
        <v>0</v>
      </c>
      <c r="I237" t="n">
        <v>0</v>
      </c>
      <c r="J237" t="n">
        <v>0</v>
      </c>
      <c r="K237" t="n">
        <v>0</v>
      </c>
      <c r="L237" t="n">
        <v>0</v>
      </c>
      <c r="M237" t="n">
        <v>0</v>
      </c>
      <c r="N237" t="n">
        <v>0</v>
      </c>
      <c r="O237" t="n">
        <v>0</v>
      </c>
      <c r="P237" t="n">
        <v>0</v>
      </c>
      <c r="Q237" t="n">
        <v>0</v>
      </c>
      <c r="R237" s="2" t="inlineStr"/>
    </row>
    <row r="238" ht="15" customHeight="1">
      <c r="A238" t="inlineStr">
        <is>
          <t>A 52705-2021</t>
        </is>
      </c>
      <c r="B238" s="1" t="n">
        <v>44466</v>
      </c>
      <c r="C238" s="1" t="n">
        <v>45878</v>
      </c>
      <c r="D238" t="inlineStr">
        <is>
          <t>VÄSTERNORRLANDS LÄN</t>
        </is>
      </c>
      <c r="E238" t="inlineStr">
        <is>
          <t>ÅNGE</t>
        </is>
      </c>
      <c r="G238" t="n">
        <v>0.5</v>
      </c>
      <c r="H238" t="n">
        <v>0</v>
      </c>
      <c r="I238" t="n">
        <v>0</v>
      </c>
      <c r="J238" t="n">
        <v>0</v>
      </c>
      <c r="K238" t="n">
        <v>0</v>
      </c>
      <c r="L238" t="n">
        <v>0</v>
      </c>
      <c r="M238" t="n">
        <v>0</v>
      </c>
      <c r="N238" t="n">
        <v>0</v>
      </c>
      <c r="O238" t="n">
        <v>0</v>
      </c>
      <c r="P238" t="n">
        <v>0</v>
      </c>
      <c r="Q238" t="n">
        <v>0</v>
      </c>
      <c r="R238" s="2" t="inlineStr"/>
    </row>
    <row r="239" ht="15" customHeight="1">
      <c r="A239" t="inlineStr">
        <is>
          <t>A 52726-2021</t>
        </is>
      </c>
      <c r="B239" s="1" t="n">
        <v>44466</v>
      </c>
      <c r="C239" s="1" t="n">
        <v>45878</v>
      </c>
      <c r="D239" t="inlineStr">
        <is>
          <t>VÄSTERNORRLANDS LÄN</t>
        </is>
      </c>
      <c r="E239" t="inlineStr">
        <is>
          <t>ÅNGE</t>
        </is>
      </c>
      <c r="F239" t="inlineStr">
        <is>
          <t>SCA</t>
        </is>
      </c>
      <c r="G239" t="n">
        <v>9.5</v>
      </c>
      <c r="H239" t="n">
        <v>0</v>
      </c>
      <c r="I239" t="n">
        <v>0</v>
      </c>
      <c r="J239" t="n">
        <v>0</v>
      </c>
      <c r="K239" t="n">
        <v>0</v>
      </c>
      <c r="L239" t="n">
        <v>0</v>
      </c>
      <c r="M239" t="n">
        <v>0</v>
      </c>
      <c r="N239" t="n">
        <v>0</v>
      </c>
      <c r="O239" t="n">
        <v>0</v>
      </c>
      <c r="P239" t="n">
        <v>0</v>
      </c>
      <c r="Q239" t="n">
        <v>0</v>
      </c>
      <c r="R239" s="2" t="inlineStr"/>
    </row>
    <row r="240" ht="15" customHeight="1">
      <c r="A240" t="inlineStr">
        <is>
          <t>A 47282-2022</t>
        </is>
      </c>
      <c r="B240" s="1" t="n">
        <v>44852.95091435185</v>
      </c>
      <c r="C240" s="1" t="n">
        <v>45878</v>
      </c>
      <c r="D240" t="inlineStr">
        <is>
          <t>VÄSTERNORRLANDS LÄN</t>
        </is>
      </c>
      <c r="E240" t="inlineStr">
        <is>
          <t>ÅNGE</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6677-2022</t>
        </is>
      </c>
      <c r="B241" s="1" t="n">
        <v>44602.39258101852</v>
      </c>
      <c r="C241" s="1" t="n">
        <v>45878</v>
      </c>
      <c r="D241" t="inlineStr">
        <is>
          <t>VÄSTERNORRLANDS LÄN</t>
        </is>
      </c>
      <c r="E241" t="inlineStr">
        <is>
          <t>ÅNGE</t>
        </is>
      </c>
      <c r="G241" t="n">
        <v>2.7</v>
      </c>
      <c r="H241" t="n">
        <v>0</v>
      </c>
      <c r="I241" t="n">
        <v>0</v>
      </c>
      <c r="J241" t="n">
        <v>0</v>
      </c>
      <c r="K241" t="n">
        <v>0</v>
      </c>
      <c r="L241" t="n">
        <v>0</v>
      </c>
      <c r="M241" t="n">
        <v>0</v>
      </c>
      <c r="N241" t="n">
        <v>0</v>
      </c>
      <c r="O241" t="n">
        <v>0</v>
      </c>
      <c r="P241" t="n">
        <v>0</v>
      </c>
      <c r="Q241" t="n">
        <v>0</v>
      </c>
      <c r="R241" s="2" t="inlineStr"/>
    </row>
    <row r="242" ht="15" customHeight="1">
      <c r="A242" t="inlineStr">
        <is>
          <t>A 7649-2022</t>
        </is>
      </c>
      <c r="B242" s="1" t="n">
        <v>44607</v>
      </c>
      <c r="C242" s="1" t="n">
        <v>45878</v>
      </c>
      <c r="D242" t="inlineStr">
        <is>
          <t>VÄSTERNORRLANDS LÄN</t>
        </is>
      </c>
      <c r="E242" t="inlineStr">
        <is>
          <t>ÅNGE</t>
        </is>
      </c>
      <c r="G242" t="n">
        <v>1.9</v>
      </c>
      <c r="H242" t="n">
        <v>0</v>
      </c>
      <c r="I242" t="n">
        <v>0</v>
      </c>
      <c r="J242" t="n">
        <v>0</v>
      </c>
      <c r="K242" t="n">
        <v>0</v>
      </c>
      <c r="L242" t="n">
        <v>0</v>
      </c>
      <c r="M242" t="n">
        <v>0</v>
      </c>
      <c r="N242" t="n">
        <v>0</v>
      </c>
      <c r="O242" t="n">
        <v>0</v>
      </c>
      <c r="P242" t="n">
        <v>0</v>
      </c>
      <c r="Q242" t="n">
        <v>0</v>
      </c>
      <c r="R242" s="2" t="inlineStr"/>
    </row>
    <row r="243" ht="15" customHeight="1">
      <c r="A243" t="inlineStr">
        <is>
          <t>A 70809-2021</t>
        </is>
      </c>
      <c r="B243" s="1" t="n">
        <v>44537.91950231481</v>
      </c>
      <c r="C243" s="1" t="n">
        <v>45878</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19970-2021</t>
        </is>
      </c>
      <c r="B244" s="1" t="n">
        <v>44313</v>
      </c>
      <c r="C244" s="1" t="n">
        <v>45878</v>
      </c>
      <c r="D244" t="inlineStr">
        <is>
          <t>VÄSTERNORRLANDS LÄN</t>
        </is>
      </c>
      <c r="E244" t="inlineStr">
        <is>
          <t>ÅNGE</t>
        </is>
      </c>
      <c r="F244" t="inlineStr">
        <is>
          <t>Holmen skog AB</t>
        </is>
      </c>
      <c r="G244" t="n">
        <v>0.4</v>
      </c>
      <c r="H244" t="n">
        <v>0</v>
      </c>
      <c r="I244" t="n">
        <v>0</v>
      </c>
      <c r="J244" t="n">
        <v>0</v>
      </c>
      <c r="K244" t="n">
        <v>0</v>
      </c>
      <c r="L244" t="n">
        <v>0</v>
      </c>
      <c r="M244" t="n">
        <v>0</v>
      </c>
      <c r="N244" t="n">
        <v>0</v>
      </c>
      <c r="O244" t="n">
        <v>0</v>
      </c>
      <c r="P244" t="n">
        <v>0</v>
      </c>
      <c r="Q244" t="n">
        <v>0</v>
      </c>
      <c r="R244" s="2" t="inlineStr"/>
    </row>
    <row r="245" ht="15" customHeight="1">
      <c r="A245" t="inlineStr">
        <is>
          <t>A 17844-2021</t>
        </is>
      </c>
      <c r="B245" s="1" t="n">
        <v>44300.9187962963</v>
      </c>
      <c r="C245" s="1" t="n">
        <v>45878</v>
      </c>
      <c r="D245" t="inlineStr">
        <is>
          <t>VÄSTERNORRLANDS LÄN</t>
        </is>
      </c>
      <c r="E245" t="inlineStr">
        <is>
          <t>ÅNGE</t>
        </is>
      </c>
      <c r="G245" t="n">
        <v>3.3</v>
      </c>
      <c r="H245" t="n">
        <v>0</v>
      </c>
      <c r="I245" t="n">
        <v>0</v>
      </c>
      <c r="J245" t="n">
        <v>0</v>
      </c>
      <c r="K245" t="n">
        <v>0</v>
      </c>
      <c r="L245" t="n">
        <v>0</v>
      </c>
      <c r="M245" t="n">
        <v>0</v>
      </c>
      <c r="N245" t="n">
        <v>0</v>
      </c>
      <c r="O245" t="n">
        <v>0</v>
      </c>
      <c r="P245" t="n">
        <v>0</v>
      </c>
      <c r="Q245" t="n">
        <v>0</v>
      </c>
      <c r="R245" s="2" t="inlineStr"/>
    </row>
    <row r="246" ht="15" customHeight="1">
      <c r="A246" t="inlineStr">
        <is>
          <t>A 65437-2021</t>
        </is>
      </c>
      <c r="B246" s="1" t="n">
        <v>44515.93900462963</v>
      </c>
      <c r="C246" s="1" t="n">
        <v>45878</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23999-2022</t>
        </is>
      </c>
      <c r="B247" s="1" t="n">
        <v>44722.94055555556</v>
      </c>
      <c r="C247" s="1" t="n">
        <v>45878</v>
      </c>
      <c r="D247" t="inlineStr">
        <is>
          <t>VÄSTERNORRLANDS LÄN</t>
        </is>
      </c>
      <c r="E247" t="inlineStr">
        <is>
          <t>ÅNGE</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53170-2020</t>
        </is>
      </c>
      <c r="B248" s="1" t="n">
        <v>44120</v>
      </c>
      <c r="C248" s="1" t="n">
        <v>45878</v>
      </c>
      <c r="D248" t="inlineStr">
        <is>
          <t>VÄSTERNORRLANDS LÄN</t>
        </is>
      </c>
      <c r="E248" t="inlineStr">
        <is>
          <t>ÅNGE</t>
        </is>
      </c>
      <c r="F248" t="inlineStr">
        <is>
          <t>SCA</t>
        </is>
      </c>
      <c r="G248" t="n">
        <v>6.1</v>
      </c>
      <c r="H248" t="n">
        <v>0</v>
      </c>
      <c r="I248" t="n">
        <v>0</v>
      </c>
      <c r="J248" t="n">
        <v>0</v>
      </c>
      <c r="K248" t="n">
        <v>0</v>
      </c>
      <c r="L248" t="n">
        <v>0</v>
      </c>
      <c r="M248" t="n">
        <v>0</v>
      </c>
      <c r="N248" t="n">
        <v>0</v>
      </c>
      <c r="O248" t="n">
        <v>0</v>
      </c>
      <c r="P248" t="n">
        <v>0</v>
      </c>
      <c r="Q248" t="n">
        <v>0</v>
      </c>
      <c r="R248" s="2" t="inlineStr"/>
    </row>
    <row r="249" ht="15" customHeight="1">
      <c r="A249" t="inlineStr">
        <is>
          <t>A 39729-2021</t>
        </is>
      </c>
      <c r="B249" s="1" t="n">
        <v>44417.48267361111</v>
      </c>
      <c r="C249" s="1" t="n">
        <v>45878</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31649-2022</t>
        </is>
      </c>
      <c r="B250" s="1" t="n">
        <v>44775.94340277778</v>
      </c>
      <c r="C250" s="1" t="n">
        <v>45878</v>
      </c>
      <c r="D250" t="inlineStr">
        <is>
          <t>VÄSTERNORRLANDS LÄN</t>
        </is>
      </c>
      <c r="E250" t="inlineStr">
        <is>
          <t>ÅNGE</t>
        </is>
      </c>
      <c r="F250" t="inlineStr">
        <is>
          <t>SCA</t>
        </is>
      </c>
      <c r="G250" t="n">
        <v>3.8</v>
      </c>
      <c r="H250" t="n">
        <v>0</v>
      </c>
      <c r="I250" t="n">
        <v>0</v>
      </c>
      <c r="J250" t="n">
        <v>0</v>
      </c>
      <c r="K250" t="n">
        <v>0</v>
      </c>
      <c r="L250" t="n">
        <v>0</v>
      </c>
      <c r="M250" t="n">
        <v>0</v>
      </c>
      <c r="N250" t="n">
        <v>0</v>
      </c>
      <c r="O250" t="n">
        <v>0</v>
      </c>
      <c r="P250" t="n">
        <v>0</v>
      </c>
      <c r="Q250" t="n">
        <v>0</v>
      </c>
      <c r="R250" s="2" t="inlineStr"/>
    </row>
    <row r="251" ht="15" customHeight="1">
      <c r="A251" t="inlineStr">
        <is>
          <t>A 65770-2020</t>
        </is>
      </c>
      <c r="B251" s="1" t="n">
        <v>44174.55582175926</v>
      </c>
      <c r="C251" s="1" t="n">
        <v>45878</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51427-2021</t>
        </is>
      </c>
      <c r="B252" s="1" t="n">
        <v>44461</v>
      </c>
      <c r="C252" s="1" t="n">
        <v>45878</v>
      </c>
      <c r="D252" t="inlineStr">
        <is>
          <t>VÄSTERNORRLANDS LÄN</t>
        </is>
      </c>
      <c r="E252" t="inlineStr">
        <is>
          <t>ÅNGE</t>
        </is>
      </c>
      <c r="G252" t="n">
        <v>3.2</v>
      </c>
      <c r="H252" t="n">
        <v>0</v>
      </c>
      <c r="I252" t="n">
        <v>0</v>
      </c>
      <c r="J252" t="n">
        <v>0</v>
      </c>
      <c r="K252" t="n">
        <v>0</v>
      </c>
      <c r="L252" t="n">
        <v>0</v>
      </c>
      <c r="M252" t="n">
        <v>0</v>
      </c>
      <c r="N252" t="n">
        <v>0</v>
      </c>
      <c r="O252" t="n">
        <v>0</v>
      </c>
      <c r="P252" t="n">
        <v>0</v>
      </c>
      <c r="Q252" t="n">
        <v>0</v>
      </c>
      <c r="R252" s="2" t="inlineStr"/>
    </row>
    <row r="253" ht="15" customHeight="1">
      <c r="A253" t="inlineStr">
        <is>
          <t>A 9998-2022</t>
        </is>
      </c>
      <c r="B253" s="1" t="n">
        <v>44621.46462962963</v>
      </c>
      <c r="C253" s="1" t="n">
        <v>45878</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47654-2022</t>
        </is>
      </c>
      <c r="B254" s="1" t="n">
        <v>44854.45208333333</v>
      </c>
      <c r="C254" s="1" t="n">
        <v>45878</v>
      </c>
      <c r="D254" t="inlineStr">
        <is>
          <t>VÄSTERNORRLANDS LÄN</t>
        </is>
      </c>
      <c r="E254" t="inlineStr">
        <is>
          <t>ÅNGE</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70899-2021</t>
        </is>
      </c>
      <c r="B255" s="1" t="n">
        <v>44537</v>
      </c>
      <c r="C255" s="1" t="n">
        <v>45878</v>
      </c>
      <c r="D255" t="inlineStr">
        <is>
          <t>VÄSTERNORRLANDS LÄN</t>
        </is>
      </c>
      <c r="E255" t="inlineStr">
        <is>
          <t>ÅNGE</t>
        </is>
      </c>
      <c r="G255" t="n">
        <v>0.8</v>
      </c>
      <c r="H255" t="n">
        <v>0</v>
      </c>
      <c r="I255" t="n">
        <v>0</v>
      </c>
      <c r="J255" t="n">
        <v>0</v>
      </c>
      <c r="K255" t="n">
        <v>0</v>
      </c>
      <c r="L255" t="n">
        <v>0</v>
      </c>
      <c r="M255" t="n">
        <v>0</v>
      </c>
      <c r="N255" t="n">
        <v>0</v>
      </c>
      <c r="O255" t="n">
        <v>0</v>
      </c>
      <c r="P255" t="n">
        <v>0</v>
      </c>
      <c r="Q255" t="n">
        <v>0</v>
      </c>
      <c r="R255" s="2" t="inlineStr"/>
    </row>
    <row r="256" ht="15" customHeight="1">
      <c r="A256" t="inlineStr">
        <is>
          <t>A 19035-2022</t>
        </is>
      </c>
      <c r="B256" s="1" t="n">
        <v>44691</v>
      </c>
      <c r="C256" s="1" t="n">
        <v>45878</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35497-2022</t>
        </is>
      </c>
      <c r="B257" s="1" t="n">
        <v>44798</v>
      </c>
      <c r="C257" s="1" t="n">
        <v>45878</v>
      </c>
      <c r="D257" t="inlineStr">
        <is>
          <t>VÄSTERNORRLANDS LÄN</t>
        </is>
      </c>
      <c r="E257" t="inlineStr">
        <is>
          <t>ÅNGE</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32536-2022</t>
        </is>
      </c>
      <c r="B258" s="1" t="n">
        <v>44783.30246527777</v>
      </c>
      <c r="C258" s="1" t="n">
        <v>45878</v>
      </c>
      <c r="D258" t="inlineStr">
        <is>
          <t>VÄSTERNORRLANDS LÄN</t>
        </is>
      </c>
      <c r="E258" t="inlineStr">
        <is>
          <t>ÅNGE</t>
        </is>
      </c>
      <c r="G258" t="n">
        <v>0.4</v>
      </c>
      <c r="H258" t="n">
        <v>0</v>
      </c>
      <c r="I258" t="n">
        <v>0</v>
      </c>
      <c r="J258" t="n">
        <v>0</v>
      </c>
      <c r="K258" t="n">
        <v>0</v>
      </c>
      <c r="L258" t="n">
        <v>0</v>
      </c>
      <c r="M258" t="n">
        <v>0</v>
      </c>
      <c r="N258" t="n">
        <v>0</v>
      </c>
      <c r="O258" t="n">
        <v>0</v>
      </c>
      <c r="P258" t="n">
        <v>0</v>
      </c>
      <c r="Q258" t="n">
        <v>0</v>
      </c>
      <c r="R258" s="2" t="inlineStr"/>
    </row>
    <row r="259" ht="15" customHeight="1">
      <c r="A259" t="inlineStr">
        <is>
          <t>A 32631-2022</t>
        </is>
      </c>
      <c r="B259" s="1" t="n">
        <v>44783</v>
      </c>
      <c r="C259" s="1" t="n">
        <v>45878</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68812-2020</t>
        </is>
      </c>
      <c r="B260" s="1" t="n">
        <v>44187</v>
      </c>
      <c r="C260" s="1" t="n">
        <v>45878</v>
      </c>
      <c r="D260" t="inlineStr">
        <is>
          <t>VÄSTERNORRLANDS LÄN</t>
        </is>
      </c>
      <c r="E260" t="inlineStr">
        <is>
          <t>ÅNGE</t>
        </is>
      </c>
      <c r="G260" t="n">
        <v>1.6</v>
      </c>
      <c r="H260" t="n">
        <v>0</v>
      </c>
      <c r="I260" t="n">
        <v>0</v>
      </c>
      <c r="J260" t="n">
        <v>0</v>
      </c>
      <c r="K260" t="n">
        <v>0</v>
      </c>
      <c r="L260" t="n">
        <v>0</v>
      </c>
      <c r="M260" t="n">
        <v>0</v>
      </c>
      <c r="N260" t="n">
        <v>0</v>
      </c>
      <c r="O260" t="n">
        <v>0</v>
      </c>
      <c r="P260" t="n">
        <v>0</v>
      </c>
      <c r="Q260" t="n">
        <v>0</v>
      </c>
      <c r="R260" s="2" t="inlineStr"/>
    </row>
    <row r="261" ht="15" customHeight="1">
      <c r="A261" t="inlineStr">
        <is>
          <t>A 30495-2022</t>
        </is>
      </c>
      <c r="B261" s="1" t="n">
        <v>44761.9424074074</v>
      </c>
      <c r="C261" s="1" t="n">
        <v>45878</v>
      </c>
      <c r="D261" t="inlineStr">
        <is>
          <t>VÄSTERNORRLANDS LÄN</t>
        </is>
      </c>
      <c r="E261" t="inlineStr">
        <is>
          <t>ÅNGE</t>
        </is>
      </c>
      <c r="F261" t="inlineStr">
        <is>
          <t>SCA</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65277-2020</t>
        </is>
      </c>
      <c r="B262" s="1" t="n">
        <v>44172</v>
      </c>
      <c r="C262" s="1" t="n">
        <v>45878</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47443-2022</t>
        </is>
      </c>
      <c r="B263" s="1" t="n">
        <v>44853.59686342593</v>
      </c>
      <c r="C263" s="1" t="n">
        <v>45878</v>
      </c>
      <c r="D263" t="inlineStr">
        <is>
          <t>VÄSTERNORRLANDS LÄN</t>
        </is>
      </c>
      <c r="E263" t="inlineStr">
        <is>
          <t>ÅNGE</t>
        </is>
      </c>
      <c r="F263" t="inlineStr">
        <is>
          <t>Sveaskog</t>
        </is>
      </c>
      <c r="G263" t="n">
        <v>1.9</v>
      </c>
      <c r="H263" t="n">
        <v>0</v>
      </c>
      <c r="I263" t="n">
        <v>0</v>
      </c>
      <c r="J263" t="n">
        <v>0</v>
      </c>
      <c r="K263" t="n">
        <v>0</v>
      </c>
      <c r="L263" t="n">
        <v>0</v>
      </c>
      <c r="M263" t="n">
        <v>0</v>
      </c>
      <c r="N263" t="n">
        <v>0</v>
      </c>
      <c r="O263" t="n">
        <v>0</v>
      </c>
      <c r="P263" t="n">
        <v>0</v>
      </c>
      <c r="Q263" t="n">
        <v>0</v>
      </c>
      <c r="R263" s="2" t="inlineStr"/>
    </row>
    <row r="264" ht="15" customHeight="1">
      <c r="A264" t="inlineStr">
        <is>
          <t>A 13510-2021</t>
        </is>
      </c>
      <c r="B264" s="1" t="n">
        <v>44273</v>
      </c>
      <c r="C264" s="1" t="n">
        <v>45878</v>
      </c>
      <c r="D264" t="inlineStr">
        <is>
          <t>VÄSTERNORRLANDS LÄN</t>
        </is>
      </c>
      <c r="E264" t="inlineStr">
        <is>
          <t>ÅNGE</t>
        </is>
      </c>
      <c r="G264" t="n">
        <v>0.4</v>
      </c>
      <c r="H264" t="n">
        <v>0</v>
      </c>
      <c r="I264" t="n">
        <v>0</v>
      </c>
      <c r="J264" t="n">
        <v>0</v>
      </c>
      <c r="K264" t="n">
        <v>0</v>
      </c>
      <c r="L264" t="n">
        <v>0</v>
      </c>
      <c r="M264" t="n">
        <v>0</v>
      </c>
      <c r="N264" t="n">
        <v>0</v>
      </c>
      <c r="O264" t="n">
        <v>0</v>
      </c>
      <c r="P264" t="n">
        <v>0</v>
      </c>
      <c r="Q264" t="n">
        <v>0</v>
      </c>
      <c r="R264" s="2" t="inlineStr"/>
    </row>
    <row r="265" ht="15" customHeight="1">
      <c r="A265" t="inlineStr">
        <is>
          <t>A 13479-2021</t>
        </is>
      </c>
      <c r="B265" s="1" t="n">
        <v>44273</v>
      </c>
      <c r="C265" s="1" t="n">
        <v>45878</v>
      </c>
      <c r="D265" t="inlineStr">
        <is>
          <t>VÄSTERNORRLANDS LÄN</t>
        </is>
      </c>
      <c r="E265" t="inlineStr">
        <is>
          <t>ÅNGE</t>
        </is>
      </c>
      <c r="G265" t="n">
        <v>0.1</v>
      </c>
      <c r="H265" t="n">
        <v>0</v>
      </c>
      <c r="I265" t="n">
        <v>0</v>
      </c>
      <c r="J265" t="n">
        <v>0</v>
      </c>
      <c r="K265" t="n">
        <v>0</v>
      </c>
      <c r="L265" t="n">
        <v>0</v>
      </c>
      <c r="M265" t="n">
        <v>0</v>
      </c>
      <c r="N265" t="n">
        <v>0</v>
      </c>
      <c r="O265" t="n">
        <v>0</v>
      </c>
      <c r="P265" t="n">
        <v>0</v>
      </c>
      <c r="Q265" t="n">
        <v>0</v>
      </c>
      <c r="R265" s="2" t="inlineStr"/>
    </row>
    <row r="266" ht="15" customHeight="1">
      <c r="A266" t="inlineStr">
        <is>
          <t>A 42881-2021</t>
        </is>
      </c>
      <c r="B266" s="1" t="n">
        <v>44431.31181712963</v>
      </c>
      <c r="C266" s="1" t="n">
        <v>45878</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5822-2021</t>
        </is>
      </c>
      <c r="B267" s="1" t="n">
        <v>44230</v>
      </c>
      <c r="C267" s="1" t="n">
        <v>45878</v>
      </c>
      <c r="D267" t="inlineStr">
        <is>
          <t>VÄSTERNORRLANDS LÄN</t>
        </is>
      </c>
      <c r="E267" t="inlineStr">
        <is>
          <t>ÅNGE</t>
        </is>
      </c>
      <c r="G267" t="n">
        <v>1.5</v>
      </c>
      <c r="H267" t="n">
        <v>0</v>
      </c>
      <c r="I267" t="n">
        <v>0</v>
      </c>
      <c r="J267" t="n">
        <v>0</v>
      </c>
      <c r="K267" t="n">
        <v>0</v>
      </c>
      <c r="L267" t="n">
        <v>0</v>
      </c>
      <c r="M267" t="n">
        <v>0</v>
      </c>
      <c r="N267" t="n">
        <v>0</v>
      </c>
      <c r="O267" t="n">
        <v>0</v>
      </c>
      <c r="P267" t="n">
        <v>0</v>
      </c>
      <c r="Q267" t="n">
        <v>0</v>
      </c>
      <c r="R267" s="2" t="inlineStr"/>
    </row>
    <row r="268" ht="15" customHeight="1">
      <c r="A268" t="inlineStr">
        <is>
          <t>A 39723-2021</t>
        </is>
      </c>
      <c r="B268" s="1" t="n">
        <v>44417.47886574074</v>
      </c>
      <c r="C268" s="1" t="n">
        <v>45878</v>
      </c>
      <c r="D268" t="inlineStr">
        <is>
          <t>VÄSTERNORRLANDS LÄN</t>
        </is>
      </c>
      <c r="E268" t="inlineStr">
        <is>
          <t>ÅNGE</t>
        </is>
      </c>
      <c r="G268" t="n">
        <v>1.1</v>
      </c>
      <c r="H268" t="n">
        <v>0</v>
      </c>
      <c r="I268" t="n">
        <v>0</v>
      </c>
      <c r="J268" t="n">
        <v>0</v>
      </c>
      <c r="K268" t="n">
        <v>0</v>
      </c>
      <c r="L268" t="n">
        <v>0</v>
      </c>
      <c r="M268" t="n">
        <v>0</v>
      </c>
      <c r="N268" t="n">
        <v>0</v>
      </c>
      <c r="O268" t="n">
        <v>0</v>
      </c>
      <c r="P268" t="n">
        <v>0</v>
      </c>
      <c r="Q268" t="n">
        <v>0</v>
      </c>
      <c r="R268" s="2" t="inlineStr"/>
    </row>
    <row r="269" ht="15" customHeight="1">
      <c r="A269" t="inlineStr">
        <is>
          <t>A 58942-2021</t>
        </is>
      </c>
      <c r="B269" s="1" t="n">
        <v>44489.9221875</v>
      </c>
      <c r="C269" s="1" t="n">
        <v>45878</v>
      </c>
      <c r="D269" t="inlineStr">
        <is>
          <t>VÄSTERNORRLANDS LÄN</t>
        </is>
      </c>
      <c r="E269" t="inlineStr">
        <is>
          <t>ÅNGE</t>
        </is>
      </c>
      <c r="G269" t="n">
        <v>5.6</v>
      </c>
      <c r="H269" t="n">
        <v>0</v>
      </c>
      <c r="I269" t="n">
        <v>0</v>
      </c>
      <c r="J269" t="n">
        <v>0</v>
      </c>
      <c r="K269" t="n">
        <v>0</v>
      </c>
      <c r="L269" t="n">
        <v>0</v>
      </c>
      <c r="M269" t="n">
        <v>0</v>
      </c>
      <c r="N269" t="n">
        <v>0</v>
      </c>
      <c r="O269" t="n">
        <v>0</v>
      </c>
      <c r="P269" t="n">
        <v>0</v>
      </c>
      <c r="Q269" t="n">
        <v>0</v>
      </c>
      <c r="R269" s="2" t="inlineStr"/>
    </row>
    <row r="270" ht="15" customHeight="1">
      <c r="A270" t="inlineStr">
        <is>
          <t>A 45813-2020</t>
        </is>
      </c>
      <c r="B270" s="1" t="n">
        <v>44090.88689814815</v>
      </c>
      <c r="C270" s="1" t="n">
        <v>45878</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71651-2021</t>
        </is>
      </c>
      <c r="B271" s="1" t="n">
        <v>44538</v>
      </c>
      <c r="C271" s="1" t="n">
        <v>45878</v>
      </c>
      <c r="D271" t="inlineStr">
        <is>
          <t>VÄSTERNORRLANDS LÄN</t>
        </is>
      </c>
      <c r="E271" t="inlineStr">
        <is>
          <t>ÅNGE</t>
        </is>
      </c>
      <c r="G271" t="n">
        <v>4.4</v>
      </c>
      <c r="H271" t="n">
        <v>0</v>
      </c>
      <c r="I271" t="n">
        <v>0</v>
      </c>
      <c r="J271" t="n">
        <v>0</v>
      </c>
      <c r="K271" t="n">
        <v>0</v>
      </c>
      <c r="L271" t="n">
        <v>0</v>
      </c>
      <c r="M271" t="n">
        <v>0</v>
      </c>
      <c r="N271" t="n">
        <v>0</v>
      </c>
      <c r="O271" t="n">
        <v>0</v>
      </c>
      <c r="P271" t="n">
        <v>0</v>
      </c>
      <c r="Q271" t="n">
        <v>0</v>
      </c>
      <c r="R271" s="2" t="inlineStr"/>
    </row>
    <row r="272" ht="15" customHeight="1">
      <c r="A272" t="inlineStr">
        <is>
          <t>A 30345-2021</t>
        </is>
      </c>
      <c r="B272" s="1" t="n">
        <v>44364</v>
      </c>
      <c r="C272" s="1" t="n">
        <v>45878</v>
      </c>
      <c r="D272" t="inlineStr">
        <is>
          <t>VÄSTERNORRLANDS LÄN</t>
        </is>
      </c>
      <c r="E272" t="inlineStr">
        <is>
          <t>ÅNGE</t>
        </is>
      </c>
      <c r="G272" t="n">
        <v>7.7</v>
      </c>
      <c r="H272" t="n">
        <v>0</v>
      </c>
      <c r="I272" t="n">
        <v>0</v>
      </c>
      <c r="J272" t="n">
        <v>0</v>
      </c>
      <c r="K272" t="n">
        <v>0</v>
      </c>
      <c r="L272" t="n">
        <v>0</v>
      </c>
      <c r="M272" t="n">
        <v>0</v>
      </c>
      <c r="N272" t="n">
        <v>0</v>
      </c>
      <c r="O272" t="n">
        <v>0</v>
      </c>
      <c r="P272" t="n">
        <v>0</v>
      </c>
      <c r="Q272" t="n">
        <v>0</v>
      </c>
      <c r="R272" s="2" t="inlineStr"/>
    </row>
    <row r="273" ht="15" customHeight="1">
      <c r="A273" t="inlineStr">
        <is>
          <t>A 46865-2021</t>
        </is>
      </c>
      <c r="B273" s="1" t="n">
        <v>44446.39883101852</v>
      </c>
      <c r="C273" s="1" t="n">
        <v>45878</v>
      </c>
      <c r="D273" t="inlineStr">
        <is>
          <t>VÄSTERNORRLANDS LÄN</t>
        </is>
      </c>
      <c r="E273" t="inlineStr">
        <is>
          <t>ÅNGE</t>
        </is>
      </c>
      <c r="G273" t="n">
        <v>1.6</v>
      </c>
      <c r="H273" t="n">
        <v>0</v>
      </c>
      <c r="I273" t="n">
        <v>0</v>
      </c>
      <c r="J273" t="n">
        <v>0</v>
      </c>
      <c r="K273" t="n">
        <v>0</v>
      </c>
      <c r="L273" t="n">
        <v>0</v>
      </c>
      <c r="M273" t="n">
        <v>0</v>
      </c>
      <c r="N273" t="n">
        <v>0</v>
      </c>
      <c r="O273" t="n">
        <v>0</v>
      </c>
      <c r="P273" t="n">
        <v>0</v>
      </c>
      <c r="Q273" t="n">
        <v>0</v>
      </c>
      <c r="R273" s="2" t="inlineStr"/>
    </row>
    <row r="274" ht="15" customHeight="1">
      <c r="A274" t="inlineStr">
        <is>
          <t>A 42751-2020</t>
        </is>
      </c>
      <c r="B274" s="1" t="n">
        <v>44077</v>
      </c>
      <c r="C274" s="1" t="n">
        <v>45878</v>
      </c>
      <c r="D274" t="inlineStr">
        <is>
          <t>VÄSTERNORRLANDS LÄN</t>
        </is>
      </c>
      <c r="E274" t="inlineStr">
        <is>
          <t>ÅNGE</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37010-2021</t>
        </is>
      </c>
      <c r="B275" s="1" t="n">
        <v>44393</v>
      </c>
      <c r="C275" s="1" t="n">
        <v>45878</v>
      </c>
      <c r="D275" t="inlineStr">
        <is>
          <t>VÄSTERNORRLANDS LÄN</t>
        </is>
      </c>
      <c r="E275" t="inlineStr">
        <is>
          <t>ÅNGE</t>
        </is>
      </c>
      <c r="F275" t="inlineStr">
        <is>
          <t>Kyrkan</t>
        </is>
      </c>
      <c r="G275" t="n">
        <v>16.8</v>
      </c>
      <c r="H275" t="n">
        <v>0</v>
      </c>
      <c r="I275" t="n">
        <v>0</v>
      </c>
      <c r="J275" t="n">
        <v>0</v>
      </c>
      <c r="K275" t="n">
        <v>0</v>
      </c>
      <c r="L275" t="n">
        <v>0</v>
      </c>
      <c r="M275" t="n">
        <v>0</v>
      </c>
      <c r="N275" t="n">
        <v>0</v>
      </c>
      <c r="O275" t="n">
        <v>0</v>
      </c>
      <c r="P275" t="n">
        <v>0</v>
      </c>
      <c r="Q275" t="n">
        <v>0</v>
      </c>
      <c r="R275" s="2" t="inlineStr"/>
    </row>
    <row r="276" ht="15" customHeight="1">
      <c r="A276" t="inlineStr">
        <is>
          <t>A 71357-2021</t>
        </is>
      </c>
      <c r="B276" s="1" t="n">
        <v>44539.92232638889</v>
      </c>
      <c r="C276" s="1" t="n">
        <v>45878</v>
      </c>
      <c r="D276" t="inlineStr">
        <is>
          <t>VÄSTERNORRLANDS LÄN</t>
        </is>
      </c>
      <c r="E276" t="inlineStr">
        <is>
          <t>ÅNGE</t>
        </is>
      </c>
      <c r="G276" t="n">
        <v>5.4</v>
      </c>
      <c r="H276" t="n">
        <v>0</v>
      </c>
      <c r="I276" t="n">
        <v>0</v>
      </c>
      <c r="J276" t="n">
        <v>0</v>
      </c>
      <c r="K276" t="n">
        <v>0</v>
      </c>
      <c r="L276" t="n">
        <v>0</v>
      </c>
      <c r="M276" t="n">
        <v>0</v>
      </c>
      <c r="N276" t="n">
        <v>0</v>
      </c>
      <c r="O276" t="n">
        <v>0</v>
      </c>
      <c r="P276" t="n">
        <v>0</v>
      </c>
      <c r="Q276" t="n">
        <v>0</v>
      </c>
      <c r="R276" s="2" t="inlineStr"/>
    </row>
    <row r="277" ht="15" customHeight="1">
      <c r="A277" t="inlineStr">
        <is>
          <t>A 6115-2022</t>
        </is>
      </c>
      <c r="B277" s="1" t="n">
        <v>44599</v>
      </c>
      <c r="C277" s="1" t="n">
        <v>45878</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49137-2021</t>
        </is>
      </c>
      <c r="B278" s="1" t="n">
        <v>44453</v>
      </c>
      <c r="C278" s="1" t="n">
        <v>45878</v>
      </c>
      <c r="D278" t="inlineStr">
        <is>
          <t>VÄSTERNORRLANDS LÄN</t>
        </is>
      </c>
      <c r="E278" t="inlineStr">
        <is>
          <t>ÅNGE</t>
        </is>
      </c>
      <c r="G278" t="n">
        <v>2.3</v>
      </c>
      <c r="H278" t="n">
        <v>0</v>
      </c>
      <c r="I278" t="n">
        <v>0</v>
      </c>
      <c r="J278" t="n">
        <v>0</v>
      </c>
      <c r="K278" t="n">
        <v>0</v>
      </c>
      <c r="L278" t="n">
        <v>0</v>
      </c>
      <c r="M278" t="n">
        <v>0</v>
      </c>
      <c r="N278" t="n">
        <v>0</v>
      </c>
      <c r="O278" t="n">
        <v>0</v>
      </c>
      <c r="P278" t="n">
        <v>0</v>
      </c>
      <c r="Q278" t="n">
        <v>0</v>
      </c>
      <c r="R278" s="2" t="inlineStr"/>
    </row>
    <row r="279" ht="15" customHeight="1">
      <c r="A279" t="inlineStr">
        <is>
          <t>A 10687-2022</t>
        </is>
      </c>
      <c r="B279" s="1" t="n">
        <v>44624.92684027777</v>
      </c>
      <c r="C279" s="1" t="n">
        <v>45878</v>
      </c>
      <c r="D279" t="inlineStr">
        <is>
          <t>VÄSTERNORRLANDS LÄN</t>
        </is>
      </c>
      <c r="E279" t="inlineStr">
        <is>
          <t>ÅNGE</t>
        </is>
      </c>
      <c r="G279" t="n">
        <v>0.7</v>
      </c>
      <c r="H279" t="n">
        <v>0</v>
      </c>
      <c r="I279" t="n">
        <v>0</v>
      </c>
      <c r="J279" t="n">
        <v>0</v>
      </c>
      <c r="K279" t="n">
        <v>0</v>
      </c>
      <c r="L279" t="n">
        <v>0</v>
      </c>
      <c r="M279" t="n">
        <v>0</v>
      </c>
      <c r="N279" t="n">
        <v>0</v>
      </c>
      <c r="O279" t="n">
        <v>0</v>
      </c>
      <c r="P279" t="n">
        <v>0</v>
      </c>
      <c r="Q279" t="n">
        <v>0</v>
      </c>
      <c r="R279" s="2" t="inlineStr"/>
    </row>
    <row r="280" ht="15" customHeight="1">
      <c r="A280" t="inlineStr">
        <is>
          <t>A 50333-2021</t>
        </is>
      </c>
      <c r="B280" s="1" t="n">
        <v>44454</v>
      </c>
      <c r="C280" s="1" t="n">
        <v>45878</v>
      </c>
      <c r="D280" t="inlineStr">
        <is>
          <t>VÄSTERNORRLANDS LÄN</t>
        </is>
      </c>
      <c r="E280" t="inlineStr">
        <is>
          <t>ÅNGE</t>
        </is>
      </c>
      <c r="G280" t="n">
        <v>1</v>
      </c>
      <c r="H280" t="n">
        <v>0</v>
      </c>
      <c r="I280" t="n">
        <v>0</v>
      </c>
      <c r="J280" t="n">
        <v>0</v>
      </c>
      <c r="K280" t="n">
        <v>0</v>
      </c>
      <c r="L280" t="n">
        <v>0</v>
      </c>
      <c r="M280" t="n">
        <v>0</v>
      </c>
      <c r="N280" t="n">
        <v>0</v>
      </c>
      <c r="O280" t="n">
        <v>0</v>
      </c>
      <c r="P280" t="n">
        <v>0</v>
      </c>
      <c r="Q280" t="n">
        <v>0</v>
      </c>
      <c r="R280" s="2" t="inlineStr"/>
    </row>
    <row r="281" ht="15" customHeight="1">
      <c r="A281" t="inlineStr">
        <is>
          <t>A 42289-2020</t>
        </is>
      </c>
      <c r="B281" s="1" t="n">
        <v>44076</v>
      </c>
      <c r="C281" s="1" t="n">
        <v>45878</v>
      </c>
      <c r="D281" t="inlineStr">
        <is>
          <t>VÄSTERNORRLANDS LÄN</t>
        </is>
      </c>
      <c r="E281" t="inlineStr">
        <is>
          <t>ÅNGE</t>
        </is>
      </c>
      <c r="G281" t="n">
        <v>16.7</v>
      </c>
      <c r="H281" t="n">
        <v>0</v>
      </c>
      <c r="I281" t="n">
        <v>0</v>
      </c>
      <c r="J281" t="n">
        <v>0</v>
      </c>
      <c r="K281" t="n">
        <v>0</v>
      </c>
      <c r="L281" t="n">
        <v>0</v>
      </c>
      <c r="M281" t="n">
        <v>0</v>
      </c>
      <c r="N281" t="n">
        <v>0</v>
      </c>
      <c r="O281" t="n">
        <v>0</v>
      </c>
      <c r="P281" t="n">
        <v>0</v>
      </c>
      <c r="Q281" t="n">
        <v>0</v>
      </c>
      <c r="R281" s="2" t="inlineStr"/>
    </row>
    <row r="282" ht="15" customHeight="1">
      <c r="A282" t="inlineStr">
        <is>
          <t>A 65790-2021</t>
        </is>
      </c>
      <c r="B282" s="1" t="n">
        <v>44516.94785879629</v>
      </c>
      <c r="C282" s="1" t="n">
        <v>45878</v>
      </c>
      <c r="D282" t="inlineStr">
        <is>
          <t>VÄSTERNORRLANDS LÄN</t>
        </is>
      </c>
      <c r="E282" t="inlineStr">
        <is>
          <t>ÅNGE</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55912-2021</t>
        </is>
      </c>
      <c r="B283" s="1" t="n">
        <v>44476.91979166667</v>
      </c>
      <c r="C283" s="1" t="n">
        <v>45878</v>
      </c>
      <c r="D283" t="inlineStr">
        <is>
          <t>VÄSTERNORRLANDS LÄN</t>
        </is>
      </c>
      <c r="E283" t="inlineStr">
        <is>
          <t>ÅNGE</t>
        </is>
      </c>
      <c r="G283" t="n">
        <v>0.6</v>
      </c>
      <c r="H283" t="n">
        <v>0</v>
      </c>
      <c r="I283" t="n">
        <v>0</v>
      </c>
      <c r="J283" t="n">
        <v>0</v>
      </c>
      <c r="K283" t="n">
        <v>0</v>
      </c>
      <c r="L283" t="n">
        <v>0</v>
      </c>
      <c r="M283" t="n">
        <v>0</v>
      </c>
      <c r="N283" t="n">
        <v>0</v>
      </c>
      <c r="O283" t="n">
        <v>0</v>
      </c>
      <c r="P283" t="n">
        <v>0</v>
      </c>
      <c r="Q283" t="n">
        <v>0</v>
      </c>
      <c r="R283" s="2" t="inlineStr"/>
    </row>
    <row r="284" ht="15" customHeight="1">
      <c r="A284" t="inlineStr">
        <is>
          <t>A 51163-2021</t>
        </is>
      </c>
      <c r="B284" s="1" t="n">
        <v>44461.4665625</v>
      </c>
      <c r="C284" s="1" t="n">
        <v>45878</v>
      </c>
      <c r="D284" t="inlineStr">
        <is>
          <t>VÄSTERNORRLANDS LÄN</t>
        </is>
      </c>
      <c r="E284" t="inlineStr">
        <is>
          <t>ÅNGE</t>
        </is>
      </c>
      <c r="G284" t="n">
        <v>2.5</v>
      </c>
      <c r="H284" t="n">
        <v>0</v>
      </c>
      <c r="I284" t="n">
        <v>0</v>
      </c>
      <c r="J284" t="n">
        <v>0</v>
      </c>
      <c r="K284" t="n">
        <v>0</v>
      </c>
      <c r="L284" t="n">
        <v>0</v>
      </c>
      <c r="M284" t="n">
        <v>0</v>
      </c>
      <c r="N284" t="n">
        <v>0</v>
      </c>
      <c r="O284" t="n">
        <v>0</v>
      </c>
      <c r="P284" t="n">
        <v>0</v>
      </c>
      <c r="Q284" t="n">
        <v>0</v>
      </c>
      <c r="R284" s="2" t="inlineStr"/>
    </row>
    <row r="285" ht="15" customHeight="1">
      <c r="A285" t="inlineStr">
        <is>
          <t>A 5565-2022</t>
        </is>
      </c>
      <c r="B285" s="1" t="n">
        <v>44595</v>
      </c>
      <c r="C285" s="1" t="n">
        <v>45878</v>
      </c>
      <c r="D285" t="inlineStr">
        <is>
          <t>VÄSTERNORRLANDS LÄN</t>
        </is>
      </c>
      <c r="E285" t="inlineStr">
        <is>
          <t>ÅNGE</t>
        </is>
      </c>
      <c r="G285" t="n">
        <v>0.3</v>
      </c>
      <c r="H285" t="n">
        <v>0</v>
      </c>
      <c r="I285" t="n">
        <v>0</v>
      </c>
      <c r="J285" t="n">
        <v>0</v>
      </c>
      <c r="K285" t="n">
        <v>0</v>
      </c>
      <c r="L285" t="n">
        <v>0</v>
      </c>
      <c r="M285" t="n">
        <v>0</v>
      </c>
      <c r="N285" t="n">
        <v>0</v>
      </c>
      <c r="O285" t="n">
        <v>0</v>
      </c>
      <c r="P285" t="n">
        <v>0</v>
      </c>
      <c r="Q285" t="n">
        <v>0</v>
      </c>
      <c r="R285" s="2" t="inlineStr"/>
    </row>
    <row r="286" ht="15" customHeight="1">
      <c r="A286" t="inlineStr">
        <is>
          <t>A 23016-2021</t>
        </is>
      </c>
      <c r="B286" s="1" t="n">
        <v>44328.92197916667</v>
      </c>
      <c r="C286" s="1" t="n">
        <v>45878</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57111-2020</t>
        </is>
      </c>
      <c r="B287" s="1" t="n">
        <v>44139</v>
      </c>
      <c r="C287" s="1" t="n">
        <v>45878</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66229-2021</t>
        </is>
      </c>
      <c r="B288" s="1" t="n">
        <v>44518.3875</v>
      </c>
      <c r="C288" s="1" t="n">
        <v>45878</v>
      </c>
      <c r="D288" t="inlineStr">
        <is>
          <t>VÄSTERNORRLANDS LÄN</t>
        </is>
      </c>
      <c r="E288" t="inlineStr">
        <is>
          <t>ÅNGE</t>
        </is>
      </c>
      <c r="G288" t="n">
        <v>3.5</v>
      </c>
      <c r="H288" t="n">
        <v>0</v>
      </c>
      <c r="I288" t="n">
        <v>0</v>
      </c>
      <c r="J288" t="n">
        <v>0</v>
      </c>
      <c r="K288" t="n">
        <v>0</v>
      </c>
      <c r="L288" t="n">
        <v>0</v>
      </c>
      <c r="M288" t="n">
        <v>0</v>
      </c>
      <c r="N288" t="n">
        <v>0</v>
      </c>
      <c r="O288" t="n">
        <v>0</v>
      </c>
      <c r="P288" t="n">
        <v>0</v>
      </c>
      <c r="Q288" t="n">
        <v>0</v>
      </c>
      <c r="R288" s="2" t="inlineStr"/>
    </row>
    <row r="289" ht="15" customHeight="1">
      <c r="A289" t="inlineStr">
        <is>
          <t>A 35058-2021</t>
        </is>
      </c>
      <c r="B289" s="1" t="n">
        <v>44383</v>
      </c>
      <c r="C289" s="1" t="n">
        <v>45878</v>
      </c>
      <c r="D289" t="inlineStr">
        <is>
          <t>VÄSTERNORRLANDS LÄN</t>
        </is>
      </c>
      <c r="E289" t="inlineStr">
        <is>
          <t>ÅNGE</t>
        </is>
      </c>
      <c r="F289" t="inlineStr">
        <is>
          <t>SCA</t>
        </is>
      </c>
      <c r="G289" t="n">
        <v>0.4</v>
      </c>
      <c r="H289" t="n">
        <v>0</v>
      </c>
      <c r="I289" t="n">
        <v>0</v>
      </c>
      <c r="J289" t="n">
        <v>0</v>
      </c>
      <c r="K289" t="n">
        <v>0</v>
      </c>
      <c r="L289" t="n">
        <v>0</v>
      </c>
      <c r="M289" t="n">
        <v>0</v>
      </c>
      <c r="N289" t="n">
        <v>0</v>
      </c>
      <c r="O289" t="n">
        <v>0</v>
      </c>
      <c r="P289" t="n">
        <v>0</v>
      </c>
      <c r="Q289" t="n">
        <v>0</v>
      </c>
      <c r="R289" s="2" t="inlineStr"/>
    </row>
    <row r="290" ht="15" customHeight="1">
      <c r="A290" t="inlineStr">
        <is>
          <t>A 35079-2021</t>
        </is>
      </c>
      <c r="B290" s="1" t="n">
        <v>44383</v>
      </c>
      <c r="C290" s="1" t="n">
        <v>45878</v>
      </c>
      <c r="D290" t="inlineStr">
        <is>
          <t>VÄSTERNORRLANDS LÄN</t>
        </is>
      </c>
      <c r="E290" t="inlineStr">
        <is>
          <t>ÅNGE</t>
        </is>
      </c>
      <c r="G290" t="n">
        <v>2.8</v>
      </c>
      <c r="H290" t="n">
        <v>0</v>
      </c>
      <c r="I290" t="n">
        <v>0</v>
      </c>
      <c r="J290" t="n">
        <v>0</v>
      </c>
      <c r="K290" t="n">
        <v>0</v>
      </c>
      <c r="L290" t="n">
        <v>0</v>
      </c>
      <c r="M290" t="n">
        <v>0</v>
      </c>
      <c r="N290" t="n">
        <v>0</v>
      </c>
      <c r="O290" t="n">
        <v>0</v>
      </c>
      <c r="P290" t="n">
        <v>0</v>
      </c>
      <c r="Q290" t="n">
        <v>0</v>
      </c>
      <c r="R290" s="2" t="inlineStr"/>
    </row>
    <row r="291" ht="15" customHeight="1">
      <c r="A291" t="inlineStr">
        <is>
          <t>A 4939-2022</t>
        </is>
      </c>
      <c r="B291" s="1" t="n">
        <v>44593.50019675926</v>
      </c>
      <c r="C291" s="1" t="n">
        <v>45878</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50125-2021</t>
        </is>
      </c>
      <c r="B292" s="1" t="n">
        <v>44456</v>
      </c>
      <c r="C292" s="1" t="n">
        <v>45878</v>
      </c>
      <c r="D292" t="inlineStr">
        <is>
          <t>VÄSTERNORRLANDS LÄN</t>
        </is>
      </c>
      <c r="E292" t="inlineStr">
        <is>
          <t>ÅNGE</t>
        </is>
      </c>
      <c r="G292" t="n">
        <v>1.2</v>
      </c>
      <c r="H292" t="n">
        <v>0</v>
      </c>
      <c r="I292" t="n">
        <v>0</v>
      </c>
      <c r="J292" t="n">
        <v>0</v>
      </c>
      <c r="K292" t="n">
        <v>0</v>
      </c>
      <c r="L292" t="n">
        <v>0</v>
      </c>
      <c r="M292" t="n">
        <v>0</v>
      </c>
      <c r="N292" t="n">
        <v>0</v>
      </c>
      <c r="O292" t="n">
        <v>0</v>
      </c>
      <c r="P292" t="n">
        <v>0</v>
      </c>
      <c r="Q292" t="n">
        <v>0</v>
      </c>
      <c r="R292" s="2" t="inlineStr"/>
    </row>
    <row r="293" ht="15" customHeight="1">
      <c r="A293" t="inlineStr">
        <is>
          <t>A 6898-2022</t>
        </is>
      </c>
      <c r="B293" s="1" t="n">
        <v>44602.92141203704</v>
      </c>
      <c r="C293" s="1" t="n">
        <v>45878</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17594-2021</t>
        </is>
      </c>
      <c r="B294" s="1" t="n">
        <v>44299</v>
      </c>
      <c r="C294" s="1" t="n">
        <v>45878</v>
      </c>
      <c r="D294" t="inlineStr">
        <is>
          <t>VÄSTERNORRLANDS LÄN</t>
        </is>
      </c>
      <c r="E294" t="inlineStr">
        <is>
          <t>ÅNGE</t>
        </is>
      </c>
      <c r="G294" t="n">
        <v>0.8</v>
      </c>
      <c r="H294" t="n">
        <v>0</v>
      </c>
      <c r="I294" t="n">
        <v>0</v>
      </c>
      <c r="J294" t="n">
        <v>0</v>
      </c>
      <c r="K294" t="n">
        <v>0</v>
      </c>
      <c r="L294" t="n">
        <v>0</v>
      </c>
      <c r="M294" t="n">
        <v>0</v>
      </c>
      <c r="N294" t="n">
        <v>0</v>
      </c>
      <c r="O294" t="n">
        <v>0</v>
      </c>
      <c r="P294" t="n">
        <v>0</v>
      </c>
      <c r="Q294" t="n">
        <v>0</v>
      </c>
      <c r="R294" s="2" t="inlineStr"/>
    </row>
    <row r="295" ht="15" customHeight="1">
      <c r="A295" t="inlineStr">
        <is>
          <t>A 70893-2021</t>
        </is>
      </c>
      <c r="B295" s="1" t="n">
        <v>44538</v>
      </c>
      <c r="C295" s="1" t="n">
        <v>45878</v>
      </c>
      <c r="D295" t="inlineStr">
        <is>
          <t>VÄSTERNORRLANDS LÄN</t>
        </is>
      </c>
      <c r="E295" t="inlineStr">
        <is>
          <t>ÅNGE</t>
        </is>
      </c>
      <c r="G295" t="n">
        <v>6.2</v>
      </c>
      <c r="H295" t="n">
        <v>0</v>
      </c>
      <c r="I295" t="n">
        <v>0</v>
      </c>
      <c r="J295" t="n">
        <v>0</v>
      </c>
      <c r="K295" t="n">
        <v>0</v>
      </c>
      <c r="L295" t="n">
        <v>0</v>
      </c>
      <c r="M295" t="n">
        <v>0</v>
      </c>
      <c r="N295" t="n">
        <v>0</v>
      </c>
      <c r="O295" t="n">
        <v>0</v>
      </c>
      <c r="P295" t="n">
        <v>0</v>
      </c>
      <c r="Q295" t="n">
        <v>0</v>
      </c>
      <c r="R295" s="2" t="inlineStr"/>
    </row>
    <row r="296" ht="15" customHeight="1">
      <c r="A296" t="inlineStr">
        <is>
          <t>A 69736-2021</t>
        </is>
      </c>
      <c r="B296" s="1" t="n">
        <v>44532</v>
      </c>
      <c r="C296" s="1" t="n">
        <v>45878</v>
      </c>
      <c r="D296" t="inlineStr">
        <is>
          <t>VÄSTERNORRLANDS LÄN</t>
        </is>
      </c>
      <c r="E296" t="inlineStr">
        <is>
          <t>ÅNGE</t>
        </is>
      </c>
      <c r="G296" t="n">
        <v>5</v>
      </c>
      <c r="H296" t="n">
        <v>0</v>
      </c>
      <c r="I296" t="n">
        <v>0</v>
      </c>
      <c r="J296" t="n">
        <v>0</v>
      </c>
      <c r="K296" t="n">
        <v>0</v>
      </c>
      <c r="L296" t="n">
        <v>0</v>
      </c>
      <c r="M296" t="n">
        <v>0</v>
      </c>
      <c r="N296" t="n">
        <v>0</v>
      </c>
      <c r="O296" t="n">
        <v>0</v>
      </c>
      <c r="P296" t="n">
        <v>0</v>
      </c>
      <c r="Q296" t="n">
        <v>0</v>
      </c>
      <c r="R296" s="2" t="inlineStr"/>
    </row>
    <row r="297" ht="15" customHeight="1">
      <c r="A297" t="inlineStr">
        <is>
          <t>A 44412-2022</t>
        </is>
      </c>
      <c r="B297" s="1" t="n">
        <v>44839.92626157407</v>
      </c>
      <c r="C297" s="1" t="n">
        <v>45878</v>
      </c>
      <c r="D297" t="inlineStr">
        <is>
          <t>VÄSTERNORRLANDS LÄN</t>
        </is>
      </c>
      <c r="E297" t="inlineStr">
        <is>
          <t>ÅNGE</t>
        </is>
      </c>
      <c r="G297" t="n">
        <v>1.6</v>
      </c>
      <c r="H297" t="n">
        <v>0</v>
      </c>
      <c r="I297" t="n">
        <v>0</v>
      </c>
      <c r="J297" t="n">
        <v>0</v>
      </c>
      <c r="K297" t="n">
        <v>0</v>
      </c>
      <c r="L297" t="n">
        <v>0</v>
      </c>
      <c r="M297" t="n">
        <v>0</v>
      </c>
      <c r="N297" t="n">
        <v>0</v>
      </c>
      <c r="O297" t="n">
        <v>0</v>
      </c>
      <c r="P297" t="n">
        <v>0</v>
      </c>
      <c r="Q297" t="n">
        <v>0</v>
      </c>
      <c r="R297" s="2" t="inlineStr"/>
    </row>
    <row r="298" ht="15" customHeight="1">
      <c r="A298" t="inlineStr">
        <is>
          <t>A 5279-2022</t>
        </is>
      </c>
      <c r="B298" s="1" t="n">
        <v>44594</v>
      </c>
      <c r="C298" s="1" t="n">
        <v>45878</v>
      </c>
      <c r="D298" t="inlineStr">
        <is>
          <t>VÄSTERNORRLANDS LÄN</t>
        </is>
      </c>
      <c r="E298" t="inlineStr">
        <is>
          <t>ÅNGE</t>
        </is>
      </c>
      <c r="G298" t="n">
        <v>0.9</v>
      </c>
      <c r="H298" t="n">
        <v>0</v>
      </c>
      <c r="I298" t="n">
        <v>0</v>
      </c>
      <c r="J298" t="n">
        <v>0</v>
      </c>
      <c r="K298" t="n">
        <v>0</v>
      </c>
      <c r="L298" t="n">
        <v>0</v>
      </c>
      <c r="M298" t="n">
        <v>0</v>
      </c>
      <c r="N298" t="n">
        <v>0</v>
      </c>
      <c r="O298" t="n">
        <v>0</v>
      </c>
      <c r="P298" t="n">
        <v>0</v>
      </c>
      <c r="Q298" t="n">
        <v>0</v>
      </c>
      <c r="R298" s="2" t="inlineStr"/>
    </row>
    <row r="299" ht="15" customHeight="1">
      <c r="A299" t="inlineStr">
        <is>
          <t>A 6263-2022</t>
        </is>
      </c>
      <c r="B299" s="1" t="n">
        <v>44600</v>
      </c>
      <c r="C299" s="1" t="n">
        <v>45878</v>
      </c>
      <c r="D299" t="inlineStr">
        <is>
          <t>VÄSTERNORRLANDS LÄN</t>
        </is>
      </c>
      <c r="E299" t="inlineStr">
        <is>
          <t>ÅNGE</t>
        </is>
      </c>
      <c r="G299" t="n">
        <v>1.4</v>
      </c>
      <c r="H299" t="n">
        <v>0</v>
      </c>
      <c r="I299" t="n">
        <v>0</v>
      </c>
      <c r="J299" t="n">
        <v>0</v>
      </c>
      <c r="K299" t="n">
        <v>0</v>
      </c>
      <c r="L299" t="n">
        <v>0</v>
      </c>
      <c r="M299" t="n">
        <v>0</v>
      </c>
      <c r="N299" t="n">
        <v>0</v>
      </c>
      <c r="O299" t="n">
        <v>0</v>
      </c>
      <c r="P299" t="n">
        <v>0</v>
      </c>
      <c r="Q299" t="n">
        <v>0</v>
      </c>
      <c r="R299" s="2" t="inlineStr"/>
    </row>
    <row r="300" ht="15" customHeight="1">
      <c r="A300" t="inlineStr">
        <is>
          <t>A 57162-2021</t>
        </is>
      </c>
      <c r="B300" s="1" t="n">
        <v>44482</v>
      </c>
      <c r="C300" s="1" t="n">
        <v>45878</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49656-2020</t>
        </is>
      </c>
      <c r="B301" s="1" t="n">
        <v>44106</v>
      </c>
      <c r="C301" s="1" t="n">
        <v>45878</v>
      </c>
      <c r="D301" t="inlineStr">
        <is>
          <t>VÄSTERNORRLANDS LÄN</t>
        </is>
      </c>
      <c r="E301" t="inlineStr">
        <is>
          <t>ÅNGE</t>
        </is>
      </c>
      <c r="G301" t="n">
        <v>2.6</v>
      </c>
      <c r="H301" t="n">
        <v>0</v>
      </c>
      <c r="I301" t="n">
        <v>0</v>
      </c>
      <c r="J301" t="n">
        <v>0</v>
      </c>
      <c r="K301" t="n">
        <v>0</v>
      </c>
      <c r="L301" t="n">
        <v>0</v>
      </c>
      <c r="M301" t="n">
        <v>0</v>
      </c>
      <c r="N301" t="n">
        <v>0</v>
      </c>
      <c r="O301" t="n">
        <v>0</v>
      </c>
      <c r="P301" t="n">
        <v>0</v>
      </c>
      <c r="Q301" t="n">
        <v>0</v>
      </c>
      <c r="R301" s="2" t="inlineStr"/>
    </row>
    <row r="302" ht="15" customHeight="1">
      <c r="A302" t="inlineStr">
        <is>
          <t>A 20369-2022</t>
        </is>
      </c>
      <c r="B302" s="1" t="n">
        <v>44699.41140046297</v>
      </c>
      <c r="C302" s="1" t="n">
        <v>45878</v>
      </c>
      <c r="D302" t="inlineStr">
        <is>
          <t>VÄSTERNORRLANDS LÄN</t>
        </is>
      </c>
      <c r="E302" t="inlineStr">
        <is>
          <t>ÅNGE</t>
        </is>
      </c>
      <c r="G302" t="n">
        <v>5.5</v>
      </c>
      <c r="H302" t="n">
        <v>0</v>
      </c>
      <c r="I302" t="n">
        <v>0</v>
      </c>
      <c r="J302" t="n">
        <v>0</v>
      </c>
      <c r="K302" t="n">
        <v>0</v>
      </c>
      <c r="L302" t="n">
        <v>0</v>
      </c>
      <c r="M302" t="n">
        <v>0</v>
      </c>
      <c r="N302" t="n">
        <v>0</v>
      </c>
      <c r="O302" t="n">
        <v>0</v>
      </c>
      <c r="P302" t="n">
        <v>0</v>
      </c>
      <c r="Q302" t="n">
        <v>0</v>
      </c>
      <c r="R302" s="2" t="inlineStr"/>
    </row>
    <row r="303" ht="15" customHeight="1">
      <c r="A303" t="inlineStr">
        <is>
          <t>A 55907-2022</t>
        </is>
      </c>
      <c r="B303" s="1" t="n">
        <v>44888.95457175926</v>
      </c>
      <c r="C303" s="1" t="n">
        <v>45878</v>
      </c>
      <c r="D303" t="inlineStr">
        <is>
          <t>VÄSTERNORRLANDS LÄN</t>
        </is>
      </c>
      <c r="E303" t="inlineStr">
        <is>
          <t>ÅNGE</t>
        </is>
      </c>
      <c r="F303" t="inlineStr">
        <is>
          <t>SCA</t>
        </is>
      </c>
      <c r="G303" t="n">
        <v>8.4</v>
      </c>
      <c r="H303" t="n">
        <v>0</v>
      </c>
      <c r="I303" t="n">
        <v>0</v>
      </c>
      <c r="J303" t="n">
        <v>0</v>
      </c>
      <c r="K303" t="n">
        <v>0</v>
      </c>
      <c r="L303" t="n">
        <v>0</v>
      </c>
      <c r="M303" t="n">
        <v>0</v>
      </c>
      <c r="N303" t="n">
        <v>0</v>
      </c>
      <c r="O303" t="n">
        <v>0</v>
      </c>
      <c r="P303" t="n">
        <v>0</v>
      </c>
      <c r="Q303" t="n">
        <v>0</v>
      </c>
      <c r="R303" s="2" t="inlineStr"/>
    </row>
    <row r="304" ht="15" customHeight="1">
      <c r="A304" t="inlineStr">
        <is>
          <t>A 31647-2022</t>
        </is>
      </c>
      <c r="B304" s="1" t="n">
        <v>44775.94328703704</v>
      </c>
      <c r="C304" s="1" t="n">
        <v>45878</v>
      </c>
      <c r="D304" t="inlineStr">
        <is>
          <t>VÄSTERNORRLANDS LÄN</t>
        </is>
      </c>
      <c r="E304" t="inlineStr">
        <is>
          <t>ÅNGE</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5113-2022</t>
        </is>
      </c>
      <c r="B305" s="1" t="n">
        <v>44593.93362268519</v>
      </c>
      <c r="C305" s="1" t="n">
        <v>45878</v>
      </c>
      <c r="D305" t="inlineStr">
        <is>
          <t>VÄSTERNORRLANDS LÄN</t>
        </is>
      </c>
      <c r="E305" t="inlineStr">
        <is>
          <t>ÅNGE</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31668-2021</t>
        </is>
      </c>
      <c r="B306" s="1" t="n">
        <v>44369</v>
      </c>
      <c r="C306" s="1" t="n">
        <v>45878</v>
      </c>
      <c r="D306" t="inlineStr">
        <is>
          <t>VÄSTERNORRLANDS LÄN</t>
        </is>
      </c>
      <c r="E306" t="inlineStr">
        <is>
          <t>ÅNGE</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45878</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27953-2021</t>
        </is>
      </c>
      <c r="B308" s="1" t="n">
        <v>44354.9209375</v>
      </c>
      <c r="C308" s="1" t="n">
        <v>45878</v>
      </c>
      <c r="D308" t="inlineStr">
        <is>
          <t>VÄSTERNORRLANDS LÄN</t>
        </is>
      </c>
      <c r="E308" t="inlineStr">
        <is>
          <t>ÅNGE</t>
        </is>
      </c>
      <c r="G308" t="n">
        <v>2.9</v>
      </c>
      <c r="H308" t="n">
        <v>0</v>
      </c>
      <c r="I308" t="n">
        <v>0</v>
      </c>
      <c r="J308" t="n">
        <v>0</v>
      </c>
      <c r="K308" t="n">
        <v>0</v>
      </c>
      <c r="L308" t="n">
        <v>0</v>
      </c>
      <c r="M308" t="n">
        <v>0</v>
      </c>
      <c r="N308" t="n">
        <v>0</v>
      </c>
      <c r="O308" t="n">
        <v>0</v>
      </c>
      <c r="P308" t="n">
        <v>0</v>
      </c>
      <c r="Q308" t="n">
        <v>0</v>
      </c>
      <c r="R308" s="2" t="inlineStr"/>
    </row>
    <row r="309" ht="15" customHeight="1">
      <c r="A309" t="inlineStr">
        <is>
          <t>A 32328-2021</t>
        </is>
      </c>
      <c r="B309" s="1" t="n">
        <v>44371.55924768518</v>
      </c>
      <c r="C309" s="1" t="n">
        <v>45878</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45878</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45878</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30365-2021</t>
        </is>
      </c>
      <c r="B312" s="1" t="n">
        <v>44364.45164351852</v>
      </c>
      <c r="C312" s="1" t="n">
        <v>45878</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17044-2022</t>
        </is>
      </c>
      <c r="B313" s="1" t="n">
        <v>44676</v>
      </c>
      <c r="C313" s="1" t="n">
        <v>45878</v>
      </c>
      <c r="D313" t="inlineStr">
        <is>
          <t>VÄSTERNORRLANDS LÄN</t>
        </is>
      </c>
      <c r="E313" t="inlineStr">
        <is>
          <t>ÅNGE</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61761-2021</t>
        </is>
      </c>
      <c r="B314" s="1" t="n">
        <v>44501</v>
      </c>
      <c r="C314" s="1" t="n">
        <v>45878</v>
      </c>
      <c r="D314" t="inlineStr">
        <is>
          <t>VÄSTERNORRLANDS LÄN</t>
        </is>
      </c>
      <c r="E314" t="inlineStr">
        <is>
          <t>ÅNGE</t>
        </is>
      </c>
      <c r="G314" t="n">
        <v>0.3</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45878</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45878</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45878</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45878</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70899-2021</t>
        </is>
      </c>
      <c r="B319" s="1" t="n">
        <v>44537</v>
      </c>
      <c r="C319" s="1" t="n">
        <v>45878</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45878</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74194-2021</t>
        </is>
      </c>
      <c r="B321" s="1" t="n">
        <v>44558.47333333334</v>
      </c>
      <c r="C321" s="1" t="n">
        <v>45878</v>
      </c>
      <c r="D321" t="inlineStr">
        <is>
          <t>VÄSTERNORRLANDS LÄN</t>
        </is>
      </c>
      <c r="E321" t="inlineStr">
        <is>
          <t>ÅNGE</t>
        </is>
      </c>
      <c r="G321" t="n">
        <v>1.9</v>
      </c>
      <c r="H321" t="n">
        <v>0</v>
      </c>
      <c r="I321" t="n">
        <v>0</v>
      </c>
      <c r="J321" t="n">
        <v>0</v>
      </c>
      <c r="K321" t="n">
        <v>0</v>
      </c>
      <c r="L321" t="n">
        <v>0</v>
      </c>
      <c r="M321" t="n">
        <v>0</v>
      </c>
      <c r="N321" t="n">
        <v>0</v>
      </c>
      <c r="O321" t="n">
        <v>0</v>
      </c>
      <c r="P321" t="n">
        <v>0</v>
      </c>
      <c r="Q321" t="n">
        <v>0</v>
      </c>
      <c r="R321" s="2" t="inlineStr"/>
    </row>
    <row r="322" ht="15" customHeight="1">
      <c r="A322" t="inlineStr">
        <is>
          <t>A 30768-2022</t>
        </is>
      </c>
      <c r="B322" s="1" t="n">
        <v>44764.53608796297</v>
      </c>
      <c r="C322" s="1" t="n">
        <v>45878</v>
      </c>
      <c r="D322" t="inlineStr">
        <is>
          <t>VÄSTERNORRLANDS LÄN</t>
        </is>
      </c>
      <c r="E322" t="inlineStr">
        <is>
          <t>ÅNGE</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13641-2022</t>
        </is>
      </c>
      <c r="B323" s="1" t="n">
        <v>44648</v>
      </c>
      <c r="C323" s="1" t="n">
        <v>45878</v>
      </c>
      <c r="D323" t="inlineStr">
        <is>
          <t>VÄSTERNORRLANDS LÄN</t>
        </is>
      </c>
      <c r="E323" t="inlineStr">
        <is>
          <t>ÅNGE</t>
        </is>
      </c>
      <c r="G323" t="n">
        <v>4.9</v>
      </c>
      <c r="H323" t="n">
        <v>0</v>
      </c>
      <c r="I323" t="n">
        <v>0</v>
      </c>
      <c r="J323" t="n">
        <v>0</v>
      </c>
      <c r="K323" t="n">
        <v>0</v>
      </c>
      <c r="L323" t="n">
        <v>0</v>
      </c>
      <c r="M323" t="n">
        <v>0</v>
      </c>
      <c r="N323" t="n">
        <v>0</v>
      </c>
      <c r="O323" t="n">
        <v>0</v>
      </c>
      <c r="P323" t="n">
        <v>0</v>
      </c>
      <c r="Q323" t="n">
        <v>0</v>
      </c>
      <c r="R323" s="2" t="inlineStr"/>
    </row>
    <row r="324" ht="15" customHeight="1">
      <c r="A324" t="inlineStr">
        <is>
          <t>A 66233-2021</t>
        </is>
      </c>
      <c r="B324" s="1" t="n">
        <v>44518.39234953704</v>
      </c>
      <c r="C324" s="1" t="n">
        <v>45878</v>
      </c>
      <c r="D324" t="inlineStr">
        <is>
          <t>VÄSTERNORRLANDS LÄN</t>
        </is>
      </c>
      <c r="E324" t="inlineStr">
        <is>
          <t>ÅNGE</t>
        </is>
      </c>
      <c r="G324" t="n">
        <v>3.1</v>
      </c>
      <c r="H324" t="n">
        <v>0</v>
      </c>
      <c r="I324" t="n">
        <v>0</v>
      </c>
      <c r="J324" t="n">
        <v>0</v>
      </c>
      <c r="K324" t="n">
        <v>0</v>
      </c>
      <c r="L324" t="n">
        <v>0</v>
      </c>
      <c r="M324" t="n">
        <v>0</v>
      </c>
      <c r="N324" t="n">
        <v>0</v>
      </c>
      <c r="O324" t="n">
        <v>0</v>
      </c>
      <c r="P324" t="n">
        <v>0</v>
      </c>
      <c r="Q324" t="n">
        <v>0</v>
      </c>
      <c r="R324" s="2" t="inlineStr"/>
    </row>
    <row r="325" ht="15" customHeight="1">
      <c r="A325" t="inlineStr">
        <is>
          <t>A 51555-2022</t>
        </is>
      </c>
      <c r="B325" s="1" t="n">
        <v>44869.9495949074</v>
      </c>
      <c r="C325" s="1" t="n">
        <v>45878</v>
      </c>
      <c r="D325" t="inlineStr">
        <is>
          <t>VÄSTERNORRLANDS LÄN</t>
        </is>
      </c>
      <c r="E325" t="inlineStr">
        <is>
          <t>ÅNGE</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14084-2022</t>
        </is>
      </c>
      <c r="B326" s="1" t="n">
        <v>44651</v>
      </c>
      <c r="C326" s="1" t="n">
        <v>45878</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14091-2022</t>
        </is>
      </c>
      <c r="B327" s="1" t="n">
        <v>44651</v>
      </c>
      <c r="C327" s="1" t="n">
        <v>45878</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51494-2022</t>
        </is>
      </c>
      <c r="B328" s="1" t="n">
        <v>44869</v>
      </c>
      <c r="C328" s="1" t="n">
        <v>45878</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50640-2022</t>
        </is>
      </c>
      <c r="B329" s="1" t="n">
        <v>44866.94734953704</v>
      </c>
      <c r="C329" s="1" t="n">
        <v>45878</v>
      </c>
      <c r="D329" t="inlineStr">
        <is>
          <t>VÄSTERNORRLANDS LÄN</t>
        </is>
      </c>
      <c r="E329" t="inlineStr">
        <is>
          <t>ÅNGE</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21189-2021</t>
        </is>
      </c>
      <c r="B330" s="1" t="n">
        <v>44320</v>
      </c>
      <c r="C330" s="1" t="n">
        <v>45878</v>
      </c>
      <c r="D330" t="inlineStr">
        <is>
          <t>VÄSTERNORRLANDS LÄN</t>
        </is>
      </c>
      <c r="E330" t="inlineStr">
        <is>
          <t>ÅNGE</t>
        </is>
      </c>
      <c r="G330" t="n">
        <v>2.4</v>
      </c>
      <c r="H330" t="n">
        <v>0</v>
      </c>
      <c r="I330" t="n">
        <v>0</v>
      </c>
      <c r="J330" t="n">
        <v>0</v>
      </c>
      <c r="K330" t="n">
        <v>0</v>
      </c>
      <c r="L330" t="n">
        <v>0</v>
      </c>
      <c r="M330" t="n">
        <v>0</v>
      </c>
      <c r="N330" t="n">
        <v>0</v>
      </c>
      <c r="O330" t="n">
        <v>0</v>
      </c>
      <c r="P330" t="n">
        <v>0</v>
      </c>
      <c r="Q330" t="n">
        <v>0</v>
      </c>
      <c r="R330" s="2" t="inlineStr"/>
    </row>
    <row r="331" ht="15" customHeight="1">
      <c r="A331" t="inlineStr">
        <is>
          <t>A 45808-2020</t>
        </is>
      </c>
      <c r="B331" s="1" t="n">
        <v>44090</v>
      </c>
      <c r="C331" s="1" t="n">
        <v>45878</v>
      </c>
      <c r="D331" t="inlineStr">
        <is>
          <t>VÄSTERNORRLANDS LÄN</t>
        </is>
      </c>
      <c r="E331" t="inlineStr">
        <is>
          <t>ÅNGE</t>
        </is>
      </c>
      <c r="G331" t="n">
        <v>0.3</v>
      </c>
      <c r="H331" t="n">
        <v>0</v>
      </c>
      <c r="I331" t="n">
        <v>0</v>
      </c>
      <c r="J331" t="n">
        <v>0</v>
      </c>
      <c r="K331" t="n">
        <v>0</v>
      </c>
      <c r="L331" t="n">
        <v>0</v>
      </c>
      <c r="M331" t="n">
        <v>0</v>
      </c>
      <c r="N331" t="n">
        <v>0</v>
      </c>
      <c r="O331" t="n">
        <v>0</v>
      </c>
      <c r="P331" t="n">
        <v>0</v>
      </c>
      <c r="Q331" t="n">
        <v>0</v>
      </c>
      <c r="R331" s="2" t="inlineStr"/>
    </row>
    <row r="332" ht="15" customHeight="1">
      <c r="A332" t="inlineStr">
        <is>
          <t>A 45812-2020</t>
        </is>
      </c>
      <c r="B332" s="1" t="n">
        <v>44090.88556712963</v>
      </c>
      <c r="C332" s="1" t="n">
        <v>45878</v>
      </c>
      <c r="D332" t="inlineStr">
        <is>
          <t>VÄSTERNORRLANDS LÄN</t>
        </is>
      </c>
      <c r="E332" t="inlineStr">
        <is>
          <t>ÅNGE</t>
        </is>
      </c>
      <c r="G332" t="n">
        <v>0.1</v>
      </c>
      <c r="H332" t="n">
        <v>0</v>
      </c>
      <c r="I332" t="n">
        <v>0</v>
      </c>
      <c r="J332" t="n">
        <v>0</v>
      </c>
      <c r="K332" t="n">
        <v>0</v>
      </c>
      <c r="L332" t="n">
        <v>0</v>
      </c>
      <c r="M332" t="n">
        <v>0</v>
      </c>
      <c r="N332" t="n">
        <v>0</v>
      </c>
      <c r="O332" t="n">
        <v>0</v>
      </c>
      <c r="P332" t="n">
        <v>0</v>
      </c>
      <c r="Q332" t="n">
        <v>0</v>
      </c>
      <c r="R332" s="2" t="inlineStr"/>
    </row>
    <row r="333" ht="15" customHeight="1">
      <c r="A333" t="inlineStr">
        <is>
          <t>A 42299-2020</t>
        </is>
      </c>
      <c r="B333" s="1" t="n">
        <v>44076</v>
      </c>
      <c r="C333" s="1" t="n">
        <v>45878</v>
      </c>
      <c r="D333" t="inlineStr">
        <is>
          <t>VÄSTERNORRLANDS LÄN</t>
        </is>
      </c>
      <c r="E333" t="inlineStr">
        <is>
          <t>ÅNGE</t>
        </is>
      </c>
      <c r="G333" t="n">
        <v>3.6</v>
      </c>
      <c r="H333" t="n">
        <v>0</v>
      </c>
      <c r="I333" t="n">
        <v>0</v>
      </c>
      <c r="J333" t="n">
        <v>0</v>
      </c>
      <c r="K333" t="n">
        <v>0</v>
      </c>
      <c r="L333" t="n">
        <v>0</v>
      </c>
      <c r="M333" t="n">
        <v>0</v>
      </c>
      <c r="N333" t="n">
        <v>0</v>
      </c>
      <c r="O333" t="n">
        <v>0</v>
      </c>
      <c r="P333" t="n">
        <v>0</v>
      </c>
      <c r="Q333" t="n">
        <v>0</v>
      </c>
      <c r="R333" s="2" t="inlineStr"/>
    </row>
    <row r="334" ht="15" customHeight="1">
      <c r="A334" t="inlineStr">
        <is>
          <t>A 45810-2020</t>
        </is>
      </c>
      <c r="B334" s="1" t="n">
        <v>44090.88427083333</v>
      </c>
      <c r="C334" s="1" t="n">
        <v>45878</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45878</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60064-2020</t>
        </is>
      </c>
      <c r="B336" s="1" t="n">
        <v>44151</v>
      </c>
      <c r="C336" s="1" t="n">
        <v>45878</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48238-2020</t>
        </is>
      </c>
      <c r="B337" s="1" t="n">
        <v>44097</v>
      </c>
      <c r="C337" s="1" t="n">
        <v>45878</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5366-2022</t>
        </is>
      </c>
      <c r="B338" s="1" t="n">
        <v>44594.92107638889</v>
      </c>
      <c r="C338" s="1" t="n">
        <v>45878</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53962-2020</t>
        </is>
      </c>
      <c r="B339" s="1" t="n">
        <v>44125.46759259259</v>
      </c>
      <c r="C339" s="1" t="n">
        <v>45878</v>
      </c>
      <c r="D339" t="inlineStr">
        <is>
          <t>VÄSTERNORRLANDS LÄN</t>
        </is>
      </c>
      <c r="E339" t="inlineStr">
        <is>
          <t>ÅNGE</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46351-2022</t>
        </is>
      </c>
      <c r="B340" s="1" t="n">
        <v>44847</v>
      </c>
      <c r="C340" s="1" t="n">
        <v>45878</v>
      </c>
      <c r="D340" t="inlineStr">
        <is>
          <t>VÄSTERNORRLANDS LÄN</t>
        </is>
      </c>
      <c r="E340" t="inlineStr">
        <is>
          <t>ÅNGE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45878</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45878</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45878</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44413-2022</t>
        </is>
      </c>
      <c r="B344" s="1" t="n">
        <v>44839.92630787037</v>
      </c>
      <c r="C344" s="1" t="n">
        <v>45878</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51755-2020</t>
        </is>
      </c>
      <c r="B345" s="1" t="n">
        <v>44114</v>
      </c>
      <c r="C345" s="1" t="n">
        <v>45878</v>
      </c>
      <c r="D345" t="inlineStr">
        <is>
          <t>VÄSTERNORRLANDS LÄN</t>
        </is>
      </c>
      <c r="E345" t="inlineStr">
        <is>
          <t>ÅNGE</t>
        </is>
      </c>
      <c r="G345" t="n">
        <v>6.4</v>
      </c>
      <c r="H345" t="n">
        <v>0</v>
      </c>
      <c r="I345" t="n">
        <v>0</v>
      </c>
      <c r="J345" t="n">
        <v>0</v>
      </c>
      <c r="K345" t="n">
        <v>0</v>
      </c>
      <c r="L345" t="n">
        <v>0</v>
      </c>
      <c r="M345" t="n">
        <v>0</v>
      </c>
      <c r="N345" t="n">
        <v>0</v>
      </c>
      <c r="O345" t="n">
        <v>0</v>
      </c>
      <c r="P345" t="n">
        <v>0</v>
      </c>
      <c r="Q345" t="n">
        <v>0</v>
      </c>
      <c r="R345" s="2" t="inlineStr"/>
    </row>
    <row r="346" ht="15" customHeight="1">
      <c r="A346" t="inlineStr">
        <is>
          <t>A 65280-2020</t>
        </is>
      </c>
      <c r="B346" s="1" t="n">
        <v>44172</v>
      </c>
      <c r="C346" s="1" t="n">
        <v>45878</v>
      </c>
      <c r="D346" t="inlineStr">
        <is>
          <t>VÄSTERNORRLANDS LÄN</t>
        </is>
      </c>
      <c r="E346" t="inlineStr">
        <is>
          <t>ÅNGE</t>
        </is>
      </c>
      <c r="F346" t="inlineStr">
        <is>
          <t>SCA</t>
        </is>
      </c>
      <c r="G346" t="n">
        <v>4</v>
      </c>
      <c r="H346" t="n">
        <v>0</v>
      </c>
      <c r="I346" t="n">
        <v>0</v>
      </c>
      <c r="J346" t="n">
        <v>0</v>
      </c>
      <c r="K346" t="n">
        <v>0</v>
      </c>
      <c r="L346" t="n">
        <v>0</v>
      </c>
      <c r="M346" t="n">
        <v>0</v>
      </c>
      <c r="N346" t="n">
        <v>0</v>
      </c>
      <c r="O346" t="n">
        <v>0</v>
      </c>
      <c r="P346" t="n">
        <v>0</v>
      </c>
      <c r="Q346" t="n">
        <v>0</v>
      </c>
      <c r="R346" s="2" t="inlineStr"/>
    </row>
    <row r="347" ht="15" customHeight="1">
      <c r="A347" t="inlineStr">
        <is>
          <t>A 38369-2021</t>
        </is>
      </c>
      <c r="B347" s="1" t="n">
        <v>44406</v>
      </c>
      <c r="C347" s="1" t="n">
        <v>45878</v>
      </c>
      <c r="D347" t="inlineStr">
        <is>
          <t>VÄSTERNORRLANDS LÄN</t>
        </is>
      </c>
      <c r="E347" t="inlineStr">
        <is>
          <t>ÅNGE</t>
        </is>
      </c>
      <c r="G347" t="n">
        <v>5.6</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45878</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45878</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45878</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45878</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45878</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39561-2020</t>
        </is>
      </c>
      <c r="B353" s="1" t="n">
        <v>44064</v>
      </c>
      <c r="C353" s="1" t="n">
        <v>45878</v>
      </c>
      <c r="D353" t="inlineStr">
        <is>
          <t>VÄSTERNORRLANDS LÄN</t>
        </is>
      </c>
      <c r="E353" t="inlineStr">
        <is>
          <t>ÅNGE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50268-2020</t>
        </is>
      </c>
      <c r="B354" s="1" t="n">
        <v>44109</v>
      </c>
      <c r="C354" s="1" t="n">
        <v>45878</v>
      </c>
      <c r="D354" t="inlineStr">
        <is>
          <t>VÄSTERNORRLANDS LÄN</t>
        </is>
      </c>
      <c r="E354" t="inlineStr">
        <is>
          <t>ÅNGE</t>
        </is>
      </c>
      <c r="G354" t="n">
        <v>1.3</v>
      </c>
      <c r="H354" t="n">
        <v>0</v>
      </c>
      <c r="I354" t="n">
        <v>0</v>
      </c>
      <c r="J354" t="n">
        <v>0</v>
      </c>
      <c r="K354" t="n">
        <v>0</v>
      </c>
      <c r="L354" t="n">
        <v>0</v>
      </c>
      <c r="M354" t="n">
        <v>0</v>
      </c>
      <c r="N354" t="n">
        <v>0</v>
      </c>
      <c r="O354" t="n">
        <v>0</v>
      </c>
      <c r="P354" t="n">
        <v>0</v>
      </c>
      <c r="Q354" t="n">
        <v>0</v>
      </c>
      <c r="R354" s="2" t="inlineStr"/>
    </row>
    <row r="355" ht="15" customHeight="1">
      <c r="A355" t="inlineStr">
        <is>
          <t>A 47660-2022</t>
        </is>
      </c>
      <c r="B355" s="1" t="n">
        <v>44854.45766203704</v>
      </c>
      <c r="C355" s="1" t="n">
        <v>45878</v>
      </c>
      <c r="D355" t="inlineStr">
        <is>
          <t>VÄSTERNORRLANDS LÄN</t>
        </is>
      </c>
      <c r="E355" t="inlineStr">
        <is>
          <t>ÅNGE</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50710-2021</t>
        </is>
      </c>
      <c r="B356" s="1" t="n">
        <v>44460.366875</v>
      </c>
      <c r="C356" s="1" t="n">
        <v>45878</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47411-2020</t>
        </is>
      </c>
      <c r="B357" s="1" t="n">
        <v>44095</v>
      </c>
      <c r="C357" s="1" t="n">
        <v>45878</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18024-2022</t>
        </is>
      </c>
      <c r="B358" s="1" t="n">
        <v>44683.94383101852</v>
      </c>
      <c r="C358" s="1" t="n">
        <v>45878</v>
      </c>
      <c r="D358" t="inlineStr">
        <is>
          <t>VÄSTERNORRLANDS LÄN</t>
        </is>
      </c>
      <c r="E358" t="inlineStr">
        <is>
          <t>ÅNGE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56907-2021</t>
        </is>
      </c>
      <c r="B359" s="1" t="n">
        <v>44481.93837962963</v>
      </c>
      <c r="C359" s="1" t="n">
        <v>45878</v>
      </c>
      <c r="D359" t="inlineStr">
        <is>
          <t>VÄSTERNORRLANDS LÄN</t>
        </is>
      </c>
      <c r="E359" t="inlineStr">
        <is>
          <t>ÅNGE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50265-2020</t>
        </is>
      </c>
      <c r="B360" s="1" t="n">
        <v>44109</v>
      </c>
      <c r="C360" s="1" t="n">
        <v>45878</v>
      </c>
      <c r="D360" t="inlineStr">
        <is>
          <t>VÄSTERNORRLANDS LÄN</t>
        </is>
      </c>
      <c r="E360" t="inlineStr">
        <is>
          <t>ÅNGE</t>
        </is>
      </c>
      <c r="G360" t="n">
        <v>1.5</v>
      </c>
      <c r="H360" t="n">
        <v>0</v>
      </c>
      <c r="I360" t="n">
        <v>0</v>
      </c>
      <c r="J360" t="n">
        <v>0</v>
      </c>
      <c r="K360" t="n">
        <v>0</v>
      </c>
      <c r="L360" t="n">
        <v>0</v>
      </c>
      <c r="M360" t="n">
        <v>0</v>
      </c>
      <c r="N360" t="n">
        <v>0</v>
      </c>
      <c r="O360" t="n">
        <v>0</v>
      </c>
      <c r="P360" t="n">
        <v>0</v>
      </c>
      <c r="Q360" t="n">
        <v>0</v>
      </c>
      <c r="R360" s="2" t="inlineStr"/>
    </row>
    <row r="361" ht="15" customHeight="1">
      <c r="A361" t="inlineStr">
        <is>
          <t>A 12800-2021</t>
        </is>
      </c>
      <c r="B361" s="1" t="n">
        <v>44270.92056712963</v>
      </c>
      <c r="C361" s="1" t="n">
        <v>45878</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17963-2022</t>
        </is>
      </c>
      <c r="B362" s="1" t="n">
        <v>44683</v>
      </c>
      <c r="C362" s="1" t="n">
        <v>45878</v>
      </c>
      <c r="D362" t="inlineStr">
        <is>
          <t>VÄSTERNORRLANDS LÄN</t>
        </is>
      </c>
      <c r="E362" t="inlineStr">
        <is>
          <t>ÅNGE</t>
        </is>
      </c>
      <c r="G362" t="n">
        <v>0.2</v>
      </c>
      <c r="H362" t="n">
        <v>0</v>
      </c>
      <c r="I362" t="n">
        <v>0</v>
      </c>
      <c r="J362" t="n">
        <v>0</v>
      </c>
      <c r="K362" t="n">
        <v>0</v>
      </c>
      <c r="L362" t="n">
        <v>0</v>
      </c>
      <c r="M362" t="n">
        <v>0</v>
      </c>
      <c r="N362" t="n">
        <v>0</v>
      </c>
      <c r="O362" t="n">
        <v>0</v>
      </c>
      <c r="P362" t="n">
        <v>0</v>
      </c>
      <c r="Q362" t="n">
        <v>0</v>
      </c>
      <c r="R362" s="2" t="inlineStr"/>
    </row>
    <row r="363" ht="15" customHeight="1">
      <c r="A363" t="inlineStr">
        <is>
          <t>A 40476-2022</t>
        </is>
      </c>
      <c r="B363" s="1" t="n">
        <v>44823.54685185185</v>
      </c>
      <c r="C363" s="1" t="n">
        <v>45878</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14813-2022</t>
        </is>
      </c>
      <c r="B364" s="1" t="n">
        <v>44656</v>
      </c>
      <c r="C364" s="1" t="n">
        <v>45878</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45878</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45878</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35496-2022</t>
        </is>
      </c>
      <c r="B367" s="1" t="n">
        <v>44798</v>
      </c>
      <c r="C367" s="1" t="n">
        <v>45878</v>
      </c>
      <c r="D367" t="inlineStr">
        <is>
          <t>VÄSTERNORRLANDS LÄN</t>
        </is>
      </c>
      <c r="E367" t="inlineStr">
        <is>
          <t>ÅNGE</t>
        </is>
      </c>
      <c r="F367" t="inlineStr">
        <is>
          <t>SCA</t>
        </is>
      </c>
      <c r="G367" t="n">
        <v>15.6</v>
      </c>
      <c r="H367" t="n">
        <v>0</v>
      </c>
      <c r="I367" t="n">
        <v>0</v>
      </c>
      <c r="J367" t="n">
        <v>0</v>
      </c>
      <c r="K367" t="n">
        <v>0</v>
      </c>
      <c r="L367" t="n">
        <v>0</v>
      </c>
      <c r="M367" t="n">
        <v>0</v>
      </c>
      <c r="N367" t="n">
        <v>0</v>
      </c>
      <c r="O367" t="n">
        <v>0</v>
      </c>
      <c r="P367" t="n">
        <v>0</v>
      </c>
      <c r="Q367" t="n">
        <v>0</v>
      </c>
      <c r="R367" s="2" t="inlineStr"/>
    </row>
    <row r="368" ht="15" customHeight="1">
      <c r="A368" t="inlineStr">
        <is>
          <t>A 57418-2021</t>
        </is>
      </c>
      <c r="B368" s="1" t="n">
        <v>44483</v>
      </c>
      <c r="C368" s="1" t="n">
        <v>45878</v>
      </c>
      <c r="D368" t="inlineStr">
        <is>
          <t>VÄSTERNORRLANDS LÄN</t>
        </is>
      </c>
      <c r="E368" t="inlineStr">
        <is>
          <t>ÅNGE</t>
        </is>
      </c>
      <c r="G368" t="n">
        <v>4.4</v>
      </c>
      <c r="H368" t="n">
        <v>0</v>
      </c>
      <c r="I368" t="n">
        <v>0</v>
      </c>
      <c r="J368" t="n">
        <v>0</v>
      </c>
      <c r="K368" t="n">
        <v>0</v>
      </c>
      <c r="L368" t="n">
        <v>0</v>
      </c>
      <c r="M368" t="n">
        <v>0</v>
      </c>
      <c r="N368" t="n">
        <v>0</v>
      </c>
      <c r="O368" t="n">
        <v>0</v>
      </c>
      <c r="P368" t="n">
        <v>0</v>
      </c>
      <c r="Q368" t="n">
        <v>0</v>
      </c>
      <c r="R368" s="2" t="inlineStr"/>
    </row>
    <row r="369" ht="15" customHeight="1">
      <c r="A369" t="inlineStr">
        <is>
          <t>A 53010-2022</t>
        </is>
      </c>
      <c r="B369" s="1" t="n">
        <v>44875</v>
      </c>
      <c r="C369" s="1" t="n">
        <v>45878</v>
      </c>
      <c r="D369" t="inlineStr">
        <is>
          <t>VÄSTERNORRLANDS LÄN</t>
        </is>
      </c>
      <c r="E369" t="inlineStr">
        <is>
          <t>ÅNGE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54469-2020</t>
        </is>
      </c>
      <c r="B370" s="1" t="n">
        <v>44126</v>
      </c>
      <c r="C370" s="1" t="n">
        <v>45878</v>
      </c>
      <c r="D370" t="inlineStr">
        <is>
          <t>VÄSTERNORRLANDS LÄN</t>
        </is>
      </c>
      <c r="E370" t="inlineStr">
        <is>
          <t>ÅNGE</t>
        </is>
      </c>
      <c r="G370" t="n">
        <v>4</v>
      </c>
      <c r="H370" t="n">
        <v>0</v>
      </c>
      <c r="I370" t="n">
        <v>0</v>
      </c>
      <c r="J370" t="n">
        <v>0</v>
      </c>
      <c r="K370" t="n">
        <v>0</v>
      </c>
      <c r="L370" t="n">
        <v>0</v>
      </c>
      <c r="M370" t="n">
        <v>0</v>
      </c>
      <c r="N370" t="n">
        <v>0</v>
      </c>
      <c r="O370" t="n">
        <v>0</v>
      </c>
      <c r="P370" t="n">
        <v>0</v>
      </c>
      <c r="Q370" t="n">
        <v>0</v>
      </c>
      <c r="R370" s="2" t="inlineStr"/>
    </row>
    <row r="371" ht="15" customHeight="1">
      <c r="A371" t="inlineStr">
        <is>
          <t>A 21642-2021</t>
        </is>
      </c>
      <c r="B371" s="1" t="n">
        <v>44321.94239583334</v>
      </c>
      <c r="C371" s="1" t="n">
        <v>45878</v>
      </c>
      <c r="D371" t="inlineStr">
        <is>
          <t>VÄSTERNORRLANDS LÄN</t>
        </is>
      </c>
      <c r="E371" t="inlineStr">
        <is>
          <t>ÅNGE</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53664-2022</t>
        </is>
      </c>
      <c r="B372" s="1" t="n">
        <v>44879.95643518519</v>
      </c>
      <c r="C372" s="1" t="n">
        <v>45878</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42296-2020</t>
        </is>
      </c>
      <c r="B373" s="1" t="n">
        <v>44076.45442129629</v>
      </c>
      <c r="C373" s="1" t="n">
        <v>45878</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52504-2020</t>
        </is>
      </c>
      <c r="B374" s="1" t="n">
        <v>44113</v>
      </c>
      <c r="C374" s="1" t="n">
        <v>45878</v>
      </c>
      <c r="D374" t="inlineStr">
        <is>
          <t>VÄSTERNORRLANDS LÄN</t>
        </is>
      </c>
      <c r="E374" t="inlineStr">
        <is>
          <t>ÅNGE</t>
        </is>
      </c>
      <c r="G374" t="n">
        <v>1.8</v>
      </c>
      <c r="H374" t="n">
        <v>0</v>
      </c>
      <c r="I374" t="n">
        <v>0</v>
      </c>
      <c r="J374" t="n">
        <v>0</v>
      </c>
      <c r="K374" t="n">
        <v>0</v>
      </c>
      <c r="L374" t="n">
        <v>0</v>
      </c>
      <c r="M374" t="n">
        <v>0</v>
      </c>
      <c r="N374" t="n">
        <v>0</v>
      </c>
      <c r="O374" t="n">
        <v>0</v>
      </c>
      <c r="P374" t="n">
        <v>0</v>
      </c>
      <c r="Q374" t="n">
        <v>0</v>
      </c>
      <c r="R374" s="2" t="inlineStr"/>
    </row>
    <row r="375" ht="15" customHeight="1">
      <c r="A375" t="inlineStr">
        <is>
          <t>A 2327-2021</t>
        </is>
      </c>
      <c r="B375" s="1" t="n">
        <v>44214</v>
      </c>
      <c r="C375" s="1" t="n">
        <v>45878</v>
      </c>
      <c r="D375" t="inlineStr">
        <is>
          <t>VÄSTERNORRLANDS LÄN</t>
        </is>
      </c>
      <c r="E375" t="inlineStr">
        <is>
          <t>ÅNGE</t>
        </is>
      </c>
      <c r="G375" t="n">
        <v>6.7</v>
      </c>
      <c r="H375" t="n">
        <v>0</v>
      </c>
      <c r="I375" t="n">
        <v>0</v>
      </c>
      <c r="J375" t="n">
        <v>0</v>
      </c>
      <c r="K375" t="n">
        <v>0</v>
      </c>
      <c r="L375" t="n">
        <v>0</v>
      </c>
      <c r="M375" t="n">
        <v>0</v>
      </c>
      <c r="N375" t="n">
        <v>0</v>
      </c>
      <c r="O375" t="n">
        <v>0</v>
      </c>
      <c r="P375" t="n">
        <v>0</v>
      </c>
      <c r="Q375" t="n">
        <v>0</v>
      </c>
      <c r="R375" s="2" t="inlineStr"/>
    </row>
    <row r="376" ht="15" customHeight="1">
      <c r="A376" t="inlineStr">
        <is>
          <t>A 18422-2021</t>
        </is>
      </c>
      <c r="B376" s="1" t="n">
        <v>44305</v>
      </c>
      <c r="C376" s="1" t="n">
        <v>45878</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14587-2021</t>
        </is>
      </c>
      <c r="B377" s="1" t="n">
        <v>44279.91825231481</v>
      </c>
      <c r="C377" s="1" t="n">
        <v>45878</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45878</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45878</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51542-2022</t>
        </is>
      </c>
      <c r="B380" s="1" t="n">
        <v>44869.94850694444</v>
      </c>
      <c r="C380" s="1" t="n">
        <v>45878</v>
      </c>
      <c r="D380" t="inlineStr">
        <is>
          <t>VÄSTERNORRLANDS LÄN</t>
        </is>
      </c>
      <c r="E380" t="inlineStr">
        <is>
          <t>ÅNGE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10342-2021</t>
        </is>
      </c>
      <c r="B381" s="1" t="n">
        <v>44257</v>
      </c>
      <c r="C381" s="1" t="n">
        <v>45878</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46053-2021</t>
        </is>
      </c>
      <c r="B382" s="1" t="n">
        <v>44441</v>
      </c>
      <c r="C382" s="1" t="n">
        <v>45878</v>
      </c>
      <c r="D382" t="inlineStr">
        <is>
          <t>VÄSTERNORRLANDS LÄN</t>
        </is>
      </c>
      <c r="E382" t="inlineStr">
        <is>
          <t>ÅNGE</t>
        </is>
      </c>
      <c r="F382" t="inlineStr">
        <is>
          <t>SCA</t>
        </is>
      </c>
      <c r="G382" t="n">
        <v>0.2</v>
      </c>
      <c r="H382" t="n">
        <v>0</v>
      </c>
      <c r="I382" t="n">
        <v>0</v>
      </c>
      <c r="J382" t="n">
        <v>0</v>
      </c>
      <c r="K382" t="n">
        <v>0</v>
      </c>
      <c r="L382" t="n">
        <v>0</v>
      </c>
      <c r="M382" t="n">
        <v>0</v>
      </c>
      <c r="N382" t="n">
        <v>0</v>
      </c>
      <c r="O382" t="n">
        <v>0</v>
      </c>
      <c r="P382" t="n">
        <v>0</v>
      </c>
      <c r="Q382" t="n">
        <v>0</v>
      </c>
      <c r="R382" s="2" t="inlineStr"/>
    </row>
    <row r="383" ht="15" customHeight="1">
      <c r="A383" t="inlineStr">
        <is>
          <t>A 45145-2021</t>
        </is>
      </c>
      <c r="B383" s="1" t="n">
        <v>44439</v>
      </c>
      <c r="C383" s="1" t="n">
        <v>45878</v>
      </c>
      <c r="D383" t="inlineStr">
        <is>
          <t>VÄSTERNORRLANDS LÄN</t>
        </is>
      </c>
      <c r="E383" t="inlineStr">
        <is>
          <t>ÅNGE</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45878</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55905-2021</t>
        </is>
      </c>
      <c r="B385" s="1" t="n">
        <v>44476.91895833334</v>
      </c>
      <c r="C385" s="1" t="n">
        <v>45878</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45878</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17580-2022</t>
        </is>
      </c>
      <c r="B387" s="1" t="n">
        <v>44679</v>
      </c>
      <c r="C387" s="1" t="n">
        <v>45878</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71302-2021</t>
        </is>
      </c>
      <c r="B388" s="1" t="n">
        <v>44539.63871527778</v>
      </c>
      <c r="C388" s="1" t="n">
        <v>45878</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45878</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6732-2022</t>
        </is>
      </c>
      <c r="B390" s="1" t="n">
        <v>44602.46072916667</v>
      </c>
      <c r="C390" s="1" t="n">
        <v>45878</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39594-2022</t>
        </is>
      </c>
      <c r="B391" s="1" t="n">
        <v>44818</v>
      </c>
      <c r="C391" s="1" t="n">
        <v>45878</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10313-2022</t>
        </is>
      </c>
      <c r="B392" s="1" t="n">
        <v>44622</v>
      </c>
      <c r="C392" s="1" t="n">
        <v>45878</v>
      </c>
      <c r="D392" t="inlineStr">
        <is>
          <t>VÄSTERNORRLANDS LÄN</t>
        </is>
      </c>
      <c r="E392" t="inlineStr">
        <is>
          <t>ÅNGE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20807-2021</t>
        </is>
      </c>
      <c r="B393" s="1" t="n">
        <v>44316.93965277778</v>
      </c>
      <c r="C393" s="1" t="n">
        <v>45878</v>
      </c>
      <c r="D393" t="inlineStr">
        <is>
          <t>VÄSTERNORRLANDS LÄN</t>
        </is>
      </c>
      <c r="E393" t="inlineStr">
        <is>
          <t>ÅNGE</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63170-2023</t>
        </is>
      </c>
      <c r="B394" s="1" t="n">
        <v>45273.57087962963</v>
      </c>
      <c r="C394" s="1" t="n">
        <v>45878</v>
      </c>
      <c r="D394" t="inlineStr">
        <is>
          <t>VÄSTERNORRLANDS LÄN</t>
        </is>
      </c>
      <c r="E394" t="inlineStr">
        <is>
          <t>ÅNGE</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30273-2023</t>
        </is>
      </c>
      <c r="B395" s="1" t="n">
        <v>45099</v>
      </c>
      <c r="C395" s="1" t="n">
        <v>45878</v>
      </c>
      <c r="D395" t="inlineStr">
        <is>
          <t>VÄSTERNORRLANDS LÄN</t>
        </is>
      </c>
      <c r="E395" t="inlineStr">
        <is>
          <t>ÅNGE</t>
        </is>
      </c>
      <c r="G395" t="n">
        <v>3.9</v>
      </c>
      <c r="H395" t="n">
        <v>0</v>
      </c>
      <c r="I395" t="n">
        <v>0</v>
      </c>
      <c r="J395" t="n">
        <v>0</v>
      </c>
      <c r="K395" t="n">
        <v>0</v>
      </c>
      <c r="L395" t="n">
        <v>0</v>
      </c>
      <c r="M395" t="n">
        <v>0</v>
      </c>
      <c r="N395" t="n">
        <v>0</v>
      </c>
      <c r="O395" t="n">
        <v>0</v>
      </c>
      <c r="P395" t="n">
        <v>0</v>
      </c>
      <c r="Q395" t="n">
        <v>0</v>
      </c>
      <c r="R395" s="2" t="inlineStr"/>
    </row>
    <row r="396" ht="15" customHeight="1">
      <c r="A396" t="inlineStr">
        <is>
          <t>A 60368-2024</t>
        </is>
      </c>
      <c r="B396" s="1" t="n">
        <v>45643</v>
      </c>
      <c r="C396" s="1" t="n">
        <v>45878</v>
      </c>
      <c r="D396" t="inlineStr">
        <is>
          <t>VÄSTERNORRLANDS LÄN</t>
        </is>
      </c>
      <c r="E396" t="inlineStr">
        <is>
          <t>ÅNGE</t>
        </is>
      </c>
      <c r="G396" t="n">
        <v>1.8</v>
      </c>
      <c r="H396" t="n">
        <v>0</v>
      </c>
      <c r="I396" t="n">
        <v>0</v>
      </c>
      <c r="J396" t="n">
        <v>0</v>
      </c>
      <c r="K396" t="n">
        <v>0</v>
      </c>
      <c r="L396" t="n">
        <v>0</v>
      </c>
      <c r="M396" t="n">
        <v>0</v>
      </c>
      <c r="N396" t="n">
        <v>0</v>
      </c>
      <c r="O396" t="n">
        <v>0</v>
      </c>
      <c r="P396" t="n">
        <v>0</v>
      </c>
      <c r="Q396" t="n">
        <v>0</v>
      </c>
      <c r="R396" s="2" t="inlineStr"/>
    </row>
    <row r="397" ht="15" customHeight="1">
      <c r="A397" t="inlineStr">
        <is>
          <t>A 43096-2023</t>
        </is>
      </c>
      <c r="B397" s="1" t="n">
        <v>45182</v>
      </c>
      <c r="C397" s="1" t="n">
        <v>45878</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31729-2024</t>
        </is>
      </c>
      <c r="B398" s="1" t="n">
        <v>45509.35844907408</v>
      </c>
      <c r="C398" s="1" t="n">
        <v>45878</v>
      </c>
      <c r="D398" t="inlineStr">
        <is>
          <t>VÄSTERNORRLANDS LÄN</t>
        </is>
      </c>
      <c r="E398" t="inlineStr">
        <is>
          <t>ÅNGE</t>
        </is>
      </c>
      <c r="G398" t="n">
        <v>1.9</v>
      </c>
      <c r="H398" t="n">
        <v>0</v>
      </c>
      <c r="I398" t="n">
        <v>0</v>
      </c>
      <c r="J398" t="n">
        <v>0</v>
      </c>
      <c r="K398" t="n">
        <v>0</v>
      </c>
      <c r="L398" t="n">
        <v>0</v>
      </c>
      <c r="M398" t="n">
        <v>0</v>
      </c>
      <c r="N398" t="n">
        <v>0</v>
      </c>
      <c r="O398" t="n">
        <v>0</v>
      </c>
      <c r="P398" t="n">
        <v>0</v>
      </c>
      <c r="Q398" t="n">
        <v>0</v>
      </c>
      <c r="R398" s="2" t="inlineStr"/>
    </row>
    <row r="399" ht="15" customHeight="1">
      <c r="A399" t="inlineStr">
        <is>
          <t>A 3322-2025</t>
        </is>
      </c>
      <c r="B399" s="1" t="n">
        <v>45679.6989699074</v>
      </c>
      <c r="C399" s="1" t="n">
        <v>45878</v>
      </c>
      <c r="D399" t="inlineStr">
        <is>
          <t>VÄSTERNORRLANDS LÄN</t>
        </is>
      </c>
      <c r="E399" t="inlineStr">
        <is>
          <t>ÅNGE</t>
        </is>
      </c>
      <c r="F399" t="inlineStr">
        <is>
          <t>SCA</t>
        </is>
      </c>
      <c r="G399" t="n">
        <v>11.1</v>
      </c>
      <c r="H399" t="n">
        <v>0</v>
      </c>
      <c r="I399" t="n">
        <v>0</v>
      </c>
      <c r="J399" t="n">
        <v>0</v>
      </c>
      <c r="K399" t="n">
        <v>0</v>
      </c>
      <c r="L399" t="n">
        <v>0</v>
      </c>
      <c r="M399" t="n">
        <v>0</v>
      </c>
      <c r="N399" t="n">
        <v>0</v>
      </c>
      <c r="O399" t="n">
        <v>0</v>
      </c>
      <c r="P399" t="n">
        <v>0</v>
      </c>
      <c r="Q399" t="n">
        <v>0</v>
      </c>
      <c r="R399" s="2" t="inlineStr"/>
    </row>
    <row r="400" ht="15" customHeight="1">
      <c r="A400" t="inlineStr">
        <is>
          <t>A 3327-2025</t>
        </is>
      </c>
      <c r="B400" s="1" t="n">
        <v>45679.69967592593</v>
      </c>
      <c r="C400" s="1" t="n">
        <v>45878</v>
      </c>
      <c r="D400" t="inlineStr">
        <is>
          <t>VÄSTERNORRLANDS LÄN</t>
        </is>
      </c>
      <c r="E400" t="inlineStr">
        <is>
          <t>ÅNGE</t>
        </is>
      </c>
      <c r="F400" t="inlineStr">
        <is>
          <t>SCA</t>
        </is>
      </c>
      <c r="G400" t="n">
        <v>12.9</v>
      </c>
      <c r="H400" t="n">
        <v>0</v>
      </c>
      <c r="I400" t="n">
        <v>0</v>
      </c>
      <c r="J400" t="n">
        <v>0</v>
      </c>
      <c r="K400" t="n">
        <v>0</v>
      </c>
      <c r="L400" t="n">
        <v>0</v>
      </c>
      <c r="M400" t="n">
        <v>0</v>
      </c>
      <c r="N400" t="n">
        <v>0</v>
      </c>
      <c r="O400" t="n">
        <v>0</v>
      </c>
      <c r="P400" t="n">
        <v>0</v>
      </c>
      <c r="Q400" t="n">
        <v>0</v>
      </c>
      <c r="R400" s="2" t="inlineStr"/>
    </row>
    <row r="401" ht="15" customHeight="1">
      <c r="A401" t="inlineStr">
        <is>
          <t>A 52232-2020</t>
        </is>
      </c>
      <c r="B401" s="1" t="n">
        <v>44111</v>
      </c>
      <c r="C401" s="1" t="n">
        <v>45878</v>
      </c>
      <c r="D401" t="inlineStr">
        <is>
          <t>VÄSTERNORRLANDS LÄN</t>
        </is>
      </c>
      <c r="E401" t="inlineStr">
        <is>
          <t>ÅNGE</t>
        </is>
      </c>
      <c r="G401" t="n">
        <v>1.1</v>
      </c>
      <c r="H401" t="n">
        <v>0</v>
      </c>
      <c r="I401" t="n">
        <v>0</v>
      </c>
      <c r="J401" t="n">
        <v>0</v>
      </c>
      <c r="K401" t="n">
        <v>0</v>
      </c>
      <c r="L401" t="n">
        <v>0</v>
      </c>
      <c r="M401" t="n">
        <v>0</v>
      </c>
      <c r="N401" t="n">
        <v>0</v>
      </c>
      <c r="O401" t="n">
        <v>0</v>
      </c>
      <c r="P401" t="n">
        <v>0</v>
      </c>
      <c r="Q401" t="n">
        <v>0</v>
      </c>
      <c r="R401" s="2" t="inlineStr"/>
    </row>
    <row r="402" ht="15" customHeight="1">
      <c r="A402" t="inlineStr">
        <is>
          <t>A 34783-2021</t>
        </is>
      </c>
      <c r="B402" s="1" t="n">
        <v>44382</v>
      </c>
      <c r="C402" s="1" t="n">
        <v>45878</v>
      </c>
      <c r="D402" t="inlineStr">
        <is>
          <t>VÄSTERNORRLANDS LÄN</t>
        </is>
      </c>
      <c r="E402" t="inlineStr">
        <is>
          <t>ÅNGE</t>
        </is>
      </c>
      <c r="F402" t="inlineStr">
        <is>
          <t>SCA</t>
        </is>
      </c>
      <c r="G402" t="n">
        <v>8.5</v>
      </c>
      <c r="H402" t="n">
        <v>0</v>
      </c>
      <c r="I402" t="n">
        <v>0</v>
      </c>
      <c r="J402" t="n">
        <v>0</v>
      </c>
      <c r="K402" t="n">
        <v>0</v>
      </c>
      <c r="L402" t="n">
        <v>0</v>
      </c>
      <c r="M402" t="n">
        <v>0</v>
      </c>
      <c r="N402" t="n">
        <v>0</v>
      </c>
      <c r="O402" t="n">
        <v>0</v>
      </c>
      <c r="P402" t="n">
        <v>0</v>
      </c>
      <c r="Q402" t="n">
        <v>0</v>
      </c>
      <c r="R402" s="2" t="inlineStr"/>
    </row>
    <row r="403" ht="15" customHeight="1">
      <c r="A403" t="inlineStr">
        <is>
          <t>A 4187-2025</t>
        </is>
      </c>
      <c r="B403" s="1" t="n">
        <v>45685.44842592593</v>
      </c>
      <c r="C403" s="1" t="n">
        <v>45878</v>
      </c>
      <c r="D403" t="inlineStr">
        <is>
          <t>VÄSTERNORRLANDS LÄN</t>
        </is>
      </c>
      <c r="E403" t="inlineStr">
        <is>
          <t>ÅNGE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3947-2025</t>
        </is>
      </c>
      <c r="B404" s="1" t="n">
        <v>45684.49001157407</v>
      </c>
      <c r="C404" s="1" t="n">
        <v>45878</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15603-2024</t>
        </is>
      </c>
      <c r="B405" s="1" t="n">
        <v>45401.92501157407</v>
      </c>
      <c r="C405" s="1" t="n">
        <v>45878</v>
      </c>
      <c r="D405" t="inlineStr">
        <is>
          <t>VÄSTERNORRLANDS LÄN</t>
        </is>
      </c>
      <c r="E405" t="inlineStr">
        <is>
          <t>ÅNGE</t>
        </is>
      </c>
      <c r="G405" t="n">
        <v>0.8</v>
      </c>
      <c r="H405" t="n">
        <v>0</v>
      </c>
      <c r="I405" t="n">
        <v>0</v>
      </c>
      <c r="J405" t="n">
        <v>0</v>
      </c>
      <c r="K405" t="n">
        <v>0</v>
      </c>
      <c r="L405" t="n">
        <v>0</v>
      </c>
      <c r="M405" t="n">
        <v>0</v>
      </c>
      <c r="N405" t="n">
        <v>0</v>
      </c>
      <c r="O405" t="n">
        <v>0</v>
      </c>
      <c r="P405" t="n">
        <v>0</v>
      </c>
      <c r="Q405" t="n">
        <v>0</v>
      </c>
      <c r="R405" s="2" t="inlineStr"/>
    </row>
    <row r="406" ht="15" customHeight="1">
      <c r="A406" t="inlineStr">
        <is>
          <t>A 16978-2024</t>
        </is>
      </c>
      <c r="B406" s="1" t="n">
        <v>45412.02416666667</v>
      </c>
      <c r="C406" s="1" t="n">
        <v>45878</v>
      </c>
      <c r="D406" t="inlineStr">
        <is>
          <t>VÄSTERNORRLANDS LÄN</t>
        </is>
      </c>
      <c r="E406" t="inlineStr">
        <is>
          <t>ÅNGE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37605-2021</t>
        </is>
      </c>
      <c r="B407" s="1" t="n">
        <v>44399</v>
      </c>
      <c r="C407" s="1" t="n">
        <v>45878</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37620-2021</t>
        </is>
      </c>
      <c r="B408" s="1" t="n">
        <v>44399</v>
      </c>
      <c r="C408" s="1" t="n">
        <v>45878</v>
      </c>
      <c r="D408" t="inlineStr">
        <is>
          <t>VÄSTERNORRLANDS LÄN</t>
        </is>
      </c>
      <c r="E408" t="inlineStr">
        <is>
          <t>ÅNGE</t>
        </is>
      </c>
      <c r="G408" t="n">
        <v>4.3</v>
      </c>
      <c r="H408" t="n">
        <v>0</v>
      </c>
      <c r="I408" t="n">
        <v>0</v>
      </c>
      <c r="J408" t="n">
        <v>0</v>
      </c>
      <c r="K408" t="n">
        <v>0</v>
      </c>
      <c r="L408" t="n">
        <v>0</v>
      </c>
      <c r="M408" t="n">
        <v>0</v>
      </c>
      <c r="N408" t="n">
        <v>0</v>
      </c>
      <c r="O408" t="n">
        <v>0</v>
      </c>
      <c r="P408" t="n">
        <v>0</v>
      </c>
      <c r="Q408" t="n">
        <v>0</v>
      </c>
      <c r="R408" s="2" t="inlineStr"/>
    </row>
    <row r="409" ht="15" customHeight="1">
      <c r="A409" t="inlineStr">
        <is>
          <t>A 52804-2024</t>
        </is>
      </c>
      <c r="B409" s="1" t="n">
        <v>45610.57322916666</v>
      </c>
      <c r="C409" s="1" t="n">
        <v>45878</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21151-2024</t>
        </is>
      </c>
      <c r="B410" s="1" t="n">
        <v>45440</v>
      </c>
      <c r="C410" s="1" t="n">
        <v>45878</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53549-2023</t>
        </is>
      </c>
      <c r="B411" s="1" t="n">
        <v>45230</v>
      </c>
      <c r="C411" s="1" t="n">
        <v>45878</v>
      </c>
      <c r="D411" t="inlineStr">
        <is>
          <t>VÄSTERNORRLANDS LÄN</t>
        </is>
      </c>
      <c r="E411" t="inlineStr">
        <is>
          <t>ÅNGE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13706-2023</t>
        </is>
      </c>
      <c r="B412" s="1" t="n">
        <v>45006</v>
      </c>
      <c r="C412" s="1" t="n">
        <v>45878</v>
      </c>
      <c r="D412" t="inlineStr">
        <is>
          <t>VÄSTERNORRLANDS LÄN</t>
        </is>
      </c>
      <c r="E412" t="inlineStr">
        <is>
          <t>ÅNGE</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34726-2024</t>
        </is>
      </c>
      <c r="B413" s="1" t="n">
        <v>45526.5733912037</v>
      </c>
      <c r="C413" s="1" t="n">
        <v>45878</v>
      </c>
      <c r="D413" t="inlineStr">
        <is>
          <t>VÄSTERNORRLANDS LÄN</t>
        </is>
      </c>
      <c r="E413" t="inlineStr">
        <is>
          <t>ÅNGE</t>
        </is>
      </c>
      <c r="G413" t="n">
        <v>1.9</v>
      </c>
      <c r="H413" t="n">
        <v>0</v>
      </c>
      <c r="I413" t="n">
        <v>0</v>
      </c>
      <c r="J413" t="n">
        <v>0</v>
      </c>
      <c r="K413" t="n">
        <v>0</v>
      </c>
      <c r="L413" t="n">
        <v>0</v>
      </c>
      <c r="M413" t="n">
        <v>0</v>
      </c>
      <c r="N413" t="n">
        <v>0</v>
      </c>
      <c r="O413" t="n">
        <v>0</v>
      </c>
      <c r="P413" t="n">
        <v>0</v>
      </c>
      <c r="Q413" t="n">
        <v>0</v>
      </c>
      <c r="R413" s="2" t="inlineStr"/>
    </row>
    <row r="414" ht="15" customHeight="1">
      <c r="A414" t="inlineStr">
        <is>
          <t>A 31325-2022</t>
        </is>
      </c>
      <c r="B414" s="1" t="n">
        <v>44774.41421296296</v>
      </c>
      <c r="C414" s="1" t="n">
        <v>45878</v>
      </c>
      <c r="D414" t="inlineStr">
        <is>
          <t>VÄSTERNORRLANDS LÄN</t>
        </is>
      </c>
      <c r="E414" t="inlineStr">
        <is>
          <t>ÅNGE</t>
        </is>
      </c>
      <c r="G414" t="n">
        <v>6.3</v>
      </c>
      <c r="H414" t="n">
        <v>0</v>
      </c>
      <c r="I414" t="n">
        <v>0</v>
      </c>
      <c r="J414" t="n">
        <v>0</v>
      </c>
      <c r="K414" t="n">
        <v>0</v>
      </c>
      <c r="L414" t="n">
        <v>0</v>
      </c>
      <c r="M414" t="n">
        <v>0</v>
      </c>
      <c r="N414" t="n">
        <v>0</v>
      </c>
      <c r="O414" t="n">
        <v>0</v>
      </c>
      <c r="P414" t="n">
        <v>0</v>
      </c>
      <c r="Q414" t="n">
        <v>0</v>
      </c>
      <c r="R414" s="2" t="inlineStr"/>
    </row>
    <row r="415" ht="15" customHeight="1">
      <c r="A415" t="inlineStr">
        <is>
          <t>A 6462-2024</t>
        </is>
      </c>
      <c r="B415" s="1" t="n">
        <v>45338</v>
      </c>
      <c r="C415" s="1" t="n">
        <v>45878</v>
      </c>
      <c r="D415" t="inlineStr">
        <is>
          <t>VÄSTERNORRLANDS LÄN</t>
        </is>
      </c>
      <c r="E415" t="inlineStr">
        <is>
          <t>ÅNGE</t>
        </is>
      </c>
      <c r="F415" t="inlineStr">
        <is>
          <t>Kyrkan</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12807-2025</t>
        </is>
      </c>
      <c r="B416" s="1" t="n">
        <v>45733.61537037037</v>
      </c>
      <c r="C416" s="1" t="n">
        <v>45878</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51810-2023</t>
        </is>
      </c>
      <c r="B417" s="1" t="n">
        <v>45222.96583333334</v>
      </c>
      <c r="C417" s="1" t="n">
        <v>45878</v>
      </c>
      <c r="D417" t="inlineStr">
        <is>
          <t>VÄSTERNORRLANDS LÄN</t>
        </is>
      </c>
      <c r="E417" t="inlineStr">
        <is>
          <t>ÅNGE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26490-2024</t>
        </is>
      </c>
      <c r="B418" s="1" t="n">
        <v>45469</v>
      </c>
      <c r="C418" s="1" t="n">
        <v>45878</v>
      </c>
      <c r="D418" t="inlineStr">
        <is>
          <t>VÄSTERNORRLANDS LÄN</t>
        </is>
      </c>
      <c r="E418" t="inlineStr">
        <is>
          <t>ÅNGE</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18668-2023</t>
        </is>
      </c>
      <c r="B419" s="1" t="n">
        <v>45043.57108796296</v>
      </c>
      <c r="C419" s="1" t="n">
        <v>45878</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62261-2022</t>
        </is>
      </c>
      <c r="B420" s="1" t="n">
        <v>44922.94378472222</v>
      </c>
      <c r="C420" s="1" t="n">
        <v>45878</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16524-2025</t>
        </is>
      </c>
      <c r="B421" s="1" t="n">
        <v>45751.64310185185</v>
      </c>
      <c r="C421" s="1" t="n">
        <v>45878</v>
      </c>
      <c r="D421" t="inlineStr">
        <is>
          <t>VÄSTERNORRLANDS LÄN</t>
        </is>
      </c>
      <c r="E421" t="inlineStr">
        <is>
          <t>ÅNGE</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25023-2022</t>
        </is>
      </c>
      <c r="B422" s="1" t="n">
        <v>44728</v>
      </c>
      <c r="C422" s="1" t="n">
        <v>45878</v>
      </c>
      <c r="D422" t="inlineStr">
        <is>
          <t>VÄSTERNORRLANDS LÄN</t>
        </is>
      </c>
      <c r="E422" t="inlineStr">
        <is>
          <t>ÅNGE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47779-2023</t>
        </is>
      </c>
      <c r="B423" s="1" t="n">
        <v>45203.92232638889</v>
      </c>
      <c r="C423" s="1" t="n">
        <v>45878</v>
      </c>
      <c r="D423" t="inlineStr">
        <is>
          <t>VÄSTERNORRLANDS LÄN</t>
        </is>
      </c>
      <c r="E423" t="inlineStr">
        <is>
          <t>ÅNGE</t>
        </is>
      </c>
      <c r="G423" t="n">
        <v>9.6</v>
      </c>
      <c r="H423" t="n">
        <v>0</v>
      </c>
      <c r="I423" t="n">
        <v>0</v>
      </c>
      <c r="J423" t="n">
        <v>0</v>
      </c>
      <c r="K423" t="n">
        <v>0</v>
      </c>
      <c r="L423" t="n">
        <v>0</v>
      </c>
      <c r="M423" t="n">
        <v>0</v>
      </c>
      <c r="N423" t="n">
        <v>0</v>
      </c>
      <c r="O423" t="n">
        <v>0</v>
      </c>
      <c r="P423" t="n">
        <v>0</v>
      </c>
      <c r="Q423" t="n">
        <v>0</v>
      </c>
      <c r="R423" s="2" t="inlineStr"/>
    </row>
    <row r="424" ht="15" customHeight="1">
      <c r="A424" t="inlineStr">
        <is>
          <t>A 33747-2024</t>
        </is>
      </c>
      <c r="B424" s="1" t="n">
        <v>45520</v>
      </c>
      <c r="C424" s="1" t="n">
        <v>45878</v>
      </c>
      <c r="D424" t="inlineStr">
        <is>
          <t>VÄSTERNORRLANDS LÄN</t>
        </is>
      </c>
      <c r="E424" t="inlineStr">
        <is>
          <t>ÅNGE</t>
        </is>
      </c>
      <c r="G424" t="n">
        <v>0.7</v>
      </c>
      <c r="H424" t="n">
        <v>0</v>
      </c>
      <c r="I424" t="n">
        <v>0</v>
      </c>
      <c r="J424" t="n">
        <v>0</v>
      </c>
      <c r="K424" t="n">
        <v>0</v>
      </c>
      <c r="L424" t="n">
        <v>0</v>
      </c>
      <c r="M424" t="n">
        <v>0</v>
      </c>
      <c r="N424" t="n">
        <v>0</v>
      </c>
      <c r="O424" t="n">
        <v>0</v>
      </c>
      <c r="P424" t="n">
        <v>0</v>
      </c>
      <c r="Q424" t="n">
        <v>0</v>
      </c>
      <c r="R424" s="2" t="inlineStr"/>
    </row>
    <row r="425" ht="15" customHeight="1">
      <c r="A425" t="inlineStr">
        <is>
          <t>A 34754-2024</t>
        </is>
      </c>
      <c r="B425" s="1" t="n">
        <v>45526</v>
      </c>
      <c r="C425" s="1" t="n">
        <v>45878</v>
      </c>
      <c r="D425" t="inlineStr">
        <is>
          <t>VÄSTERNORRLANDS LÄN</t>
        </is>
      </c>
      <c r="E425" t="inlineStr">
        <is>
          <t>ÅNGE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22411-2023</t>
        </is>
      </c>
      <c r="B426" s="1" t="n">
        <v>45070</v>
      </c>
      <c r="C426" s="1" t="n">
        <v>45878</v>
      </c>
      <c r="D426" t="inlineStr">
        <is>
          <t>VÄSTERNORRLANDS LÄN</t>
        </is>
      </c>
      <c r="E426" t="inlineStr">
        <is>
          <t>ÅNGE</t>
        </is>
      </c>
      <c r="G426" t="n">
        <v>2.8</v>
      </c>
      <c r="H426" t="n">
        <v>0</v>
      </c>
      <c r="I426" t="n">
        <v>0</v>
      </c>
      <c r="J426" t="n">
        <v>0</v>
      </c>
      <c r="K426" t="n">
        <v>0</v>
      </c>
      <c r="L426" t="n">
        <v>0</v>
      </c>
      <c r="M426" t="n">
        <v>0</v>
      </c>
      <c r="N426" t="n">
        <v>0</v>
      </c>
      <c r="O426" t="n">
        <v>0</v>
      </c>
      <c r="P426" t="n">
        <v>0</v>
      </c>
      <c r="Q426" t="n">
        <v>0</v>
      </c>
      <c r="R426" s="2" t="inlineStr"/>
    </row>
    <row r="427" ht="15" customHeight="1">
      <c r="A427" t="inlineStr">
        <is>
          <t>A 49502-2022</t>
        </is>
      </c>
      <c r="B427" s="1" t="n">
        <v>44861.92613425926</v>
      </c>
      <c r="C427" s="1" t="n">
        <v>45878</v>
      </c>
      <c r="D427" t="inlineStr">
        <is>
          <t>VÄSTERNORRLANDS LÄN</t>
        </is>
      </c>
      <c r="E427" t="inlineStr">
        <is>
          <t>ÅNGE</t>
        </is>
      </c>
      <c r="G427" t="n">
        <v>0.8</v>
      </c>
      <c r="H427" t="n">
        <v>0</v>
      </c>
      <c r="I427" t="n">
        <v>0</v>
      </c>
      <c r="J427" t="n">
        <v>0</v>
      </c>
      <c r="K427" t="n">
        <v>0</v>
      </c>
      <c r="L427" t="n">
        <v>0</v>
      </c>
      <c r="M427" t="n">
        <v>0</v>
      </c>
      <c r="N427" t="n">
        <v>0</v>
      </c>
      <c r="O427" t="n">
        <v>0</v>
      </c>
      <c r="P427" t="n">
        <v>0</v>
      </c>
      <c r="Q427" t="n">
        <v>0</v>
      </c>
      <c r="R427" s="2" t="inlineStr"/>
    </row>
    <row r="428" ht="15" customHeight="1">
      <c r="A428" t="inlineStr">
        <is>
          <t>A 4873-2025</t>
        </is>
      </c>
      <c r="B428" s="1" t="n">
        <v>45688.67633101852</v>
      </c>
      <c r="C428" s="1" t="n">
        <v>45878</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5606-2025</t>
        </is>
      </c>
      <c r="B429" s="1" t="n">
        <v>45693.59403935185</v>
      </c>
      <c r="C429" s="1" t="n">
        <v>45878</v>
      </c>
      <c r="D429" t="inlineStr">
        <is>
          <t>VÄSTERNORRLANDS LÄN</t>
        </is>
      </c>
      <c r="E429" t="inlineStr">
        <is>
          <t>ÅNGE</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4071-2025</t>
        </is>
      </c>
      <c r="B430" s="1" t="n">
        <v>45684.63579861111</v>
      </c>
      <c r="C430" s="1" t="n">
        <v>45878</v>
      </c>
      <c r="D430" t="inlineStr">
        <is>
          <t>VÄSTERNORRLANDS LÄN</t>
        </is>
      </c>
      <c r="E430" t="inlineStr">
        <is>
          <t>ÅNGE</t>
        </is>
      </c>
      <c r="F430" t="inlineStr">
        <is>
          <t>SCA</t>
        </is>
      </c>
      <c r="G430" t="n">
        <v>13.7</v>
      </c>
      <c r="H430" t="n">
        <v>0</v>
      </c>
      <c r="I430" t="n">
        <v>0</v>
      </c>
      <c r="J430" t="n">
        <v>0</v>
      </c>
      <c r="K430" t="n">
        <v>0</v>
      </c>
      <c r="L430" t="n">
        <v>0</v>
      </c>
      <c r="M430" t="n">
        <v>0</v>
      </c>
      <c r="N430" t="n">
        <v>0</v>
      </c>
      <c r="O430" t="n">
        <v>0</v>
      </c>
      <c r="P430" t="n">
        <v>0</v>
      </c>
      <c r="Q430" t="n">
        <v>0</v>
      </c>
      <c r="R430" s="2" t="inlineStr"/>
    </row>
    <row r="431" ht="15" customHeight="1">
      <c r="A431" t="inlineStr">
        <is>
          <t>A 6619-2025</t>
        </is>
      </c>
      <c r="B431" s="1" t="n">
        <v>45700.36541666667</v>
      </c>
      <c r="C431" s="1" t="n">
        <v>45878</v>
      </c>
      <c r="D431" t="inlineStr">
        <is>
          <t>VÄSTERNORRLANDS LÄN</t>
        </is>
      </c>
      <c r="E431" t="inlineStr">
        <is>
          <t>ÅNGE</t>
        </is>
      </c>
      <c r="F431" t="inlineStr">
        <is>
          <t>SCA</t>
        </is>
      </c>
      <c r="G431" t="n">
        <v>10.3</v>
      </c>
      <c r="H431" t="n">
        <v>0</v>
      </c>
      <c r="I431" t="n">
        <v>0</v>
      </c>
      <c r="J431" t="n">
        <v>0</v>
      </c>
      <c r="K431" t="n">
        <v>0</v>
      </c>
      <c r="L431" t="n">
        <v>0</v>
      </c>
      <c r="M431" t="n">
        <v>0</v>
      </c>
      <c r="N431" t="n">
        <v>0</v>
      </c>
      <c r="O431" t="n">
        <v>0</v>
      </c>
      <c r="P431" t="n">
        <v>0</v>
      </c>
      <c r="Q431" t="n">
        <v>0</v>
      </c>
      <c r="R431" s="2" t="inlineStr"/>
    </row>
    <row r="432" ht="15" customHeight="1">
      <c r="A432" t="inlineStr">
        <is>
          <t>A 41825-2022</t>
        </is>
      </c>
      <c r="B432" s="1" t="n">
        <v>44827</v>
      </c>
      <c r="C432" s="1" t="n">
        <v>45878</v>
      </c>
      <c r="D432" t="inlineStr">
        <is>
          <t>VÄSTERNORRLANDS LÄN</t>
        </is>
      </c>
      <c r="E432" t="inlineStr">
        <is>
          <t>ÅNGE</t>
        </is>
      </c>
      <c r="F432" t="inlineStr">
        <is>
          <t>SCA</t>
        </is>
      </c>
      <c r="G432" t="n">
        <v>3.3</v>
      </c>
      <c r="H432" t="n">
        <v>0</v>
      </c>
      <c r="I432" t="n">
        <v>0</v>
      </c>
      <c r="J432" t="n">
        <v>0</v>
      </c>
      <c r="K432" t="n">
        <v>0</v>
      </c>
      <c r="L432" t="n">
        <v>0</v>
      </c>
      <c r="M432" t="n">
        <v>0</v>
      </c>
      <c r="N432" t="n">
        <v>0</v>
      </c>
      <c r="O432" t="n">
        <v>0</v>
      </c>
      <c r="P432" t="n">
        <v>0</v>
      </c>
      <c r="Q432" t="n">
        <v>0</v>
      </c>
      <c r="R432" s="2" t="inlineStr"/>
      <c r="U432">
        <f>HYPERLINK("https://klasma.github.io/Logging_2260/knärot/A 41825-2022 karta knärot.png", "A 41825-2022")</f>
        <v/>
      </c>
      <c r="V432">
        <f>HYPERLINK("https://klasma.github.io/Logging_2260/klagomål/A 41825-2022 FSC-klagomål.docx", "A 41825-2022")</f>
        <v/>
      </c>
      <c r="W432">
        <f>HYPERLINK("https://klasma.github.io/Logging_2260/klagomålsmail/A 41825-2022 FSC-klagomål mail.docx", "A 41825-2022")</f>
        <v/>
      </c>
      <c r="X432">
        <f>HYPERLINK("https://klasma.github.io/Logging_2260/tillsyn/A 41825-2022 tillsynsbegäran.docx", "A 41825-2022")</f>
        <v/>
      </c>
      <c r="Y432">
        <f>HYPERLINK("https://klasma.github.io/Logging_2260/tillsynsmail/A 41825-2022 tillsynsbegäran mail.docx", "A 41825-2022")</f>
        <v/>
      </c>
    </row>
    <row r="433" ht="15" customHeight="1">
      <c r="A433" t="inlineStr">
        <is>
          <t>A 31696-2022</t>
        </is>
      </c>
      <c r="B433" s="1" t="n">
        <v>44776</v>
      </c>
      <c r="C433" s="1" t="n">
        <v>45878</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58634-2023</t>
        </is>
      </c>
      <c r="B434" s="1" t="n">
        <v>45251</v>
      </c>
      <c r="C434" s="1" t="n">
        <v>45878</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42958-2024</t>
        </is>
      </c>
      <c r="B435" s="1" t="n">
        <v>45567.37131944444</v>
      </c>
      <c r="C435" s="1" t="n">
        <v>45878</v>
      </c>
      <c r="D435" t="inlineStr">
        <is>
          <t>VÄSTERNORRLANDS LÄN</t>
        </is>
      </c>
      <c r="E435" t="inlineStr">
        <is>
          <t>ÅNGE</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15369-2024</t>
        </is>
      </c>
      <c r="B436" s="1" t="n">
        <v>45400.92290509259</v>
      </c>
      <c r="C436" s="1" t="n">
        <v>45878</v>
      </c>
      <c r="D436" t="inlineStr">
        <is>
          <t>VÄSTERNORRLANDS LÄN</t>
        </is>
      </c>
      <c r="E436" t="inlineStr">
        <is>
          <t>ÅNGE</t>
        </is>
      </c>
      <c r="G436" t="n">
        <v>0.4</v>
      </c>
      <c r="H436" t="n">
        <v>0</v>
      </c>
      <c r="I436" t="n">
        <v>0</v>
      </c>
      <c r="J436" t="n">
        <v>0</v>
      </c>
      <c r="K436" t="n">
        <v>0</v>
      </c>
      <c r="L436" t="n">
        <v>0</v>
      </c>
      <c r="M436" t="n">
        <v>0</v>
      </c>
      <c r="N436" t="n">
        <v>0</v>
      </c>
      <c r="O436" t="n">
        <v>0</v>
      </c>
      <c r="P436" t="n">
        <v>0</v>
      </c>
      <c r="Q436" t="n">
        <v>0</v>
      </c>
      <c r="R436" s="2" t="inlineStr"/>
    </row>
    <row r="437" ht="15" customHeight="1">
      <c r="A437" t="inlineStr">
        <is>
          <t>A 34861-2024</t>
        </is>
      </c>
      <c r="B437" s="1" t="n">
        <v>45527.339375</v>
      </c>
      <c r="C437" s="1" t="n">
        <v>45878</v>
      </c>
      <c r="D437" t="inlineStr">
        <is>
          <t>VÄSTERNORRLANDS LÄN</t>
        </is>
      </c>
      <c r="E437" t="inlineStr">
        <is>
          <t>ÅNGE</t>
        </is>
      </c>
      <c r="F437" t="inlineStr">
        <is>
          <t>SCA</t>
        </is>
      </c>
      <c r="G437" t="n">
        <v>9.1</v>
      </c>
      <c r="H437" t="n">
        <v>0</v>
      </c>
      <c r="I437" t="n">
        <v>0</v>
      </c>
      <c r="J437" t="n">
        <v>0</v>
      </c>
      <c r="K437" t="n">
        <v>0</v>
      </c>
      <c r="L437" t="n">
        <v>0</v>
      </c>
      <c r="M437" t="n">
        <v>0</v>
      </c>
      <c r="N437" t="n">
        <v>0</v>
      </c>
      <c r="O437" t="n">
        <v>0</v>
      </c>
      <c r="P437" t="n">
        <v>0</v>
      </c>
      <c r="Q437" t="n">
        <v>0</v>
      </c>
      <c r="R437" s="2" t="inlineStr"/>
    </row>
    <row r="438" ht="15" customHeight="1">
      <c r="A438" t="inlineStr">
        <is>
          <t>A 53856-2024</t>
        </is>
      </c>
      <c r="B438" s="1" t="n">
        <v>45615</v>
      </c>
      <c r="C438" s="1" t="n">
        <v>45878</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53858-2024</t>
        </is>
      </c>
      <c r="B439" s="1" t="n">
        <v>45615</v>
      </c>
      <c r="C439" s="1" t="n">
        <v>45878</v>
      </c>
      <c r="D439" t="inlineStr">
        <is>
          <t>VÄSTERNORRLANDS LÄN</t>
        </is>
      </c>
      <c r="E439" t="inlineStr">
        <is>
          <t>ÅNGE</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17601-2024</t>
        </is>
      </c>
      <c r="B440" s="1" t="n">
        <v>45415</v>
      </c>
      <c r="C440" s="1" t="n">
        <v>45878</v>
      </c>
      <c r="D440" t="inlineStr">
        <is>
          <t>VÄSTERNORRLANDS LÄN</t>
        </is>
      </c>
      <c r="E440" t="inlineStr">
        <is>
          <t>ÅNGE</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9605-2025</t>
        </is>
      </c>
      <c r="B441" s="1" t="n">
        <v>45715.65657407408</v>
      </c>
      <c r="C441" s="1" t="n">
        <v>45878</v>
      </c>
      <c r="D441" t="inlineStr">
        <is>
          <t>VÄSTERNORRLANDS LÄN</t>
        </is>
      </c>
      <c r="E441" t="inlineStr">
        <is>
          <t>ÅNGE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8070-2022</t>
        </is>
      </c>
      <c r="B442" s="1" t="n">
        <v>44609.48665509259</v>
      </c>
      <c r="C442" s="1" t="n">
        <v>45878</v>
      </c>
      <c r="D442" t="inlineStr">
        <is>
          <t>VÄSTERNORRLANDS LÄN</t>
        </is>
      </c>
      <c r="E442" t="inlineStr">
        <is>
          <t>ÅNGE</t>
        </is>
      </c>
      <c r="G442" t="n">
        <v>3.5</v>
      </c>
      <c r="H442" t="n">
        <v>0</v>
      </c>
      <c r="I442" t="n">
        <v>0</v>
      </c>
      <c r="J442" t="n">
        <v>0</v>
      </c>
      <c r="K442" t="n">
        <v>0</v>
      </c>
      <c r="L442" t="n">
        <v>0</v>
      </c>
      <c r="M442" t="n">
        <v>0</v>
      </c>
      <c r="N442" t="n">
        <v>0</v>
      </c>
      <c r="O442" t="n">
        <v>0</v>
      </c>
      <c r="P442" t="n">
        <v>0</v>
      </c>
      <c r="Q442" t="n">
        <v>0</v>
      </c>
      <c r="R442" s="2" t="inlineStr"/>
    </row>
    <row r="443" ht="15" customHeight="1">
      <c r="A443" t="inlineStr">
        <is>
          <t>A 22997-2023</t>
        </is>
      </c>
      <c r="B443" s="1" t="n">
        <v>45072.94211805556</v>
      </c>
      <c r="C443" s="1" t="n">
        <v>45878</v>
      </c>
      <c r="D443" t="inlineStr">
        <is>
          <t>VÄSTERNORRLANDS LÄN</t>
        </is>
      </c>
      <c r="E443" t="inlineStr">
        <is>
          <t>ÅNGE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20108-2025</t>
        </is>
      </c>
      <c r="B444" s="1" t="n">
        <v>45772.47006944445</v>
      </c>
      <c r="C444" s="1" t="n">
        <v>45878</v>
      </c>
      <c r="D444" t="inlineStr">
        <is>
          <t>VÄSTERNORRLANDS LÄN</t>
        </is>
      </c>
      <c r="E444" t="inlineStr">
        <is>
          <t>ÅNGE</t>
        </is>
      </c>
      <c r="F444" t="inlineStr">
        <is>
          <t>Naturvårdsverket</t>
        </is>
      </c>
      <c r="G444" t="n">
        <v>2</v>
      </c>
      <c r="H444" t="n">
        <v>0</v>
      </c>
      <c r="I444" t="n">
        <v>0</v>
      </c>
      <c r="J444" t="n">
        <v>0</v>
      </c>
      <c r="K444" t="n">
        <v>0</v>
      </c>
      <c r="L444" t="n">
        <v>0</v>
      </c>
      <c r="M444" t="n">
        <v>0</v>
      </c>
      <c r="N444" t="n">
        <v>0</v>
      </c>
      <c r="O444" t="n">
        <v>0</v>
      </c>
      <c r="P444" t="n">
        <v>0</v>
      </c>
      <c r="Q444" t="n">
        <v>0</v>
      </c>
      <c r="R444" s="2" t="inlineStr"/>
    </row>
    <row r="445" ht="15" customHeight="1">
      <c r="A445" t="inlineStr">
        <is>
          <t>A 57846-2022</t>
        </is>
      </c>
      <c r="B445" s="1" t="n">
        <v>44897.95008101852</v>
      </c>
      <c r="C445" s="1" t="n">
        <v>45878</v>
      </c>
      <c r="D445" t="inlineStr">
        <is>
          <t>VÄSTERNORRLANDS LÄN</t>
        </is>
      </c>
      <c r="E445" t="inlineStr">
        <is>
          <t>ÅNGE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6610-2025</t>
        </is>
      </c>
      <c r="B446" s="1" t="n">
        <v>45700</v>
      </c>
      <c r="C446" s="1" t="n">
        <v>45878</v>
      </c>
      <c r="D446" t="inlineStr">
        <is>
          <t>VÄSTERNORRLANDS LÄN</t>
        </is>
      </c>
      <c r="E446" t="inlineStr">
        <is>
          <t>ÅNGE</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16853-2023</t>
        </is>
      </c>
      <c r="B447" s="1" t="n">
        <v>45033</v>
      </c>
      <c r="C447" s="1" t="n">
        <v>45878</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63709-2023</t>
        </is>
      </c>
      <c r="B448" s="1" t="n">
        <v>45275.95069444444</v>
      </c>
      <c r="C448" s="1" t="n">
        <v>45878</v>
      </c>
      <c r="D448" t="inlineStr">
        <is>
          <t>VÄSTERNORRLANDS LÄN</t>
        </is>
      </c>
      <c r="E448" t="inlineStr">
        <is>
          <t>ÅNGE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34091-2022</t>
        </is>
      </c>
      <c r="B449" s="1" t="n">
        <v>44791</v>
      </c>
      <c r="C449" s="1" t="n">
        <v>45878</v>
      </c>
      <c r="D449" t="inlineStr">
        <is>
          <t>VÄSTERNORRLANDS LÄN</t>
        </is>
      </c>
      <c r="E449" t="inlineStr">
        <is>
          <t>ÅNGE</t>
        </is>
      </c>
      <c r="G449" t="n">
        <v>10.1</v>
      </c>
      <c r="H449" t="n">
        <v>0</v>
      </c>
      <c r="I449" t="n">
        <v>0</v>
      </c>
      <c r="J449" t="n">
        <v>0</v>
      </c>
      <c r="K449" t="n">
        <v>0</v>
      </c>
      <c r="L449" t="n">
        <v>0</v>
      </c>
      <c r="M449" t="n">
        <v>0</v>
      </c>
      <c r="N449" t="n">
        <v>0</v>
      </c>
      <c r="O449" t="n">
        <v>0</v>
      </c>
      <c r="P449" t="n">
        <v>0</v>
      </c>
      <c r="Q449" t="n">
        <v>0</v>
      </c>
      <c r="R449" s="2" t="inlineStr"/>
    </row>
    <row r="450" ht="15" customHeight="1">
      <c r="A450" t="inlineStr">
        <is>
          <t>A 36342-2024</t>
        </is>
      </c>
      <c r="B450" s="1" t="n">
        <v>45534.64315972223</v>
      </c>
      <c r="C450" s="1" t="n">
        <v>45878</v>
      </c>
      <c r="D450" t="inlineStr">
        <is>
          <t>VÄSTERNORRLANDS LÄN</t>
        </is>
      </c>
      <c r="E450" t="inlineStr">
        <is>
          <t>ÅNGE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14097-2022</t>
        </is>
      </c>
      <c r="B451" s="1" t="n">
        <v>44651</v>
      </c>
      <c r="C451" s="1" t="n">
        <v>45878</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29667-2024</t>
        </is>
      </c>
      <c r="B452" s="1" t="n">
        <v>45484.94041666666</v>
      </c>
      <c r="C452" s="1" t="n">
        <v>45878</v>
      </c>
      <c r="D452" t="inlineStr">
        <is>
          <t>VÄSTERNORRLANDS LÄN</t>
        </is>
      </c>
      <c r="E452" t="inlineStr">
        <is>
          <t>ÅNGE</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39975-2023</t>
        </is>
      </c>
      <c r="B453" s="1" t="n">
        <v>45168.58844907407</v>
      </c>
      <c r="C453" s="1" t="n">
        <v>45878</v>
      </c>
      <c r="D453" t="inlineStr">
        <is>
          <t>VÄSTERNORRLANDS LÄN</t>
        </is>
      </c>
      <c r="E453" t="inlineStr">
        <is>
          <t>ÅNGE</t>
        </is>
      </c>
      <c r="G453" t="n">
        <v>2.2</v>
      </c>
      <c r="H453" t="n">
        <v>0</v>
      </c>
      <c r="I453" t="n">
        <v>0</v>
      </c>
      <c r="J453" t="n">
        <v>0</v>
      </c>
      <c r="K453" t="n">
        <v>0</v>
      </c>
      <c r="L453" t="n">
        <v>0</v>
      </c>
      <c r="M453" t="n">
        <v>0</v>
      </c>
      <c r="N453" t="n">
        <v>0</v>
      </c>
      <c r="O453" t="n">
        <v>0</v>
      </c>
      <c r="P453" t="n">
        <v>0</v>
      </c>
      <c r="Q453" t="n">
        <v>0</v>
      </c>
      <c r="R453" s="2" t="inlineStr"/>
    </row>
    <row r="454" ht="15" customHeight="1">
      <c r="A454" t="inlineStr">
        <is>
          <t>A 32776-2022</t>
        </is>
      </c>
      <c r="B454" s="1" t="n">
        <v>44783.94607638889</v>
      </c>
      <c r="C454" s="1" t="n">
        <v>45878</v>
      </c>
      <c r="D454" t="inlineStr">
        <is>
          <t>VÄSTERNORRLANDS LÄN</t>
        </is>
      </c>
      <c r="E454" t="inlineStr">
        <is>
          <t>ÅNGE</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54771-2023</t>
        </is>
      </c>
      <c r="B455" s="1" t="n">
        <v>45229</v>
      </c>
      <c r="C455" s="1" t="n">
        <v>45878</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11032-2025</t>
        </is>
      </c>
      <c r="B456" s="1" t="n">
        <v>45723.47601851852</v>
      </c>
      <c r="C456" s="1" t="n">
        <v>45878</v>
      </c>
      <c r="D456" t="inlineStr">
        <is>
          <t>VÄSTERNORRLANDS LÄN</t>
        </is>
      </c>
      <c r="E456" t="inlineStr">
        <is>
          <t>ÅNGE</t>
        </is>
      </c>
      <c r="G456" t="n">
        <v>4.4</v>
      </c>
      <c r="H456" t="n">
        <v>0</v>
      </c>
      <c r="I456" t="n">
        <v>0</v>
      </c>
      <c r="J456" t="n">
        <v>0</v>
      </c>
      <c r="K456" t="n">
        <v>0</v>
      </c>
      <c r="L456" t="n">
        <v>0</v>
      </c>
      <c r="M456" t="n">
        <v>0</v>
      </c>
      <c r="N456" t="n">
        <v>0</v>
      </c>
      <c r="O456" t="n">
        <v>0</v>
      </c>
      <c r="P456" t="n">
        <v>0</v>
      </c>
      <c r="Q456" t="n">
        <v>0</v>
      </c>
      <c r="R456" s="2" t="inlineStr"/>
    </row>
    <row r="457" ht="15" customHeight="1">
      <c r="A457" t="inlineStr">
        <is>
          <t>A 56874-2024</t>
        </is>
      </c>
      <c r="B457" s="1" t="n">
        <v>45628</v>
      </c>
      <c r="C457" s="1" t="n">
        <v>45878</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32922-2024</t>
        </is>
      </c>
      <c r="B458" s="1" t="n">
        <v>45516.95263888889</v>
      </c>
      <c r="C458" s="1" t="n">
        <v>45878</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35577-2024</t>
        </is>
      </c>
      <c r="B459" s="1" t="n">
        <v>45531</v>
      </c>
      <c r="C459" s="1" t="n">
        <v>45878</v>
      </c>
      <c r="D459" t="inlineStr">
        <is>
          <t>VÄSTERNORRLANDS LÄN</t>
        </is>
      </c>
      <c r="E459" t="inlineStr">
        <is>
          <t>ÅNGE</t>
        </is>
      </c>
      <c r="F459" t="inlineStr">
        <is>
          <t>SCA</t>
        </is>
      </c>
      <c r="G459" t="n">
        <v>0.1</v>
      </c>
      <c r="H459" t="n">
        <v>0</v>
      </c>
      <c r="I459" t="n">
        <v>0</v>
      </c>
      <c r="J459" t="n">
        <v>0</v>
      </c>
      <c r="K459" t="n">
        <v>0</v>
      </c>
      <c r="L459" t="n">
        <v>0</v>
      </c>
      <c r="M459" t="n">
        <v>0</v>
      </c>
      <c r="N459" t="n">
        <v>0</v>
      </c>
      <c r="O459" t="n">
        <v>0</v>
      </c>
      <c r="P459" t="n">
        <v>0</v>
      </c>
      <c r="Q459" t="n">
        <v>0</v>
      </c>
      <c r="R459" s="2" t="inlineStr"/>
    </row>
    <row r="460" ht="15" customHeight="1">
      <c r="A460" t="inlineStr">
        <is>
          <t>A 35580-2024</t>
        </is>
      </c>
      <c r="B460" s="1" t="n">
        <v>45531</v>
      </c>
      <c r="C460" s="1" t="n">
        <v>45878</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18081-2025</t>
        </is>
      </c>
      <c r="B461" s="1" t="n">
        <v>45761.51086805556</v>
      </c>
      <c r="C461" s="1" t="n">
        <v>45878</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54342-2023</t>
        </is>
      </c>
      <c r="B462" s="1" t="n">
        <v>45232</v>
      </c>
      <c r="C462" s="1" t="n">
        <v>45878</v>
      </c>
      <c r="D462" t="inlineStr">
        <is>
          <t>VÄSTERNORRLANDS LÄN</t>
        </is>
      </c>
      <c r="E462" t="inlineStr">
        <is>
          <t>ÅNGE</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46255-2023</t>
        </is>
      </c>
      <c r="B463" s="1" t="n">
        <v>45196</v>
      </c>
      <c r="C463" s="1" t="n">
        <v>45878</v>
      </c>
      <c r="D463" t="inlineStr">
        <is>
          <t>VÄSTERNORRLANDS LÄN</t>
        </is>
      </c>
      <c r="E463" t="inlineStr">
        <is>
          <t>ÅNGE</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16657-2025</t>
        </is>
      </c>
      <c r="B464" s="1" t="n">
        <v>45754.40700231482</v>
      </c>
      <c r="C464" s="1" t="n">
        <v>45878</v>
      </c>
      <c r="D464" t="inlineStr">
        <is>
          <t>VÄSTERNORRLANDS LÄN</t>
        </is>
      </c>
      <c r="E464" t="inlineStr">
        <is>
          <t>ÅNGE</t>
        </is>
      </c>
      <c r="F464" t="inlineStr">
        <is>
          <t>SCA</t>
        </is>
      </c>
      <c r="G464" t="n">
        <v>5.1</v>
      </c>
      <c r="H464" t="n">
        <v>0</v>
      </c>
      <c r="I464" t="n">
        <v>0</v>
      </c>
      <c r="J464" t="n">
        <v>0</v>
      </c>
      <c r="K464" t="n">
        <v>0</v>
      </c>
      <c r="L464" t="n">
        <v>0</v>
      </c>
      <c r="M464" t="n">
        <v>0</v>
      </c>
      <c r="N464" t="n">
        <v>0</v>
      </c>
      <c r="O464" t="n">
        <v>0</v>
      </c>
      <c r="P464" t="n">
        <v>0</v>
      </c>
      <c r="Q464" t="n">
        <v>0</v>
      </c>
      <c r="R464" s="2" t="inlineStr"/>
    </row>
    <row r="465" ht="15" customHeight="1">
      <c r="A465" t="inlineStr">
        <is>
          <t>A 6608-2025</t>
        </is>
      </c>
      <c r="B465" s="1" t="n">
        <v>45700.34415509259</v>
      </c>
      <c r="C465" s="1" t="n">
        <v>45878</v>
      </c>
      <c r="D465" t="inlineStr">
        <is>
          <t>VÄSTERNORRLANDS LÄN</t>
        </is>
      </c>
      <c r="E465" t="inlineStr">
        <is>
          <t>ÅNGE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2365-2024</t>
        </is>
      </c>
      <c r="B466" s="1" t="n">
        <v>45310.59778935185</v>
      </c>
      <c r="C466" s="1" t="n">
        <v>45878</v>
      </c>
      <c r="D466" t="inlineStr">
        <is>
          <t>VÄSTERNORRLANDS LÄN</t>
        </is>
      </c>
      <c r="E466" t="inlineStr">
        <is>
          <t>ÅNGE</t>
        </is>
      </c>
      <c r="G466" t="n">
        <v>0.5</v>
      </c>
      <c r="H466" t="n">
        <v>0</v>
      </c>
      <c r="I466" t="n">
        <v>0</v>
      </c>
      <c r="J466" t="n">
        <v>0</v>
      </c>
      <c r="K466" t="n">
        <v>0</v>
      </c>
      <c r="L466" t="n">
        <v>0</v>
      </c>
      <c r="M466" t="n">
        <v>0</v>
      </c>
      <c r="N466" t="n">
        <v>0</v>
      </c>
      <c r="O466" t="n">
        <v>0</v>
      </c>
      <c r="P466" t="n">
        <v>0</v>
      </c>
      <c r="Q466" t="n">
        <v>0</v>
      </c>
      <c r="R466" s="2" t="inlineStr"/>
    </row>
    <row r="467" ht="15" customHeight="1">
      <c r="A467" t="inlineStr">
        <is>
          <t>A 2372-2024</t>
        </is>
      </c>
      <c r="B467" s="1" t="n">
        <v>45310.6115625</v>
      </c>
      <c r="C467" s="1" t="n">
        <v>45878</v>
      </c>
      <c r="D467" t="inlineStr">
        <is>
          <t>VÄSTERNORRLANDS LÄN</t>
        </is>
      </c>
      <c r="E467" t="inlineStr">
        <is>
          <t>ÅNGE</t>
        </is>
      </c>
      <c r="G467" t="n">
        <v>5.6</v>
      </c>
      <c r="H467" t="n">
        <v>0</v>
      </c>
      <c r="I467" t="n">
        <v>0</v>
      </c>
      <c r="J467" t="n">
        <v>0</v>
      </c>
      <c r="K467" t="n">
        <v>0</v>
      </c>
      <c r="L467" t="n">
        <v>0</v>
      </c>
      <c r="M467" t="n">
        <v>0</v>
      </c>
      <c r="N467" t="n">
        <v>0</v>
      </c>
      <c r="O467" t="n">
        <v>0</v>
      </c>
      <c r="P467" t="n">
        <v>0</v>
      </c>
      <c r="Q467" t="n">
        <v>0</v>
      </c>
      <c r="R467" s="2" t="inlineStr"/>
    </row>
    <row r="468" ht="15" customHeight="1">
      <c r="A468" t="inlineStr">
        <is>
          <t>A 17452-2025</t>
        </is>
      </c>
      <c r="B468" s="1" t="n">
        <v>45757.44842592593</v>
      </c>
      <c r="C468" s="1" t="n">
        <v>45878</v>
      </c>
      <c r="D468" t="inlineStr">
        <is>
          <t>VÄSTERNORRLANDS LÄN</t>
        </is>
      </c>
      <c r="E468" t="inlineStr">
        <is>
          <t>ÅNGE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41366-2020</t>
        </is>
      </c>
      <c r="B469" s="1" t="n">
        <v>44071</v>
      </c>
      <c r="C469" s="1" t="n">
        <v>45878</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20338-2025</t>
        </is>
      </c>
      <c r="B470" s="1" t="n">
        <v>45775</v>
      </c>
      <c r="C470" s="1" t="n">
        <v>45878</v>
      </c>
      <c r="D470" t="inlineStr">
        <is>
          <t>VÄSTERNORRLANDS LÄN</t>
        </is>
      </c>
      <c r="E470" t="inlineStr">
        <is>
          <t>ÅNGE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36457-2021</t>
        </is>
      </c>
      <c r="B471" s="1" t="n">
        <v>44390.93858796296</v>
      </c>
      <c r="C471" s="1" t="n">
        <v>45878</v>
      </c>
      <c r="D471" t="inlineStr">
        <is>
          <t>VÄSTERNORRLANDS LÄN</t>
        </is>
      </c>
      <c r="E471" t="inlineStr">
        <is>
          <t>ÅNGE</t>
        </is>
      </c>
      <c r="G471" t="n">
        <v>1.6</v>
      </c>
      <c r="H471" t="n">
        <v>0</v>
      </c>
      <c r="I471" t="n">
        <v>0</v>
      </c>
      <c r="J471" t="n">
        <v>0</v>
      </c>
      <c r="K471" t="n">
        <v>0</v>
      </c>
      <c r="L471" t="n">
        <v>0</v>
      </c>
      <c r="M471" t="n">
        <v>0</v>
      </c>
      <c r="N471" t="n">
        <v>0</v>
      </c>
      <c r="O471" t="n">
        <v>0</v>
      </c>
      <c r="P471" t="n">
        <v>0</v>
      </c>
      <c r="Q471" t="n">
        <v>0</v>
      </c>
      <c r="R471" s="2" t="inlineStr"/>
    </row>
    <row r="472" ht="15" customHeight="1">
      <c r="A472" t="inlineStr">
        <is>
          <t>A 51871-2024</t>
        </is>
      </c>
      <c r="B472" s="1" t="n">
        <v>45607</v>
      </c>
      <c r="C472" s="1" t="n">
        <v>45878</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56699-2023</t>
        </is>
      </c>
      <c r="B473" s="1" t="n">
        <v>45243</v>
      </c>
      <c r="C473" s="1" t="n">
        <v>45878</v>
      </c>
      <c r="D473" t="inlineStr">
        <is>
          <t>VÄSTERNORRLANDS LÄN</t>
        </is>
      </c>
      <c r="E473" t="inlineStr">
        <is>
          <t>ÅNGE</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19065-2025</t>
        </is>
      </c>
      <c r="B474" s="1" t="n">
        <v>45765</v>
      </c>
      <c r="C474" s="1" t="n">
        <v>45878</v>
      </c>
      <c r="D474" t="inlineStr">
        <is>
          <t>VÄSTERNORRLANDS LÄN</t>
        </is>
      </c>
      <c r="E474" t="inlineStr">
        <is>
          <t>ÅNGE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61928-2021</t>
        </is>
      </c>
      <c r="B475" s="1" t="n">
        <v>44502.38475694445</v>
      </c>
      <c r="C475" s="1" t="n">
        <v>45878</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16303-2025</t>
        </is>
      </c>
      <c r="B476" s="1" t="n">
        <v>45751.3462037037</v>
      </c>
      <c r="C476" s="1" t="n">
        <v>45878</v>
      </c>
      <c r="D476" t="inlineStr">
        <is>
          <t>VÄSTERNORRLANDS LÄN</t>
        </is>
      </c>
      <c r="E476" t="inlineStr">
        <is>
          <t>ÅNGE</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37051-2021</t>
        </is>
      </c>
      <c r="B477" s="1" t="n">
        <v>44393</v>
      </c>
      <c r="C477" s="1" t="n">
        <v>45878</v>
      </c>
      <c r="D477" t="inlineStr">
        <is>
          <t>VÄSTERNORRLANDS LÄN</t>
        </is>
      </c>
      <c r="E477" t="inlineStr">
        <is>
          <t>ÅNGE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36290-2023</t>
        </is>
      </c>
      <c r="B478" s="1" t="n">
        <v>45152.35467592593</v>
      </c>
      <c r="C478" s="1" t="n">
        <v>45878</v>
      </c>
      <c r="D478" t="inlineStr">
        <is>
          <t>VÄSTERNORRLANDS LÄN</t>
        </is>
      </c>
      <c r="E478" t="inlineStr">
        <is>
          <t>ÅNGE</t>
        </is>
      </c>
      <c r="F478" t="inlineStr">
        <is>
          <t>Övriga Aktiebolag</t>
        </is>
      </c>
      <c r="G478" t="n">
        <v>3.4</v>
      </c>
      <c r="H478" t="n">
        <v>0</v>
      </c>
      <c r="I478" t="n">
        <v>0</v>
      </c>
      <c r="J478" t="n">
        <v>0</v>
      </c>
      <c r="K478" t="n">
        <v>0</v>
      </c>
      <c r="L478" t="n">
        <v>0</v>
      </c>
      <c r="M478" t="n">
        <v>0</v>
      </c>
      <c r="N478" t="n">
        <v>0</v>
      </c>
      <c r="O478" t="n">
        <v>0</v>
      </c>
      <c r="P478" t="n">
        <v>0</v>
      </c>
      <c r="Q478" t="n">
        <v>0</v>
      </c>
      <c r="R478" s="2" t="inlineStr"/>
    </row>
    <row r="479" ht="15" customHeight="1">
      <c r="A479" t="inlineStr">
        <is>
          <t>A 56908-2021</t>
        </is>
      </c>
      <c r="B479" s="1" t="n">
        <v>44481.93844907408</v>
      </c>
      <c r="C479" s="1" t="n">
        <v>45878</v>
      </c>
      <c r="D479" t="inlineStr">
        <is>
          <t>VÄSTERNORRLANDS LÄN</t>
        </is>
      </c>
      <c r="E479" t="inlineStr">
        <is>
          <t>ÅNGE</t>
        </is>
      </c>
      <c r="G479" t="n">
        <v>12</v>
      </c>
      <c r="H479" t="n">
        <v>0</v>
      </c>
      <c r="I479" t="n">
        <v>0</v>
      </c>
      <c r="J479" t="n">
        <v>0</v>
      </c>
      <c r="K479" t="n">
        <v>0</v>
      </c>
      <c r="L479" t="n">
        <v>0</v>
      </c>
      <c r="M479" t="n">
        <v>0</v>
      </c>
      <c r="N479" t="n">
        <v>0</v>
      </c>
      <c r="O479" t="n">
        <v>0</v>
      </c>
      <c r="P479" t="n">
        <v>0</v>
      </c>
      <c r="Q479" t="n">
        <v>0</v>
      </c>
      <c r="R479" s="2" t="inlineStr"/>
    </row>
    <row r="480" ht="15" customHeight="1">
      <c r="A480" t="inlineStr">
        <is>
          <t>A 732-2023</t>
        </is>
      </c>
      <c r="B480" s="1" t="n">
        <v>44931.29981481482</v>
      </c>
      <c r="C480" s="1" t="n">
        <v>45878</v>
      </c>
      <c r="D480" t="inlineStr">
        <is>
          <t>VÄSTERNORRLANDS LÄN</t>
        </is>
      </c>
      <c r="E480" t="inlineStr">
        <is>
          <t>ÅNGE</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48369-2024</t>
        </is>
      </c>
      <c r="B481" s="1" t="n">
        <v>45590.57960648148</v>
      </c>
      <c r="C481" s="1" t="n">
        <v>45878</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5520-2022</t>
        </is>
      </c>
      <c r="B482" s="1" t="n">
        <v>44595</v>
      </c>
      <c r="C482" s="1" t="n">
        <v>45878</v>
      </c>
      <c r="D482" t="inlineStr">
        <is>
          <t>VÄSTERNORRLANDS LÄN</t>
        </is>
      </c>
      <c r="E482" t="inlineStr">
        <is>
          <t>ÅNGE</t>
        </is>
      </c>
      <c r="G482" t="n">
        <v>4.9</v>
      </c>
      <c r="H482" t="n">
        <v>0</v>
      </c>
      <c r="I482" t="n">
        <v>0</v>
      </c>
      <c r="J482" t="n">
        <v>0</v>
      </c>
      <c r="K482" t="n">
        <v>0</v>
      </c>
      <c r="L482" t="n">
        <v>0</v>
      </c>
      <c r="M482" t="n">
        <v>0</v>
      </c>
      <c r="N482" t="n">
        <v>0</v>
      </c>
      <c r="O482" t="n">
        <v>0</v>
      </c>
      <c r="P482" t="n">
        <v>0</v>
      </c>
      <c r="Q482" t="n">
        <v>0</v>
      </c>
      <c r="R482" s="2" t="inlineStr"/>
    </row>
    <row r="483" ht="15" customHeight="1">
      <c r="A483" t="inlineStr">
        <is>
          <t>A 1714-2025</t>
        </is>
      </c>
      <c r="B483" s="1" t="n">
        <v>45671.32474537037</v>
      </c>
      <c r="C483" s="1" t="n">
        <v>45878</v>
      </c>
      <c r="D483" t="inlineStr">
        <is>
          <t>VÄSTERNORRLANDS LÄN</t>
        </is>
      </c>
      <c r="E483" t="inlineStr">
        <is>
          <t>ÅNGE</t>
        </is>
      </c>
      <c r="G483" t="n">
        <v>2</v>
      </c>
      <c r="H483" t="n">
        <v>0</v>
      </c>
      <c r="I483" t="n">
        <v>0</v>
      </c>
      <c r="J483" t="n">
        <v>0</v>
      </c>
      <c r="K483" t="n">
        <v>0</v>
      </c>
      <c r="L483" t="n">
        <v>0</v>
      </c>
      <c r="M483" t="n">
        <v>0</v>
      </c>
      <c r="N483" t="n">
        <v>0</v>
      </c>
      <c r="O483" t="n">
        <v>0</v>
      </c>
      <c r="P483" t="n">
        <v>0</v>
      </c>
      <c r="Q483" t="n">
        <v>0</v>
      </c>
      <c r="R483" s="2" t="inlineStr"/>
    </row>
    <row r="484" ht="15" customHeight="1">
      <c r="A484" t="inlineStr">
        <is>
          <t>A 21200-2024</t>
        </is>
      </c>
      <c r="B484" s="1" t="n">
        <v>45440</v>
      </c>
      <c r="C484" s="1" t="n">
        <v>45878</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51383-2022</t>
        </is>
      </c>
      <c r="B485" s="1" t="n">
        <v>44866</v>
      </c>
      <c r="C485" s="1" t="n">
        <v>45878</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51393-2022</t>
        </is>
      </c>
      <c r="B486" s="1" t="n">
        <v>44869.43277777778</v>
      </c>
      <c r="C486" s="1" t="n">
        <v>45878</v>
      </c>
      <c r="D486" t="inlineStr">
        <is>
          <t>VÄSTERNORRLANDS LÄN</t>
        </is>
      </c>
      <c r="E486" t="inlineStr">
        <is>
          <t>ÅNGE</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36786-2024</t>
        </is>
      </c>
      <c r="B487" s="1" t="n">
        <v>45538</v>
      </c>
      <c r="C487" s="1" t="n">
        <v>45878</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11529-2023</t>
        </is>
      </c>
      <c r="B488" s="1" t="n">
        <v>44993</v>
      </c>
      <c r="C488" s="1" t="n">
        <v>45878</v>
      </c>
      <c r="D488" t="inlineStr">
        <is>
          <t>VÄSTERNORRLANDS LÄN</t>
        </is>
      </c>
      <c r="E488" t="inlineStr">
        <is>
          <t>ÅNGE</t>
        </is>
      </c>
      <c r="G488" t="n">
        <v>8.9</v>
      </c>
      <c r="H488" t="n">
        <v>0</v>
      </c>
      <c r="I488" t="n">
        <v>0</v>
      </c>
      <c r="J488" t="n">
        <v>0</v>
      </c>
      <c r="K488" t="n">
        <v>0</v>
      </c>
      <c r="L488" t="n">
        <v>0</v>
      </c>
      <c r="M488" t="n">
        <v>0</v>
      </c>
      <c r="N488" t="n">
        <v>0</v>
      </c>
      <c r="O488" t="n">
        <v>0</v>
      </c>
      <c r="P488" t="n">
        <v>0</v>
      </c>
      <c r="Q488" t="n">
        <v>0</v>
      </c>
      <c r="R488" s="2" t="inlineStr"/>
    </row>
    <row r="489" ht="15" customHeight="1">
      <c r="A489" t="inlineStr">
        <is>
          <t>A 53663-2022</t>
        </is>
      </c>
      <c r="B489" s="1" t="n">
        <v>44879</v>
      </c>
      <c r="C489" s="1" t="n">
        <v>45878</v>
      </c>
      <c r="D489" t="inlineStr">
        <is>
          <t>VÄSTERNORRLANDS LÄN</t>
        </is>
      </c>
      <c r="E489" t="inlineStr">
        <is>
          <t>ÅNGE</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49711-2024</t>
        </is>
      </c>
      <c r="B490" s="1" t="n">
        <v>45596.69891203703</v>
      </c>
      <c r="C490" s="1" t="n">
        <v>45878</v>
      </c>
      <c r="D490" t="inlineStr">
        <is>
          <t>VÄSTERNORRLANDS LÄN</t>
        </is>
      </c>
      <c r="E490" t="inlineStr">
        <is>
          <t>ÅNGE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31182-2024</t>
        </is>
      </c>
      <c r="B491" s="1" t="n">
        <v>45503</v>
      </c>
      <c r="C491" s="1" t="n">
        <v>45878</v>
      </c>
      <c r="D491" t="inlineStr">
        <is>
          <t>VÄSTERNORRLANDS LÄN</t>
        </is>
      </c>
      <c r="E491" t="inlineStr">
        <is>
          <t>ÅNGE</t>
        </is>
      </c>
      <c r="G491" t="n">
        <v>8.6</v>
      </c>
      <c r="H491" t="n">
        <v>0</v>
      </c>
      <c r="I491" t="n">
        <v>0</v>
      </c>
      <c r="J491" t="n">
        <v>0</v>
      </c>
      <c r="K491" t="n">
        <v>0</v>
      </c>
      <c r="L491" t="n">
        <v>0</v>
      </c>
      <c r="M491" t="n">
        <v>0</v>
      </c>
      <c r="N491" t="n">
        <v>0</v>
      </c>
      <c r="O491" t="n">
        <v>0</v>
      </c>
      <c r="P491" t="n">
        <v>0</v>
      </c>
      <c r="Q491" t="n">
        <v>0</v>
      </c>
      <c r="R491" s="2" t="inlineStr"/>
    </row>
    <row r="492" ht="15" customHeight="1">
      <c r="A492" t="inlineStr">
        <is>
          <t>A 20761-2024</t>
        </is>
      </c>
      <c r="B492" s="1" t="n">
        <v>45436</v>
      </c>
      <c r="C492" s="1" t="n">
        <v>45878</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42857-2022</t>
        </is>
      </c>
      <c r="B493" s="1" t="n">
        <v>44832</v>
      </c>
      <c r="C493" s="1" t="n">
        <v>45878</v>
      </c>
      <c r="D493" t="inlineStr">
        <is>
          <t>VÄSTERNORRLANDS LÄN</t>
        </is>
      </c>
      <c r="E493" t="inlineStr">
        <is>
          <t>ÅNGE</t>
        </is>
      </c>
      <c r="G493" t="n">
        <v>3.4</v>
      </c>
      <c r="H493" t="n">
        <v>0</v>
      </c>
      <c r="I493" t="n">
        <v>0</v>
      </c>
      <c r="J493" t="n">
        <v>0</v>
      </c>
      <c r="K493" t="n">
        <v>0</v>
      </c>
      <c r="L493" t="n">
        <v>0</v>
      </c>
      <c r="M493" t="n">
        <v>0</v>
      </c>
      <c r="N493" t="n">
        <v>0</v>
      </c>
      <c r="O493" t="n">
        <v>0</v>
      </c>
      <c r="P493" t="n">
        <v>0</v>
      </c>
      <c r="Q493" t="n">
        <v>0</v>
      </c>
      <c r="R493" s="2" t="inlineStr"/>
    </row>
    <row r="494" ht="15" customHeight="1">
      <c r="A494" t="inlineStr">
        <is>
          <t>A 24293-2023</t>
        </is>
      </c>
      <c r="B494" s="1" t="n">
        <v>45079.92756944444</v>
      </c>
      <c r="C494" s="1" t="n">
        <v>45878</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25779-2023</t>
        </is>
      </c>
      <c r="B495" s="1" t="n">
        <v>45090.47439814815</v>
      </c>
      <c r="C495" s="1" t="n">
        <v>45878</v>
      </c>
      <c r="D495" t="inlineStr">
        <is>
          <t>VÄSTERNORRLANDS LÄN</t>
        </is>
      </c>
      <c r="E495" t="inlineStr">
        <is>
          <t>ÅNGE</t>
        </is>
      </c>
      <c r="G495" t="n">
        <v>2.4</v>
      </c>
      <c r="H495" t="n">
        <v>0</v>
      </c>
      <c r="I495" t="n">
        <v>0</v>
      </c>
      <c r="J495" t="n">
        <v>0</v>
      </c>
      <c r="K495" t="n">
        <v>0</v>
      </c>
      <c r="L495" t="n">
        <v>0</v>
      </c>
      <c r="M495" t="n">
        <v>0</v>
      </c>
      <c r="N495" t="n">
        <v>0</v>
      </c>
      <c r="O495" t="n">
        <v>0</v>
      </c>
      <c r="P495" t="n">
        <v>0</v>
      </c>
      <c r="Q495" t="n">
        <v>0</v>
      </c>
      <c r="R495" s="2" t="inlineStr"/>
    </row>
    <row r="496" ht="15" customHeight="1">
      <c r="A496" t="inlineStr">
        <is>
          <t>A 9211-2023</t>
        </is>
      </c>
      <c r="B496" s="1" t="n">
        <v>44980</v>
      </c>
      <c r="C496" s="1" t="n">
        <v>45878</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8627-2023</t>
        </is>
      </c>
      <c r="B497" s="1" t="n">
        <v>44977</v>
      </c>
      <c r="C497" s="1" t="n">
        <v>45878</v>
      </c>
      <c r="D497" t="inlineStr">
        <is>
          <t>VÄSTERNORRLANDS LÄN</t>
        </is>
      </c>
      <c r="E497" t="inlineStr">
        <is>
          <t>ÅNGE</t>
        </is>
      </c>
      <c r="G497" t="n">
        <v>3</v>
      </c>
      <c r="H497" t="n">
        <v>0</v>
      </c>
      <c r="I497" t="n">
        <v>0</v>
      </c>
      <c r="J497" t="n">
        <v>0</v>
      </c>
      <c r="K497" t="n">
        <v>0</v>
      </c>
      <c r="L497" t="n">
        <v>0</v>
      </c>
      <c r="M497" t="n">
        <v>0</v>
      </c>
      <c r="N497" t="n">
        <v>0</v>
      </c>
      <c r="O497" t="n">
        <v>0</v>
      </c>
      <c r="P497" t="n">
        <v>0</v>
      </c>
      <c r="Q497" t="n">
        <v>0</v>
      </c>
      <c r="R497" s="2" t="inlineStr"/>
    </row>
    <row r="498" ht="15" customHeight="1">
      <c r="A498" t="inlineStr">
        <is>
          <t>A 27260-2023</t>
        </is>
      </c>
      <c r="B498" s="1" t="n">
        <v>45092</v>
      </c>
      <c r="C498" s="1" t="n">
        <v>45878</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15287-2025</t>
        </is>
      </c>
      <c r="B499" s="1" t="n">
        <v>45745</v>
      </c>
      <c r="C499" s="1" t="n">
        <v>45878</v>
      </c>
      <c r="D499" t="inlineStr">
        <is>
          <t>VÄSTERNORRLANDS LÄN</t>
        </is>
      </c>
      <c r="E499" t="inlineStr">
        <is>
          <t>ÅNGE</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15288-2025</t>
        </is>
      </c>
      <c r="B500" s="1" t="n">
        <v>45745.34423611111</v>
      </c>
      <c r="C500" s="1" t="n">
        <v>45878</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16934-2025</t>
        </is>
      </c>
      <c r="B501" s="1" t="n">
        <v>45755.40671296296</v>
      </c>
      <c r="C501" s="1" t="n">
        <v>45878</v>
      </c>
      <c r="D501" t="inlineStr">
        <is>
          <t>VÄSTERNORRLANDS LÄN</t>
        </is>
      </c>
      <c r="E501" t="inlineStr">
        <is>
          <t>ÅNGE</t>
        </is>
      </c>
      <c r="G501" t="n">
        <v>3.9</v>
      </c>
      <c r="H501" t="n">
        <v>0</v>
      </c>
      <c r="I501" t="n">
        <v>0</v>
      </c>
      <c r="J501" t="n">
        <v>0</v>
      </c>
      <c r="K501" t="n">
        <v>0</v>
      </c>
      <c r="L501" t="n">
        <v>0</v>
      </c>
      <c r="M501" t="n">
        <v>0</v>
      </c>
      <c r="N501" t="n">
        <v>0</v>
      </c>
      <c r="O501" t="n">
        <v>0</v>
      </c>
      <c r="P501" t="n">
        <v>0</v>
      </c>
      <c r="Q501" t="n">
        <v>0</v>
      </c>
      <c r="R501" s="2" t="inlineStr"/>
    </row>
    <row r="502" ht="15" customHeight="1">
      <c r="A502" t="inlineStr">
        <is>
          <t>A 56434-2021</t>
        </is>
      </c>
      <c r="B502" s="1" t="n">
        <v>44477</v>
      </c>
      <c r="C502" s="1" t="n">
        <v>45878</v>
      </c>
      <c r="D502" t="inlineStr">
        <is>
          <t>VÄSTERNORRLANDS LÄN</t>
        </is>
      </c>
      <c r="E502" t="inlineStr">
        <is>
          <t>ÅNGE</t>
        </is>
      </c>
      <c r="G502" t="n">
        <v>2.7</v>
      </c>
      <c r="H502" t="n">
        <v>0</v>
      </c>
      <c r="I502" t="n">
        <v>0</v>
      </c>
      <c r="J502" t="n">
        <v>0</v>
      </c>
      <c r="K502" t="n">
        <v>0</v>
      </c>
      <c r="L502" t="n">
        <v>0</v>
      </c>
      <c r="M502" t="n">
        <v>0</v>
      </c>
      <c r="N502" t="n">
        <v>0</v>
      </c>
      <c r="O502" t="n">
        <v>0</v>
      </c>
      <c r="P502" t="n">
        <v>0</v>
      </c>
      <c r="Q502" t="n">
        <v>0</v>
      </c>
      <c r="R502" s="2" t="inlineStr"/>
    </row>
    <row r="503" ht="15" customHeight="1">
      <c r="A503" t="inlineStr">
        <is>
          <t>A 58997-2023</t>
        </is>
      </c>
      <c r="B503" s="1" t="n">
        <v>45252.6352662037</v>
      </c>
      <c r="C503" s="1" t="n">
        <v>45878</v>
      </c>
      <c r="D503" t="inlineStr">
        <is>
          <t>VÄSTERNORRLANDS LÄN</t>
        </is>
      </c>
      <c r="E503" t="inlineStr">
        <is>
          <t>ÅNGE</t>
        </is>
      </c>
      <c r="F503" t="inlineStr">
        <is>
          <t>Övriga Aktiebolag</t>
        </is>
      </c>
      <c r="G503" t="n">
        <v>2.1</v>
      </c>
      <c r="H503" t="n">
        <v>0</v>
      </c>
      <c r="I503" t="n">
        <v>0</v>
      </c>
      <c r="J503" t="n">
        <v>0</v>
      </c>
      <c r="K503" t="n">
        <v>0</v>
      </c>
      <c r="L503" t="n">
        <v>0</v>
      </c>
      <c r="M503" t="n">
        <v>0</v>
      </c>
      <c r="N503" t="n">
        <v>0</v>
      </c>
      <c r="O503" t="n">
        <v>0</v>
      </c>
      <c r="P503" t="n">
        <v>0</v>
      </c>
      <c r="Q503" t="n">
        <v>0</v>
      </c>
      <c r="R503" s="2" t="inlineStr"/>
    </row>
    <row r="504" ht="15" customHeight="1">
      <c r="A504" t="inlineStr">
        <is>
          <t>A 54946-2021</t>
        </is>
      </c>
      <c r="B504" s="1" t="n">
        <v>44474.46466435185</v>
      </c>
      <c r="C504" s="1" t="n">
        <v>45878</v>
      </c>
      <c r="D504" t="inlineStr">
        <is>
          <t>VÄSTERNORRLANDS LÄN</t>
        </is>
      </c>
      <c r="E504" t="inlineStr">
        <is>
          <t>ÅNGE</t>
        </is>
      </c>
      <c r="G504" t="n">
        <v>5.4</v>
      </c>
      <c r="H504" t="n">
        <v>0</v>
      </c>
      <c r="I504" t="n">
        <v>0</v>
      </c>
      <c r="J504" t="n">
        <v>0</v>
      </c>
      <c r="K504" t="n">
        <v>0</v>
      </c>
      <c r="L504" t="n">
        <v>0</v>
      </c>
      <c r="M504" t="n">
        <v>0</v>
      </c>
      <c r="N504" t="n">
        <v>0</v>
      </c>
      <c r="O504" t="n">
        <v>0</v>
      </c>
      <c r="P504" t="n">
        <v>0</v>
      </c>
      <c r="Q504" t="n">
        <v>0</v>
      </c>
      <c r="R504" s="2" t="inlineStr"/>
    </row>
    <row r="505" ht="15" customHeight="1">
      <c r="A505" t="inlineStr">
        <is>
          <t>A 57109-2023</t>
        </is>
      </c>
      <c r="B505" s="1" t="n">
        <v>45239</v>
      </c>
      <c r="C505" s="1" t="n">
        <v>45878</v>
      </c>
      <c r="D505" t="inlineStr">
        <is>
          <t>VÄSTERNORRLANDS LÄN</t>
        </is>
      </c>
      <c r="E505" t="inlineStr">
        <is>
          <t>ÅNGE</t>
        </is>
      </c>
      <c r="G505" t="n">
        <v>7</v>
      </c>
      <c r="H505" t="n">
        <v>0</v>
      </c>
      <c r="I505" t="n">
        <v>0</v>
      </c>
      <c r="J505" t="n">
        <v>0</v>
      </c>
      <c r="K505" t="n">
        <v>0</v>
      </c>
      <c r="L505" t="n">
        <v>0</v>
      </c>
      <c r="M505" t="n">
        <v>0</v>
      </c>
      <c r="N505" t="n">
        <v>0</v>
      </c>
      <c r="O505" t="n">
        <v>0</v>
      </c>
      <c r="P505" t="n">
        <v>0</v>
      </c>
      <c r="Q505" t="n">
        <v>0</v>
      </c>
      <c r="R505" s="2" t="inlineStr"/>
    </row>
    <row r="506" ht="15" customHeight="1">
      <c r="A506" t="inlineStr">
        <is>
          <t>A 41758-2024</t>
        </is>
      </c>
      <c r="B506" s="1" t="n">
        <v>45561.34478009259</v>
      </c>
      <c r="C506" s="1" t="n">
        <v>45878</v>
      </c>
      <c r="D506" t="inlineStr">
        <is>
          <t>VÄSTERNORRLANDS LÄN</t>
        </is>
      </c>
      <c r="E506" t="inlineStr">
        <is>
          <t>ÅNGE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5433-2024</t>
        </is>
      </c>
      <c r="B507" s="1" t="n">
        <v>45331</v>
      </c>
      <c r="C507" s="1" t="n">
        <v>45878</v>
      </c>
      <c r="D507" t="inlineStr">
        <is>
          <t>VÄSTERNORRLANDS LÄN</t>
        </is>
      </c>
      <c r="E507" t="inlineStr">
        <is>
          <t>ÅNGE</t>
        </is>
      </c>
      <c r="G507" t="n">
        <v>2.1</v>
      </c>
      <c r="H507" t="n">
        <v>0</v>
      </c>
      <c r="I507" t="n">
        <v>0</v>
      </c>
      <c r="J507" t="n">
        <v>0</v>
      </c>
      <c r="K507" t="n">
        <v>0</v>
      </c>
      <c r="L507" t="n">
        <v>0</v>
      </c>
      <c r="M507" t="n">
        <v>0</v>
      </c>
      <c r="N507" t="n">
        <v>0</v>
      </c>
      <c r="O507" t="n">
        <v>0</v>
      </c>
      <c r="P507" t="n">
        <v>0</v>
      </c>
      <c r="Q507" t="n">
        <v>0</v>
      </c>
      <c r="R507" s="2" t="inlineStr"/>
    </row>
    <row r="508" ht="15" customHeight="1">
      <c r="A508" t="inlineStr">
        <is>
          <t>A 42346-2023</t>
        </is>
      </c>
      <c r="B508" s="1" t="n">
        <v>45180</v>
      </c>
      <c r="C508" s="1" t="n">
        <v>45878</v>
      </c>
      <c r="D508" t="inlineStr">
        <is>
          <t>VÄSTERNORRLANDS LÄN</t>
        </is>
      </c>
      <c r="E508" t="inlineStr">
        <is>
          <t>ÅNGE</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16563-2025</t>
        </is>
      </c>
      <c r="B509" s="1" t="n">
        <v>45752.34430555555</v>
      </c>
      <c r="C509" s="1" t="n">
        <v>45878</v>
      </c>
      <c r="D509" t="inlineStr">
        <is>
          <t>VÄSTERNORRLANDS LÄN</t>
        </is>
      </c>
      <c r="E509" t="inlineStr">
        <is>
          <t>ÅNGE</t>
        </is>
      </c>
      <c r="F509" t="inlineStr">
        <is>
          <t>SCA</t>
        </is>
      </c>
      <c r="G509" t="n">
        <v>24.7</v>
      </c>
      <c r="H509" t="n">
        <v>0</v>
      </c>
      <c r="I509" t="n">
        <v>0</v>
      </c>
      <c r="J509" t="n">
        <v>0</v>
      </c>
      <c r="K509" t="n">
        <v>0</v>
      </c>
      <c r="L509" t="n">
        <v>0</v>
      </c>
      <c r="M509" t="n">
        <v>0</v>
      </c>
      <c r="N509" t="n">
        <v>0</v>
      </c>
      <c r="O509" t="n">
        <v>0</v>
      </c>
      <c r="P509" t="n">
        <v>0</v>
      </c>
      <c r="Q509" t="n">
        <v>0</v>
      </c>
      <c r="R509" s="2" t="inlineStr"/>
    </row>
    <row r="510" ht="15" customHeight="1">
      <c r="A510" t="inlineStr">
        <is>
          <t>A 19926-2025</t>
        </is>
      </c>
      <c r="B510" s="1" t="n">
        <v>45771.6357175926</v>
      </c>
      <c r="C510" s="1" t="n">
        <v>45878</v>
      </c>
      <c r="D510" t="inlineStr">
        <is>
          <t>VÄSTERNORRLANDS LÄN</t>
        </is>
      </c>
      <c r="E510" t="inlineStr">
        <is>
          <t>ÅNGE</t>
        </is>
      </c>
      <c r="G510" t="n">
        <v>1.8</v>
      </c>
      <c r="H510" t="n">
        <v>0</v>
      </c>
      <c r="I510" t="n">
        <v>0</v>
      </c>
      <c r="J510" t="n">
        <v>0</v>
      </c>
      <c r="K510" t="n">
        <v>0</v>
      </c>
      <c r="L510" t="n">
        <v>0</v>
      </c>
      <c r="M510" t="n">
        <v>0</v>
      </c>
      <c r="N510" t="n">
        <v>0</v>
      </c>
      <c r="O510" t="n">
        <v>0</v>
      </c>
      <c r="P510" t="n">
        <v>0</v>
      </c>
      <c r="Q510" t="n">
        <v>0</v>
      </c>
      <c r="R510" s="2" t="inlineStr"/>
    </row>
    <row r="511" ht="15" customHeight="1">
      <c r="A511" t="inlineStr">
        <is>
          <t>A 51055-2023</t>
        </is>
      </c>
      <c r="B511" s="1" t="n">
        <v>45218</v>
      </c>
      <c r="C511" s="1" t="n">
        <v>45878</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47792-2022</t>
        </is>
      </c>
      <c r="B512" s="1" t="n">
        <v>44854.95238425926</v>
      </c>
      <c r="C512" s="1" t="n">
        <v>45878</v>
      </c>
      <c r="D512" t="inlineStr">
        <is>
          <t>VÄSTERNORRLANDS LÄN</t>
        </is>
      </c>
      <c r="E512" t="inlineStr">
        <is>
          <t>ÅNGE</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6684-2024</t>
        </is>
      </c>
      <c r="B513" s="1" t="n">
        <v>45341.92555555556</v>
      </c>
      <c r="C513" s="1" t="n">
        <v>45878</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18869-2024</t>
        </is>
      </c>
      <c r="B514" s="1" t="n">
        <v>45426</v>
      </c>
      <c r="C514" s="1" t="n">
        <v>45878</v>
      </c>
      <c r="D514" t="inlineStr">
        <is>
          <t>VÄSTERNORRLANDS LÄN</t>
        </is>
      </c>
      <c r="E514" t="inlineStr">
        <is>
          <t>ÅNGE</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24797-2024</t>
        </is>
      </c>
      <c r="B515" s="1" t="n">
        <v>45460.95269675926</v>
      </c>
      <c r="C515" s="1" t="n">
        <v>45878</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24798-2024</t>
        </is>
      </c>
      <c r="B516" s="1" t="n">
        <v>45460.95277777778</v>
      </c>
      <c r="C516" s="1" t="n">
        <v>45878</v>
      </c>
      <c r="D516" t="inlineStr">
        <is>
          <t>VÄSTERNORRLANDS LÄN</t>
        </is>
      </c>
      <c r="E516" t="inlineStr">
        <is>
          <t>ÅNGE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15368-2024</t>
        </is>
      </c>
      <c r="B517" s="1" t="n">
        <v>45400.92284722222</v>
      </c>
      <c r="C517" s="1" t="n">
        <v>45878</v>
      </c>
      <c r="D517" t="inlineStr">
        <is>
          <t>VÄSTERNORRLANDS LÄN</t>
        </is>
      </c>
      <c r="E517" t="inlineStr">
        <is>
          <t>ÅNGE</t>
        </is>
      </c>
      <c r="G517" t="n">
        <v>0.4</v>
      </c>
      <c r="H517" t="n">
        <v>0</v>
      </c>
      <c r="I517" t="n">
        <v>0</v>
      </c>
      <c r="J517" t="n">
        <v>0</v>
      </c>
      <c r="K517" t="n">
        <v>0</v>
      </c>
      <c r="L517" t="n">
        <v>0</v>
      </c>
      <c r="M517" t="n">
        <v>0</v>
      </c>
      <c r="N517" t="n">
        <v>0</v>
      </c>
      <c r="O517" t="n">
        <v>0</v>
      </c>
      <c r="P517" t="n">
        <v>0</v>
      </c>
      <c r="Q517" t="n">
        <v>0</v>
      </c>
      <c r="R517" s="2" t="inlineStr"/>
    </row>
    <row r="518" ht="15" customHeight="1">
      <c r="A518" t="inlineStr">
        <is>
          <t>A 22680-2024</t>
        </is>
      </c>
      <c r="B518" s="1" t="n">
        <v>45447.94548611111</v>
      </c>
      <c r="C518" s="1" t="n">
        <v>45878</v>
      </c>
      <c r="D518" t="inlineStr">
        <is>
          <t>VÄSTERNORRLANDS LÄN</t>
        </is>
      </c>
      <c r="E518" t="inlineStr">
        <is>
          <t>ÅNGE</t>
        </is>
      </c>
      <c r="G518" t="n">
        <v>0.7</v>
      </c>
      <c r="H518" t="n">
        <v>0</v>
      </c>
      <c r="I518" t="n">
        <v>0</v>
      </c>
      <c r="J518" t="n">
        <v>0</v>
      </c>
      <c r="K518" t="n">
        <v>0</v>
      </c>
      <c r="L518" t="n">
        <v>0</v>
      </c>
      <c r="M518" t="n">
        <v>0</v>
      </c>
      <c r="N518" t="n">
        <v>0</v>
      </c>
      <c r="O518" t="n">
        <v>0</v>
      </c>
      <c r="P518" t="n">
        <v>0</v>
      </c>
      <c r="Q518" t="n">
        <v>0</v>
      </c>
      <c r="R518" s="2" t="inlineStr"/>
    </row>
    <row r="519" ht="15" customHeight="1">
      <c r="A519" t="inlineStr">
        <is>
          <t>A 57636-2022</t>
        </is>
      </c>
      <c r="B519" s="1" t="n">
        <v>44897</v>
      </c>
      <c r="C519" s="1" t="n">
        <v>45878</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23035-2024</t>
        </is>
      </c>
      <c r="B520" s="1" t="n">
        <v>45450.39016203704</v>
      </c>
      <c r="C520" s="1" t="n">
        <v>45878</v>
      </c>
      <c r="D520" t="inlineStr">
        <is>
          <t>VÄSTERNORRLANDS LÄN</t>
        </is>
      </c>
      <c r="E520" t="inlineStr">
        <is>
          <t>ÅNGE</t>
        </is>
      </c>
      <c r="G520" t="n">
        <v>12.1</v>
      </c>
      <c r="H520" t="n">
        <v>0</v>
      </c>
      <c r="I520" t="n">
        <v>0</v>
      </c>
      <c r="J520" t="n">
        <v>0</v>
      </c>
      <c r="K520" t="n">
        <v>0</v>
      </c>
      <c r="L520" t="n">
        <v>0</v>
      </c>
      <c r="M520" t="n">
        <v>0</v>
      </c>
      <c r="N520" t="n">
        <v>0</v>
      </c>
      <c r="O520" t="n">
        <v>0</v>
      </c>
      <c r="P520" t="n">
        <v>0</v>
      </c>
      <c r="Q520" t="n">
        <v>0</v>
      </c>
      <c r="R520" s="2" t="inlineStr"/>
    </row>
    <row r="521" ht="15" customHeight="1">
      <c r="A521" t="inlineStr">
        <is>
          <t>A 23063-2024</t>
        </is>
      </c>
      <c r="B521" s="1" t="n">
        <v>45450.44278935185</v>
      </c>
      <c r="C521" s="1" t="n">
        <v>45878</v>
      </c>
      <c r="D521" t="inlineStr">
        <is>
          <t>VÄSTERNORRLANDS LÄN</t>
        </is>
      </c>
      <c r="E521" t="inlineStr">
        <is>
          <t>ÅNGE</t>
        </is>
      </c>
      <c r="G521" t="n">
        <v>0.8</v>
      </c>
      <c r="H521" t="n">
        <v>0</v>
      </c>
      <c r="I521" t="n">
        <v>0</v>
      </c>
      <c r="J521" t="n">
        <v>0</v>
      </c>
      <c r="K521" t="n">
        <v>0</v>
      </c>
      <c r="L521" t="n">
        <v>0</v>
      </c>
      <c r="M521" t="n">
        <v>0</v>
      </c>
      <c r="N521" t="n">
        <v>0</v>
      </c>
      <c r="O521" t="n">
        <v>0</v>
      </c>
      <c r="P521" t="n">
        <v>0</v>
      </c>
      <c r="Q521" t="n">
        <v>0</v>
      </c>
      <c r="R521" s="2" t="inlineStr"/>
    </row>
    <row r="522" ht="15" customHeight="1">
      <c r="A522" t="inlineStr">
        <is>
          <t>A 52685-2024</t>
        </is>
      </c>
      <c r="B522" s="1" t="n">
        <v>45610</v>
      </c>
      <c r="C522" s="1" t="n">
        <v>45878</v>
      </c>
      <c r="D522" t="inlineStr">
        <is>
          <t>VÄSTERNORRLANDS LÄN</t>
        </is>
      </c>
      <c r="E522" t="inlineStr">
        <is>
          <t>ÅNGE</t>
        </is>
      </c>
      <c r="G522" t="n">
        <v>2.3</v>
      </c>
      <c r="H522" t="n">
        <v>0</v>
      </c>
      <c r="I522" t="n">
        <v>0</v>
      </c>
      <c r="J522" t="n">
        <v>0</v>
      </c>
      <c r="K522" t="n">
        <v>0</v>
      </c>
      <c r="L522" t="n">
        <v>0</v>
      </c>
      <c r="M522" t="n">
        <v>0</v>
      </c>
      <c r="N522" t="n">
        <v>0</v>
      </c>
      <c r="O522" t="n">
        <v>0</v>
      </c>
      <c r="P522" t="n">
        <v>0</v>
      </c>
      <c r="Q522" t="n">
        <v>0</v>
      </c>
      <c r="R522" s="2" t="inlineStr"/>
    </row>
    <row r="523" ht="15" customHeight="1">
      <c r="A523" t="inlineStr">
        <is>
          <t>A 55664-2023</t>
        </is>
      </c>
      <c r="B523" s="1" t="n">
        <v>45238.96748842593</v>
      </c>
      <c r="C523" s="1" t="n">
        <v>45878</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113-2025</t>
        </is>
      </c>
      <c r="B524" s="1" t="n">
        <v>45659.5106712963</v>
      </c>
      <c r="C524" s="1" t="n">
        <v>45878</v>
      </c>
      <c r="D524" t="inlineStr">
        <is>
          <t>VÄSTERNORRLANDS LÄN</t>
        </is>
      </c>
      <c r="E524" t="inlineStr">
        <is>
          <t>ÅNGE</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1403-2025</t>
        </is>
      </c>
      <c r="B525" s="1" t="n">
        <v>45667.70548611111</v>
      </c>
      <c r="C525" s="1" t="n">
        <v>45878</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39619-2024</t>
        </is>
      </c>
      <c r="B526" s="1" t="n">
        <v>45552</v>
      </c>
      <c r="C526" s="1" t="n">
        <v>45878</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12581-2024</t>
        </is>
      </c>
      <c r="B527" s="1" t="n">
        <v>45379</v>
      </c>
      <c r="C527" s="1" t="n">
        <v>45878</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43184-2024</t>
        </is>
      </c>
      <c r="B528" s="1" t="n">
        <v>45567</v>
      </c>
      <c r="C528" s="1" t="n">
        <v>45878</v>
      </c>
      <c r="D528" t="inlineStr">
        <is>
          <t>VÄSTERNORRLANDS LÄN</t>
        </is>
      </c>
      <c r="E528" t="inlineStr">
        <is>
          <t>ÅNGE</t>
        </is>
      </c>
      <c r="G528" t="n">
        <v>15.3</v>
      </c>
      <c r="H528" t="n">
        <v>0</v>
      </c>
      <c r="I528" t="n">
        <v>0</v>
      </c>
      <c r="J528" t="n">
        <v>0</v>
      </c>
      <c r="K528" t="n">
        <v>0</v>
      </c>
      <c r="L528" t="n">
        <v>0</v>
      </c>
      <c r="M528" t="n">
        <v>0</v>
      </c>
      <c r="N528" t="n">
        <v>0</v>
      </c>
      <c r="O528" t="n">
        <v>0</v>
      </c>
      <c r="P528" t="n">
        <v>0</v>
      </c>
      <c r="Q528" t="n">
        <v>0</v>
      </c>
      <c r="R528" s="2" t="inlineStr"/>
    </row>
    <row r="529" ht="15" customHeight="1">
      <c r="A529" t="inlineStr">
        <is>
          <t>A 58275-2022</t>
        </is>
      </c>
      <c r="B529" s="1" t="n">
        <v>44901.47865740741</v>
      </c>
      <c r="C529" s="1" t="n">
        <v>45878</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24231-2024</t>
        </is>
      </c>
      <c r="B530" s="1" t="n">
        <v>45457.34393518518</v>
      </c>
      <c r="C530" s="1" t="n">
        <v>45878</v>
      </c>
      <c r="D530" t="inlineStr">
        <is>
          <t>VÄSTERNORRLANDS LÄN</t>
        </is>
      </c>
      <c r="E530" t="inlineStr">
        <is>
          <t>ÅNGE</t>
        </is>
      </c>
      <c r="F530" t="inlineStr">
        <is>
          <t>Sveaskog</t>
        </is>
      </c>
      <c r="G530" t="n">
        <v>7</v>
      </c>
      <c r="H530" t="n">
        <v>0</v>
      </c>
      <c r="I530" t="n">
        <v>0</v>
      </c>
      <c r="J530" t="n">
        <v>0</v>
      </c>
      <c r="K530" t="n">
        <v>0</v>
      </c>
      <c r="L530" t="n">
        <v>0</v>
      </c>
      <c r="M530" t="n">
        <v>0</v>
      </c>
      <c r="N530" t="n">
        <v>0</v>
      </c>
      <c r="O530" t="n">
        <v>0</v>
      </c>
      <c r="P530" t="n">
        <v>0</v>
      </c>
      <c r="Q530" t="n">
        <v>0</v>
      </c>
      <c r="R530" s="2" t="inlineStr"/>
    </row>
    <row r="531" ht="15" customHeight="1">
      <c r="A531" t="inlineStr">
        <is>
          <t>A 58774-2023</t>
        </is>
      </c>
      <c r="B531" s="1" t="n">
        <v>45251</v>
      </c>
      <c r="C531" s="1" t="n">
        <v>45878</v>
      </c>
      <c r="D531" t="inlineStr">
        <is>
          <t>VÄSTERNORRLANDS LÄN</t>
        </is>
      </c>
      <c r="E531" t="inlineStr">
        <is>
          <t>ÅNGE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4359-2025</t>
        </is>
      </c>
      <c r="B532" s="1" t="n">
        <v>45686.33072916666</v>
      </c>
      <c r="C532" s="1" t="n">
        <v>45878</v>
      </c>
      <c r="D532" t="inlineStr">
        <is>
          <t>VÄSTERNORRLANDS LÄN</t>
        </is>
      </c>
      <c r="E532" t="inlineStr">
        <is>
          <t>ÅNGE</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11399-2025</t>
        </is>
      </c>
      <c r="B533" s="1" t="n">
        <v>45726.57364583333</v>
      </c>
      <c r="C533" s="1" t="n">
        <v>45878</v>
      </c>
      <c r="D533" t="inlineStr">
        <is>
          <t>VÄSTERNORRLANDS LÄN</t>
        </is>
      </c>
      <c r="E533" t="inlineStr">
        <is>
          <t>ÅNGE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29063-2023</t>
        </is>
      </c>
      <c r="B534" s="1" t="n">
        <v>45104.94068287037</v>
      </c>
      <c r="C534" s="1" t="n">
        <v>45878</v>
      </c>
      <c r="D534" t="inlineStr">
        <is>
          <t>VÄSTERNORRLANDS LÄN</t>
        </is>
      </c>
      <c r="E534" t="inlineStr">
        <is>
          <t>ÅNGE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13773-2024</t>
        </is>
      </c>
      <c r="B535" s="1" t="n">
        <v>45390.95297453704</v>
      </c>
      <c r="C535" s="1" t="n">
        <v>45878</v>
      </c>
      <c r="D535" t="inlineStr">
        <is>
          <t>VÄSTERNORRLANDS LÄN</t>
        </is>
      </c>
      <c r="E535" t="inlineStr">
        <is>
          <t>ÅNGE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51609-2023</t>
        </is>
      </c>
      <c r="B536" s="1" t="n">
        <v>45215</v>
      </c>
      <c r="C536" s="1" t="n">
        <v>45878</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53970-2021</t>
        </is>
      </c>
      <c r="B537" s="1" t="n">
        <v>44469</v>
      </c>
      <c r="C537" s="1" t="n">
        <v>45878</v>
      </c>
      <c r="D537" t="inlineStr">
        <is>
          <t>VÄSTERNORRLANDS LÄN</t>
        </is>
      </c>
      <c r="E537" t="inlineStr">
        <is>
          <t>ÅNGE</t>
        </is>
      </c>
      <c r="G537" t="n">
        <v>3.4</v>
      </c>
      <c r="H537" t="n">
        <v>0</v>
      </c>
      <c r="I537" t="n">
        <v>0</v>
      </c>
      <c r="J537" t="n">
        <v>0</v>
      </c>
      <c r="K537" t="n">
        <v>0</v>
      </c>
      <c r="L537" t="n">
        <v>0</v>
      </c>
      <c r="M537" t="n">
        <v>0</v>
      </c>
      <c r="N537" t="n">
        <v>0</v>
      </c>
      <c r="O537" t="n">
        <v>0</v>
      </c>
      <c r="P537" t="n">
        <v>0</v>
      </c>
      <c r="Q537" t="n">
        <v>0</v>
      </c>
      <c r="R537" s="2" t="inlineStr"/>
    </row>
    <row r="538" ht="15" customHeight="1">
      <c r="A538" t="inlineStr">
        <is>
          <t>A 2415-2024</t>
        </is>
      </c>
      <c r="B538" s="1" t="n">
        <v>45310</v>
      </c>
      <c r="C538" s="1" t="n">
        <v>45878</v>
      </c>
      <c r="D538" t="inlineStr">
        <is>
          <t>VÄSTERNORRLANDS LÄN</t>
        </is>
      </c>
      <c r="E538" t="inlineStr">
        <is>
          <t>ÅNGE</t>
        </is>
      </c>
      <c r="F538" t="inlineStr">
        <is>
          <t>Kyrkan</t>
        </is>
      </c>
      <c r="G538" t="n">
        <v>0.2</v>
      </c>
      <c r="H538" t="n">
        <v>0</v>
      </c>
      <c r="I538" t="n">
        <v>0</v>
      </c>
      <c r="J538" t="n">
        <v>0</v>
      </c>
      <c r="K538" t="n">
        <v>0</v>
      </c>
      <c r="L538" t="n">
        <v>0</v>
      </c>
      <c r="M538" t="n">
        <v>0</v>
      </c>
      <c r="N538" t="n">
        <v>0</v>
      </c>
      <c r="O538" t="n">
        <v>0</v>
      </c>
      <c r="P538" t="n">
        <v>0</v>
      </c>
      <c r="Q538" t="n">
        <v>0</v>
      </c>
      <c r="R538" s="2" t="inlineStr"/>
    </row>
    <row r="539" ht="15" customHeight="1">
      <c r="A539" t="inlineStr">
        <is>
          <t>A 6686-2024</t>
        </is>
      </c>
      <c r="B539" s="1" t="n">
        <v>45341</v>
      </c>
      <c r="C539" s="1" t="n">
        <v>45878</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30682-2024</t>
        </is>
      </c>
      <c r="B540" s="1" t="n">
        <v>45495.95109953704</v>
      </c>
      <c r="C540" s="1" t="n">
        <v>45878</v>
      </c>
      <c r="D540" t="inlineStr">
        <is>
          <t>VÄSTERNORRLANDS LÄN</t>
        </is>
      </c>
      <c r="E540" t="inlineStr">
        <is>
          <t>ÅNGE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9567-2024</t>
        </is>
      </c>
      <c r="B541" s="1" t="n">
        <v>45360.03635416667</v>
      </c>
      <c r="C541" s="1" t="n">
        <v>45878</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30753-2024</t>
        </is>
      </c>
      <c r="B542" s="1" t="n">
        <v>45496</v>
      </c>
      <c r="C542" s="1" t="n">
        <v>45878</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30754-2024</t>
        </is>
      </c>
      <c r="B543" s="1" t="n">
        <v>45496</v>
      </c>
      <c r="C543" s="1" t="n">
        <v>45878</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38960-2021</t>
        </is>
      </c>
      <c r="B544" s="1" t="n">
        <v>44411</v>
      </c>
      <c r="C544" s="1" t="n">
        <v>45878</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15822-2025</t>
        </is>
      </c>
      <c r="B545" s="1" t="n">
        <v>45748.70172453704</v>
      </c>
      <c r="C545" s="1" t="n">
        <v>45878</v>
      </c>
      <c r="D545" t="inlineStr">
        <is>
          <t>VÄSTERNORRLANDS LÄN</t>
        </is>
      </c>
      <c r="E545" t="inlineStr">
        <is>
          <t>ÅNGE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35581-2024</t>
        </is>
      </c>
      <c r="B546" s="1" t="n">
        <v>45531</v>
      </c>
      <c r="C546" s="1" t="n">
        <v>45878</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65633-2021</t>
        </is>
      </c>
      <c r="B547" s="1" t="n">
        <v>44516.56181712963</v>
      </c>
      <c r="C547" s="1" t="n">
        <v>45878</v>
      </c>
      <c r="D547" t="inlineStr">
        <is>
          <t>VÄSTERNORRLANDS LÄN</t>
        </is>
      </c>
      <c r="E547" t="inlineStr">
        <is>
          <t>ÅNGE</t>
        </is>
      </c>
      <c r="G547" t="n">
        <v>1.7</v>
      </c>
      <c r="H547" t="n">
        <v>0</v>
      </c>
      <c r="I547" t="n">
        <v>0</v>
      </c>
      <c r="J547" t="n">
        <v>0</v>
      </c>
      <c r="K547" t="n">
        <v>0</v>
      </c>
      <c r="L547" t="n">
        <v>0</v>
      </c>
      <c r="M547" t="n">
        <v>0</v>
      </c>
      <c r="N547" t="n">
        <v>0</v>
      </c>
      <c r="O547" t="n">
        <v>0</v>
      </c>
      <c r="P547" t="n">
        <v>0</v>
      </c>
      <c r="Q547" t="n">
        <v>0</v>
      </c>
      <c r="R547" s="2" t="inlineStr"/>
    </row>
    <row r="548" ht="15" customHeight="1">
      <c r="A548" t="inlineStr">
        <is>
          <t>A 57591-2022</t>
        </is>
      </c>
      <c r="B548" s="1" t="n">
        <v>44896.97834490741</v>
      </c>
      <c r="C548" s="1" t="n">
        <v>45878</v>
      </c>
      <c r="D548" t="inlineStr">
        <is>
          <t>VÄSTERNORRLANDS LÄN</t>
        </is>
      </c>
      <c r="E548" t="inlineStr">
        <is>
          <t>ÅNGE</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15862-2025</t>
        </is>
      </c>
      <c r="B549" s="1" t="n">
        <v>45749.35247685185</v>
      </c>
      <c r="C549" s="1" t="n">
        <v>45878</v>
      </c>
      <c r="D549" t="inlineStr">
        <is>
          <t>VÄSTERNORRLANDS LÄN</t>
        </is>
      </c>
      <c r="E549" t="inlineStr">
        <is>
          <t>ÅNGE</t>
        </is>
      </c>
      <c r="F549" t="inlineStr">
        <is>
          <t>SCA</t>
        </is>
      </c>
      <c r="G549" t="n">
        <v>5.6</v>
      </c>
      <c r="H549" t="n">
        <v>0</v>
      </c>
      <c r="I549" t="n">
        <v>0</v>
      </c>
      <c r="J549" t="n">
        <v>0</v>
      </c>
      <c r="K549" t="n">
        <v>0</v>
      </c>
      <c r="L549" t="n">
        <v>0</v>
      </c>
      <c r="M549" t="n">
        <v>0</v>
      </c>
      <c r="N549" t="n">
        <v>0</v>
      </c>
      <c r="O549" t="n">
        <v>0</v>
      </c>
      <c r="P549" t="n">
        <v>0</v>
      </c>
      <c r="Q549" t="n">
        <v>0</v>
      </c>
      <c r="R549" s="2" t="inlineStr"/>
    </row>
    <row r="550" ht="15" customHeight="1">
      <c r="A550" t="inlineStr">
        <is>
          <t>A 15868-2025</t>
        </is>
      </c>
      <c r="B550" s="1" t="n">
        <v>45749.36928240741</v>
      </c>
      <c r="C550" s="1" t="n">
        <v>45878</v>
      </c>
      <c r="D550" t="inlineStr">
        <is>
          <t>VÄSTERNORRLANDS LÄN</t>
        </is>
      </c>
      <c r="E550" t="inlineStr">
        <is>
          <t>ÅNGE</t>
        </is>
      </c>
      <c r="F550" t="inlineStr">
        <is>
          <t>SCA</t>
        </is>
      </c>
      <c r="G550" t="n">
        <v>6.3</v>
      </c>
      <c r="H550" t="n">
        <v>0</v>
      </c>
      <c r="I550" t="n">
        <v>0</v>
      </c>
      <c r="J550" t="n">
        <v>0</v>
      </c>
      <c r="K550" t="n">
        <v>0</v>
      </c>
      <c r="L550" t="n">
        <v>0</v>
      </c>
      <c r="M550" t="n">
        <v>0</v>
      </c>
      <c r="N550" t="n">
        <v>0</v>
      </c>
      <c r="O550" t="n">
        <v>0</v>
      </c>
      <c r="P550" t="n">
        <v>0</v>
      </c>
      <c r="Q550" t="n">
        <v>0</v>
      </c>
      <c r="R550" s="2" t="inlineStr"/>
    </row>
    <row r="551" ht="15" customHeight="1">
      <c r="A551" t="inlineStr">
        <is>
          <t>A 51311-2022</t>
        </is>
      </c>
      <c r="B551" s="1" t="n">
        <v>44868</v>
      </c>
      <c r="C551" s="1" t="n">
        <v>45878</v>
      </c>
      <c r="D551" t="inlineStr">
        <is>
          <t>VÄSTERNORRLANDS LÄN</t>
        </is>
      </c>
      <c r="E551" t="inlineStr">
        <is>
          <t>ÅNGE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33428-2023</t>
        </is>
      </c>
      <c r="B552" s="1" t="n">
        <v>45128.94976851852</v>
      </c>
      <c r="C552" s="1" t="n">
        <v>45878</v>
      </c>
      <c r="D552" t="inlineStr">
        <is>
          <t>VÄSTERNORRLANDS LÄN</t>
        </is>
      </c>
      <c r="E552" t="inlineStr">
        <is>
          <t>ÅNGE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34815-2024</t>
        </is>
      </c>
      <c r="B553" s="1" t="n">
        <v>45526.70732638889</v>
      </c>
      <c r="C553" s="1" t="n">
        <v>45878</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56399-2022</t>
        </is>
      </c>
      <c r="B554" s="1" t="n">
        <v>44890</v>
      </c>
      <c r="C554" s="1" t="n">
        <v>45878</v>
      </c>
      <c r="D554" t="inlineStr">
        <is>
          <t>VÄSTERNORRLANDS LÄN</t>
        </is>
      </c>
      <c r="E554" t="inlineStr">
        <is>
          <t>ÅNGE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41507-2024</t>
        </is>
      </c>
      <c r="B555" s="1" t="n">
        <v>45560</v>
      </c>
      <c r="C555" s="1" t="n">
        <v>45878</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17044-2023</t>
        </is>
      </c>
      <c r="B556" s="1" t="n">
        <v>45034</v>
      </c>
      <c r="C556" s="1" t="n">
        <v>45878</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45878</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28506-2024</t>
        </is>
      </c>
      <c r="B558" s="1" t="n">
        <v>45477.9475</v>
      </c>
      <c r="C558" s="1" t="n">
        <v>45878</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17749-2025</t>
        </is>
      </c>
      <c r="B559" s="1" t="n">
        <v>45758.48380787037</v>
      </c>
      <c r="C559" s="1" t="n">
        <v>45878</v>
      </c>
      <c r="D559" t="inlineStr">
        <is>
          <t>VÄSTERNORRLANDS LÄN</t>
        </is>
      </c>
      <c r="E559" t="inlineStr">
        <is>
          <t>ÅNGE</t>
        </is>
      </c>
      <c r="G559" t="n">
        <v>7.3</v>
      </c>
      <c r="H559" t="n">
        <v>0</v>
      </c>
      <c r="I559" t="n">
        <v>0</v>
      </c>
      <c r="J559" t="n">
        <v>0</v>
      </c>
      <c r="K559" t="n">
        <v>0</v>
      </c>
      <c r="L559" t="n">
        <v>0</v>
      </c>
      <c r="M559" t="n">
        <v>0</v>
      </c>
      <c r="N559" t="n">
        <v>0</v>
      </c>
      <c r="O559" t="n">
        <v>0</v>
      </c>
      <c r="P559" t="n">
        <v>0</v>
      </c>
      <c r="Q559" t="n">
        <v>0</v>
      </c>
      <c r="R559" s="2" t="inlineStr"/>
    </row>
    <row r="560" ht="15" customHeight="1">
      <c r="A560" t="inlineStr">
        <is>
          <t>A 1420-2023</t>
        </is>
      </c>
      <c r="B560" s="1" t="n">
        <v>44936.92762731481</v>
      </c>
      <c r="C560" s="1" t="n">
        <v>45878</v>
      </c>
      <c r="D560" t="inlineStr">
        <is>
          <t>VÄSTERNORRLANDS LÄN</t>
        </is>
      </c>
      <c r="E560" t="inlineStr">
        <is>
          <t>ÅNGE</t>
        </is>
      </c>
      <c r="G560" t="n">
        <v>3.7</v>
      </c>
      <c r="H560" t="n">
        <v>0</v>
      </c>
      <c r="I560" t="n">
        <v>0</v>
      </c>
      <c r="J560" t="n">
        <v>0</v>
      </c>
      <c r="K560" t="n">
        <v>0</v>
      </c>
      <c r="L560" t="n">
        <v>0</v>
      </c>
      <c r="M560" t="n">
        <v>0</v>
      </c>
      <c r="N560" t="n">
        <v>0</v>
      </c>
      <c r="O560" t="n">
        <v>0</v>
      </c>
      <c r="P560" t="n">
        <v>0</v>
      </c>
      <c r="Q560" t="n">
        <v>0</v>
      </c>
      <c r="R560" s="2" t="inlineStr"/>
    </row>
    <row r="561" ht="15" customHeight="1">
      <c r="A561" t="inlineStr">
        <is>
          <t>A 60205-2023</t>
        </is>
      </c>
      <c r="B561" s="1" t="n">
        <v>45257</v>
      </c>
      <c r="C561" s="1" t="n">
        <v>45878</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42044-2024</t>
        </is>
      </c>
      <c r="B562" s="1" t="n">
        <v>45561</v>
      </c>
      <c r="C562" s="1" t="n">
        <v>45878</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60812-2024</t>
        </is>
      </c>
      <c r="B563" s="1" t="n">
        <v>45644</v>
      </c>
      <c r="C563" s="1" t="n">
        <v>45878</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3256-2024</t>
        </is>
      </c>
      <c r="B564" s="1" t="n">
        <v>45316</v>
      </c>
      <c r="C564" s="1" t="n">
        <v>45878</v>
      </c>
      <c r="D564" t="inlineStr">
        <is>
          <t>VÄSTERNORRLANDS LÄN</t>
        </is>
      </c>
      <c r="E564" t="inlineStr">
        <is>
          <t>ÅNGE</t>
        </is>
      </c>
      <c r="G564" t="n">
        <v>3.7</v>
      </c>
      <c r="H564" t="n">
        <v>0</v>
      </c>
      <c r="I564" t="n">
        <v>0</v>
      </c>
      <c r="J564" t="n">
        <v>0</v>
      </c>
      <c r="K564" t="n">
        <v>0</v>
      </c>
      <c r="L564" t="n">
        <v>0</v>
      </c>
      <c r="M564" t="n">
        <v>0</v>
      </c>
      <c r="N564" t="n">
        <v>0</v>
      </c>
      <c r="O564" t="n">
        <v>0</v>
      </c>
      <c r="P564" t="n">
        <v>0</v>
      </c>
      <c r="Q564" t="n">
        <v>0</v>
      </c>
      <c r="R564" s="2" t="inlineStr"/>
    </row>
    <row r="565" ht="15" customHeight="1">
      <c r="A565" t="inlineStr">
        <is>
          <t>A 33631-2024</t>
        </is>
      </c>
      <c r="B565" s="1" t="n">
        <v>45520</v>
      </c>
      <c r="C565" s="1" t="n">
        <v>45878</v>
      </c>
      <c r="D565" t="inlineStr">
        <is>
          <t>VÄSTERNORRLANDS LÄN</t>
        </is>
      </c>
      <c r="E565" t="inlineStr">
        <is>
          <t>ÅNGE</t>
        </is>
      </c>
      <c r="G565" t="n">
        <v>1.7</v>
      </c>
      <c r="H565" t="n">
        <v>0</v>
      </c>
      <c r="I565" t="n">
        <v>0</v>
      </c>
      <c r="J565" t="n">
        <v>0</v>
      </c>
      <c r="K565" t="n">
        <v>0</v>
      </c>
      <c r="L565" t="n">
        <v>0</v>
      </c>
      <c r="M565" t="n">
        <v>0</v>
      </c>
      <c r="N565" t="n">
        <v>0</v>
      </c>
      <c r="O565" t="n">
        <v>0</v>
      </c>
      <c r="P565" t="n">
        <v>0</v>
      </c>
      <c r="Q565" t="n">
        <v>0</v>
      </c>
      <c r="R565" s="2" t="inlineStr"/>
    </row>
    <row r="566" ht="15" customHeight="1">
      <c r="A566" t="inlineStr">
        <is>
          <t>A 58943-2022</t>
        </is>
      </c>
      <c r="B566" s="1" t="n">
        <v>44903.64400462963</v>
      </c>
      <c r="C566" s="1" t="n">
        <v>45878</v>
      </c>
      <c r="D566" t="inlineStr">
        <is>
          <t>VÄSTERNORRLANDS LÄN</t>
        </is>
      </c>
      <c r="E566" t="inlineStr">
        <is>
          <t>ÅNGE</t>
        </is>
      </c>
      <c r="G566" t="n">
        <v>5.6</v>
      </c>
      <c r="H566" t="n">
        <v>0</v>
      </c>
      <c r="I566" t="n">
        <v>0</v>
      </c>
      <c r="J566" t="n">
        <v>0</v>
      </c>
      <c r="K566" t="n">
        <v>0</v>
      </c>
      <c r="L566" t="n">
        <v>0</v>
      </c>
      <c r="M566" t="n">
        <v>0</v>
      </c>
      <c r="N566" t="n">
        <v>0</v>
      </c>
      <c r="O566" t="n">
        <v>0</v>
      </c>
      <c r="P566" t="n">
        <v>0</v>
      </c>
      <c r="Q566" t="n">
        <v>0</v>
      </c>
      <c r="R566" s="2" t="inlineStr"/>
    </row>
    <row r="567" ht="15" customHeight="1">
      <c r="A567" t="inlineStr">
        <is>
          <t>A 44876-2024</t>
        </is>
      </c>
      <c r="B567" s="1" t="n">
        <v>45575.34474537037</v>
      </c>
      <c r="C567" s="1" t="n">
        <v>45878</v>
      </c>
      <c r="D567" t="inlineStr">
        <is>
          <t>VÄSTERNORRLANDS LÄN</t>
        </is>
      </c>
      <c r="E567" t="inlineStr">
        <is>
          <t>ÅNGE</t>
        </is>
      </c>
      <c r="F567" t="inlineStr">
        <is>
          <t>SCA</t>
        </is>
      </c>
      <c r="G567" t="n">
        <v>12.4</v>
      </c>
      <c r="H567" t="n">
        <v>0</v>
      </c>
      <c r="I567" t="n">
        <v>0</v>
      </c>
      <c r="J567" t="n">
        <v>0</v>
      </c>
      <c r="K567" t="n">
        <v>0</v>
      </c>
      <c r="L567" t="n">
        <v>0</v>
      </c>
      <c r="M567" t="n">
        <v>0</v>
      </c>
      <c r="N567" t="n">
        <v>0</v>
      </c>
      <c r="O567" t="n">
        <v>0</v>
      </c>
      <c r="P567" t="n">
        <v>0</v>
      </c>
      <c r="Q567" t="n">
        <v>0</v>
      </c>
      <c r="R567" s="2" t="inlineStr"/>
    </row>
    <row r="568" ht="15" customHeight="1">
      <c r="A568" t="inlineStr">
        <is>
          <t>A 2451-2024</t>
        </is>
      </c>
      <c r="B568" s="1" t="n">
        <v>45312.58627314815</v>
      </c>
      <c r="C568" s="1" t="n">
        <v>45878</v>
      </c>
      <c r="D568" t="inlineStr">
        <is>
          <t>VÄSTERNORRLANDS LÄN</t>
        </is>
      </c>
      <c r="E568" t="inlineStr">
        <is>
          <t>ÅNGE</t>
        </is>
      </c>
      <c r="G568" t="n">
        <v>3.5</v>
      </c>
      <c r="H568" t="n">
        <v>0</v>
      </c>
      <c r="I568" t="n">
        <v>0</v>
      </c>
      <c r="J568" t="n">
        <v>0</v>
      </c>
      <c r="K568" t="n">
        <v>0</v>
      </c>
      <c r="L568" t="n">
        <v>0</v>
      </c>
      <c r="M568" t="n">
        <v>0</v>
      </c>
      <c r="N568" t="n">
        <v>0</v>
      </c>
      <c r="O568" t="n">
        <v>0</v>
      </c>
      <c r="P568" t="n">
        <v>0</v>
      </c>
      <c r="Q568" t="n">
        <v>0</v>
      </c>
      <c r="R568" s="2" t="inlineStr"/>
    </row>
    <row r="569" ht="15" customHeight="1">
      <c r="A569" t="inlineStr">
        <is>
          <t>A 11088-2024</t>
        </is>
      </c>
      <c r="B569" s="1" t="n">
        <v>45370</v>
      </c>
      <c r="C569" s="1" t="n">
        <v>45878</v>
      </c>
      <c r="D569" t="inlineStr">
        <is>
          <t>VÄSTERNORRLANDS LÄN</t>
        </is>
      </c>
      <c r="E569" t="inlineStr">
        <is>
          <t>ÅNGE</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1103-2023</t>
        </is>
      </c>
      <c r="B570" s="1" t="n">
        <v>44929</v>
      </c>
      <c r="C570" s="1" t="n">
        <v>45878</v>
      </c>
      <c r="D570" t="inlineStr">
        <is>
          <t>VÄSTERNORRLANDS LÄN</t>
        </is>
      </c>
      <c r="E570" t="inlineStr">
        <is>
          <t>ÅNGE</t>
        </is>
      </c>
      <c r="G570" t="n">
        <v>7.3</v>
      </c>
      <c r="H570" t="n">
        <v>0</v>
      </c>
      <c r="I570" t="n">
        <v>0</v>
      </c>
      <c r="J570" t="n">
        <v>0</v>
      </c>
      <c r="K570" t="n">
        <v>0</v>
      </c>
      <c r="L570" t="n">
        <v>0</v>
      </c>
      <c r="M570" t="n">
        <v>0</v>
      </c>
      <c r="N570" t="n">
        <v>0</v>
      </c>
      <c r="O570" t="n">
        <v>0</v>
      </c>
      <c r="P570" t="n">
        <v>0</v>
      </c>
      <c r="Q570" t="n">
        <v>0</v>
      </c>
      <c r="R570" s="2" t="inlineStr"/>
    </row>
    <row r="571" ht="15" customHeight="1">
      <c r="A571" t="inlineStr">
        <is>
          <t>A 26012-2024</t>
        </is>
      </c>
      <c r="B571" s="1" t="n">
        <v>45467</v>
      </c>
      <c r="C571" s="1" t="n">
        <v>45878</v>
      </c>
      <c r="D571" t="inlineStr">
        <is>
          <t>VÄSTERNORRLANDS LÄN</t>
        </is>
      </c>
      <c r="E571" t="inlineStr">
        <is>
          <t>ÅNGE</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30348-2024</t>
        </is>
      </c>
      <c r="B572" s="1" t="n">
        <v>45490.95524305556</v>
      </c>
      <c r="C572" s="1" t="n">
        <v>45878</v>
      </c>
      <c r="D572" t="inlineStr">
        <is>
          <t>VÄSTERNORRLANDS LÄN</t>
        </is>
      </c>
      <c r="E572" t="inlineStr">
        <is>
          <t>ÅNGE</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31457-2024</t>
        </is>
      </c>
      <c r="B573" s="1" t="n">
        <v>45505</v>
      </c>
      <c r="C573" s="1" t="n">
        <v>45878</v>
      </c>
      <c r="D573" t="inlineStr">
        <is>
          <t>VÄSTERNORRLANDS LÄN</t>
        </is>
      </c>
      <c r="E573" t="inlineStr">
        <is>
          <t>ÅNGE</t>
        </is>
      </c>
      <c r="F573" t="inlineStr">
        <is>
          <t>SCA</t>
        </is>
      </c>
      <c r="G573" t="n">
        <v>5.2</v>
      </c>
      <c r="H573" t="n">
        <v>0</v>
      </c>
      <c r="I573" t="n">
        <v>0</v>
      </c>
      <c r="J573" t="n">
        <v>0</v>
      </c>
      <c r="K573" t="n">
        <v>0</v>
      </c>
      <c r="L573" t="n">
        <v>0</v>
      </c>
      <c r="M573" t="n">
        <v>0</v>
      </c>
      <c r="N573" t="n">
        <v>0</v>
      </c>
      <c r="O573" t="n">
        <v>0</v>
      </c>
      <c r="P573" t="n">
        <v>0</v>
      </c>
      <c r="Q573" t="n">
        <v>0</v>
      </c>
      <c r="R573" s="2" t="inlineStr"/>
    </row>
    <row r="574" ht="15" customHeight="1">
      <c r="A574" t="inlineStr">
        <is>
          <t>A 35392-2024</t>
        </is>
      </c>
      <c r="B574" s="1" t="n">
        <v>45531.4025462963</v>
      </c>
      <c r="C574" s="1" t="n">
        <v>45878</v>
      </c>
      <c r="D574" t="inlineStr">
        <is>
          <t>VÄSTERNORRLANDS LÄN</t>
        </is>
      </c>
      <c r="E574" t="inlineStr">
        <is>
          <t>ÅNGE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43066-2022</t>
        </is>
      </c>
      <c r="B575" s="1" t="n">
        <v>44833</v>
      </c>
      <c r="C575" s="1" t="n">
        <v>45878</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57595-2022</t>
        </is>
      </c>
      <c r="B576" s="1" t="n">
        <v>44896.97862268519</v>
      </c>
      <c r="C576" s="1" t="n">
        <v>45878</v>
      </c>
      <c r="D576" t="inlineStr">
        <is>
          <t>VÄSTERNORRLANDS LÄN</t>
        </is>
      </c>
      <c r="E576" t="inlineStr">
        <is>
          <t>ÅNGE</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57526-2024</t>
        </is>
      </c>
      <c r="B577" s="1" t="n">
        <v>45630</v>
      </c>
      <c r="C577" s="1" t="n">
        <v>45878</v>
      </c>
      <c r="D577" t="inlineStr">
        <is>
          <t>VÄSTERNORRLANDS LÄN</t>
        </is>
      </c>
      <c r="E577" t="inlineStr">
        <is>
          <t>ÅNGE</t>
        </is>
      </c>
      <c r="G577" t="n">
        <v>3.2</v>
      </c>
      <c r="H577" t="n">
        <v>0</v>
      </c>
      <c r="I577" t="n">
        <v>0</v>
      </c>
      <c r="J577" t="n">
        <v>0</v>
      </c>
      <c r="K577" t="n">
        <v>0</v>
      </c>
      <c r="L577" t="n">
        <v>0</v>
      </c>
      <c r="M577" t="n">
        <v>0</v>
      </c>
      <c r="N577" t="n">
        <v>0</v>
      </c>
      <c r="O577" t="n">
        <v>0</v>
      </c>
      <c r="P577" t="n">
        <v>0</v>
      </c>
      <c r="Q577" t="n">
        <v>0</v>
      </c>
      <c r="R577" s="2" t="inlineStr"/>
    </row>
    <row r="578" ht="15" customHeight="1">
      <c r="A578" t="inlineStr">
        <is>
          <t>A 18456-2024</t>
        </is>
      </c>
      <c r="B578" s="1" t="n">
        <v>45425.46831018518</v>
      </c>
      <c r="C578" s="1" t="n">
        <v>45878</v>
      </c>
      <c r="D578" t="inlineStr">
        <is>
          <t>VÄSTERNORRLANDS LÄN</t>
        </is>
      </c>
      <c r="E578" t="inlineStr">
        <is>
          <t>ÅNGE</t>
        </is>
      </c>
      <c r="G578" t="n">
        <v>0.6</v>
      </c>
      <c r="H578" t="n">
        <v>0</v>
      </c>
      <c r="I578" t="n">
        <v>0</v>
      </c>
      <c r="J578" t="n">
        <v>0</v>
      </c>
      <c r="K578" t="n">
        <v>0</v>
      </c>
      <c r="L578" t="n">
        <v>0</v>
      </c>
      <c r="M578" t="n">
        <v>0</v>
      </c>
      <c r="N578" t="n">
        <v>0</v>
      </c>
      <c r="O578" t="n">
        <v>0</v>
      </c>
      <c r="P578" t="n">
        <v>0</v>
      </c>
      <c r="Q578" t="n">
        <v>0</v>
      </c>
      <c r="R578" s="2" t="inlineStr"/>
    </row>
    <row r="579" ht="15" customHeight="1">
      <c r="A579" t="inlineStr">
        <is>
          <t>A 24232-2024</t>
        </is>
      </c>
      <c r="B579" s="1" t="n">
        <v>45457.34686342593</v>
      </c>
      <c r="C579" s="1" t="n">
        <v>45878</v>
      </c>
      <c r="D579" t="inlineStr">
        <is>
          <t>VÄSTERNORRLANDS LÄN</t>
        </is>
      </c>
      <c r="E579" t="inlineStr">
        <is>
          <t>ÅNGE</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33783-2024</t>
        </is>
      </c>
      <c r="B580" s="1" t="n">
        <v>45520</v>
      </c>
      <c r="C580" s="1" t="n">
        <v>45878</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45128-2022</t>
        </is>
      </c>
      <c r="B581" s="1" t="n">
        <v>44844.3146412037</v>
      </c>
      <c r="C581" s="1" t="n">
        <v>45878</v>
      </c>
      <c r="D581" t="inlineStr">
        <is>
          <t>VÄSTERNORRLANDS LÄN</t>
        </is>
      </c>
      <c r="E581" t="inlineStr">
        <is>
          <t>ÅNGE</t>
        </is>
      </c>
      <c r="G581" t="n">
        <v>4.1</v>
      </c>
      <c r="H581" t="n">
        <v>0</v>
      </c>
      <c r="I581" t="n">
        <v>0</v>
      </c>
      <c r="J581" t="n">
        <v>0</v>
      </c>
      <c r="K581" t="n">
        <v>0</v>
      </c>
      <c r="L581" t="n">
        <v>0</v>
      </c>
      <c r="M581" t="n">
        <v>0</v>
      </c>
      <c r="N581" t="n">
        <v>0</v>
      </c>
      <c r="O581" t="n">
        <v>0</v>
      </c>
      <c r="P581" t="n">
        <v>0</v>
      </c>
      <c r="Q581" t="n">
        <v>0</v>
      </c>
      <c r="R581" s="2" t="inlineStr"/>
    </row>
    <row r="582" ht="15" customHeight="1">
      <c r="A582" t="inlineStr">
        <is>
          <t>A 26951-2024</t>
        </is>
      </c>
      <c r="B582" s="1" t="n">
        <v>45470.96991898148</v>
      </c>
      <c r="C582" s="1" t="n">
        <v>45878</v>
      </c>
      <c r="D582" t="inlineStr">
        <is>
          <t>VÄSTERNORRLANDS LÄN</t>
        </is>
      </c>
      <c r="E582" t="inlineStr">
        <is>
          <t>ÅNGE</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44180-2023</t>
        </is>
      </c>
      <c r="B583" s="1" t="n">
        <v>45183</v>
      </c>
      <c r="C583" s="1" t="n">
        <v>45878</v>
      </c>
      <c r="D583" t="inlineStr">
        <is>
          <t>VÄSTERNORRLANDS LÄN</t>
        </is>
      </c>
      <c r="E583" t="inlineStr">
        <is>
          <t>ÅNGE</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26952-2024</t>
        </is>
      </c>
      <c r="B584" s="1" t="n">
        <v>45470</v>
      </c>
      <c r="C584" s="1" t="n">
        <v>45878</v>
      </c>
      <c r="D584" t="inlineStr">
        <is>
          <t>VÄSTERNORRLANDS LÄN</t>
        </is>
      </c>
      <c r="E584" t="inlineStr">
        <is>
          <t>ÅNGE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27321-2024</t>
        </is>
      </c>
      <c r="B585" s="1" t="n">
        <v>45471</v>
      </c>
      <c r="C585" s="1" t="n">
        <v>45878</v>
      </c>
      <c r="D585" t="inlineStr">
        <is>
          <t>VÄSTERNORRLANDS LÄN</t>
        </is>
      </c>
      <c r="E585" t="inlineStr">
        <is>
          <t>ÅNGE</t>
        </is>
      </c>
      <c r="F585" t="inlineStr">
        <is>
          <t>SCA</t>
        </is>
      </c>
      <c r="G585" t="n">
        <v>14.1</v>
      </c>
      <c r="H585" t="n">
        <v>0</v>
      </c>
      <c r="I585" t="n">
        <v>0</v>
      </c>
      <c r="J585" t="n">
        <v>0</v>
      </c>
      <c r="K585" t="n">
        <v>0</v>
      </c>
      <c r="L585" t="n">
        <v>0</v>
      </c>
      <c r="M585" t="n">
        <v>0</v>
      </c>
      <c r="N585" t="n">
        <v>0</v>
      </c>
      <c r="O585" t="n">
        <v>0</v>
      </c>
      <c r="P585" t="n">
        <v>0</v>
      </c>
      <c r="Q585" t="n">
        <v>0</v>
      </c>
      <c r="R585" s="2" t="inlineStr"/>
    </row>
    <row r="586" ht="15" customHeight="1">
      <c r="A586" t="inlineStr">
        <is>
          <t>A 37382-2021</t>
        </is>
      </c>
      <c r="B586" s="1" t="n">
        <v>44397</v>
      </c>
      <c r="C586" s="1" t="n">
        <v>45878</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27668-2024</t>
        </is>
      </c>
      <c r="B587" s="1" t="n">
        <v>45474.95435185185</v>
      </c>
      <c r="C587" s="1" t="n">
        <v>45878</v>
      </c>
      <c r="D587" t="inlineStr">
        <is>
          <t>VÄSTERNORRLANDS LÄN</t>
        </is>
      </c>
      <c r="E587" t="inlineStr">
        <is>
          <t>ÅNGE</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14751-2025</t>
        </is>
      </c>
      <c r="B588" s="1" t="n">
        <v>45742.65863425926</v>
      </c>
      <c r="C588" s="1" t="n">
        <v>45878</v>
      </c>
      <c r="D588" t="inlineStr">
        <is>
          <t>VÄSTERNORRLANDS LÄN</t>
        </is>
      </c>
      <c r="E588" t="inlineStr">
        <is>
          <t>ÅNGE</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10339-2025</t>
        </is>
      </c>
      <c r="B589" s="1" t="n">
        <v>45720</v>
      </c>
      <c r="C589" s="1" t="n">
        <v>45878</v>
      </c>
      <c r="D589" t="inlineStr">
        <is>
          <t>VÄSTERNORRLANDS LÄN</t>
        </is>
      </c>
      <c r="E589" t="inlineStr">
        <is>
          <t>ÅNGE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41083-2024</t>
        </is>
      </c>
      <c r="B590" s="1" t="n">
        <v>45559.40684027778</v>
      </c>
      <c r="C590" s="1" t="n">
        <v>45878</v>
      </c>
      <c r="D590" t="inlineStr">
        <is>
          <t>VÄSTERNORRLANDS LÄN</t>
        </is>
      </c>
      <c r="E590" t="inlineStr">
        <is>
          <t>ÅNGE</t>
        </is>
      </c>
      <c r="F590" t="inlineStr">
        <is>
          <t>SCA</t>
        </is>
      </c>
      <c r="G590" t="n">
        <v>8.4</v>
      </c>
      <c r="H590" t="n">
        <v>0</v>
      </c>
      <c r="I590" t="n">
        <v>0</v>
      </c>
      <c r="J590" t="n">
        <v>0</v>
      </c>
      <c r="K590" t="n">
        <v>0</v>
      </c>
      <c r="L590" t="n">
        <v>0</v>
      </c>
      <c r="M590" t="n">
        <v>0</v>
      </c>
      <c r="N590" t="n">
        <v>0</v>
      </c>
      <c r="O590" t="n">
        <v>0</v>
      </c>
      <c r="P590" t="n">
        <v>0</v>
      </c>
      <c r="Q590" t="n">
        <v>0</v>
      </c>
      <c r="R590" s="2" t="inlineStr"/>
    </row>
    <row r="591" ht="15" customHeight="1">
      <c r="A591" t="inlineStr">
        <is>
          <t>A 41766-2024</t>
        </is>
      </c>
      <c r="B591" s="1" t="n">
        <v>45561.34594907407</v>
      </c>
      <c r="C591" s="1" t="n">
        <v>45878</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18067-2025</t>
        </is>
      </c>
      <c r="B592" s="1" t="n">
        <v>45761.49016203704</v>
      </c>
      <c r="C592" s="1" t="n">
        <v>45878</v>
      </c>
      <c r="D592" t="inlineStr">
        <is>
          <t>VÄSTERNORRLANDS LÄN</t>
        </is>
      </c>
      <c r="E592" t="inlineStr">
        <is>
          <t>ÅNGE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5197-2025</t>
        </is>
      </c>
      <c r="B593" s="1" t="n">
        <v>45691.65701388889</v>
      </c>
      <c r="C593" s="1" t="n">
        <v>45878</v>
      </c>
      <c r="D593" t="inlineStr">
        <is>
          <t>VÄSTERNORRLANDS LÄN</t>
        </is>
      </c>
      <c r="E593" t="inlineStr">
        <is>
          <t>ÅNGE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51024-2024</t>
        </is>
      </c>
      <c r="B594" s="1" t="n">
        <v>45603.4141087963</v>
      </c>
      <c r="C594" s="1" t="n">
        <v>45878</v>
      </c>
      <c r="D594" t="inlineStr">
        <is>
          <t>VÄSTERNORRLANDS LÄN</t>
        </is>
      </c>
      <c r="E594" t="inlineStr">
        <is>
          <t>ÅNGE</t>
        </is>
      </c>
      <c r="G594" t="n">
        <v>8.9</v>
      </c>
      <c r="H594" t="n">
        <v>0</v>
      </c>
      <c r="I594" t="n">
        <v>0</v>
      </c>
      <c r="J594" t="n">
        <v>0</v>
      </c>
      <c r="K594" t="n">
        <v>0</v>
      </c>
      <c r="L594" t="n">
        <v>0</v>
      </c>
      <c r="M594" t="n">
        <v>0</v>
      </c>
      <c r="N594" t="n">
        <v>0</v>
      </c>
      <c r="O594" t="n">
        <v>0</v>
      </c>
      <c r="P594" t="n">
        <v>0</v>
      </c>
      <c r="Q594" t="n">
        <v>0</v>
      </c>
      <c r="R594" s="2" t="inlineStr"/>
    </row>
    <row r="595" ht="15" customHeight="1">
      <c r="A595" t="inlineStr">
        <is>
          <t>A 5246-2025</t>
        </is>
      </c>
      <c r="B595" s="1" t="n">
        <v>45692.34427083333</v>
      </c>
      <c r="C595" s="1" t="n">
        <v>45878</v>
      </c>
      <c r="D595" t="inlineStr">
        <is>
          <t>VÄSTERNORRLANDS LÄN</t>
        </is>
      </c>
      <c r="E595" t="inlineStr">
        <is>
          <t>ÅNGE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41829-2021</t>
        </is>
      </c>
      <c r="B596" s="1" t="n">
        <v>44425.92202546296</v>
      </c>
      <c r="C596" s="1" t="n">
        <v>45878</v>
      </c>
      <c r="D596" t="inlineStr">
        <is>
          <t>VÄSTERNORRLANDS LÄN</t>
        </is>
      </c>
      <c r="E596" t="inlineStr">
        <is>
          <t>ÅNGE</t>
        </is>
      </c>
      <c r="G596" t="n">
        <v>1.6</v>
      </c>
      <c r="H596" t="n">
        <v>0</v>
      </c>
      <c r="I596" t="n">
        <v>0</v>
      </c>
      <c r="J596" t="n">
        <v>0</v>
      </c>
      <c r="K596" t="n">
        <v>0</v>
      </c>
      <c r="L596" t="n">
        <v>0</v>
      </c>
      <c r="M596" t="n">
        <v>0</v>
      </c>
      <c r="N596" t="n">
        <v>0</v>
      </c>
      <c r="O596" t="n">
        <v>0</v>
      </c>
      <c r="P596" t="n">
        <v>0</v>
      </c>
      <c r="Q596" t="n">
        <v>0</v>
      </c>
      <c r="R596" s="2" t="inlineStr"/>
    </row>
    <row r="597" ht="15" customHeight="1">
      <c r="A597" t="inlineStr">
        <is>
          <t>A 1095-2023</t>
        </is>
      </c>
      <c r="B597" s="1" t="n">
        <v>44929</v>
      </c>
      <c r="C597" s="1" t="n">
        <v>45878</v>
      </c>
      <c r="D597" t="inlineStr">
        <is>
          <t>VÄSTERNORRLANDS LÄN</t>
        </is>
      </c>
      <c r="E597" t="inlineStr">
        <is>
          <t>ÅNGE</t>
        </is>
      </c>
      <c r="G597" t="n">
        <v>3.2</v>
      </c>
      <c r="H597" t="n">
        <v>0</v>
      </c>
      <c r="I597" t="n">
        <v>0</v>
      </c>
      <c r="J597" t="n">
        <v>0</v>
      </c>
      <c r="K597" t="n">
        <v>0</v>
      </c>
      <c r="L597" t="n">
        <v>0</v>
      </c>
      <c r="M597" t="n">
        <v>0</v>
      </c>
      <c r="N597" t="n">
        <v>0</v>
      </c>
      <c r="O597" t="n">
        <v>0</v>
      </c>
      <c r="P597" t="n">
        <v>0</v>
      </c>
      <c r="Q597" t="n">
        <v>0</v>
      </c>
      <c r="R597" s="2" t="inlineStr"/>
    </row>
    <row r="598" ht="15" customHeight="1">
      <c r="A598" t="inlineStr">
        <is>
          <t>A 64121-2021</t>
        </is>
      </c>
      <c r="B598" s="1" t="n">
        <v>44510.4730787037</v>
      </c>
      <c r="C598" s="1" t="n">
        <v>45878</v>
      </c>
      <c r="D598" t="inlineStr">
        <is>
          <t>VÄSTERNORRLANDS LÄN</t>
        </is>
      </c>
      <c r="E598" t="inlineStr">
        <is>
          <t>ÅNGE</t>
        </is>
      </c>
      <c r="G598" t="n">
        <v>1.1</v>
      </c>
      <c r="H598" t="n">
        <v>0</v>
      </c>
      <c r="I598" t="n">
        <v>0</v>
      </c>
      <c r="J598" t="n">
        <v>0</v>
      </c>
      <c r="K598" t="n">
        <v>0</v>
      </c>
      <c r="L598" t="n">
        <v>0</v>
      </c>
      <c r="M598" t="n">
        <v>0</v>
      </c>
      <c r="N598" t="n">
        <v>0</v>
      </c>
      <c r="O598" t="n">
        <v>0</v>
      </c>
      <c r="P598" t="n">
        <v>0</v>
      </c>
      <c r="Q598" t="n">
        <v>0</v>
      </c>
      <c r="R598" s="2" t="inlineStr"/>
    </row>
    <row r="599" ht="15" customHeight="1">
      <c r="A599" t="inlineStr">
        <is>
          <t>A 1116-2023</t>
        </is>
      </c>
      <c r="B599" s="1" t="n">
        <v>44929</v>
      </c>
      <c r="C599" s="1" t="n">
        <v>45878</v>
      </c>
      <c r="D599" t="inlineStr">
        <is>
          <t>VÄSTERNORRLANDS LÄN</t>
        </is>
      </c>
      <c r="E599" t="inlineStr">
        <is>
          <t>ÅNGE</t>
        </is>
      </c>
      <c r="G599" t="n">
        <v>17.2</v>
      </c>
      <c r="H599" t="n">
        <v>0</v>
      </c>
      <c r="I599" t="n">
        <v>0</v>
      </c>
      <c r="J599" t="n">
        <v>0</v>
      </c>
      <c r="K599" t="n">
        <v>0</v>
      </c>
      <c r="L599" t="n">
        <v>0</v>
      </c>
      <c r="M599" t="n">
        <v>0</v>
      </c>
      <c r="N599" t="n">
        <v>0</v>
      </c>
      <c r="O599" t="n">
        <v>0</v>
      </c>
      <c r="P599" t="n">
        <v>0</v>
      </c>
      <c r="Q599" t="n">
        <v>0</v>
      </c>
      <c r="R599" s="2" t="inlineStr"/>
    </row>
    <row r="600" ht="15" customHeight="1">
      <c r="A600" t="inlineStr">
        <is>
          <t>A 42881-2024</t>
        </is>
      </c>
      <c r="B600" s="1" t="n">
        <v>45566.70916666667</v>
      </c>
      <c r="C600" s="1" t="n">
        <v>45878</v>
      </c>
      <c r="D600" t="inlineStr">
        <is>
          <t>VÄSTERNORRLANDS LÄN</t>
        </is>
      </c>
      <c r="E600" t="inlineStr">
        <is>
          <t>ÅNGE</t>
        </is>
      </c>
      <c r="G600" t="n">
        <v>1.9</v>
      </c>
      <c r="H600" t="n">
        <v>0</v>
      </c>
      <c r="I600" t="n">
        <v>0</v>
      </c>
      <c r="J600" t="n">
        <v>0</v>
      </c>
      <c r="K600" t="n">
        <v>0</v>
      </c>
      <c r="L600" t="n">
        <v>0</v>
      </c>
      <c r="M600" t="n">
        <v>0</v>
      </c>
      <c r="N600" t="n">
        <v>0</v>
      </c>
      <c r="O600" t="n">
        <v>0</v>
      </c>
      <c r="P600" t="n">
        <v>0</v>
      </c>
      <c r="Q600" t="n">
        <v>0</v>
      </c>
      <c r="R600" s="2" t="inlineStr"/>
    </row>
    <row r="601" ht="15" customHeight="1">
      <c r="A601" t="inlineStr">
        <is>
          <t>A 50651-2021</t>
        </is>
      </c>
      <c r="B601" s="1" t="n">
        <v>44459</v>
      </c>
      <c r="C601" s="1" t="n">
        <v>45878</v>
      </c>
      <c r="D601" t="inlineStr">
        <is>
          <t>VÄSTERNORRLANDS LÄN</t>
        </is>
      </c>
      <c r="E601" t="inlineStr">
        <is>
          <t>ÅNGE</t>
        </is>
      </c>
      <c r="G601" t="n">
        <v>20.6</v>
      </c>
      <c r="H601" t="n">
        <v>0</v>
      </c>
      <c r="I601" t="n">
        <v>0</v>
      </c>
      <c r="J601" t="n">
        <v>0</v>
      </c>
      <c r="K601" t="n">
        <v>0</v>
      </c>
      <c r="L601" t="n">
        <v>0</v>
      </c>
      <c r="M601" t="n">
        <v>0</v>
      </c>
      <c r="N601" t="n">
        <v>0</v>
      </c>
      <c r="O601" t="n">
        <v>0</v>
      </c>
      <c r="P601" t="n">
        <v>0</v>
      </c>
      <c r="Q601" t="n">
        <v>0</v>
      </c>
      <c r="R601" s="2" t="inlineStr"/>
    </row>
    <row r="602" ht="15" customHeight="1">
      <c r="A602" t="inlineStr">
        <is>
          <t>A 22752-2023</t>
        </is>
      </c>
      <c r="B602" s="1" t="n">
        <v>45071.94104166667</v>
      </c>
      <c r="C602" s="1" t="n">
        <v>45878</v>
      </c>
      <c r="D602" t="inlineStr">
        <is>
          <t>VÄSTERNORRLANDS LÄN</t>
        </is>
      </c>
      <c r="E602" t="inlineStr">
        <is>
          <t>ÅNGE</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60779-2024</t>
        </is>
      </c>
      <c r="B603" s="1" t="n">
        <v>45644</v>
      </c>
      <c r="C603" s="1" t="n">
        <v>45878</v>
      </c>
      <c r="D603" t="inlineStr">
        <is>
          <t>VÄSTERNORRLANDS LÄN</t>
        </is>
      </c>
      <c r="E603" t="inlineStr">
        <is>
          <t>ÅNGE</t>
        </is>
      </c>
      <c r="G603" t="n">
        <v>3.1</v>
      </c>
      <c r="H603" t="n">
        <v>0</v>
      </c>
      <c r="I603" t="n">
        <v>0</v>
      </c>
      <c r="J603" t="n">
        <v>0</v>
      </c>
      <c r="K603" t="n">
        <v>0</v>
      </c>
      <c r="L603" t="n">
        <v>0</v>
      </c>
      <c r="M603" t="n">
        <v>0</v>
      </c>
      <c r="N603" t="n">
        <v>0</v>
      </c>
      <c r="O603" t="n">
        <v>0</v>
      </c>
      <c r="P603" t="n">
        <v>0</v>
      </c>
      <c r="Q603" t="n">
        <v>0</v>
      </c>
      <c r="R603" s="2" t="inlineStr"/>
    </row>
    <row r="604" ht="15" customHeight="1">
      <c r="A604" t="inlineStr">
        <is>
          <t>A 28428-2023</t>
        </is>
      </c>
      <c r="B604" s="1" t="n">
        <v>45102</v>
      </c>
      <c r="C604" s="1" t="n">
        <v>45878</v>
      </c>
      <c r="D604" t="inlineStr">
        <is>
          <t>VÄSTERNORRLANDS LÄN</t>
        </is>
      </c>
      <c r="E604" t="inlineStr">
        <is>
          <t>ÅNGE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43366-2024</t>
        </is>
      </c>
      <c r="B605" s="1" t="n">
        <v>45568</v>
      </c>
      <c r="C605" s="1" t="n">
        <v>45878</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50612-2024</t>
        </is>
      </c>
      <c r="B606" s="1" t="n">
        <v>45601</v>
      </c>
      <c r="C606" s="1" t="n">
        <v>45878</v>
      </c>
      <c r="D606" t="inlineStr">
        <is>
          <t>VÄSTERNORRLANDS LÄN</t>
        </is>
      </c>
      <c r="E606" t="inlineStr">
        <is>
          <t>ÅNGE</t>
        </is>
      </c>
      <c r="G606" t="n">
        <v>1.9</v>
      </c>
      <c r="H606" t="n">
        <v>0</v>
      </c>
      <c r="I606" t="n">
        <v>0</v>
      </c>
      <c r="J606" t="n">
        <v>0</v>
      </c>
      <c r="K606" t="n">
        <v>0</v>
      </c>
      <c r="L606" t="n">
        <v>0</v>
      </c>
      <c r="M606" t="n">
        <v>0</v>
      </c>
      <c r="N606" t="n">
        <v>0</v>
      </c>
      <c r="O606" t="n">
        <v>0</v>
      </c>
      <c r="P606" t="n">
        <v>0</v>
      </c>
      <c r="Q606" t="n">
        <v>0</v>
      </c>
      <c r="R606" s="2" t="inlineStr"/>
    </row>
    <row r="607" ht="15" customHeight="1">
      <c r="A607" t="inlineStr">
        <is>
          <t>A 13491-2023</t>
        </is>
      </c>
      <c r="B607" s="1" t="n">
        <v>45005.93929398148</v>
      </c>
      <c r="C607" s="1" t="n">
        <v>45878</v>
      </c>
      <c r="D607" t="inlineStr">
        <is>
          <t>VÄSTERNORRLANDS LÄN</t>
        </is>
      </c>
      <c r="E607" t="inlineStr">
        <is>
          <t>ÅNGE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34491-2023</t>
        </is>
      </c>
      <c r="B608" s="1" t="n">
        <v>45139.94775462963</v>
      </c>
      <c r="C608" s="1" t="n">
        <v>45878</v>
      </c>
      <c r="D608" t="inlineStr">
        <is>
          <t>VÄSTERNORRLANDS LÄN</t>
        </is>
      </c>
      <c r="E608" t="inlineStr">
        <is>
          <t>ÅNGE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47243-2024</t>
        </is>
      </c>
      <c r="B609" s="1" t="n">
        <v>45586.6987962963</v>
      </c>
      <c r="C609" s="1" t="n">
        <v>45878</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10089-2023</t>
        </is>
      </c>
      <c r="B610" s="1" t="n">
        <v>44985</v>
      </c>
      <c r="C610" s="1" t="n">
        <v>45878</v>
      </c>
      <c r="D610" t="inlineStr">
        <is>
          <t>VÄSTERNORRLANDS LÄN</t>
        </is>
      </c>
      <c r="E610" t="inlineStr">
        <is>
          <t>ÅNGE</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10090-2023</t>
        </is>
      </c>
      <c r="B611" s="1" t="n">
        <v>44985.94511574074</v>
      </c>
      <c r="C611" s="1" t="n">
        <v>45878</v>
      </c>
      <c r="D611" t="inlineStr">
        <is>
          <t>VÄSTERNORRLANDS LÄN</t>
        </is>
      </c>
      <c r="E611" t="inlineStr">
        <is>
          <t>ÅNGE</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39005-2024</t>
        </is>
      </c>
      <c r="B612" s="1" t="n">
        <v>45548.42743055556</v>
      </c>
      <c r="C612" s="1" t="n">
        <v>45878</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63216-2023</t>
        </is>
      </c>
      <c r="B613" s="1" t="n">
        <v>45273.62721064815</v>
      </c>
      <c r="C613" s="1" t="n">
        <v>45878</v>
      </c>
      <c r="D613" t="inlineStr">
        <is>
          <t>VÄSTERNORRLANDS LÄN</t>
        </is>
      </c>
      <c r="E613" t="inlineStr">
        <is>
          <t>ÅNGE</t>
        </is>
      </c>
      <c r="F613" t="inlineStr">
        <is>
          <t>Holmen skog AB</t>
        </is>
      </c>
      <c r="G613" t="n">
        <v>2.9</v>
      </c>
      <c r="H613" t="n">
        <v>0</v>
      </c>
      <c r="I613" t="n">
        <v>0</v>
      </c>
      <c r="J613" t="n">
        <v>0</v>
      </c>
      <c r="K613" t="n">
        <v>0</v>
      </c>
      <c r="L613" t="n">
        <v>0</v>
      </c>
      <c r="M613" t="n">
        <v>0</v>
      </c>
      <c r="N613" t="n">
        <v>0</v>
      </c>
      <c r="O613" t="n">
        <v>0</v>
      </c>
      <c r="P613" t="n">
        <v>0</v>
      </c>
      <c r="Q613" t="n">
        <v>0</v>
      </c>
      <c r="R613" s="2" t="inlineStr"/>
    </row>
    <row r="614" ht="15" customHeight="1">
      <c r="A614" t="inlineStr">
        <is>
          <t>A 37540-2024</t>
        </is>
      </c>
      <c r="B614" s="1" t="n">
        <v>45541.42111111111</v>
      </c>
      <c r="C614" s="1" t="n">
        <v>45878</v>
      </c>
      <c r="D614" t="inlineStr">
        <is>
          <t>VÄSTERNORRLANDS LÄN</t>
        </is>
      </c>
      <c r="E614" t="inlineStr">
        <is>
          <t>ÅNGE</t>
        </is>
      </c>
      <c r="G614" t="n">
        <v>0.5</v>
      </c>
      <c r="H614" t="n">
        <v>0</v>
      </c>
      <c r="I614" t="n">
        <v>0</v>
      </c>
      <c r="J614" t="n">
        <v>0</v>
      </c>
      <c r="K614" t="n">
        <v>0</v>
      </c>
      <c r="L614" t="n">
        <v>0</v>
      </c>
      <c r="M614" t="n">
        <v>0</v>
      </c>
      <c r="N614" t="n">
        <v>0</v>
      </c>
      <c r="O614" t="n">
        <v>0</v>
      </c>
      <c r="P614" t="n">
        <v>0</v>
      </c>
      <c r="Q614" t="n">
        <v>0</v>
      </c>
      <c r="R614" s="2" t="inlineStr"/>
    </row>
    <row r="615" ht="15" customHeight="1">
      <c r="A615" t="inlineStr">
        <is>
          <t>A 55197-2022</t>
        </is>
      </c>
      <c r="B615" s="1" t="n">
        <v>44886.93714120371</v>
      </c>
      <c r="C615" s="1" t="n">
        <v>45878</v>
      </c>
      <c r="D615" t="inlineStr">
        <is>
          <t>VÄSTERNORRLANDS LÄN</t>
        </is>
      </c>
      <c r="E615" t="inlineStr">
        <is>
          <t>ÅNGE</t>
        </is>
      </c>
      <c r="G615" t="n">
        <v>1.4</v>
      </c>
      <c r="H615" t="n">
        <v>0</v>
      </c>
      <c r="I615" t="n">
        <v>0</v>
      </c>
      <c r="J615" t="n">
        <v>0</v>
      </c>
      <c r="K615" t="n">
        <v>0</v>
      </c>
      <c r="L615" t="n">
        <v>0</v>
      </c>
      <c r="M615" t="n">
        <v>0</v>
      </c>
      <c r="N615" t="n">
        <v>0</v>
      </c>
      <c r="O615" t="n">
        <v>0</v>
      </c>
      <c r="P615" t="n">
        <v>0</v>
      </c>
      <c r="Q615" t="n">
        <v>0</v>
      </c>
      <c r="R615" s="2" t="inlineStr"/>
    </row>
    <row r="616" ht="15" customHeight="1">
      <c r="A616" t="inlineStr">
        <is>
          <t>A 42948-2024</t>
        </is>
      </c>
      <c r="B616" s="1" t="n">
        <v>45567.36628472222</v>
      </c>
      <c r="C616" s="1" t="n">
        <v>45878</v>
      </c>
      <c r="D616" t="inlineStr">
        <is>
          <t>VÄSTERNORRLANDS LÄN</t>
        </is>
      </c>
      <c r="E616" t="inlineStr">
        <is>
          <t>ÅNGE</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50186-2021</t>
        </is>
      </c>
      <c r="B617" s="1" t="n">
        <v>44456</v>
      </c>
      <c r="C617" s="1" t="n">
        <v>45878</v>
      </c>
      <c r="D617" t="inlineStr">
        <is>
          <t>VÄSTERNORRLANDS LÄN</t>
        </is>
      </c>
      <c r="E617" t="inlineStr">
        <is>
          <t>ÅNGE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57593-2022</t>
        </is>
      </c>
      <c r="B618" s="1" t="n">
        <v>44896.97847222222</v>
      </c>
      <c r="C618" s="1" t="n">
        <v>45878</v>
      </c>
      <c r="D618" t="inlineStr">
        <is>
          <t>VÄSTERNORRLANDS LÄN</t>
        </is>
      </c>
      <c r="E618" t="inlineStr">
        <is>
          <t>ÅNGE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57596-2022</t>
        </is>
      </c>
      <c r="B619" s="1" t="n">
        <v>44896.97871527778</v>
      </c>
      <c r="C619" s="1" t="n">
        <v>45878</v>
      </c>
      <c r="D619" t="inlineStr">
        <is>
          <t>VÄSTERNORRLANDS LÄN</t>
        </is>
      </c>
      <c r="E619" t="inlineStr">
        <is>
          <t>ÅNGE</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45703-2022</t>
        </is>
      </c>
      <c r="B620" s="1" t="n">
        <v>44845</v>
      </c>
      <c r="C620" s="1" t="n">
        <v>45878</v>
      </c>
      <c r="D620" t="inlineStr">
        <is>
          <t>VÄSTERNORRLANDS LÄN</t>
        </is>
      </c>
      <c r="E620" t="inlineStr">
        <is>
          <t>ÅNGE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54585-2024</t>
        </is>
      </c>
      <c r="B621" s="1" t="n">
        <v>45617.65762731482</v>
      </c>
      <c r="C621" s="1" t="n">
        <v>45878</v>
      </c>
      <c r="D621" t="inlineStr">
        <is>
          <t>VÄSTERNORRLANDS LÄN</t>
        </is>
      </c>
      <c r="E621" t="inlineStr">
        <is>
          <t>ÅNGE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15404-2025</t>
        </is>
      </c>
      <c r="B622" s="1" t="n">
        <v>45747.44665509259</v>
      </c>
      <c r="C622" s="1" t="n">
        <v>45878</v>
      </c>
      <c r="D622" t="inlineStr">
        <is>
          <t>VÄSTERNORRLANDS LÄN</t>
        </is>
      </c>
      <c r="E622" t="inlineStr">
        <is>
          <t>ÅNGE</t>
        </is>
      </c>
      <c r="G622" t="n">
        <v>11.8</v>
      </c>
      <c r="H622" t="n">
        <v>0</v>
      </c>
      <c r="I622" t="n">
        <v>0</v>
      </c>
      <c r="J622" t="n">
        <v>0</v>
      </c>
      <c r="K622" t="n">
        <v>0</v>
      </c>
      <c r="L622" t="n">
        <v>0</v>
      </c>
      <c r="M622" t="n">
        <v>0</v>
      </c>
      <c r="N622" t="n">
        <v>0</v>
      </c>
      <c r="O622" t="n">
        <v>0</v>
      </c>
      <c r="P622" t="n">
        <v>0</v>
      </c>
      <c r="Q622" t="n">
        <v>0</v>
      </c>
      <c r="R622" s="2" t="inlineStr"/>
    </row>
    <row r="623" ht="15" customHeight="1">
      <c r="A623" t="inlineStr">
        <is>
          <t>A 17703-2025</t>
        </is>
      </c>
      <c r="B623" s="1" t="n">
        <v>45758.4275462963</v>
      </c>
      <c r="C623" s="1" t="n">
        <v>45878</v>
      </c>
      <c r="D623" t="inlineStr">
        <is>
          <t>VÄSTERNORRLANDS LÄN</t>
        </is>
      </c>
      <c r="E623" t="inlineStr">
        <is>
          <t>ÅNGE</t>
        </is>
      </c>
      <c r="G623" t="n">
        <v>2.5</v>
      </c>
      <c r="H623" t="n">
        <v>0</v>
      </c>
      <c r="I623" t="n">
        <v>0</v>
      </c>
      <c r="J623" t="n">
        <v>0</v>
      </c>
      <c r="K623" t="n">
        <v>0</v>
      </c>
      <c r="L623" t="n">
        <v>0</v>
      </c>
      <c r="M623" t="n">
        <v>0</v>
      </c>
      <c r="N623" t="n">
        <v>0</v>
      </c>
      <c r="O623" t="n">
        <v>0</v>
      </c>
      <c r="P623" t="n">
        <v>0</v>
      </c>
      <c r="Q623" t="n">
        <v>0</v>
      </c>
      <c r="R623" s="2" t="inlineStr"/>
    </row>
    <row r="624" ht="15" customHeight="1">
      <c r="A624" t="inlineStr">
        <is>
          <t>A 41222-2024</t>
        </is>
      </c>
      <c r="B624" s="1" t="n">
        <v>45559.55306712963</v>
      </c>
      <c r="C624" s="1" t="n">
        <v>45878</v>
      </c>
      <c r="D624" t="inlineStr">
        <is>
          <t>VÄSTERNORRLANDS LÄN</t>
        </is>
      </c>
      <c r="E624" t="inlineStr">
        <is>
          <t>ÅNGE</t>
        </is>
      </c>
      <c r="G624" t="n">
        <v>0.4</v>
      </c>
      <c r="H624" t="n">
        <v>0</v>
      </c>
      <c r="I624" t="n">
        <v>0</v>
      </c>
      <c r="J624" t="n">
        <v>0</v>
      </c>
      <c r="K624" t="n">
        <v>0</v>
      </c>
      <c r="L624" t="n">
        <v>0</v>
      </c>
      <c r="M624" t="n">
        <v>0</v>
      </c>
      <c r="N624" t="n">
        <v>0</v>
      </c>
      <c r="O624" t="n">
        <v>0</v>
      </c>
      <c r="P624" t="n">
        <v>0</v>
      </c>
      <c r="Q624" t="n">
        <v>0</v>
      </c>
      <c r="R624" s="2" t="inlineStr"/>
    </row>
    <row r="625" ht="15" customHeight="1">
      <c r="A625" t="inlineStr">
        <is>
          <t>A 42529-2024</t>
        </is>
      </c>
      <c r="B625" s="1" t="n">
        <v>45565.57324074074</v>
      </c>
      <c r="C625" s="1" t="n">
        <v>45878</v>
      </c>
      <c r="D625" t="inlineStr">
        <is>
          <t>VÄSTERNORRLANDS LÄN</t>
        </is>
      </c>
      <c r="E625" t="inlineStr">
        <is>
          <t>ÅNGE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13091-2024</t>
        </is>
      </c>
      <c r="B626" s="1" t="n">
        <v>45385</v>
      </c>
      <c r="C626" s="1" t="n">
        <v>45878</v>
      </c>
      <c r="D626" t="inlineStr">
        <is>
          <t>VÄSTERNORRLANDS LÄN</t>
        </is>
      </c>
      <c r="E626" t="inlineStr">
        <is>
          <t>ÅNGE</t>
        </is>
      </c>
      <c r="G626" t="n">
        <v>1.1</v>
      </c>
      <c r="H626" t="n">
        <v>0</v>
      </c>
      <c r="I626" t="n">
        <v>0</v>
      </c>
      <c r="J626" t="n">
        <v>0</v>
      </c>
      <c r="K626" t="n">
        <v>0</v>
      </c>
      <c r="L626" t="n">
        <v>0</v>
      </c>
      <c r="M626" t="n">
        <v>0</v>
      </c>
      <c r="N626" t="n">
        <v>0</v>
      </c>
      <c r="O626" t="n">
        <v>0</v>
      </c>
      <c r="P626" t="n">
        <v>0</v>
      </c>
      <c r="Q626" t="n">
        <v>0</v>
      </c>
      <c r="R626" s="2" t="inlineStr"/>
    </row>
    <row r="627" ht="15" customHeight="1">
      <c r="A627" t="inlineStr">
        <is>
          <t>A 31864-2024</t>
        </is>
      </c>
      <c r="B627" s="1" t="n">
        <v>45509.74791666667</v>
      </c>
      <c r="C627" s="1" t="n">
        <v>45878</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3966-2025</t>
        </is>
      </c>
      <c r="B628" s="1" t="n">
        <v>45684.51072916666</v>
      </c>
      <c r="C628" s="1" t="n">
        <v>45878</v>
      </c>
      <c r="D628" t="inlineStr">
        <is>
          <t>VÄSTERNORRLANDS LÄN</t>
        </is>
      </c>
      <c r="E628" t="inlineStr">
        <is>
          <t>ÅNGE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49532-2024</t>
        </is>
      </c>
      <c r="B629" s="1" t="n">
        <v>45596.41797453703</v>
      </c>
      <c r="C629" s="1" t="n">
        <v>45878</v>
      </c>
      <c r="D629" t="inlineStr">
        <is>
          <t>VÄSTERNORRLANDS LÄN</t>
        </is>
      </c>
      <c r="E629" t="inlineStr">
        <is>
          <t>ÅNGE</t>
        </is>
      </c>
      <c r="G629" t="n">
        <v>3.3</v>
      </c>
      <c r="H629" t="n">
        <v>0</v>
      </c>
      <c r="I629" t="n">
        <v>0</v>
      </c>
      <c r="J629" t="n">
        <v>0</v>
      </c>
      <c r="K629" t="n">
        <v>0</v>
      </c>
      <c r="L629" t="n">
        <v>0</v>
      </c>
      <c r="M629" t="n">
        <v>0</v>
      </c>
      <c r="N629" t="n">
        <v>0</v>
      </c>
      <c r="O629" t="n">
        <v>0</v>
      </c>
      <c r="P629" t="n">
        <v>0</v>
      </c>
      <c r="Q629" t="n">
        <v>0</v>
      </c>
      <c r="R629" s="2" t="inlineStr"/>
    </row>
    <row r="630" ht="15" customHeight="1">
      <c r="A630" t="inlineStr">
        <is>
          <t>A 3624-2024</t>
        </is>
      </c>
      <c r="B630" s="1" t="n">
        <v>45320.95305555555</v>
      </c>
      <c r="C630" s="1" t="n">
        <v>45878</v>
      </c>
      <c r="D630" t="inlineStr">
        <is>
          <t>VÄSTERNORRLANDS LÄN</t>
        </is>
      </c>
      <c r="E630" t="inlineStr">
        <is>
          <t>ÅNGE</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40790-2023</t>
        </is>
      </c>
      <c r="B631" s="1" t="n">
        <v>45170.95814814815</v>
      </c>
      <c r="C631" s="1" t="n">
        <v>45878</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11310-2023</t>
        </is>
      </c>
      <c r="B632" s="1" t="n">
        <v>44993.01190972222</v>
      </c>
      <c r="C632" s="1" t="n">
        <v>45878</v>
      </c>
      <c r="D632" t="inlineStr">
        <is>
          <t>VÄSTERNORRLANDS LÄN</t>
        </is>
      </c>
      <c r="E632" t="inlineStr">
        <is>
          <t>ÅNGE</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1090-2023</t>
        </is>
      </c>
      <c r="B633" s="1" t="n">
        <v>44929</v>
      </c>
      <c r="C633" s="1" t="n">
        <v>45878</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1127-2023</t>
        </is>
      </c>
      <c r="B634" s="1" t="n">
        <v>44929</v>
      </c>
      <c r="C634" s="1" t="n">
        <v>45878</v>
      </c>
      <c r="D634" t="inlineStr">
        <is>
          <t>VÄSTERNORRLANDS LÄN</t>
        </is>
      </c>
      <c r="E634" t="inlineStr">
        <is>
          <t>ÅNGE</t>
        </is>
      </c>
      <c r="G634" t="n">
        <v>10.5</v>
      </c>
      <c r="H634" t="n">
        <v>0</v>
      </c>
      <c r="I634" t="n">
        <v>0</v>
      </c>
      <c r="J634" t="n">
        <v>0</v>
      </c>
      <c r="K634" t="n">
        <v>0</v>
      </c>
      <c r="L634" t="n">
        <v>0</v>
      </c>
      <c r="M634" t="n">
        <v>0</v>
      </c>
      <c r="N634" t="n">
        <v>0</v>
      </c>
      <c r="O634" t="n">
        <v>0</v>
      </c>
      <c r="P634" t="n">
        <v>0</v>
      </c>
      <c r="Q634" t="n">
        <v>0</v>
      </c>
      <c r="R634" s="2" t="inlineStr"/>
    </row>
    <row r="635" ht="15" customHeight="1">
      <c r="A635" t="inlineStr">
        <is>
          <t>A 54316-2024</t>
        </is>
      </c>
      <c r="B635" s="1" t="n">
        <v>45617.34443287037</v>
      </c>
      <c r="C635" s="1" t="n">
        <v>45878</v>
      </c>
      <c r="D635" t="inlineStr">
        <is>
          <t>VÄSTERNORRLANDS LÄN</t>
        </is>
      </c>
      <c r="E635" t="inlineStr">
        <is>
          <t>ÅNGE</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4186-2025</t>
        </is>
      </c>
      <c r="B636" s="1" t="n">
        <v>45685.44827546296</v>
      </c>
      <c r="C636" s="1" t="n">
        <v>45878</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41781-2024</t>
        </is>
      </c>
      <c r="B637" s="1" t="n">
        <v>45561.34938657407</v>
      </c>
      <c r="C637" s="1" t="n">
        <v>45878</v>
      </c>
      <c r="D637" t="inlineStr">
        <is>
          <t>VÄSTERNORRLANDS LÄN</t>
        </is>
      </c>
      <c r="E637" t="inlineStr">
        <is>
          <t>ÅNGE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58469-2023</t>
        </is>
      </c>
      <c r="B638" s="1" t="n">
        <v>45250</v>
      </c>
      <c r="C638" s="1" t="n">
        <v>45878</v>
      </c>
      <c r="D638" t="inlineStr">
        <is>
          <t>VÄSTERNORRLANDS LÄN</t>
        </is>
      </c>
      <c r="E638" t="inlineStr">
        <is>
          <t>ÅNGE</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53209-2024</t>
        </is>
      </c>
      <c r="B639" s="1" t="n">
        <v>45612.51079861111</v>
      </c>
      <c r="C639" s="1" t="n">
        <v>45878</v>
      </c>
      <c r="D639" t="inlineStr">
        <is>
          <t>VÄSTERNORRLANDS LÄN</t>
        </is>
      </c>
      <c r="E639" t="inlineStr">
        <is>
          <t>ÅNGE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42090-2024</t>
        </is>
      </c>
      <c r="B640" s="1" t="n">
        <v>45562</v>
      </c>
      <c r="C640" s="1" t="n">
        <v>45878</v>
      </c>
      <c r="D640" t="inlineStr">
        <is>
          <t>VÄSTERNORRLANDS LÄN</t>
        </is>
      </c>
      <c r="E640" t="inlineStr">
        <is>
          <t>ÅNGE</t>
        </is>
      </c>
      <c r="F640" t="inlineStr">
        <is>
          <t>SCA</t>
        </is>
      </c>
      <c r="G640" t="n">
        <v>20.2</v>
      </c>
      <c r="H640" t="n">
        <v>0</v>
      </c>
      <c r="I640" t="n">
        <v>0</v>
      </c>
      <c r="J640" t="n">
        <v>0</v>
      </c>
      <c r="K640" t="n">
        <v>0</v>
      </c>
      <c r="L640" t="n">
        <v>0</v>
      </c>
      <c r="M640" t="n">
        <v>0</v>
      </c>
      <c r="N640" t="n">
        <v>0</v>
      </c>
      <c r="O640" t="n">
        <v>0</v>
      </c>
      <c r="P640" t="n">
        <v>0</v>
      </c>
      <c r="Q640" t="n">
        <v>0</v>
      </c>
      <c r="R640" s="2" t="inlineStr"/>
    </row>
    <row r="641" ht="15" customHeight="1">
      <c r="A641" t="inlineStr">
        <is>
          <t>A 42098-2024</t>
        </is>
      </c>
      <c r="B641" s="1" t="n">
        <v>45562.34532407407</v>
      </c>
      <c r="C641" s="1" t="n">
        <v>45878</v>
      </c>
      <c r="D641" t="inlineStr">
        <is>
          <t>VÄSTERNORRLANDS LÄN</t>
        </is>
      </c>
      <c r="E641" t="inlineStr">
        <is>
          <t>ÅNGE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35426-2024</t>
        </is>
      </c>
      <c r="B642" s="1" t="n">
        <v>45531</v>
      </c>
      <c r="C642" s="1" t="n">
        <v>45878</v>
      </c>
      <c r="D642" t="inlineStr">
        <is>
          <t>VÄSTERNORRLANDS LÄN</t>
        </is>
      </c>
      <c r="E642" t="inlineStr">
        <is>
          <t>ÅNGE</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15778-2025</t>
        </is>
      </c>
      <c r="B643" s="1" t="n">
        <v>45748.60030092593</v>
      </c>
      <c r="C643" s="1" t="n">
        <v>45878</v>
      </c>
      <c r="D643" t="inlineStr">
        <is>
          <t>VÄSTERNORRLANDS LÄN</t>
        </is>
      </c>
      <c r="E643" t="inlineStr">
        <is>
          <t>ÅNGE</t>
        </is>
      </c>
      <c r="F643" t="inlineStr">
        <is>
          <t>SCA</t>
        </is>
      </c>
      <c r="G643" t="n">
        <v>13.6</v>
      </c>
      <c r="H643" t="n">
        <v>0</v>
      </c>
      <c r="I643" t="n">
        <v>0</v>
      </c>
      <c r="J643" t="n">
        <v>0</v>
      </c>
      <c r="K643" t="n">
        <v>0</v>
      </c>
      <c r="L643" t="n">
        <v>0</v>
      </c>
      <c r="M643" t="n">
        <v>0</v>
      </c>
      <c r="N643" t="n">
        <v>0</v>
      </c>
      <c r="O643" t="n">
        <v>0</v>
      </c>
      <c r="P643" t="n">
        <v>0</v>
      </c>
      <c r="Q643" t="n">
        <v>0</v>
      </c>
      <c r="R643" s="2" t="inlineStr"/>
    </row>
    <row r="644" ht="15" customHeight="1">
      <c r="A644" t="inlineStr">
        <is>
          <t>A 55324-2023</t>
        </is>
      </c>
      <c r="B644" s="1" t="n">
        <v>45237.9734837963</v>
      </c>
      <c r="C644" s="1" t="n">
        <v>45878</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17718-2025</t>
        </is>
      </c>
      <c r="B645" s="1" t="n">
        <v>45758.44815972223</v>
      </c>
      <c r="C645" s="1" t="n">
        <v>45878</v>
      </c>
      <c r="D645" t="inlineStr">
        <is>
          <t>VÄSTERNORRLANDS LÄN</t>
        </is>
      </c>
      <c r="E645" t="inlineStr">
        <is>
          <t>ÅNGE</t>
        </is>
      </c>
      <c r="G645" t="n">
        <v>5.1</v>
      </c>
      <c r="H645" t="n">
        <v>0</v>
      </c>
      <c r="I645" t="n">
        <v>0</v>
      </c>
      <c r="J645" t="n">
        <v>0</v>
      </c>
      <c r="K645" t="n">
        <v>0</v>
      </c>
      <c r="L645" t="n">
        <v>0</v>
      </c>
      <c r="M645" t="n">
        <v>0</v>
      </c>
      <c r="N645" t="n">
        <v>0</v>
      </c>
      <c r="O645" t="n">
        <v>0</v>
      </c>
      <c r="P645" t="n">
        <v>0</v>
      </c>
      <c r="Q645" t="n">
        <v>0</v>
      </c>
      <c r="R645" s="2" t="inlineStr"/>
    </row>
    <row r="646" ht="15" customHeight="1">
      <c r="A646" t="inlineStr">
        <is>
          <t>A 31545-2024</t>
        </is>
      </c>
      <c r="B646" s="1" t="n">
        <v>45505</v>
      </c>
      <c r="C646" s="1" t="n">
        <v>45878</v>
      </c>
      <c r="D646" t="inlineStr">
        <is>
          <t>VÄSTERNORRLANDS LÄN</t>
        </is>
      </c>
      <c r="E646" t="inlineStr">
        <is>
          <t>ÅNGE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32458-2024</t>
        </is>
      </c>
      <c r="B647" s="1" t="n">
        <v>45512</v>
      </c>
      <c r="C647" s="1" t="n">
        <v>45878</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53171-2020</t>
        </is>
      </c>
      <c r="B648" s="1" t="n">
        <v>44120</v>
      </c>
      <c r="C648" s="1" t="n">
        <v>45878</v>
      </c>
      <c r="D648" t="inlineStr">
        <is>
          <t>VÄSTERNORRLANDS LÄN</t>
        </is>
      </c>
      <c r="E648" t="inlineStr">
        <is>
          <t>ÅNGE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4361-2024</t>
        </is>
      </c>
      <c r="B649" s="1" t="n">
        <v>45325.65047453704</v>
      </c>
      <c r="C649" s="1" t="n">
        <v>45878</v>
      </c>
      <c r="D649" t="inlineStr">
        <is>
          <t>VÄSTERNORRLANDS LÄN</t>
        </is>
      </c>
      <c r="E649" t="inlineStr">
        <is>
          <t>ÅNGE</t>
        </is>
      </c>
      <c r="G649" t="n">
        <v>1.3</v>
      </c>
      <c r="H649" t="n">
        <v>0</v>
      </c>
      <c r="I649" t="n">
        <v>0</v>
      </c>
      <c r="J649" t="n">
        <v>0</v>
      </c>
      <c r="K649" t="n">
        <v>0</v>
      </c>
      <c r="L649" t="n">
        <v>0</v>
      </c>
      <c r="M649" t="n">
        <v>0</v>
      </c>
      <c r="N649" t="n">
        <v>0</v>
      </c>
      <c r="O649" t="n">
        <v>0</v>
      </c>
      <c r="P649" t="n">
        <v>0</v>
      </c>
      <c r="Q649" t="n">
        <v>0</v>
      </c>
      <c r="R649" s="2" t="inlineStr"/>
    </row>
    <row r="650" ht="15" customHeight="1">
      <c r="A650" t="inlineStr">
        <is>
          <t>A 27915-2024</t>
        </is>
      </c>
      <c r="B650" s="1" t="n">
        <v>45475</v>
      </c>
      <c r="C650" s="1" t="n">
        <v>45878</v>
      </c>
      <c r="D650" t="inlineStr">
        <is>
          <t>VÄSTERNORRLANDS LÄN</t>
        </is>
      </c>
      <c r="E650" t="inlineStr">
        <is>
          <t>ÅNGE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65229-2021</t>
        </is>
      </c>
      <c r="B651" s="1" t="n">
        <v>44515</v>
      </c>
      <c r="C651" s="1" t="n">
        <v>45878</v>
      </c>
      <c r="D651" t="inlineStr">
        <is>
          <t>VÄSTERNORRLANDS LÄN</t>
        </is>
      </c>
      <c r="E651" t="inlineStr">
        <is>
          <t>ÅNGE</t>
        </is>
      </c>
      <c r="G651" t="n">
        <v>12.1</v>
      </c>
      <c r="H651" t="n">
        <v>0</v>
      </c>
      <c r="I651" t="n">
        <v>0</v>
      </c>
      <c r="J651" t="n">
        <v>0</v>
      </c>
      <c r="K651" t="n">
        <v>0</v>
      </c>
      <c r="L651" t="n">
        <v>0</v>
      </c>
      <c r="M651" t="n">
        <v>0</v>
      </c>
      <c r="N651" t="n">
        <v>0</v>
      </c>
      <c r="O651" t="n">
        <v>0</v>
      </c>
      <c r="P651" t="n">
        <v>0</v>
      </c>
      <c r="Q651" t="n">
        <v>0</v>
      </c>
      <c r="R651" s="2" t="inlineStr"/>
    </row>
    <row r="652" ht="15" customHeight="1">
      <c r="A652" t="inlineStr">
        <is>
          <t>A 32069-2023</t>
        </is>
      </c>
      <c r="B652" s="1" t="n">
        <v>45107</v>
      </c>
      <c r="C652" s="1" t="n">
        <v>45878</v>
      </c>
      <c r="D652" t="inlineStr">
        <is>
          <t>VÄSTERNORRLANDS LÄN</t>
        </is>
      </c>
      <c r="E652" t="inlineStr">
        <is>
          <t>ÅNGE</t>
        </is>
      </c>
      <c r="G652" t="n">
        <v>4.4</v>
      </c>
      <c r="H652" t="n">
        <v>0</v>
      </c>
      <c r="I652" t="n">
        <v>0</v>
      </c>
      <c r="J652" t="n">
        <v>0</v>
      </c>
      <c r="K652" t="n">
        <v>0</v>
      </c>
      <c r="L652" t="n">
        <v>0</v>
      </c>
      <c r="M652" t="n">
        <v>0</v>
      </c>
      <c r="N652" t="n">
        <v>0</v>
      </c>
      <c r="O652" t="n">
        <v>0</v>
      </c>
      <c r="P652" t="n">
        <v>0</v>
      </c>
      <c r="Q652" t="n">
        <v>0</v>
      </c>
      <c r="R652" s="2" t="inlineStr"/>
    </row>
    <row r="653" ht="15" customHeight="1">
      <c r="A653" t="inlineStr">
        <is>
          <t>A 1964-2022</t>
        </is>
      </c>
      <c r="B653" s="1" t="n">
        <v>44575.5050462963</v>
      </c>
      <c r="C653" s="1" t="n">
        <v>45878</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19829-2025</t>
        </is>
      </c>
      <c r="B654" s="1" t="n">
        <v>45771.46944444445</v>
      </c>
      <c r="C654" s="1" t="n">
        <v>45878</v>
      </c>
      <c r="D654" t="inlineStr">
        <is>
          <t>VÄSTERNORRLANDS LÄN</t>
        </is>
      </c>
      <c r="E654" t="inlineStr">
        <is>
          <t>ÅNGE</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63522-2021</t>
        </is>
      </c>
      <c r="B655" s="1" t="n">
        <v>44508</v>
      </c>
      <c r="C655" s="1" t="n">
        <v>45878</v>
      </c>
      <c r="D655" t="inlineStr">
        <is>
          <t>VÄSTERNORRLANDS LÄN</t>
        </is>
      </c>
      <c r="E655" t="inlineStr">
        <is>
          <t>ÅNGE</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46015-2024</t>
        </is>
      </c>
      <c r="B656" s="1" t="n">
        <v>45580.67760416667</v>
      </c>
      <c r="C656" s="1" t="n">
        <v>45878</v>
      </c>
      <c r="D656" t="inlineStr">
        <is>
          <t>VÄSTERNORRLANDS LÄN</t>
        </is>
      </c>
      <c r="E656" t="inlineStr">
        <is>
          <t>ÅNGE</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38246-2024</t>
        </is>
      </c>
      <c r="B657" s="1" t="n">
        <v>45545.57327546296</v>
      </c>
      <c r="C657" s="1" t="n">
        <v>45878</v>
      </c>
      <c r="D657" t="inlineStr">
        <is>
          <t>VÄSTERNORRLANDS LÄN</t>
        </is>
      </c>
      <c r="E657" t="inlineStr">
        <is>
          <t>ÅNGE</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57287-2022</t>
        </is>
      </c>
      <c r="B658" s="1" t="n">
        <v>44895.95</v>
      </c>
      <c r="C658" s="1" t="n">
        <v>45878</v>
      </c>
      <c r="D658" t="inlineStr">
        <is>
          <t>VÄSTERNORRLANDS LÄN</t>
        </is>
      </c>
      <c r="E658" t="inlineStr">
        <is>
          <t>ÅNGE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57291-2022</t>
        </is>
      </c>
      <c r="B659" s="1" t="n">
        <v>44895</v>
      </c>
      <c r="C659" s="1" t="n">
        <v>45878</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6680-2024</t>
        </is>
      </c>
      <c r="B660" s="1" t="n">
        <v>45341</v>
      </c>
      <c r="C660" s="1" t="n">
        <v>45878</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6685-2024</t>
        </is>
      </c>
      <c r="B661" s="1" t="n">
        <v>45341</v>
      </c>
      <c r="C661" s="1" t="n">
        <v>45878</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6689-2024</t>
        </is>
      </c>
      <c r="B662" s="1" t="n">
        <v>45341.9259375</v>
      </c>
      <c r="C662" s="1" t="n">
        <v>45878</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26943-2024</t>
        </is>
      </c>
      <c r="B663" s="1" t="n">
        <v>45470</v>
      </c>
      <c r="C663" s="1" t="n">
        <v>45878</v>
      </c>
      <c r="D663" t="inlineStr">
        <is>
          <t>VÄSTERNORRLANDS LÄN</t>
        </is>
      </c>
      <c r="E663" t="inlineStr">
        <is>
          <t>ÅNGE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41302-2024</t>
        </is>
      </c>
      <c r="B664" s="1" t="n">
        <v>45559.62077546296</v>
      </c>
      <c r="C664" s="1" t="n">
        <v>45878</v>
      </c>
      <c r="D664" t="inlineStr">
        <is>
          <t>VÄSTERNORRLANDS LÄN</t>
        </is>
      </c>
      <c r="E664" t="inlineStr">
        <is>
          <t>ÅNGE</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16576-2023</t>
        </is>
      </c>
      <c r="B665" s="1" t="n">
        <v>45029.94251157407</v>
      </c>
      <c r="C665" s="1" t="n">
        <v>45878</v>
      </c>
      <c r="D665" t="inlineStr">
        <is>
          <t>VÄSTERNORRLANDS LÄN</t>
        </is>
      </c>
      <c r="E665" t="inlineStr">
        <is>
          <t>ÅNGE</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35488-2024</t>
        </is>
      </c>
      <c r="B666" s="1" t="n">
        <v>45531</v>
      </c>
      <c r="C666" s="1" t="n">
        <v>45878</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53512-2023</t>
        </is>
      </c>
      <c r="B667" s="1" t="n">
        <v>45230</v>
      </c>
      <c r="C667" s="1" t="n">
        <v>45878</v>
      </c>
      <c r="D667" t="inlineStr">
        <is>
          <t>VÄSTERNORRLANDS LÄN</t>
        </is>
      </c>
      <c r="E667" t="inlineStr">
        <is>
          <t>ÅNGE</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37503-2023</t>
        </is>
      </c>
      <c r="B668" s="1" t="n">
        <v>45157.5796875</v>
      </c>
      <c r="C668" s="1" t="n">
        <v>45878</v>
      </c>
      <c r="D668" t="inlineStr">
        <is>
          <t>VÄSTERNORRLANDS LÄN</t>
        </is>
      </c>
      <c r="E668" t="inlineStr">
        <is>
          <t>ÅNGE</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3323-2023</t>
        </is>
      </c>
      <c r="B669" s="1" t="n">
        <v>44945</v>
      </c>
      <c r="C669" s="1" t="n">
        <v>45878</v>
      </c>
      <c r="D669" t="inlineStr">
        <is>
          <t>VÄSTERNORRLANDS LÄN</t>
        </is>
      </c>
      <c r="E669" t="inlineStr">
        <is>
          <t>ÅNGE</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35593-2024</t>
        </is>
      </c>
      <c r="B670" s="1" t="n">
        <v>45531</v>
      </c>
      <c r="C670" s="1" t="n">
        <v>45878</v>
      </c>
      <c r="D670" t="inlineStr">
        <is>
          <t>VÄSTERNORRLANDS LÄN</t>
        </is>
      </c>
      <c r="E670" t="inlineStr">
        <is>
          <t>ÅNGE</t>
        </is>
      </c>
      <c r="G670" t="n">
        <v>17.6</v>
      </c>
      <c r="H670" t="n">
        <v>0</v>
      </c>
      <c r="I670" t="n">
        <v>0</v>
      </c>
      <c r="J670" t="n">
        <v>0</v>
      </c>
      <c r="K670" t="n">
        <v>0</v>
      </c>
      <c r="L670" t="n">
        <v>0</v>
      </c>
      <c r="M670" t="n">
        <v>0</v>
      </c>
      <c r="N670" t="n">
        <v>0</v>
      </c>
      <c r="O670" t="n">
        <v>0</v>
      </c>
      <c r="P670" t="n">
        <v>0</v>
      </c>
      <c r="Q670" t="n">
        <v>0</v>
      </c>
      <c r="R670" s="2" t="inlineStr"/>
    </row>
    <row r="671" ht="15" customHeight="1">
      <c r="A671" t="inlineStr">
        <is>
          <t>A 27468-2024</t>
        </is>
      </c>
      <c r="B671" s="1" t="n">
        <v>45474</v>
      </c>
      <c r="C671" s="1" t="n">
        <v>45878</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30055-2024</t>
        </is>
      </c>
      <c r="B672" s="1" t="n">
        <v>45488.94767361111</v>
      </c>
      <c r="C672" s="1" t="n">
        <v>45878</v>
      </c>
      <c r="D672" t="inlineStr">
        <is>
          <t>VÄSTERNORRLANDS LÄN</t>
        </is>
      </c>
      <c r="E672" t="inlineStr">
        <is>
          <t>ÅNGE</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20716-2025</t>
        </is>
      </c>
      <c r="B673" s="1" t="n">
        <v>45776.49026620371</v>
      </c>
      <c r="C673" s="1" t="n">
        <v>45878</v>
      </c>
      <c r="D673" t="inlineStr">
        <is>
          <t>VÄSTERNORRLANDS LÄN</t>
        </is>
      </c>
      <c r="E673" t="inlineStr">
        <is>
          <t>ÅNGE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20696-2025</t>
        </is>
      </c>
      <c r="B674" s="1" t="n">
        <v>45776.46969907408</v>
      </c>
      <c r="C674" s="1" t="n">
        <v>45878</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20717-2025</t>
        </is>
      </c>
      <c r="B675" s="1" t="n">
        <v>45776.49040509259</v>
      </c>
      <c r="C675" s="1" t="n">
        <v>45878</v>
      </c>
      <c r="D675" t="inlineStr">
        <is>
          <t>VÄSTERNORRLANDS LÄN</t>
        </is>
      </c>
      <c r="E675" t="inlineStr">
        <is>
          <t>ÅNGE</t>
        </is>
      </c>
      <c r="F675" t="inlineStr">
        <is>
          <t>SCA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51377-2024</t>
        </is>
      </c>
      <c r="B676" s="1" t="n">
        <v>45604.38142361111</v>
      </c>
      <c r="C676" s="1" t="n">
        <v>45878</v>
      </c>
      <c r="D676" t="inlineStr">
        <is>
          <t>VÄSTERNORRLANDS LÄN</t>
        </is>
      </c>
      <c r="E676" t="inlineStr">
        <is>
          <t>ÅNGE</t>
        </is>
      </c>
      <c r="G676" t="n">
        <v>0.6</v>
      </c>
      <c r="H676" t="n">
        <v>0</v>
      </c>
      <c r="I676" t="n">
        <v>0</v>
      </c>
      <c r="J676" t="n">
        <v>0</v>
      </c>
      <c r="K676" t="n">
        <v>0</v>
      </c>
      <c r="L676" t="n">
        <v>0</v>
      </c>
      <c r="M676" t="n">
        <v>0</v>
      </c>
      <c r="N676" t="n">
        <v>0</v>
      </c>
      <c r="O676" t="n">
        <v>0</v>
      </c>
      <c r="P676" t="n">
        <v>0</v>
      </c>
      <c r="Q676" t="n">
        <v>0</v>
      </c>
      <c r="R676" s="2" t="inlineStr"/>
    </row>
    <row r="677" ht="15" customHeight="1">
      <c r="A677" t="inlineStr">
        <is>
          <t>A 26011-2024</t>
        </is>
      </c>
      <c r="B677" s="1" t="n">
        <v>45467.95828703704</v>
      </c>
      <c r="C677" s="1" t="n">
        <v>45878</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26014-2024</t>
        </is>
      </c>
      <c r="B678" s="1" t="n">
        <v>45467.95862268518</v>
      </c>
      <c r="C678" s="1" t="n">
        <v>45878</v>
      </c>
      <c r="D678" t="inlineStr">
        <is>
          <t>VÄSTERNORRLANDS LÄN</t>
        </is>
      </c>
      <c r="E678" t="inlineStr">
        <is>
          <t>ÅNGE</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26019-2024</t>
        </is>
      </c>
      <c r="B679" s="1" t="n">
        <v>45467.96015046296</v>
      </c>
      <c r="C679" s="1" t="n">
        <v>45878</v>
      </c>
      <c r="D679" t="inlineStr">
        <is>
          <t>VÄSTERNORRLANDS LÄN</t>
        </is>
      </c>
      <c r="E679" t="inlineStr">
        <is>
          <t>ÅNGE</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20776-2025</t>
        </is>
      </c>
      <c r="B680" s="1" t="n">
        <v>45776.59410879629</v>
      </c>
      <c r="C680" s="1" t="n">
        <v>45878</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3-2025</t>
        </is>
      </c>
      <c r="B681" s="1" t="n">
        <v>45658.49819444444</v>
      </c>
      <c r="C681" s="1" t="n">
        <v>45878</v>
      </c>
      <c r="D681" t="inlineStr">
        <is>
          <t>VÄSTERNORRLANDS LÄN</t>
        </is>
      </c>
      <c r="E681" t="inlineStr">
        <is>
          <t>ÅNGE</t>
        </is>
      </c>
      <c r="G681" t="n">
        <v>2</v>
      </c>
      <c r="H681" t="n">
        <v>0</v>
      </c>
      <c r="I681" t="n">
        <v>0</v>
      </c>
      <c r="J681" t="n">
        <v>0</v>
      </c>
      <c r="K681" t="n">
        <v>0</v>
      </c>
      <c r="L681" t="n">
        <v>0</v>
      </c>
      <c r="M681" t="n">
        <v>0</v>
      </c>
      <c r="N681" t="n">
        <v>0</v>
      </c>
      <c r="O681" t="n">
        <v>0</v>
      </c>
      <c r="P681" t="n">
        <v>0</v>
      </c>
      <c r="Q681" t="n">
        <v>0</v>
      </c>
      <c r="R681" s="2" t="inlineStr"/>
    </row>
    <row r="682" ht="15" customHeight="1">
      <c r="A682" t="inlineStr">
        <is>
          <t>A 20718-2025</t>
        </is>
      </c>
      <c r="B682" s="1" t="n">
        <v>45776.49047453704</v>
      </c>
      <c r="C682" s="1" t="n">
        <v>45878</v>
      </c>
      <c r="D682" t="inlineStr">
        <is>
          <t>VÄSTERNORRLANDS LÄN</t>
        </is>
      </c>
      <c r="E682" t="inlineStr">
        <is>
          <t>ÅNGE</t>
        </is>
      </c>
      <c r="G682" t="n">
        <v>4.7</v>
      </c>
      <c r="H682" t="n">
        <v>0</v>
      </c>
      <c r="I682" t="n">
        <v>0</v>
      </c>
      <c r="J682" t="n">
        <v>0</v>
      </c>
      <c r="K682" t="n">
        <v>0</v>
      </c>
      <c r="L682" t="n">
        <v>0</v>
      </c>
      <c r="M682" t="n">
        <v>0</v>
      </c>
      <c r="N682" t="n">
        <v>0</v>
      </c>
      <c r="O682" t="n">
        <v>0</v>
      </c>
      <c r="P682" t="n">
        <v>0</v>
      </c>
      <c r="Q682" t="n">
        <v>0</v>
      </c>
      <c r="R682" s="2" t="inlineStr"/>
    </row>
    <row r="683" ht="15" customHeight="1">
      <c r="A683" t="inlineStr">
        <is>
          <t>A 14889-2022</t>
        </is>
      </c>
      <c r="B683" s="1" t="n">
        <v>44656</v>
      </c>
      <c r="C683" s="1" t="n">
        <v>45878</v>
      </c>
      <c r="D683" t="inlineStr">
        <is>
          <t>VÄSTERNORRLANDS LÄN</t>
        </is>
      </c>
      <c r="E683" t="inlineStr">
        <is>
          <t>ÅNGE</t>
        </is>
      </c>
      <c r="G683" t="n">
        <v>14</v>
      </c>
      <c r="H683" t="n">
        <v>0</v>
      </c>
      <c r="I683" t="n">
        <v>0</v>
      </c>
      <c r="J683" t="n">
        <v>0</v>
      </c>
      <c r="K683" t="n">
        <v>0</v>
      </c>
      <c r="L683" t="n">
        <v>0</v>
      </c>
      <c r="M683" t="n">
        <v>0</v>
      </c>
      <c r="N683" t="n">
        <v>0</v>
      </c>
      <c r="O683" t="n">
        <v>0</v>
      </c>
      <c r="P683" t="n">
        <v>0</v>
      </c>
      <c r="Q683" t="n">
        <v>0</v>
      </c>
      <c r="R683" s="2" t="inlineStr"/>
    </row>
    <row r="684" ht="15" customHeight="1">
      <c r="A684" t="inlineStr">
        <is>
          <t>A 60860-2022</t>
        </is>
      </c>
      <c r="B684" s="1" t="n">
        <v>44914</v>
      </c>
      <c r="C684" s="1" t="n">
        <v>45878</v>
      </c>
      <c r="D684" t="inlineStr">
        <is>
          <t>VÄSTERNORRLANDS LÄN</t>
        </is>
      </c>
      <c r="E684" t="inlineStr">
        <is>
          <t>ÅNGE</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20864-2025</t>
        </is>
      </c>
      <c r="B685" s="1" t="n">
        <v>45777.34417824074</v>
      </c>
      <c r="C685" s="1" t="n">
        <v>45878</v>
      </c>
      <c r="D685" t="inlineStr">
        <is>
          <t>VÄSTERNORRLANDS LÄN</t>
        </is>
      </c>
      <c r="E685" t="inlineStr">
        <is>
          <t>ÅNGE</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21068-2025</t>
        </is>
      </c>
      <c r="B686" s="1" t="n">
        <v>45777.59413194445</v>
      </c>
      <c r="C686" s="1" t="n">
        <v>45878</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60817-2024</t>
        </is>
      </c>
      <c r="B687" s="1" t="n">
        <v>45644</v>
      </c>
      <c r="C687" s="1" t="n">
        <v>45878</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20868-2025</t>
        </is>
      </c>
      <c r="B688" s="1" t="n">
        <v>45777.34483796296</v>
      </c>
      <c r="C688" s="1" t="n">
        <v>45878</v>
      </c>
      <c r="D688" t="inlineStr">
        <is>
          <t>VÄSTERNORRLANDS LÄN</t>
        </is>
      </c>
      <c r="E688" t="inlineStr">
        <is>
          <t>ÅNGE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23225-2024</t>
        </is>
      </c>
      <c r="B689" s="1" t="n">
        <v>45452.9490162037</v>
      </c>
      <c r="C689" s="1" t="n">
        <v>45878</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21176-2025</t>
        </is>
      </c>
      <c r="B690" s="1" t="n">
        <v>45779.42798611111</v>
      </c>
      <c r="C690" s="1" t="n">
        <v>45878</v>
      </c>
      <c r="D690" t="inlineStr">
        <is>
          <t>VÄSTERNORRLANDS LÄN</t>
        </is>
      </c>
      <c r="E690" t="inlineStr">
        <is>
          <t>ÅNGE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21454-2025</t>
        </is>
      </c>
      <c r="B691" s="1" t="n">
        <v>45782.55322916667</v>
      </c>
      <c r="C691" s="1" t="n">
        <v>45878</v>
      </c>
      <c r="D691" t="inlineStr">
        <is>
          <t>VÄSTERNORRLANDS LÄN</t>
        </is>
      </c>
      <c r="E691" t="inlineStr">
        <is>
          <t>ÅNGE</t>
        </is>
      </c>
      <c r="F691" t="inlineStr">
        <is>
          <t>SCA</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21456-2025</t>
        </is>
      </c>
      <c r="B692" s="1" t="n">
        <v>45782.55342592593</v>
      </c>
      <c r="C692" s="1" t="n">
        <v>45878</v>
      </c>
      <c r="D692" t="inlineStr">
        <is>
          <t>VÄSTERNORRLANDS LÄN</t>
        </is>
      </c>
      <c r="E692" t="inlineStr">
        <is>
          <t>ÅNGE</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33305-2024</t>
        </is>
      </c>
      <c r="B693" s="1" t="n">
        <v>45518</v>
      </c>
      <c r="C693" s="1" t="n">
        <v>45878</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33306-2024</t>
        </is>
      </c>
      <c r="B694" s="1" t="n">
        <v>45518</v>
      </c>
      <c r="C694" s="1" t="n">
        <v>45878</v>
      </c>
      <c r="D694" t="inlineStr">
        <is>
          <t>VÄSTERNORRLANDS LÄN</t>
        </is>
      </c>
      <c r="E694" t="inlineStr">
        <is>
          <t>ÅNGE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21197-2025</t>
        </is>
      </c>
      <c r="B695" s="1" t="n">
        <v>45779.46949074074</v>
      </c>
      <c r="C695" s="1" t="n">
        <v>45878</v>
      </c>
      <c r="D695" t="inlineStr">
        <is>
          <t>VÄSTERNORRLANDS LÄN</t>
        </is>
      </c>
      <c r="E695" t="inlineStr">
        <is>
          <t>ÅNGE</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7535-2023</t>
        </is>
      </c>
      <c r="B696" s="1" t="n">
        <v>44971</v>
      </c>
      <c r="C696" s="1" t="n">
        <v>45878</v>
      </c>
      <c r="D696" t="inlineStr">
        <is>
          <t>VÄSTERNORRLANDS LÄN</t>
        </is>
      </c>
      <c r="E696" t="inlineStr">
        <is>
          <t>ÅNGE</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21563-2025</t>
        </is>
      </c>
      <c r="B697" s="1" t="n">
        <v>45782.69822916666</v>
      </c>
      <c r="C697" s="1" t="n">
        <v>45878</v>
      </c>
      <c r="D697" t="inlineStr">
        <is>
          <t>VÄSTERNORRLANDS LÄN</t>
        </is>
      </c>
      <c r="E697" t="inlineStr">
        <is>
          <t>ÅNGE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45030-2024</t>
        </is>
      </c>
      <c r="B698" s="1" t="n">
        <v>45575.52089120371</v>
      </c>
      <c r="C698" s="1" t="n">
        <v>45878</v>
      </c>
      <c r="D698" t="inlineStr">
        <is>
          <t>VÄSTERNORRLANDS LÄN</t>
        </is>
      </c>
      <c r="E698" t="inlineStr">
        <is>
          <t>ÅNGE</t>
        </is>
      </c>
      <c r="G698" t="n">
        <v>1.7</v>
      </c>
      <c r="H698" t="n">
        <v>0</v>
      </c>
      <c r="I698" t="n">
        <v>0</v>
      </c>
      <c r="J698" t="n">
        <v>0</v>
      </c>
      <c r="K698" t="n">
        <v>0</v>
      </c>
      <c r="L698" t="n">
        <v>0</v>
      </c>
      <c r="M698" t="n">
        <v>0</v>
      </c>
      <c r="N698" t="n">
        <v>0</v>
      </c>
      <c r="O698" t="n">
        <v>0</v>
      </c>
      <c r="P698" t="n">
        <v>0</v>
      </c>
      <c r="Q698" t="n">
        <v>0</v>
      </c>
      <c r="R698" s="2" t="inlineStr"/>
    </row>
    <row r="699" ht="15" customHeight="1">
      <c r="A699" t="inlineStr">
        <is>
          <t>A 21263-2025</t>
        </is>
      </c>
      <c r="B699" s="1" t="n">
        <v>45779.61233796296</v>
      </c>
      <c r="C699" s="1" t="n">
        <v>45878</v>
      </c>
      <c r="D699" t="inlineStr">
        <is>
          <t>VÄSTERNORRLANDS LÄN</t>
        </is>
      </c>
      <c r="E699" t="inlineStr">
        <is>
          <t>ÅNGE</t>
        </is>
      </c>
      <c r="F699" t="inlineStr">
        <is>
          <t>Sveaskog</t>
        </is>
      </c>
      <c r="G699" t="n">
        <v>14.9</v>
      </c>
      <c r="H699" t="n">
        <v>0</v>
      </c>
      <c r="I699" t="n">
        <v>0</v>
      </c>
      <c r="J699" t="n">
        <v>0</v>
      </c>
      <c r="K699" t="n">
        <v>0</v>
      </c>
      <c r="L699" t="n">
        <v>0</v>
      </c>
      <c r="M699" t="n">
        <v>0</v>
      </c>
      <c r="N699" t="n">
        <v>0</v>
      </c>
      <c r="O699" t="n">
        <v>0</v>
      </c>
      <c r="P699" t="n">
        <v>0</v>
      </c>
      <c r="Q699" t="n">
        <v>0</v>
      </c>
      <c r="R699" s="2" t="inlineStr"/>
    </row>
    <row r="700" ht="15" customHeight="1">
      <c r="A700" t="inlineStr">
        <is>
          <t>A 37038-2024</t>
        </is>
      </c>
      <c r="B700" s="1" t="n">
        <v>45539.40881944444</v>
      </c>
      <c r="C700" s="1" t="n">
        <v>45878</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57286-2022</t>
        </is>
      </c>
      <c r="B701" s="1" t="n">
        <v>44895.94991898148</v>
      </c>
      <c r="C701" s="1" t="n">
        <v>45878</v>
      </c>
      <c r="D701" t="inlineStr">
        <is>
          <t>VÄSTERNORRLANDS LÄN</t>
        </is>
      </c>
      <c r="E701" t="inlineStr">
        <is>
          <t>ÅNGE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21174-2025</t>
        </is>
      </c>
      <c r="B702" s="1" t="n">
        <v>45779.42746527777</v>
      </c>
      <c r="C702" s="1" t="n">
        <v>45878</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16572-2023</t>
        </is>
      </c>
      <c r="B703" s="1" t="n">
        <v>45029.94224537037</v>
      </c>
      <c r="C703" s="1" t="n">
        <v>45878</v>
      </c>
      <c r="D703" t="inlineStr">
        <is>
          <t>VÄSTERNORRLANDS LÄN</t>
        </is>
      </c>
      <c r="E703" t="inlineStr">
        <is>
          <t>ÅNGE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21251-2025</t>
        </is>
      </c>
      <c r="B704" s="1" t="n">
        <v>45779.57417824074</v>
      </c>
      <c r="C704" s="1" t="n">
        <v>45878</v>
      </c>
      <c r="D704" t="inlineStr">
        <is>
          <t>VÄSTERNORRLANDS LÄN</t>
        </is>
      </c>
      <c r="E704" t="inlineStr">
        <is>
          <t>ÅNGE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16365-2023</t>
        </is>
      </c>
      <c r="B705" s="1" t="n">
        <v>45028</v>
      </c>
      <c r="C705" s="1" t="n">
        <v>45878</v>
      </c>
      <c r="D705" t="inlineStr">
        <is>
          <t>VÄSTERNORRLANDS LÄN</t>
        </is>
      </c>
      <c r="E705" t="inlineStr">
        <is>
          <t>ÅNGE</t>
        </is>
      </c>
      <c r="G705" t="n">
        <v>1.5</v>
      </c>
      <c r="H705" t="n">
        <v>0</v>
      </c>
      <c r="I705" t="n">
        <v>0</v>
      </c>
      <c r="J705" t="n">
        <v>0</v>
      </c>
      <c r="K705" t="n">
        <v>0</v>
      </c>
      <c r="L705" t="n">
        <v>0</v>
      </c>
      <c r="M705" t="n">
        <v>0</v>
      </c>
      <c r="N705" t="n">
        <v>0</v>
      </c>
      <c r="O705" t="n">
        <v>0</v>
      </c>
      <c r="P705" t="n">
        <v>0</v>
      </c>
      <c r="Q705" t="n">
        <v>0</v>
      </c>
      <c r="R705" s="2" t="inlineStr"/>
    </row>
    <row r="706" ht="15" customHeight="1">
      <c r="A706" t="inlineStr">
        <is>
          <t>A 21791-2025</t>
        </is>
      </c>
      <c r="B706" s="1" t="n">
        <v>45783.67771990741</v>
      </c>
      <c r="C706" s="1" t="n">
        <v>45878</v>
      </c>
      <c r="D706" t="inlineStr">
        <is>
          <t>VÄSTERNORRLANDS LÄN</t>
        </is>
      </c>
      <c r="E706" t="inlineStr">
        <is>
          <t>ÅNGE</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21712-2025</t>
        </is>
      </c>
      <c r="B707" s="1" t="n">
        <v>45783.53210648148</v>
      </c>
      <c r="C707" s="1" t="n">
        <v>45878</v>
      </c>
      <c r="D707" t="inlineStr">
        <is>
          <t>VÄSTERNORRLANDS LÄN</t>
        </is>
      </c>
      <c r="E707" t="inlineStr">
        <is>
          <t>ÅNGE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24063-2023</t>
        </is>
      </c>
      <c r="B708" s="1" t="n">
        <v>45078.94140046297</v>
      </c>
      <c r="C708" s="1" t="n">
        <v>45878</v>
      </c>
      <c r="D708" t="inlineStr">
        <is>
          <t>VÄSTERNORRLANDS LÄN</t>
        </is>
      </c>
      <c r="E708" t="inlineStr">
        <is>
          <t>ÅNGE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2539-2025</t>
        </is>
      </c>
      <c r="B709" s="1" t="n">
        <v>45674.61581018518</v>
      </c>
      <c r="C709" s="1" t="n">
        <v>45878</v>
      </c>
      <c r="D709" t="inlineStr">
        <is>
          <t>VÄSTERNORRLANDS LÄN</t>
        </is>
      </c>
      <c r="E709" t="inlineStr">
        <is>
          <t>ÅNGE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22187-2024</t>
        </is>
      </c>
      <c r="B710" s="1" t="n">
        <v>45446.35222222222</v>
      </c>
      <c r="C710" s="1" t="n">
        <v>45878</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21883-2025</t>
        </is>
      </c>
      <c r="B711" s="1" t="n">
        <v>45784.41361111111</v>
      </c>
      <c r="C711" s="1" t="n">
        <v>45878</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21597-2025</t>
        </is>
      </c>
      <c r="B712" s="1" t="n">
        <v>45783.34493055556</v>
      </c>
      <c r="C712" s="1" t="n">
        <v>45878</v>
      </c>
      <c r="D712" t="inlineStr">
        <is>
          <t>VÄSTERNORRLANDS LÄN</t>
        </is>
      </c>
      <c r="E712" t="inlineStr">
        <is>
          <t>ÅNGE</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25867-2024</t>
        </is>
      </c>
      <c r="B713" s="1" t="n">
        <v>45463</v>
      </c>
      <c r="C713" s="1" t="n">
        <v>45878</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17669-2023</t>
        </is>
      </c>
      <c r="B714" s="1" t="n">
        <v>45036.94457175926</v>
      </c>
      <c r="C714" s="1" t="n">
        <v>45878</v>
      </c>
      <c r="D714" t="inlineStr">
        <is>
          <t>VÄSTERNORRLANDS LÄN</t>
        </is>
      </c>
      <c r="E714" t="inlineStr">
        <is>
          <t>ÅNGE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29395-2023</t>
        </is>
      </c>
      <c r="B715" s="1" t="n">
        <v>45106.4359837963</v>
      </c>
      <c r="C715" s="1" t="n">
        <v>45878</v>
      </c>
      <c r="D715" t="inlineStr">
        <is>
          <t>VÄSTERNORRLANDS LÄN</t>
        </is>
      </c>
      <c r="E715" t="inlineStr">
        <is>
          <t>ÅNGE</t>
        </is>
      </c>
      <c r="G715" t="n">
        <v>3.5</v>
      </c>
      <c r="H715" t="n">
        <v>0</v>
      </c>
      <c r="I715" t="n">
        <v>0</v>
      </c>
      <c r="J715" t="n">
        <v>0</v>
      </c>
      <c r="K715" t="n">
        <v>0</v>
      </c>
      <c r="L715" t="n">
        <v>0</v>
      </c>
      <c r="M715" t="n">
        <v>0</v>
      </c>
      <c r="N715" t="n">
        <v>0</v>
      </c>
      <c r="O715" t="n">
        <v>0</v>
      </c>
      <c r="P715" t="n">
        <v>0</v>
      </c>
      <c r="Q715" t="n">
        <v>0</v>
      </c>
      <c r="R715" s="2" t="inlineStr"/>
    </row>
    <row r="716" ht="15" customHeight="1">
      <c r="A716" t="inlineStr">
        <is>
          <t>A 21862-2025</t>
        </is>
      </c>
      <c r="B716" s="1" t="n">
        <v>45784.36519675926</v>
      </c>
      <c r="C716" s="1" t="n">
        <v>45878</v>
      </c>
      <c r="D716" t="inlineStr">
        <is>
          <t>VÄSTERNORRLANDS LÄN</t>
        </is>
      </c>
      <c r="E716" t="inlineStr">
        <is>
          <t>ÅNGE</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10087-2023</t>
        </is>
      </c>
      <c r="B717" s="1" t="n">
        <v>44985</v>
      </c>
      <c r="C717" s="1" t="n">
        <v>45878</v>
      </c>
      <c r="D717" t="inlineStr">
        <is>
          <t>VÄSTERNORRLANDS LÄN</t>
        </is>
      </c>
      <c r="E717" t="inlineStr">
        <is>
          <t>ÅNGE</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27682-2023</t>
        </is>
      </c>
      <c r="B718" s="1" t="n">
        <v>45097.93758101852</v>
      </c>
      <c r="C718" s="1" t="n">
        <v>45878</v>
      </c>
      <c r="D718" t="inlineStr">
        <is>
          <t>VÄSTERNORRLANDS LÄN</t>
        </is>
      </c>
      <c r="E718" t="inlineStr">
        <is>
          <t>ÅNGE</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21982-2025</t>
        </is>
      </c>
      <c r="B719" s="1" t="n">
        <v>45784.65660879629</v>
      </c>
      <c r="C719" s="1" t="n">
        <v>45878</v>
      </c>
      <c r="D719" t="inlineStr">
        <is>
          <t>VÄSTERNORRLANDS LÄN</t>
        </is>
      </c>
      <c r="E719" t="inlineStr">
        <is>
          <t>ÅNGE</t>
        </is>
      </c>
      <c r="F719" t="inlineStr">
        <is>
          <t>SCA</t>
        </is>
      </c>
      <c r="G719" t="n">
        <v>7.6</v>
      </c>
      <c r="H719" t="n">
        <v>0</v>
      </c>
      <c r="I719" t="n">
        <v>0</v>
      </c>
      <c r="J719" t="n">
        <v>0</v>
      </c>
      <c r="K719" t="n">
        <v>0</v>
      </c>
      <c r="L719" t="n">
        <v>0</v>
      </c>
      <c r="M719" t="n">
        <v>0</v>
      </c>
      <c r="N719" t="n">
        <v>0</v>
      </c>
      <c r="O719" t="n">
        <v>0</v>
      </c>
      <c r="P719" t="n">
        <v>0</v>
      </c>
      <c r="Q719" t="n">
        <v>0</v>
      </c>
      <c r="R719" s="2" t="inlineStr"/>
    </row>
    <row r="720" ht="15" customHeight="1">
      <c r="A720" t="inlineStr">
        <is>
          <t>A 21792-2025</t>
        </is>
      </c>
      <c r="B720" s="1" t="n">
        <v>45783.6778587963</v>
      </c>
      <c r="C720" s="1" t="n">
        <v>45878</v>
      </c>
      <c r="D720" t="inlineStr">
        <is>
          <t>VÄSTERNORRLANDS LÄN</t>
        </is>
      </c>
      <c r="E720" t="inlineStr">
        <is>
          <t>ÅNGE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54295-2024</t>
        </is>
      </c>
      <c r="B721" s="1" t="n">
        <v>45617</v>
      </c>
      <c r="C721" s="1" t="n">
        <v>45878</v>
      </c>
      <c r="D721" t="inlineStr">
        <is>
          <t>VÄSTERNORRLANDS LÄN</t>
        </is>
      </c>
      <c r="E721" t="inlineStr">
        <is>
          <t>ÅNGE</t>
        </is>
      </c>
      <c r="G721" t="n">
        <v>1.2</v>
      </c>
      <c r="H721" t="n">
        <v>0</v>
      </c>
      <c r="I721" t="n">
        <v>0</v>
      </c>
      <c r="J721" t="n">
        <v>0</v>
      </c>
      <c r="K721" t="n">
        <v>0</v>
      </c>
      <c r="L721" t="n">
        <v>0</v>
      </c>
      <c r="M721" t="n">
        <v>0</v>
      </c>
      <c r="N721" t="n">
        <v>0</v>
      </c>
      <c r="O721" t="n">
        <v>0</v>
      </c>
      <c r="P721" t="n">
        <v>0</v>
      </c>
      <c r="Q721" t="n">
        <v>0</v>
      </c>
      <c r="R721" s="2" t="inlineStr"/>
    </row>
    <row r="722" ht="15" customHeight="1">
      <c r="A722" t="inlineStr">
        <is>
          <t>A 21686-2025</t>
        </is>
      </c>
      <c r="B722" s="1" t="n">
        <v>45783.490625</v>
      </c>
      <c r="C722" s="1" t="n">
        <v>45878</v>
      </c>
      <c r="D722" t="inlineStr">
        <is>
          <t>VÄSTERNORRLANDS LÄN</t>
        </is>
      </c>
      <c r="E722" t="inlineStr">
        <is>
          <t>ÅNGE</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21741-2025</t>
        </is>
      </c>
      <c r="B723" s="1" t="n">
        <v>45783.59415509259</v>
      </c>
      <c r="C723" s="1" t="n">
        <v>45878</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56189-2024</t>
        </is>
      </c>
      <c r="B724" s="1" t="n">
        <v>45624.57805555555</v>
      </c>
      <c r="C724" s="1" t="n">
        <v>45878</v>
      </c>
      <c r="D724" t="inlineStr">
        <is>
          <t>VÄSTERNORRLANDS LÄN</t>
        </is>
      </c>
      <c r="E724" t="inlineStr">
        <is>
          <t>ÅNGE</t>
        </is>
      </c>
      <c r="G724" t="n">
        <v>1.5</v>
      </c>
      <c r="H724" t="n">
        <v>0</v>
      </c>
      <c r="I724" t="n">
        <v>0</v>
      </c>
      <c r="J724" t="n">
        <v>0</v>
      </c>
      <c r="K724" t="n">
        <v>0</v>
      </c>
      <c r="L724" t="n">
        <v>0</v>
      </c>
      <c r="M724" t="n">
        <v>0</v>
      </c>
      <c r="N724" t="n">
        <v>0</v>
      </c>
      <c r="O724" t="n">
        <v>0</v>
      </c>
      <c r="P724" t="n">
        <v>0</v>
      </c>
      <c r="Q724" t="n">
        <v>0</v>
      </c>
      <c r="R724" s="2" t="inlineStr"/>
    </row>
    <row r="725" ht="15" customHeight="1">
      <c r="A725" t="inlineStr">
        <is>
          <t>A 56191-2024</t>
        </is>
      </c>
      <c r="B725" s="1" t="n">
        <v>45624.57814814815</v>
      </c>
      <c r="C725" s="1" t="n">
        <v>45878</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38795-2023</t>
        </is>
      </c>
      <c r="B726" s="1" t="n">
        <v>45162</v>
      </c>
      <c r="C726" s="1" t="n">
        <v>45878</v>
      </c>
      <c r="D726" t="inlineStr">
        <is>
          <t>VÄSTERNORRLANDS LÄN</t>
        </is>
      </c>
      <c r="E726" t="inlineStr">
        <is>
          <t>ÅNGE</t>
        </is>
      </c>
      <c r="G726" t="n">
        <v>0.7</v>
      </c>
      <c r="H726" t="n">
        <v>0</v>
      </c>
      <c r="I726" t="n">
        <v>0</v>
      </c>
      <c r="J726" t="n">
        <v>0</v>
      </c>
      <c r="K726" t="n">
        <v>0</v>
      </c>
      <c r="L726" t="n">
        <v>0</v>
      </c>
      <c r="M726" t="n">
        <v>0</v>
      </c>
      <c r="N726" t="n">
        <v>0</v>
      </c>
      <c r="O726" t="n">
        <v>0</v>
      </c>
      <c r="P726" t="n">
        <v>0</v>
      </c>
      <c r="Q726" t="n">
        <v>0</v>
      </c>
      <c r="R726" s="2" t="inlineStr"/>
    </row>
    <row r="727" ht="15" customHeight="1">
      <c r="A727" t="inlineStr">
        <is>
          <t>A 35979-2023</t>
        </is>
      </c>
      <c r="B727" s="1" t="n">
        <v>45148</v>
      </c>
      <c r="C727" s="1" t="n">
        <v>45878</v>
      </c>
      <c r="D727" t="inlineStr">
        <is>
          <t>VÄSTERNORRLANDS LÄN</t>
        </is>
      </c>
      <c r="E727" t="inlineStr">
        <is>
          <t>ÅNGE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39119-2024</t>
        </is>
      </c>
      <c r="B728" s="1" t="n">
        <v>45548.58939814815</v>
      </c>
      <c r="C728" s="1" t="n">
        <v>45878</v>
      </c>
      <c r="D728" t="inlineStr">
        <is>
          <t>VÄSTERNORRLANDS LÄN</t>
        </is>
      </c>
      <c r="E728" t="inlineStr">
        <is>
          <t>ÅNGE</t>
        </is>
      </c>
      <c r="G728" t="n">
        <v>8</v>
      </c>
      <c r="H728" t="n">
        <v>0</v>
      </c>
      <c r="I728" t="n">
        <v>0</v>
      </c>
      <c r="J728" t="n">
        <v>0</v>
      </c>
      <c r="K728" t="n">
        <v>0</v>
      </c>
      <c r="L728" t="n">
        <v>0</v>
      </c>
      <c r="M728" t="n">
        <v>0</v>
      </c>
      <c r="N728" t="n">
        <v>0</v>
      </c>
      <c r="O728" t="n">
        <v>0</v>
      </c>
      <c r="P728" t="n">
        <v>0</v>
      </c>
      <c r="Q728" t="n">
        <v>0</v>
      </c>
      <c r="R728" s="2" t="inlineStr"/>
    </row>
    <row r="729" ht="15" customHeight="1">
      <c r="A729" t="inlineStr">
        <is>
          <t>A 21685-2025</t>
        </is>
      </c>
      <c r="B729" s="1" t="n">
        <v>45783.49050925926</v>
      </c>
      <c r="C729" s="1" t="n">
        <v>45878</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32257-2024</t>
        </is>
      </c>
      <c r="B730" s="1" t="n">
        <v>45511</v>
      </c>
      <c r="C730" s="1" t="n">
        <v>45878</v>
      </c>
      <c r="D730" t="inlineStr">
        <is>
          <t>VÄSTERNORRLANDS LÄN</t>
        </is>
      </c>
      <c r="E730" t="inlineStr">
        <is>
          <t>ÅNGE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35582-2024</t>
        </is>
      </c>
      <c r="B731" s="1" t="n">
        <v>45531.64800925926</v>
      </c>
      <c r="C731" s="1" t="n">
        <v>45878</v>
      </c>
      <c r="D731" t="inlineStr">
        <is>
          <t>VÄSTERNORRLANDS LÄN</t>
        </is>
      </c>
      <c r="E731" t="inlineStr">
        <is>
          <t>ÅNGE</t>
        </is>
      </c>
      <c r="G731" t="n">
        <v>4.1</v>
      </c>
      <c r="H731" t="n">
        <v>0</v>
      </c>
      <c r="I731" t="n">
        <v>0</v>
      </c>
      <c r="J731" t="n">
        <v>0</v>
      </c>
      <c r="K731" t="n">
        <v>0</v>
      </c>
      <c r="L731" t="n">
        <v>0</v>
      </c>
      <c r="M731" t="n">
        <v>0</v>
      </c>
      <c r="N731" t="n">
        <v>0</v>
      </c>
      <c r="O731" t="n">
        <v>0</v>
      </c>
      <c r="P731" t="n">
        <v>0</v>
      </c>
      <c r="Q731" t="n">
        <v>0</v>
      </c>
      <c r="R731" s="2" t="inlineStr"/>
    </row>
    <row r="732" ht="15" customHeight="1">
      <c r="A732" t="inlineStr">
        <is>
          <t>A 36466-2024</t>
        </is>
      </c>
      <c r="B732" s="1" t="n">
        <v>45537.35872685185</v>
      </c>
      <c r="C732" s="1" t="n">
        <v>45878</v>
      </c>
      <c r="D732" t="inlineStr">
        <is>
          <t>VÄSTERNORRLANDS LÄN</t>
        </is>
      </c>
      <c r="E732" t="inlineStr">
        <is>
          <t>ÅNGE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59626-2022</t>
        </is>
      </c>
      <c r="B733" s="1" t="n">
        <v>44907.92354166666</v>
      </c>
      <c r="C733" s="1" t="n">
        <v>45878</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3249-2024</t>
        </is>
      </c>
      <c r="B734" s="1" t="n">
        <v>45316</v>
      </c>
      <c r="C734" s="1" t="n">
        <v>45878</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52785-2024</t>
        </is>
      </c>
      <c r="B735" s="1" t="n">
        <v>45610.55273148148</v>
      </c>
      <c r="C735" s="1" t="n">
        <v>45878</v>
      </c>
      <c r="D735" t="inlineStr">
        <is>
          <t>VÄSTERNORRLANDS LÄN</t>
        </is>
      </c>
      <c r="E735" t="inlineStr">
        <is>
          <t>ÅNGE</t>
        </is>
      </c>
      <c r="F735" t="inlineStr">
        <is>
          <t>SCA</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52786-2024</t>
        </is>
      </c>
      <c r="B736" s="1" t="n">
        <v>45610.55283564814</v>
      </c>
      <c r="C736" s="1" t="n">
        <v>45878</v>
      </c>
      <c r="D736" t="inlineStr">
        <is>
          <t>VÄSTERNORRLANDS LÄN</t>
        </is>
      </c>
      <c r="E736" t="inlineStr">
        <is>
          <t>ÅNGE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9759-2024</t>
        </is>
      </c>
      <c r="B737" s="1" t="n">
        <v>45362</v>
      </c>
      <c r="C737" s="1" t="n">
        <v>45878</v>
      </c>
      <c r="D737" t="inlineStr">
        <is>
          <t>VÄSTERNORRLANDS LÄN</t>
        </is>
      </c>
      <c r="E737" t="inlineStr">
        <is>
          <t>ÅNGE</t>
        </is>
      </c>
      <c r="G737" t="n">
        <v>2.5</v>
      </c>
      <c r="H737" t="n">
        <v>0</v>
      </c>
      <c r="I737" t="n">
        <v>0</v>
      </c>
      <c r="J737" t="n">
        <v>0</v>
      </c>
      <c r="K737" t="n">
        <v>0</v>
      </c>
      <c r="L737" t="n">
        <v>0</v>
      </c>
      <c r="M737" t="n">
        <v>0</v>
      </c>
      <c r="N737" t="n">
        <v>0</v>
      </c>
      <c r="O737" t="n">
        <v>0</v>
      </c>
      <c r="P737" t="n">
        <v>0</v>
      </c>
      <c r="Q737" t="n">
        <v>0</v>
      </c>
      <c r="R737" s="2" t="inlineStr"/>
    </row>
    <row r="738" ht="15" customHeight="1">
      <c r="A738" t="inlineStr">
        <is>
          <t>A 42953-2024</t>
        </is>
      </c>
      <c r="B738" s="1" t="n">
        <v>45567</v>
      </c>
      <c r="C738" s="1" t="n">
        <v>45878</v>
      </c>
      <c r="D738" t="inlineStr">
        <is>
          <t>VÄSTERNORRLANDS LÄN</t>
        </is>
      </c>
      <c r="E738" t="inlineStr">
        <is>
          <t>ÅNGE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42968-2024</t>
        </is>
      </c>
      <c r="B739" s="1" t="n">
        <v>45567</v>
      </c>
      <c r="C739" s="1" t="n">
        <v>45878</v>
      </c>
      <c r="D739" t="inlineStr">
        <is>
          <t>VÄSTERNORRLANDS LÄN</t>
        </is>
      </c>
      <c r="E739" t="inlineStr">
        <is>
          <t>ÅNGE</t>
        </is>
      </c>
      <c r="F739" t="inlineStr">
        <is>
          <t>SCA</t>
        </is>
      </c>
      <c r="G739" t="n">
        <v>3.4</v>
      </c>
      <c r="H739" t="n">
        <v>0</v>
      </c>
      <c r="I739" t="n">
        <v>0</v>
      </c>
      <c r="J739" t="n">
        <v>0</v>
      </c>
      <c r="K739" t="n">
        <v>0</v>
      </c>
      <c r="L739" t="n">
        <v>0</v>
      </c>
      <c r="M739" t="n">
        <v>0</v>
      </c>
      <c r="N739" t="n">
        <v>0</v>
      </c>
      <c r="O739" t="n">
        <v>0</v>
      </c>
      <c r="P739" t="n">
        <v>0</v>
      </c>
      <c r="Q739" t="n">
        <v>0</v>
      </c>
      <c r="R739" s="2" t="inlineStr"/>
    </row>
    <row r="740" ht="15" customHeight="1">
      <c r="A740" t="inlineStr">
        <is>
          <t>A 31492-2024</t>
        </is>
      </c>
      <c r="B740" s="1" t="n">
        <v>45505</v>
      </c>
      <c r="C740" s="1" t="n">
        <v>45878</v>
      </c>
      <c r="D740" t="inlineStr">
        <is>
          <t>VÄSTERNORRLANDS LÄN</t>
        </is>
      </c>
      <c r="E740" t="inlineStr">
        <is>
          <t>ÅNGE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48787-2024</t>
        </is>
      </c>
      <c r="B741" s="1" t="n">
        <v>45593.63888888889</v>
      </c>
      <c r="C741" s="1" t="n">
        <v>45878</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45878</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38800-2024</t>
        </is>
      </c>
      <c r="B743" s="1" t="n">
        <v>45547</v>
      </c>
      <c r="C743" s="1" t="n">
        <v>45878</v>
      </c>
      <c r="D743" t="inlineStr">
        <is>
          <t>VÄSTERNORRLANDS LÄN</t>
        </is>
      </c>
      <c r="E743" t="inlineStr">
        <is>
          <t>ÅNGE</t>
        </is>
      </c>
      <c r="G743" t="n">
        <v>2.6</v>
      </c>
      <c r="H743" t="n">
        <v>0</v>
      </c>
      <c r="I743" t="n">
        <v>0</v>
      </c>
      <c r="J743" t="n">
        <v>0</v>
      </c>
      <c r="K743" t="n">
        <v>0</v>
      </c>
      <c r="L743" t="n">
        <v>0</v>
      </c>
      <c r="M743" t="n">
        <v>0</v>
      </c>
      <c r="N743" t="n">
        <v>0</v>
      </c>
      <c r="O743" t="n">
        <v>0</v>
      </c>
      <c r="P743" t="n">
        <v>0</v>
      </c>
      <c r="Q743" t="n">
        <v>0</v>
      </c>
      <c r="R743" s="2" t="inlineStr"/>
    </row>
    <row r="744" ht="15" customHeight="1">
      <c r="A744" t="inlineStr">
        <is>
          <t>A 42969-2024</t>
        </is>
      </c>
      <c r="B744" s="1" t="n">
        <v>45567.37300925926</v>
      </c>
      <c r="C744" s="1" t="n">
        <v>45878</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52683-2024</t>
        </is>
      </c>
      <c r="B745" s="1" t="n">
        <v>45610</v>
      </c>
      <c r="C745" s="1" t="n">
        <v>45878</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37558-2023</t>
        </is>
      </c>
      <c r="B746" s="1" t="n">
        <v>45159.34511574074</v>
      </c>
      <c r="C746" s="1" t="n">
        <v>45878</v>
      </c>
      <c r="D746" t="inlineStr">
        <is>
          <t>VÄSTERNORRLANDS LÄN</t>
        </is>
      </c>
      <c r="E746" t="inlineStr">
        <is>
          <t>ÅNGE</t>
        </is>
      </c>
      <c r="F746" t="inlineStr">
        <is>
          <t>Kyrkan</t>
        </is>
      </c>
      <c r="G746" t="n">
        <v>5.6</v>
      </c>
      <c r="H746" t="n">
        <v>0</v>
      </c>
      <c r="I746" t="n">
        <v>0</v>
      </c>
      <c r="J746" t="n">
        <v>0</v>
      </c>
      <c r="K746" t="n">
        <v>0</v>
      </c>
      <c r="L746" t="n">
        <v>0</v>
      </c>
      <c r="M746" t="n">
        <v>0</v>
      </c>
      <c r="N746" t="n">
        <v>0</v>
      </c>
      <c r="O746" t="n">
        <v>0</v>
      </c>
      <c r="P746" t="n">
        <v>0</v>
      </c>
      <c r="Q746" t="n">
        <v>0</v>
      </c>
      <c r="R746" s="2" t="inlineStr"/>
    </row>
    <row r="747" ht="15" customHeight="1">
      <c r="A747" t="inlineStr">
        <is>
          <t>A 34852-2023</t>
        </is>
      </c>
      <c r="B747" s="1" t="n">
        <v>45141</v>
      </c>
      <c r="C747" s="1" t="n">
        <v>45878</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19798-2025</t>
        </is>
      </c>
      <c r="B748" s="1" t="n">
        <v>45771.44824074074</v>
      </c>
      <c r="C748" s="1" t="n">
        <v>45878</v>
      </c>
      <c r="D748" t="inlineStr">
        <is>
          <t>VÄSTERNORRLANDS LÄN</t>
        </is>
      </c>
      <c r="E748" t="inlineStr">
        <is>
          <t>ÅNGE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10558-2023</t>
        </is>
      </c>
      <c r="B749" s="1" t="n">
        <v>44987.94438657408</v>
      </c>
      <c r="C749" s="1" t="n">
        <v>45878</v>
      </c>
      <c r="D749" t="inlineStr">
        <is>
          <t>VÄSTERNORRLANDS LÄN</t>
        </is>
      </c>
      <c r="E749" t="inlineStr">
        <is>
          <t>ÅNGE</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49487-2024</t>
        </is>
      </c>
      <c r="B750" s="1" t="n">
        <v>45596.35813657408</v>
      </c>
      <c r="C750" s="1" t="n">
        <v>45878</v>
      </c>
      <c r="D750" t="inlineStr">
        <is>
          <t>VÄSTERNORRLANDS LÄN</t>
        </is>
      </c>
      <c r="E750" t="inlineStr">
        <is>
          <t>ÅNGE</t>
        </is>
      </c>
      <c r="G750" t="n">
        <v>4.3</v>
      </c>
      <c r="H750" t="n">
        <v>0</v>
      </c>
      <c r="I750" t="n">
        <v>0</v>
      </c>
      <c r="J750" t="n">
        <v>0</v>
      </c>
      <c r="K750" t="n">
        <v>0</v>
      </c>
      <c r="L750" t="n">
        <v>0</v>
      </c>
      <c r="M750" t="n">
        <v>0</v>
      </c>
      <c r="N750" t="n">
        <v>0</v>
      </c>
      <c r="O750" t="n">
        <v>0</v>
      </c>
      <c r="P750" t="n">
        <v>0</v>
      </c>
      <c r="Q750" t="n">
        <v>0</v>
      </c>
      <c r="R750" s="2" t="inlineStr"/>
    </row>
    <row r="751" ht="15" customHeight="1">
      <c r="A751" t="inlineStr">
        <is>
          <t>A 42100-2023</t>
        </is>
      </c>
      <c r="B751" s="1" t="n">
        <v>45174</v>
      </c>
      <c r="C751" s="1" t="n">
        <v>45878</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44606-2024</t>
        </is>
      </c>
      <c r="B752" s="1" t="n">
        <v>45574.51195601852</v>
      </c>
      <c r="C752" s="1" t="n">
        <v>45878</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44626-2024</t>
        </is>
      </c>
      <c r="B753" s="1" t="n">
        <v>45574.51378472222</v>
      </c>
      <c r="C753" s="1" t="n">
        <v>45878</v>
      </c>
      <c r="D753" t="inlineStr">
        <is>
          <t>VÄSTERNORRLANDS LÄN</t>
        </is>
      </c>
      <c r="E753" t="inlineStr">
        <is>
          <t>ÅNGE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20880-2025</t>
        </is>
      </c>
      <c r="B754" s="1" t="n">
        <v>45777</v>
      </c>
      <c r="C754" s="1" t="n">
        <v>45878</v>
      </c>
      <c r="D754" t="inlineStr">
        <is>
          <t>VÄSTERNORRLANDS LÄN</t>
        </is>
      </c>
      <c r="E754" t="inlineStr">
        <is>
          <t>ÅNGE</t>
        </is>
      </c>
      <c r="G754" t="n">
        <v>1.6</v>
      </c>
      <c r="H754" t="n">
        <v>0</v>
      </c>
      <c r="I754" t="n">
        <v>0</v>
      </c>
      <c r="J754" t="n">
        <v>0</v>
      </c>
      <c r="K754" t="n">
        <v>0</v>
      </c>
      <c r="L754" t="n">
        <v>0</v>
      </c>
      <c r="M754" t="n">
        <v>0</v>
      </c>
      <c r="N754" t="n">
        <v>0</v>
      </c>
      <c r="O754" t="n">
        <v>0</v>
      </c>
      <c r="P754" t="n">
        <v>0</v>
      </c>
      <c r="Q754" t="n">
        <v>0</v>
      </c>
      <c r="R754" s="2" t="inlineStr"/>
    </row>
    <row r="755" ht="15" customHeight="1">
      <c r="A755" t="inlineStr">
        <is>
          <t>A 51411-2023</t>
        </is>
      </c>
      <c r="B755" s="1" t="n">
        <v>45219</v>
      </c>
      <c r="C755" s="1" t="n">
        <v>45878</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1869-2022</t>
        </is>
      </c>
      <c r="B756" s="1" t="n">
        <v>44574</v>
      </c>
      <c r="C756" s="1" t="n">
        <v>45878</v>
      </c>
      <c r="D756" t="inlineStr">
        <is>
          <t>VÄSTERNORRLANDS LÄN</t>
        </is>
      </c>
      <c r="E756" t="inlineStr">
        <is>
          <t>ÅNGE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65149-2020</t>
        </is>
      </c>
      <c r="B757" s="1" t="n">
        <v>44172</v>
      </c>
      <c r="C757" s="1" t="n">
        <v>45878</v>
      </c>
      <c r="D757" t="inlineStr">
        <is>
          <t>VÄSTERNORRLANDS LÄN</t>
        </is>
      </c>
      <c r="E757" t="inlineStr">
        <is>
          <t>ÅNGE</t>
        </is>
      </c>
      <c r="G757" t="n">
        <v>9.5</v>
      </c>
      <c r="H757" t="n">
        <v>0</v>
      </c>
      <c r="I757" t="n">
        <v>0</v>
      </c>
      <c r="J757" t="n">
        <v>0</v>
      </c>
      <c r="K757" t="n">
        <v>0</v>
      </c>
      <c r="L757" t="n">
        <v>0</v>
      </c>
      <c r="M757" t="n">
        <v>0</v>
      </c>
      <c r="N757" t="n">
        <v>0</v>
      </c>
      <c r="O757" t="n">
        <v>0</v>
      </c>
      <c r="P757" t="n">
        <v>0</v>
      </c>
      <c r="Q757" t="n">
        <v>0</v>
      </c>
      <c r="R757" s="2" t="inlineStr"/>
    </row>
    <row r="758" ht="15" customHeight="1">
      <c r="A758" t="inlineStr">
        <is>
          <t>A 22219-2025</t>
        </is>
      </c>
      <c r="B758" s="1" t="n">
        <v>45785.65849537037</v>
      </c>
      <c r="C758" s="1" t="n">
        <v>45878</v>
      </c>
      <c r="D758" t="inlineStr">
        <is>
          <t>VÄSTERNORRLANDS LÄN</t>
        </is>
      </c>
      <c r="E758" t="inlineStr">
        <is>
          <t>ÅNGE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22206-2025</t>
        </is>
      </c>
      <c r="B759" s="1" t="n">
        <v>45785.65699074074</v>
      </c>
      <c r="C759" s="1" t="n">
        <v>45878</v>
      </c>
      <c r="D759" t="inlineStr">
        <is>
          <t>VÄSTERNORRLANDS LÄN</t>
        </is>
      </c>
      <c r="E759" t="inlineStr">
        <is>
          <t>ÅNGE</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61781-2023</t>
        </is>
      </c>
      <c r="B760" s="1" t="n">
        <v>45265.95708333333</v>
      </c>
      <c r="C760" s="1" t="n">
        <v>45878</v>
      </c>
      <c r="D760" t="inlineStr">
        <is>
          <t>VÄSTERNORRLANDS LÄN</t>
        </is>
      </c>
      <c r="E760" t="inlineStr">
        <is>
          <t>ÅNGE</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26640-2024</t>
        </is>
      </c>
      <c r="B761" s="1" t="n">
        <v>45469.92831018518</v>
      </c>
      <c r="C761" s="1" t="n">
        <v>45878</v>
      </c>
      <c r="D761" t="inlineStr">
        <is>
          <t>VÄSTERNORRLANDS LÄN</t>
        </is>
      </c>
      <c r="E761" t="inlineStr">
        <is>
          <t>ÅNGE</t>
        </is>
      </c>
      <c r="G761" t="n">
        <v>9.9</v>
      </c>
      <c r="H761" t="n">
        <v>0</v>
      </c>
      <c r="I761" t="n">
        <v>0</v>
      </c>
      <c r="J761" t="n">
        <v>0</v>
      </c>
      <c r="K761" t="n">
        <v>0</v>
      </c>
      <c r="L761" t="n">
        <v>0</v>
      </c>
      <c r="M761" t="n">
        <v>0</v>
      </c>
      <c r="N761" t="n">
        <v>0</v>
      </c>
      <c r="O761" t="n">
        <v>0</v>
      </c>
      <c r="P761" t="n">
        <v>0</v>
      </c>
      <c r="Q761" t="n">
        <v>0</v>
      </c>
      <c r="R761" s="2" t="inlineStr"/>
    </row>
    <row r="762" ht="15" customHeight="1">
      <c r="A762" t="inlineStr">
        <is>
          <t>A 4095-2023</t>
        </is>
      </c>
      <c r="B762" s="1" t="n">
        <v>44952</v>
      </c>
      <c r="C762" s="1" t="n">
        <v>45878</v>
      </c>
      <c r="D762" t="inlineStr">
        <is>
          <t>VÄSTERNORRLANDS LÄN</t>
        </is>
      </c>
      <c r="E762" t="inlineStr">
        <is>
          <t>ÅNGE</t>
        </is>
      </c>
      <c r="G762" t="n">
        <v>13.4</v>
      </c>
      <c r="H762" t="n">
        <v>0</v>
      </c>
      <c r="I762" t="n">
        <v>0</v>
      </c>
      <c r="J762" t="n">
        <v>0</v>
      </c>
      <c r="K762" t="n">
        <v>0</v>
      </c>
      <c r="L762" t="n">
        <v>0</v>
      </c>
      <c r="M762" t="n">
        <v>0</v>
      </c>
      <c r="N762" t="n">
        <v>0</v>
      </c>
      <c r="O762" t="n">
        <v>0</v>
      </c>
      <c r="P762" t="n">
        <v>0</v>
      </c>
      <c r="Q762" t="n">
        <v>0</v>
      </c>
      <c r="R762" s="2" t="inlineStr"/>
    </row>
    <row r="763" ht="15" customHeight="1">
      <c r="A763" t="inlineStr">
        <is>
          <t>A 5367-2022</t>
        </is>
      </c>
      <c r="B763" s="1" t="n">
        <v>44594.92111111111</v>
      </c>
      <c r="C763" s="1" t="n">
        <v>45878</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22489-2025</t>
        </is>
      </c>
      <c r="B764" s="1" t="n">
        <v>45786.64946759259</v>
      </c>
      <c r="C764" s="1" t="n">
        <v>45878</v>
      </c>
      <c r="D764" t="inlineStr">
        <is>
          <t>VÄSTERNORRLANDS LÄN</t>
        </is>
      </c>
      <c r="E764" t="inlineStr">
        <is>
          <t>ÅNGE</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72239-2021</t>
        </is>
      </c>
      <c r="B765" s="1" t="n">
        <v>44544.9203587963</v>
      </c>
      <c r="C765" s="1" t="n">
        <v>45878</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49187-2024</t>
        </is>
      </c>
      <c r="B766" s="1" t="n">
        <v>45595.34490740741</v>
      </c>
      <c r="C766" s="1" t="n">
        <v>45878</v>
      </c>
      <c r="D766" t="inlineStr">
        <is>
          <t>VÄSTERNORRLANDS LÄN</t>
        </is>
      </c>
      <c r="E766" t="inlineStr">
        <is>
          <t>ÅNGE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28873-2024</t>
        </is>
      </c>
      <c r="B767" s="1" t="n">
        <v>45478.94766203704</v>
      </c>
      <c r="C767" s="1" t="n">
        <v>45878</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55882-2022</t>
        </is>
      </c>
      <c r="B768" s="1" t="n">
        <v>44888</v>
      </c>
      <c r="C768" s="1" t="n">
        <v>45878</v>
      </c>
      <c r="D768" t="inlineStr">
        <is>
          <t>VÄSTERNORRLANDS LÄN</t>
        </is>
      </c>
      <c r="E768" t="inlineStr">
        <is>
          <t>ÅNGE</t>
        </is>
      </c>
      <c r="G768" t="n">
        <v>2.7</v>
      </c>
      <c r="H768" t="n">
        <v>0</v>
      </c>
      <c r="I768" t="n">
        <v>0</v>
      </c>
      <c r="J768" t="n">
        <v>0</v>
      </c>
      <c r="K768" t="n">
        <v>0</v>
      </c>
      <c r="L768" t="n">
        <v>0</v>
      </c>
      <c r="M768" t="n">
        <v>0</v>
      </c>
      <c r="N768" t="n">
        <v>0</v>
      </c>
      <c r="O768" t="n">
        <v>0</v>
      </c>
      <c r="P768" t="n">
        <v>0</v>
      </c>
      <c r="Q768" t="n">
        <v>0</v>
      </c>
      <c r="R768" s="2" t="inlineStr"/>
    </row>
    <row r="769" ht="15" customHeight="1">
      <c r="A769" t="inlineStr">
        <is>
          <t>A 31563-2024</t>
        </is>
      </c>
      <c r="B769" s="1" t="n">
        <v>45505</v>
      </c>
      <c r="C769" s="1" t="n">
        <v>45878</v>
      </c>
      <c r="D769" t="inlineStr">
        <is>
          <t>VÄSTERNORRLANDS LÄN</t>
        </is>
      </c>
      <c r="E769" t="inlineStr">
        <is>
          <t>ÅNGE</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22549-2025</t>
        </is>
      </c>
      <c r="B770" s="1" t="n">
        <v>45788.48113425926</v>
      </c>
      <c r="C770" s="1" t="n">
        <v>45878</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34705-2023</t>
        </is>
      </c>
      <c r="B771" s="1" t="n">
        <v>45140.96452546296</v>
      </c>
      <c r="C771" s="1" t="n">
        <v>45878</v>
      </c>
      <c r="D771" t="inlineStr">
        <is>
          <t>VÄSTERNORRLANDS LÄN</t>
        </is>
      </c>
      <c r="E771" t="inlineStr">
        <is>
          <t>ÅNGE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34750-2023</t>
        </is>
      </c>
      <c r="B772" s="1" t="n">
        <v>45139</v>
      </c>
      <c r="C772" s="1" t="n">
        <v>45878</v>
      </c>
      <c r="D772" t="inlineStr">
        <is>
          <t>VÄSTERNORRLANDS LÄN</t>
        </is>
      </c>
      <c r="E772" t="inlineStr">
        <is>
          <t>ÅNGE</t>
        </is>
      </c>
      <c r="G772" t="n">
        <v>2.9</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44532.605625</v>
      </c>
      <c r="C773" s="1" t="n">
        <v>45878</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58613-2023</t>
        </is>
      </c>
      <c r="B774" s="1" t="n">
        <v>45251.50709490741</v>
      </c>
      <c r="C774" s="1" t="n">
        <v>45878</v>
      </c>
      <c r="D774" t="inlineStr">
        <is>
          <t>VÄSTERNORRLANDS LÄN</t>
        </is>
      </c>
      <c r="E774" t="inlineStr">
        <is>
          <t>ÅNGE</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3330-2025</t>
        </is>
      </c>
      <c r="B775" s="1" t="n">
        <v>45679.70041666667</v>
      </c>
      <c r="C775" s="1" t="n">
        <v>45878</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46249-2024</t>
        </is>
      </c>
      <c r="B776" s="1" t="n">
        <v>45581.59409722222</v>
      </c>
      <c r="C776" s="1" t="n">
        <v>45878</v>
      </c>
      <c r="D776" t="inlineStr">
        <is>
          <t>VÄSTERNORRLANDS LÄN</t>
        </is>
      </c>
      <c r="E776" t="inlineStr">
        <is>
          <t>ÅNGE</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22926-2025</t>
        </is>
      </c>
      <c r="B777" s="1" t="n">
        <v>45790</v>
      </c>
      <c r="C777" s="1" t="n">
        <v>45878</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22928-2025</t>
        </is>
      </c>
      <c r="B778" s="1" t="n">
        <v>45790.44825231482</v>
      </c>
      <c r="C778" s="1" t="n">
        <v>45878</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31229-2023</t>
        </is>
      </c>
      <c r="B779" s="1" t="n">
        <v>45114</v>
      </c>
      <c r="C779" s="1" t="n">
        <v>45878</v>
      </c>
      <c r="D779" t="inlineStr">
        <is>
          <t>VÄSTERNORRLANDS LÄN</t>
        </is>
      </c>
      <c r="E779" t="inlineStr">
        <is>
          <t>ÅNGE</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38272-2024</t>
        </is>
      </c>
      <c r="B780" s="1" t="n">
        <v>45545.60392361111</v>
      </c>
      <c r="C780" s="1" t="n">
        <v>45878</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48690-2024</t>
        </is>
      </c>
      <c r="B781" s="1" t="n">
        <v>45593.50704861111</v>
      </c>
      <c r="C781" s="1" t="n">
        <v>45878</v>
      </c>
      <c r="D781" t="inlineStr">
        <is>
          <t>VÄSTERNORRLANDS LÄN</t>
        </is>
      </c>
      <c r="E781" t="inlineStr">
        <is>
          <t>ÅNGE</t>
        </is>
      </c>
      <c r="G781" t="n">
        <v>5</v>
      </c>
      <c r="H781" t="n">
        <v>0</v>
      </c>
      <c r="I781" t="n">
        <v>0</v>
      </c>
      <c r="J781" t="n">
        <v>0</v>
      </c>
      <c r="K781" t="n">
        <v>0</v>
      </c>
      <c r="L781" t="n">
        <v>0</v>
      </c>
      <c r="M781" t="n">
        <v>0</v>
      </c>
      <c r="N781" t="n">
        <v>0</v>
      </c>
      <c r="O781" t="n">
        <v>0</v>
      </c>
      <c r="P781" t="n">
        <v>0</v>
      </c>
      <c r="Q781" t="n">
        <v>0</v>
      </c>
      <c r="R781" s="2" t="inlineStr"/>
    </row>
    <row r="782" ht="15" customHeight="1">
      <c r="A782" t="inlineStr">
        <is>
          <t>A 26957-2024</t>
        </is>
      </c>
      <c r="B782" s="1" t="n">
        <v>45470</v>
      </c>
      <c r="C782" s="1" t="n">
        <v>45878</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16593-2023</t>
        </is>
      </c>
      <c r="B783" s="1" t="n">
        <v>45030</v>
      </c>
      <c r="C783" s="1" t="n">
        <v>45878</v>
      </c>
      <c r="D783" t="inlineStr">
        <is>
          <t>VÄSTERNORRLANDS LÄN</t>
        </is>
      </c>
      <c r="E783" t="inlineStr">
        <is>
          <t>ÅNGE</t>
        </is>
      </c>
      <c r="G783" t="n">
        <v>0.7</v>
      </c>
      <c r="H783" t="n">
        <v>0</v>
      </c>
      <c r="I783" t="n">
        <v>0</v>
      </c>
      <c r="J783" t="n">
        <v>0</v>
      </c>
      <c r="K783" t="n">
        <v>0</v>
      </c>
      <c r="L783" t="n">
        <v>0</v>
      </c>
      <c r="M783" t="n">
        <v>0</v>
      </c>
      <c r="N783" t="n">
        <v>0</v>
      </c>
      <c r="O783" t="n">
        <v>0</v>
      </c>
      <c r="P783" t="n">
        <v>0</v>
      </c>
      <c r="Q783" t="n">
        <v>0</v>
      </c>
      <c r="R783" s="2" t="inlineStr"/>
    </row>
    <row r="784" ht="15" customHeight="1">
      <c r="A784" t="inlineStr">
        <is>
          <t>A 16600-2023</t>
        </is>
      </c>
      <c r="B784" s="1" t="n">
        <v>45030</v>
      </c>
      <c r="C784" s="1" t="n">
        <v>45878</v>
      </c>
      <c r="D784" t="inlineStr">
        <is>
          <t>VÄSTERNORRLANDS LÄN</t>
        </is>
      </c>
      <c r="E784" t="inlineStr">
        <is>
          <t>ÅNGE</t>
        </is>
      </c>
      <c r="G784" t="n">
        <v>0.1</v>
      </c>
      <c r="H784" t="n">
        <v>0</v>
      </c>
      <c r="I784" t="n">
        <v>0</v>
      </c>
      <c r="J784" t="n">
        <v>0</v>
      </c>
      <c r="K784" t="n">
        <v>0</v>
      </c>
      <c r="L784" t="n">
        <v>0</v>
      </c>
      <c r="M784" t="n">
        <v>0</v>
      </c>
      <c r="N784" t="n">
        <v>0</v>
      </c>
      <c r="O784" t="n">
        <v>0</v>
      </c>
      <c r="P784" t="n">
        <v>0</v>
      </c>
      <c r="Q784" t="n">
        <v>0</v>
      </c>
      <c r="R784" s="2" t="inlineStr"/>
    </row>
    <row r="785" ht="15" customHeight="1">
      <c r="A785" t="inlineStr">
        <is>
          <t>A 22791-2025</t>
        </is>
      </c>
      <c r="B785" s="1" t="n">
        <v>45789.65663194445</v>
      </c>
      <c r="C785" s="1" t="n">
        <v>45878</v>
      </c>
      <c r="D785" t="inlineStr">
        <is>
          <t>VÄSTERNORRLANDS LÄN</t>
        </is>
      </c>
      <c r="E785" t="inlineStr">
        <is>
          <t>ÅNGE</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42488-2024</t>
        </is>
      </c>
      <c r="B786" s="1" t="n">
        <v>45565.49420138889</v>
      </c>
      <c r="C786" s="1" t="n">
        <v>45878</v>
      </c>
      <c r="D786" t="inlineStr">
        <is>
          <t>VÄSTERNORRLANDS LÄN</t>
        </is>
      </c>
      <c r="E786" t="inlineStr">
        <is>
          <t>ÅNGE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19342-2024</t>
        </is>
      </c>
      <c r="B787" s="1" t="n">
        <v>45428</v>
      </c>
      <c r="C787" s="1" t="n">
        <v>45878</v>
      </c>
      <c r="D787" t="inlineStr">
        <is>
          <t>VÄSTERNORRLANDS LÄN</t>
        </is>
      </c>
      <c r="E787" t="inlineStr">
        <is>
          <t>ÅNGE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35399-2024</t>
        </is>
      </c>
      <c r="B788" s="1" t="n">
        <v>45531.40438657408</v>
      </c>
      <c r="C788" s="1" t="n">
        <v>45878</v>
      </c>
      <c r="D788" t="inlineStr">
        <is>
          <t>VÄSTERNORRLANDS LÄN</t>
        </is>
      </c>
      <c r="E788" t="inlineStr">
        <is>
          <t>ÅNGE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23048-2025</t>
        </is>
      </c>
      <c r="B789" s="1" t="n">
        <v>45790.69825231482</v>
      </c>
      <c r="C789" s="1" t="n">
        <v>45878</v>
      </c>
      <c r="D789" t="inlineStr">
        <is>
          <t>VÄSTERNORRLANDS LÄN</t>
        </is>
      </c>
      <c r="E789" t="inlineStr">
        <is>
          <t>ÅNGE</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25035-2023</t>
        </is>
      </c>
      <c r="B790" s="1" t="n">
        <v>45085</v>
      </c>
      <c r="C790" s="1" t="n">
        <v>45878</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39682-2024</t>
        </is>
      </c>
      <c r="B791" s="1" t="n">
        <v>45552</v>
      </c>
      <c r="C791" s="1" t="n">
        <v>45878</v>
      </c>
      <c r="D791" t="inlineStr">
        <is>
          <t>VÄSTERNORRLANDS LÄN</t>
        </is>
      </c>
      <c r="E791" t="inlineStr">
        <is>
          <t>ÅNGE</t>
        </is>
      </c>
      <c r="G791" t="n">
        <v>35.4</v>
      </c>
      <c r="H791" t="n">
        <v>0</v>
      </c>
      <c r="I791" t="n">
        <v>0</v>
      </c>
      <c r="J791" t="n">
        <v>0</v>
      </c>
      <c r="K791" t="n">
        <v>0</v>
      </c>
      <c r="L791" t="n">
        <v>0</v>
      </c>
      <c r="M791" t="n">
        <v>0</v>
      </c>
      <c r="N791" t="n">
        <v>0</v>
      </c>
      <c r="O791" t="n">
        <v>0</v>
      </c>
      <c r="P791" t="n">
        <v>0</v>
      </c>
      <c r="Q791" t="n">
        <v>0</v>
      </c>
      <c r="R791" s="2" t="inlineStr"/>
    </row>
    <row r="792" ht="15" customHeight="1">
      <c r="A792" t="inlineStr">
        <is>
          <t>A 17668-2023</t>
        </is>
      </c>
      <c r="B792" s="1" t="n">
        <v>45036</v>
      </c>
      <c r="C792" s="1" t="n">
        <v>45878</v>
      </c>
      <c r="D792" t="inlineStr">
        <is>
          <t>VÄSTERNORRLANDS LÄN</t>
        </is>
      </c>
      <c r="E792" t="inlineStr">
        <is>
          <t>ÅNGE</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23490-2025</t>
        </is>
      </c>
      <c r="B793" s="1" t="n">
        <v>45792.46907407408</v>
      </c>
      <c r="C793" s="1" t="n">
        <v>45878</v>
      </c>
      <c r="D793" t="inlineStr">
        <is>
          <t>VÄSTERNORRLANDS LÄN</t>
        </is>
      </c>
      <c r="E793" t="inlineStr">
        <is>
          <t>ÅNGE</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40755-2023</t>
        </is>
      </c>
      <c r="B794" s="1" t="n">
        <v>45170</v>
      </c>
      <c r="C794" s="1" t="n">
        <v>45878</v>
      </c>
      <c r="D794" t="inlineStr">
        <is>
          <t>VÄSTERNORRLANDS LÄN</t>
        </is>
      </c>
      <c r="E794" t="inlineStr">
        <is>
          <t>ÅNGE</t>
        </is>
      </c>
      <c r="G794" t="n">
        <v>3.6</v>
      </c>
      <c r="H794" t="n">
        <v>0</v>
      </c>
      <c r="I794" t="n">
        <v>0</v>
      </c>
      <c r="J794" t="n">
        <v>0</v>
      </c>
      <c r="K794" t="n">
        <v>0</v>
      </c>
      <c r="L794" t="n">
        <v>0</v>
      </c>
      <c r="M794" t="n">
        <v>0</v>
      </c>
      <c r="N794" t="n">
        <v>0</v>
      </c>
      <c r="O794" t="n">
        <v>0</v>
      </c>
      <c r="P794" t="n">
        <v>0</v>
      </c>
      <c r="Q794" t="n">
        <v>0</v>
      </c>
      <c r="R794" s="2" t="inlineStr"/>
    </row>
    <row r="795" ht="15" customHeight="1">
      <c r="A795" t="inlineStr">
        <is>
          <t>A 41284-2024</t>
        </is>
      </c>
      <c r="B795" s="1" t="n">
        <v>45559.59520833333</v>
      </c>
      <c r="C795" s="1" t="n">
        <v>45878</v>
      </c>
      <c r="D795" t="inlineStr">
        <is>
          <t>VÄSTERNORRLANDS LÄN</t>
        </is>
      </c>
      <c r="E795" t="inlineStr">
        <is>
          <t>ÅNGE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8406-2023</t>
        </is>
      </c>
      <c r="B796" s="1" t="n">
        <v>44971</v>
      </c>
      <c r="C796" s="1" t="n">
        <v>45878</v>
      </c>
      <c r="D796" t="inlineStr">
        <is>
          <t>VÄSTERNORRLANDS LÄN</t>
        </is>
      </c>
      <c r="E796" t="inlineStr">
        <is>
          <t>ÅNGE</t>
        </is>
      </c>
      <c r="G796" t="n">
        <v>1.2</v>
      </c>
      <c r="H796" t="n">
        <v>0</v>
      </c>
      <c r="I796" t="n">
        <v>0</v>
      </c>
      <c r="J796" t="n">
        <v>0</v>
      </c>
      <c r="K796" t="n">
        <v>0</v>
      </c>
      <c r="L796" t="n">
        <v>0</v>
      </c>
      <c r="M796" t="n">
        <v>0</v>
      </c>
      <c r="N796" t="n">
        <v>0</v>
      </c>
      <c r="O796" t="n">
        <v>0</v>
      </c>
      <c r="P796" t="n">
        <v>0</v>
      </c>
      <c r="Q796" t="n">
        <v>0</v>
      </c>
      <c r="R796" s="2" t="inlineStr"/>
    </row>
    <row r="797" ht="15" customHeight="1">
      <c r="A797" t="inlineStr">
        <is>
          <t>A 32901-2023</t>
        </is>
      </c>
      <c r="B797" s="1" t="n">
        <v>45124.95063657407</v>
      </c>
      <c r="C797" s="1" t="n">
        <v>45878</v>
      </c>
      <c r="D797" t="inlineStr">
        <is>
          <t>VÄSTERNORRLANDS LÄN</t>
        </is>
      </c>
      <c r="E797" t="inlineStr">
        <is>
          <t>ÅNGE</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23091-2025</t>
        </is>
      </c>
      <c r="B798" s="1" t="n">
        <v>45791.34456018519</v>
      </c>
      <c r="C798" s="1" t="n">
        <v>45878</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16903-2024</t>
        </is>
      </c>
      <c r="B799" s="1" t="n">
        <v>45411.63106481481</v>
      </c>
      <c r="C799" s="1" t="n">
        <v>45878</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45878</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16915-2024</t>
        </is>
      </c>
      <c r="B801" s="1" t="n">
        <v>45411.65185185185</v>
      </c>
      <c r="C801" s="1" t="n">
        <v>45878</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5613-2024</t>
        </is>
      </c>
      <c r="B802" s="1" t="n">
        <v>45334</v>
      </c>
      <c r="C802" s="1" t="n">
        <v>45878</v>
      </c>
      <c r="D802" t="inlineStr">
        <is>
          <t>VÄSTERNORRLANDS LÄN</t>
        </is>
      </c>
      <c r="E802" t="inlineStr">
        <is>
          <t>ÅNGE</t>
        </is>
      </c>
      <c r="G802" t="n">
        <v>0.4</v>
      </c>
      <c r="H802" t="n">
        <v>0</v>
      </c>
      <c r="I802" t="n">
        <v>0</v>
      </c>
      <c r="J802" t="n">
        <v>0</v>
      </c>
      <c r="K802" t="n">
        <v>0</v>
      </c>
      <c r="L802" t="n">
        <v>0</v>
      </c>
      <c r="M802" t="n">
        <v>0</v>
      </c>
      <c r="N802" t="n">
        <v>0</v>
      </c>
      <c r="O802" t="n">
        <v>0</v>
      </c>
      <c r="P802" t="n">
        <v>0</v>
      </c>
      <c r="Q802" t="n">
        <v>0</v>
      </c>
      <c r="R802" s="2" t="inlineStr"/>
    </row>
    <row r="803" ht="15" customHeight="1">
      <c r="A803" t="inlineStr">
        <is>
          <t>A 45933-2023</t>
        </is>
      </c>
      <c r="B803" s="1" t="n">
        <v>45195</v>
      </c>
      <c r="C803" s="1" t="n">
        <v>45878</v>
      </c>
      <c r="D803" t="inlineStr">
        <is>
          <t>VÄSTERNORRLANDS LÄN</t>
        </is>
      </c>
      <c r="E803" t="inlineStr">
        <is>
          <t>ÅNGE</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57601-2022</t>
        </is>
      </c>
      <c r="B804" s="1" t="n">
        <v>44896</v>
      </c>
      <c r="C804" s="1" t="n">
        <v>45878</v>
      </c>
      <c r="D804" t="inlineStr">
        <is>
          <t>VÄSTERNORRLANDS LÄN</t>
        </is>
      </c>
      <c r="E804" t="inlineStr">
        <is>
          <t>ÅNGE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54456-2024</t>
        </is>
      </c>
      <c r="B805" s="1" t="n">
        <v>45617.53160879629</v>
      </c>
      <c r="C805" s="1" t="n">
        <v>45878</v>
      </c>
      <c r="D805" t="inlineStr">
        <is>
          <t>VÄSTERNORRLANDS LÄN</t>
        </is>
      </c>
      <c r="E805" t="inlineStr">
        <is>
          <t>ÅNGE</t>
        </is>
      </c>
      <c r="F805" t="inlineStr">
        <is>
          <t>SCA</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23580-2025</t>
        </is>
      </c>
      <c r="B806" s="1" t="n">
        <v>45792.62555555555</v>
      </c>
      <c r="C806" s="1" t="n">
        <v>45878</v>
      </c>
      <c r="D806" t="inlineStr">
        <is>
          <t>VÄSTERNORRLANDS LÄN</t>
        </is>
      </c>
      <c r="E806" t="inlineStr">
        <is>
          <t>ÅNGE</t>
        </is>
      </c>
      <c r="F806" t="inlineStr">
        <is>
          <t>Kyrkan</t>
        </is>
      </c>
      <c r="G806" t="n">
        <v>2.6</v>
      </c>
      <c r="H806" t="n">
        <v>0</v>
      </c>
      <c r="I806" t="n">
        <v>0</v>
      </c>
      <c r="J806" t="n">
        <v>0</v>
      </c>
      <c r="K806" t="n">
        <v>0</v>
      </c>
      <c r="L806" t="n">
        <v>0</v>
      </c>
      <c r="M806" t="n">
        <v>0</v>
      </c>
      <c r="N806" t="n">
        <v>0</v>
      </c>
      <c r="O806" t="n">
        <v>0</v>
      </c>
      <c r="P806" t="n">
        <v>0</v>
      </c>
      <c r="Q806" t="n">
        <v>0</v>
      </c>
      <c r="R806" s="2" t="inlineStr"/>
    </row>
    <row r="807" ht="15" customHeight="1">
      <c r="A807" t="inlineStr">
        <is>
          <t>A 34649-2024</t>
        </is>
      </c>
      <c r="B807" s="1" t="n">
        <v>45526.48325231481</v>
      </c>
      <c r="C807" s="1" t="n">
        <v>45878</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23343-2025</t>
        </is>
      </c>
      <c r="B808" s="1" t="n">
        <v>45791.65702546296</v>
      </c>
      <c r="C808" s="1" t="n">
        <v>45878</v>
      </c>
      <c r="D808" t="inlineStr">
        <is>
          <t>VÄSTERNORRLANDS LÄN</t>
        </is>
      </c>
      <c r="E808" t="inlineStr">
        <is>
          <t>ÅNGE</t>
        </is>
      </c>
      <c r="F808" t="inlineStr">
        <is>
          <t>SCA</t>
        </is>
      </c>
      <c r="G808" t="n">
        <v>12.6</v>
      </c>
      <c r="H808" t="n">
        <v>0</v>
      </c>
      <c r="I808" t="n">
        <v>0</v>
      </c>
      <c r="J808" t="n">
        <v>0</v>
      </c>
      <c r="K808" t="n">
        <v>0</v>
      </c>
      <c r="L808" t="n">
        <v>0</v>
      </c>
      <c r="M808" t="n">
        <v>0</v>
      </c>
      <c r="N808" t="n">
        <v>0</v>
      </c>
      <c r="O808" t="n">
        <v>0</v>
      </c>
      <c r="P808" t="n">
        <v>0</v>
      </c>
      <c r="Q808" t="n">
        <v>0</v>
      </c>
      <c r="R808" s="2" t="inlineStr"/>
    </row>
    <row r="809" ht="15" customHeight="1">
      <c r="A809" t="inlineStr">
        <is>
          <t>A 30683-2024</t>
        </is>
      </c>
      <c r="B809" s="1" t="n">
        <v>45495</v>
      </c>
      <c r="C809" s="1" t="n">
        <v>45878</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23407-2025</t>
        </is>
      </c>
      <c r="B810" s="1" t="n">
        <v>45792.34549768519</v>
      </c>
      <c r="C810" s="1" t="n">
        <v>45878</v>
      </c>
      <c r="D810" t="inlineStr">
        <is>
          <t>VÄSTERNORRLANDS LÄN</t>
        </is>
      </c>
      <c r="E810" t="inlineStr">
        <is>
          <t>ÅNGE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25311-2023</t>
        </is>
      </c>
      <c r="B811" s="1" t="n">
        <v>45086.93869212963</v>
      </c>
      <c r="C811" s="1" t="n">
        <v>45878</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23548-2025</t>
        </is>
      </c>
      <c r="B812" s="1" t="n">
        <v>45792.57333333333</v>
      </c>
      <c r="C812" s="1" t="n">
        <v>45878</v>
      </c>
      <c r="D812" t="inlineStr">
        <is>
          <t>VÄSTERNORRLANDS LÄN</t>
        </is>
      </c>
      <c r="E812" t="inlineStr">
        <is>
          <t>ÅNGE</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23573-2025</t>
        </is>
      </c>
      <c r="B813" s="1" t="n">
        <v>45792.61497685185</v>
      </c>
      <c r="C813" s="1" t="n">
        <v>45878</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23590-2025</t>
        </is>
      </c>
      <c r="B814" s="1" t="n">
        <v>45792.63627314815</v>
      </c>
      <c r="C814" s="1" t="n">
        <v>45878</v>
      </c>
      <c r="D814" t="inlineStr">
        <is>
          <t>VÄSTERNORRLANDS LÄN</t>
        </is>
      </c>
      <c r="E814" t="inlineStr">
        <is>
          <t>ÅNGE</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23495-2025</t>
        </is>
      </c>
      <c r="B815" s="1" t="n">
        <v>45792.46967592592</v>
      </c>
      <c r="C815" s="1" t="n">
        <v>45878</v>
      </c>
      <c r="D815" t="inlineStr">
        <is>
          <t>VÄSTERNORRLANDS LÄN</t>
        </is>
      </c>
      <c r="E815" t="inlineStr">
        <is>
          <t>ÅNGE</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4904-2024</t>
        </is>
      </c>
      <c r="B816" s="1" t="n">
        <v>45329.47856481482</v>
      </c>
      <c r="C816" s="1" t="n">
        <v>45878</v>
      </c>
      <c r="D816" t="inlineStr">
        <is>
          <t>VÄSTERNORRLANDS LÄN</t>
        </is>
      </c>
      <c r="E816" t="inlineStr">
        <is>
          <t>ÅNGE</t>
        </is>
      </c>
      <c r="G816" t="n">
        <v>3.5</v>
      </c>
      <c r="H816" t="n">
        <v>0</v>
      </c>
      <c r="I816" t="n">
        <v>0</v>
      </c>
      <c r="J816" t="n">
        <v>0</v>
      </c>
      <c r="K816" t="n">
        <v>0</v>
      </c>
      <c r="L816" t="n">
        <v>0</v>
      </c>
      <c r="M816" t="n">
        <v>0</v>
      </c>
      <c r="N816" t="n">
        <v>0</v>
      </c>
      <c r="O816" t="n">
        <v>0</v>
      </c>
      <c r="P816" t="n">
        <v>0</v>
      </c>
      <c r="Q816" t="n">
        <v>0</v>
      </c>
      <c r="R816" s="2" t="inlineStr"/>
    </row>
    <row r="817" ht="15" customHeight="1">
      <c r="A817" t="inlineStr">
        <is>
          <t>A 23589-2025</t>
        </is>
      </c>
      <c r="B817" s="1" t="n">
        <v>45792.63618055556</v>
      </c>
      <c r="C817" s="1" t="n">
        <v>45878</v>
      </c>
      <c r="D817" t="inlineStr">
        <is>
          <t>VÄSTERNORRLANDS LÄN</t>
        </is>
      </c>
      <c r="E817" t="inlineStr">
        <is>
          <t>ÅNGE</t>
        </is>
      </c>
      <c r="F817" t="inlineStr">
        <is>
          <t>SCA</t>
        </is>
      </c>
      <c r="G817" t="n">
        <v>10.7</v>
      </c>
      <c r="H817" t="n">
        <v>0</v>
      </c>
      <c r="I817" t="n">
        <v>0</v>
      </c>
      <c r="J817" t="n">
        <v>0</v>
      </c>
      <c r="K817" t="n">
        <v>0</v>
      </c>
      <c r="L817" t="n">
        <v>0</v>
      </c>
      <c r="M817" t="n">
        <v>0</v>
      </c>
      <c r="N817" t="n">
        <v>0</v>
      </c>
      <c r="O817" t="n">
        <v>0</v>
      </c>
      <c r="P817" t="n">
        <v>0</v>
      </c>
      <c r="Q817" t="n">
        <v>0</v>
      </c>
      <c r="R817" s="2" t="inlineStr"/>
    </row>
    <row r="818" ht="15" customHeight="1">
      <c r="A818" t="inlineStr">
        <is>
          <t>A 29462-2024</t>
        </is>
      </c>
      <c r="B818" s="1" t="n">
        <v>45483.96979166667</v>
      </c>
      <c r="C818" s="1" t="n">
        <v>45878</v>
      </c>
      <c r="D818" t="inlineStr">
        <is>
          <t>VÄSTERNORRLANDS LÄN</t>
        </is>
      </c>
      <c r="E818" t="inlineStr">
        <is>
          <t>ÅNGE</t>
        </is>
      </c>
      <c r="F818" t="inlineStr">
        <is>
          <t>SCA</t>
        </is>
      </c>
      <c r="G818" t="n">
        <v>8.4</v>
      </c>
      <c r="H818" t="n">
        <v>0</v>
      </c>
      <c r="I818" t="n">
        <v>0</v>
      </c>
      <c r="J818" t="n">
        <v>0</v>
      </c>
      <c r="K818" t="n">
        <v>0</v>
      </c>
      <c r="L818" t="n">
        <v>0</v>
      </c>
      <c r="M818" t="n">
        <v>0</v>
      </c>
      <c r="N818" t="n">
        <v>0</v>
      </c>
      <c r="O818" t="n">
        <v>0</v>
      </c>
      <c r="P818" t="n">
        <v>0</v>
      </c>
      <c r="Q818" t="n">
        <v>0</v>
      </c>
      <c r="R818" s="2" t="inlineStr"/>
    </row>
    <row r="819" ht="15" customHeight="1">
      <c r="A819" t="inlineStr">
        <is>
          <t>A 44178-2023</t>
        </is>
      </c>
      <c r="B819" s="1" t="n">
        <v>45183</v>
      </c>
      <c r="C819" s="1" t="n">
        <v>45878</v>
      </c>
      <c r="D819" t="inlineStr">
        <is>
          <t>VÄSTERNORRLANDS LÄN</t>
        </is>
      </c>
      <c r="E819" t="inlineStr">
        <is>
          <t>ÅNGE</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8648-2025</t>
        </is>
      </c>
      <c r="B820" s="1" t="n">
        <v>45712.34501157407</v>
      </c>
      <c r="C820" s="1" t="n">
        <v>45878</v>
      </c>
      <c r="D820" t="inlineStr">
        <is>
          <t>VÄSTERNORRLANDS LÄN</t>
        </is>
      </c>
      <c r="E820" t="inlineStr">
        <is>
          <t>ÅNGE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27952-2024</t>
        </is>
      </c>
      <c r="B821" s="1" t="n">
        <v>45476.33063657407</v>
      </c>
      <c r="C821" s="1" t="n">
        <v>45878</v>
      </c>
      <c r="D821" t="inlineStr">
        <is>
          <t>VÄSTERNORRLANDS LÄN</t>
        </is>
      </c>
      <c r="E821" t="inlineStr">
        <is>
          <t>ÅNGE</t>
        </is>
      </c>
      <c r="G821" t="n">
        <v>12.2</v>
      </c>
      <c r="H821" t="n">
        <v>0</v>
      </c>
      <c r="I821" t="n">
        <v>0</v>
      </c>
      <c r="J821" t="n">
        <v>0</v>
      </c>
      <c r="K821" t="n">
        <v>0</v>
      </c>
      <c r="L821" t="n">
        <v>0</v>
      </c>
      <c r="M821" t="n">
        <v>0</v>
      </c>
      <c r="N821" t="n">
        <v>0</v>
      </c>
      <c r="O821" t="n">
        <v>0</v>
      </c>
      <c r="P821" t="n">
        <v>0</v>
      </c>
      <c r="Q821" t="n">
        <v>0</v>
      </c>
      <c r="R821" s="2" t="inlineStr"/>
    </row>
    <row r="822" ht="15" customHeight="1">
      <c r="A822" t="inlineStr">
        <is>
          <t>A 32439-2024</t>
        </is>
      </c>
      <c r="B822" s="1" t="n">
        <v>45512</v>
      </c>
      <c r="C822" s="1" t="n">
        <v>45878</v>
      </c>
      <c r="D822" t="inlineStr">
        <is>
          <t>VÄSTERNORRLANDS LÄN</t>
        </is>
      </c>
      <c r="E822" t="inlineStr">
        <is>
          <t>ÅNGE</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51054-2024</t>
        </is>
      </c>
      <c r="B823" s="1" t="n">
        <v>45603</v>
      </c>
      <c r="C823" s="1" t="n">
        <v>45878</v>
      </c>
      <c r="D823" t="inlineStr">
        <is>
          <t>VÄSTERNORRLANDS LÄN</t>
        </is>
      </c>
      <c r="E823" t="inlineStr">
        <is>
          <t>ÅNGE</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60363-2024</t>
        </is>
      </c>
      <c r="B824" s="1" t="n">
        <v>45643</v>
      </c>
      <c r="C824" s="1" t="n">
        <v>45878</v>
      </c>
      <c r="D824" t="inlineStr">
        <is>
          <t>VÄSTERNORRLANDS LÄN</t>
        </is>
      </c>
      <c r="E824" t="inlineStr">
        <is>
          <t>ÅNGE</t>
        </is>
      </c>
      <c r="G824" t="n">
        <v>1.3</v>
      </c>
      <c r="H824" t="n">
        <v>0</v>
      </c>
      <c r="I824" t="n">
        <v>0</v>
      </c>
      <c r="J824" t="n">
        <v>0</v>
      </c>
      <c r="K824" t="n">
        <v>0</v>
      </c>
      <c r="L824" t="n">
        <v>0</v>
      </c>
      <c r="M824" t="n">
        <v>0</v>
      </c>
      <c r="N824" t="n">
        <v>0</v>
      </c>
      <c r="O824" t="n">
        <v>0</v>
      </c>
      <c r="P824" t="n">
        <v>0</v>
      </c>
      <c r="Q824" t="n">
        <v>0</v>
      </c>
      <c r="R824" s="2" t="inlineStr"/>
    </row>
    <row r="825" ht="15" customHeight="1">
      <c r="A825" t="inlineStr">
        <is>
          <t>A 23550-2025</t>
        </is>
      </c>
      <c r="B825" s="1" t="n">
        <v>45792.57361111111</v>
      </c>
      <c r="C825" s="1" t="n">
        <v>45878</v>
      </c>
      <c r="D825" t="inlineStr">
        <is>
          <t>VÄSTERNORRLANDS LÄN</t>
        </is>
      </c>
      <c r="E825" t="inlineStr">
        <is>
          <t>ÅNGE</t>
        </is>
      </c>
      <c r="F825" t="inlineStr">
        <is>
          <t>SCA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51070-2024</t>
        </is>
      </c>
      <c r="B826" s="1" t="n">
        <v>45603</v>
      </c>
      <c r="C826" s="1" t="n">
        <v>45878</v>
      </c>
      <c r="D826" t="inlineStr">
        <is>
          <t>VÄSTERNORRLANDS LÄN</t>
        </is>
      </c>
      <c r="E826" t="inlineStr">
        <is>
          <t>ÅNGE</t>
        </is>
      </c>
      <c r="G826" t="n">
        <v>11.1</v>
      </c>
      <c r="H826" t="n">
        <v>0</v>
      </c>
      <c r="I826" t="n">
        <v>0</v>
      </c>
      <c r="J826" t="n">
        <v>0</v>
      </c>
      <c r="K826" t="n">
        <v>0</v>
      </c>
      <c r="L826" t="n">
        <v>0</v>
      </c>
      <c r="M826" t="n">
        <v>0</v>
      </c>
      <c r="N826" t="n">
        <v>0</v>
      </c>
      <c r="O826" t="n">
        <v>0</v>
      </c>
      <c r="P826" t="n">
        <v>0</v>
      </c>
      <c r="Q826" t="n">
        <v>0</v>
      </c>
      <c r="R826" s="2" t="inlineStr"/>
    </row>
    <row r="827" ht="15" customHeight="1">
      <c r="A827" t="inlineStr">
        <is>
          <t>A 60514-2024</t>
        </is>
      </c>
      <c r="B827" s="1" t="n">
        <v>45643.67474537037</v>
      </c>
      <c r="C827" s="1" t="n">
        <v>45878</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20885-2023</t>
        </is>
      </c>
      <c r="B828" s="1" t="n">
        <v>45058</v>
      </c>
      <c r="C828" s="1" t="n">
        <v>45878</v>
      </c>
      <c r="D828" t="inlineStr">
        <is>
          <t>VÄSTERNORRLANDS LÄN</t>
        </is>
      </c>
      <c r="E828" t="inlineStr">
        <is>
          <t>ÅNGE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52665-2024</t>
        </is>
      </c>
      <c r="B829" s="1" t="n">
        <v>45610.36549768518</v>
      </c>
      <c r="C829" s="1" t="n">
        <v>45878</v>
      </c>
      <c r="D829" t="inlineStr">
        <is>
          <t>VÄSTERNORRLANDS LÄN</t>
        </is>
      </c>
      <c r="E829" t="inlineStr">
        <is>
          <t>ÅNGE</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45878</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58445-2022</t>
        </is>
      </c>
      <c r="B831" s="1" t="n">
        <v>44901.95453703704</v>
      </c>
      <c r="C831" s="1" t="n">
        <v>45878</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23252-2025</t>
        </is>
      </c>
      <c r="B832" s="1" t="n">
        <v>45791.53157407408</v>
      </c>
      <c r="C832" s="1" t="n">
        <v>45878</v>
      </c>
      <c r="D832" t="inlineStr">
        <is>
          <t>VÄSTERNORRLANDS LÄN</t>
        </is>
      </c>
      <c r="E832" t="inlineStr">
        <is>
          <t>ÅNGE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23529-2025</t>
        </is>
      </c>
      <c r="B833" s="1" t="n">
        <v>45792.53158564815</v>
      </c>
      <c r="C833" s="1" t="n">
        <v>45878</v>
      </c>
      <c r="D833" t="inlineStr">
        <is>
          <t>VÄSTERNORRLANDS LÄN</t>
        </is>
      </c>
      <c r="E833" t="inlineStr">
        <is>
          <t>ÅNGE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23552-2025</t>
        </is>
      </c>
      <c r="B834" s="1" t="n">
        <v>45792.5738425926</v>
      </c>
      <c r="C834" s="1" t="n">
        <v>45878</v>
      </c>
      <c r="D834" t="inlineStr">
        <is>
          <t>VÄSTERNORRLANDS LÄN</t>
        </is>
      </c>
      <c r="E834" t="inlineStr">
        <is>
          <t>ÅNGE</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23058-2024</t>
        </is>
      </c>
      <c r="B835" s="1" t="n">
        <v>45450.44020833333</v>
      </c>
      <c r="C835" s="1" t="n">
        <v>45878</v>
      </c>
      <c r="D835" t="inlineStr">
        <is>
          <t>VÄSTERNORRLANDS LÄN</t>
        </is>
      </c>
      <c r="E835" t="inlineStr">
        <is>
          <t>ÅNGE</t>
        </is>
      </c>
      <c r="G835" t="n">
        <v>3.9</v>
      </c>
      <c r="H835" t="n">
        <v>0</v>
      </c>
      <c r="I835" t="n">
        <v>0</v>
      </c>
      <c r="J835" t="n">
        <v>0</v>
      </c>
      <c r="K835" t="n">
        <v>0</v>
      </c>
      <c r="L835" t="n">
        <v>0</v>
      </c>
      <c r="M835" t="n">
        <v>0</v>
      </c>
      <c r="N835" t="n">
        <v>0</v>
      </c>
      <c r="O835" t="n">
        <v>0</v>
      </c>
      <c r="P835" t="n">
        <v>0</v>
      </c>
      <c r="Q835" t="n">
        <v>0</v>
      </c>
      <c r="R835" s="2" t="inlineStr"/>
    </row>
    <row r="836" ht="15" customHeight="1">
      <c r="A836" t="inlineStr">
        <is>
          <t>A 23748-2025</t>
        </is>
      </c>
      <c r="B836" s="1" t="n">
        <v>45793.44755787037</v>
      </c>
      <c r="C836" s="1" t="n">
        <v>45878</v>
      </c>
      <c r="D836" t="inlineStr">
        <is>
          <t>VÄSTERNORRLANDS LÄN</t>
        </is>
      </c>
      <c r="E836" t="inlineStr">
        <is>
          <t>ÅNGE</t>
        </is>
      </c>
      <c r="F836" t="inlineStr">
        <is>
          <t>Sveaskog</t>
        </is>
      </c>
      <c r="G836" t="n">
        <v>6.5</v>
      </c>
      <c r="H836" t="n">
        <v>0</v>
      </c>
      <c r="I836" t="n">
        <v>0</v>
      </c>
      <c r="J836" t="n">
        <v>0</v>
      </c>
      <c r="K836" t="n">
        <v>0</v>
      </c>
      <c r="L836" t="n">
        <v>0</v>
      </c>
      <c r="M836" t="n">
        <v>0</v>
      </c>
      <c r="N836" t="n">
        <v>0</v>
      </c>
      <c r="O836" t="n">
        <v>0</v>
      </c>
      <c r="P836" t="n">
        <v>0</v>
      </c>
      <c r="Q836" t="n">
        <v>0</v>
      </c>
      <c r="R836" s="2" t="inlineStr"/>
    </row>
    <row r="837" ht="15" customHeight="1">
      <c r="A837" t="inlineStr">
        <is>
          <t>A 43145-2024</t>
        </is>
      </c>
      <c r="B837" s="1" t="n">
        <v>45567.63030092593</v>
      </c>
      <c r="C837" s="1" t="n">
        <v>45878</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41831-2021</t>
        </is>
      </c>
      <c r="B838" s="1" t="n">
        <v>44425.92212962963</v>
      </c>
      <c r="C838" s="1" t="n">
        <v>45878</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23899-2025</t>
        </is>
      </c>
      <c r="B839" s="1" t="n">
        <v>45794.34414351852</v>
      </c>
      <c r="C839" s="1" t="n">
        <v>45878</v>
      </c>
      <c r="D839" t="inlineStr">
        <is>
          <t>VÄSTERNORRLANDS LÄN</t>
        </is>
      </c>
      <c r="E839" t="inlineStr">
        <is>
          <t>ÅNGE</t>
        </is>
      </c>
      <c r="F839" t="inlineStr">
        <is>
          <t>SCA</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57815-2024</t>
        </is>
      </c>
      <c r="B840" s="1" t="n">
        <v>45631.37068287037</v>
      </c>
      <c r="C840" s="1" t="n">
        <v>45878</v>
      </c>
      <c r="D840" t="inlineStr">
        <is>
          <t>VÄSTERNORRLANDS LÄN</t>
        </is>
      </c>
      <c r="E840" t="inlineStr">
        <is>
          <t>ÅNGE</t>
        </is>
      </c>
      <c r="G840" t="n">
        <v>2.6</v>
      </c>
      <c r="H840" t="n">
        <v>0</v>
      </c>
      <c r="I840" t="n">
        <v>0</v>
      </c>
      <c r="J840" t="n">
        <v>0</v>
      </c>
      <c r="K840" t="n">
        <v>0</v>
      </c>
      <c r="L840" t="n">
        <v>0</v>
      </c>
      <c r="M840" t="n">
        <v>0</v>
      </c>
      <c r="N840" t="n">
        <v>0</v>
      </c>
      <c r="O840" t="n">
        <v>0</v>
      </c>
      <c r="P840" t="n">
        <v>0</v>
      </c>
      <c r="Q840" t="n">
        <v>0</v>
      </c>
      <c r="R840" s="2" t="inlineStr"/>
    </row>
    <row r="841" ht="15" customHeight="1">
      <c r="A841" t="inlineStr">
        <is>
          <t>A 24014-2025</t>
        </is>
      </c>
      <c r="B841" s="1" t="n">
        <v>45796</v>
      </c>
      <c r="C841" s="1" t="n">
        <v>45878</v>
      </c>
      <c r="D841" t="inlineStr">
        <is>
          <t>VÄSTERNORRLANDS LÄN</t>
        </is>
      </c>
      <c r="E841" t="inlineStr">
        <is>
          <t>ÅNGE</t>
        </is>
      </c>
      <c r="G841" t="n">
        <v>1.5</v>
      </c>
      <c r="H841" t="n">
        <v>0</v>
      </c>
      <c r="I841" t="n">
        <v>0</v>
      </c>
      <c r="J841" t="n">
        <v>0</v>
      </c>
      <c r="K841" t="n">
        <v>0</v>
      </c>
      <c r="L841" t="n">
        <v>0</v>
      </c>
      <c r="M841" t="n">
        <v>0</v>
      </c>
      <c r="N841" t="n">
        <v>0</v>
      </c>
      <c r="O841" t="n">
        <v>0</v>
      </c>
      <c r="P841" t="n">
        <v>0</v>
      </c>
      <c r="Q841" t="n">
        <v>0</v>
      </c>
      <c r="R841" s="2" t="inlineStr"/>
    </row>
    <row r="842" ht="15" customHeight="1">
      <c r="A842" t="inlineStr">
        <is>
          <t>A 23917-2025</t>
        </is>
      </c>
      <c r="B842" s="1" t="n">
        <v>45795.34481481482</v>
      </c>
      <c r="C842" s="1" t="n">
        <v>45878</v>
      </c>
      <c r="D842" t="inlineStr">
        <is>
          <t>VÄSTERNORRLANDS LÄN</t>
        </is>
      </c>
      <c r="E842" t="inlineStr">
        <is>
          <t>ÅNGE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6691-2024</t>
        </is>
      </c>
      <c r="B843" s="1" t="n">
        <v>45341</v>
      </c>
      <c r="C843" s="1" t="n">
        <v>45878</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64946-2023</t>
        </is>
      </c>
      <c r="B844" s="1" t="n">
        <v>45282.94678240741</v>
      </c>
      <c r="C844" s="1" t="n">
        <v>45878</v>
      </c>
      <c r="D844" t="inlineStr">
        <is>
          <t>VÄSTERNORRLANDS LÄN</t>
        </is>
      </c>
      <c r="E844" t="inlineStr">
        <is>
          <t>ÅNGE</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32024-2025</t>
        </is>
      </c>
      <c r="B845" s="1" t="n">
        <v>45835.40706018519</v>
      </c>
      <c r="C845" s="1" t="n">
        <v>45878</v>
      </c>
      <c r="D845" t="inlineStr">
        <is>
          <t>VÄSTERNORRLANDS LÄN</t>
        </is>
      </c>
      <c r="E845" t="inlineStr">
        <is>
          <t>ÅNGE</t>
        </is>
      </c>
      <c r="F845" t="inlineStr">
        <is>
          <t>SCA</t>
        </is>
      </c>
      <c r="G845" t="n">
        <v>12.3</v>
      </c>
      <c r="H845" t="n">
        <v>0</v>
      </c>
      <c r="I845" t="n">
        <v>0</v>
      </c>
      <c r="J845" t="n">
        <v>0</v>
      </c>
      <c r="K845" t="n">
        <v>0</v>
      </c>
      <c r="L845" t="n">
        <v>0</v>
      </c>
      <c r="M845" t="n">
        <v>0</v>
      </c>
      <c r="N845" t="n">
        <v>0</v>
      </c>
      <c r="O845" t="n">
        <v>0</v>
      </c>
      <c r="P845" t="n">
        <v>0</v>
      </c>
      <c r="Q845" t="n">
        <v>0</v>
      </c>
      <c r="R845" s="2" t="inlineStr"/>
    </row>
    <row r="846" ht="15" customHeight="1">
      <c r="A846" t="inlineStr">
        <is>
          <t>A 56188-2024</t>
        </is>
      </c>
      <c r="B846" s="1" t="n">
        <v>45624.57800925926</v>
      </c>
      <c r="C846" s="1" t="n">
        <v>45878</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12123-2024</t>
        </is>
      </c>
      <c r="B847" s="1" t="n">
        <v>45377</v>
      </c>
      <c r="C847" s="1" t="n">
        <v>45878</v>
      </c>
      <c r="D847" t="inlineStr">
        <is>
          <t>VÄSTERNORRLANDS LÄN</t>
        </is>
      </c>
      <c r="E847" t="inlineStr">
        <is>
          <t>ÅNGE</t>
        </is>
      </c>
      <c r="G847" t="n">
        <v>2.2</v>
      </c>
      <c r="H847" t="n">
        <v>0</v>
      </c>
      <c r="I847" t="n">
        <v>0</v>
      </c>
      <c r="J847" t="n">
        <v>0</v>
      </c>
      <c r="K847" t="n">
        <v>0</v>
      </c>
      <c r="L847" t="n">
        <v>0</v>
      </c>
      <c r="M847" t="n">
        <v>0</v>
      </c>
      <c r="N847" t="n">
        <v>0</v>
      </c>
      <c r="O847" t="n">
        <v>0</v>
      </c>
      <c r="P847" t="n">
        <v>0</v>
      </c>
      <c r="Q847" t="n">
        <v>0</v>
      </c>
      <c r="R847" s="2" t="inlineStr"/>
    </row>
    <row r="848" ht="15" customHeight="1">
      <c r="A848" t="inlineStr">
        <is>
          <t>A 40208-2023</t>
        </is>
      </c>
      <c r="B848" s="1" t="n">
        <v>45168</v>
      </c>
      <c r="C848" s="1" t="n">
        <v>45878</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39843-2023</t>
        </is>
      </c>
      <c r="B849" s="1" t="n">
        <v>45168</v>
      </c>
      <c r="C849" s="1" t="n">
        <v>45878</v>
      </c>
      <c r="D849" t="inlineStr">
        <is>
          <t>VÄSTERNORRLANDS LÄN</t>
        </is>
      </c>
      <c r="E849" t="inlineStr">
        <is>
          <t>ÅNGE</t>
        </is>
      </c>
      <c r="G849" t="n">
        <v>2.1</v>
      </c>
      <c r="H849" t="n">
        <v>0</v>
      </c>
      <c r="I849" t="n">
        <v>0</v>
      </c>
      <c r="J849" t="n">
        <v>0</v>
      </c>
      <c r="K849" t="n">
        <v>0</v>
      </c>
      <c r="L849" t="n">
        <v>0</v>
      </c>
      <c r="M849" t="n">
        <v>0</v>
      </c>
      <c r="N849" t="n">
        <v>0</v>
      </c>
      <c r="O849" t="n">
        <v>0</v>
      </c>
      <c r="P849" t="n">
        <v>0</v>
      </c>
      <c r="Q849" t="n">
        <v>0</v>
      </c>
      <c r="R849" s="2" t="inlineStr"/>
    </row>
    <row r="850" ht="15" customHeight="1">
      <c r="A850" t="inlineStr">
        <is>
          <t>A 12806-2025</t>
        </is>
      </c>
      <c r="B850" s="1" t="n">
        <v>45733.61518518518</v>
      </c>
      <c r="C850" s="1" t="n">
        <v>45878</v>
      </c>
      <c r="D850" t="inlineStr">
        <is>
          <t>VÄSTERNORRLANDS LÄN</t>
        </is>
      </c>
      <c r="E850" t="inlineStr">
        <is>
          <t>ÅNGE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20024-2023</t>
        </is>
      </c>
      <c r="B851" s="1" t="n">
        <v>45051</v>
      </c>
      <c r="C851" s="1" t="n">
        <v>45878</v>
      </c>
      <c r="D851" t="inlineStr">
        <is>
          <t>VÄSTERNORRLANDS LÄN</t>
        </is>
      </c>
      <c r="E851" t="inlineStr">
        <is>
          <t>ÅNGE</t>
        </is>
      </c>
      <c r="G851" t="n">
        <v>0.8</v>
      </c>
      <c r="H851" t="n">
        <v>0</v>
      </c>
      <c r="I851" t="n">
        <v>0</v>
      </c>
      <c r="J851" t="n">
        <v>0</v>
      </c>
      <c r="K851" t="n">
        <v>0</v>
      </c>
      <c r="L851" t="n">
        <v>0</v>
      </c>
      <c r="M851" t="n">
        <v>0</v>
      </c>
      <c r="N851" t="n">
        <v>0</v>
      </c>
      <c r="O851" t="n">
        <v>0</v>
      </c>
      <c r="P851" t="n">
        <v>0</v>
      </c>
      <c r="Q851" t="n">
        <v>0</v>
      </c>
      <c r="R851" s="2" t="inlineStr"/>
    </row>
    <row r="852" ht="15" customHeight="1">
      <c r="A852" t="inlineStr">
        <is>
          <t>A 32051-2025</t>
        </is>
      </c>
      <c r="B852" s="1" t="n">
        <v>45835.44185185185</v>
      </c>
      <c r="C852" s="1" t="n">
        <v>45878</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23975-2025</t>
        </is>
      </c>
      <c r="B853" s="1" t="n">
        <v>45796.38614583333</v>
      </c>
      <c r="C853" s="1" t="n">
        <v>45878</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23976-2025</t>
        </is>
      </c>
      <c r="B854" s="1" t="n">
        <v>45796.38625</v>
      </c>
      <c r="C854" s="1" t="n">
        <v>45878</v>
      </c>
      <c r="D854" t="inlineStr">
        <is>
          <t>VÄSTERNORRLANDS LÄN</t>
        </is>
      </c>
      <c r="E854" t="inlineStr">
        <is>
          <t>ÅNGE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23958-2025</t>
        </is>
      </c>
      <c r="B855" s="1" t="n">
        <v>45796</v>
      </c>
      <c r="C855" s="1" t="n">
        <v>45878</v>
      </c>
      <c r="D855" t="inlineStr">
        <is>
          <t>VÄSTERNORRLANDS LÄN</t>
        </is>
      </c>
      <c r="E855" t="inlineStr">
        <is>
          <t>ÅNGE</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13164-2022</t>
        </is>
      </c>
      <c r="B856" s="1" t="n">
        <v>44644</v>
      </c>
      <c r="C856" s="1" t="n">
        <v>45878</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5456-2024</t>
        </is>
      </c>
      <c r="B857" s="1" t="n">
        <v>45331</v>
      </c>
      <c r="C857" s="1" t="n">
        <v>45878</v>
      </c>
      <c r="D857" t="inlineStr">
        <is>
          <t>VÄSTERNORRLANDS LÄN</t>
        </is>
      </c>
      <c r="E857" t="inlineStr">
        <is>
          <t>ÅNGE</t>
        </is>
      </c>
      <c r="G857" t="n">
        <v>13</v>
      </c>
      <c r="H857" t="n">
        <v>0</v>
      </c>
      <c r="I857" t="n">
        <v>0</v>
      </c>
      <c r="J857" t="n">
        <v>0</v>
      </c>
      <c r="K857" t="n">
        <v>0</v>
      </c>
      <c r="L857" t="n">
        <v>0</v>
      </c>
      <c r="M857" t="n">
        <v>0</v>
      </c>
      <c r="N857" t="n">
        <v>0</v>
      </c>
      <c r="O857" t="n">
        <v>0</v>
      </c>
      <c r="P857" t="n">
        <v>0</v>
      </c>
      <c r="Q857" t="n">
        <v>0</v>
      </c>
      <c r="R857" s="2" t="inlineStr"/>
    </row>
    <row r="858" ht="15" customHeight="1">
      <c r="A858" t="inlineStr">
        <is>
          <t>A 23921-2025</t>
        </is>
      </c>
      <c r="B858" s="1" t="n">
        <v>45795.34513888889</v>
      </c>
      <c r="C858" s="1" t="n">
        <v>45878</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54079-2023</t>
        </is>
      </c>
      <c r="B859" s="1" t="n">
        <v>45231</v>
      </c>
      <c r="C859" s="1" t="n">
        <v>45878</v>
      </c>
      <c r="D859" t="inlineStr">
        <is>
          <t>VÄSTERNORRLANDS LÄN</t>
        </is>
      </c>
      <c r="E859" t="inlineStr">
        <is>
          <t>ÅNGE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30474-2024</t>
        </is>
      </c>
      <c r="B860" s="1" t="n">
        <v>45491</v>
      </c>
      <c r="C860" s="1" t="n">
        <v>45878</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30475-2024</t>
        </is>
      </c>
      <c r="B861" s="1" t="n">
        <v>45491</v>
      </c>
      <c r="C861" s="1" t="n">
        <v>45878</v>
      </c>
      <c r="D861" t="inlineStr">
        <is>
          <t>VÄSTERNORRLANDS LÄN</t>
        </is>
      </c>
      <c r="E861" t="inlineStr">
        <is>
          <t>ÅNGE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29702-2024</t>
        </is>
      </c>
      <c r="B862" s="1" t="n">
        <v>45485.31525462963</v>
      </c>
      <c r="C862" s="1" t="n">
        <v>45878</v>
      </c>
      <c r="D862" t="inlineStr">
        <is>
          <t>VÄSTERNORRLANDS LÄN</t>
        </is>
      </c>
      <c r="E862" t="inlineStr">
        <is>
          <t>ÅNGE</t>
        </is>
      </c>
      <c r="G862" t="n">
        <v>2.6</v>
      </c>
      <c r="H862" t="n">
        <v>0</v>
      </c>
      <c r="I862" t="n">
        <v>0</v>
      </c>
      <c r="J862" t="n">
        <v>0</v>
      </c>
      <c r="K862" t="n">
        <v>0</v>
      </c>
      <c r="L862" t="n">
        <v>0</v>
      </c>
      <c r="M862" t="n">
        <v>0</v>
      </c>
      <c r="N862" t="n">
        <v>0</v>
      </c>
      <c r="O862" t="n">
        <v>0</v>
      </c>
      <c r="P862" t="n">
        <v>0</v>
      </c>
      <c r="Q862" t="n">
        <v>0</v>
      </c>
      <c r="R862" s="2" t="inlineStr"/>
    </row>
    <row r="863" ht="15" customHeight="1">
      <c r="A863" t="inlineStr">
        <is>
          <t>A 46681-2023</t>
        </is>
      </c>
      <c r="B863" s="1" t="n">
        <v>45198</v>
      </c>
      <c r="C863" s="1" t="n">
        <v>45878</v>
      </c>
      <c r="D863" t="inlineStr">
        <is>
          <t>VÄSTERNORRLANDS LÄN</t>
        </is>
      </c>
      <c r="E863" t="inlineStr">
        <is>
          <t>ÅNGE</t>
        </is>
      </c>
      <c r="G863" t="n">
        <v>0.8</v>
      </c>
      <c r="H863" t="n">
        <v>0</v>
      </c>
      <c r="I863" t="n">
        <v>0</v>
      </c>
      <c r="J863" t="n">
        <v>0</v>
      </c>
      <c r="K863" t="n">
        <v>0</v>
      </c>
      <c r="L863" t="n">
        <v>0</v>
      </c>
      <c r="M863" t="n">
        <v>0</v>
      </c>
      <c r="N863" t="n">
        <v>0</v>
      </c>
      <c r="O863" t="n">
        <v>0</v>
      </c>
      <c r="P863" t="n">
        <v>0</v>
      </c>
      <c r="Q863" t="n">
        <v>0</v>
      </c>
      <c r="R863" s="2" t="inlineStr"/>
    </row>
    <row r="864" ht="15" customHeight="1">
      <c r="A864" t="inlineStr">
        <is>
          <t>A 41586-2024</t>
        </is>
      </c>
      <c r="B864" s="1" t="n">
        <v>45560.56089120371</v>
      </c>
      <c r="C864" s="1" t="n">
        <v>45878</v>
      </c>
      <c r="D864" t="inlineStr">
        <is>
          <t>VÄSTERNORRLANDS LÄN</t>
        </is>
      </c>
      <c r="E864" t="inlineStr">
        <is>
          <t>ÅNGE</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71965-2021</t>
        </is>
      </c>
      <c r="B865" s="1" t="n">
        <v>44544.32483796297</v>
      </c>
      <c r="C865" s="1" t="n">
        <v>45878</v>
      </c>
      <c r="D865" t="inlineStr">
        <is>
          <t>VÄSTERNORRLANDS LÄN</t>
        </is>
      </c>
      <c r="E865" t="inlineStr">
        <is>
          <t>ÅNGE</t>
        </is>
      </c>
      <c r="G865" t="n">
        <v>0.8</v>
      </c>
      <c r="H865" t="n">
        <v>0</v>
      </c>
      <c r="I865" t="n">
        <v>0</v>
      </c>
      <c r="J865" t="n">
        <v>0</v>
      </c>
      <c r="K865" t="n">
        <v>0</v>
      </c>
      <c r="L865" t="n">
        <v>0</v>
      </c>
      <c r="M865" t="n">
        <v>0</v>
      </c>
      <c r="N865" t="n">
        <v>0</v>
      </c>
      <c r="O865" t="n">
        <v>0</v>
      </c>
      <c r="P865" t="n">
        <v>0</v>
      </c>
      <c r="Q865" t="n">
        <v>0</v>
      </c>
      <c r="R865" s="2" t="inlineStr"/>
    </row>
    <row r="866" ht="15" customHeight="1">
      <c r="A866" t="inlineStr">
        <is>
          <t>A 56574-2024</t>
        </is>
      </c>
      <c r="B866" s="1" t="n">
        <v>45625.59616898148</v>
      </c>
      <c r="C866" s="1" t="n">
        <v>45878</v>
      </c>
      <c r="D866" t="inlineStr">
        <is>
          <t>VÄSTERNORRLANDS LÄN</t>
        </is>
      </c>
      <c r="E866" t="inlineStr">
        <is>
          <t>ÅNGE</t>
        </is>
      </c>
      <c r="G866" t="n">
        <v>0.9</v>
      </c>
      <c r="H866" t="n">
        <v>0</v>
      </c>
      <c r="I866" t="n">
        <v>0</v>
      </c>
      <c r="J866" t="n">
        <v>0</v>
      </c>
      <c r="K866" t="n">
        <v>0</v>
      </c>
      <c r="L866" t="n">
        <v>0</v>
      </c>
      <c r="M866" t="n">
        <v>0</v>
      </c>
      <c r="N866" t="n">
        <v>0</v>
      </c>
      <c r="O866" t="n">
        <v>0</v>
      </c>
      <c r="P866" t="n">
        <v>0</v>
      </c>
      <c r="Q866" t="n">
        <v>0</v>
      </c>
      <c r="R866" s="2" t="inlineStr"/>
    </row>
    <row r="867" ht="15" customHeight="1">
      <c r="A867" t="inlineStr">
        <is>
          <t>A 58087-2024</t>
        </is>
      </c>
      <c r="B867" s="1" t="n">
        <v>45632.34502314815</v>
      </c>
      <c r="C867" s="1" t="n">
        <v>45878</v>
      </c>
      <c r="D867" t="inlineStr">
        <is>
          <t>VÄSTERNORRLANDS LÄN</t>
        </is>
      </c>
      <c r="E867" t="inlineStr">
        <is>
          <t>ÅNGE</t>
        </is>
      </c>
      <c r="G867" t="n">
        <v>2.6</v>
      </c>
      <c r="H867" t="n">
        <v>0</v>
      </c>
      <c r="I867" t="n">
        <v>0</v>
      </c>
      <c r="J867" t="n">
        <v>0</v>
      </c>
      <c r="K867" t="n">
        <v>0</v>
      </c>
      <c r="L867" t="n">
        <v>0</v>
      </c>
      <c r="M867" t="n">
        <v>0</v>
      </c>
      <c r="N867" t="n">
        <v>0</v>
      </c>
      <c r="O867" t="n">
        <v>0</v>
      </c>
      <c r="P867" t="n">
        <v>0</v>
      </c>
      <c r="Q867" t="n">
        <v>0</v>
      </c>
      <c r="R867" s="2" t="inlineStr"/>
    </row>
    <row r="868" ht="15" customHeight="1">
      <c r="A868" t="inlineStr">
        <is>
          <t>A 48946-2024</t>
        </is>
      </c>
      <c r="B868" s="1" t="n">
        <v>45594.42736111111</v>
      </c>
      <c r="C868" s="1" t="n">
        <v>45878</v>
      </c>
      <c r="D868" t="inlineStr">
        <is>
          <t>VÄSTERNORRLANDS LÄN</t>
        </is>
      </c>
      <c r="E868" t="inlineStr">
        <is>
          <t>ÅNGE</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26641-2024</t>
        </is>
      </c>
      <c r="B869" s="1" t="n">
        <v>45469.92836805555</v>
      </c>
      <c r="C869" s="1" t="n">
        <v>45878</v>
      </c>
      <c r="D869" t="inlineStr">
        <is>
          <t>VÄSTERNORRLANDS LÄN</t>
        </is>
      </c>
      <c r="E869" t="inlineStr">
        <is>
          <t>ÅNGE</t>
        </is>
      </c>
      <c r="G869" t="n">
        <v>4.5</v>
      </c>
      <c r="H869" t="n">
        <v>0</v>
      </c>
      <c r="I869" t="n">
        <v>0</v>
      </c>
      <c r="J869" t="n">
        <v>0</v>
      </c>
      <c r="K869" t="n">
        <v>0</v>
      </c>
      <c r="L869" t="n">
        <v>0</v>
      </c>
      <c r="M869" t="n">
        <v>0</v>
      </c>
      <c r="N869" t="n">
        <v>0</v>
      </c>
      <c r="O869" t="n">
        <v>0</v>
      </c>
      <c r="P869" t="n">
        <v>0</v>
      </c>
      <c r="Q869" t="n">
        <v>0</v>
      </c>
      <c r="R869" s="2" t="inlineStr"/>
    </row>
    <row r="870" ht="15" customHeight="1">
      <c r="A870" t="inlineStr">
        <is>
          <t>A 41741-2023</t>
        </is>
      </c>
      <c r="B870" s="1" t="n">
        <v>45176.42164351852</v>
      </c>
      <c r="C870" s="1" t="n">
        <v>45878</v>
      </c>
      <c r="D870" t="inlineStr">
        <is>
          <t>VÄSTERNORRLANDS LÄN</t>
        </is>
      </c>
      <c r="E870" t="inlineStr">
        <is>
          <t>ÅNGE</t>
        </is>
      </c>
      <c r="G870" t="n">
        <v>7.8</v>
      </c>
      <c r="H870" t="n">
        <v>0</v>
      </c>
      <c r="I870" t="n">
        <v>0</v>
      </c>
      <c r="J870" t="n">
        <v>0</v>
      </c>
      <c r="K870" t="n">
        <v>0</v>
      </c>
      <c r="L870" t="n">
        <v>0</v>
      </c>
      <c r="M870" t="n">
        <v>0</v>
      </c>
      <c r="N870" t="n">
        <v>0</v>
      </c>
      <c r="O870" t="n">
        <v>0</v>
      </c>
      <c r="P870" t="n">
        <v>0</v>
      </c>
      <c r="Q870" t="n">
        <v>0</v>
      </c>
      <c r="R870" s="2" t="inlineStr"/>
    </row>
    <row r="871" ht="15" customHeight="1">
      <c r="A871" t="inlineStr">
        <is>
          <t>A 22988-2024</t>
        </is>
      </c>
      <c r="B871" s="1" t="n">
        <v>45449.94530092592</v>
      </c>
      <c r="C871" s="1" t="n">
        <v>45878</v>
      </c>
      <c r="D871" t="inlineStr">
        <is>
          <t>VÄSTERNORRLANDS LÄN</t>
        </is>
      </c>
      <c r="E871" t="inlineStr">
        <is>
          <t>ÅNGE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37992-2024</t>
        </is>
      </c>
      <c r="B872" s="1" t="n">
        <v>45544.59524305556</v>
      </c>
      <c r="C872" s="1" t="n">
        <v>45878</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57516-2023</t>
        </is>
      </c>
      <c r="B873" s="1" t="n">
        <v>45246.44665509259</v>
      </c>
      <c r="C873" s="1" t="n">
        <v>45878</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3023-2023</t>
        </is>
      </c>
      <c r="B874" s="1" t="n">
        <v>44945</v>
      </c>
      <c r="C874" s="1" t="n">
        <v>45878</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3025-2023</t>
        </is>
      </c>
      <c r="B875" s="1" t="n">
        <v>44945</v>
      </c>
      <c r="C875" s="1" t="n">
        <v>45878</v>
      </c>
      <c r="D875" t="inlineStr">
        <is>
          <t>VÄSTERNORRLANDS LÄN</t>
        </is>
      </c>
      <c r="E875" t="inlineStr">
        <is>
          <t>ÅNGE</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50231-2024</t>
        </is>
      </c>
      <c r="B876" s="1" t="n">
        <v>45600.55251157407</v>
      </c>
      <c r="C876" s="1" t="n">
        <v>45878</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23069-2024</t>
        </is>
      </c>
      <c r="B877" s="1" t="n">
        <v>45450</v>
      </c>
      <c r="C877" s="1" t="n">
        <v>45878</v>
      </c>
      <c r="D877" t="inlineStr">
        <is>
          <t>VÄSTERNORRLANDS LÄN</t>
        </is>
      </c>
      <c r="E877" t="inlineStr">
        <is>
          <t>ÅNGE</t>
        </is>
      </c>
      <c r="G877" t="n">
        <v>1.5</v>
      </c>
      <c r="H877" t="n">
        <v>0</v>
      </c>
      <c r="I877" t="n">
        <v>0</v>
      </c>
      <c r="J877" t="n">
        <v>0</v>
      </c>
      <c r="K877" t="n">
        <v>0</v>
      </c>
      <c r="L877" t="n">
        <v>0</v>
      </c>
      <c r="M877" t="n">
        <v>0</v>
      </c>
      <c r="N877" t="n">
        <v>0</v>
      </c>
      <c r="O877" t="n">
        <v>0</v>
      </c>
      <c r="P877" t="n">
        <v>0</v>
      </c>
      <c r="Q877" t="n">
        <v>0</v>
      </c>
      <c r="R877" s="2" t="inlineStr"/>
    </row>
    <row r="878" ht="15" customHeight="1">
      <c r="A878" t="inlineStr">
        <is>
          <t>A 41575-2024</t>
        </is>
      </c>
      <c r="B878" s="1" t="n">
        <v>45560.55106481481</v>
      </c>
      <c r="C878" s="1" t="n">
        <v>45878</v>
      </c>
      <c r="D878" t="inlineStr">
        <is>
          <t>VÄSTERNORRLANDS LÄN</t>
        </is>
      </c>
      <c r="E878" t="inlineStr">
        <is>
          <t>ÅNGE</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24008-2025</t>
        </is>
      </c>
      <c r="B879" s="1" t="n">
        <v>45796.43841435185</v>
      </c>
      <c r="C879" s="1" t="n">
        <v>45878</v>
      </c>
      <c r="D879" t="inlineStr">
        <is>
          <t>VÄSTERNORRLANDS LÄN</t>
        </is>
      </c>
      <c r="E879" t="inlineStr">
        <is>
          <t>ÅNGE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32025-2025</t>
        </is>
      </c>
      <c r="B880" s="1" t="n">
        <v>45835.40721064815</v>
      </c>
      <c r="C880" s="1" t="n">
        <v>45878</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10025-2025</t>
        </is>
      </c>
      <c r="B881" s="1" t="n">
        <v>45719.49002314815</v>
      </c>
      <c r="C881" s="1" t="n">
        <v>45878</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38002-2024</t>
        </is>
      </c>
      <c r="B882" s="1" t="n">
        <v>45544.61484953704</v>
      </c>
      <c r="C882" s="1" t="n">
        <v>45878</v>
      </c>
      <c r="D882" t="inlineStr">
        <is>
          <t>VÄSTERNORRLANDS LÄN</t>
        </is>
      </c>
      <c r="E882" t="inlineStr">
        <is>
          <t>ÅNGE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31568-2024</t>
        </is>
      </c>
      <c r="B883" s="1" t="n">
        <v>45505.96721064814</v>
      </c>
      <c r="C883" s="1" t="n">
        <v>45878</v>
      </c>
      <c r="D883" t="inlineStr">
        <is>
          <t>VÄSTERNORRLANDS LÄN</t>
        </is>
      </c>
      <c r="E883" t="inlineStr">
        <is>
          <t>ÅNGE</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19007-2025</t>
        </is>
      </c>
      <c r="B884" s="1" t="n">
        <v>45764.58515046296</v>
      </c>
      <c r="C884" s="1" t="n">
        <v>45878</v>
      </c>
      <c r="D884" t="inlineStr">
        <is>
          <t>VÄSTERNORRLANDS LÄN</t>
        </is>
      </c>
      <c r="E884" t="inlineStr">
        <is>
          <t>ÅNGE</t>
        </is>
      </c>
      <c r="G884" t="n">
        <v>3.7</v>
      </c>
      <c r="H884" t="n">
        <v>0</v>
      </c>
      <c r="I884" t="n">
        <v>0</v>
      </c>
      <c r="J884" t="n">
        <v>0</v>
      </c>
      <c r="K884" t="n">
        <v>0</v>
      </c>
      <c r="L884" t="n">
        <v>0</v>
      </c>
      <c r="M884" t="n">
        <v>0</v>
      </c>
      <c r="N884" t="n">
        <v>0</v>
      </c>
      <c r="O884" t="n">
        <v>0</v>
      </c>
      <c r="P884" t="n">
        <v>0</v>
      </c>
      <c r="Q884" t="n">
        <v>0</v>
      </c>
      <c r="R884" s="2" t="inlineStr"/>
    </row>
    <row r="885" ht="15" customHeight="1">
      <c r="A885" t="inlineStr">
        <is>
          <t>A 44565-2024</t>
        </is>
      </c>
      <c r="B885" s="1" t="n">
        <v>45574.47518518518</v>
      </c>
      <c r="C885" s="1" t="n">
        <v>45878</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19997-2023</t>
        </is>
      </c>
      <c r="B886" s="1" t="n">
        <v>45054</v>
      </c>
      <c r="C886" s="1" t="n">
        <v>45878</v>
      </c>
      <c r="D886" t="inlineStr">
        <is>
          <t>VÄSTERNORRLANDS LÄN</t>
        </is>
      </c>
      <c r="E886" t="inlineStr">
        <is>
          <t>ÅNGE</t>
        </is>
      </c>
      <c r="G886" t="n">
        <v>0.3</v>
      </c>
      <c r="H886" t="n">
        <v>0</v>
      </c>
      <c r="I886" t="n">
        <v>0</v>
      </c>
      <c r="J886" t="n">
        <v>0</v>
      </c>
      <c r="K886" t="n">
        <v>0</v>
      </c>
      <c r="L886" t="n">
        <v>0</v>
      </c>
      <c r="M886" t="n">
        <v>0</v>
      </c>
      <c r="N886" t="n">
        <v>0</v>
      </c>
      <c r="O886" t="n">
        <v>0</v>
      </c>
      <c r="P886" t="n">
        <v>0</v>
      </c>
      <c r="Q886" t="n">
        <v>0</v>
      </c>
      <c r="R886" s="2" t="inlineStr"/>
    </row>
    <row r="887" ht="15" customHeight="1">
      <c r="A887" t="inlineStr">
        <is>
          <t>A 3352-2021</t>
        </is>
      </c>
      <c r="B887" s="1" t="n">
        <v>44217</v>
      </c>
      <c r="C887" s="1" t="n">
        <v>45878</v>
      </c>
      <c r="D887" t="inlineStr">
        <is>
          <t>VÄSTERNORRLANDS LÄN</t>
        </is>
      </c>
      <c r="E887" t="inlineStr">
        <is>
          <t>ÅNGE</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60004-2023</t>
        </is>
      </c>
      <c r="B888" s="1" t="n">
        <v>45257</v>
      </c>
      <c r="C888" s="1" t="n">
        <v>45878</v>
      </c>
      <c r="D888" t="inlineStr">
        <is>
          <t>VÄSTERNORRLANDS LÄN</t>
        </is>
      </c>
      <c r="E888" t="inlineStr">
        <is>
          <t>ÅNGE</t>
        </is>
      </c>
      <c r="F888" t="inlineStr">
        <is>
          <t>SCA</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34959-2023</t>
        </is>
      </c>
      <c r="B889" s="1" t="n">
        <v>45142</v>
      </c>
      <c r="C889" s="1" t="n">
        <v>45878</v>
      </c>
      <c r="D889" t="inlineStr">
        <is>
          <t>VÄSTERNORRLANDS LÄN</t>
        </is>
      </c>
      <c r="E889" t="inlineStr">
        <is>
          <t>ÅNGE</t>
        </is>
      </c>
      <c r="F889" t="inlineStr">
        <is>
          <t>Sveaskog</t>
        </is>
      </c>
      <c r="G889" t="n">
        <v>6.6</v>
      </c>
      <c r="H889" t="n">
        <v>0</v>
      </c>
      <c r="I889" t="n">
        <v>0</v>
      </c>
      <c r="J889" t="n">
        <v>0</v>
      </c>
      <c r="K889" t="n">
        <v>0</v>
      </c>
      <c r="L889" t="n">
        <v>0</v>
      </c>
      <c r="M889" t="n">
        <v>0</v>
      </c>
      <c r="N889" t="n">
        <v>0</v>
      </c>
      <c r="O889" t="n">
        <v>0</v>
      </c>
      <c r="P889" t="n">
        <v>0</v>
      </c>
      <c r="Q889" t="n">
        <v>0</v>
      </c>
      <c r="R889" s="2" t="inlineStr"/>
    </row>
    <row r="890" ht="15" customHeight="1">
      <c r="A890" t="inlineStr">
        <is>
          <t>A 54346-2023</t>
        </is>
      </c>
      <c r="B890" s="1" t="n">
        <v>45232.96087962963</v>
      </c>
      <c r="C890" s="1" t="n">
        <v>45878</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24116-2025</t>
        </is>
      </c>
      <c r="B891" s="1" t="n">
        <v>45796.61498842593</v>
      </c>
      <c r="C891" s="1" t="n">
        <v>45878</v>
      </c>
      <c r="D891" t="inlineStr">
        <is>
          <t>VÄSTERNORRLANDS LÄN</t>
        </is>
      </c>
      <c r="E891" t="inlineStr">
        <is>
          <t>ÅNGE</t>
        </is>
      </c>
      <c r="F891" t="inlineStr">
        <is>
          <t>SCA</t>
        </is>
      </c>
      <c r="G891" t="n">
        <v>14.4</v>
      </c>
      <c r="H891" t="n">
        <v>0</v>
      </c>
      <c r="I891" t="n">
        <v>0</v>
      </c>
      <c r="J891" t="n">
        <v>0</v>
      </c>
      <c r="K891" t="n">
        <v>0</v>
      </c>
      <c r="L891" t="n">
        <v>0</v>
      </c>
      <c r="M891" t="n">
        <v>0</v>
      </c>
      <c r="N891" t="n">
        <v>0</v>
      </c>
      <c r="O891" t="n">
        <v>0</v>
      </c>
      <c r="P891" t="n">
        <v>0</v>
      </c>
      <c r="Q891" t="n">
        <v>0</v>
      </c>
      <c r="R891" s="2" t="inlineStr"/>
    </row>
    <row r="892" ht="15" customHeight="1">
      <c r="A892" t="inlineStr">
        <is>
          <t>A 59600-2024</t>
        </is>
      </c>
      <c r="B892" s="1" t="n">
        <v>45638.71763888889</v>
      </c>
      <c r="C892" s="1" t="n">
        <v>45878</v>
      </c>
      <c r="D892" t="inlineStr">
        <is>
          <t>VÄSTERNORRLANDS LÄN</t>
        </is>
      </c>
      <c r="E892" t="inlineStr">
        <is>
          <t>ÅNGE</t>
        </is>
      </c>
      <c r="G892" t="n">
        <v>1.3</v>
      </c>
      <c r="H892" t="n">
        <v>0</v>
      </c>
      <c r="I892" t="n">
        <v>0</v>
      </c>
      <c r="J892" t="n">
        <v>0</v>
      </c>
      <c r="K892" t="n">
        <v>0</v>
      </c>
      <c r="L892" t="n">
        <v>0</v>
      </c>
      <c r="M892" t="n">
        <v>0</v>
      </c>
      <c r="N892" t="n">
        <v>0</v>
      </c>
      <c r="O892" t="n">
        <v>0</v>
      </c>
      <c r="P892" t="n">
        <v>0</v>
      </c>
      <c r="Q892" t="n">
        <v>0</v>
      </c>
      <c r="R892" s="2" t="inlineStr"/>
    </row>
    <row r="893" ht="15" customHeight="1">
      <c r="A893" t="inlineStr">
        <is>
          <t>A 55328-2023</t>
        </is>
      </c>
      <c r="B893" s="1" t="n">
        <v>45237</v>
      </c>
      <c r="C893" s="1" t="n">
        <v>45878</v>
      </c>
      <c r="D893" t="inlineStr">
        <is>
          <t>VÄSTERNORRLANDS LÄN</t>
        </is>
      </c>
      <c r="E893" t="inlineStr">
        <is>
          <t>ÅNGE</t>
        </is>
      </c>
      <c r="F893" t="inlineStr">
        <is>
          <t>SCA</t>
        </is>
      </c>
      <c r="G893" t="n">
        <v>5.3</v>
      </c>
      <c r="H893" t="n">
        <v>0</v>
      </c>
      <c r="I893" t="n">
        <v>0</v>
      </c>
      <c r="J893" t="n">
        <v>0</v>
      </c>
      <c r="K893" t="n">
        <v>0</v>
      </c>
      <c r="L893" t="n">
        <v>0</v>
      </c>
      <c r="M893" t="n">
        <v>0</v>
      </c>
      <c r="N893" t="n">
        <v>0</v>
      </c>
      <c r="O893" t="n">
        <v>0</v>
      </c>
      <c r="P893" t="n">
        <v>0</v>
      </c>
      <c r="Q893" t="n">
        <v>0</v>
      </c>
      <c r="R893" s="2" t="inlineStr"/>
    </row>
    <row r="894" ht="15" customHeight="1">
      <c r="A894" t="inlineStr">
        <is>
          <t>A 3133-2024</t>
        </is>
      </c>
      <c r="B894" s="1" t="n">
        <v>45316.55885416667</v>
      </c>
      <c r="C894" s="1" t="n">
        <v>45878</v>
      </c>
      <c r="D894" t="inlineStr">
        <is>
          <t>VÄSTERNORRLANDS LÄN</t>
        </is>
      </c>
      <c r="E894" t="inlineStr">
        <is>
          <t>ÅNGE</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43622-2023</t>
        </is>
      </c>
      <c r="B895" s="1" t="n">
        <v>45184.70777777778</v>
      </c>
      <c r="C895" s="1" t="n">
        <v>45878</v>
      </c>
      <c r="D895" t="inlineStr">
        <is>
          <t>VÄSTERNORRLANDS LÄN</t>
        </is>
      </c>
      <c r="E895" t="inlineStr">
        <is>
          <t>ÅNGE</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17210-2022</t>
        </is>
      </c>
      <c r="B896" s="1" t="n">
        <v>44677.92701388889</v>
      </c>
      <c r="C896" s="1" t="n">
        <v>45878</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32847-2025</t>
        </is>
      </c>
      <c r="B897" s="1" t="n">
        <v>45839.57354166666</v>
      </c>
      <c r="C897" s="1" t="n">
        <v>45878</v>
      </c>
      <c r="D897" t="inlineStr">
        <is>
          <t>VÄSTERNORRLANDS LÄN</t>
        </is>
      </c>
      <c r="E897" t="inlineStr">
        <is>
          <t>ÅNGE</t>
        </is>
      </c>
      <c r="F897" t="inlineStr">
        <is>
          <t>SCA</t>
        </is>
      </c>
      <c r="G897" t="n">
        <v>9.4</v>
      </c>
      <c r="H897" t="n">
        <v>0</v>
      </c>
      <c r="I897" t="n">
        <v>0</v>
      </c>
      <c r="J897" t="n">
        <v>0</v>
      </c>
      <c r="K897" t="n">
        <v>0</v>
      </c>
      <c r="L897" t="n">
        <v>0</v>
      </c>
      <c r="M897" t="n">
        <v>0</v>
      </c>
      <c r="N897" t="n">
        <v>0</v>
      </c>
      <c r="O897" t="n">
        <v>0</v>
      </c>
      <c r="P897" t="n">
        <v>0</v>
      </c>
      <c r="Q897" t="n">
        <v>0</v>
      </c>
      <c r="R897" s="2" t="inlineStr"/>
    </row>
    <row r="898" ht="15" customHeight="1">
      <c r="A898" t="inlineStr">
        <is>
          <t>A 11531-2023</t>
        </is>
      </c>
      <c r="B898" s="1" t="n">
        <v>44993.77038194444</v>
      </c>
      <c r="C898" s="1" t="n">
        <v>45878</v>
      </c>
      <c r="D898" t="inlineStr">
        <is>
          <t>VÄSTERNORRLANDS LÄN</t>
        </is>
      </c>
      <c r="E898" t="inlineStr">
        <is>
          <t>ÅNGE</t>
        </is>
      </c>
      <c r="G898" t="n">
        <v>0.5</v>
      </c>
      <c r="H898" t="n">
        <v>0</v>
      </c>
      <c r="I898" t="n">
        <v>0</v>
      </c>
      <c r="J898" t="n">
        <v>0</v>
      </c>
      <c r="K898" t="n">
        <v>0</v>
      </c>
      <c r="L898" t="n">
        <v>0</v>
      </c>
      <c r="M898" t="n">
        <v>0</v>
      </c>
      <c r="N898" t="n">
        <v>0</v>
      </c>
      <c r="O898" t="n">
        <v>0</v>
      </c>
      <c r="P898" t="n">
        <v>0</v>
      </c>
      <c r="Q898" t="n">
        <v>0</v>
      </c>
      <c r="R898" s="2" t="inlineStr"/>
    </row>
    <row r="899" ht="15" customHeight="1">
      <c r="A899" t="inlineStr">
        <is>
          <t>A 11532-2023</t>
        </is>
      </c>
      <c r="B899" s="1" t="n">
        <v>44993.77212962963</v>
      </c>
      <c r="C899" s="1" t="n">
        <v>45878</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41355-2024</t>
        </is>
      </c>
      <c r="B900" s="1" t="n">
        <v>45559.69833333333</v>
      </c>
      <c r="C900" s="1" t="n">
        <v>45878</v>
      </c>
      <c r="D900" t="inlineStr">
        <is>
          <t>VÄSTERNORRLANDS LÄN</t>
        </is>
      </c>
      <c r="E900" t="inlineStr">
        <is>
          <t>ÅNGE</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10195-2024</t>
        </is>
      </c>
      <c r="B901" s="1" t="n">
        <v>45364</v>
      </c>
      <c r="C901" s="1" t="n">
        <v>45878</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34727-2024</t>
        </is>
      </c>
      <c r="B902" s="1" t="n">
        <v>45526.5734375</v>
      </c>
      <c r="C902" s="1" t="n">
        <v>45878</v>
      </c>
      <c r="D902" t="inlineStr">
        <is>
          <t>VÄSTERNORRLANDS LÄN</t>
        </is>
      </c>
      <c r="E902" t="inlineStr">
        <is>
          <t>ÅNGE</t>
        </is>
      </c>
      <c r="G902" t="n">
        <v>3.6</v>
      </c>
      <c r="H902" t="n">
        <v>0</v>
      </c>
      <c r="I902" t="n">
        <v>0</v>
      </c>
      <c r="J902" t="n">
        <v>0</v>
      </c>
      <c r="K902" t="n">
        <v>0</v>
      </c>
      <c r="L902" t="n">
        <v>0</v>
      </c>
      <c r="M902" t="n">
        <v>0</v>
      </c>
      <c r="N902" t="n">
        <v>0</v>
      </c>
      <c r="O902" t="n">
        <v>0</v>
      </c>
      <c r="P902" t="n">
        <v>0</v>
      </c>
      <c r="Q902" t="n">
        <v>0</v>
      </c>
      <c r="R902" s="2" t="inlineStr"/>
    </row>
    <row r="903" ht="15" customHeight="1">
      <c r="A903" t="inlineStr">
        <is>
          <t>A 24458-2025</t>
        </is>
      </c>
      <c r="B903" s="1" t="n">
        <v>45798.34476851852</v>
      </c>
      <c r="C903" s="1" t="n">
        <v>45878</v>
      </c>
      <c r="D903" t="inlineStr">
        <is>
          <t>VÄSTERNORRLANDS LÄN</t>
        </is>
      </c>
      <c r="E903" t="inlineStr">
        <is>
          <t>ÅNGE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361-2025</t>
        </is>
      </c>
      <c r="B904" s="1" t="n">
        <v>45660</v>
      </c>
      <c r="C904" s="1" t="n">
        <v>45878</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12021-2022</t>
        </is>
      </c>
      <c r="B905" s="1" t="n">
        <v>44635</v>
      </c>
      <c r="C905" s="1" t="n">
        <v>45878</v>
      </c>
      <c r="D905" t="inlineStr">
        <is>
          <t>VÄSTERNORRLANDS LÄN</t>
        </is>
      </c>
      <c r="E905" t="inlineStr">
        <is>
          <t>ÅNGE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60401-2020</t>
        </is>
      </c>
      <c r="B906" s="1" t="n">
        <v>44152</v>
      </c>
      <c r="C906" s="1" t="n">
        <v>45878</v>
      </c>
      <c r="D906" t="inlineStr">
        <is>
          <t>VÄSTERNORRLANDS LÄN</t>
        </is>
      </c>
      <c r="E906" t="inlineStr">
        <is>
          <t>ÅNGE</t>
        </is>
      </c>
      <c r="G906" t="n">
        <v>0.8</v>
      </c>
      <c r="H906" t="n">
        <v>0</v>
      </c>
      <c r="I906" t="n">
        <v>0</v>
      </c>
      <c r="J906" t="n">
        <v>0</v>
      </c>
      <c r="K906" t="n">
        <v>0</v>
      </c>
      <c r="L906" t="n">
        <v>0</v>
      </c>
      <c r="M906" t="n">
        <v>0</v>
      </c>
      <c r="N906" t="n">
        <v>0</v>
      </c>
      <c r="O906" t="n">
        <v>0</v>
      </c>
      <c r="P906" t="n">
        <v>0</v>
      </c>
      <c r="Q906" t="n">
        <v>0</v>
      </c>
      <c r="R906" s="2" t="inlineStr"/>
    </row>
    <row r="907" ht="15" customHeight="1">
      <c r="A907" t="inlineStr">
        <is>
          <t>A 6690-2024</t>
        </is>
      </c>
      <c r="B907" s="1" t="n">
        <v>45341</v>
      </c>
      <c r="C907" s="1" t="n">
        <v>45878</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3834-2025</t>
        </is>
      </c>
      <c r="B908" s="1" t="n">
        <v>45682.34517361111</v>
      </c>
      <c r="C908" s="1" t="n">
        <v>45878</v>
      </c>
      <c r="D908" t="inlineStr">
        <is>
          <t>VÄSTERNORRLANDS LÄN</t>
        </is>
      </c>
      <c r="E908" t="inlineStr">
        <is>
          <t>ÅNGE</t>
        </is>
      </c>
      <c r="G908" t="n">
        <v>6.4</v>
      </c>
      <c r="H908" t="n">
        <v>0</v>
      </c>
      <c r="I908" t="n">
        <v>0</v>
      </c>
      <c r="J908" t="n">
        <v>0</v>
      </c>
      <c r="K908" t="n">
        <v>0</v>
      </c>
      <c r="L908" t="n">
        <v>0</v>
      </c>
      <c r="M908" t="n">
        <v>0</v>
      </c>
      <c r="N908" t="n">
        <v>0</v>
      </c>
      <c r="O908" t="n">
        <v>0</v>
      </c>
      <c r="P908" t="n">
        <v>0</v>
      </c>
      <c r="Q908" t="n">
        <v>0</v>
      </c>
      <c r="R908" s="2" t="inlineStr"/>
    </row>
    <row r="909" ht="15" customHeight="1">
      <c r="A909" t="inlineStr">
        <is>
          <t>A 29390-2021</t>
        </is>
      </c>
      <c r="B909" s="1" t="n">
        <v>44361</v>
      </c>
      <c r="C909" s="1" t="n">
        <v>45878</v>
      </c>
      <c r="D909" t="inlineStr">
        <is>
          <t>VÄSTERNORRLANDS LÄN</t>
        </is>
      </c>
      <c r="E909" t="inlineStr">
        <is>
          <t>ÅNGE</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30054-2024</t>
        </is>
      </c>
      <c r="B910" s="1" t="n">
        <v>45488.94758101852</v>
      </c>
      <c r="C910" s="1" t="n">
        <v>45878</v>
      </c>
      <c r="D910" t="inlineStr">
        <is>
          <t>VÄSTERNORRLANDS LÄN</t>
        </is>
      </c>
      <c r="E910" t="inlineStr">
        <is>
          <t>ÅNGE</t>
        </is>
      </c>
      <c r="F910" t="inlineStr">
        <is>
          <t>SCA</t>
        </is>
      </c>
      <c r="G910" t="n">
        <v>11.7</v>
      </c>
      <c r="H910" t="n">
        <v>0</v>
      </c>
      <c r="I910" t="n">
        <v>0</v>
      </c>
      <c r="J910" t="n">
        <v>0</v>
      </c>
      <c r="K910" t="n">
        <v>0</v>
      </c>
      <c r="L910" t="n">
        <v>0</v>
      </c>
      <c r="M910" t="n">
        <v>0</v>
      </c>
      <c r="N910" t="n">
        <v>0</v>
      </c>
      <c r="O910" t="n">
        <v>0</v>
      </c>
      <c r="P910" t="n">
        <v>0</v>
      </c>
      <c r="Q910" t="n">
        <v>0</v>
      </c>
      <c r="R910" s="2" t="inlineStr"/>
    </row>
    <row r="911" ht="15" customHeight="1">
      <c r="A911" t="inlineStr">
        <is>
          <t>A 45631-2021</t>
        </is>
      </c>
      <c r="B911" s="1" t="n">
        <v>44440.98045138889</v>
      </c>
      <c r="C911" s="1" t="n">
        <v>45878</v>
      </c>
      <c r="D911" t="inlineStr">
        <is>
          <t>VÄSTERNORRLANDS LÄN</t>
        </is>
      </c>
      <c r="E911" t="inlineStr">
        <is>
          <t>ÅNGE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57592-2022</t>
        </is>
      </c>
      <c r="B912" s="1" t="n">
        <v>44896.97841435186</v>
      </c>
      <c r="C912" s="1" t="n">
        <v>45878</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57602-2022</t>
        </is>
      </c>
      <c r="B913" s="1" t="n">
        <v>44896</v>
      </c>
      <c r="C913" s="1" t="n">
        <v>45878</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24357-2025</t>
        </is>
      </c>
      <c r="B914" s="1" t="n">
        <v>45797.59467592592</v>
      </c>
      <c r="C914" s="1" t="n">
        <v>45878</v>
      </c>
      <c r="D914" t="inlineStr">
        <is>
          <t>VÄSTERNORRLANDS LÄN</t>
        </is>
      </c>
      <c r="E914" t="inlineStr">
        <is>
          <t>ÅNGE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45878</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3977-2025</t>
        </is>
      </c>
      <c r="B916" s="1" t="n">
        <v>45684</v>
      </c>
      <c r="C916" s="1" t="n">
        <v>45878</v>
      </c>
      <c r="D916" t="inlineStr">
        <is>
          <t>VÄSTERNORRLANDS LÄN</t>
        </is>
      </c>
      <c r="E916" t="inlineStr">
        <is>
          <t>ÅNGE</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39985-2023</t>
        </is>
      </c>
      <c r="B917" s="1" t="n">
        <v>45168</v>
      </c>
      <c r="C917" s="1" t="n">
        <v>45878</v>
      </c>
      <c r="D917" t="inlineStr">
        <is>
          <t>VÄSTERNORRLANDS LÄN</t>
        </is>
      </c>
      <c r="E917" t="inlineStr">
        <is>
          <t>ÅNGE</t>
        </is>
      </c>
      <c r="G917" t="n">
        <v>0.1</v>
      </c>
      <c r="H917" t="n">
        <v>0</v>
      </c>
      <c r="I917" t="n">
        <v>0</v>
      </c>
      <c r="J917" t="n">
        <v>0</v>
      </c>
      <c r="K917" t="n">
        <v>0</v>
      </c>
      <c r="L917" t="n">
        <v>0</v>
      </c>
      <c r="M917" t="n">
        <v>0</v>
      </c>
      <c r="N917" t="n">
        <v>0</v>
      </c>
      <c r="O917" t="n">
        <v>0</v>
      </c>
      <c r="P917" t="n">
        <v>0</v>
      </c>
      <c r="Q917" t="n">
        <v>0</v>
      </c>
      <c r="R917" s="2" t="inlineStr"/>
    </row>
    <row r="918" ht="15" customHeight="1">
      <c r="A918" t="inlineStr">
        <is>
          <t>A 58748-2023</t>
        </is>
      </c>
      <c r="B918" s="1" t="n">
        <v>45251.92936342592</v>
      </c>
      <c r="C918" s="1" t="n">
        <v>45878</v>
      </c>
      <c r="D918" t="inlineStr">
        <is>
          <t>VÄSTERNORRLANDS LÄN</t>
        </is>
      </c>
      <c r="E918" t="inlineStr">
        <is>
          <t>ÅNGE</t>
        </is>
      </c>
      <c r="G918" t="n">
        <v>2.7</v>
      </c>
      <c r="H918" t="n">
        <v>0</v>
      </c>
      <c r="I918" t="n">
        <v>0</v>
      </c>
      <c r="J918" t="n">
        <v>0</v>
      </c>
      <c r="K918" t="n">
        <v>0</v>
      </c>
      <c r="L918" t="n">
        <v>0</v>
      </c>
      <c r="M918" t="n">
        <v>0</v>
      </c>
      <c r="N918" t="n">
        <v>0</v>
      </c>
      <c r="O918" t="n">
        <v>0</v>
      </c>
      <c r="P918" t="n">
        <v>0</v>
      </c>
      <c r="Q918" t="n">
        <v>0</v>
      </c>
      <c r="R918" s="2" t="inlineStr"/>
    </row>
    <row r="919" ht="15" customHeight="1">
      <c r="A919" t="inlineStr">
        <is>
          <t>A 24207-2025</t>
        </is>
      </c>
      <c r="B919" s="1" t="n">
        <v>45797.34439814815</v>
      </c>
      <c r="C919" s="1" t="n">
        <v>45878</v>
      </c>
      <c r="D919" t="inlineStr">
        <is>
          <t>VÄSTERNORRLANDS LÄN</t>
        </is>
      </c>
      <c r="E919" t="inlineStr">
        <is>
          <t>ÅNGE</t>
        </is>
      </c>
      <c r="F919" t="inlineStr">
        <is>
          <t>SCA</t>
        </is>
      </c>
      <c r="G919" t="n">
        <v>10.3</v>
      </c>
      <c r="H919" t="n">
        <v>0</v>
      </c>
      <c r="I919" t="n">
        <v>0</v>
      </c>
      <c r="J919" t="n">
        <v>0</v>
      </c>
      <c r="K919" t="n">
        <v>0</v>
      </c>
      <c r="L919" t="n">
        <v>0</v>
      </c>
      <c r="M919" t="n">
        <v>0</v>
      </c>
      <c r="N919" t="n">
        <v>0</v>
      </c>
      <c r="O919" t="n">
        <v>0</v>
      </c>
      <c r="P919" t="n">
        <v>0</v>
      </c>
      <c r="Q919" t="n">
        <v>0</v>
      </c>
      <c r="R919" s="2" t="inlineStr"/>
    </row>
    <row r="920" ht="15" customHeight="1">
      <c r="A920" t="inlineStr">
        <is>
          <t>A 43552-2023</t>
        </is>
      </c>
      <c r="B920" s="1" t="n">
        <v>45181</v>
      </c>
      <c r="C920" s="1" t="n">
        <v>45878</v>
      </c>
      <c r="D920" t="inlineStr">
        <is>
          <t>VÄSTERNORRLANDS LÄN</t>
        </is>
      </c>
      <c r="E920" t="inlineStr">
        <is>
          <t>ÅNGE</t>
        </is>
      </c>
      <c r="F920" t="inlineStr">
        <is>
          <t>SCA</t>
        </is>
      </c>
      <c r="G920" t="n">
        <v>7.3</v>
      </c>
      <c r="H920" t="n">
        <v>0</v>
      </c>
      <c r="I920" t="n">
        <v>0</v>
      </c>
      <c r="J920" t="n">
        <v>0</v>
      </c>
      <c r="K920" t="n">
        <v>0</v>
      </c>
      <c r="L920" t="n">
        <v>0</v>
      </c>
      <c r="M920" t="n">
        <v>0</v>
      </c>
      <c r="N920" t="n">
        <v>0</v>
      </c>
      <c r="O920" t="n">
        <v>0</v>
      </c>
      <c r="P920" t="n">
        <v>0</v>
      </c>
      <c r="Q920" t="n">
        <v>0</v>
      </c>
      <c r="R920" s="2" t="inlineStr"/>
    </row>
    <row r="921" ht="15" customHeight="1">
      <c r="A921" t="inlineStr">
        <is>
          <t>A 46775-2024</t>
        </is>
      </c>
      <c r="B921" s="1" t="n">
        <v>45583.49711805556</v>
      </c>
      <c r="C921" s="1" t="n">
        <v>45878</v>
      </c>
      <c r="D921" t="inlineStr">
        <is>
          <t>VÄSTERNORRLANDS LÄN</t>
        </is>
      </c>
      <c r="E921" t="inlineStr">
        <is>
          <t>ÅNGE</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46780-2024</t>
        </is>
      </c>
      <c r="B922" s="1" t="n">
        <v>45583.51076388889</v>
      </c>
      <c r="C922" s="1" t="n">
        <v>45878</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18880-2024</t>
        </is>
      </c>
      <c r="B923" s="1" t="n">
        <v>45426</v>
      </c>
      <c r="C923" s="1" t="n">
        <v>45878</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55558-2024</t>
        </is>
      </c>
      <c r="B924" s="1" t="n">
        <v>45622.52586805556</v>
      </c>
      <c r="C924" s="1" t="n">
        <v>45878</v>
      </c>
      <c r="D924" t="inlineStr">
        <is>
          <t>VÄSTERNORRLANDS LÄN</t>
        </is>
      </c>
      <c r="E924" t="inlineStr">
        <is>
          <t>ÅNGE</t>
        </is>
      </c>
      <c r="F924" t="inlineStr">
        <is>
          <t>Holmen skog AB</t>
        </is>
      </c>
      <c r="G924" t="n">
        <v>1.3</v>
      </c>
      <c r="H924" t="n">
        <v>0</v>
      </c>
      <c r="I924" t="n">
        <v>0</v>
      </c>
      <c r="J924" t="n">
        <v>0</v>
      </c>
      <c r="K924" t="n">
        <v>0</v>
      </c>
      <c r="L924" t="n">
        <v>0</v>
      </c>
      <c r="M924" t="n">
        <v>0</v>
      </c>
      <c r="N924" t="n">
        <v>0</v>
      </c>
      <c r="O924" t="n">
        <v>0</v>
      </c>
      <c r="P924" t="n">
        <v>0</v>
      </c>
      <c r="Q924" t="n">
        <v>0</v>
      </c>
      <c r="R924" s="2" t="inlineStr"/>
    </row>
    <row r="925" ht="15" customHeight="1">
      <c r="A925" t="inlineStr">
        <is>
          <t>A 14976-2025</t>
        </is>
      </c>
      <c r="B925" s="1" t="n">
        <v>45743</v>
      </c>
      <c r="C925" s="1" t="n">
        <v>45878</v>
      </c>
      <c r="D925" t="inlineStr">
        <is>
          <t>VÄSTERNORRLANDS LÄN</t>
        </is>
      </c>
      <c r="E925" t="inlineStr">
        <is>
          <t>ÅNGE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4-2025</t>
        </is>
      </c>
      <c r="B926" s="1" t="n">
        <v>45658.50107638889</v>
      </c>
      <c r="C926" s="1" t="n">
        <v>45878</v>
      </c>
      <c r="D926" t="inlineStr">
        <is>
          <t>VÄSTERNORRLANDS LÄN</t>
        </is>
      </c>
      <c r="E926" t="inlineStr">
        <is>
          <t>ÅNGE</t>
        </is>
      </c>
      <c r="G926" t="n">
        <v>10.1</v>
      </c>
      <c r="H926" t="n">
        <v>0</v>
      </c>
      <c r="I926" t="n">
        <v>0</v>
      </c>
      <c r="J926" t="n">
        <v>0</v>
      </c>
      <c r="K926" t="n">
        <v>0</v>
      </c>
      <c r="L926" t="n">
        <v>0</v>
      </c>
      <c r="M926" t="n">
        <v>0</v>
      </c>
      <c r="N926" t="n">
        <v>0</v>
      </c>
      <c r="O926" t="n">
        <v>0</v>
      </c>
      <c r="P926" t="n">
        <v>0</v>
      </c>
      <c r="Q926" t="n">
        <v>0</v>
      </c>
      <c r="R926" s="2" t="inlineStr"/>
    </row>
    <row r="927" ht="15" customHeight="1">
      <c r="A927" t="inlineStr">
        <is>
          <t>A 24292-2025</t>
        </is>
      </c>
      <c r="B927" s="1" t="n">
        <v>45797.46657407407</v>
      </c>
      <c r="C927" s="1" t="n">
        <v>45878</v>
      </c>
      <c r="D927" t="inlineStr">
        <is>
          <t>VÄSTERNORRLANDS LÄN</t>
        </is>
      </c>
      <c r="E927" t="inlineStr">
        <is>
          <t>ÅNGE</t>
        </is>
      </c>
      <c r="G927" t="n">
        <v>2.8</v>
      </c>
      <c r="H927" t="n">
        <v>0</v>
      </c>
      <c r="I927" t="n">
        <v>0</v>
      </c>
      <c r="J927" t="n">
        <v>0</v>
      </c>
      <c r="K927" t="n">
        <v>0</v>
      </c>
      <c r="L927" t="n">
        <v>0</v>
      </c>
      <c r="M927" t="n">
        <v>0</v>
      </c>
      <c r="N927" t="n">
        <v>0</v>
      </c>
      <c r="O927" t="n">
        <v>0</v>
      </c>
      <c r="P927" t="n">
        <v>0</v>
      </c>
      <c r="Q927" t="n">
        <v>0</v>
      </c>
      <c r="R927" s="2" t="inlineStr"/>
    </row>
    <row r="928" ht="15" customHeight="1">
      <c r="A928" t="inlineStr">
        <is>
          <t>A 5249-2025</t>
        </is>
      </c>
      <c r="B928" s="1" t="n">
        <v>45692.34465277778</v>
      </c>
      <c r="C928" s="1" t="n">
        <v>45878</v>
      </c>
      <c r="D928" t="inlineStr">
        <is>
          <t>VÄSTERNORRLANDS LÄN</t>
        </is>
      </c>
      <c r="E928" t="inlineStr">
        <is>
          <t>ÅNGE</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20229-2022</t>
        </is>
      </c>
      <c r="B929" s="1" t="n">
        <v>44698.61150462963</v>
      </c>
      <c r="C929" s="1" t="n">
        <v>45878</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4142-2024</t>
        </is>
      </c>
      <c r="B930" s="1" t="n">
        <v>45323</v>
      </c>
      <c r="C930" s="1" t="n">
        <v>45878</v>
      </c>
      <c r="D930" t="inlineStr">
        <is>
          <t>VÄSTERNORRLANDS LÄN</t>
        </is>
      </c>
      <c r="E930" t="inlineStr">
        <is>
          <t>ÅNGE</t>
        </is>
      </c>
      <c r="G930" t="n">
        <v>1</v>
      </c>
      <c r="H930" t="n">
        <v>0</v>
      </c>
      <c r="I930" t="n">
        <v>0</v>
      </c>
      <c r="J930" t="n">
        <v>0</v>
      </c>
      <c r="K930" t="n">
        <v>0</v>
      </c>
      <c r="L930" t="n">
        <v>0</v>
      </c>
      <c r="M930" t="n">
        <v>0</v>
      </c>
      <c r="N930" t="n">
        <v>0</v>
      </c>
      <c r="O930" t="n">
        <v>0</v>
      </c>
      <c r="P930" t="n">
        <v>0</v>
      </c>
      <c r="Q930" t="n">
        <v>0</v>
      </c>
      <c r="R930" s="2" t="inlineStr"/>
    </row>
    <row r="931" ht="15" customHeight="1">
      <c r="A931" t="inlineStr">
        <is>
          <t>A 27853-2024</t>
        </is>
      </c>
      <c r="B931" s="1" t="n">
        <v>45475</v>
      </c>
      <c r="C931" s="1" t="n">
        <v>45878</v>
      </c>
      <c r="D931" t="inlineStr">
        <is>
          <t>VÄSTERNORRLANDS LÄN</t>
        </is>
      </c>
      <c r="E931" t="inlineStr">
        <is>
          <t>ÅNGE</t>
        </is>
      </c>
      <c r="G931" t="n">
        <v>3.7</v>
      </c>
      <c r="H931" t="n">
        <v>0</v>
      </c>
      <c r="I931" t="n">
        <v>0</v>
      </c>
      <c r="J931" t="n">
        <v>0</v>
      </c>
      <c r="K931" t="n">
        <v>0</v>
      </c>
      <c r="L931" t="n">
        <v>0</v>
      </c>
      <c r="M931" t="n">
        <v>0</v>
      </c>
      <c r="N931" t="n">
        <v>0</v>
      </c>
      <c r="O931" t="n">
        <v>0</v>
      </c>
      <c r="P931" t="n">
        <v>0</v>
      </c>
      <c r="Q931" t="n">
        <v>0</v>
      </c>
      <c r="R931" s="2" t="inlineStr"/>
    </row>
    <row r="932" ht="15" customHeight="1">
      <c r="A932" t="inlineStr">
        <is>
          <t>A 10781-2024</t>
        </is>
      </c>
      <c r="B932" s="1" t="n">
        <v>45369.59635416666</v>
      </c>
      <c r="C932" s="1" t="n">
        <v>45878</v>
      </c>
      <c r="D932" t="inlineStr">
        <is>
          <t>VÄSTERNORRLANDS LÄN</t>
        </is>
      </c>
      <c r="E932" t="inlineStr">
        <is>
          <t>ÅNGE</t>
        </is>
      </c>
      <c r="G932" t="n">
        <v>1.9</v>
      </c>
      <c r="H932" t="n">
        <v>0</v>
      </c>
      <c r="I932" t="n">
        <v>0</v>
      </c>
      <c r="J932" t="n">
        <v>0</v>
      </c>
      <c r="K932" t="n">
        <v>0</v>
      </c>
      <c r="L932" t="n">
        <v>0</v>
      </c>
      <c r="M932" t="n">
        <v>0</v>
      </c>
      <c r="N932" t="n">
        <v>0</v>
      </c>
      <c r="O932" t="n">
        <v>0</v>
      </c>
      <c r="P932" t="n">
        <v>0</v>
      </c>
      <c r="Q932" t="n">
        <v>0</v>
      </c>
      <c r="R932" s="2" t="inlineStr"/>
    </row>
    <row r="933" ht="15" customHeight="1">
      <c r="A933" t="inlineStr">
        <is>
          <t>A 57271-2024</t>
        </is>
      </c>
      <c r="B933" s="1" t="n">
        <v>45629.57364583333</v>
      </c>
      <c r="C933" s="1" t="n">
        <v>45878</v>
      </c>
      <c r="D933" t="inlineStr">
        <is>
          <t>VÄSTERNORRLANDS LÄN</t>
        </is>
      </c>
      <c r="E933" t="inlineStr">
        <is>
          <t>ÅNGE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24627-2025</t>
        </is>
      </c>
      <c r="B934" s="1" t="n">
        <v>45798.59471064815</v>
      </c>
      <c r="C934" s="1" t="n">
        <v>45878</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24209-2025</t>
        </is>
      </c>
      <c r="B935" s="1" t="n">
        <v>45797.3446875</v>
      </c>
      <c r="C935" s="1" t="n">
        <v>45878</v>
      </c>
      <c r="D935" t="inlineStr">
        <is>
          <t>VÄSTERNORRLANDS LÄN</t>
        </is>
      </c>
      <c r="E935" t="inlineStr">
        <is>
          <t>ÅNGE</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24232-2025</t>
        </is>
      </c>
      <c r="B936" s="1" t="n">
        <v>45797.37846064815</v>
      </c>
      <c r="C936" s="1" t="n">
        <v>45878</v>
      </c>
      <c r="D936" t="inlineStr">
        <is>
          <t>VÄSTERNORRLANDS LÄN</t>
        </is>
      </c>
      <c r="E936" t="inlineStr">
        <is>
          <t>ÅNGE</t>
        </is>
      </c>
      <c r="G936" t="n">
        <v>2.8</v>
      </c>
      <c r="H936" t="n">
        <v>0</v>
      </c>
      <c r="I936" t="n">
        <v>0</v>
      </c>
      <c r="J936" t="n">
        <v>0</v>
      </c>
      <c r="K936" t="n">
        <v>0</v>
      </c>
      <c r="L936" t="n">
        <v>0</v>
      </c>
      <c r="M936" t="n">
        <v>0</v>
      </c>
      <c r="N936" t="n">
        <v>0</v>
      </c>
      <c r="O936" t="n">
        <v>0</v>
      </c>
      <c r="P936" t="n">
        <v>0</v>
      </c>
      <c r="Q936" t="n">
        <v>0</v>
      </c>
      <c r="R936" s="2" t="inlineStr"/>
    </row>
    <row r="937" ht="15" customHeight="1">
      <c r="A937" t="inlineStr">
        <is>
          <t>A 5369-2022</t>
        </is>
      </c>
      <c r="B937" s="1" t="n">
        <v>44594.92113425926</v>
      </c>
      <c r="C937" s="1" t="n">
        <v>45878</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25340-2025</t>
        </is>
      </c>
      <c r="B938" s="1" t="n">
        <v>45800.60074074074</v>
      </c>
      <c r="C938" s="1" t="n">
        <v>45878</v>
      </c>
      <c r="D938" t="inlineStr">
        <is>
          <t>VÄSTERNORRLANDS LÄN</t>
        </is>
      </c>
      <c r="E938" t="inlineStr">
        <is>
          <t>ÅNGE</t>
        </is>
      </c>
      <c r="G938" t="n">
        <v>2.7</v>
      </c>
      <c r="H938" t="n">
        <v>0</v>
      </c>
      <c r="I938" t="n">
        <v>0</v>
      </c>
      <c r="J938" t="n">
        <v>0</v>
      </c>
      <c r="K938" t="n">
        <v>0</v>
      </c>
      <c r="L938" t="n">
        <v>0</v>
      </c>
      <c r="M938" t="n">
        <v>0</v>
      </c>
      <c r="N938" t="n">
        <v>0</v>
      </c>
      <c r="O938" t="n">
        <v>0</v>
      </c>
      <c r="P938" t="n">
        <v>0</v>
      </c>
      <c r="Q938" t="n">
        <v>0</v>
      </c>
      <c r="R938" s="2" t="inlineStr"/>
    </row>
    <row r="939" ht="15" customHeight="1">
      <c r="A939" t="inlineStr">
        <is>
          <t>A 25273-2025</t>
        </is>
      </c>
      <c r="B939" s="1" t="n">
        <v>45800.55253472222</v>
      </c>
      <c r="C939" s="1" t="n">
        <v>45878</v>
      </c>
      <c r="D939" t="inlineStr">
        <is>
          <t>VÄSTERNORRLANDS LÄN</t>
        </is>
      </c>
      <c r="E939" t="inlineStr">
        <is>
          <t>ÅNGE</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25352-2025</t>
        </is>
      </c>
      <c r="B940" s="1" t="n">
        <v>45800.61552083334</v>
      </c>
      <c r="C940" s="1" t="n">
        <v>45878</v>
      </c>
      <c r="D940" t="inlineStr">
        <is>
          <t>VÄSTERNORRLANDS LÄN</t>
        </is>
      </c>
      <c r="E940" t="inlineStr">
        <is>
          <t>ÅNGE</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58639-2023</t>
        </is>
      </c>
      <c r="B941" s="1" t="n">
        <v>45251</v>
      </c>
      <c r="C941" s="1" t="n">
        <v>45878</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25017-2025</t>
        </is>
      </c>
      <c r="B942" s="1" t="n">
        <v>45799.63791666667</v>
      </c>
      <c r="C942" s="1" t="n">
        <v>45878</v>
      </c>
      <c r="D942" t="inlineStr">
        <is>
          <t>VÄSTERNORRLANDS LÄN</t>
        </is>
      </c>
      <c r="E942" t="inlineStr">
        <is>
          <t>ÅNGE</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22755-2023</t>
        </is>
      </c>
      <c r="B943" s="1" t="n">
        <v>45071.94127314815</v>
      </c>
      <c r="C943" s="1" t="n">
        <v>45878</v>
      </c>
      <c r="D943" t="inlineStr">
        <is>
          <t>VÄSTERNORRLANDS LÄN</t>
        </is>
      </c>
      <c r="E943" t="inlineStr">
        <is>
          <t>ÅNGE</t>
        </is>
      </c>
      <c r="F943" t="inlineStr">
        <is>
          <t>SCA</t>
        </is>
      </c>
      <c r="G943" t="n">
        <v>12.6</v>
      </c>
      <c r="H943" t="n">
        <v>0</v>
      </c>
      <c r="I943" t="n">
        <v>0</v>
      </c>
      <c r="J943" t="n">
        <v>0</v>
      </c>
      <c r="K943" t="n">
        <v>0</v>
      </c>
      <c r="L943" t="n">
        <v>0</v>
      </c>
      <c r="M943" t="n">
        <v>0</v>
      </c>
      <c r="N943" t="n">
        <v>0</v>
      </c>
      <c r="O943" t="n">
        <v>0</v>
      </c>
      <c r="P943" t="n">
        <v>0</v>
      </c>
      <c r="Q943" t="n">
        <v>0</v>
      </c>
      <c r="R943" s="2" t="inlineStr"/>
    </row>
    <row r="944" ht="15" customHeight="1">
      <c r="A944" t="inlineStr">
        <is>
          <t>A 35498-2022</t>
        </is>
      </c>
      <c r="B944" s="1" t="n">
        <v>44798.94810185185</v>
      </c>
      <c r="C944" s="1" t="n">
        <v>45878</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33806-2025</t>
        </is>
      </c>
      <c r="B945" s="1" t="n">
        <v>45842.44865740741</v>
      </c>
      <c r="C945" s="1" t="n">
        <v>45878</v>
      </c>
      <c r="D945" t="inlineStr">
        <is>
          <t>VÄSTERNORRLANDS LÄN</t>
        </is>
      </c>
      <c r="E945" t="inlineStr">
        <is>
          <t>ÅNGE</t>
        </is>
      </c>
      <c r="F945" t="inlineStr">
        <is>
          <t>SCA</t>
        </is>
      </c>
      <c r="G945" t="n">
        <v>24.6</v>
      </c>
      <c r="H945" t="n">
        <v>0</v>
      </c>
      <c r="I945" t="n">
        <v>0</v>
      </c>
      <c r="J945" t="n">
        <v>0</v>
      </c>
      <c r="K945" t="n">
        <v>0</v>
      </c>
      <c r="L945" t="n">
        <v>0</v>
      </c>
      <c r="M945" t="n">
        <v>0</v>
      </c>
      <c r="N945" t="n">
        <v>0</v>
      </c>
      <c r="O945" t="n">
        <v>0</v>
      </c>
      <c r="P945" t="n">
        <v>0</v>
      </c>
      <c r="Q945" t="n">
        <v>0</v>
      </c>
      <c r="R945" s="2" t="inlineStr"/>
    </row>
    <row r="946" ht="15" customHeight="1">
      <c r="A946" t="inlineStr">
        <is>
          <t>A 50419-2022</t>
        </is>
      </c>
      <c r="B946" s="1" t="n">
        <v>44861</v>
      </c>
      <c r="C946" s="1" t="n">
        <v>45878</v>
      </c>
      <c r="D946" t="inlineStr">
        <is>
          <t>VÄSTERNORRLANDS LÄN</t>
        </is>
      </c>
      <c r="E946" t="inlineStr">
        <is>
          <t>ÅNGE</t>
        </is>
      </c>
      <c r="G946" t="n">
        <v>1.3</v>
      </c>
      <c r="H946" t="n">
        <v>0</v>
      </c>
      <c r="I946" t="n">
        <v>0</v>
      </c>
      <c r="J946" t="n">
        <v>0</v>
      </c>
      <c r="K946" t="n">
        <v>0</v>
      </c>
      <c r="L946" t="n">
        <v>0</v>
      </c>
      <c r="M946" t="n">
        <v>0</v>
      </c>
      <c r="N946" t="n">
        <v>0</v>
      </c>
      <c r="O946" t="n">
        <v>0</v>
      </c>
      <c r="P946" t="n">
        <v>0</v>
      </c>
      <c r="Q946" t="n">
        <v>0</v>
      </c>
      <c r="R946" s="2" t="inlineStr"/>
    </row>
    <row r="947" ht="15" customHeight="1">
      <c r="A947" t="inlineStr">
        <is>
          <t>A 42881-2023</t>
        </is>
      </c>
      <c r="B947" s="1" t="n">
        <v>45182.45256944445</v>
      </c>
      <c r="C947" s="1" t="n">
        <v>45878</v>
      </c>
      <c r="D947" t="inlineStr">
        <is>
          <t>VÄSTERNORRLANDS LÄN</t>
        </is>
      </c>
      <c r="E947" t="inlineStr">
        <is>
          <t>ÅNGE</t>
        </is>
      </c>
      <c r="G947" t="n">
        <v>3.9</v>
      </c>
      <c r="H947" t="n">
        <v>0</v>
      </c>
      <c r="I947" t="n">
        <v>0</v>
      </c>
      <c r="J947" t="n">
        <v>0</v>
      </c>
      <c r="K947" t="n">
        <v>0</v>
      </c>
      <c r="L947" t="n">
        <v>0</v>
      </c>
      <c r="M947" t="n">
        <v>0</v>
      </c>
      <c r="N947" t="n">
        <v>0</v>
      </c>
      <c r="O947" t="n">
        <v>0</v>
      </c>
      <c r="P947" t="n">
        <v>0</v>
      </c>
      <c r="Q947" t="n">
        <v>0</v>
      </c>
      <c r="R947" s="2" t="inlineStr"/>
    </row>
    <row r="948" ht="15" customHeight="1">
      <c r="A948" t="inlineStr">
        <is>
          <t>A 16450-2025</t>
        </is>
      </c>
      <c r="B948" s="1" t="n">
        <v>45751.51081018519</v>
      </c>
      <c r="C948" s="1" t="n">
        <v>45878</v>
      </c>
      <c r="D948" t="inlineStr">
        <is>
          <t>VÄSTERNORRLANDS LÄN</t>
        </is>
      </c>
      <c r="E948" t="inlineStr">
        <is>
          <t>ÅNGE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3347-2024</t>
        </is>
      </c>
      <c r="B949" s="1" t="n">
        <v>45317</v>
      </c>
      <c r="C949" s="1" t="n">
        <v>45878</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25241-2025</t>
        </is>
      </c>
      <c r="B950" s="1" t="n">
        <v>45800.49053240741</v>
      </c>
      <c r="C950" s="1" t="n">
        <v>45878</v>
      </c>
      <c r="D950" t="inlineStr">
        <is>
          <t>VÄSTERNORRLANDS LÄN</t>
        </is>
      </c>
      <c r="E950" t="inlineStr">
        <is>
          <t>ÅNGE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18430-2025</t>
        </is>
      </c>
      <c r="B951" s="1" t="n">
        <v>45762.63576388889</v>
      </c>
      <c r="C951" s="1" t="n">
        <v>45878</v>
      </c>
      <c r="D951" t="inlineStr">
        <is>
          <t>VÄSTERNORRLANDS LÄN</t>
        </is>
      </c>
      <c r="E951" t="inlineStr">
        <is>
          <t>ÅNGE</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33719-2025</t>
        </is>
      </c>
      <c r="B952" s="1" t="n">
        <v>45841.90143518519</v>
      </c>
      <c r="C952" s="1" t="n">
        <v>45878</v>
      </c>
      <c r="D952" t="inlineStr">
        <is>
          <t>VÄSTERNORRLANDS LÄN</t>
        </is>
      </c>
      <c r="E952" t="inlineStr">
        <is>
          <t>ÅNGE</t>
        </is>
      </c>
      <c r="G952" t="n">
        <v>5.8</v>
      </c>
      <c r="H952" t="n">
        <v>0</v>
      </c>
      <c r="I952" t="n">
        <v>0</v>
      </c>
      <c r="J952" t="n">
        <v>0</v>
      </c>
      <c r="K952" t="n">
        <v>0</v>
      </c>
      <c r="L952" t="n">
        <v>0</v>
      </c>
      <c r="M952" t="n">
        <v>0</v>
      </c>
      <c r="N952" t="n">
        <v>0</v>
      </c>
      <c r="O952" t="n">
        <v>0</v>
      </c>
      <c r="P952" t="n">
        <v>0</v>
      </c>
      <c r="Q952" t="n">
        <v>0</v>
      </c>
      <c r="R952" s="2" t="inlineStr"/>
    </row>
    <row r="953" ht="15" customHeight="1">
      <c r="A953" t="inlineStr">
        <is>
          <t>A 33720-2025</t>
        </is>
      </c>
      <c r="B953" s="1" t="n">
        <v>45841.90605324074</v>
      </c>
      <c r="C953" s="1" t="n">
        <v>45878</v>
      </c>
      <c r="D953" t="inlineStr">
        <is>
          <t>VÄSTERNORRLANDS LÄN</t>
        </is>
      </c>
      <c r="E953" t="inlineStr">
        <is>
          <t>ÅNGE</t>
        </is>
      </c>
      <c r="G953" t="n">
        <v>6.4</v>
      </c>
      <c r="H953" t="n">
        <v>0</v>
      </c>
      <c r="I953" t="n">
        <v>0</v>
      </c>
      <c r="J953" t="n">
        <v>0</v>
      </c>
      <c r="K953" t="n">
        <v>0</v>
      </c>
      <c r="L953" t="n">
        <v>0</v>
      </c>
      <c r="M953" t="n">
        <v>0</v>
      </c>
      <c r="N953" t="n">
        <v>0</v>
      </c>
      <c r="O953" t="n">
        <v>0</v>
      </c>
      <c r="P953" t="n">
        <v>0</v>
      </c>
      <c r="Q953" t="n">
        <v>0</v>
      </c>
      <c r="R953" s="2" t="inlineStr"/>
    </row>
    <row r="954" ht="15" customHeight="1">
      <c r="A954" t="inlineStr">
        <is>
          <t>A 43916-2023</t>
        </is>
      </c>
      <c r="B954" s="1" t="n">
        <v>45187.72152777778</v>
      </c>
      <c r="C954" s="1" t="n">
        <v>45878</v>
      </c>
      <c r="D954" t="inlineStr">
        <is>
          <t>VÄSTERNORRLANDS LÄN</t>
        </is>
      </c>
      <c r="E954" t="inlineStr">
        <is>
          <t>ÅNGE</t>
        </is>
      </c>
      <c r="G954" t="n">
        <v>3.1</v>
      </c>
      <c r="H954" t="n">
        <v>0</v>
      </c>
      <c r="I954" t="n">
        <v>0</v>
      </c>
      <c r="J954" t="n">
        <v>0</v>
      </c>
      <c r="K954" t="n">
        <v>0</v>
      </c>
      <c r="L954" t="n">
        <v>0</v>
      </c>
      <c r="M954" t="n">
        <v>0</v>
      </c>
      <c r="N954" t="n">
        <v>0</v>
      </c>
      <c r="O954" t="n">
        <v>0</v>
      </c>
      <c r="P954" t="n">
        <v>0</v>
      </c>
      <c r="Q954" t="n">
        <v>0</v>
      </c>
      <c r="R954" s="2" t="inlineStr"/>
    </row>
    <row r="955" ht="15" customHeight="1">
      <c r="A955" t="inlineStr">
        <is>
          <t>A 25274-2025</t>
        </is>
      </c>
      <c r="B955" s="1" t="n">
        <v>45800.55276620371</v>
      </c>
      <c r="C955" s="1" t="n">
        <v>45878</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20255-2023</t>
        </is>
      </c>
      <c r="B956" s="1" t="n">
        <v>45055</v>
      </c>
      <c r="C956" s="1" t="n">
        <v>45878</v>
      </c>
      <c r="D956" t="inlineStr">
        <is>
          <t>VÄSTERNORRLANDS LÄN</t>
        </is>
      </c>
      <c r="E956" t="inlineStr">
        <is>
          <t>ÅNGE</t>
        </is>
      </c>
      <c r="G956" t="n">
        <v>1.4</v>
      </c>
      <c r="H956" t="n">
        <v>0</v>
      </c>
      <c r="I956" t="n">
        <v>0</v>
      </c>
      <c r="J956" t="n">
        <v>0</v>
      </c>
      <c r="K956" t="n">
        <v>0</v>
      </c>
      <c r="L956" t="n">
        <v>0</v>
      </c>
      <c r="M956" t="n">
        <v>0</v>
      </c>
      <c r="N956" t="n">
        <v>0</v>
      </c>
      <c r="O956" t="n">
        <v>0</v>
      </c>
      <c r="P956" t="n">
        <v>0</v>
      </c>
      <c r="Q956" t="n">
        <v>0</v>
      </c>
      <c r="R956" s="2" t="inlineStr"/>
    </row>
    <row r="957" ht="15" customHeight="1">
      <c r="A957" t="inlineStr">
        <is>
          <t>A 33738-2025</t>
        </is>
      </c>
      <c r="B957" s="1" t="n">
        <v>45842.33795138889</v>
      </c>
      <c r="C957" s="1" t="n">
        <v>45878</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9382-2025</t>
        </is>
      </c>
      <c r="B958" s="1" t="n">
        <v>45715.34425925926</v>
      </c>
      <c r="C958" s="1" t="n">
        <v>45878</v>
      </c>
      <c r="D958" t="inlineStr">
        <is>
          <t>VÄSTERNORRLANDS LÄN</t>
        </is>
      </c>
      <c r="E958" t="inlineStr">
        <is>
          <t>ÅNGE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1711-2025</t>
        </is>
      </c>
      <c r="B959" s="1" t="n">
        <v>45671.31184027778</v>
      </c>
      <c r="C959" s="1" t="n">
        <v>45878</v>
      </c>
      <c r="D959" t="inlineStr">
        <is>
          <t>VÄSTERNORRLANDS LÄN</t>
        </is>
      </c>
      <c r="E959" t="inlineStr">
        <is>
          <t>ÅNGE</t>
        </is>
      </c>
      <c r="G959" t="n">
        <v>2.8</v>
      </c>
      <c r="H959" t="n">
        <v>0</v>
      </c>
      <c r="I959" t="n">
        <v>0</v>
      </c>
      <c r="J959" t="n">
        <v>0</v>
      </c>
      <c r="K959" t="n">
        <v>0</v>
      </c>
      <c r="L959" t="n">
        <v>0</v>
      </c>
      <c r="M959" t="n">
        <v>0</v>
      </c>
      <c r="N959" t="n">
        <v>0</v>
      </c>
      <c r="O959" t="n">
        <v>0</v>
      </c>
      <c r="P959" t="n">
        <v>0</v>
      </c>
      <c r="Q959" t="n">
        <v>0</v>
      </c>
      <c r="R959" s="2" t="inlineStr"/>
    </row>
    <row r="960" ht="15" customHeight="1">
      <c r="A960" t="inlineStr">
        <is>
          <t>A 42043-2024</t>
        </is>
      </c>
      <c r="B960" s="1" t="n">
        <v>45561</v>
      </c>
      <c r="C960" s="1" t="n">
        <v>45878</v>
      </c>
      <c r="D960" t="inlineStr">
        <is>
          <t>VÄSTERNORRLANDS LÄN</t>
        </is>
      </c>
      <c r="E960" t="inlineStr">
        <is>
          <t>ÅNGE</t>
        </is>
      </c>
      <c r="G960" t="n">
        <v>3.1</v>
      </c>
      <c r="H960" t="n">
        <v>0</v>
      </c>
      <c r="I960" t="n">
        <v>0</v>
      </c>
      <c r="J960" t="n">
        <v>0</v>
      </c>
      <c r="K960" t="n">
        <v>0</v>
      </c>
      <c r="L960" t="n">
        <v>0</v>
      </c>
      <c r="M960" t="n">
        <v>0</v>
      </c>
      <c r="N960" t="n">
        <v>0</v>
      </c>
      <c r="O960" t="n">
        <v>0</v>
      </c>
      <c r="P960" t="n">
        <v>0</v>
      </c>
      <c r="Q960" t="n">
        <v>0</v>
      </c>
      <c r="R960" s="2" t="inlineStr"/>
    </row>
    <row r="961" ht="15" customHeight="1">
      <c r="A961" t="inlineStr">
        <is>
          <t>A 42046-2024</t>
        </is>
      </c>
      <c r="B961" s="1" t="n">
        <v>45561.83422453704</v>
      </c>
      <c r="C961" s="1" t="n">
        <v>45878</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54429-2024</t>
        </is>
      </c>
      <c r="B962" s="1" t="n">
        <v>45617.49087962963</v>
      </c>
      <c r="C962" s="1" t="n">
        <v>45878</v>
      </c>
      <c r="D962" t="inlineStr">
        <is>
          <t>VÄSTERNORRLANDS LÄN</t>
        </is>
      </c>
      <c r="E962" t="inlineStr">
        <is>
          <t>ÅNGE</t>
        </is>
      </c>
      <c r="G962" t="n">
        <v>0.6</v>
      </c>
      <c r="H962" t="n">
        <v>0</v>
      </c>
      <c r="I962" t="n">
        <v>0</v>
      </c>
      <c r="J962" t="n">
        <v>0</v>
      </c>
      <c r="K962" t="n">
        <v>0</v>
      </c>
      <c r="L962" t="n">
        <v>0</v>
      </c>
      <c r="M962" t="n">
        <v>0</v>
      </c>
      <c r="N962" t="n">
        <v>0</v>
      </c>
      <c r="O962" t="n">
        <v>0</v>
      </c>
      <c r="P962" t="n">
        <v>0</v>
      </c>
      <c r="Q962" t="n">
        <v>0</v>
      </c>
      <c r="R962" s="2" t="inlineStr"/>
    </row>
    <row r="963" ht="15" customHeight="1">
      <c r="A963" t="inlineStr">
        <is>
          <t>A 59222-2020</t>
        </is>
      </c>
      <c r="B963" s="1" t="n">
        <v>44147</v>
      </c>
      <c r="C963" s="1" t="n">
        <v>45878</v>
      </c>
      <c r="D963" t="inlineStr">
        <is>
          <t>VÄSTERNORRLANDS LÄN</t>
        </is>
      </c>
      <c r="E963" t="inlineStr">
        <is>
          <t>ÅNGE</t>
        </is>
      </c>
      <c r="G963" t="n">
        <v>7.6</v>
      </c>
      <c r="H963" t="n">
        <v>0</v>
      </c>
      <c r="I963" t="n">
        <v>0</v>
      </c>
      <c r="J963" t="n">
        <v>0</v>
      </c>
      <c r="K963" t="n">
        <v>0</v>
      </c>
      <c r="L963" t="n">
        <v>0</v>
      </c>
      <c r="M963" t="n">
        <v>0</v>
      </c>
      <c r="N963" t="n">
        <v>0</v>
      </c>
      <c r="O963" t="n">
        <v>0</v>
      </c>
      <c r="P963" t="n">
        <v>0</v>
      </c>
      <c r="Q963" t="n">
        <v>0</v>
      </c>
      <c r="R963" s="2" t="inlineStr"/>
    </row>
    <row r="964" ht="15" customHeight="1">
      <c r="A964" t="inlineStr">
        <is>
          <t>A 33717-2025</t>
        </is>
      </c>
      <c r="B964" s="1" t="n">
        <v>45841.89357638889</v>
      </c>
      <c r="C964" s="1" t="n">
        <v>45878</v>
      </c>
      <c r="D964" t="inlineStr">
        <is>
          <t>VÄSTERNORRLANDS LÄN</t>
        </is>
      </c>
      <c r="E964" t="inlineStr">
        <is>
          <t>ÅNGE</t>
        </is>
      </c>
      <c r="G964" t="n">
        <v>14.3</v>
      </c>
      <c r="H964" t="n">
        <v>0</v>
      </c>
      <c r="I964" t="n">
        <v>0</v>
      </c>
      <c r="J964" t="n">
        <v>0</v>
      </c>
      <c r="K964" t="n">
        <v>0</v>
      </c>
      <c r="L964" t="n">
        <v>0</v>
      </c>
      <c r="M964" t="n">
        <v>0</v>
      </c>
      <c r="N964" t="n">
        <v>0</v>
      </c>
      <c r="O964" t="n">
        <v>0</v>
      </c>
      <c r="P964" t="n">
        <v>0</v>
      </c>
      <c r="Q964" t="n">
        <v>0</v>
      </c>
      <c r="R964" s="2" t="inlineStr"/>
    </row>
    <row r="965" ht="15" customHeight="1">
      <c r="A965" t="inlineStr">
        <is>
          <t>A 33782-2025</t>
        </is>
      </c>
      <c r="B965" s="1" t="n">
        <v>45842.40678240741</v>
      </c>
      <c r="C965" s="1" t="n">
        <v>45878</v>
      </c>
      <c r="D965" t="inlineStr">
        <is>
          <t>VÄSTERNORRLANDS LÄN</t>
        </is>
      </c>
      <c r="E965" t="inlineStr">
        <is>
          <t>ÅNGE</t>
        </is>
      </c>
      <c r="F965" t="inlineStr">
        <is>
          <t>SCA</t>
        </is>
      </c>
      <c r="G965" t="n">
        <v>8.4</v>
      </c>
      <c r="H965" t="n">
        <v>0</v>
      </c>
      <c r="I965" t="n">
        <v>0</v>
      </c>
      <c r="J965" t="n">
        <v>0</v>
      </c>
      <c r="K965" t="n">
        <v>0</v>
      </c>
      <c r="L965" t="n">
        <v>0</v>
      </c>
      <c r="M965" t="n">
        <v>0</v>
      </c>
      <c r="N965" t="n">
        <v>0</v>
      </c>
      <c r="O965" t="n">
        <v>0</v>
      </c>
      <c r="P965" t="n">
        <v>0</v>
      </c>
      <c r="Q965" t="n">
        <v>0</v>
      </c>
      <c r="R965" s="2" t="inlineStr"/>
    </row>
    <row r="966" ht="15" customHeight="1">
      <c r="A966" t="inlineStr">
        <is>
          <t>A 55751-2024</t>
        </is>
      </c>
      <c r="B966" s="1" t="n">
        <v>45623.34409722222</v>
      </c>
      <c r="C966" s="1" t="n">
        <v>45878</v>
      </c>
      <c r="D966" t="inlineStr">
        <is>
          <t>VÄSTERNORRLANDS LÄN</t>
        </is>
      </c>
      <c r="E966" t="inlineStr">
        <is>
          <t>ÅNGE</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25332-2025</t>
        </is>
      </c>
      <c r="B967" s="1" t="n">
        <v>45800.59418981482</v>
      </c>
      <c r="C967" s="1" t="n">
        <v>45878</v>
      </c>
      <c r="D967" t="inlineStr">
        <is>
          <t>VÄSTERNORRLANDS LÄN</t>
        </is>
      </c>
      <c r="E967" t="inlineStr">
        <is>
          <t>ÅNGE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24852-2025</t>
        </is>
      </c>
      <c r="B968" s="1" t="n">
        <v>45799.46975694445</v>
      </c>
      <c r="C968" s="1" t="n">
        <v>45878</v>
      </c>
      <c r="D968" t="inlineStr">
        <is>
          <t>VÄSTERNORRLANDS LÄN</t>
        </is>
      </c>
      <c r="E968" t="inlineStr">
        <is>
          <t>ÅNGE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24847-2025</t>
        </is>
      </c>
      <c r="B969" s="1" t="n">
        <v>45799.46907407408</v>
      </c>
      <c r="C969" s="1" t="n">
        <v>45878</v>
      </c>
      <c r="D969" t="inlineStr">
        <is>
          <t>VÄSTERNORRLANDS LÄN</t>
        </is>
      </c>
      <c r="E969" t="inlineStr">
        <is>
          <t>ÅNGE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25067-2025</t>
        </is>
      </c>
      <c r="B970" s="1" t="n">
        <v>45799.71908564815</v>
      </c>
      <c r="C970" s="1" t="n">
        <v>45878</v>
      </c>
      <c r="D970" t="inlineStr">
        <is>
          <t>VÄSTERNORRLANDS LÄN</t>
        </is>
      </c>
      <c r="E970" t="inlineStr">
        <is>
          <t>ÅNGE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56232-2024</t>
        </is>
      </c>
      <c r="B971" s="1" t="n">
        <v>45624</v>
      </c>
      <c r="C971" s="1" t="n">
        <v>45878</v>
      </c>
      <c r="D971" t="inlineStr">
        <is>
          <t>VÄSTERNORRLANDS LÄN</t>
        </is>
      </c>
      <c r="E971" t="inlineStr">
        <is>
          <t>ÅNGE</t>
        </is>
      </c>
      <c r="G971" t="n">
        <v>1.1</v>
      </c>
      <c r="H971" t="n">
        <v>0</v>
      </c>
      <c r="I971" t="n">
        <v>0</v>
      </c>
      <c r="J971" t="n">
        <v>0</v>
      </c>
      <c r="K971" t="n">
        <v>0</v>
      </c>
      <c r="L971" t="n">
        <v>0</v>
      </c>
      <c r="M971" t="n">
        <v>0</v>
      </c>
      <c r="N971" t="n">
        <v>0</v>
      </c>
      <c r="O971" t="n">
        <v>0</v>
      </c>
      <c r="P971" t="n">
        <v>0</v>
      </c>
      <c r="Q971" t="n">
        <v>0</v>
      </c>
      <c r="R971" s="2" t="inlineStr"/>
    </row>
    <row r="972" ht="15" customHeight="1">
      <c r="A972" t="inlineStr">
        <is>
          <t>A 44635-2024</t>
        </is>
      </c>
      <c r="B972" s="1" t="n">
        <v>45574.51488425926</v>
      </c>
      <c r="C972" s="1" t="n">
        <v>45878</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36492-2023</t>
        </is>
      </c>
      <c r="B973" s="1" t="n">
        <v>45152.92479166666</v>
      </c>
      <c r="C973" s="1" t="n">
        <v>45878</v>
      </c>
      <c r="D973" t="inlineStr">
        <is>
          <t>VÄSTERNORRLANDS LÄN</t>
        </is>
      </c>
      <c r="E973" t="inlineStr">
        <is>
          <t>ÅNGE</t>
        </is>
      </c>
      <c r="G973" t="n">
        <v>0.5</v>
      </c>
      <c r="H973" t="n">
        <v>0</v>
      </c>
      <c r="I973" t="n">
        <v>0</v>
      </c>
      <c r="J973" t="n">
        <v>0</v>
      </c>
      <c r="K973" t="n">
        <v>0</v>
      </c>
      <c r="L973" t="n">
        <v>0</v>
      </c>
      <c r="M973" t="n">
        <v>0</v>
      </c>
      <c r="N973" t="n">
        <v>0</v>
      </c>
      <c r="O973" t="n">
        <v>0</v>
      </c>
      <c r="P973" t="n">
        <v>0</v>
      </c>
      <c r="Q973" t="n">
        <v>0</v>
      </c>
      <c r="R973" s="2" t="inlineStr"/>
    </row>
    <row r="974" ht="15" customHeight="1">
      <c r="A974" t="inlineStr">
        <is>
          <t>A 34031-2025</t>
        </is>
      </c>
      <c r="B974" s="1" t="n">
        <v>45845.36508101852</v>
      </c>
      <c r="C974" s="1" t="n">
        <v>45878</v>
      </c>
      <c r="D974" t="inlineStr">
        <is>
          <t>VÄSTERNORRLANDS LÄN</t>
        </is>
      </c>
      <c r="E974" t="inlineStr">
        <is>
          <t>ÅNGE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34019-2025</t>
        </is>
      </c>
      <c r="B975" s="1" t="n">
        <v>45845.34416666667</v>
      </c>
      <c r="C975" s="1" t="n">
        <v>45878</v>
      </c>
      <c r="D975" t="inlineStr">
        <is>
          <t>VÄSTERNORRLANDS LÄN</t>
        </is>
      </c>
      <c r="E975" t="inlineStr">
        <is>
          <t>ÅNGE</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8650-2024</t>
        </is>
      </c>
      <c r="B976" s="1" t="n">
        <v>45356</v>
      </c>
      <c r="C976" s="1" t="n">
        <v>45878</v>
      </c>
      <c r="D976" t="inlineStr">
        <is>
          <t>VÄSTERNORRLANDS LÄN</t>
        </is>
      </c>
      <c r="E976" t="inlineStr">
        <is>
          <t>ÅNGE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25532-2025</t>
        </is>
      </c>
      <c r="B977" s="1" t="n">
        <v>45803.4065162037</v>
      </c>
      <c r="C977" s="1" t="n">
        <v>45878</v>
      </c>
      <c r="D977" t="inlineStr">
        <is>
          <t>VÄSTERNORRLANDS LÄN</t>
        </is>
      </c>
      <c r="E977" t="inlineStr">
        <is>
          <t>ÅNGE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16191-2023</t>
        </is>
      </c>
      <c r="B978" s="1" t="n">
        <v>45027.94111111111</v>
      </c>
      <c r="C978" s="1" t="n">
        <v>45878</v>
      </c>
      <c r="D978" t="inlineStr">
        <is>
          <t>VÄSTERNORRLANDS LÄN</t>
        </is>
      </c>
      <c r="E978" t="inlineStr">
        <is>
          <t>ÅNGE</t>
        </is>
      </c>
      <c r="F978" t="inlineStr">
        <is>
          <t>SCA</t>
        </is>
      </c>
      <c r="G978" t="n">
        <v>6.8</v>
      </c>
      <c r="H978" t="n">
        <v>0</v>
      </c>
      <c r="I978" t="n">
        <v>0</v>
      </c>
      <c r="J978" t="n">
        <v>0</v>
      </c>
      <c r="K978" t="n">
        <v>0</v>
      </c>
      <c r="L978" t="n">
        <v>0</v>
      </c>
      <c r="M978" t="n">
        <v>0</v>
      </c>
      <c r="N978" t="n">
        <v>0</v>
      </c>
      <c r="O978" t="n">
        <v>0</v>
      </c>
      <c r="P978" t="n">
        <v>0</v>
      </c>
      <c r="Q978" t="n">
        <v>0</v>
      </c>
      <c r="R978" s="2" t="inlineStr"/>
    </row>
    <row r="979" ht="15" customHeight="1">
      <c r="A979" t="inlineStr">
        <is>
          <t>A 25810-2025</t>
        </is>
      </c>
      <c r="B979" s="1" t="n">
        <v>45804.42083333333</v>
      </c>
      <c r="C979" s="1" t="n">
        <v>45878</v>
      </c>
      <c r="D979" t="inlineStr">
        <is>
          <t>VÄSTERNORRLANDS LÄN</t>
        </is>
      </c>
      <c r="E979" t="inlineStr">
        <is>
          <t>ÅNGE</t>
        </is>
      </c>
      <c r="G979" t="n">
        <v>6.2</v>
      </c>
      <c r="H979" t="n">
        <v>0</v>
      </c>
      <c r="I979" t="n">
        <v>0</v>
      </c>
      <c r="J979" t="n">
        <v>0</v>
      </c>
      <c r="K979" t="n">
        <v>0</v>
      </c>
      <c r="L979" t="n">
        <v>0</v>
      </c>
      <c r="M979" t="n">
        <v>0</v>
      </c>
      <c r="N979" t="n">
        <v>0</v>
      </c>
      <c r="O979" t="n">
        <v>0</v>
      </c>
      <c r="P979" t="n">
        <v>0</v>
      </c>
      <c r="Q979" t="n">
        <v>0</v>
      </c>
      <c r="R979" s="2" t="inlineStr"/>
    </row>
    <row r="980" ht="15" customHeight="1">
      <c r="A980" t="inlineStr">
        <is>
          <t>A 25717-2025</t>
        </is>
      </c>
      <c r="B980" s="1" t="n">
        <v>45803.6985300926</v>
      </c>
      <c r="C980" s="1" t="n">
        <v>45878</v>
      </c>
      <c r="D980" t="inlineStr">
        <is>
          <t>VÄSTERNORRLANDS LÄN</t>
        </is>
      </c>
      <c r="E980" t="inlineStr">
        <is>
          <t>ÅNGE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31863-2024</t>
        </is>
      </c>
      <c r="B981" s="1" t="n">
        <v>45509.74121527778</v>
      </c>
      <c r="C981" s="1" t="n">
        <v>45878</v>
      </c>
      <c r="D981" t="inlineStr">
        <is>
          <t>VÄSTERNORRLANDS LÄN</t>
        </is>
      </c>
      <c r="E981" t="inlineStr">
        <is>
          <t>ÅNGE</t>
        </is>
      </c>
      <c r="G981" t="n">
        <v>4.5</v>
      </c>
      <c r="H981" t="n">
        <v>0</v>
      </c>
      <c r="I981" t="n">
        <v>0</v>
      </c>
      <c r="J981" t="n">
        <v>0</v>
      </c>
      <c r="K981" t="n">
        <v>0</v>
      </c>
      <c r="L981" t="n">
        <v>0</v>
      </c>
      <c r="M981" t="n">
        <v>0</v>
      </c>
      <c r="N981" t="n">
        <v>0</v>
      </c>
      <c r="O981" t="n">
        <v>0</v>
      </c>
      <c r="P981" t="n">
        <v>0</v>
      </c>
      <c r="Q981" t="n">
        <v>0</v>
      </c>
      <c r="R981" s="2" t="inlineStr"/>
    </row>
    <row r="982" ht="15" customHeight="1">
      <c r="A982" t="inlineStr">
        <is>
          <t>A 53651-2023</t>
        </is>
      </c>
      <c r="B982" s="1" t="n">
        <v>45230.60815972222</v>
      </c>
      <c r="C982" s="1" t="n">
        <v>45878</v>
      </c>
      <c r="D982" t="inlineStr">
        <is>
          <t>VÄSTERNORRLANDS LÄN</t>
        </is>
      </c>
      <c r="E982" t="inlineStr">
        <is>
          <t>ÅNGE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17670-2023</t>
        </is>
      </c>
      <c r="B983" s="1" t="n">
        <v>45036</v>
      </c>
      <c r="C983" s="1" t="n">
        <v>45878</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51059-2024</t>
        </is>
      </c>
      <c r="B984" s="1" t="n">
        <v>45603</v>
      </c>
      <c r="C984" s="1" t="n">
        <v>45878</v>
      </c>
      <c r="D984" t="inlineStr">
        <is>
          <t>VÄSTERNORRLANDS LÄN</t>
        </is>
      </c>
      <c r="E984" t="inlineStr">
        <is>
          <t>ÅNGE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25706-2025</t>
        </is>
      </c>
      <c r="B985" s="1" t="n">
        <v>45803.67788194444</v>
      </c>
      <c r="C985" s="1" t="n">
        <v>45878</v>
      </c>
      <c r="D985" t="inlineStr">
        <is>
          <t>VÄSTERNORRLANDS LÄN</t>
        </is>
      </c>
      <c r="E985" t="inlineStr">
        <is>
          <t>ÅNGE</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59412-2024</t>
        </is>
      </c>
      <c r="B986" s="1" t="n">
        <v>45638</v>
      </c>
      <c r="C986" s="1" t="n">
        <v>45878</v>
      </c>
      <c r="D986" t="inlineStr">
        <is>
          <t>VÄSTERNORRLANDS LÄN</t>
        </is>
      </c>
      <c r="E986" t="inlineStr">
        <is>
          <t>ÅNGE</t>
        </is>
      </c>
      <c r="G986" t="n">
        <v>0.6</v>
      </c>
      <c r="H986" t="n">
        <v>0</v>
      </c>
      <c r="I986" t="n">
        <v>0</v>
      </c>
      <c r="J986" t="n">
        <v>0</v>
      </c>
      <c r="K986" t="n">
        <v>0</v>
      </c>
      <c r="L986" t="n">
        <v>0</v>
      </c>
      <c r="M986" t="n">
        <v>0</v>
      </c>
      <c r="N986" t="n">
        <v>0</v>
      </c>
      <c r="O986" t="n">
        <v>0</v>
      </c>
      <c r="P986" t="n">
        <v>0</v>
      </c>
      <c r="Q986" t="n">
        <v>0</v>
      </c>
      <c r="R986" s="2" t="inlineStr"/>
    </row>
    <row r="987" ht="15" customHeight="1">
      <c r="A987" t="inlineStr">
        <is>
          <t>A 44518-2024</t>
        </is>
      </c>
      <c r="B987" s="1" t="n">
        <v>45574.43376157407</v>
      </c>
      <c r="C987" s="1" t="n">
        <v>45878</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51124-2024</t>
        </is>
      </c>
      <c r="B988" s="1" t="n">
        <v>45603.50716435185</v>
      </c>
      <c r="C988" s="1" t="n">
        <v>45878</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36877-2024</t>
        </is>
      </c>
      <c r="B989" s="1" t="n">
        <v>45538.59418981482</v>
      </c>
      <c r="C989" s="1" t="n">
        <v>45878</v>
      </c>
      <c r="D989" t="inlineStr">
        <is>
          <t>VÄSTERNORRLANDS LÄN</t>
        </is>
      </c>
      <c r="E989" t="inlineStr">
        <is>
          <t>ÅNGE</t>
        </is>
      </c>
      <c r="G989" t="n">
        <v>3.3</v>
      </c>
      <c r="H989" t="n">
        <v>0</v>
      </c>
      <c r="I989" t="n">
        <v>0</v>
      </c>
      <c r="J989" t="n">
        <v>0</v>
      </c>
      <c r="K989" t="n">
        <v>0</v>
      </c>
      <c r="L989" t="n">
        <v>0</v>
      </c>
      <c r="M989" t="n">
        <v>0</v>
      </c>
      <c r="N989" t="n">
        <v>0</v>
      </c>
      <c r="O989" t="n">
        <v>0</v>
      </c>
      <c r="P989" t="n">
        <v>0</v>
      </c>
      <c r="Q989" t="n">
        <v>0</v>
      </c>
      <c r="R989" s="2" t="inlineStr"/>
    </row>
    <row r="990" ht="15" customHeight="1">
      <c r="A990" t="inlineStr">
        <is>
          <t>A 25499-2025</t>
        </is>
      </c>
      <c r="B990" s="1" t="n">
        <v>45803.344375</v>
      </c>
      <c r="C990" s="1" t="n">
        <v>45878</v>
      </c>
      <c r="D990" t="inlineStr">
        <is>
          <t>VÄSTERNORRLANDS LÄN</t>
        </is>
      </c>
      <c r="E990" t="inlineStr">
        <is>
          <t>ÅNGE</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25772-2025</t>
        </is>
      </c>
      <c r="B991" s="1" t="n">
        <v>45804.34520833333</v>
      </c>
      <c r="C991" s="1" t="n">
        <v>45878</v>
      </c>
      <c r="D991" t="inlineStr">
        <is>
          <t>VÄSTERNORRLANDS LÄN</t>
        </is>
      </c>
      <c r="E991" t="inlineStr">
        <is>
          <t>ÅNGE</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50674-2024</t>
        </is>
      </c>
      <c r="B992" s="1" t="n">
        <v>45601.85402777778</v>
      </c>
      <c r="C992" s="1" t="n">
        <v>45878</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54720-2024</t>
        </is>
      </c>
      <c r="B993" s="1" t="n">
        <v>45618.43715277778</v>
      </c>
      <c r="C993" s="1" t="n">
        <v>45878</v>
      </c>
      <c r="D993" t="inlineStr">
        <is>
          <t>VÄSTERNORRLANDS LÄN</t>
        </is>
      </c>
      <c r="E993" t="inlineStr">
        <is>
          <t>ÅNGE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53336-2024</t>
        </is>
      </c>
      <c r="B994" s="1" t="n">
        <v>45614.42753472222</v>
      </c>
      <c r="C994" s="1" t="n">
        <v>45878</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45878</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15863-2022</t>
        </is>
      </c>
      <c r="B996" s="1" t="n">
        <v>44664</v>
      </c>
      <c r="C996" s="1" t="n">
        <v>45878</v>
      </c>
      <c r="D996" t="inlineStr">
        <is>
          <t>VÄSTERNORRLANDS LÄN</t>
        </is>
      </c>
      <c r="E996" t="inlineStr">
        <is>
          <t>ÅNGE</t>
        </is>
      </c>
      <c r="G996" t="n">
        <v>3.6</v>
      </c>
      <c r="H996" t="n">
        <v>0</v>
      </c>
      <c r="I996" t="n">
        <v>0</v>
      </c>
      <c r="J996" t="n">
        <v>0</v>
      </c>
      <c r="K996" t="n">
        <v>0</v>
      </c>
      <c r="L996" t="n">
        <v>0</v>
      </c>
      <c r="M996" t="n">
        <v>0</v>
      </c>
      <c r="N996" t="n">
        <v>0</v>
      </c>
      <c r="O996" t="n">
        <v>0</v>
      </c>
      <c r="P996" t="n">
        <v>0</v>
      </c>
      <c r="Q996" t="n">
        <v>0</v>
      </c>
      <c r="R996" s="2" t="inlineStr"/>
    </row>
    <row r="997" ht="15" customHeight="1">
      <c r="A997" t="inlineStr">
        <is>
          <t>A 56569-2024</t>
        </is>
      </c>
      <c r="B997" s="1" t="n">
        <v>45625</v>
      </c>
      <c r="C997" s="1" t="n">
        <v>45878</v>
      </c>
      <c r="D997" t="inlineStr">
        <is>
          <t>VÄSTERNORRLANDS LÄN</t>
        </is>
      </c>
      <c r="E997" t="inlineStr">
        <is>
          <t>ÅNGE</t>
        </is>
      </c>
      <c r="G997" t="n">
        <v>4.8</v>
      </c>
      <c r="H997" t="n">
        <v>0</v>
      </c>
      <c r="I997" t="n">
        <v>0</v>
      </c>
      <c r="J997" t="n">
        <v>0</v>
      </c>
      <c r="K997" t="n">
        <v>0</v>
      </c>
      <c r="L997" t="n">
        <v>0</v>
      </c>
      <c r="M997" t="n">
        <v>0</v>
      </c>
      <c r="N997" t="n">
        <v>0</v>
      </c>
      <c r="O997" t="n">
        <v>0</v>
      </c>
      <c r="P997" t="n">
        <v>0</v>
      </c>
      <c r="Q997" t="n">
        <v>0</v>
      </c>
      <c r="R997" s="2" t="inlineStr"/>
    </row>
    <row r="998" ht="15" customHeight="1">
      <c r="A998" t="inlineStr">
        <is>
          <t>A 57529-2024</t>
        </is>
      </c>
      <c r="B998" s="1" t="n">
        <v>45630</v>
      </c>
      <c r="C998" s="1" t="n">
        <v>45878</v>
      </c>
      <c r="D998" t="inlineStr">
        <is>
          <t>VÄSTERNORRLANDS LÄN</t>
        </is>
      </c>
      <c r="E998" t="inlineStr">
        <is>
          <t>ÅNGE</t>
        </is>
      </c>
      <c r="G998" t="n">
        <v>1.4</v>
      </c>
      <c r="H998" t="n">
        <v>0</v>
      </c>
      <c r="I998" t="n">
        <v>0</v>
      </c>
      <c r="J998" t="n">
        <v>0</v>
      </c>
      <c r="K998" t="n">
        <v>0</v>
      </c>
      <c r="L998" t="n">
        <v>0</v>
      </c>
      <c r="M998" t="n">
        <v>0</v>
      </c>
      <c r="N998" t="n">
        <v>0</v>
      </c>
      <c r="O998" t="n">
        <v>0</v>
      </c>
      <c r="P998" t="n">
        <v>0</v>
      </c>
      <c r="Q998" t="n">
        <v>0</v>
      </c>
      <c r="R998" s="2" t="inlineStr"/>
    </row>
    <row r="999" ht="15" customHeight="1">
      <c r="A999" t="inlineStr">
        <is>
          <t>A 4872-2025</t>
        </is>
      </c>
      <c r="B999" s="1" t="n">
        <v>45688.67619212963</v>
      </c>
      <c r="C999" s="1" t="n">
        <v>45878</v>
      </c>
      <c r="D999" t="inlineStr">
        <is>
          <t>VÄSTERNORRLANDS LÄN</t>
        </is>
      </c>
      <c r="E999" t="inlineStr">
        <is>
          <t>ÅNGE</t>
        </is>
      </c>
      <c r="F999" t="inlineStr">
        <is>
          <t>SCA</t>
        </is>
      </c>
      <c r="G999" t="n">
        <v>31.3</v>
      </c>
      <c r="H999" t="n">
        <v>0</v>
      </c>
      <c r="I999" t="n">
        <v>0</v>
      </c>
      <c r="J999" t="n">
        <v>0</v>
      </c>
      <c r="K999" t="n">
        <v>0</v>
      </c>
      <c r="L999" t="n">
        <v>0</v>
      </c>
      <c r="M999" t="n">
        <v>0</v>
      </c>
      <c r="N999" t="n">
        <v>0</v>
      </c>
      <c r="O999" t="n">
        <v>0</v>
      </c>
      <c r="P999" t="n">
        <v>0</v>
      </c>
      <c r="Q999" t="n">
        <v>0</v>
      </c>
      <c r="R999" s="2" t="inlineStr"/>
    </row>
    <row r="1000" ht="15" customHeight="1">
      <c r="A1000" t="inlineStr">
        <is>
          <t>A 34591-2025</t>
        </is>
      </c>
      <c r="B1000" s="1" t="n">
        <v>45847.62920138889</v>
      </c>
      <c r="C1000" s="1" t="n">
        <v>45878</v>
      </c>
      <c r="D1000" t="inlineStr">
        <is>
          <t>VÄSTERNORRLANDS LÄN</t>
        </is>
      </c>
      <c r="E1000" t="inlineStr">
        <is>
          <t>ÅNGE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16973-2025</t>
        </is>
      </c>
      <c r="B1001" s="1" t="n">
        <v>45755.46967592592</v>
      </c>
      <c r="C1001" s="1" t="n">
        <v>45878</v>
      </c>
      <c r="D1001" t="inlineStr">
        <is>
          <t>VÄSTERNORRLANDS LÄN</t>
        </is>
      </c>
      <c r="E1001" t="inlineStr">
        <is>
          <t>ÅNGE</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34785-2025</t>
        </is>
      </c>
      <c r="B1002" s="1" t="n">
        <v>45848.67771990741</v>
      </c>
      <c r="C1002" s="1" t="n">
        <v>45878</v>
      </c>
      <c r="D1002" t="inlineStr">
        <is>
          <t>VÄSTERNORRLANDS LÄN</t>
        </is>
      </c>
      <c r="E1002" t="inlineStr">
        <is>
          <t>ÅNGE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26193-2025</t>
        </is>
      </c>
      <c r="B1003" s="1" t="n">
        <v>45805.48922453704</v>
      </c>
      <c r="C1003" s="1" t="n">
        <v>45878</v>
      </c>
      <c r="D1003" t="inlineStr">
        <is>
          <t>VÄSTERNORRLANDS LÄN</t>
        </is>
      </c>
      <c r="E1003" t="inlineStr">
        <is>
          <t>ÅNGE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48632-2023</t>
        </is>
      </c>
      <c r="B1004" s="1" t="n">
        <v>45208.57944444445</v>
      </c>
      <c r="C1004" s="1" t="n">
        <v>45878</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26388-2025</t>
        </is>
      </c>
      <c r="B1005" s="1" t="n">
        <v>45806.51069444444</v>
      </c>
      <c r="C1005" s="1" t="n">
        <v>45878</v>
      </c>
      <c r="D1005" t="inlineStr">
        <is>
          <t>VÄSTERNORRLANDS LÄN</t>
        </is>
      </c>
      <c r="E1005" t="inlineStr">
        <is>
          <t>ÅNGE</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26365-2025</t>
        </is>
      </c>
      <c r="B1006" s="1" t="n">
        <v>45806.34412037037</v>
      </c>
      <c r="C1006" s="1" t="n">
        <v>45878</v>
      </c>
      <c r="D1006" t="inlineStr">
        <is>
          <t>VÄSTERNORRLANDS LÄN</t>
        </is>
      </c>
      <c r="E1006" t="inlineStr">
        <is>
          <t>ÅNGE</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8747-2022</t>
        </is>
      </c>
      <c r="B1007" s="1" t="n">
        <v>44614.33912037037</v>
      </c>
      <c r="C1007" s="1" t="n">
        <v>45878</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14888-2022</t>
        </is>
      </c>
      <c r="B1008" s="1" t="n">
        <v>44656</v>
      </c>
      <c r="C1008" s="1" t="n">
        <v>45878</v>
      </c>
      <c r="D1008" t="inlineStr">
        <is>
          <t>VÄSTERNORRLANDS LÄN</t>
        </is>
      </c>
      <c r="E1008" t="inlineStr">
        <is>
          <t>ÅNGE</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1975-2025</t>
        </is>
      </c>
      <c r="B1009" s="1" t="n">
        <v>45672.39332175926</v>
      </c>
      <c r="C1009" s="1" t="n">
        <v>45878</v>
      </c>
      <c r="D1009" t="inlineStr">
        <is>
          <t>VÄSTERNORRLANDS LÄN</t>
        </is>
      </c>
      <c r="E1009" t="inlineStr">
        <is>
          <t>ÅNGE</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26389-2025</t>
        </is>
      </c>
      <c r="B1010" s="1" t="n">
        <v>45806.51078703703</v>
      </c>
      <c r="C1010" s="1" t="n">
        <v>45878</v>
      </c>
      <c r="D1010" t="inlineStr">
        <is>
          <t>VÄSTERNORRLANDS LÄN</t>
        </is>
      </c>
      <c r="E1010" t="inlineStr">
        <is>
          <t>ÅNGE</t>
        </is>
      </c>
      <c r="F1010" t="inlineStr">
        <is>
          <t>SCA</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21262-2025</t>
        </is>
      </c>
      <c r="B1011" s="1" t="n">
        <v>45779</v>
      </c>
      <c r="C1011" s="1" t="n">
        <v>45878</v>
      </c>
      <c r="D1011" t="inlineStr">
        <is>
          <t>VÄSTERNORRLANDS LÄN</t>
        </is>
      </c>
      <c r="E1011" t="inlineStr">
        <is>
          <t>ÅNGE</t>
        </is>
      </c>
      <c r="F1011" t="inlineStr">
        <is>
          <t>Sveaskog</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33429-2023</t>
        </is>
      </c>
      <c r="B1012" s="1" t="n">
        <v>45128.94983796297</v>
      </c>
      <c r="C1012" s="1" t="n">
        <v>45878</v>
      </c>
      <c r="D1012" t="inlineStr">
        <is>
          <t>VÄSTERNORRLANDS LÄN</t>
        </is>
      </c>
      <c r="E1012" t="inlineStr">
        <is>
          <t>ÅNGE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26366-2025</t>
        </is>
      </c>
      <c r="B1013" s="1" t="n">
        <v>45806.34424768519</v>
      </c>
      <c r="C1013" s="1" t="n">
        <v>45878</v>
      </c>
      <c r="D1013" t="inlineStr">
        <is>
          <t>VÄSTERNORRLANDS LÄN</t>
        </is>
      </c>
      <c r="E1013" t="inlineStr">
        <is>
          <t>ÅNGE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20576-2021</t>
        </is>
      </c>
      <c r="B1014" s="1" t="n">
        <v>44316.3290162037</v>
      </c>
      <c r="C1014" s="1" t="n">
        <v>45878</v>
      </c>
      <c r="D1014" t="inlineStr">
        <is>
          <t>VÄSTERNORRLANDS LÄN</t>
        </is>
      </c>
      <c r="E1014" t="inlineStr">
        <is>
          <t>ÅNGE</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55329-2023</t>
        </is>
      </c>
      <c r="B1015" s="1" t="n">
        <v>45237</v>
      </c>
      <c r="C1015" s="1" t="n">
        <v>45878</v>
      </c>
      <c r="D1015" t="inlineStr">
        <is>
          <t>VÄSTERNORRLANDS LÄN</t>
        </is>
      </c>
      <c r="E1015" t="inlineStr">
        <is>
          <t>ÅNGE</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3986-2025</t>
        </is>
      </c>
      <c r="B1016" s="1" t="n">
        <v>45684.55262731481</v>
      </c>
      <c r="C1016" s="1" t="n">
        <v>45878</v>
      </c>
      <c r="D1016" t="inlineStr">
        <is>
          <t>VÄSTERNORRLANDS LÄN</t>
        </is>
      </c>
      <c r="E1016" t="inlineStr">
        <is>
          <t>ÅNGE</t>
        </is>
      </c>
      <c r="F1016" t="inlineStr">
        <is>
          <t>SCA</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1235-2023</t>
        </is>
      </c>
      <c r="B1017" s="1" t="n">
        <v>44935</v>
      </c>
      <c r="C1017" s="1" t="n">
        <v>45878</v>
      </c>
      <c r="D1017" t="inlineStr">
        <is>
          <t>VÄSTERNORRLANDS LÄN</t>
        </is>
      </c>
      <c r="E1017" t="inlineStr">
        <is>
          <t>ÅNGE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13501-2021</t>
        </is>
      </c>
      <c r="B1018" s="1" t="n">
        <v>44273</v>
      </c>
      <c r="C1018" s="1" t="n">
        <v>45878</v>
      </c>
      <c r="D1018" t="inlineStr">
        <is>
          <t>VÄSTERNORRLANDS LÄN</t>
        </is>
      </c>
      <c r="E1018" t="inlineStr">
        <is>
          <t>ÅNGE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33302-2024</t>
        </is>
      </c>
      <c r="B1019" s="1" t="n">
        <v>45518.96967592592</v>
      </c>
      <c r="C1019" s="1" t="n">
        <v>45878</v>
      </c>
      <c r="D1019" t="inlineStr">
        <is>
          <t>VÄSTERNORRLANDS LÄN</t>
        </is>
      </c>
      <c r="E1019" t="inlineStr">
        <is>
          <t>ÅNGE</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7528-2023</t>
        </is>
      </c>
      <c r="B1020" s="1" t="n">
        <v>44971.97662037037</v>
      </c>
      <c r="C1020" s="1" t="n">
        <v>45878</v>
      </c>
      <c r="D1020" t="inlineStr">
        <is>
          <t>VÄSTERNORRLANDS LÄN</t>
        </is>
      </c>
      <c r="E1020" t="inlineStr">
        <is>
          <t>ÅNGE</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34593-2025</t>
        </is>
      </c>
      <c r="B1021" s="1" t="n">
        <v>45847.6316087963</v>
      </c>
      <c r="C1021" s="1" t="n">
        <v>45878</v>
      </c>
      <c r="D1021" t="inlineStr">
        <is>
          <t>VÄSTERNORRLANDS LÄN</t>
        </is>
      </c>
      <c r="E1021" t="inlineStr">
        <is>
          <t>ÅNGE</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26655-2025</t>
        </is>
      </c>
      <c r="B1022" s="1" t="n">
        <v>45810.39047453704</v>
      </c>
      <c r="C1022" s="1" t="n">
        <v>45878</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34851-2023</t>
        </is>
      </c>
      <c r="B1023" s="1" t="n">
        <v>45141</v>
      </c>
      <c r="C1023" s="1" t="n">
        <v>45878</v>
      </c>
      <c r="D1023" t="inlineStr">
        <is>
          <t>VÄSTERNORRLANDS LÄN</t>
        </is>
      </c>
      <c r="E1023" t="inlineStr">
        <is>
          <t>ÅNGE</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25973-2022</t>
        </is>
      </c>
      <c r="B1024" s="1" t="n">
        <v>44734</v>
      </c>
      <c r="C1024" s="1" t="n">
        <v>45878</v>
      </c>
      <c r="D1024" t="inlineStr">
        <is>
          <t>VÄSTERNORRLANDS LÄN</t>
        </is>
      </c>
      <c r="E1024" t="inlineStr">
        <is>
          <t>ÅNGE</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46795-2023</t>
        </is>
      </c>
      <c r="B1025" s="1" t="n">
        <v>45198</v>
      </c>
      <c r="C1025" s="1" t="n">
        <v>45878</v>
      </c>
      <c r="D1025" t="inlineStr">
        <is>
          <t>VÄSTERNORRLANDS LÄN</t>
        </is>
      </c>
      <c r="E1025" t="inlineStr">
        <is>
          <t>ÅNGE</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4094-2025</t>
        </is>
      </c>
      <c r="B1026" s="1" t="n">
        <v>45684.6778125</v>
      </c>
      <c r="C1026" s="1" t="n">
        <v>45878</v>
      </c>
      <c r="D1026" t="inlineStr">
        <is>
          <t>VÄSTERNORRLANDS LÄN</t>
        </is>
      </c>
      <c r="E1026" t="inlineStr">
        <is>
          <t>ÅNGE</t>
        </is>
      </c>
      <c r="F1026" t="inlineStr">
        <is>
          <t>SCA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26608-2025</t>
        </is>
      </c>
      <c r="B1027" s="1" t="n">
        <v>45809.98600694445</v>
      </c>
      <c r="C1027" s="1" t="n">
        <v>45878</v>
      </c>
      <c r="D1027" t="inlineStr">
        <is>
          <t>VÄSTERNORRLANDS LÄN</t>
        </is>
      </c>
      <c r="E1027" t="inlineStr">
        <is>
          <t>ÅNGE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42242-2023</t>
        </is>
      </c>
      <c r="B1028" s="1" t="n">
        <v>45180.35025462963</v>
      </c>
      <c r="C1028" s="1" t="n">
        <v>45878</v>
      </c>
      <c r="D1028" t="inlineStr">
        <is>
          <t>VÄSTERNORRLANDS LÄN</t>
        </is>
      </c>
      <c r="E1028" t="inlineStr">
        <is>
          <t>ÅNGE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39973-2023</t>
        </is>
      </c>
      <c r="B1029" s="1" t="n">
        <v>45168.5858912037</v>
      </c>
      <c r="C1029" s="1" t="n">
        <v>45878</v>
      </c>
      <c r="D1029" t="inlineStr">
        <is>
          <t>VÄSTERNORRLANDS LÄN</t>
        </is>
      </c>
      <c r="E1029" t="inlineStr">
        <is>
          <t>ÅNGE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26018-2024</t>
        </is>
      </c>
      <c r="B1030" s="1" t="n">
        <v>45467.95998842592</v>
      </c>
      <c r="C1030" s="1" t="n">
        <v>45878</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26021-2024</t>
        </is>
      </c>
      <c r="B1031" s="1" t="n">
        <v>45467</v>
      </c>
      <c r="C1031" s="1" t="n">
        <v>45878</v>
      </c>
      <c r="D1031" t="inlineStr">
        <is>
          <t>VÄSTERNORRLANDS LÄN</t>
        </is>
      </c>
      <c r="E1031" t="inlineStr">
        <is>
          <t>ÅNGE</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45932-2023</t>
        </is>
      </c>
      <c r="B1032" s="1" t="n">
        <v>45195</v>
      </c>
      <c r="C1032" s="1" t="n">
        <v>45878</v>
      </c>
      <c r="D1032" t="inlineStr">
        <is>
          <t>VÄSTERNORRLANDS LÄN</t>
        </is>
      </c>
      <c r="E1032" t="inlineStr">
        <is>
          <t>ÅNGE</t>
        </is>
      </c>
      <c r="F1032" t="inlineStr">
        <is>
          <t>SCA</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6-2025</t>
        </is>
      </c>
      <c r="B1033" s="1" t="n">
        <v>45658.50759259259</v>
      </c>
      <c r="C1033" s="1" t="n">
        <v>45878</v>
      </c>
      <c r="D1033" t="inlineStr">
        <is>
          <t>VÄSTERNORRLANDS LÄN</t>
        </is>
      </c>
      <c r="E1033" t="inlineStr">
        <is>
          <t>ÅNGE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39764-2024</t>
        </is>
      </c>
      <c r="B1034" s="1" t="n">
        <v>45552.7190162037</v>
      </c>
      <c r="C1034" s="1" t="n">
        <v>45878</v>
      </c>
      <c r="D1034" t="inlineStr">
        <is>
          <t>VÄSTERNORRLANDS LÄN</t>
        </is>
      </c>
      <c r="E1034" t="inlineStr">
        <is>
          <t>ÅNGE</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58637-2023</t>
        </is>
      </c>
      <c r="B1035" s="1" t="n">
        <v>45251</v>
      </c>
      <c r="C1035" s="1" t="n">
        <v>45878</v>
      </c>
      <c r="D1035" t="inlineStr">
        <is>
          <t>VÄSTERNORRLANDS LÄN</t>
        </is>
      </c>
      <c r="E1035" t="inlineStr">
        <is>
          <t>ÅNGE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53988-2024</t>
        </is>
      </c>
      <c r="B1036" s="1" t="n">
        <v>45616.34408564815</v>
      </c>
      <c r="C1036" s="1" t="n">
        <v>45878</v>
      </c>
      <c r="D1036" t="inlineStr">
        <is>
          <t>VÄSTERNORRLANDS LÄN</t>
        </is>
      </c>
      <c r="E1036" t="inlineStr">
        <is>
          <t>ÅNGE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54002-2024</t>
        </is>
      </c>
      <c r="B1037" s="1" t="n">
        <v>45616.36491898148</v>
      </c>
      <c r="C1037" s="1" t="n">
        <v>45878</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48697-2024</t>
        </is>
      </c>
      <c r="B1038" s="1" t="n">
        <v>45593.51136574074</v>
      </c>
      <c r="C1038" s="1" t="n">
        <v>45878</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36790-2023</t>
        </is>
      </c>
      <c r="B1039" s="1" t="n">
        <v>45154.36418981481</v>
      </c>
      <c r="C1039" s="1" t="n">
        <v>45878</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11764-2024</t>
        </is>
      </c>
      <c r="B1040" s="1" t="n">
        <v>45373.94837962963</v>
      </c>
      <c r="C1040" s="1" t="n">
        <v>45878</v>
      </c>
      <c r="D1040" t="inlineStr">
        <is>
          <t>VÄSTERNORRLANDS LÄN</t>
        </is>
      </c>
      <c r="E1040" t="inlineStr">
        <is>
          <t>ÅNGE</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26734-2025</t>
        </is>
      </c>
      <c r="B1041" s="1" t="n">
        <v>45810.51087962963</v>
      </c>
      <c r="C1041" s="1" t="n">
        <v>45878</v>
      </c>
      <c r="D1041" t="inlineStr">
        <is>
          <t>VÄSTERNORRLANDS LÄN</t>
        </is>
      </c>
      <c r="E1041" t="inlineStr">
        <is>
          <t>ÅNGE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4073-2025</t>
        </is>
      </c>
      <c r="B1042" s="1" t="n">
        <v>45684.63621527778</v>
      </c>
      <c r="C1042" s="1" t="n">
        <v>45878</v>
      </c>
      <c r="D1042" t="inlineStr">
        <is>
          <t>VÄSTERNORRLANDS LÄN</t>
        </is>
      </c>
      <c r="E1042" t="inlineStr">
        <is>
          <t>ÅNGE</t>
        </is>
      </c>
      <c r="F1042" t="inlineStr">
        <is>
          <t>SCA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4236-2025</t>
        </is>
      </c>
      <c r="B1043" s="1" t="n">
        <v>45685.56534722223</v>
      </c>
      <c r="C1043" s="1" t="n">
        <v>45878</v>
      </c>
      <c r="D1043" t="inlineStr">
        <is>
          <t>VÄSTERNORRLANDS LÄN</t>
        </is>
      </c>
      <c r="E1043" t="inlineStr">
        <is>
          <t>ÅNGE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54059-2024</t>
        </is>
      </c>
      <c r="B1044" s="1" t="n">
        <v>45616.46943287037</v>
      </c>
      <c r="C1044" s="1" t="n">
        <v>45878</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51131-2022</t>
        </is>
      </c>
      <c r="B1045" s="1" t="n">
        <v>44868</v>
      </c>
      <c r="C1045" s="1" t="n">
        <v>45878</v>
      </c>
      <c r="D1045" t="inlineStr">
        <is>
          <t>VÄSTERNORRLANDS LÄN</t>
        </is>
      </c>
      <c r="E1045" t="inlineStr">
        <is>
          <t>ÅNGE</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44158-2024</t>
        </is>
      </c>
      <c r="B1046" s="1" t="n">
        <v>45572</v>
      </c>
      <c r="C1046" s="1" t="n">
        <v>45878</v>
      </c>
      <c r="D1046" t="inlineStr">
        <is>
          <t>VÄSTERNORRLANDS LÄN</t>
        </is>
      </c>
      <c r="E1046" t="inlineStr">
        <is>
          <t>ÅNGE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27023-2025</t>
        </is>
      </c>
      <c r="B1047" s="1" t="n">
        <v>45811.57342592593</v>
      </c>
      <c r="C1047" s="1" t="n">
        <v>45878</v>
      </c>
      <c r="D1047" t="inlineStr">
        <is>
          <t>VÄSTERNORRLANDS LÄN</t>
        </is>
      </c>
      <c r="E1047" t="inlineStr">
        <is>
          <t>ÅNGE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2299-2025</t>
        </is>
      </c>
      <c r="B1048" s="1" t="n">
        <v>45673.59516203704</v>
      </c>
      <c r="C1048" s="1" t="n">
        <v>45878</v>
      </c>
      <c r="D1048" t="inlineStr">
        <is>
          <t>VÄSTERNORRLANDS LÄN</t>
        </is>
      </c>
      <c r="E1048" t="inlineStr">
        <is>
          <t>ÅNGE</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27164-2025</t>
        </is>
      </c>
      <c r="B1049" s="1" t="n">
        <v>45812.34430555555</v>
      </c>
      <c r="C1049" s="1" t="n">
        <v>45878</v>
      </c>
      <c r="D1049" t="inlineStr">
        <is>
          <t>VÄSTERNORRLANDS LÄN</t>
        </is>
      </c>
      <c r="E1049" t="inlineStr">
        <is>
          <t>ÅNGE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5999-2025</t>
        </is>
      </c>
      <c r="B1050" s="1" t="n">
        <v>45695</v>
      </c>
      <c r="C1050" s="1" t="n">
        <v>45878</v>
      </c>
      <c r="D1050" t="inlineStr">
        <is>
          <t>VÄSTERNORRLANDS LÄN</t>
        </is>
      </c>
      <c r="E1050" t="inlineStr">
        <is>
          <t>ÅNGE</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26901-2025</t>
        </is>
      </c>
      <c r="B1051" s="1" t="n">
        <v>45811.34457175926</v>
      </c>
      <c r="C1051" s="1" t="n">
        <v>45878</v>
      </c>
      <c r="D1051" t="inlineStr">
        <is>
          <t>VÄSTERNORRLANDS LÄN</t>
        </is>
      </c>
      <c r="E1051" t="inlineStr">
        <is>
          <t>ÅNGE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33750-2024</t>
        </is>
      </c>
      <c r="B1052" s="1" t="n">
        <v>45520.56475694444</v>
      </c>
      <c r="C1052" s="1" t="n">
        <v>45878</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35143-2025</t>
        </is>
      </c>
      <c r="B1053" s="1" t="n">
        <v>45852.65660879629</v>
      </c>
      <c r="C1053" s="1" t="n">
        <v>45878</v>
      </c>
      <c r="D1053" t="inlineStr">
        <is>
          <t>VÄSTERNORRLANDS LÄN</t>
        </is>
      </c>
      <c r="E1053" t="inlineStr">
        <is>
          <t>ÅNGE</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27165-2025</t>
        </is>
      </c>
      <c r="B1054" s="1" t="n">
        <v>45812.34440972222</v>
      </c>
      <c r="C1054" s="1" t="n">
        <v>45878</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44639-2023</t>
        </is>
      </c>
      <c r="B1055" s="1" t="n">
        <v>45184</v>
      </c>
      <c r="C1055" s="1" t="n">
        <v>45878</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5931-2025</t>
        </is>
      </c>
      <c r="B1056" s="1" t="n">
        <v>45695.44827546296</v>
      </c>
      <c r="C1056" s="1" t="n">
        <v>45878</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26015-2024</t>
        </is>
      </c>
      <c r="B1057" s="1" t="n">
        <v>45467.95872685185</v>
      </c>
      <c r="C1057" s="1" t="n">
        <v>45878</v>
      </c>
      <c r="D1057" t="inlineStr">
        <is>
          <t>VÄSTERNORRLANDS LÄN</t>
        </is>
      </c>
      <c r="E1057" t="inlineStr">
        <is>
          <t>ÅNGE</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26010-2024</t>
        </is>
      </c>
      <c r="B1058" s="1" t="n">
        <v>45467.95819444444</v>
      </c>
      <c r="C1058" s="1" t="n">
        <v>45878</v>
      </c>
      <c r="D1058" t="inlineStr">
        <is>
          <t>VÄSTERNORRLANDS LÄN</t>
        </is>
      </c>
      <c r="E1058" t="inlineStr">
        <is>
          <t>ÅNGE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60365-2024</t>
        </is>
      </c>
      <c r="B1059" s="1" t="n">
        <v>45643</v>
      </c>
      <c r="C1059" s="1" t="n">
        <v>45878</v>
      </c>
      <c r="D1059" t="inlineStr">
        <is>
          <t>VÄSTERNORRLANDS LÄN</t>
        </is>
      </c>
      <c r="E1059" t="inlineStr">
        <is>
          <t>ÅNGE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17009-2023</t>
        </is>
      </c>
      <c r="B1060" s="1" t="n">
        <v>45033.9455787037</v>
      </c>
      <c r="C1060" s="1" t="n">
        <v>45878</v>
      </c>
      <c r="D1060" t="inlineStr">
        <is>
          <t>VÄSTERNORRLANDS LÄN</t>
        </is>
      </c>
      <c r="E1060" t="inlineStr">
        <is>
          <t>ÅNGE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35061-2025</t>
        </is>
      </c>
      <c r="B1061" s="1" t="n">
        <v>45852</v>
      </c>
      <c r="C1061" s="1" t="n">
        <v>45878</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60578-2024</t>
        </is>
      </c>
      <c r="B1062" s="1" t="n">
        <v>45644.34434027778</v>
      </c>
      <c r="C1062" s="1" t="n">
        <v>45878</v>
      </c>
      <c r="D1062" t="inlineStr">
        <is>
          <t>VÄSTERNORRLANDS LÄN</t>
        </is>
      </c>
      <c r="E1062" t="inlineStr">
        <is>
          <t>ÅNGE</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27545-2025</t>
        </is>
      </c>
      <c r="B1063" s="1" t="n">
        <v>45813.46942129629</v>
      </c>
      <c r="C1063" s="1" t="n">
        <v>45878</v>
      </c>
      <c r="D1063" t="inlineStr">
        <is>
          <t>VÄSTERNORRLANDS LÄN</t>
        </is>
      </c>
      <c r="E1063" t="inlineStr">
        <is>
          <t>ÅNGE</t>
        </is>
      </c>
      <c r="F1063" t="inlineStr">
        <is>
          <t>SCA</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35575-2025</t>
        </is>
      </c>
      <c r="B1064" s="1" t="n">
        <v>45856.63591435185</v>
      </c>
      <c r="C1064" s="1" t="n">
        <v>45878</v>
      </c>
      <c r="D1064" t="inlineStr">
        <is>
          <t>VÄSTERNORRLANDS LÄN</t>
        </is>
      </c>
      <c r="E1064" t="inlineStr">
        <is>
          <t>ÅNGE</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24977-2021</t>
        </is>
      </c>
      <c r="B1065" s="1" t="n">
        <v>44341.51386574074</v>
      </c>
      <c r="C1065" s="1" t="n">
        <v>45878</v>
      </c>
      <c r="D1065" t="inlineStr">
        <is>
          <t>VÄSTERNORRLANDS LÄN</t>
        </is>
      </c>
      <c r="E1065" t="inlineStr">
        <is>
          <t>ÅNGE</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11871-2025</t>
        </is>
      </c>
      <c r="B1066" s="1" t="n">
        <v>45728.42740740741</v>
      </c>
      <c r="C1066" s="1" t="n">
        <v>45878</v>
      </c>
      <c r="D1066" t="inlineStr">
        <is>
          <t>VÄSTERNORRLANDS LÄN</t>
        </is>
      </c>
      <c r="E1066" t="inlineStr">
        <is>
          <t>ÅNGE</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25034-2023</t>
        </is>
      </c>
      <c r="B1067" s="1" t="n">
        <v>45085</v>
      </c>
      <c r="C1067" s="1" t="n">
        <v>45878</v>
      </c>
      <c r="D1067" t="inlineStr">
        <is>
          <t>VÄSTERNORRLANDS LÄN</t>
        </is>
      </c>
      <c r="E1067" t="inlineStr">
        <is>
          <t>ÅNGE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15799-2025</t>
        </is>
      </c>
      <c r="B1068" s="1" t="n">
        <v>45748.64768518518</v>
      </c>
      <c r="C1068" s="1" t="n">
        <v>45878</v>
      </c>
      <c r="D1068" t="inlineStr">
        <is>
          <t>VÄSTERNORRLANDS LÄN</t>
        </is>
      </c>
      <c r="E1068" t="inlineStr">
        <is>
          <t>ÅNGE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47488-2023</t>
        </is>
      </c>
      <c r="B1069" s="1" t="n">
        <v>45202.94168981481</v>
      </c>
      <c r="C1069" s="1" t="n">
        <v>45878</v>
      </c>
      <c r="D1069" t="inlineStr">
        <is>
          <t>VÄSTERNORRLANDS LÄN</t>
        </is>
      </c>
      <c r="E1069" t="inlineStr">
        <is>
          <t>ÅNGE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54982-2023</t>
        </is>
      </c>
      <c r="B1070" s="1" t="n">
        <v>45236</v>
      </c>
      <c r="C1070" s="1" t="n">
        <v>45878</v>
      </c>
      <c r="D1070" t="inlineStr">
        <is>
          <t>VÄSTERNORRLANDS LÄN</t>
        </is>
      </c>
      <c r="E1070" t="inlineStr">
        <is>
          <t>ÅNGE</t>
        </is>
      </c>
      <c r="F1070" t="inlineStr">
        <is>
          <t>SCA</t>
        </is>
      </c>
      <c r="G1070" t="n">
        <v>26.2</v>
      </c>
      <c r="H1070" t="n">
        <v>0</v>
      </c>
      <c r="I1070" t="n">
        <v>0</v>
      </c>
      <c r="J1070" t="n">
        <v>0</v>
      </c>
      <c r="K1070" t="n">
        <v>0</v>
      </c>
      <c r="L1070" t="n">
        <v>0</v>
      </c>
      <c r="M1070" t="n">
        <v>0</v>
      </c>
      <c r="N1070" t="n">
        <v>0</v>
      </c>
      <c r="O1070" t="n">
        <v>0</v>
      </c>
      <c r="P1070" t="n">
        <v>0</v>
      </c>
      <c r="Q1070" t="n">
        <v>0</v>
      </c>
      <c r="R1070" s="2" t="inlineStr"/>
    </row>
    <row r="1071" ht="15" customHeight="1">
      <c r="A1071" t="inlineStr">
        <is>
          <t>A 35578-2025</t>
        </is>
      </c>
      <c r="B1071" s="1" t="n">
        <v>45856.67797453704</v>
      </c>
      <c r="C1071" s="1" t="n">
        <v>45878</v>
      </c>
      <c r="D1071" t="inlineStr">
        <is>
          <t>VÄSTERNORRLANDS LÄN</t>
        </is>
      </c>
      <c r="E1071" t="inlineStr">
        <is>
          <t>ÅNGE</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27572-2025</t>
        </is>
      </c>
      <c r="B1072" s="1" t="n">
        <v>45813.49049768518</v>
      </c>
      <c r="C1072" s="1" t="n">
        <v>45878</v>
      </c>
      <c r="D1072" t="inlineStr">
        <is>
          <t>VÄSTERNORRLANDS LÄN</t>
        </is>
      </c>
      <c r="E1072" t="inlineStr">
        <is>
          <t>ÅNGE</t>
        </is>
      </c>
      <c r="F1072" t="inlineStr">
        <is>
          <t>SCA</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27606-2025</t>
        </is>
      </c>
      <c r="B1073" s="1" t="n">
        <v>45813.53200231482</v>
      </c>
      <c r="C1073" s="1" t="n">
        <v>45878</v>
      </c>
      <c r="D1073" t="inlineStr">
        <is>
          <t>VÄSTERNORRLANDS LÄN</t>
        </is>
      </c>
      <c r="E1073" t="inlineStr">
        <is>
          <t>ÅNGE</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35432-2025</t>
        </is>
      </c>
      <c r="B1074" s="1" t="n">
        <v>45855.44831018519</v>
      </c>
      <c r="C1074" s="1" t="n">
        <v>45878</v>
      </c>
      <c r="D1074" t="inlineStr">
        <is>
          <t>VÄSTERNORRLANDS LÄN</t>
        </is>
      </c>
      <c r="E1074" t="inlineStr">
        <is>
          <t>ÅNGE</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57560-2023</t>
        </is>
      </c>
      <c r="B1075" s="1" t="n">
        <v>45243</v>
      </c>
      <c r="C1075" s="1" t="n">
        <v>45878</v>
      </c>
      <c r="D1075" t="inlineStr">
        <is>
          <t>VÄSTERNORRLANDS LÄN</t>
        </is>
      </c>
      <c r="E1075" t="inlineStr">
        <is>
          <t>ÅNGE</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57568-2023</t>
        </is>
      </c>
      <c r="B1076" s="1" t="n">
        <v>45246.50484953704</v>
      </c>
      <c r="C1076" s="1" t="n">
        <v>45878</v>
      </c>
      <c r="D1076" t="inlineStr">
        <is>
          <t>VÄSTERNORRLANDS LÄN</t>
        </is>
      </c>
      <c r="E1076" t="inlineStr">
        <is>
          <t>ÅNGE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22597-2021</t>
        </is>
      </c>
      <c r="B1077" s="1" t="n">
        <v>44326</v>
      </c>
      <c r="C1077" s="1" t="n">
        <v>45878</v>
      </c>
      <c r="D1077" t="inlineStr">
        <is>
          <t>VÄSTERNORRLANDS LÄN</t>
        </is>
      </c>
      <c r="E1077" t="inlineStr">
        <is>
          <t>ÅNGE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35540-2025</t>
        </is>
      </c>
      <c r="B1078" s="1" t="n">
        <v>45856.46912037037</v>
      </c>
      <c r="C1078" s="1" t="n">
        <v>45878</v>
      </c>
      <c r="D1078" t="inlineStr">
        <is>
          <t>VÄSTERNORRLANDS LÄN</t>
        </is>
      </c>
      <c r="E1078" t="inlineStr">
        <is>
          <t>ÅNGE</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10282-2025</t>
        </is>
      </c>
      <c r="B1079" s="1" t="n">
        <v>45720.40659722222</v>
      </c>
      <c r="C1079" s="1" t="n">
        <v>45878</v>
      </c>
      <c r="D1079" t="inlineStr">
        <is>
          <t>VÄSTERNORRLANDS LÄN</t>
        </is>
      </c>
      <c r="E1079" t="inlineStr">
        <is>
          <t>ÅNGE</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35548-2025</t>
        </is>
      </c>
      <c r="B1080" s="1" t="n">
        <v>45856.48995370371</v>
      </c>
      <c r="C1080" s="1" t="n">
        <v>45878</v>
      </c>
      <c r="D1080" t="inlineStr">
        <is>
          <t>VÄSTERNORRLANDS LÄN</t>
        </is>
      </c>
      <c r="E1080" t="inlineStr">
        <is>
          <t>ÅNGE</t>
        </is>
      </c>
      <c r="F1080" t="inlineStr">
        <is>
          <t>SCA</t>
        </is>
      </c>
      <c r="G1080" t="n">
        <v>14.6</v>
      </c>
      <c r="H1080" t="n">
        <v>0</v>
      </c>
      <c r="I1080" t="n">
        <v>0</v>
      </c>
      <c r="J1080" t="n">
        <v>0</v>
      </c>
      <c r="K1080" t="n">
        <v>0</v>
      </c>
      <c r="L1080" t="n">
        <v>0</v>
      </c>
      <c r="M1080" t="n">
        <v>0</v>
      </c>
      <c r="N1080" t="n">
        <v>0</v>
      </c>
      <c r="O1080" t="n">
        <v>0</v>
      </c>
      <c r="P1080" t="n">
        <v>0</v>
      </c>
      <c r="Q1080" t="n">
        <v>0</v>
      </c>
      <c r="R1080" s="2" t="inlineStr"/>
    </row>
    <row r="1081" ht="15" customHeight="1">
      <c r="A1081" t="inlineStr">
        <is>
          <t>A 35577-2025</t>
        </is>
      </c>
      <c r="B1081" s="1" t="n">
        <v>45856.67762731481</v>
      </c>
      <c r="C1081" s="1" t="n">
        <v>45878</v>
      </c>
      <c r="D1081" t="inlineStr">
        <is>
          <t>VÄSTERNORRLANDS LÄN</t>
        </is>
      </c>
      <c r="E1081" t="inlineStr">
        <is>
          <t>ÅNGE</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27639-2025</t>
        </is>
      </c>
      <c r="B1082" s="1" t="n">
        <v>45813</v>
      </c>
      <c r="C1082" s="1" t="n">
        <v>45878</v>
      </c>
      <c r="D1082" t="inlineStr">
        <is>
          <t>VÄSTERNORRLANDS LÄN</t>
        </is>
      </c>
      <c r="E1082" t="inlineStr">
        <is>
          <t>ÅNGE</t>
        </is>
      </c>
      <c r="G1082" t="n">
        <v>22.9</v>
      </c>
      <c r="H1082" t="n">
        <v>0</v>
      </c>
      <c r="I1082" t="n">
        <v>0</v>
      </c>
      <c r="J1082" t="n">
        <v>0</v>
      </c>
      <c r="K1082" t="n">
        <v>0</v>
      </c>
      <c r="L1082" t="n">
        <v>0</v>
      </c>
      <c r="M1082" t="n">
        <v>0</v>
      </c>
      <c r="N1082" t="n">
        <v>0</v>
      </c>
      <c r="O1082" t="n">
        <v>0</v>
      </c>
      <c r="P1082" t="n">
        <v>0</v>
      </c>
      <c r="Q1082" t="n">
        <v>0</v>
      </c>
      <c r="R1082" s="2" t="inlineStr"/>
    </row>
    <row r="1083" ht="15" customHeight="1">
      <c r="A1083" t="inlineStr">
        <is>
          <t>A 34629-2025</t>
        </is>
      </c>
      <c r="B1083" s="1" t="n">
        <v>45847.93006944445</v>
      </c>
      <c r="C1083" s="1" t="n">
        <v>45878</v>
      </c>
      <c r="D1083" t="inlineStr">
        <is>
          <t>VÄSTERNORRLANDS LÄN</t>
        </is>
      </c>
      <c r="E1083" t="inlineStr">
        <is>
          <t>ÅNGE</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14979-2025</t>
        </is>
      </c>
      <c r="B1084" s="1" t="n">
        <v>45743.59520833333</v>
      </c>
      <c r="C1084" s="1" t="n">
        <v>45878</v>
      </c>
      <c r="D1084" t="inlineStr">
        <is>
          <t>VÄSTERNORRLANDS LÄN</t>
        </is>
      </c>
      <c r="E1084" t="inlineStr">
        <is>
          <t>ÅNGE</t>
        </is>
      </c>
      <c r="F1084" t="inlineStr">
        <is>
          <t>SCA</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28070-2025</t>
        </is>
      </c>
      <c r="B1085" s="1" t="n">
        <v>45817.67739583334</v>
      </c>
      <c r="C1085" s="1" t="n">
        <v>45878</v>
      </c>
      <c r="D1085" t="inlineStr">
        <is>
          <t>VÄSTERNORRLANDS LÄN</t>
        </is>
      </c>
      <c r="E1085" t="inlineStr">
        <is>
          <t>ÅNGE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22165-2025</t>
        </is>
      </c>
      <c r="B1086" s="1" t="n">
        <v>45785.59451388889</v>
      </c>
      <c r="C1086" s="1" t="n">
        <v>45878</v>
      </c>
      <c r="D1086" t="inlineStr">
        <is>
          <t>VÄSTERNORRLANDS LÄN</t>
        </is>
      </c>
      <c r="E1086" t="inlineStr">
        <is>
          <t>ÅNGE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18112-2025</t>
        </is>
      </c>
      <c r="B1087" s="1" t="n">
        <v>45761.57350694444</v>
      </c>
      <c r="C1087" s="1" t="n">
        <v>45878</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35648-2025</t>
        </is>
      </c>
      <c r="B1088" s="1" t="n">
        <v>45859.51670138889</v>
      </c>
      <c r="C1088" s="1" t="n">
        <v>45878</v>
      </c>
      <c r="D1088" t="inlineStr">
        <is>
          <t>VÄSTERNORRLANDS LÄN</t>
        </is>
      </c>
      <c r="E1088" t="inlineStr">
        <is>
          <t>ÅNGE</t>
        </is>
      </c>
      <c r="F1088" t="inlineStr">
        <is>
          <t>Sveaskog</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35690-2025</t>
        </is>
      </c>
      <c r="B1089" s="1" t="n">
        <v>45860.34421296296</v>
      </c>
      <c r="C1089" s="1" t="n">
        <v>45878</v>
      </c>
      <c r="D1089" t="inlineStr">
        <is>
          <t>VÄSTERNORRLANDS LÄN</t>
        </is>
      </c>
      <c r="E1089" t="inlineStr">
        <is>
          <t>ÅNGE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137-2025</t>
        </is>
      </c>
      <c r="B1090" s="1" t="n">
        <v>45659.57684027778</v>
      </c>
      <c r="C1090" s="1" t="n">
        <v>45878</v>
      </c>
      <c r="D1090" t="inlineStr">
        <is>
          <t>VÄSTERNORRLANDS LÄN</t>
        </is>
      </c>
      <c r="E1090" t="inlineStr">
        <is>
          <t>ÅNGE</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35781-2025</t>
        </is>
      </c>
      <c r="B1091" s="1" t="n">
        <v>45860.70613425926</v>
      </c>
      <c r="C1091" s="1" t="n">
        <v>45878</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35497-2025</t>
        </is>
      </c>
      <c r="B1092" s="1" t="n">
        <v>45856.29752314815</v>
      </c>
      <c r="C1092" s="1" t="n">
        <v>45878</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63530-2023</t>
        </is>
      </c>
      <c r="B1093" s="1" t="n">
        <v>45274</v>
      </c>
      <c r="C1093" s="1" t="n">
        <v>45878</v>
      </c>
      <c r="D1093" t="inlineStr">
        <is>
          <t>VÄSTERNORRLANDS LÄN</t>
        </is>
      </c>
      <c r="E1093" t="inlineStr">
        <is>
          <t>ÅNGE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10071-2023</t>
        </is>
      </c>
      <c r="B1094" s="1" t="n">
        <v>44985.92418981482</v>
      </c>
      <c r="C1094" s="1" t="n">
        <v>45878</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35766-2025</t>
        </is>
      </c>
      <c r="B1095" s="1" t="n">
        <v>45860.63077546296</v>
      </c>
      <c r="C1095" s="1" t="n">
        <v>45878</v>
      </c>
      <c r="D1095" t="inlineStr">
        <is>
          <t>VÄSTERNORRLANDS LÄN</t>
        </is>
      </c>
      <c r="E1095" t="inlineStr">
        <is>
          <t>ÅNGE</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28085-2025</t>
        </is>
      </c>
      <c r="B1096" s="1" t="n">
        <v>45817.71924768519</v>
      </c>
      <c r="C1096" s="1" t="n">
        <v>45878</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3253-2024</t>
        </is>
      </c>
      <c r="B1097" s="1" t="n">
        <v>45316</v>
      </c>
      <c r="C1097" s="1" t="n">
        <v>45878</v>
      </c>
      <c r="D1097" t="inlineStr">
        <is>
          <t>VÄSTERNORRLANDS LÄN</t>
        </is>
      </c>
      <c r="E1097" t="inlineStr">
        <is>
          <t>ÅNGE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49945-2023</t>
        </is>
      </c>
      <c r="B1098" s="1" t="n">
        <v>45215.3625462963</v>
      </c>
      <c r="C1098" s="1" t="n">
        <v>45878</v>
      </c>
      <c r="D1098" t="inlineStr">
        <is>
          <t>VÄSTERNORRLANDS LÄN</t>
        </is>
      </c>
      <c r="E1098" t="inlineStr">
        <is>
          <t>ÅNGE</t>
        </is>
      </c>
      <c r="F1098" t="inlineStr">
        <is>
          <t>Holmen skog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28143-2025</t>
        </is>
      </c>
      <c r="B1099" s="1" t="n">
        <v>45818.34546296296</v>
      </c>
      <c r="C1099" s="1" t="n">
        <v>45878</v>
      </c>
      <c r="D1099" t="inlineStr">
        <is>
          <t>VÄSTERNORRLANDS LÄN</t>
        </is>
      </c>
      <c r="E1099" t="inlineStr">
        <is>
          <t>ÅNGE</t>
        </is>
      </c>
      <c r="F1099" t="inlineStr">
        <is>
          <t>SCA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25903-2022</t>
        </is>
      </c>
      <c r="B1100" s="1" t="n">
        <v>44733</v>
      </c>
      <c r="C1100" s="1" t="n">
        <v>45878</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35827-2025</t>
        </is>
      </c>
      <c r="B1101" s="1" t="n">
        <v>45861.49017361111</v>
      </c>
      <c r="C1101" s="1" t="n">
        <v>45878</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19709-2025</t>
        </is>
      </c>
      <c r="B1102" s="1" t="n">
        <v>45771.34263888889</v>
      </c>
      <c r="C1102" s="1" t="n">
        <v>45878</v>
      </c>
      <c r="D1102" t="inlineStr">
        <is>
          <t>VÄSTERNORRLANDS LÄN</t>
        </is>
      </c>
      <c r="E1102" t="inlineStr">
        <is>
          <t>ÅNGE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19723-2025</t>
        </is>
      </c>
      <c r="B1103" s="1" t="n">
        <v>45771.36490740741</v>
      </c>
      <c r="C1103" s="1" t="n">
        <v>45878</v>
      </c>
      <c r="D1103" t="inlineStr">
        <is>
          <t>VÄSTERNORRLANDS LÄN</t>
        </is>
      </c>
      <c r="E1103" t="inlineStr">
        <is>
          <t>ÅNGE</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35838-2025</t>
        </is>
      </c>
      <c r="B1104" s="1" t="n">
        <v>45861.53829861111</v>
      </c>
      <c r="C1104" s="1" t="n">
        <v>45878</v>
      </c>
      <c r="D1104" t="inlineStr">
        <is>
          <t>VÄSTERNORRLANDS LÄN</t>
        </is>
      </c>
      <c r="E1104" t="inlineStr">
        <is>
          <t>ÅNGE</t>
        </is>
      </c>
      <c r="F1104" t="inlineStr">
        <is>
          <t>Sveaskog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35839-2025</t>
        </is>
      </c>
      <c r="B1105" s="1" t="n">
        <v>45861.53943287037</v>
      </c>
      <c r="C1105" s="1" t="n">
        <v>45878</v>
      </c>
      <c r="D1105" t="inlineStr">
        <is>
          <t>VÄSTERNORRLANDS LÄN</t>
        </is>
      </c>
      <c r="E1105" t="inlineStr">
        <is>
          <t>ÅNGE</t>
        </is>
      </c>
      <c r="F1105" t="inlineStr">
        <is>
          <t>Sveaskog</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28404-2025</t>
        </is>
      </c>
      <c r="B1106" s="1" t="n">
        <v>45819.34532407407</v>
      </c>
      <c r="C1106" s="1" t="n">
        <v>45878</v>
      </c>
      <c r="D1106" t="inlineStr">
        <is>
          <t>VÄSTERNORRLANDS LÄN</t>
        </is>
      </c>
      <c r="E1106" t="inlineStr">
        <is>
          <t>ÅNGE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28895-2025</t>
        </is>
      </c>
      <c r="B1107" s="1" t="n">
        <v>45820.63572916666</v>
      </c>
      <c r="C1107" s="1" t="n">
        <v>45878</v>
      </c>
      <c r="D1107" t="inlineStr">
        <is>
          <t>VÄSTERNORRLANDS LÄN</t>
        </is>
      </c>
      <c r="E1107" t="inlineStr">
        <is>
          <t>ÅNGE</t>
        </is>
      </c>
      <c r="F1107" t="inlineStr">
        <is>
          <t>SCA</t>
        </is>
      </c>
      <c r="G1107" t="n">
        <v>25.5</v>
      </c>
      <c r="H1107" t="n">
        <v>0</v>
      </c>
      <c r="I1107" t="n">
        <v>0</v>
      </c>
      <c r="J1107" t="n">
        <v>0</v>
      </c>
      <c r="K1107" t="n">
        <v>0</v>
      </c>
      <c r="L1107" t="n">
        <v>0</v>
      </c>
      <c r="M1107" t="n">
        <v>0</v>
      </c>
      <c r="N1107" t="n">
        <v>0</v>
      </c>
      <c r="O1107" t="n">
        <v>0</v>
      </c>
      <c r="P1107" t="n">
        <v>0</v>
      </c>
      <c r="Q1107" t="n">
        <v>0</v>
      </c>
      <c r="R1107" s="2" t="inlineStr"/>
    </row>
    <row r="1108" ht="15" customHeight="1">
      <c r="A1108" t="inlineStr">
        <is>
          <t>A 28896-2025</t>
        </is>
      </c>
      <c r="B1108" s="1" t="n">
        <v>45820.63584490741</v>
      </c>
      <c r="C1108" s="1" t="n">
        <v>45878</v>
      </c>
      <c r="D1108" t="inlineStr">
        <is>
          <t>VÄSTERNORRLANDS LÄN</t>
        </is>
      </c>
      <c r="E1108" t="inlineStr">
        <is>
          <t>ÅNGE</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16362-2023</t>
        </is>
      </c>
      <c r="B1109" s="1" t="n">
        <v>45028.9250462963</v>
      </c>
      <c r="C1109" s="1" t="n">
        <v>45878</v>
      </c>
      <c r="D1109" t="inlineStr">
        <is>
          <t>VÄSTERNORRLANDS LÄN</t>
        </is>
      </c>
      <c r="E1109" t="inlineStr">
        <is>
          <t>ÅNGE</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35826-2025</t>
        </is>
      </c>
      <c r="B1110" s="1" t="n">
        <v>45861.48997685185</v>
      </c>
      <c r="C1110" s="1" t="n">
        <v>45878</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24324-2022</t>
        </is>
      </c>
      <c r="B1111" s="1" t="n">
        <v>44725.945</v>
      </c>
      <c r="C1111" s="1" t="n">
        <v>45878</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24325-2022</t>
        </is>
      </c>
      <c r="B1112" s="1" t="n">
        <v>44725.94506944445</v>
      </c>
      <c r="C1112" s="1" t="n">
        <v>45878</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30803-2022</t>
        </is>
      </c>
      <c r="B1113" s="1" t="n">
        <v>44764</v>
      </c>
      <c r="C1113" s="1" t="n">
        <v>45878</v>
      </c>
      <c r="D1113" t="inlineStr">
        <is>
          <t>VÄSTERNORRLANDS LÄN</t>
        </is>
      </c>
      <c r="E1113" t="inlineStr">
        <is>
          <t>ÅNGE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17744-2025</t>
        </is>
      </c>
      <c r="B1114" s="1" t="n">
        <v>45758</v>
      </c>
      <c r="C1114" s="1" t="n">
        <v>45878</v>
      </c>
      <c r="D1114" t="inlineStr">
        <is>
          <t>VÄSTERNORRLANDS LÄN</t>
        </is>
      </c>
      <c r="E1114" t="inlineStr">
        <is>
          <t>ÅNGE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28819-2025</t>
        </is>
      </c>
      <c r="B1115" s="1" t="n">
        <v>45820.53758101852</v>
      </c>
      <c r="C1115" s="1" t="n">
        <v>45878</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28845-2025</t>
        </is>
      </c>
      <c r="B1116" s="1" t="n">
        <v>45820.57324074074</v>
      </c>
      <c r="C1116" s="1" t="n">
        <v>45878</v>
      </c>
      <c r="D1116" t="inlineStr">
        <is>
          <t>VÄSTERNORRLANDS LÄN</t>
        </is>
      </c>
      <c r="E1116" t="inlineStr">
        <is>
          <t>ÅNGE</t>
        </is>
      </c>
      <c r="F1116" t="inlineStr">
        <is>
          <t>SCA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2433-2024</t>
        </is>
      </c>
      <c r="B1117" s="1" t="n">
        <v>45310</v>
      </c>
      <c r="C1117" s="1" t="n">
        <v>45878</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28779-2023</t>
        </is>
      </c>
      <c r="B1118" s="1" t="n">
        <v>45104.34314814815</v>
      </c>
      <c r="C1118" s="1" t="n">
        <v>45878</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63607-2021</t>
        </is>
      </c>
      <c r="B1119" s="1" t="n">
        <v>44508.94650462963</v>
      </c>
      <c r="C1119" s="1" t="n">
        <v>45878</v>
      </c>
      <c r="D1119" t="inlineStr">
        <is>
          <t>VÄSTERNORRLANDS LÄN</t>
        </is>
      </c>
      <c r="E1119" t="inlineStr">
        <is>
          <t>ÅNGE</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30235-2024</t>
        </is>
      </c>
      <c r="B1120" s="1" t="n">
        <v>45490.49040509259</v>
      </c>
      <c r="C1120" s="1" t="n">
        <v>45878</v>
      </c>
      <c r="D1120" t="inlineStr">
        <is>
          <t>VÄSTERNORRLANDS LÄN</t>
        </is>
      </c>
      <c r="E1120" t="inlineStr">
        <is>
          <t>ÅNGE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28814-2025</t>
        </is>
      </c>
      <c r="B1121" s="1" t="n">
        <v>45820.52846064815</v>
      </c>
      <c r="C1121" s="1" t="n">
        <v>45878</v>
      </c>
      <c r="D1121" t="inlineStr">
        <is>
          <t>VÄSTERNORRLANDS LÄN</t>
        </is>
      </c>
      <c r="E1121" t="inlineStr">
        <is>
          <t>ÅNGE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56615-2023</t>
        </is>
      </c>
      <c r="B1122" s="1" t="n">
        <v>45243</v>
      </c>
      <c r="C1122" s="1" t="n">
        <v>45878</v>
      </c>
      <c r="D1122" t="inlineStr">
        <is>
          <t>VÄSTERNORRLANDS LÄN</t>
        </is>
      </c>
      <c r="E1122" t="inlineStr">
        <is>
          <t>ÅNGE</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61461-2023</t>
        </is>
      </c>
      <c r="B1123" s="1" t="n">
        <v>45264.9261574074</v>
      </c>
      <c r="C1123" s="1" t="n">
        <v>45878</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28717-2025</t>
        </is>
      </c>
      <c r="B1124" s="1" t="n">
        <v>45820</v>
      </c>
      <c r="C1124" s="1" t="n">
        <v>45878</v>
      </c>
      <c r="D1124" t="inlineStr">
        <is>
          <t>VÄSTERNORRLANDS LÄN</t>
        </is>
      </c>
      <c r="E1124" t="inlineStr">
        <is>
          <t>ÅNGE</t>
        </is>
      </c>
      <c r="F1124" t="inlineStr">
        <is>
          <t>SCA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29350-2025</t>
        </is>
      </c>
      <c r="B1125" s="1" t="n">
        <v>45824.53206018519</v>
      </c>
      <c r="C1125" s="1" t="n">
        <v>45878</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27661-2024</t>
        </is>
      </c>
      <c r="B1126" s="1" t="n">
        <v>45474.95365740741</v>
      </c>
      <c r="C1126" s="1" t="n">
        <v>45878</v>
      </c>
      <c r="D1126" t="inlineStr">
        <is>
          <t>VÄSTERNORRLANDS LÄN</t>
        </is>
      </c>
      <c r="E1126" t="inlineStr">
        <is>
          <t>ÅNGE</t>
        </is>
      </c>
      <c r="F1126" t="inlineStr">
        <is>
          <t>SCA</t>
        </is>
      </c>
      <c r="G1126" t="n">
        <v>19.1</v>
      </c>
      <c r="H1126" t="n">
        <v>0</v>
      </c>
      <c r="I1126" t="n">
        <v>0</v>
      </c>
      <c r="J1126" t="n">
        <v>0</v>
      </c>
      <c r="K1126" t="n">
        <v>0</v>
      </c>
      <c r="L1126" t="n">
        <v>0</v>
      </c>
      <c r="M1126" t="n">
        <v>0</v>
      </c>
      <c r="N1126" t="n">
        <v>0</v>
      </c>
      <c r="O1126" t="n">
        <v>0</v>
      </c>
      <c r="P1126" t="n">
        <v>0</v>
      </c>
      <c r="Q1126" t="n">
        <v>0</v>
      </c>
      <c r="R1126" s="2" t="inlineStr"/>
    </row>
    <row r="1127" ht="15" customHeight="1">
      <c r="A1127" t="inlineStr">
        <is>
          <t>A 41370-2023</t>
        </is>
      </c>
      <c r="B1127" s="1" t="n">
        <v>45174.85951388889</v>
      </c>
      <c r="C1127" s="1" t="n">
        <v>45878</v>
      </c>
      <c r="D1127" t="inlineStr">
        <is>
          <t>VÄSTERNORRLANDS LÄN</t>
        </is>
      </c>
      <c r="E1127" t="inlineStr">
        <is>
          <t>ÅNGE</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14927-2025</t>
        </is>
      </c>
      <c r="B1128" s="1" t="n">
        <v>45743</v>
      </c>
      <c r="C1128" s="1" t="n">
        <v>45878</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14933-2025</t>
        </is>
      </c>
      <c r="B1129" s="1" t="n">
        <v>45743.55380787037</v>
      </c>
      <c r="C1129" s="1" t="n">
        <v>45878</v>
      </c>
      <c r="D1129" t="inlineStr">
        <is>
          <t>VÄSTERNORRLANDS LÄN</t>
        </is>
      </c>
      <c r="E1129" t="inlineStr">
        <is>
          <t>ÅNGE</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29153-2025</t>
        </is>
      </c>
      <c r="B1130" s="1" t="n">
        <v>45821.63574074074</v>
      </c>
      <c r="C1130" s="1" t="n">
        <v>45878</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38284-2022</t>
        </is>
      </c>
      <c r="B1131" s="1" t="n">
        <v>44812.55149305556</v>
      </c>
      <c r="C1131" s="1" t="n">
        <v>45878</v>
      </c>
      <c r="D1131" t="inlineStr">
        <is>
          <t>VÄSTERNORRLANDS LÄN</t>
        </is>
      </c>
      <c r="E1131" t="inlineStr">
        <is>
          <t>ÅNGE</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39919-2020</t>
        </is>
      </c>
      <c r="B1132" s="1" t="n">
        <v>44063</v>
      </c>
      <c r="C1132" s="1" t="n">
        <v>45878</v>
      </c>
      <c r="D1132" t="inlineStr">
        <is>
          <t>VÄSTERNORRLANDS LÄN</t>
        </is>
      </c>
      <c r="E1132" t="inlineStr">
        <is>
          <t>ÅNGE</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45890-2021</t>
        </is>
      </c>
      <c r="B1133" s="1" t="n">
        <v>44441</v>
      </c>
      <c r="C1133" s="1" t="n">
        <v>45878</v>
      </c>
      <c r="D1133" t="inlineStr">
        <is>
          <t>VÄSTERNORRLANDS LÄN</t>
        </is>
      </c>
      <c r="E1133" t="inlineStr">
        <is>
          <t>ÅNGE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30353-2024</t>
        </is>
      </c>
      <c r="B1134" s="1" t="n">
        <v>45490.95567129629</v>
      </c>
      <c r="C1134" s="1" t="n">
        <v>45878</v>
      </c>
      <c r="D1134" t="inlineStr">
        <is>
          <t>VÄSTERNORRLANDS LÄN</t>
        </is>
      </c>
      <c r="E1134" t="inlineStr">
        <is>
          <t>ÅNGE</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60003-2023</t>
        </is>
      </c>
      <c r="B1135" s="1" t="n">
        <v>45257</v>
      </c>
      <c r="C1135" s="1" t="n">
        <v>45878</v>
      </c>
      <c r="D1135" t="inlineStr">
        <is>
          <t>VÄSTERNORRLANDS LÄN</t>
        </is>
      </c>
      <c r="E1135" t="inlineStr">
        <is>
          <t>ÅNGE</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29377-2025</t>
        </is>
      </c>
      <c r="B1136" s="1" t="n">
        <v>45824.58719907407</v>
      </c>
      <c r="C1136" s="1" t="n">
        <v>45878</v>
      </c>
      <c r="D1136" t="inlineStr">
        <is>
          <t>VÄSTERNORRLANDS LÄN</t>
        </is>
      </c>
      <c r="E1136" t="inlineStr">
        <is>
          <t>ÅNGE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213-2024</t>
        </is>
      </c>
      <c r="B1137" s="1" t="n">
        <v>45293</v>
      </c>
      <c r="C1137" s="1" t="n">
        <v>45878</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40788-2024</t>
        </is>
      </c>
      <c r="B1138" s="1" t="n">
        <v>45558.50974537037</v>
      </c>
      <c r="C1138" s="1" t="n">
        <v>45878</v>
      </c>
      <c r="D1138" t="inlineStr">
        <is>
          <t>VÄSTERNORRLANDS LÄN</t>
        </is>
      </c>
      <c r="E1138" t="inlineStr">
        <is>
          <t>ÅNGE</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16606-2023</t>
        </is>
      </c>
      <c r="B1139" s="1" t="n">
        <v>45030.3990625</v>
      </c>
      <c r="C1139" s="1" t="n">
        <v>45878</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741-2024</t>
        </is>
      </c>
      <c r="B1140" s="1" t="n">
        <v>45300.46591435185</v>
      </c>
      <c r="C1140" s="1" t="n">
        <v>45878</v>
      </c>
      <c r="D1140" t="inlineStr">
        <is>
          <t>VÄSTERNORRLANDS LÄN</t>
        </is>
      </c>
      <c r="E1140" t="inlineStr">
        <is>
          <t>ÅNGE</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29862-2025</t>
        </is>
      </c>
      <c r="B1141" s="1" t="n">
        <v>45826.3465625</v>
      </c>
      <c r="C1141" s="1" t="n">
        <v>45878</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29880-2025</t>
        </is>
      </c>
      <c r="B1142" s="1" t="n">
        <v>45826.36510416667</v>
      </c>
      <c r="C1142" s="1" t="n">
        <v>45878</v>
      </c>
      <c r="D1142" t="inlineStr">
        <is>
          <t>VÄSTERNORRLANDS LÄN</t>
        </is>
      </c>
      <c r="E1142" t="inlineStr">
        <is>
          <t>ÅNGE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29882-2025</t>
        </is>
      </c>
      <c r="B1143" s="1" t="n">
        <v>45826.36548611111</v>
      </c>
      <c r="C1143" s="1" t="n">
        <v>45878</v>
      </c>
      <c r="D1143" t="inlineStr">
        <is>
          <t>VÄSTERNORRLANDS LÄN</t>
        </is>
      </c>
      <c r="E1143" t="inlineStr">
        <is>
          <t>ÅNGE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36237-2025</t>
        </is>
      </c>
      <c r="B1144" s="1" t="n">
        <v>45867.55263888889</v>
      </c>
      <c r="C1144" s="1" t="n">
        <v>45878</v>
      </c>
      <c r="D1144" t="inlineStr">
        <is>
          <t>VÄSTERNORRLANDS LÄN</t>
        </is>
      </c>
      <c r="E1144" t="inlineStr">
        <is>
          <t>ÅNGE</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36240-2025</t>
        </is>
      </c>
      <c r="B1145" s="1" t="n">
        <v>45867.55298611111</v>
      </c>
      <c r="C1145" s="1" t="n">
        <v>45878</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54611-2023</t>
        </is>
      </c>
      <c r="B1146" s="1" t="n">
        <v>45233</v>
      </c>
      <c r="C1146" s="1" t="n">
        <v>45878</v>
      </c>
      <c r="D1146" t="inlineStr">
        <is>
          <t>VÄSTERNORRLANDS LÄN</t>
        </is>
      </c>
      <c r="E1146" t="inlineStr">
        <is>
          <t>ÅNGE</t>
        </is>
      </c>
      <c r="F1146" t="inlineStr">
        <is>
          <t>SCA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36336-2025</t>
        </is>
      </c>
      <c r="B1147" s="1" t="n">
        <v>45868.44751157407</v>
      </c>
      <c r="C1147" s="1" t="n">
        <v>45878</v>
      </c>
      <c r="D1147" t="inlineStr">
        <is>
          <t>VÄSTERNORRLANDS LÄN</t>
        </is>
      </c>
      <c r="E1147" t="inlineStr">
        <is>
          <t>ÅNGE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36205-2025</t>
        </is>
      </c>
      <c r="B1148" s="1" t="n">
        <v>45867.44855324074</v>
      </c>
      <c r="C1148" s="1" t="n">
        <v>45878</v>
      </c>
      <c r="D1148" t="inlineStr">
        <is>
          <t>VÄSTERNORRLANDS LÄN</t>
        </is>
      </c>
      <c r="E1148" t="inlineStr">
        <is>
          <t>ÅNGE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36210-2025</t>
        </is>
      </c>
      <c r="B1149" s="1" t="n">
        <v>45867.46930555555</v>
      </c>
      <c r="C1149" s="1" t="n">
        <v>45878</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36249-2025</t>
        </is>
      </c>
      <c r="B1150" s="1" t="n">
        <v>45867.5734375</v>
      </c>
      <c r="C1150" s="1" t="n">
        <v>45878</v>
      </c>
      <c r="D1150" t="inlineStr">
        <is>
          <t>VÄSTERNORRLANDS LÄN</t>
        </is>
      </c>
      <c r="E1150" t="inlineStr">
        <is>
          <t>ÅNGE</t>
        </is>
      </c>
      <c r="F1150" t="inlineStr">
        <is>
          <t>SCA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29916-2025</t>
        </is>
      </c>
      <c r="B1151" s="1" t="n">
        <v>45826.41822916667</v>
      </c>
      <c r="C1151" s="1" t="n">
        <v>45878</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25047-2023</t>
        </is>
      </c>
      <c r="B1152" s="1" t="n">
        <v>45085.94569444445</v>
      </c>
      <c r="C1152" s="1" t="n">
        <v>45878</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14673-2025</t>
        </is>
      </c>
      <c r="B1153" s="1" t="n">
        <v>45742.55309027778</v>
      </c>
      <c r="C1153" s="1" t="n">
        <v>45878</v>
      </c>
      <c r="D1153" t="inlineStr">
        <is>
          <t>VÄSTERNORRLANDS LÄN</t>
        </is>
      </c>
      <c r="E1153" t="inlineStr">
        <is>
          <t>ÅNGE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29560-2025</t>
        </is>
      </c>
      <c r="B1154" s="1" t="n">
        <v>45825.36497685185</v>
      </c>
      <c r="C1154" s="1" t="n">
        <v>45878</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36193-2025</t>
        </is>
      </c>
      <c r="B1155" s="1" t="n">
        <v>45867.42741898148</v>
      </c>
      <c r="C1155" s="1" t="n">
        <v>45878</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15791-2025</t>
        </is>
      </c>
      <c r="B1156" s="1" t="n">
        <v>45748.631875</v>
      </c>
      <c r="C1156" s="1" t="n">
        <v>45878</v>
      </c>
      <c r="D1156" t="inlineStr">
        <is>
          <t>VÄSTERNORRLANDS LÄN</t>
        </is>
      </c>
      <c r="E1156" t="inlineStr">
        <is>
          <t>ÅNGE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36414-2025</t>
        </is>
      </c>
      <c r="B1157" s="1" t="n">
        <v>45868.69246527777</v>
      </c>
      <c r="C1157" s="1" t="n">
        <v>45878</v>
      </c>
      <c r="D1157" t="inlineStr">
        <is>
          <t>VÄSTERNORRLANDS LÄN</t>
        </is>
      </c>
      <c r="E1157" t="inlineStr">
        <is>
          <t>ÅNGE</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29786-2025</t>
        </is>
      </c>
      <c r="B1158" s="1" t="n">
        <v>45825.65663194445</v>
      </c>
      <c r="C1158" s="1" t="n">
        <v>45878</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36248-2025</t>
        </is>
      </c>
      <c r="B1159" s="1" t="n">
        <v>45867.57326388889</v>
      </c>
      <c r="C1159" s="1" t="n">
        <v>45878</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15866-2025</t>
        </is>
      </c>
      <c r="B1160" s="1" t="n">
        <v>45749.36032407408</v>
      </c>
      <c r="C1160" s="1" t="n">
        <v>45878</v>
      </c>
      <c r="D1160" t="inlineStr">
        <is>
          <t>VÄSTERNORRLANDS LÄN</t>
        </is>
      </c>
      <c r="E1160" t="inlineStr">
        <is>
          <t>ÅNGE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55007-2022</t>
        </is>
      </c>
      <c r="B1161" s="1" t="n">
        <v>44881</v>
      </c>
      <c r="C1161" s="1" t="n">
        <v>45878</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36236-2025</t>
        </is>
      </c>
      <c r="B1162" s="1" t="n">
        <v>45867.55245370371</v>
      </c>
      <c r="C1162" s="1" t="n">
        <v>45878</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16281-2023</t>
        </is>
      </c>
      <c r="B1163" s="1" t="n">
        <v>45028</v>
      </c>
      <c r="C1163" s="1" t="n">
        <v>45878</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45459-2022</t>
        </is>
      </c>
      <c r="B1164" s="1" t="n">
        <v>44845</v>
      </c>
      <c r="C1164" s="1" t="n">
        <v>45878</v>
      </c>
      <c r="D1164" t="inlineStr">
        <is>
          <t>VÄSTERNORRLANDS LÄN</t>
        </is>
      </c>
      <c r="E1164" t="inlineStr">
        <is>
          <t>ÅNGE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30475-2025</t>
        </is>
      </c>
      <c r="B1165" s="1" t="n">
        <v>45828.34444444445</v>
      </c>
      <c r="C1165" s="1" t="n">
        <v>45878</v>
      </c>
      <c r="D1165" t="inlineStr">
        <is>
          <t>VÄSTERNORRLANDS LÄN</t>
        </is>
      </c>
      <c r="E1165" t="inlineStr">
        <is>
          <t>ÅNGE</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35503-2025</t>
        </is>
      </c>
      <c r="B1166" s="1" t="n">
        <v>45856</v>
      </c>
      <c r="C1166" s="1" t="n">
        <v>45878</v>
      </c>
      <c r="D1166" t="inlineStr">
        <is>
          <t>VÄSTERNORRLANDS LÄN</t>
        </is>
      </c>
      <c r="E1166" t="inlineStr">
        <is>
          <t>ÅNGE</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36457-2025</t>
        </is>
      </c>
      <c r="B1167" s="1" t="n">
        <v>45869.44842592593</v>
      </c>
      <c r="C1167" s="1" t="n">
        <v>45878</v>
      </c>
      <c r="D1167" t="inlineStr">
        <is>
          <t>VÄSTERNORRLANDS LÄN</t>
        </is>
      </c>
      <c r="E1167" t="inlineStr">
        <is>
          <t>ÅNGE</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2984-2025</t>
        </is>
      </c>
      <c r="B1168" s="1" t="n">
        <v>45678.51094907407</v>
      </c>
      <c r="C1168" s="1" t="n">
        <v>45878</v>
      </c>
      <c r="D1168" t="inlineStr">
        <is>
          <t>VÄSTERNORRLANDS LÄN</t>
        </is>
      </c>
      <c r="E1168" t="inlineStr">
        <is>
          <t>ÅNGE</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10017-2025</t>
        </is>
      </c>
      <c r="B1169" s="1" t="n">
        <v>45719.46957175926</v>
      </c>
      <c r="C1169" s="1" t="n">
        <v>45878</v>
      </c>
      <c r="D1169" t="inlineStr">
        <is>
          <t>VÄSTERNORRLANDS LÄN</t>
        </is>
      </c>
      <c r="E1169" t="inlineStr">
        <is>
          <t>ÅNGE</t>
        </is>
      </c>
      <c r="F1169" t="inlineStr">
        <is>
          <t>SCA</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36491-2025</t>
        </is>
      </c>
      <c r="B1170" s="1" t="n">
        <v>45869.53173611111</v>
      </c>
      <c r="C1170" s="1" t="n">
        <v>45878</v>
      </c>
      <c r="D1170" t="inlineStr">
        <is>
          <t>VÄSTERNORRLANDS LÄN</t>
        </is>
      </c>
      <c r="E1170" t="inlineStr">
        <is>
          <t>ÅNGE</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20110-2023</t>
        </is>
      </c>
      <c r="B1171" s="1" t="n">
        <v>45051</v>
      </c>
      <c r="C1171" s="1" t="n">
        <v>45878</v>
      </c>
      <c r="D1171" t="inlineStr">
        <is>
          <t>VÄSTERNORRLANDS LÄN</t>
        </is>
      </c>
      <c r="E1171" t="inlineStr">
        <is>
          <t>ÅNGE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29270-2024</t>
        </is>
      </c>
      <c r="B1172" s="1" t="n">
        <v>45482.94979166667</v>
      </c>
      <c r="C1172" s="1" t="n">
        <v>45878</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29696-2024</t>
        </is>
      </c>
      <c r="B1173" s="1" t="n">
        <v>45484.94524305555</v>
      </c>
      <c r="C1173" s="1" t="n">
        <v>45878</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36456-2025</t>
        </is>
      </c>
      <c r="B1174" s="1" t="n">
        <v>45869.44827546296</v>
      </c>
      <c r="C1174" s="1" t="n">
        <v>45878</v>
      </c>
      <c r="D1174" t="inlineStr">
        <is>
          <t>VÄSTERNORRLANDS LÄN</t>
        </is>
      </c>
      <c r="E1174" t="inlineStr">
        <is>
          <t>ÅNGE</t>
        </is>
      </c>
      <c r="F1174" t="inlineStr">
        <is>
          <t>SCA</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33062-2022</t>
        </is>
      </c>
      <c r="B1175" s="1" t="n">
        <v>44785</v>
      </c>
      <c r="C1175" s="1" t="n">
        <v>45878</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30875-2025</t>
        </is>
      </c>
      <c r="B1176" s="1" t="n">
        <v>45832.34447916667</v>
      </c>
      <c r="C1176" s="1" t="n">
        <v>45878</v>
      </c>
      <c r="D1176" t="inlineStr">
        <is>
          <t>VÄSTERNORRLANDS LÄN</t>
        </is>
      </c>
      <c r="E1176" t="inlineStr">
        <is>
          <t>ÅNGE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31211-2025</t>
        </is>
      </c>
      <c r="B1177" s="1" t="n">
        <v>45832.71938657408</v>
      </c>
      <c r="C1177" s="1" t="n">
        <v>45878</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15032-2025</t>
        </is>
      </c>
      <c r="B1178" s="1" t="n">
        <v>45743.67748842593</v>
      </c>
      <c r="C1178" s="1" t="n">
        <v>45878</v>
      </c>
      <c r="D1178" t="inlineStr">
        <is>
          <t>VÄSTERNORRLANDS LÄN</t>
        </is>
      </c>
      <c r="E1178" t="inlineStr">
        <is>
          <t>ÅNGE</t>
        </is>
      </c>
      <c r="F1178" t="inlineStr">
        <is>
          <t>SCA</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7692-2024</t>
        </is>
      </c>
      <c r="B1179" s="1" t="n">
        <v>45349</v>
      </c>
      <c r="C1179" s="1" t="n">
        <v>45878</v>
      </c>
      <c r="D1179" t="inlineStr">
        <is>
          <t>VÄSTERNORRLANDS LÄN</t>
        </is>
      </c>
      <c r="E1179" t="inlineStr">
        <is>
          <t>ÅNGE</t>
        </is>
      </c>
      <c r="F1179" t="inlineStr">
        <is>
          <t>SCA</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29673-2024</t>
        </is>
      </c>
      <c r="B1180" s="1" t="n">
        <v>45484.94210648148</v>
      </c>
      <c r="C1180" s="1" t="n">
        <v>45878</v>
      </c>
      <c r="D1180" t="inlineStr">
        <is>
          <t>VÄSTERNORRLANDS LÄN</t>
        </is>
      </c>
      <c r="E1180" t="inlineStr">
        <is>
          <t>ÅNGE</t>
        </is>
      </c>
      <c r="F1180" t="inlineStr">
        <is>
          <t>SCA</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5602-2025</t>
        </is>
      </c>
      <c r="B1181" s="1" t="n">
        <v>45693</v>
      </c>
      <c r="C1181" s="1" t="n">
        <v>45878</v>
      </c>
      <c r="D1181" t="inlineStr">
        <is>
          <t>VÄSTERNORRLANDS LÄN</t>
        </is>
      </c>
      <c r="E1181" t="inlineStr">
        <is>
          <t>ÅNGE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30751-2024</t>
        </is>
      </c>
      <c r="B1182" s="1" t="n">
        <v>45496.69339120371</v>
      </c>
      <c r="C1182" s="1" t="n">
        <v>45878</v>
      </c>
      <c r="D1182" t="inlineStr">
        <is>
          <t>VÄSTERNORRLANDS LÄN</t>
        </is>
      </c>
      <c r="E1182" t="inlineStr">
        <is>
          <t>ÅNGE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38099-2024</t>
        </is>
      </c>
      <c r="B1183" s="1" t="n">
        <v>45545.35920138889</v>
      </c>
      <c r="C1183" s="1" t="n">
        <v>45878</v>
      </c>
      <c r="D1183" t="inlineStr">
        <is>
          <t>VÄSTERNORRLANDS LÄN</t>
        </is>
      </c>
      <c r="E1183" t="inlineStr">
        <is>
          <t>ÅNGE</t>
        </is>
      </c>
      <c r="F1183" t="inlineStr">
        <is>
          <t>Holmen skog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27002-2023</t>
        </is>
      </c>
      <c r="B1184" s="1" t="n">
        <v>45093</v>
      </c>
      <c r="C1184" s="1" t="n">
        <v>45878</v>
      </c>
      <c r="D1184" t="inlineStr">
        <is>
          <t>VÄSTERNORRLANDS LÄN</t>
        </is>
      </c>
      <c r="E1184" t="inlineStr">
        <is>
          <t>ÅNGE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44636-2024</t>
        </is>
      </c>
      <c r="B1185" s="1" t="n">
        <v>45574.51491898148</v>
      </c>
      <c r="C1185" s="1" t="n">
        <v>45878</v>
      </c>
      <c r="D1185" t="inlineStr">
        <is>
          <t>VÄSTERNORRLANDS LÄN</t>
        </is>
      </c>
      <c r="E1185" t="inlineStr">
        <is>
          <t>ÅNGE</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36740-2025</t>
        </is>
      </c>
      <c r="B1186" s="1" t="n">
        <v>45873.53237268519</v>
      </c>
      <c r="C1186" s="1" t="n">
        <v>45878</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30618-2025</t>
        </is>
      </c>
      <c r="B1187" s="1" t="n">
        <v>45831.46909722222</v>
      </c>
      <c r="C1187" s="1" t="n">
        <v>45878</v>
      </c>
      <c r="D1187" t="inlineStr">
        <is>
          <t>VÄSTERNORRLANDS LÄN</t>
        </is>
      </c>
      <c r="E1187" t="inlineStr">
        <is>
          <t>ÅNGE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64375-2023</t>
        </is>
      </c>
      <c r="B1188" s="1" t="n">
        <v>45280</v>
      </c>
      <c r="C1188" s="1" t="n">
        <v>45878</v>
      </c>
      <c r="D1188" t="inlineStr">
        <is>
          <t>VÄSTERNORRLANDS LÄN</t>
        </is>
      </c>
      <c r="E1188" t="inlineStr">
        <is>
          <t>ÅNGE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31188-2025</t>
        </is>
      </c>
      <c r="B1189" s="1" t="n">
        <v>45832.67842592593</v>
      </c>
      <c r="C1189" s="1" t="n">
        <v>45878</v>
      </c>
      <c r="D1189" t="inlineStr">
        <is>
          <t>VÄSTERNORRLANDS LÄN</t>
        </is>
      </c>
      <c r="E1189" t="inlineStr">
        <is>
          <t>ÅNGE</t>
        </is>
      </c>
      <c r="F1189" t="inlineStr">
        <is>
          <t>SCA</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31042-2025</t>
        </is>
      </c>
      <c r="B1190" s="1" t="n">
        <v>45832.55267361111</v>
      </c>
      <c r="C1190" s="1" t="n">
        <v>45878</v>
      </c>
      <c r="D1190" t="inlineStr">
        <is>
          <t>VÄSTERNORRLANDS LÄN</t>
        </is>
      </c>
      <c r="E1190" t="inlineStr">
        <is>
          <t>ÅNGE</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31135-2025</t>
        </is>
      </c>
      <c r="B1191" s="1" t="n">
        <v>45832.63581018519</v>
      </c>
      <c r="C1191" s="1" t="n">
        <v>45878</v>
      </c>
      <c r="D1191" t="inlineStr">
        <is>
          <t>VÄSTERNORRLANDS LÄN</t>
        </is>
      </c>
      <c r="E1191" t="inlineStr">
        <is>
          <t>ÅNGE</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30892-2025</t>
        </is>
      </c>
      <c r="B1192" s="1" t="n">
        <v>45832.34663194444</v>
      </c>
      <c r="C1192" s="1" t="n">
        <v>45878</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60296-2021</t>
        </is>
      </c>
      <c r="B1193" s="1" t="n">
        <v>44495</v>
      </c>
      <c r="C1193" s="1" t="n">
        <v>45878</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30598-2025</t>
        </is>
      </c>
      <c r="B1194" s="1" t="n">
        <v>45831.44834490741</v>
      </c>
      <c r="C1194" s="1" t="n">
        <v>45878</v>
      </c>
      <c r="D1194" t="inlineStr">
        <is>
          <t>VÄSTERNORRLANDS LÄN</t>
        </is>
      </c>
      <c r="E1194" t="inlineStr">
        <is>
          <t>ÅNGE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26092-2025</t>
        </is>
      </c>
      <c r="B1195" s="1" t="n">
        <v>45805</v>
      </c>
      <c r="C1195" s="1" t="n">
        <v>45878</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63556-2021</t>
        </is>
      </c>
      <c r="B1196" s="1" t="n">
        <v>44508.70231481481</v>
      </c>
      <c r="C1196" s="1" t="n">
        <v>45878</v>
      </c>
      <c r="D1196" t="inlineStr">
        <is>
          <t>VÄSTERNORRLANDS LÄN</t>
        </is>
      </c>
      <c r="E1196" t="inlineStr">
        <is>
          <t>ÅNGE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10922-2024</t>
        </is>
      </c>
      <c r="B1197" s="1" t="n">
        <v>45370</v>
      </c>
      <c r="C1197" s="1" t="n">
        <v>45878</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36873-2025</t>
        </is>
      </c>
      <c r="B1198" s="1" t="n">
        <v>45874.42935185185</v>
      </c>
      <c r="C1198" s="1" t="n">
        <v>45878</v>
      </c>
      <c r="D1198" t="inlineStr">
        <is>
          <t>VÄSTERNORRLANDS LÄN</t>
        </is>
      </c>
      <c r="E1198" t="inlineStr">
        <is>
          <t>ÅNGE</t>
        </is>
      </c>
      <c r="F1198" t="inlineStr">
        <is>
          <t>SCA</t>
        </is>
      </c>
      <c r="G1198" t="n">
        <v>16.9</v>
      </c>
      <c r="H1198" t="n">
        <v>0</v>
      </c>
      <c r="I1198" t="n">
        <v>0</v>
      </c>
      <c r="J1198" t="n">
        <v>0</v>
      </c>
      <c r="K1198" t="n">
        <v>0</v>
      </c>
      <c r="L1198" t="n">
        <v>0</v>
      </c>
      <c r="M1198" t="n">
        <v>0</v>
      </c>
      <c r="N1198" t="n">
        <v>0</v>
      </c>
      <c r="O1198" t="n">
        <v>0</v>
      </c>
      <c r="P1198" t="n">
        <v>0</v>
      </c>
      <c r="Q1198" t="n">
        <v>0</v>
      </c>
      <c r="R1198" s="2" t="inlineStr"/>
    </row>
    <row r="1199" ht="15" customHeight="1">
      <c r="A1199" t="inlineStr">
        <is>
          <t>A 31041-2025</t>
        </is>
      </c>
      <c r="B1199" s="1" t="n">
        <v>45832.55247685185</v>
      </c>
      <c r="C1199" s="1" t="n">
        <v>45878</v>
      </c>
      <c r="D1199" t="inlineStr">
        <is>
          <t>VÄSTERNORRLANDS LÄN</t>
        </is>
      </c>
      <c r="E1199" t="inlineStr">
        <is>
          <t>ÅNGE</t>
        </is>
      </c>
      <c r="F1199" t="inlineStr">
        <is>
          <t>SCA</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21089-2024</t>
        </is>
      </c>
      <c r="B1200" s="1" t="n">
        <v>45439.94987268518</v>
      </c>
      <c r="C1200" s="1" t="n">
        <v>45878</v>
      </c>
      <c r="D1200" t="inlineStr">
        <is>
          <t>VÄSTERNORRLANDS LÄN</t>
        </is>
      </c>
      <c r="E1200" t="inlineStr">
        <is>
          <t>ÅNGE</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31139-2025</t>
        </is>
      </c>
      <c r="B1201" s="1" t="n">
        <v>45832.63633101852</v>
      </c>
      <c r="C1201" s="1" t="n">
        <v>45878</v>
      </c>
      <c r="D1201" t="inlineStr">
        <is>
          <t>VÄSTERNORRLANDS LÄN</t>
        </is>
      </c>
      <c r="E1201" t="inlineStr">
        <is>
          <t>ÅNGE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64950-2023</t>
        </is>
      </c>
      <c r="B1202" s="1" t="n">
        <v>45282</v>
      </c>
      <c r="C1202" s="1" t="n">
        <v>45878</v>
      </c>
      <c r="D1202" t="inlineStr">
        <is>
          <t>VÄSTERNORRLANDS LÄN</t>
        </is>
      </c>
      <c r="E1202" t="inlineStr">
        <is>
          <t>ÅNGE</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30877-2025</t>
        </is>
      </c>
      <c r="B1203" s="1" t="n">
        <v>45832.34478009259</v>
      </c>
      <c r="C1203" s="1" t="n">
        <v>45878</v>
      </c>
      <c r="D1203" t="inlineStr">
        <is>
          <t>VÄSTERNORRLANDS LÄN</t>
        </is>
      </c>
      <c r="E1203" t="inlineStr">
        <is>
          <t>ÅNGE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20393-2022</t>
        </is>
      </c>
      <c r="B1204" s="1" t="n">
        <v>44699</v>
      </c>
      <c r="C1204" s="1" t="n">
        <v>45878</v>
      </c>
      <c r="D1204" t="inlineStr">
        <is>
          <t>VÄSTERNORRLANDS LÄN</t>
        </is>
      </c>
      <c r="E1204" t="inlineStr">
        <is>
          <t>ÅNGE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36735-2025</t>
        </is>
      </c>
      <c r="B1205" s="1" t="n">
        <v>45873.52310185185</v>
      </c>
      <c r="C1205" s="1" t="n">
        <v>45878</v>
      </c>
      <c r="D1205" t="inlineStr">
        <is>
          <t>VÄSTERNORRLANDS LÄN</t>
        </is>
      </c>
      <c r="E1205" t="inlineStr">
        <is>
          <t>ÅNGE</t>
        </is>
      </c>
      <c r="F1205" t="inlineStr">
        <is>
          <t>Övriga Aktiebolag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36674-2025</t>
        </is>
      </c>
      <c r="B1206" s="1" t="n">
        <v>45873.3930787037</v>
      </c>
      <c r="C1206" s="1" t="n">
        <v>45878</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36723-2025</t>
        </is>
      </c>
      <c r="B1207" s="1" t="n">
        <v>45873.47770833333</v>
      </c>
      <c r="C1207" s="1" t="n">
        <v>45878</v>
      </c>
      <c r="D1207" t="inlineStr">
        <is>
          <t>VÄSTERNORRLANDS LÄN</t>
        </is>
      </c>
      <c r="E1207" t="inlineStr">
        <is>
          <t>ÅNGE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4727-2023</t>
        </is>
      </c>
      <c r="B1208" s="1" t="n">
        <v>44953</v>
      </c>
      <c r="C1208" s="1" t="n">
        <v>45878</v>
      </c>
      <c r="D1208" t="inlineStr">
        <is>
          <t>VÄSTERNORRLANDS LÄN</t>
        </is>
      </c>
      <c r="E1208" t="inlineStr">
        <is>
          <t>ÅNGE</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30888-2025</t>
        </is>
      </c>
      <c r="B1209" s="1" t="n">
        <v>45832.34606481482</v>
      </c>
      <c r="C1209" s="1" t="n">
        <v>45878</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35650-2024</t>
        </is>
      </c>
      <c r="B1210" s="1" t="n">
        <v>45532.34123842593</v>
      </c>
      <c r="C1210" s="1" t="n">
        <v>45878</v>
      </c>
      <c r="D1210" t="inlineStr">
        <is>
          <t>VÄSTERNORRLANDS LÄN</t>
        </is>
      </c>
      <c r="E1210" t="inlineStr">
        <is>
          <t>ÅNGE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3357-2024</t>
        </is>
      </c>
      <c r="B1211" s="1" t="n">
        <v>45317</v>
      </c>
      <c r="C1211" s="1" t="n">
        <v>45878</v>
      </c>
      <c r="D1211" t="inlineStr">
        <is>
          <t>VÄSTERNORRLANDS LÄN</t>
        </is>
      </c>
      <c r="E1211" t="inlineStr">
        <is>
          <t>ÅNGE</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46332-2023</t>
        </is>
      </c>
      <c r="B1212" s="1" t="n">
        <v>45196</v>
      </c>
      <c r="C1212" s="1" t="n">
        <v>45878</v>
      </c>
      <c r="D1212" t="inlineStr">
        <is>
          <t>VÄSTERNORRLANDS LÄN</t>
        </is>
      </c>
      <c r="E1212" t="inlineStr">
        <is>
          <t>ÅNGE</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37233-2025</t>
        </is>
      </c>
      <c r="B1213" s="1" t="n">
        <v>45876.34474537037</v>
      </c>
      <c r="C1213" s="1" t="n">
        <v>45878</v>
      </c>
      <c r="D1213" t="inlineStr">
        <is>
          <t>VÄSTERNORRLANDS LÄN</t>
        </is>
      </c>
      <c r="E1213" t="inlineStr">
        <is>
          <t>ÅNGE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37275-2025</t>
        </is>
      </c>
      <c r="B1214" s="1" t="n">
        <v>45876.49003472222</v>
      </c>
      <c r="C1214" s="1" t="n">
        <v>45878</v>
      </c>
      <c r="D1214" t="inlineStr">
        <is>
          <t>VÄSTERNORRLANDS LÄN</t>
        </is>
      </c>
      <c r="E1214" t="inlineStr">
        <is>
          <t>ÅNGE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34228-2025</t>
        </is>
      </c>
      <c r="B1215" s="1" t="n">
        <v>45845.65704861111</v>
      </c>
      <c r="C1215" s="1" t="n">
        <v>45878</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31275-2025</t>
        </is>
      </c>
      <c r="B1216" s="1" t="n">
        <v>45833.34459490741</v>
      </c>
      <c r="C1216" s="1" t="n">
        <v>45878</v>
      </c>
      <c r="D1216" t="inlineStr">
        <is>
          <t>VÄSTERNORRLANDS LÄN</t>
        </is>
      </c>
      <c r="E1216" t="inlineStr">
        <is>
          <t>ÅNGE</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64945-2023</t>
        </is>
      </c>
      <c r="B1217" s="1" t="n">
        <v>45282.94668981482</v>
      </c>
      <c r="C1217" s="1" t="n">
        <v>45878</v>
      </c>
      <c r="D1217" t="inlineStr">
        <is>
          <t>VÄSTERNORRLANDS LÄN</t>
        </is>
      </c>
      <c r="E1217" t="inlineStr">
        <is>
          <t>ÅNGE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37303-2025</t>
        </is>
      </c>
      <c r="B1218" s="1" t="n">
        <v>45876.59445601852</v>
      </c>
      <c r="C1218" s="1" t="n">
        <v>45878</v>
      </c>
      <c r="D1218" t="inlineStr">
        <is>
          <t>VÄSTERNORRLANDS LÄN</t>
        </is>
      </c>
      <c r="E1218" t="inlineStr">
        <is>
          <t>ÅNGE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37045-2025</t>
        </is>
      </c>
      <c r="B1219" s="1" t="n">
        <v>45875.34451388889</v>
      </c>
      <c r="C1219" s="1" t="n">
        <v>45878</v>
      </c>
      <c r="D1219" t="inlineStr">
        <is>
          <t>VÄSTERNORRLANDS LÄN</t>
        </is>
      </c>
      <c r="E1219" t="inlineStr">
        <is>
          <t>ÅNGE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31452-2025</t>
        </is>
      </c>
      <c r="B1220" s="1" t="n">
        <v>45833.53179398148</v>
      </c>
      <c r="C1220" s="1" t="n">
        <v>45878</v>
      </c>
      <c r="D1220" t="inlineStr">
        <is>
          <t>VÄSTERNORRLANDS LÄN</t>
        </is>
      </c>
      <c r="E1220" t="inlineStr">
        <is>
          <t>ÅNGE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37047-2025</t>
        </is>
      </c>
      <c r="B1221" s="1" t="n">
        <v>45875.34489583333</v>
      </c>
      <c r="C1221" s="1" t="n">
        <v>45878</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31544-2025</t>
        </is>
      </c>
      <c r="B1222" s="1" t="n">
        <v>45833.63597222222</v>
      </c>
      <c r="C1222" s="1" t="n">
        <v>45878</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31646-2025</t>
        </is>
      </c>
      <c r="B1223" s="1" t="n">
        <v>45834.34563657407</v>
      </c>
      <c r="C1223" s="1" t="n">
        <v>45878</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31484-2025</t>
        </is>
      </c>
      <c r="B1224" s="1" t="n">
        <v>45833.57418981481</v>
      </c>
      <c r="C1224" s="1" t="n">
        <v>45878</v>
      </c>
      <c r="D1224" t="inlineStr">
        <is>
          <t>VÄSTERNORRLANDS LÄN</t>
        </is>
      </c>
      <c r="E1224" t="inlineStr">
        <is>
          <t>ÅNGE</t>
        </is>
      </c>
      <c r="F1224" t="inlineStr">
        <is>
          <t>SCA</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37177-2025</t>
        </is>
      </c>
      <c r="B1225" s="1" t="n">
        <v>45875.61539351852</v>
      </c>
      <c r="C1225" s="1" t="n">
        <v>45878</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37108-2025</t>
        </is>
      </c>
      <c r="B1226" s="1" t="n">
        <v>45875.48835648148</v>
      </c>
      <c r="C1226" s="1" t="n">
        <v>45878</v>
      </c>
      <c r="D1226" t="inlineStr">
        <is>
          <t>VÄSTERNORRLANDS LÄN</t>
        </is>
      </c>
      <c r="E1226" t="inlineStr">
        <is>
          <t>ÅNGE</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23018-2021</t>
        </is>
      </c>
      <c r="B1227" s="1" t="n">
        <v>44328</v>
      </c>
      <c r="C1227" s="1" t="n">
        <v>45878</v>
      </c>
      <c r="D1227" t="inlineStr">
        <is>
          <t>VÄSTERNORRLANDS LÄN</t>
        </is>
      </c>
      <c r="E1227" t="inlineStr">
        <is>
          <t>ÅNGE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31866-2024</t>
        </is>
      </c>
      <c r="B1228" s="1" t="n">
        <v>45509</v>
      </c>
      <c r="C1228" s="1" t="n">
        <v>45878</v>
      </c>
      <c r="D1228" t="inlineStr">
        <is>
          <t>VÄSTERNORRLANDS LÄN</t>
        </is>
      </c>
      <c r="E1228" t="inlineStr">
        <is>
          <t>ÅNGE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31867-2024</t>
        </is>
      </c>
      <c r="B1229" s="1" t="n">
        <v>45509</v>
      </c>
      <c r="C1229" s="1" t="n">
        <v>45878</v>
      </c>
      <c r="D1229" t="inlineStr">
        <is>
          <t>VÄSTERNORRLANDS LÄN</t>
        </is>
      </c>
      <c r="E1229" t="inlineStr">
        <is>
          <t>ÅNGE</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31642-2025</t>
        </is>
      </c>
      <c r="B1230" s="1" t="n">
        <v>45834.34474537037</v>
      </c>
      <c r="C1230" s="1" t="n">
        <v>45878</v>
      </c>
      <c r="D1230" t="inlineStr">
        <is>
          <t>VÄSTERNORRLANDS LÄN</t>
        </is>
      </c>
      <c r="E1230" t="inlineStr">
        <is>
          <t>ÅNGE</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39178-2024</t>
        </is>
      </c>
      <c r="B1231" s="1" t="n">
        <v>45548.65692129629</v>
      </c>
      <c r="C1231" s="1" t="n">
        <v>45878</v>
      </c>
      <c r="D1231" t="inlineStr">
        <is>
          <t>VÄSTERNORRLANDS LÄN</t>
        </is>
      </c>
      <c r="E1231" t="inlineStr">
        <is>
          <t>ÅNGE</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31666-2025</t>
        </is>
      </c>
      <c r="B1232" s="1" t="n">
        <v>45834.36519675926</v>
      </c>
      <c r="C1232" s="1" t="n">
        <v>45878</v>
      </c>
      <c r="D1232" t="inlineStr">
        <is>
          <t>VÄSTERNORRLANDS LÄN</t>
        </is>
      </c>
      <c r="E1232" t="inlineStr">
        <is>
          <t>ÅNGE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29193-2024</t>
        </is>
      </c>
      <c r="B1233" s="1" t="n">
        <v>45482.56510416666</v>
      </c>
      <c r="C1233" s="1" t="n">
        <v>45878</v>
      </c>
      <c r="D1233" t="inlineStr">
        <is>
          <t>VÄSTERNORRLANDS LÄN</t>
        </is>
      </c>
      <c r="E1233" t="inlineStr">
        <is>
          <t>ÅNGE</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42040-2024</t>
        </is>
      </c>
      <c r="B1234" s="1" t="n">
        <v>45561.80983796297</v>
      </c>
      <c r="C1234" s="1" t="n">
        <v>45878</v>
      </c>
      <c r="D1234" t="inlineStr">
        <is>
          <t>VÄSTERNORRLANDS LÄN</t>
        </is>
      </c>
      <c r="E1234" t="inlineStr">
        <is>
          <t>ÅNGE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34691-2024</t>
        </is>
      </c>
      <c r="B1235" s="1" t="n">
        <v>45526.54516203704</v>
      </c>
      <c r="C1235" s="1" t="n">
        <v>45878</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54210-2024</t>
        </is>
      </c>
      <c r="B1236" s="1" t="n">
        <v>45616.65662037037</v>
      </c>
      <c r="C1236" s="1" t="n">
        <v>45878</v>
      </c>
      <c r="D1236" t="inlineStr">
        <is>
          <t>VÄSTERNORRLANDS LÄN</t>
        </is>
      </c>
      <c r="E1236" t="inlineStr">
        <is>
          <t>ÅNGE</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52805-2024</t>
        </is>
      </c>
      <c r="B1237" s="1" t="n">
        <v>45610.57344907407</v>
      </c>
      <c r="C1237" s="1" t="n">
        <v>45878</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61577-2023</t>
        </is>
      </c>
      <c r="B1238" s="1" t="n">
        <v>45265.47366898148</v>
      </c>
      <c r="C1238" s="1" t="n">
        <v>45878</v>
      </c>
      <c r="D1238" t="inlineStr">
        <is>
          <t>VÄSTERNORRLANDS LÄN</t>
        </is>
      </c>
      <c r="E1238" t="inlineStr">
        <is>
          <t>ÅNGE</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1735-2025</t>
        </is>
      </c>
      <c r="B1239" s="1" t="n">
        <v>45671.38594907407</v>
      </c>
      <c r="C1239" s="1" t="n">
        <v>45878</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45939-2023</t>
        </is>
      </c>
      <c r="B1240" s="1" t="n">
        <v>45195.94578703704</v>
      </c>
      <c r="C1240" s="1" t="n">
        <v>45878</v>
      </c>
      <c r="D1240" t="inlineStr">
        <is>
          <t>VÄSTERNORRLANDS LÄN</t>
        </is>
      </c>
      <c r="E1240" t="inlineStr">
        <is>
          <t>ÅNGE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61585-2022</t>
        </is>
      </c>
      <c r="B1241" s="1" t="n">
        <v>44916.63380787037</v>
      </c>
      <c r="C1241" s="1" t="n">
        <v>45878</v>
      </c>
      <c r="D1241" t="inlineStr">
        <is>
          <t>VÄSTERNORRLANDS LÄN</t>
        </is>
      </c>
      <c r="E1241" t="inlineStr">
        <is>
          <t>ÅNGE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3574-2025</t>
        </is>
      </c>
      <c r="B1242" s="1" t="n">
        <v>45680.71916666667</v>
      </c>
      <c r="C1242" s="1" t="n">
        <v>45878</v>
      </c>
      <c r="D1242" t="inlineStr">
        <is>
          <t>VÄSTERNORRLANDS LÄN</t>
        </is>
      </c>
      <c r="E1242" t="inlineStr">
        <is>
          <t>ÅNGE</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29048-2021</t>
        </is>
      </c>
      <c r="B1243" s="1" t="n">
        <v>44358</v>
      </c>
      <c r="C1243" s="1" t="n">
        <v>45878</v>
      </c>
      <c r="D1243" t="inlineStr">
        <is>
          <t>VÄSTERNORRLANDS LÄN</t>
        </is>
      </c>
      <c r="E1243" t="inlineStr">
        <is>
          <t>ÅNGE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3022-2023</t>
        </is>
      </c>
      <c r="B1244" s="1" t="n">
        <v>44945</v>
      </c>
      <c r="C1244" s="1" t="n">
        <v>45878</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39021-2024</t>
        </is>
      </c>
      <c r="B1245" s="1" t="n">
        <v>45548</v>
      </c>
      <c r="C1245" s="1" t="n">
        <v>45878</v>
      </c>
      <c r="D1245" t="inlineStr">
        <is>
          <t>VÄSTERNORRLANDS LÄN</t>
        </is>
      </c>
      <c r="E1245" t="inlineStr">
        <is>
          <t>ÅNGE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13875-2022</t>
        </is>
      </c>
      <c r="B1246" s="1" t="n">
        <v>44649</v>
      </c>
      <c r="C1246" s="1" t="n">
        <v>45878</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52637-2020</t>
        </is>
      </c>
      <c r="B1247" s="1" t="n">
        <v>44118</v>
      </c>
      <c r="C1247" s="1" t="n">
        <v>45878</v>
      </c>
      <c r="D1247" t="inlineStr">
        <is>
          <t>VÄSTERNORRLANDS LÄN</t>
        </is>
      </c>
      <c r="E1247" t="inlineStr">
        <is>
          <t>ÅNGE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4876-2023</t>
        </is>
      </c>
      <c r="B1248" s="1" t="n">
        <v>44957.94023148148</v>
      </c>
      <c r="C1248" s="1" t="n">
        <v>45878</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3362-2023</t>
        </is>
      </c>
      <c r="B1249" s="1" t="n">
        <v>44945</v>
      </c>
      <c r="C1249" s="1" t="n">
        <v>45878</v>
      </c>
      <c r="D1249" t="inlineStr">
        <is>
          <t>VÄSTERNORRLANDS LÄN</t>
        </is>
      </c>
      <c r="E1249" t="inlineStr">
        <is>
          <t>ÅNGE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44415-2021</t>
        </is>
      </c>
      <c r="B1250" s="1" t="n">
        <v>44435</v>
      </c>
      <c r="C1250" s="1" t="n">
        <v>45878</v>
      </c>
      <c r="D1250" t="inlineStr">
        <is>
          <t>VÄSTERNORRLANDS LÄN</t>
        </is>
      </c>
      <c r="E1250" t="inlineStr">
        <is>
          <t>ÅNGE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5455-2023</t>
        </is>
      </c>
      <c r="B1251" s="1" t="n">
        <v>44959.93983796296</v>
      </c>
      <c r="C1251" s="1" t="n">
        <v>45878</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59986-2021</t>
        </is>
      </c>
      <c r="B1252" s="1" t="n">
        <v>44494</v>
      </c>
      <c r="C1252" s="1" t="n">
        <v>45878</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50235-2021</t>
        </is>
      </c>
      <c r="B1253" s="1" t="n">
        <v>44457</v>
      </c>
      <c r="C1253" s="1" t="n">
        <v>45878</v>
      </c>
      <c r="D1253" t="inlineStr">
        <is>
          <t>VÄSTERNORRLANDS LÄN</t>
        </is>
      </c>
      <c r="E1253" t="inlineStr">
        <is>
          <t>ÅNGE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47950-2024</t>
        </is>
      </c>
      <c r="B1254" s="1" t="n">
        <v>45589.36511574074</v>
      </c>
      <c r="C1254" s="1" t="n">
        <v>45878</v>
      </c>
      <c r="D1254" t="inlineStr">
        <is>
          <t>VÄSTERNORRLANDS LÄN</t>
        </is>
      </c>
      <c r="E1254" t="inlineStr">
        <is>
          <t>ÅNGE</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11299-2023</t>
        </is>
      </c>
      <c r="B1255" s="1" t="n">
        <v>44993.01074074074</v>
      </c>
      <c r="C1255" s="1" t="n">
        <v>45878</v>
      </c>
      <c r="D1255" t="inlineStr">
        <is>
          <t>VÄSTERNORRLANDS LÄN</t>
        </is>
      </c>
      <c r="E1255" t="inlineStr">
        <is>
          <t>ÅNGE</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11309-2023</t>
        </is>
      </c>
      <c r="B1256" s="1" t="n">
        <v>44993.0118287037</v>
      </c>
      <c r="C1256" s="1" t="n">
        <v>45878</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62834-2021</t>
        </is>
      </c>
      <c r="B1257" s="1" t="n">
        <v>44503</v>
      </c>
      <c r="C1257" s="1" t="n">
        <v>45878</v>
      </c>
      <c r="D1257" t="inlineStr">
        <is>
          <t>VÄSTERNORRLANDS LÄN</t>
        </is>
      </c>
      <c r="E1257" t="inlineStr">
        <is>
          <t>ÅNGE</t>
        </is>
      </c>
      <c r="F1257" t="inlineStr">
        <is>
          <t>Övriga statliga verk och myndigheter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10557-2023</t>
        </is>
      </c>
      <c r="B1258" s="1" t="n">
        <v>44987</v>
      </c>
      <c r="C1258" s="1" t="n">
        <v>45878</v>
      </c>
      <c r="D1258" t="inlineStr">
        <is>
          <t>VÄSTERNORRLANDS LÄN</t>
        </is>
      </c>
      <c r="E1258" t="inlineStr">
        <is>
          <t>ÅNGE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8418-2023</t>
        </is>
      </c>
      <c r="B1259" s="1" t="n">
        <v>44971</v>
      </c>
      <c r="C1259" s="1" t="n">
        <v>45878</v>
      </c>
      <c r="D1259" t="inlineStr">
        <is>
          <t>VÄSTERNORRLANDS LÄN</t>
        </is>
      </c>
      <c r="E1259" t="inlineStr">
        <is>
          <t>ÅNGE</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4006-2022</t>
        </is>
      </c>
      <c r="B1260" s="1" t="n">
        <v>44587.92019675926</v>
      </c>
      <c r="C1260" s="1" t="n">
        <v>45878</v>
      </c>
      <c r="D1260" t="inlineStr">
        <is>
          <t>VÄSTERNORRLANDS LÄN</t>
        </is>
      </c>
      <c r="E1260" t="inlineStr">
        <is>
          <t>ÅNGE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48725-2024</t>
        </is>
      </c>
      <c r="B1261" s="1" t="n">
        <v>45593.55793981482</v>
      </c>
      <c r="C1261" s="1" t="n">
        <v>45878</v>
      </c>
      <c r="D1261" t="inlineStr">
        <is>
          <t>VÄSTERNORRLANDS LÄN</t>
        </is>
      </c>
      <c r="E1261" t="inlineStr">
        <is>
          <t>ÅNGE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48988-2021</t>
        </is>
      </c>
      <c r="B1262" s="1" t="n">
        <v>44453.43</v>
      </c>
      <c r="C1262" s="1" t="n">
        <v>45878</v>
      </c>
      <c r="D1262" t="inlineStr">
        <is>
          <t>VÄSTERNORRLANDS LÄN</t>
        </is>
      </c>
      <c r="E1262" t="inlineStr">
        <is>
          <t>ÅNGE</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1886-2024</t>
        </is>
      </c>
      <c r="B1263" s="1" t="n">
        <v>45307.96335648148</v>
      </c>
      <c r="C1263" s="1" t="n">
        <v>45878</v>
      </c>
      <c r="D1263" t="inlineStr">
        <is>
          <t>VÄSTERNORRLANDS LÄN</t>
        </is>
      </c>
      <c r="E1263" t="inlineStr">
        <is>
          <t>ÅNGE</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44979-2023</t>
        </is>
      </c>
      <c r="B1264" s="1" t="n">
        <v>45190.95752314815</v>
      </c>
      <c r="C1264" s="1" t="n">
        <v>45878</v>
      </c>
      <c r="D1264" t="inlineStr">
        <is>
          <t>VÄSTERNORRLANDS LÄN</t>
        </is>
      </c>
      <c r="E1264" t="inlineStr">
        <is>
          <t>ÅNGE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17923-2025</t>
        </is>
      </c>
      <c r="B1265" s="1" t="n">
        <v>45759.34415509259</v>
      </c>
      <c r="C1265" s="1" t="n">
        <v>45878</v>
      </c>
      <c r="D1265" t="inlineStr">
        <is>
          <t>VÄSTERNORRLANDS LÄN</t>
        </is>
      </c>
      <c r="E1265" t="inlineStr">
        <is>
          <t>ÅNGE</t>
        </is>
      </c>
      <c r="F1265" t="inlineStr">
        <is>
          <t>SCA</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1582-2025</t>
        </is>
      </c>
      <c r="B1266" s="1" t="n">
        <v>45670</v>
      </c>
      <c r="C1266" s="1" t="n">
        <v>45878</v>
      </c>
      <c r="D1266" t="inlineStr">
        <is>
          <t>VÄSTERNORRLANDS LÄN</t>
        </is>
      </c>
      <c r="E1266" t="inlineStr">
        <is>
          <t>ÅNGE</t>
        </is>
      </c>
      <c r="G1266" t="n">
        <v>7.3</v>
      </c>
      <c r="H1266" t="n">
        <v>0</v>
      </c>
      <c r="I1266" t="n">
        <v>0</v>
      </c>
      <c r="J1266" t="n">
        <v>0</v>
      </c>
      <c r="K1266" t="n">
        <v>0</v>
      </c>
      <c r="L1266" t="n">
        <v>0</v>
      </c>
      <c r="M1266" t="n">
        <v>0</v>
      </c>
      <c r="N1266" t="n">
        <v>0</v>
      </c>
      <c r="O1266" t="n">
        <v>0</v>
      </c>
      <c r="P1266" t="n">
        <v>0</v>
      </c>
      <c r="Q1266" t="n">
        <v>0</v>
      </c>
      <c r="R1266" s="2" t="inlineStr"/>
      <c r="U1266">
        <f>HYPERLINK("https://klasma.github.io/Logging_2260/knärot/A 1582-2025 karta knärot.png", "A 1582-2025")</f>
        <v/>
      </c>
      <c r="V1266">
        <f>HYPERLINK("https://klasma.github.io/Logging_2260/klagomål/A 1582-2025 FSC-klagomål.docx", "A 1582-2025")</f>
        <v/>
      </c>
      <c r="W1266">
        <f>HYPERLINK("https://klasma.github.io/Logging_2260/klagomålsmail/A 1582-2025 FSC-klagomål mail.docx", "A 1582-2025")</f>
        <v/>
      </c>
      <c r="X1266">
        <f>HYPERLINK("https://klasma.github.io/Logging_2260/tillsyn/A 1582-2025 tillsynsbegäran.docx", "A 1582-2025")</f>
        <v/>
      </c>
      <c r="Y1266">
        <f>HYPERLINK("https://klasma.github.io/Logging_2260/tillsynsmail/A 1582-2025 tillsynsbegäran mail.docx", "A 1582-2025")</f>
        <v/>
      </c>
    </row>
    <row r="1267" ht="15" customHeight="1">
      <c r="A1267" t="inlineStr">
        <is>
          <t>A 54908-2021</t>
        </is>
      </c>
      <c r="B1267" s="1" t="n">
        <v>44474.39769675926</v>
      </c>
      <c r="C1267" s="1" t="n">
        <v>45878</v>
      </c>
      <c r="D1267" t="inlineStr">
        <is>
          <t>VÄSTERNORRLANDS LÄN</t>
        </is>
      </c>
      <c r="E1267" t="inlineStr">
        <is>
          <t>ÅNGE</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27951-2021</t>
        </is>
      </c>
      <c r="B1268" s="1" t="n">
        <v>44354</v>
      </c>
      <c r="C1268" s="1" t="n">
        <v>45878</v>
      </c>
      <c r="D1268" t="inlineStr">
        <is>
          <t>VÄSTERNORRLANDS LÄN</t>
        </is>
      </c>
      <c r="E1268" t="inlineStr">
        <is>
          <t>ÅNGE</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22990-2024</t>
        </is>
      </c>
      <c r="B1269" s="1" t="n">
        <v>45449.94548611111</v>
      </c>
      <c r="C1269" s="1" t="n">
        <v>45878</v>
      </c>
      <c r="D1269" t="inlineStr">
        <is>
          <t>VÄSTERNORRLANDS LÄN</t>
        </is>
      </c>
      <c r="E1269" t="inlineStr">
        <is>
          <t>ÅNGE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39589-2022</t>
        </is>
      </c>
      <c r="B1270" s="1" t="n">
        <v>44818</v>
      </c>
      <c r="C1270" s="1" t="n">
        <v>45878</v>
      </c>
      <c r="D1270" t="inlineStr">
        <is>
          <t>VÄSTERNORRLANDS LÄN</t>
        </is>
      </c>
      <c r="E1270" t="inlineStr">
        <is>
          <t>ÅNGE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25320-2023</t>
        </is>
      </c>
      <c r="B1271" s="1" t="n">
        <v>45086.93929398148</v>
      </c>
      <c r="C1271" s="1" t="n">
        <v>45878</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24541-2023</t>
        </is>
      </c>
      <c r="B1272" s="1" t="n">
        <v>45082.94135416667</v>
      </c>
      <c r="C1272" s="1" t="n">
        <v>45878</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24552-2023</t>
        </is>
      </c>
      <c r="B1273" s="1" t="n">
        <v>45082.94226851852</v>
      </c>
      <c r="C1273" s="1" t="n">
        <v>45878</v>
      </c>
      <c r="D1273" t="inlineStr">
        <is>
          <t>VÄSTERNORRLANDS LÄN</t>
        </is>
      </c>
      <c r="E1273" t="inlineStr">
        <is>
          <t>ÅNGE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18542-2022</t>
        </is>
      </c>
      <c r="B1274" s="1" t="n">
        <v>44686</v>
      </c>
      <c r="C1274" s="1" t="n">
        <v>45878</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44600-2024</t>
        </is>
      </c>
      <c r="B1275" s="1" t="n">
        <v>45574.51113425926</v>
      </c>
      <c r="C1275" s="1" t="n">
        <v>45878</v>
      </c>
      <c r="D1275" t="inlineStr">
        <is>
          <t>VÄSTERNORRLANDS LÄN</t>
        </is>
      </c>
      <c r="E1275" t="inlineStr">
        <is>
          <t>ÅNGE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26013-2024</t>
        </is>
      </c>
      <c r="B1276" s="1" t="n">
        <v>45467</v>
      </c>
      <c r="C1276" s="1" t="n">
        <v>45878</v>
      </c>
      <c r="D1276" t="inlineStr">
        <is>
          <t>VÄSTERNORRLANDS LÄN</t>
        </is>
      </c>
      <c r="E1276" t="inlineStr">
        <is>
          <t>ÅNGE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25377-2024</t>
        </is>
      </c>
      <c r="B1277" s="1" t="n">
        <v>45462.96211805556</v>
      </c>
      <c r="C1277" s="1" t="n">
        <v>45878</v>
      </c>
      <c r="D1277" t="inlineStr">
        <is>
          <t>VÄSTERNORRLANDS LÄN</t>
        </is>
      </c>
      <c r="E1277" t="inlineStr">
        <is>
          <t>ÅNGE</t>
        </is>
      </c>
      <c r="F1277" t="inlineStr">
        <is>
          <t>SCA</t>
        </is>
      </c>
      <c r="G1277" t="n">
        <v>20.7</v>
      </c>
      <c r="H1277" t="n">
        <v>0</v>
      </c>
      <c r="I1277" t="n">
        <v>0</v>
      </c>
      <c r="J1277" t="n">
        <v>0</v>
      </c>
      <c r="K1277" t="n">
        <v>0</v>
      </c>
      <c r="L1277" t="n">
        <v>0</v>
      </c>
      <c r="M1277" t="n">
        <v>0</v>
      </c>
      <c r="N1277" t="n">
        <v>0</v>
      </c>
      <c r="O1277" t="n">
        <v>0</v>
      </c>
      <c r="P1277" t="n">
        <v>0</v>
      </c>
      <c r="Q1277" t="n">
        <v>0</v>
      </c>
      <c r="R1277" s="2" t="inlineStr"/>
    </row>
    <row r="1278" ht="15" customHeight="1">
      <c r="A1278" t="inlineStr">
        <is>
          <t>A 56956-2022</t>
        </is>
      </c>
      <c r="B1278" s="1" t="n">
        <v>44894</v>
      </c>
      <c r="C1278" s="1" t="n">
        <v>45878</v>
      </c>
      <c r="D1278" t="inlineStr">
        <is>
          <t>VÄSTERNORRLANDS LÄN</t>
        </is>
      </c>
      <c r="E1278" t="inlineStr">
        <is>
          <t>ÅNGE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5035-2025</t>
        </is>
      </c>
      <c r="B1279" s="1" t="n">
        <v>45691</v>
      </c>
      <c r="C1279" s="1" t="n">
        <v>45878</v>
      </c>
      <c r="D1279" t="inlineStr">
        <is>
          <t>VÄSTERNORRLANDS LÄN</t>
        </is>
      </c>
      <c r="E1279" t="inlineStr">
        <is>
          <t>ÅNGE</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4883-2023</t>
        </is>
      </c>
      <c r="B1280" s="1" t="n">
        <v>44957</v>
      </c>
      <c r="C1280" s="1" t="n">
        <v>45878</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8755-2022</t>
        </is>
      </c>
      <c r="B1281" s="1" t="n">
        <v>44614</v>
      </c>
      <c r="C1281" s="1" t="n">
        <v>45878</v>
      </c>
      <c r="D1281" t="inlineStr">
        <is>
          <t>VÄSTERNORRLANDS LÄN</t>
        </is>
      </c>
      <c r="E1281" t="inlineStr">
        <is>
          <t>ÅNGE</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30747-2024</t>
        </is>
      </c>
      <c r="B1282" s="1" t="n">
        <v>45496</v>
      </c>
      <c r="C1282" s="1" t="n">
        <v>45878</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58929-2024</t>
        </is>
      </c>
      <c r="B1283" s="1" t="n">
        <v>45636.51090277778</v>
      </c>
      <c r="C1283" s="1" t="n">
        <v>45878</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46254-2023</t>
        </is>
      </c>
      <c r="B1284" s="1" t="n">
        <v>45196</v>
      </c>
      <c r="C1284" s="1" t="n">
        <v>45878</v>
      </c>
      <c r="D1284" t="inlineStr">
        <is>
          <t>VÄSTERNORRLANDS LÄN</t>
        </is>
      </c>
      <c r="E1284" t="inlineStr">
        <is>
          <t>ÅNGE</t>
        </is>
      </c>
      <c r="F1284" t="inlineStr">
        <is>
          <t>SCA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46262-2023</t>
        </is>
      </c>
      <c r="B1285" s="1" t="n">
        <v>45196.93855324074</v>
      </c>
      <c r="C1285" s="1" t="n">
        <v>45878</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45027-2023</t>
        </is>
      </c>
      <c r="B1286" s="1" t="n">
        <v>45190.96303240741</v>
      </c>
      <c r="C1286" s="1" t="n">
        <v>45878</v>
      </c>
      <c r="D1286" t="inlineStr">
        <is>
          <t>VÄSTERNORRLANDS LÄN</t>
        </is>
      </c>
      <c r="E1286" t="inlineStr">
        <is>
          <t>ÅNGE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21409-2022</t>
        </is>
      </c>
      <c r="B1287" s="1" t="n">
        <v>44705.9406712963</v>
      </c>
      <c r="C1287" s="1" t="n">
        <v>45878</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55380-2024</t>
        </is>
      </c>
      <c r="B1288" s="1" t="n">
        <v>45622.28810185185</v>
      </c>
      <c r="C1288" s="1" t="n">
        <v>45878</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22678-2024</t>
        </is>
      </c>
      <c r="B1289" s="1" t="n">
        <v>45447.94533564815</v>
      </c>
      <c r="C1289" s="1" t="n">
        <v>45878</v>
      </c>
      <c r="D1289" t="inlineStr">
        <is>
          <t>VÄSTERNORRLANDS LÄN</t>
        </is>
      </c>
      <c r="E1289" t="inlineStr">
        <is>
          <t>ÅNGE</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10084-2023</t>
        </is>
      </c>
      <c r="B1290" s="1" t="n">
        <v>44985.94465277778</v>
      </c>
      <c r="C1290" s="1" t="n">
        <v>45878</v>
      </c>
      <c r="D1290" t="inlineStr">
        <is>
          <t>VÄSTERNORRLANDS LÄN</t>
        </is>
      </c>
      <c r="E1290" t="inlineStr">
        <is>
          <t>ÅNGE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47041-2020</t>
        </is>
      </c>
      <c r="B1291" s="1" t="n">
        <v>44091</v>
      </c>
      <c r="C1291" s="1" t="n">
        <v>45878</v>
      </c>
      <c r="D1291" t="inlineStr">
        <is>
          <t>VÄSTERNORRLANDS LÄN</t>
        </is>
      </c>
      <c r="E1291" t="inlineStr">
        <is>
          <t>ÅNGE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39991-2023</t>
        </is>
      </c>
      <c r="B1292" s="1" t="n">
        <v>45168.6043287037</v>
      </c>
      <c r="C1292" s="1" t="n">
        <v>45878</v>
      </c>
      <c r="D1292" t="inlineStr">
        <is>
          <t>VÄSTERNORRLANDS LÄN</t>
        </is>
      </c>
      <c r="E1292" t="inlineStr">
        <is>
          <t>ÅNGE</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15167-2025</t>
        </is>
      </c>
      <c r="B1293" s="1" t="n">
        <v>45744.49009259259</v>
      </c>
      <c r="C1293" s="1" t="n">
        <v>45878</v>
      </c>
      <c r="D1293" t="inlineStr">
        <is>
          <t>VÄSTERNORRLANDS LÄN</t>
        </is>
      </c>
      <c r="E1293" t="inlineStr">
        <is>
          <t>ÅNGE</t>
        </is>
      </c>
      <c r="F1293" t="inlineStr">
        <is>
          <t>SCA</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30556-2023</t>
        </is>
      </c>
      <c r="B1294" s="1" t="n">
        <v>45111.87935185185</v>
      </c>
      <c r="C1294" s="1" t="n">
        <v>45878</v>
      </c>
      <c r="D1294" t="inlineStr">
        <is>
          <t>VÄSTERNORRLANDS LÄN</t>
        </is>
      </c>
      <c r="E1294" t="inlineStr">
        <is>
          <t>ÅNGE</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5393-2025</t>
        </is>
      </c>
      <c r="B1295" s="1" t="n">
        <v>45692.63574074074</v>
      </c>
      <c r="C1295" s="1" t="n">
        <v>45878</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34971-2023</t>
        </is>
      </c>
      <c r="B1296" s="1" t="n">
        <v>45142.61635416667</v>
      </c>
      <c r="C1296" s="1" t="n">
        <v>45878</v>
      </c>
      <c r="D1296" t="inlineStr">
        <is>
          <t>VÄSTERNORRLANDS LÄN</t>
        </is>
      </c>
      <c r="E1296" t="inlineStr">
        <is>
          <t>ÅNGE</t>
        </is>
      </c>
      <c r="F1296" t="inlineStr">
        <is>
          <t>Sveaskog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9480-2022</t>
        </is>
      </c>
      <c r="B1297" s="1" t="n">
        <v>44616</v>
      </c>
      <c r="C1297" s="1" t="n">
        <v>45878</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18617-2024</t>
        </is>
      </c>
      <c r="B1298" s="1" t="n">
        <v>45425</v>
      </c>
      <c r="C1298" s="1" t="n">
        <v>45878</v>
      </c>
      <c r="D1298" t="inlineStr">
        <is>
          <t>VÄSTERNORRLANDS LÄN</t>
        </is>
      </c>
      <c r="E1298" t="inlineStr">
        <is>
          <t>ÅNGE</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8868-2023</t>
        </is>
      </c>
      <c r="B1299" s="1" t="n">
        <v>44978</v>
      </c>
      <c r="C1299" s="1" t="n">
        <v>45878</v>
      </c>
      <c r="D1299" t="inlineStr">
        <is>
          <t>VÄSTERNORRLANDS LÄN</t>
        </is>
      </c>
      <c r="E1299" t="inlineStr">
        <is>
          <t>ÅNGE</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10917-2024</t>
        </is>
      </c>
      <c r="B1300" s="1" t="n">
        <v>45370</v>
      </c>
      <c r="C1300" s="1" t="n">
        <v>45878</v>
      </c>
      <c r="D1300" t="inlineStr">
        <is>
          <t>VÄSTERNORRLANDS LÄN</t>
        </is>
      </c>
      <c r="E1300" t="inlineStr">
        <is>
          <t>ÅNGE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43775-2022</t>
        </is>
      </c>
      <c r="B1301" s="1" t="n">
        <v>44837.95053240741</v>
      </c>
      <c r="C1301" s="1" t="n">
        <v>45878</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27306-2024</t>
        </is>
      </c>
      <c r="B1302" s="1" t="n">
        <v>45471.94454861111</v>
      </c>
      <c r="C1302" s="1" t="n">
        <v>45878</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11396-2024</t>
        </is>
      </c>
      <c r="B1303" s="1" t="n">
        <v>45372</v>
      </c>
      <c r="C1303" s="1" t="n">
        <v>45878</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25680-2023</t>
        </is>
      </c>
      <c r="B1304" s="1" t="n">
        <v>45089</v>
      </c>
      <c r="C1304" s="1" t="n">
        <v>45878</v>
      </c>
      <c r="D1304" t="inlineStr">
        <is>
          <t>VÄSTERNORRLANDS LÄN</t>
        </is>
      </c>
      <c r="E1304" t="inlineStr">
        <is>
          <t>ÅNGE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59818-2024</t>
        </is>
      </c>
      <c r="B1305" s="1" t="n">
        <v>45639.63572916666</v>
      </c>
      <c r="C1305" s="1" t="n">
        <v>45878</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1769-2023</t>
        </is>
      </c>
      <c r="B1306" s="1" t="n">
        <v>44938.58025462963</v>
      </c>
      <c r="C1306" s="1" t="n">
        <v>45878</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1775-2023</t>
        </is>
      </c>
      <c r="B1307" s="1" t="n">
        <v>44938</v>
      </c>
      <c r="C1307" s="1" t="n">
        <v>45878</v>
      </c>
      <c r="D1307" t="inlineStr">
        <is>
          <t>VÄSTERNORRLANDS LÄN</t>
        </is>
      </c>
      <c r="E1307" t="inlineStr">
        <is>
          <t>ÅNGE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10878-2024</t>
        </is>
      </c>
      <c r="B1308" s="1" t="n">
        <v>45370</v>
      </c>
      <c r="C1308" s="1" t="n">
        <v>45878</v>
      </c>
      <c r="D1308" t="inlineStr">
        <is>
          <t>VÄSTERNORRLANDS LÄN</t>
        </is>
      </c>
      <c r="E1308" t="inlineStr">
        <is>
          <t>ÅNGE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19066-2024</t>
        </is>
      </c>
      <c r="B1309" s="1" t="n">
        <v>45427</v>
      </c>
      <c r="C1309" s="1" t="n">
        <v>45878</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3629-2023</t>
        </is>
      </c>
      <c r="B1310" s="1" t="n">
        <v>44950</v>
      </c>
      <c r="C1310" s="1" t="n">
        <v>45878</v>
      </c>
      <c r="D1310" t="inlineStr">
        <is>
          <t>VÄSTERNORRLANDS LÄN</t>
        </is>
      </c>
      <c r="E1310" t="inlineStr">
        <is>
          <t>ÅNGE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3631-2023</t>
        </is>
      </c>
      <c r="B1311" s="1" t="n">
        <v>44950</v>
      </c>
      <c r="C1311" s="1" t="n">
        <v>45878</v>
      </c>
      <c r="D1311" t="inlineStr">
        <is>
          <t>VÄSTERNORRLANDS LÄN</t>
        </is>
      </c>
      <c r="E1311" t="inlineStr">
        <is>
          <t>ÅNGE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31177-2024</t>
        </is>
      </c>
      <c r="B1312" s="1" t="n">
        <v>45503</v>
      </c>
      <c r="C1312" s="1" t="n">
        <v>45878</v>
      </c>
      <c r="D1312" t="inlineStr">
        <is>
          <t>VÄSTERNORRLANDS LÄN</t>
        </is>
      </c>
      <c r="E1312" t="inlineStr">
        <is>
          <t>ÅNGE</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50179-2024</t>
        </is>
      </c>
      <c r="B1313" s="1" t="n">
        <v>45600</v>
      </c>
      <c r="C1313" s="1" t="n">
        <v>45878</v>
      </c>
      <c r="D1313" t="inlineStr">
        <is>
          <t>VÄSTERNORRLANDS LÄN</t>
        </is>
      </c>
      <c r="E1313" t="inlineStr">
        <is>
          <t>ÅNGE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2140-2023</t>
        </is>
      </c>
      <c r="B1314" s="1" t="n">
        <v>44940</v>
      </c>
      <c r="C1314" s="1" t="n">
        <v>45878</v>
      </c>
      <c r="D1314" t="inlineStr">
        <is>
          <t>VÄSTERNORRLANDS LÄN</t>
        </is>
      </c>
      <c r="E1314" t="inlineStr">
        <is>
          <t>ÅNGE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30347-2024</t>
        </is>
      </c>
      <c r="B1315" s="1" t="n">
        <v>45490.95515046296</v>
      </c>
      <c r="C1315" s="1" t="n">
        <v>45878</v>
      </c>
      <c r="D1315" t="inlineStr">
        <is>
          <t>VÄSTERNORRLANDS LÄN</t>
        </is>
      </c>
      <c r="E1315" t="inlineStr">
        <is>
          <t>ÅNGE</t>
        </is>
      </c>
      <c r="F1315" t="inlineStr">
        <is>
          <t>SCA</t>
        </is>
      </c>
      <c r="G1315" t="n">
        <v>0.4</v>
      </c>
      <c r="H1315" t="n">
        <v>0</v>
      </c>
      <c r="I1315" t="n">
        <v>0</v>
      </c>
      <c r="J1315" t="n">
        <v>0</v>
      </c>
      <c r="K1315" t="n">
        <v>0</v>
      </c>
      <c r="L1315" t="n">
        <v>0</v>
      </c>
      <c r="M1315" t="n">
        <v>0</v>
      </c>
      <c r="N1315" t="n">
        <v>0</v>
      </c>
      <c r="O1315" t="n">
        <v>0</v>
      </c>
      <c r="P1315" t="n">
        <v>0</v>
      </c>
      <c r="Q1315" t="n">
        <v>0</v>
      </c>
      <c r="R1315" s="2" t="inlineStr"/>
    </row>
    <row r="1316">
      <c r="A1316" t="inlineStr">
        <is>
          <t>A 55177-2024</t>
        </is>
      </c>
      <c r="B1316" s="1" t="n">
        <v>45621.53179398148</v>
      </c>
      <c r="C1316" s="1" t="n">
        <v>45878</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2025-08-09T18:50:33Z</dcterms:created>
  <dcterms:modified xmlns:dcterms="http://purl.org/dc/terms/" xmlns:xsi="http://www.w3.org/2001/XMLSchema-instance" xsi:type="dcterms:W3CDTF">2025-08-09T18:50:34Z</dcterms:modified>
</cp:coreProperties>
</file>