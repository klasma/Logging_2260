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45337</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45337</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45337</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45337</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45337</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45337</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45337</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45337</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45337</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45337</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45337</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45337</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45337</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45337</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45337</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45337</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45337</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45337</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45337</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45337</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45337</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45337</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45337</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45337</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45337</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45337</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45337</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45337</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45337</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45337</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45337</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45337</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45337</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45337</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45337</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45337</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45337</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45337</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45337</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45337</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45337</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45337</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45337</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45337</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45337</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45337</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45337</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45337</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45337</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45337</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45337</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45337</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45337</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45337</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45337</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45337</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45337</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45337</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45337</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45337</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45337</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45337</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45337</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45337</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45337</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45337</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2427-2024</t>
        </is>
      </c>
      <c r="B68" s="1" t="n">
        <v>45310</v>
      </c>
      <c r="C68" s="1" t="n">
        <v>45337</v>
      </c>
      <c r="D68" t="inlineStr">
        <is>
          <t>VÄSTERNORRLANDS LÄN</t>
        </is>
      </c>
      <c r="E68" t="inlineStr">
        <is>
          <t>ÅNGE</t>
        </is>
      </c>
      <c r="F68" t="inlineStr">
        <is>
          <t>SCA</t>
        </is>
      </c>
      <c r="G68" t="n">
        <v>36.4</v>
      </c>
      <c r="H68" t="n">
        <v>0</v>
      </c>
      <c r="I68" t="n">
        <v>1</v>
      </c>
      <c r="J68" t="n">
        <v>5</v>
      </c>
      <c r="K68" t="n">
        <v>0</v>
      </c>
      <c r="L68" t="n">
        <v>0</v>
      </c>
      <c r="M68" t="n">
        <v>0</v>
      </c>
      <c r="N68" t="n">
        <v>0</v>
      </c>
      <c r="O68" t="n">
        <v>5</v>
      </c>
      <c r="P68" t="n">
        <v>0</v>
      </c>
      <c r="Q68" t="n">
        <v>6</v>
      </c>
      <c r="R68" s="2" t="inlineStr">
        <is>
          <t>Garnlav
Gränsticka
Kolflarnlav
Reliktbock
Vedflamlav
Vedticka</t>
        </is>
      </c>
      <c r="S68">
        <f>HYPERLINK("https://klasma.github.io/Logging_2260/artfynd/A 2427-2024 artfynd.xlsx", "A 2427-2024")</f>
        <v/>
      </c>
      <c r="T68">
        <f>HYPERLINK("https://klasma.github.io/Logging_2260/kartor/A 2427-2024 karta.png", "A 2427-2024")</f>
        <v/>
      </c>
      <c r="U68">
        <f>HYPERLINK("https://klasma.github.io/Logging_2260/knärot/A 2427-2024 karta knärot.png", "A 2427-2024")</f>
        <v/>
      </c>
      <c r="V68">
        <f>HYPERLINK("https://klasma.github.io/Logging_2260/klagomål/A 2427-2024 FSC-klagomål.docx", "A 2427-2024")</f>
        <v/>
      </c>
      <c r="W68">
        <f>HYPERLINK("https://klasma.github.io/Logging_2260/klagomålsmail/A 2427-2024 FSC-klagomål mail.docx", "A 2427-2024")</f>
        <v/>
      </c>
      <c r="X68">
        <f>HYPERLINK("https://klasma.github.io/Logging_2260/tillsyn/A 2427-2024 tillsynsbegäran.docx", "A 2427-2024")</f>
        <v/>
      </c>
      <c r="Y68">
        <f>HYPERLINK("https://klasma.github.io/Logging_2260/tillsynsmail/A 2427-2024 tillsynsbegäran mail.docx", "A 2427-2024")</f>
        <v/>
      </c>
    </row>
    <row r="69" ht="15" customHeight="1">
      <c r="A69" t="inlineStr">
        <is>
          <t>A 55640-2018</t>
        </is>
      </c>
      <c r="B69" s="1" t="n">
        <v>43397</v>
      </c>
      <c r="C69" s="1" t="n">
        <v>45337</v>
      </c>
      <c r="D69" t="inlineStr">
        <is>
          <t>VÄSTERNORRLANDS LÄN</t>
        </is>
      </c>
      <c r="E69" t="inlineStr">
        <is>
          <t>ÅNGE</t>
        </is>
      </c>
      <c r="F69" t="inlineStr">
        <is>
          <t>SCA</t>
        </is>
      </c>
      <c r="G69" t="n">
        <v>12.5</v>
      </c>
      <c r="H69" t="n">
        <v>1</v>
      </c>
      <c r="I69" t="n">
        <v>1</v>
      </c>
      <c r="J69" t="n">
        <v>3</v>
      </c>
      <c r="K69" t="n">
        <v>1</v>
      </c>
      <c r="L69" t="n">
        <v>0</v>
      </c>
      <c r="M69" t="n">
        <v>0</v>
      </c>
      <c r="N69" t="n">
        <v>0</v>
      </c>
      <c r="O69" t="n">
        <v>4</v>
      </c>
      <c r="P69" t="n">
        <v>1</v>
      </c>
      <c r="Q69" t="n">
        <v>5</v>
      </c>
      <c r="R69" s="2" t="inlineStr">
        <is>
          <t>Knärot
Doftskinn
Lunglav
Ullticka
Korallblylav</t>
        </is>
      </c>
      <c r="S69">
        <f>HYPERLINK("https://klasma.github.io/Logging_2260/artfynd/A 55640-2018 artfynd.xlsx", "A 55640-2018")</f>
        <v/>
      </c>
      <c r="T69">
        <f>HYPERLINK("https://klasma.github.io/Logging_2260/kartor/A 55640-2018 karta.png", "A 55640-2018")</f>
        <v/>
      </c>
      <c r="U69">
        <f>HYPERLINK("https://klasma.github.io/Logging_2260/knärot/A 55640-2018 karta knärot.png", "A 55640-2018")</f>
        <v/>
      </c>
      <c r="V69">
        <f>HYPERLINK("https://klasma.github.io/Logging_2260/klagomål/A 55640-2018 FSC-klagomål.docx", "A 55640-2018")</f>
        <v/>
      </c>
      <c r="W69">
        <f>HYPERLINK("https://klasma.github.io/Logging_2260/klagomålsmail/A 55640-2018 FSC-klagomål mail.docx", "A 55640-2018")</f>
        <v/>
      </c>
      <c r="X69">
        <f>HYPERLINK("https://klasma.github.io/Logging_2260/tillsyn/A 55640-2018 tillsynsbegäran.docx", "A 55640-2018")</f>
        <v/>
      </c>
      <c r="Y69">
        <f>HYPERLINK("https://klasma.github.io/Logging_2260/tillsynsmail/A 55640-2018 tillsynsbegäran mail.docx", "A 55640-2018")</f>
        <v/>
      </c>
    </row>
    <row r="70" ht="15" customHeight="1">
      <c r="A70" t="inlineStr">
        <is>
          <t>A 5449-2020</t>
        </is>
      </c>
      <c r="B70" s="1" t="n">
        <v>43861</v>
      </c>
      <c r="C70" s="1" t="n">
        <v>45337</v>
      </c>
      <c r="D70" t="inlineStr">
        <is>
          <t>VÄSTERNORRLANDS LÄN</t>
        </is>
      </c>
      <c r="E70" t="inlineStr">
        <is>
          <t>ÅNGE</t>
        </is>
      </c>
      <c r="G70" t="n">
        <v>3.4</v>
      </c>
      <c r="H70" t="n">
        <v>0</v>
      </c>
      <c r="I70" t="n">
        <v>1</v>
      </c>
      <c r="J70" t="n">
        <v>1</v>
      </c>
      <c r="K70" t="n">
        <v>3</v>
      </c>
      <c r="L70" t="n">
        <v>0</v>
      </c>
      <c r="M70" t="n">
        <v>0</v>
      </c>
      <c r="N70" t="n">
        <v>0</v>
      </c>
      <c r="O70" t="n">
        <v>4</v>
      </c>
      <c r="P70" t="n">
        <v>3</v>
      </c>
      <c r="Q70" t="n">
        <v>5</v>
      </c>
      <c r="R70" s="2" t="inlineStr">
        <is>
          <t>Brandtaggsvamp
Lammticka
Ruttaggsvamp
Orange taggsvamp
Barrfagerspindling</t>
        </is>
      </c>
      <c r="S70">
        <f>HYPERLINK("https://klasma.github.io/Logging_2260/artfynd/A 5449-2020 artfynd.xlsx", "A 5449-2020")</f>
        <v/>
      </c>
      <c r="T70">
        <f>HYPERLINK("https://klasma.github.io/Logging_2260/kartor/A 5449-2020 karta.png", "A 5449-2020")</f>
        <v/>
      </c>
      <c r="V70">
        <f>HYPERLINK("https://klasma.github.io/Logging_2260/klagomål/A 5449-2020 FSC-klagomål.docx", "A 5449-2020")</f>
        <v/>
      </c>
      <c r="W70">
        <f>HYPERLINK("https://klasma.github.io/Logging_2260/klagomålsmail/A 5449-2020 FSC-klagomål mail.docx", "A 5449-2020")</f>
        <v/>
      </c>
      <c r="X70">
        <f>HYPERLINK("https://klasma.github.io/Logging_2260/tillsyn/A 5449-2020 tillsynsbegäran.docx", "A 5449-2020")</f>
        <v/>
      </c>
      <c r="Y70">
        <f>HYPERLINK("https://klasma.github.io/Logging_2260/tillsynsmail/A 5449-2020 tillsynsbegäran mail.docx", "A 5449-2020")</f>
        <v/>
      </c>
    </row>
    <row r="71" ht="15" customHeight="1">
      <c r="A71" t="inlineStr">
        <is>
          <t>A 51572-2020</t>
        </is>
      </c>
      <c r="B71" s="1" t="n">
        <v>44113</v>
      </c>
      <c r="C71" s="1" t="n">
        <v>45337</v>
      </c>
      <c r="D71" t="inlineStr">
        <is>
          <t>VÄSTERNORRLANDS LÄN</t>
        </is>
      </c>
      <c r="E71" t="inlineStr">
        <is>
          <t>ÅNGE</t>
        </is>
      </c>
      <c r="F71" t="inlineStr">
        <is>
          <t>Sveaskog</t>
        </is>
      </c>
      <c r="G71" t="n">
        <v>14.2</v>
      </c>
      <c r="H71" t="n">
        <v>0</v>
      </c>
      <c r="I71" t="n">
        <v>1</v>
      </c>
      <c r="J71" t="n">
        <v>4</v>
      </c>
      <c r="K71" t="n">
        <v>0</v>
      </c>
      <c r="L71" t="n">
        <v>0</v>
      </c>
      <c r="M71" t="n">
        <v>0</v>
      </c>
      <c r="N71" t="n">
        <v>0</v>
      </c>
      <c r="O71" t="n">
        <v>4</v>
      </c>
      <c r="P71" t="n">
        <v>0</v>
      </c>
      <c r="Q71" t="n">
        <v>5</v>
      </c>
      <c r="R71" s="2" t="inlineStr">
        <is>
          <t>Garnlav
Gränsticka
Lunglav
Skrovellav
Stuplav</t>
        </is>
      </c>
      <c r="S71">
        <f>HYPERLINK("https://klasma.github.io/Logging_2260/artfynd/A 51572-2020 artfynd.xlsx", "A 51572-2020")</f>
        <v/>
      </c>
      <c r="T71">
        <f>HYPERLINK("https://klasma.github.io/Logging_2260/kartor/A 51572-2020 karta.png", "A 51572-2020")</f>
        <v/>
      </c>
      <c r="V71">
        <f>HYPERLINK("https://klasma.github.io/Logging_2260/klagomål/A 51572-2020 FSC-klagomål.docx", "A 51572-2020")</f>
        <v/>
      </c>
      <c r="W71">
        <f>HYPERLINK("https://klasma.github.io/Logging_2260/klagomålsmail/A 51572-2020 FSC-klagomål mail.docx", "A 51572-2020")</f>
        <v/>
      </c>
      <c r="X71">
        <f>HYPERLINK("https://klasma.github.io/Logging_2260/tillsyn/A 51572-2020 tillsynsbegäran.docx", "A 51572-2020")</f>
        <v/>
      </c>
      <c r="Y71">
        <f>HYPERLINK("https://klasma.github.io/Logging_2260/tillsynsmail/A 51572-2020 tillsynsbegäran mail.docx", "A 51572-2020")</f>
        <v/>
      </c>
    </row>
    <row r="72" ht="15" customHeight="1">
      <c r="A72" t="inlineStr">
        <is>
          <t>A 62577-2020</t>
        </is>
      </c>
      <c r="B72" s="1" t="n">
        <v>44160</v>
      </c>
      <c r="C72" s="1" t="n">
        <v>45337</v>
      </c>
      <c r="D72" t="inlineStr">
        <is>
          <t>VÄSTERNORRLANDS LÄN</t>
        </is>
      </c>
      <c r="E72" t="inlineStr">
        <is>
          <t>ÅNGE</t>
        </is>
      </c>
      <c r="F72" t="inlineStr">
        <is>
          <t>SCA</t>
        </is>
      </c>
      <c r="G72" t="n">
        <v>2.1</v>
      </c>
      <c r="H72" t="n">
        <v>1</v>
      </c>
      <c r="I72" t="n">
        <v>2</v>
      </c>
      <c r="J72" t="n">
        <v>2</v>
      </c>
      <c r="K72" t="n">
        <v>0</v>
      </c>
      <c r="L72" t="n">
        <v>0</v>
      </c>
      <c r="M72" t="n">
        <v>0</v>
      </c>
      <c r="N72" t="n">
        <v>0</v>
      </c>
      <c r="O72" t="n">
        <v>2</v>
      </c>
      <c r="P72" t="n">
        <v>0</v>
      </c>
      <c r="Q72" t="n">
        <v>5</v>
      </c>
      <c r="R72" s="2" t="inlineStr">
        <is>
          <t>Lunglav
Mörk kolflarnlav
Bårdlav
Luddlav
Revlummer</t>
        </is>
      </c>
      <c r="S72">
        <f>HYPERLINK("https://klasma.github.io/Logging_2260/artfynd/A 62577-2020 artfynd.xlsx", "A 62577-2020")</f>
        <v/>
      </c>
      <c r="T72">
        <f>HYPERLINK("https://klasma.github.io/Logging_2260/kartor/A 62577-2020 karta.png", "A 62577-2020")</f>
        <v/>
      </c>
      <c r="V72">
        <f>HYPERLINK("https://klasma.github.io/Logging_2260/klagomål/A 62577-2020 FSC-klagomål.docx", "A 62577-2020")</f>
        <v/>
      </c>
      <c r="W72">
        <f>HYPERLINK("https://klasma.github.io/Logging_2260/klagomålsmail/A 62577-2020 FSC-klagomål mail.docx", "A 62577-2020")</f>
        <v/>
      </c>
      <c r="X72">
        <f>HYPERLINK("https://klasma.github.io/Logging_2260/tillsyn/A 62577-2020 tillsynsbegäran.docx", "A 62577-2020")</f>
        <v/>
      </c>
      <c r="Y72">
        <f>HYPERLINK("https://klasma.github.io/Logging_2260/tillsynsmail/A 62577-2020 tillsynsbegäran mail.docx", "A 62577-2020")</f>
        <v/>
      </c>
    </row>
    <row r="73" ht="15" customHeight="1">
      <c r="A73" t="inlineStr">
        <is>
          <t>A 61910-2021</t>
        </is>
      </c>
      <c r="B73" s="1" t="n">
        <v>44502</v>
      </c>
      <c r="C73" s="1" t="n">
        <v>45337</v>
      </c>
      <c r="D73" t="inlineStr">
        <is>
          <t>VÄSTERNORRLANDS LÄN</t>
        </is>
      </c>
      <c r="E73" t="inlineStr">
        <is>
          <t>ÅNGE</t>
        </is>
      </c>
      <c r="G73" t="n">
        <v>3.6</v>
      </c>
      <c r="H73" t="n">
        <v>1</v>
      </c>
      <c r="I73" t="n">
        <v>2</v>
      </c>
      <c r="J73" t="n">
        <v>3</v>
      </c>
      <c r="K73" t="n">
        <v>0</v>
      </c>
      <c r="L73" t="n">
        <v>0</v>
      </c>
      <c r="M73" t="n">
        <v>0</v>
      </c>
      <c r="N73" t="n">
        <v>0</v>
      </c>
      <c r="O73" t="n">
        <v>3</v>
      </c>
      <c r="P73" t="n">
        <v>0</v>
      </c>
      <c r="Q73" t="n">
        <v>5</v>
      </c>
      <c r="R73" s="2" t="inlineStr">
        <is>
          <t>Garnlav
Lunglav
Talltita
Bårdlav
Stuplav</t>
        </is>
      </c>
      <c r="S73">
        <f>HYPERLINK("https://klasma.github.io/Logging_2260/artfynd/A 61910-2021 artfynd.xlsx", "A 61910-2021")</f>
        <v/>
      </c>
      <c r="T73">
        <f>HYPERLINK("https://klasma.github.io/Logging_2260/kartor/A 61910-2021 karta.png", "A 61910-2021")</f>
        <v/>
      </c>
      <c r="V73">
        <f>HYPERLINK("https://klasma.github.io/Logging_2260/klagomål/A 61910-2021 FSC-klagomål.docx", "A 61910-2021")</f>
        <v/>
      </c>
      <c r="W73">
        <f>HYPERLINK("https://klasma.github.io/Logging_2260/klagomålsmail/A 61910-2021 FSC-klagomål mail.docx", "A 61910-2021")</f>
        <v/>
      </c>
      <c r="X73">
        <f>HYPERLINK("https://klasma.github.io/Logging_2260/tillsyn/A 61910-2021 tillsynsbegäran.docx", "A 61910-2021")</f>
        <v/>
      </c>
      <c r="Y73">
        <f>HYPERLINK("https://klasma.github.io/Logging_2260/tillsynsmail/A 61910-2021 tillsynsbegäran mail.docx", "A 61910-2021")</f>
        <v/>
      </c>
      <c r="Z73">
        <f>HYPERLINK("https://klasma.github.io/Logging_2260/fåglar/A 61910-2021 prioriterade fågelarter.docx", "A 61910-2021")</f>
        <v/>
      </c>
    </row>
    <row r="74" ht="15" customHeight="1">
      <c r="A74" t="inlineStr">
        <is>
          <t>A 31364-2022</t>
        </is>
      </c>
      <c r="B74" s="1" t="n">
        <v>44774</v>
      </c>
      <c r="C74" s="1" t="n">
        <v>45337</v>
      </c>
      <c r="D74" t="inlineStr">
        <is>
          <t>VÄSTERNORRLANDS LÄN</t>
        </is>
      </c>
      <c r="E74" t="inlineStr">
        <is>
          <t>ÅNGE</t>
        </is>
      </c>
      <c r="F74" t="inlineStr">
        <is>
          <t>Sveaskog</t>
        </is>
      </c>
      <c r="G74" t="n">
        <v>5.4</v>
      </c>
      <c r="H74" t="n">
        <v>3</v>
      </c>
      <c r="I74" t="n">
        <v>1</v>
      </c>
      <c r="J74" t="n">
        <v>1</v>
      </c>
      <c r="K74" t="n">
        <v>0</v>
      </c>
      <c r="L74" t="n">
        <v>0</v>
      </c>
      <c r="M74" t="n">
        <v>0</v>
      </c>
      <c r="N74" t="n">
        <v>0</v>
      </c>
      <c r="O74" t="n">
        <v>1</v>
      </c>
      <c r="P74" t="n">
        <v>0</v>
      </c>
      <c r="Q74" t="n">
        <v>5</v>
      </c>
      <c r="R74" s="2" t="inlineStr">
        <is>
          <t>Violettgrå tagellav
Kransrams
Fläcknycklar
Nattviol
Blåsippa</t>
        </is>
      </c>
      <c r="S74">
        <f>HYPERLINK("https://klasma.github.io/Logging_2260/artfynd/A 31364-2022 artfynd.xlsx", "A 31364-2022")</f>
        <v/>
      </c>
      <c r="T74">
        <f>HYPERLINK("https://klasma.github.io/Logging_2260/kartor/A 31364-2022 karta.png", "A 31364-2022")</f>
        <v/>
      </c>
      <c r="V74">
        <f>HYPERLINK("https://klasma.github.io/Logging_2260/klagomål/A 31364-2022 FSC-klagomål.docx", "A 31364-2022")</f>
        <v/>
      </c>
      <c r="W74">
        <f>HYPERLINK("https://klasma.github.io/Logging_2260/klagomålsmail/A 31364-2022 FSC-klagomål mail.docx", "A 31364-2022")</f>
        <v/>
      </c>
      <c r="X74">
        <f>HYPERLINK("https://klasma.github.io/Logging_2260/tillsyn/A 31364-2022 tillsynsbegäran.docx", "A 31364-2022")</f>
        <v/>
      </c>
      <c r="Y74">
        <f>HYPERLINK("https://klasma.github.io/Logging_2260/tillsynsmail/A 31364-2022 tillsynsbegäran mail.docx", "A 31364-2022")</f>
        <v/>
      </c>
    </row>
    <row r="75" ht="15" customHeight="1">
      <c r="A75" t="inlineStr">
        <is>
          <t>A 42887-2022</t>
        </is>
      </c>
      <c r="B75" s="1" t="n">
        <v>44832</v>
      </c>
      <c r="C75" s="1" t="n">
        <v>45337</v>
      </c>
      <c r="D75" t="inlineStr">
        <is>
          <t>VÄSTERNORRLANDS LÄN</t>
        </is>
      </c>
      <c r="E75" t="inlineStr">
        <is>
          <t>ÅNGE</t>
        </is>
      </c>
      <c r="F75" t="inlineStr">
        <is>
          <t>SCA</t>
        </is>
      </c>
      <c r="G75" t="n">
        <v>3.9</v>
      </c>
      <c r="H75" t="n">
        <v>1</v>
      </c>
      <c r="I75" t="n">
        <v>1</v>
      </c>
      <c r="J75" t="n">
        <v>3</v>
      </c>
      <c r="K75" t="n">
        <v>1</v>
      </c>
      <c r="L75" t="n">
        <v>0</v>
      </c>
      <c r="M75" t="n">
        <v>0</v>
      </c>
      <c r="N75" t="n">
        <v>0</v>
      </c>
      <c r="O75" t="n">
        <v>4</v>
      </c>
      <c r="P75" t="n">
        <v>1</v>
      </c>
      <c r="Q75" t="n">
        <v>5</v>
      </c>
      <c r="R75" s="2" t="inlineStr">
        <is>
          <t>Knärot
Dvärgbägarlav
Kortskaftad ärgspik
Mörk kolflarnlav
Dropptaggsvamp</t>
        </is>
      </c>
      <c r="S75">
        <f>HYPERLINK("https://klasma.github.io/Logging_2260/artfynd/A 42887-2022 artfynd.xlsx", "A 42887-2022")</f>
        <v/>
      </c>
      <c r="T75">
        <f>HYPERLINK("https://klasma.github.io/Logging_2260/kartor/A 42887-2022 karta.png", "A 42887-2022")</f>
        <v/>
      </c>
      <c r="U75">
        <f>HYPERLINK("https://klasma.github.io/Logging_2260/knärot/A 42887-2022 karta knärot.png", "A 42887-2022")</f>
        <v/>
      </c>
      <c r="V75">
        <f>HYPERLINK("https://klasma.github.io/Logging_2260/klagomål/A 42887-2022 FSC-klagomål.docx", "A 42887-2022")</f>
        <v/>
      </c>
      <c r="W75">
        <f>HYPERLINK("https://klasma.github.io/Logging_2260/klagomålsmail/A 42887-2022 FSC-klagomål mail.docx", "A 42887-2022")</f>
        <v/>
      </c>
      <c r="X75">
        <f>HYPERLINK("https://klasma.github.io/Logging_2260/tillsyn/A 42887-2022 tillsynsbegäran.docx", "A 42887-2022")</f>
        <v/>
      </c>
      <c r="Y75">
        <f>HYPERLINK("https://klasma.github.io/Logging_2260/tillsynsmail/A 42887-2022 tillsynsbegäran mail.docx", "A 42887-2022")</f>
        <v/>
      </c>
    </row>
    <row r="76" ht="15" customHeight="1">
      <c r="A76" t="inlineStr">
        <is>
          <t>A 49185-2022</t>
        </is>
      </c>
      <c r="B76" s="1" t="n">
        <v>44860</v>
      </c>
      <c r="C76" s="1" t="n">
        <v>45337</v>
      </c>
      <c r="D76" t="inlineStr">
        <is>
          <t>VÄSTERNORRLANDS LÄN</t>
        </is>
      </c>
      <c r="E76" t="inlineStr">
        <is>
          <t>ÅNGE</t>
        </is>
      </c>
      <c r="F76" t="inlineStr">
        <is>
          <t>SCA</t>
        </is>
      </c>
      <c r="G76" t="n">
        <v>6</v>
      </c>
      <c r="H76" t="n">
        <v>2</v>
      </c>
      <c r="I76" t="n">
        <v>2</v>
      </c>
      <c r="J76" t="n">
        <v>2</v>
      </c>
      <c r="K76" t="n">
        <v>1</v>
      </c>
      <c r="L76" t="n">
        <v>0</v>
      </c>
      <c r="M76" t="n">
        <v>0</v>
      </c>
      <c r="N76" t="n">
        <v>0</v>
      </c>
      <c r="O76" t="n">
        <v>3</v>
      </c>
      <c r="P76" t="n">
        <v>1</v>
      </c>
      <c r="Q76" t="n">
        <v>5</v>
      </c>
      <c r="R76" s="2" t="inlineStr">
        <is>
          <t>Knärot
Rosenticka
Violettgrå tagellav
Dropptaggsvamp
Korallrot</t>
        </is>
      </c>
      <c r="S76">
        <f>HYPERLINK("https://klasma.github.io/Logging_2260/artfynd/A 49185-2022 artfynd.xlsx", "A 49185-2022")</f>
        <v/>
      </c>
      <c r="T76">
        <f>HYPERLINK("https://klasma.github.io/Logging_2260/kartor/A 49185-2022 karta.png", "A 49185-2022")</f>
        <v/>
      </c>
      <c r="U76">
        <f>HYPERLINK("https://klasma.github.io/Logging_2260/knärot/A 49185-2022 karta knärot.png", "A 49185-2022")</f>
        <v/>
      </c>
      <c r="V76">
        <f>HYPERLINK("https://klasma.github.io/Logging_2260/klagomål/A 49185-2022 FSC-klagomål.docx", "A 49185-2022")</f>
        <v/>
      </c>
      <c r="W76">
        <f>HYPERLINK("https://klasma.github.io/Logging_2260/klagomålsmail/A 49185-2022 FSC-klagomål mail.docx", "A 49185-2022")</f>
        <v/>
      </c>
      <c r="X76">
        <f>HYPERLINK("https://klasma.github.io/Logging_2260/tillsyn/A 49185-2022 tillsynsbegäran.docx", "A 49185-2022")</f>
        <v/>
      </c>
      <c r="Y76">
        <f>HYPERLINK("https://klasma.github.io/Logging_2260/tillsynsmail/A 49185-2022 tillsynsbegäran mail.docx", "A 49185-2022")</f>
        <v/>
      </c>
    </row>
    <row r="77" ht="15" customHeight="1">
      <c r="A77" t="inlineStr">
        <is>
          <t>A 13696-2023</t>
        </is>
      </c>
      <c r="B77" s="1" t="n">
        <v>45006</v>
      </c>
      <c r="C77" s="1" t="n">
        <v>45337</v>
      </c>
      <c r="D77" t="inlineStr">
        <is>
          <t>VÄSTERNORRLANDS LÄN</t>
        </is>
      </c>
      <c r="E77" t="inlineStr">
        <is>
          <t>ÅNGE</t>
        </is>
      </c>
      <c r="F77" t="inlineStr">
        <is>
          <t>SCA</t>
        </is>
      </c>
      <c r="G77" t="n">
        <v>47.6</v>
      </c>
      <c r="H77" t="n">
        <v>1</v>
      </c>
      <c r="I77" t="n">
        <v>0</v>
      </c>
      <c r="J77" t="n">
        <v>4</v>
      </c>
      <c r="K77" t="n">
        <v>1</v>
      </c>
      <c r="L77" t="n">
        <v>0</v>
      </c>
      <c r="M77" t="n">
        <v>0</v>
      </c>
      <c r="N77" t="n">
        <v>0</v>
      </c>
      <c r="O77" t="n">
        <v>5</v>
      </c>
      <c r="P77" t="n">
        <v>1</v>
      </c>
      <c r="Q77" t="n">
        <v>5</v>
      </c>
      <c r="R77" s="2" t="inlineStr">
        <is>
          <t>Knärot
Dvärgbägarlav
Knottrig blåslav
Mörk kolflarnlav
Nordtagging</t>
        </is>
      </c>
      <c r="S77">
        <f>HYPERLINK("https://klasma.github.io/Logging_2260/artfynd/A 13696-2023 artfynd.xlsx", "A 13696-2023")</f>
        <v/>
      </c>
      <c r="T77">
        <f>HYPERLINK("https://klasma.github.io/Logging_2260/kartor/A 13696-2023 karta.png", "A 13696-2023")</f>
        <v/>
      </c>
      <c r="U77">
        <f>HYPERLINK("https://klasma.github.io/Logging_2260/knärot/A 13696-2023 karta knärot.png", "A 13696-2023")</f>
        <v/>
      </c>
      <c r="V77">
        <f>HYPERLINK("https://klasma.github.io/Logging_2260/klagomål/A 13696-2023 FSC-klagomål.docx", "A 13696-2023")</f>
        <v/>
      </c>
      <c r="W77">
        <f>HYPERLINK("https://klasma.github.io/Logging_2260/klagomålsmail/A 13696-2023 FSC-klagomål mail.docx", "A 13696-2023")</f>
        <v/>
      </c>
      <c r="X77">
        <f>HYPERLINK("https://klasma.github.io/Logging_2260/tillsyn/A 13696-2023 tillsynsbegäran.docx", "A 13696-2023")</f>
        <v/>
      </c>
      <c r="Y77">
        <f>HYPERLINK("https://klasma.github.io/Logging_2260/tillsynsmail/A 13696-2023 tillsynsbegäran mail.docx", "A 13696-2023")</f>
        <v/>
      </c>
    </row>
    <row r="78" ht="15" customHeight="1">
      <c r="A78" t="inlineStr">
        <is>
          <t>A 30845-2023</t>
        </is>
      </c>
      <c r="B78" s="1" t="n">
        <v>45112</v>
      </c>
      <c r="C78" s="1" t="n">
        <v>45337</v>
      </c>
      <c r="D78" t="inlineStr">
        <is>
          <t>VÄSTERNORRLANDS LÄN</t>
        </is>
      </c>
      <c r="E78" t="inlineStr">
        <is>
          <t>ÅNGE</t>
        </is>
      </c>
      <c r="F78" t="inlineStr">
        <is>
          <t>SCA</t>
        </is>
      </c>
      <c r="G78" t="n">
        <v>10.8</v>
      </c>
      <c r="H78" t="n">
        <v>1</v>
      </c>
      <c r="I78" t="n">
        <v>3</v>
      </c>
      <c r="J78" t="n">
        <v>1</v>
      </c>
      <c r="K78" t="n">
        <v>1</v>
      </c>
      <c r="L78" t="n">
        <v>0</v>
      </c>
      <c r="M78" t="n">
        <v>0</v>
      </c>
      <c r="N78" t="n">
        <v>0</v>
      </c>
      <c r="O78" t="n">
        <v>2</v>
      </c>
      <c r="P78" t="n">
        <v>1</v>
      </c>
      <c r="Q78" t="n">
        <v>5</v>
      </c>
      <c r="R78" s="2" t="inlineStr">
        <is>
          <t>Knärot
Lunglav
Bollvitmossa
Mörk husmossa
Vedticka</t>
        </is>
      </c>
      <c r="S78">
        <f>HYPERLINK("https://klasma.github.io/Logging_2260/artfynd/A 30845-2023 artfynd.xlsx", "A 30845-2023")</f>
        <v/>
      </c>
      <c r="T78">
        <f>HYPERLINK("https://klasma.github.io/Logging_2260/kartor/A 30845-2023 karta.png", "A 30845-2023")</f>
        <v/>
      </c>
      <c r="U78">
        <f>HYPERLINK("https://klasma.github.io/Logging_2260/knärot/A 30845-2023 karta knärot.png", "A 30845-2023")</f>
        <v/>
      </c>
      <c r="V78">
        <f>HYPERLINK("https://klasma.github.io/Logging_2260/klagomål/A 30845-2023 FSC-klagomål.docx", "A 30845-2023")</f>
        <v/>
      </c>
      <c r="W78">
        <f>HYPERLINK("https://klasma.github.io/Logging_2260/klagomålsmail/A 30845-2023 FSC-klagomål mail.docx", "A 30845-2023")</f>
        <v/>
      </c>
      <c r="X78">
        <f>HYPERLINK("https://klasma.github.io/Logging_2260/tillsyn/A 30845-2023 tillsynsbegäran.docx", "A 30845-2023")</f>
        <v/>
      </c>
      <c r="Y78">
        <f>HYPERLINK("https://klasma.github.io/Logging_2260/tillsynsmail/A 30845-2023 tillsynsbegäran mail.docx", "A 30845-2023")</f>
        <v/>
      </c>
    </row>
    <row r="79" ht="15" customHeight="1">
      <c r="A79" t="inlineStr">
        <is>
          <t>A 32898-2023</t>
        </is>
      </c>
      <c r="B79" s="1" t="n">
        <v>45124</v>
      </c>
      <c r="C79" s="1" t="n">
        <v>45337</v>
      </c>
      <c r="D79" t="inlineStr">
        <is>
          <t>VÄSTERNORRLANDS LÄN</t>
        </is>
      </c>
      <c r="E79" t="inlineStr">
        <is>
          <t>ÅNGE</t>
        </is>
      </c>
      <c r="F79" t="inlineStr">
        <is>
          <t>SCA</t>
        </is>
      </c>
      <c r="G79" t="n">
        <v>9.1</v>
      </c>
      <c r="H79" t="n">
        <v>0</v>
      </c>
      <c r="I79" t="n">
        <v>1</v>
      </c>
      <c r="J79" t="n">
        <v>4</v>
      </c>
      <c r="K79" t="n">
        <v>0</v>
      </c>
      <c r="L79" t="n">
        <v>0</v>
      </c>
      <c r="M79" t="n">
        <v>0</v>
      </c>
      <c r="N79" t="n">
        <v>0</v>
      </c>
      <c r="O79" t="n">
        <v>4</v>
      </c>
      <c r="P79" t="n">
        <v>0</v>
      </c>
      <c r="Q79" t="n">
        <v>5</v>
      </c>
      <c r="R79" s="2" t="inlineStr">
        <is>
          <t>Garnlav
Granticka
Lunglav
Ullticka
Stuplav</t>
        </is>
      </c>
      <c r="S79">
        <f>HYPERLINK("https://klasma.github.io/Logging_2260/artfynd/A 32898-2023 artfynd.xlsx", "A 32898-2023")</f>
        <v/>
      </c>
      <c r="T79">
        <f>HYPERLINK("https://klasma.github.io/Logging_2260/kartor/A 32898-2023 karta.png", "A 32898-2023")</f>
        <v/>
      </c>
      <c r="V79">
        <f>HYPERLINK("https://klasma.github.io/Logging_2260/klagomål/A 32898-2023 FSC-klagomål.docx", "A 32898-2023")</f>
        <v/>
      </c>
      <c r="W79">
        <f>HYPERLINK("https://klasma.github.io/Logging_2260/klagomålsmail/A 32898-2023 FSC-klagomål mail.docx", "A 32898-2023")</f>
        <v/>
      </c>
      <c r="X79">
        <f>HYPERLINK("https://klasma.github.io/Logging_2260/tillsyn/A 32898-2023 tillsynsbegäran.docx", "A 32898-2023")</f>
        <v/>
      </c>
      <c r="Y79">
        <f>HYPERLINK("https://klasma.github.io/Logging_2260/tillsynsmail/A 32898-2023 tillsynsbegäran mail.docx", "A 32898-2023")</f>
        <v/>
      </c>
    </row>
    <row r="80" ht="15" customHeight="1">
      <c r="A80" t="inlineStr">
        <is>
          <t>A 55004-2023</t>
        </is>
      </c>
      <c r="B80" s="1" t="n">
        <v>45236</v>
      </c>
      <c r="C80" s="1" t="n">
        <v>45337</v>
      </c>
      <c r="D80" t="inlineStr">
        <is>
          <t>VÄSTERNORRLANDS LÄN</t>
        </is>
      </c>
      <c r="E80" t="inlineStr">
        <is>
          <t>ÅNGE</t>
        </is>
      </c>
      <c r="F80" t="inlineStr">
        <is>
          <t>SCA</t>
        </is>
      </c>
      <c r="G80" t="n">
        <v>3.7</v>
      </c>
      <c r="H80" t="n">
        <v>2</v>
      </c>
      <c r="I80" t="n">
        <v>3</v>
      </c>
      <c r="J80" t="n">
        <v>1</v>
      </c>
      <c r="K80" t="n">
        <v>0</v>
      </c>
      <c r="L80" t="n">
        <v>0</v>
      </c>
      <c r="M80" t="n">
        <v>0</v>
      </c>
      <c r="N80" t="n">
        <v>0</v>
      </c>
      <c r="O80" t="n">
        <v>1</v>
      </c>
      <c r="P80" t="n">
        <v>0</v>
      </c>
      <c r="Q80" t="n">
        <v>5</v>
      </c>
      <c r="R80" s="2" t="inlineStr">
        <is>
          <t>Storgröe
Kransrams
Spädstarr
Tvåblad
Fläcknycklar</t>
        </is>
      </c>
      <c r="S80">
        <f>HYPERLINK("https://klasma.github.io/Logging_2260/artfynd/A 55004-2023 artfynd.xlsx", "A 55004-2023")</f>
        <v/>
      </c>
      <c r="T80">
        <f>HYPERLINK("https://klasma.github.io/Logging_2260/kartor/A 55004-2023 karta.png", "A 55004-2023")</f>
        <v/>
      </c>
      <c r="V80">
        <f>HYPERLINK("https://klasma.github.io/Logging_2260/klagomål/A 55004-2023 FSC-klagomål.docx", "A 55004-2023")</f>
        <v/>
      </c>
      <c r="W80">
        <f>HYPERLINK("https://klasma.github.io/Logging_2260/klagomålsmail/A 55004-2023 FSC-klagomål mail.docx", "A 55004-2023")</f>
        <v/>
      </c>
      <c r="X80">
        <f>HYPERLINK("https://klasma.github.io/Logging_2260/tillsyn/A 55004-2023 tillsynsbegäran.docx", "A 55004-2023")</f>
        <v/>
      </c>
      <c r="Y80">
        <f>HYPERLINK("https://klasma.github.io/Logging_2260/tillsynsmail/A 55004-2023 tillsynsbegäran mail.docx", "A 55004-2023")</f>
        <v/>
      </c>
    </row>
    <row r="81" ht="15" customHeight="1">
      <c r="A81" t="inlineStr">
        <is>
          <t>A 69754-2018</t>
        </is>
      </c>
      <c r="B81" s="1" t="n">
        <v>43444</v>
      </c>
      <c r="C81" s="1" t="n">
        <v>45337</v>
      </c>
      <c r="D81" t="inlineStr">
        <is>
          <t>VÄSTERNORRLANDS LÄN</t>
        </is>
      </c>
      <c r="E81" t="inlineStr">
        <is>
          <t>ÅNGE</t>
        </is>
      </c>
      <c r="G81" t="n">
        <v>1</v>
      </c>
      <c r="H81" t="n">
        <v>0</v>
      </c>
      <c r="I81" t="n">
        <v>2</v>
      </c>
      <c r="J81" t="n">
        <v>1</v>
      </c>
      <c r="K81" t="n">
        <v>1</v>
      </c>
      <c r="L81" t="n">
        <v>0</v>
      </c>
      <c r="M81" t="n">
        <v>0</v>
      </c>
      <c r="N81" t="n">
        <v>0</v>
      </c>
      <c r="O81" t="n">
        <v>2</v>
      </c>
      <c r="P81" t="n">
        <v>1</v>
      </c>
      <c r="Q81" t="n">
        <v>4</v>
      </c>
      <c r="R81" s="2" t="inlineStr">
        <is>
          <t>Fjällfotad musseron
Gultoppig fingersvamp
Brun klibbskivling
Fjällig taggsvamp s.str.</t>
        </is>
      </c>
      <c r="S81">
        <f>HYPERLINK("https://klasma.github.io/Logging_2260/artfynd/A 69754-2018 artfynd.xlsx", "A 69754-2018")</f>
        <v/>
      </c>
      <c r="T81">
        <f>HYPERLINK("https://klasma.github.io/Logging_2260/kartor/A 69754-2018 karta.png", "A 69754-2018")</f>
        <v/>
      </c>
      <c r="V81">
        <f>HYPERLINK("https://klasma.github.io/Logging_2260/klagomål/A 69754-2018 FSC-klagomål.docx", "A 69754-2018")</f>
        <v/>
      </c>
      <c r="W81">
        <f>HYPERLINK("https://klasma.github.io/Logging_2260/klagomålsmail/A 69754-2018 FSC-klagomål mail.docx", "A 69754-2018")</f>
        <v/>
      </c>
      <c r="X81">
        <f>HYPERLINK("https://klasma.github.io/Logging_2260/tillsyn/A 69754-2018 tillsynsbegäran.docx", "A 69754-2018")</f>
        <v/>
      </c>
      <c r="Y81">
        <f>HYPERLINK("https://klasma.github.io/Logging_2260/tillsynsmail/A 69754-2018 tillsynsbegäran mail.docx", "A 69754-2018")</f>
        <v/>
      </c>
    </row>
    <row r="82" ht="15" customHeight="1">
      <c r="A82" t="inlineStr">
        <is>
          <t>A 26240-2019</t>
        </is>
      </c>
      <c r="B82" s="1" t="n">
        <v>43609</v>
      </c>
      <c r="C82" s="1" t="n">
        <v>45337</v>
      </c>
      <c r="D82" t="inlineStr">
        <is>
          <t>VÄSTERNORRLANDS LÄN</t>
        </is>
      </c>
      <c r="E82" t="inlineStr">
        <is>
          <t>ÅNGE</t>
        </is>
      </c>
      <c r="F82" t="inlineStr">
        <is>
          <t>SCA</t>
        </is>
      </c>
      <c r="G82" t="n">
        <v>15.8</v>
      </c>
      <c r="H82" t="n">
        <v>1</v>
      </c>
      <c r="I82" t="n">
        <v>0</v>
      </c>
      <c r="J82" t="n">
        <v>4</v>
      </c>
      <c r="K82" t="n">
        <v>0</v>
      </c>
      <c r="L82" t="n">
        <v>0</v>
      </c>
      <c r="M82" t="n">
        <v>0</v>
      </c>
      <c r="N82" t="n">
        <v>0</v>
      </c>
      <c r="O82" t="n">
        <v>4</v>
      </c>
      <c r="P82" t="n">
        <v>0</v>
      </c>
      <c r="Q82" t="n">
        <v>4</v>
      </c>
      <c r="R82" s="2" t="inlineStr">
        <is>
          <t>Garnlav
Kolflarnlav
Reliktbock
Tretåig hackspett</t>
        </is>
      </c>
      <c r="S82">
        <f>HYPERLINK("https://klasma.github.io/Logging_2260/artfynd/A 26240-2019 artfynd.xlsx", "A 26240-2019")</f>
        <v/>
      </c>
      <c r="T82">
        <f>HYPERLINK("https://klasma.github.io/Logging_2260/kartor/A 26240-2019 karta.png", "A 26240-2019")</f>
        <v/>
      </c>
      <c r="V82">
        <f>HYPERLINK("https://klasma.github.io/Logging_2260/klagomål/A 26240-2019 FSC-klagomål.docx", "A 26240-2019")</f>
        <v/>
      </c>
      <c r="W82">
        <f>HYPERLINK("https://klasma.github.io/Logging_2260/klagomålsmail/A 26240-2019 FSC-klagomål mail.docx", "A 26240-2019")</f>
        <v/>
      </c>
      <c r="X82">
        <f>HYPERLINK("https://klasma.github.io/Logging_2260/tillsyn/A 26240-2019 tillsynsbegäran.docx", "A 26240-2019")</f>
        <v/>
      </c>
      <c r="Y82">
        <f>HYPERLINK("https://klasma.github.io/Logging_2260/tillsynsmail/A 26240-2019 tillsynsbegäran mail.docx", "A 26240-2019")</f>
        <v/>
      </c>
      <c r="Z82">
        <f>HYPERLINK("https://klasma.github.io/Logging_2260/fåglar/A 26240-2019 prioriterade fågelarter.docx", "A 26240-2019")</f>
        <v/>
      </c>
    </row>
    <row r="83" ht="15" customHeight="1">
      <c r="A83" t="inlineStr">
        <is>
          <t>A 53169-2020</t>
        </is>
      </c>
      <c r="B83" s="1" t="n">
        <v>44120</v>
      </c>
      <c r="C83" s="1" t="n">
        <v>45337</v>
      </c>
      <c r="D83" t="inlineStr">
        <is>
          <t>VÄSTERNORRLANDS LÄN</t>
        </is>
      </c>
      <c r="E83" t="inlineStr">
        <is>
          <t>ÅNGE</t>
        </is>
      </c>
      <c r="F83" t="inlineStr">
        <is>
          <t>SCA</t>
        </is>
      </c>
      <c r="G83" t="n">
        <v>6.4</v>
      </c>
      <c r="H83" t="n">
        <v>2</v>
      </c>
      <c r="I83" t="n">
        <v>1</v>
      </c>
      <c r="J83" t="n">
        <v>2</v>
      </c>
      <c r="K83" t="n">
        <v>1</v>
      </c>
      <c r="L83" t="n">
        <v>0</v>
      </c>
      <c r="M83" t="n">
        <v>0</v>
      </c>
      <c r="N83" t="n">
        <v>0</v>
      </c>
      <c r="O83" t="n">
        <v>3</v>
      </c>
      <c r="P83" t="n">
        <v>1</v>
      </c>
      <c r="Q83" t="n">
        <v>4</v>
      </c>
      <c r="R83" s="2" t="inlineStr">
        <is>
          <t>Långskägg
Garnlav
Lunglav
Korallrot</t>
        </is>
      </c>
      <c r="S83">
        <f>HYPERLINK("https://klasma.github.io/Logging_2260/artfynd/A 53169-2020 artfynd.xlsx", "A 53169-2020")</f>
        <v/>
      </c>
      <c r="T83">
        <f>HYPERLINK("https://klasma.github.io/Logging_2260/kartor/A 53169-2020 karta.png", "A 53169-2020")</f>
        <v/>
      </c>
      <c r="V83">
        <f>HYPERLINK("https://klasma.github.io/Logging_2260/klagomål/A 53169-2020 FSC-klagomål.docx", "A 53169-2020")</f>
        <v/>
      </c>
      <c r="W83">
        <f>HYPERLINK("https://klasma.github.io/Logging_2260/klagomålsmail/A 53169-2020 FSC-klagomål mail.docx", "A 53169-2020")</f>
        <v/>
      </c>
      <c r="X83">
        <f>HYPERLINK("https://klasma.github.io/Logging_2260/tillsyn/A 53169-2020 tillsynsbegäran.docx", "A 53169-2020")</f>
        <v/>
      </c>
      <c r="Y83">
        <f>HYPERLINK("https://klasma.github.io/Logging_2260/tillsynsmail/A 53169-2020 tillsynsbegäran mail.docx", "A 53169-2020")</f>
        <v/>
      </c>
    </row>
    <row r="84" ht="15" customHeight="1">
      <c r="A84" t="inlineStr">
        <is>
          <t>A 29095-2021</t>
        </is>
      </c>
      <c r="B84" s="1" t="n">
        <v>44358</v>
      </c>
      <c r="C84" s="1" t="n">
        <v>45337</v>
      </c>
      <c r="D84" t="inlineStr">
        <is>
          <t>VÄSTERNORRLANDS LÄN</t>
        </is>
      </c>
      <c r="E84" t="inlineStr">
        <is>
          <t>ÅNGE</t>
        </is>
      </c>
      <c r="F84" t="inlineStr">
        <is>
          <t>Sveaskog</t>
        </is>
      </c>
      <c r="G84" t="n">
        <v>5</v>
      </c>
      <c r="H84" t="n">
        <v>3</v>
      </c>
      <c r="I84" t="n">
        <v>1</v>
      </c>
      <c r="J84" t="n">
        <v>1</v>
      </c>
      <c r="K84" t="n">
        <v>0</v>
      </c>
      <c r="L84" t="n">
        <v>0</v>
      </c>
      <c r="M84" t="n">
        <v>0</v>
      </c>
      <c r="N84" t="n">
        <v>0</v>
      </c>
      <c r="O84" t="n">
        <v>1</v>
      </c>
      <c r="P84" t="n">
        <v>0</v>
      </c>
      <c r="Q84" t="n">
        <v>4</v>
      </c>
      <c r="R84" s="2" t="inlineStr">
        <is>
          <t>Garnlav
Plattlummer
Nattviol
Revlummer</t>
        </is>
      </c>
      <c r="S84">
        <f>HYPERLINK("https://klasma.github.io/Logging_2260/artfynd/A 29095-2021 artfynd.xlsx", "A 29095-2021")</f>
        <v/>
      </c>
      <c r="T84">
        <f>HYPERLINK("https://klasma.github.io/Logging_2260/kartor/A 29095-2021 karta.png", "A 29095-2021")</f>
        <v/>
      </c>
      <c r="V84">
        <f>HYPERLINK("https://klasma.github.io/Logging_2260/klagomål/A 29095-2021 FSC-klagomål.docx", "A 29095-2021")</f>
        <v/>
      </c>
      <c r="W84">
        <f>HYPERLINK("https://klasma.github.io/Logging_2260/klagomålsmail/A 29095-2021 FSC-klagomål mail.docx", "A 29095-2021")</f>
        <v/>
      </c>
      <c r="X84">
        <f>HYPERLINK("https://klasma.github.io/Logging_2260/tillsyn/A 29095-2021 tillsynsbegäran.docx", "A 29095-2021")</f>
        <v/>
      </c>
      <c r="Y84">
        <f>HYPERLINK("https://klasma.github.io/Logging_2260/tillsynsmail/A 29095-2021 tillsynsbegäran mail.docx", "A 29095-2021")</f>
        <v/>
      </c>
    </row>
    <row r="85" ht="15" customHeight="1">
      <c r="A85" t="inlineStr">
        <is>
          <t>A 21878-2022</t>
        </is>
      </c>
      <c r="B85" s="1" t="n">
        <v>44711</v>
      </c>
      <c r="C85" s="1" t="n">
        <v>45337</v>
      </c>
      <c r="D85" t="inlineStr">
        <is>
          <t>VÄSTERNORRLANDS LÄN</t>
        </is>
      </c>
      <c r="E85" t="inlineStr">
        <is>
          <t>ÅNGE</t>
        </is>
      </c>
      <c r="F85" t="inlineStr">
        <is>
          <t>Holmen skog AB</t>
        </is>
      </c>
      <c r="G85" t="n">
        <v>10.4</v>
      </c>
      <c r="H85" t="n">
        <v>0</v>
      </c>
      <c r="I85" t="n">
        <v>2</v>
      </c>
      <c r="J85" t="n">
        <v>2</v>
      </c>
      <c r="K85" t="n">
        <v>0</v>
      </c>
      <c r="L85" t="n">
        <v>0</v>
      </c>
      <c r="M85" t="n">
        <v>0</v>
      </c>
      <c r="N85" t="n">
        <v>0</v>
      </c>
      <c r="O85" t="n">
        <v>2</v>
      </c>
      <c r="P85" t="n">
        <v>0</v>
      </c>
      <c r="Q85" t="n">
        <v>4</v>
      </c>
      <c r="R85" s="2" t="inlineStr">
        <is>
          <t>Lunglav
Småflikig brosklav
Korallblylav
Robust tickgnagare</t>
        </is>
      </c>
      <c r="S85">
        <f>HYPERLINK("https://klasma.github.io/Logging_2260/artfynd/A 21878-2022 artfynd.xlsx", "A 21878-2022")</f>
        <v/>
      </c>
      <c r="T85">
        <f>HYPERLINK("https://klasma.github.io/Logging_2260/kartor/A 21878-2022 karta.png", "A 21878-2022")</f>
        <v/>
      </c>
      <c r="V85">
        <f>HYPERLINK("https://klasma.github.io/Logging_2260/klagomål/A 21878-2022 FSC-klagomål.docx", "A 21878-2022")</f>
        <v/>
      </c>
      <c r="W85">
        <f>HYPERLINK("https://klasma.github.io/Logging_2260/klagomålsmail/A 21878-2022 FSC-klagomål mail.docx", "A 21878-2022")</f>
        <v/>
      </c>
      <c r="X85">
        <f>HYPERLINK("https://klasma.github.io/Logging_2260/tillsyn/A 21878-2022 tillsynsbegäran.docx", "A 21878-2022")</f>
        <v/>
      </c>
      <c r="Y85">
        <f>HYPERLINK("https://klasma.github.io/Logging_2260/tillsynsmail/A 21878-2022 tillsynsbegäran mail.docx", "A 21878-2022")</f>
        <v/>
      </c>
    </row>
    <row r="86" ht="15" customHeight="1">
      <c r="A86" t="inlineStr">
        <is>
          <t>A 26112-2022</t>
        </is>
      </c>
      <c r="B86" s="1" t="n">
        <v>44734</v>
      </c>
      <c r="C86" s="1" t="n">
        <v>45337</v>
      </c>
      <c r="D86" t="inlineStr">
        <is>
          <t>VÄSTERNORRLANDS LÄN</t>
        </is>
      </c>
      <c r="E86" t="inlineStr">
        <is>
          <t>ÅNGE</t>
        </is>
      </c>
      <c r="G86" t="n">
        <v>29.4</v>
      </c>
      <c r="H86" t="n">
        <v>0</v>
      </c>
      <c r="I86" t="n">
        <v>1</v>
      </c>
      <c r="J86" t="n">
        <v>2</v>
      </c>
      <c r="K86" t="n">
        <v>1</v>
      </c>
      <c r="L86" t="n">
        <v>0</v>
      </c>
      <c r="M86" t="n">
        <v>0</v>
      </c>
      <c r="N86" t="n">
        <v>0</v>
      </c>
      <c r="O86" t="n">
        <v>3</v>
      </c>
      <c r="P86" t="n">
        <v>1</v>
      </c>
      <c r="Q86" t="n">
        <v>4</v>
      </c>
      <c r="R86" s="2" t="inlineStr">
        <is>
          <t>Liten hornflikmossa
Mörk kolflarnlav
Vedtrappmossa
Dropptaggsvamp</t>
        </is>
      </c>
      <c r="S86">
        <f>HYPERLINK("https://klasma.github.io/Logging_2260/artfynd/A 26112-2022 artfynd.xlsx", "A 26112-2022")</f>
        <v/>
      </c>
      <c r="T86">
        <f>HYPERLINK("https://klasma.github.io/Logging_2260/kartor/A 26112-2022 karta.png", "A 26112-2022")</f>
        <v/>
      </c>
      <c r="V86">
        <f>HYPERLINK("https://klasma.github.io/Logging_2260/klagomål/A 26112-2022 FSC-klagomål.docx", "A 26112-2022")</f>
        <v/>
      </c>
      <c r="W86">
        <f>HYPERLINK("https://klasma.github.io/Logging_2260/klagomålsmail/A 26112-2022 FSC-klagomål mail.docx", "A 26112-2022")</f>
        <v/>
      </c>
      <c r="X86">
        <f>HYPERLINK("https://klasma.github.io/Logging_2260/tillsyn/A 26112-2022 tillsynsbegäran.docx", "A 26112-2022")</f>
        <v/>
      </c>
      <c r="Y86">
        <f>HYPERLINK("https://klasma.github.io/Logging_2260/tillsynsmail/A 26112-2022 tillsynsbegäran mail.docx", "A 26112-2022")</f>
        <v/>
      </c>
    </row>
    <row r="87" ht="15" customHeight="1">
      <c r="A87" t="inlineStr">
        <is>
          <t>A 32897-2023</t>
        </is>
      </c>
      <c r="B87" s="1" t="n">
        <v>45124</v>
      </c>
      <c r="C87" s="1" t="n">
        <v>45337</v>
      </c>
      <c r="D87" t="inlineStr">
        <is>
          <t>VÄSTERNORRLANDS LÄN</t>
        </is>
      </c>
      <c r="E87" t="inlineStr">
        <is>
          <t>ÅNGE</t>
        </is>
      </c>
      <c r="F87" t="inlineStr">
        <is>
          <t>SCA</t>
        </is>
      </c>
      <c r="G87" t="n">
        <v>8.1</v>
      </c>
      <c r="H87" t="n">
        <v>1</v>
      </c>
      <c r="I87" t="n">
        <v>0</v>
      </c>
      <c r="J87" t="n">
        <v>3</v>
      </c>
      <c r="K87" t="n">
        <v>1</v>
      </c>
      <c r="L87" t="n">
        <v>0</v>
      </c>
      <c r="M87" t="n">
        <v>0</v>
      </c>
      <c r="N87" t="n">
        <v>0</v>
      </c>
      <c r="O87" t="n">
        <v>4</v>
      </c>
      <c r="P87" t="n">
        <v>1</v>
      </c>
      <c r="Q87" t="n">
        <v>4</v>
      </c>
      <c r="R87" s="2" t="inlineStr">
        <is>
          <t>Doftticka
Gammelgransskål
Garnlav
Lunglav</t>
        </is>
      </c>
      <c r="S87">
        <f>HYPERLINK("https://klasma.github.io/Logging_2260/artfynd/A 32897-2023 artfynd.xlsx", "A 32897-2023")</f>
        <v/>
      </c>
      <c r="T87">
        <f>HYPERLINK("https://klasma.github.io/Logging_2260/kartor/A 32897-2023 karta.png", "A 32897-2023")</f>
        <v/>
      </c>
      <c r="V87">
        <f>HYPERLINK("https://klasma.github.io/Logging_2260/klagomål/A 32897-2023 FSC-klagomål.docx", "A 32897-2023")</f>
        <v/>
      </c>
      <c r="W87">
        <f>HYPERLINK("https://klasma.github.io/Logging_2260/klagomålsmail/A 32897-2023 FSC-klagomål mail.docx", "A 32897-2023")</f>
        <v/>
      </c>
      <c r="X87">
        <f>HYPERLINK("https://klasma.github.io/Logging_2260/tillsyn/A 32897-2023 tillsynsbegäran.docx", "A 32897-2023")</f>
        <v/>
      </c>
      <c r="Y87">
        <f>HYPERLINK("https://klasma.github.io/Logging_2260/tillsynsmail/A 32897-2023 tillsynsbegäran mail.docx", "A 32897-2023")</f>
        <v/>
      </c>
    </row>
    <row r="88" ht="15" customHeight="1">
      <c r="A88" t="inlineStr">
        <is>
          <t>A 54810-2023</t>
        </is>
      </c>
      <c r="B88" s="1" t="n">
        <v>45236</v>
      </c>
      <c r="C88" s="1" t="n">
        <v>45337</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45337</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45337</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45337</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45337</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45337</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45337</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45337</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45337</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45337</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45337</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45337</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45337</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45337</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45337</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45337</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45337</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45337</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45337</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45337</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45337</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45337</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45337</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45337</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45337</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45337</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45337</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45337</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45337</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45337</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45337</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45337</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45337</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45337</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45337</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45337</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45337</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45337</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45337</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45337</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45337</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45337</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45337</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45337</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45337</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45337</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45337</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45337</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45337</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45337</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45337</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45337</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45337</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45337</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45337</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45337</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45337</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45337</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45337</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45337</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45337</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45337</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45337</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45337</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45337</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45337</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45337</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45337</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45337</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45337</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45337</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45337</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45337</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45337</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45337</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45337</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45337</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45337</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45337</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45337</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45337</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45337</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45337</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45337</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45337</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45337</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45337</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45337</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45337</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45337</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45337</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45337</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45337</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45337</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45337</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45337</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45337</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45337</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2429-2024</t>
        </is>
      </c>
      <c r="B186" s="1" t="n">
        <v>45310</v>
      </c>
      <c r="C186" s="1" t="n">
        <v>45337</v>
      </c>
      <c r="D186" t="inlineStr">
        <is>
          <t>VÄSTERNORRLANDS LÄN</t>
        </is>
      </c>
      <c r="E186" t="inlineStr">
        <is>
          <t>ÅNGE</t>
        </is>
      </c>
      <c r="F186" t="inlineStr">
        <is>
          <t>SCA</t>
        </is>
      </c>
      <c r="G186" t="n">
        <v>8.199999999999999</v>
      </c>
      <c r="H186" t="n">
        <v>0</v>
      </c>
      <c r="I186" t="n">
        <v>0</v>
      </c>
      <c r="J186" t="n">
        <v>1</v>
      </c>
      <c r="K186" t="n">
        <v>0</v>
      </c>
      <c r="L186" t="n">
        <v>0</v>
      </c>
      <c r="M186" t="n">
        <v>0</v>
      </c>
      <c r="N186" t="n">
        <v>0</v>
      </c>
      <c r="O186" t="n">
        <v>1</v>
      </c>
      <c r="P186" t="n">
        <v>0</v>
      </c>
      <c r="Q186" t="n">
        <v>1</v>
      </c>
      <c r="R186" s="2" t="inlineStr">
        <is>
          <t>Kolflarnlav</t>
        </is>
      </c>
      <c r="S186">
        <f>HYPERLINK("https://klasma.github.io/Logging_2260/artfynd/A 2429-2024 artfynd.xlsx", "A 2429-2024")</f>
        <v/>
      </c>
      <c r="T186">
        <f>HYPERLINK("https://klasma.github.io/Logging_2260/kartor/A 2429-2024 karta.png", "A 2429-2024")</f>
        <v/>
      </c>
      <c r="V186">
        <f>HYPERLINK("https://klasma.github.io/Logging_2260/klagomål/A 2429-2024 FSC-klagomål.docx", "A 2429-2024")</f>
        <v/>
      </c>
      <c r="W186">
        <f>HYPERLINK("https://klasma.github.io/Logging_2260/klagomålsmail/A 2429-2024 FSC-klagomål mail.docx", "A 2429-2024")</f>
        <v/>
      </c>
      <c r="X186">
        <f>HYPERLINK("https://klasma.github.io/Logging_2260/tillsyn/A 2429-2024 tillsynsbegäran.docx", "A 2429-2024")</f>
        <v/>
      </c>
      <c r="Y186">
        <f>HYPERLINK("https://klasma.github.io/Logging_2260/tillsynsmail/A 2429-2024 tillsynsbegäran mail.docx", "A 2429-2024")</f>
        <v/>
      </c>
    </row>
    <row r="187" ht="15" customHeight="1">
      <c r="A187" t="inlineStr">
        <is>
          <t>A 2431-2024</t>
        </is>
      </c>
      <c r="B187" s="1" t="n">
        <v>45310</v>
      </c>
      <c r="C187" s="1" t="n">
        <v>45337</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4922-2024</t>
        </is>
      </c>
      <c r="B188" s="1" t="n">
        <v>45329</v>
      </c>
      <c r="C188" s="1" t="n">
        <v>45337</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45337</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45337</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45337</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45337</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45337</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45337</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45337</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45337</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45337</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45337</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45337</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45337</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45337</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45337</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45337</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45337</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45337</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45337</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45337</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45337</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45337</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45337</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45337</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45337</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45337</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45337</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45337</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45337</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45337</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45337</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45337</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45337</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45337</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45337</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45337</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45337</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45337</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45337</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45337</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45337</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45337</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45337</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45337</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45337</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45337</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45337</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45337</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45337</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45337</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45337</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45337</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45337</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45337</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45337</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45337</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45337</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45337</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45337</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45337</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45337</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45337</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45337</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45337</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45337</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45337</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45337</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45337</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45337</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45337</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45337</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45337</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45337</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45337</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45337</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45337</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45337</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45337</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45337</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45337</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45337</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45337</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45337</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45337</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45337</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45337</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45337</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45337</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45337</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45337</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45337</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45337</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45337</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45337</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45337</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45337</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45337</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45337</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45337</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45337</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45337</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45337</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45337</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45337</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45337</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45337</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45337</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45337</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45337</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45337</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45337</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45337</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45337</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45337</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45337</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45337</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45337</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45337</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45337</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45337</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45337</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45337</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45337</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45337</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45337</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45337</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45337</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45337</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45337</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45337</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45337</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45337</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45337</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45337</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45337</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45337</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45337</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45337</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45337</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45337</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45337</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45337</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45337</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45337</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45337</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45337</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45337</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45337</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45337</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45337</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45337</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45337</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45337</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45337</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45337</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45337</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45337</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45337</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45337</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45337</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45337</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45337</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45337</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45337</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45337</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45337</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45337</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45337</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45337</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45337</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45337</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45337</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45337</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45337</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45337</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45337</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45337</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45337</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45337</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45337</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45337</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45337</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45337</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45337</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45337</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45337</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45337</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45337</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45337</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45337</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45337</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45337</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45337</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45337</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45337</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45337</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45337</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45337</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45337</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45337</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45337</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45337</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45337</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45337</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45337</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45337</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45337</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45337</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45337</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45337</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45337</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45337</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45337</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45337</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45337</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45337</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45337</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45337</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45337</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45337</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45337</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45337</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45337</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45337</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45337</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45337</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45337</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45337</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45337</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45337</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45337</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45337</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45337</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45337</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45337</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45337</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45337</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45337</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45337</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45337</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45337</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45337</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45337</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45337</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45337</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45337</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45337</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45337</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45337</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45337</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45337</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45337</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45337</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45337</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45337</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45337</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45337</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45337</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45337</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45337</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45337</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45337</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45337</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45337</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45337</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45337</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45337</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45337</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45337</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45337</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45337</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45337</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45337</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45337</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45337</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45337</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45337</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45337</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45337</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45337</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45337</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45337</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45337</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45337</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45337</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45337</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45337</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45337</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45337</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45337</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45337</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45337</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45337</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45337</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45337</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45337</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45337</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45337</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45337</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45337</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45337</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45337</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45337</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45337</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45337</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45337</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45337</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45337</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45337</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45337</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45337</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45337</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45337</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45337</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45337</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45337</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45337</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45337</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45337</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45337</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45337</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45337</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45337</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45337</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45337</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45337</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45337</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45337</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45337</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45337</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45337</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45337</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45337</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45337</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45337</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45337</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45337</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45337</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45337</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45337</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45337</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45337</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45337</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45337</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45337</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45337</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45337</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45337</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45337</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45337</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45337</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45337</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45337</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45337</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45337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45337</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45337</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45337</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45337</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45337</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45337</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45337</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45337</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45337</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45337</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45337</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45337</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45337</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45337</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45337</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45337</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45337</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45337</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45337</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45337</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45337</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45337</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45337</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45337</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45337</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45337</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45337</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45337</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45337</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45337</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45337</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45337</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45337</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45337</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45337</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45337</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45337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45337</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45337</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45337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45337</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45337</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45337</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45337</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45337</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45337</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45337</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45337</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45337</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45337</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45337</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45337</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45337</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45337</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45337</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45337</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45337</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45337</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45337</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45337</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45337</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45337</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45337</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45337</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45337</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45337</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45337</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45337</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45337</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45337</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45337</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45337</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45337</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45337</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45337</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45337</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45337</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45337</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45337</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45337</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45337</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45337</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45337</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45337</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45337</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45337</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45337</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45337</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45337</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45337</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45337</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45337</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45337</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45337</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45337</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45337</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45337</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45337</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45337</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45337</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45337</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45337</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45337</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45337</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45337</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45337</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45337</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45337</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45337</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45337</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45337</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45337</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45337</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45337</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45337</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45337</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45337</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45337</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45337</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45337</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45337</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45337</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45337</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45337</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45337</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45337</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45337</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45337</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45337</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45337</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45337</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45337</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45337</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45337</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45337</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45337</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45337</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45337</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45337</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45337</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45337</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45337</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45337</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45337</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45337</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45337</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45337</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45337</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45337</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45337</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45337</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45337</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45337</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45337</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45337</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45337</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45337</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45337</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45337</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45337</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45337</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45337</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45337</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45337</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45337</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45337</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45337</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45337</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45337</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45337</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45337</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45337</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45337</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45337</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45337</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45337</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45337</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45337</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45337</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45337</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45337</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45337</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45337</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45337</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45337</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45337</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45337</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45337</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45337</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45337</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45337</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45337</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45337</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45337</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45337</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45337</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45337</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45337</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45337</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45337</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45337</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45337</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45337</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45337</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45337</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45337</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45337</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45337</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45337</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45337</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45337</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45337</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45337</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45337</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45337</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45337</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45337</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45337</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45337</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45337</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45337</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45337</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45337</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45337</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45337</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45337</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45337</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45337</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45337</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45337</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45337</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45337</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45337</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45337</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45337</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45337</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45337</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45337</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45337</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45337</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45337</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45337</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45337</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45337</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45337</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45337</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45337</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45337</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45337</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45337</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45337</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45337</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45337</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45337</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45337</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45337</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45337</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45337</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45337</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45337</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45337</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45337</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45337</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45337</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45337</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45337</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45337</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45337</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45337</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45337</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45337</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45337</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45337</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45337</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45337</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45337</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45337</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45337</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45337</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45337</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45337</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45337</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45337</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45337</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45337</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45337</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45337</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45337</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45337</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45337</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45337</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45337</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45337</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45337</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45337</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45337</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45337</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45337</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45337</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45337</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45337</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45337</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45337</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45337</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45337</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45337</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45337</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45337</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45337</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45337</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45337</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45337</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45337</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45337</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45337</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45337</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45337</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45337</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45337</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45337</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45337</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45337</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45337</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45337</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45337</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45337</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45337</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45337</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45337</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45337</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45337</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45337</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45337</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45337</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45337</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45337</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45337</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45337</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45337</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45337</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45337</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45337</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45337</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45337</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45337</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45337</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45337</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45337</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45337</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45337</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45337</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45337</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45337</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45337</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45337</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45337</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45337</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45337</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45337</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45337</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45337</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45337</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45337</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45337</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45337</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45337</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45337</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45337</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45337</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45337</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45337</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45337</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45337</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45337</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45337</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45337</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45337</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45337</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45337</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45337</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45337</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45337</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45337</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45337</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45337</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45337</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45337</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45337</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45337</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45337</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45337</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45337</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45337</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45337</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45337</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45337</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45337</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45337</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45337</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45337</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45337</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45337</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45337</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45337</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45337</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45337</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45337</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45337</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45337</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45337</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45337</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45337</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45337</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45337</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45337</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45337</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45337</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45337</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45337</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45337</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45337</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45337</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45337</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45337</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45337</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45337</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45337</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45337</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45337</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45337</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45337</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45337</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45337</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45337</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45337</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45337</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45337</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45337</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45337</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45337</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45337</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45337</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45337</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45337</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45337</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45337</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45337</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45337</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45337</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45337</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45337</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45337</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45337</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45337</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45337</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45337</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45337</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45337</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45337</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45337</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45337</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45337</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45337</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45337</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45337</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45337</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45337</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45337</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45337</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45337</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45337</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45337</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45337</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45337</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45337</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45337</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45337</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45337</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45337</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45337</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45337</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45337</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45337</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45337</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45337</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45337</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45337</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45337</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45337</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45337</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45337</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45337</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45337</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45337</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45337</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45337</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45337</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45337</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45337</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45337</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45337</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45337</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45337</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45337</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45337</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45337</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45337</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45337</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45337</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45337</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45337</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45337</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45337</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45337</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45337</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45337</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45337</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45337</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45337</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45337</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45337</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45337</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45337</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45337</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45337</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45337</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45337</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45337</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45337</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45337</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45337</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45337</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45337</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45337</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45337</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45337</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45337</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45337</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45337</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45337</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45337</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45337</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45337</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45337</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45337</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45337</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45337</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45337</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45337</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45337</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45337</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45337</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45337</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45337</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45337</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45337</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45337</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45337</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45337</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45337</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45337</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45337</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45337</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45337</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45337</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45337</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45337</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45337</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45337</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45337</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45337</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45337</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45337</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45337</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45337</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45337</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45337</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45337</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45337</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45337</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45337</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45337</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45337</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45337</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45337</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45337</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45337</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45337</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45337</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45337</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45337</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45337</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45337</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45337</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45337</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45337</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45337</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45337</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45337</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45337</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45337</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45337</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45337</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45337</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45337</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45337</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45337</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45337</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45337</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45337</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45337</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45337</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45337</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45337</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45337</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45337</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45337</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45337</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45337</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45337</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45337</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45337</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45337</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45337</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45337</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45337</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45337</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45337</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45337</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45337</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45337</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45337</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45337</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45337</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45337</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45337</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45337</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45337</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45337</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45337</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45337</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45337</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45337</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45337</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45337</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45337</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45337</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45337</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45337</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45337</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45337</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45337</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45337</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45337</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45337</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45337</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45337</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45337</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45337</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45337</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45337</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45337</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45337</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45337</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45337</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45337</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45337</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45337</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45337</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45337</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45337</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45337</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45337</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45337</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45337</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45337</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45337</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45337</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45337</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45337</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45337</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45337</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45337</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45337</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45337</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45337</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45337</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45337</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45337</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45337</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45337</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45337</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45337</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45337</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45337</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45337</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45337</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45337</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45337</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45337</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45337</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45337</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45337</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45337</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45337</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45337</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45337</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45337</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45337</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45337</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45337</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45337</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45337</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45337</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45337</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45337</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45337</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45337</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45337</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45337</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45337</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45337</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45337</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45337</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45337</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45337</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45337</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45337</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45337</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45337</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45337</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45337</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45337</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45337</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45337</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45337</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45337</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45337</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45337</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45337</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45337</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45337</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45337</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45337</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45337</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45337</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45337</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45337</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45337</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45337</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45337</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45337</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45337</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45337</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45337</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45337</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45337</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45337</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45337</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45337</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45337</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45337</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45337</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45337</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45337</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45337</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45337</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45337</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45337</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45337</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45337</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45337</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45337</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45337</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45337</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45337</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45337</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45337</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45337</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45337</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45337</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45337</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45337</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45337</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45337</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45337</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45337</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45337</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45337</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45337</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45337</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45337</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45337</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45337</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45337</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45337</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45337</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45337</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45337</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45337</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45337</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45337</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45337</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45337</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45337</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45337</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45337</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45337</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45337</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45337</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45337</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45337</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45337</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45337</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45337</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45337</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45337</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45337</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45337</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45337</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45337</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45337</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45337</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45337</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45337</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45337</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45337</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45337</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45337</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45337</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45337</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45337</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45337</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45337</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45337</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45337</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45337</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45337</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45337</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45337</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45337</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45337</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45337</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45337</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45337</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45337</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45337</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45337</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45337</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45337</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45337</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45337</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45337</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45337</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45337</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45337</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45337</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45337</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45337</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45337</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45337</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45337</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45337</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45337</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45337</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45337</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45337</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45337</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45337</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45337</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45337</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45337</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45337</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45337</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45337</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45337</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45337</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45337</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45337</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45337</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45337</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45337</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45337</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45337</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45337</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45337</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45337</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45337</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45337</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45337</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45337</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45337</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45337</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45337</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45337</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45337</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45337</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45337</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45337</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45337</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45337</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45337</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45337</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45337</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45337</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45337</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45337</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45337</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45337</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45337</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45337</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45337</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45337</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45337</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45337</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45337</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45337</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45337</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45337</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45337</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45337</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45337</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45337</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45337</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45337</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45337</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45337</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45337</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45337</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45337</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45337</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45337</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45337</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45337</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45337</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45337</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45337</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45337</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45337</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45337</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45337</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45337</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45337</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45337</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45337</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45337</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45337</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45337</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45337</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45337</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45337</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45337</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45337</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45337</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45337</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45337</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45337</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45337</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45337</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45337</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45337</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45337</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45337</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45337</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45337</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45337</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45337</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45337</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45337</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45337</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45337</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45337</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45337</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45337</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45337</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45337</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45337</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45337</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45337</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45337</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45337</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45337</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45337</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45337</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45337</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45337</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45337</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45337</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45337</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45337</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45337</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45337</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45337</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45337</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45337</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45337</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45337</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45337</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45337</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45337</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45337</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45337</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45337</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45337</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45337</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45337</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45337</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45337</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45337</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45337</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45337</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45337</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45337</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45337</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45337</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45337</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45337</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45337</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45337</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45337</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45337</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45337</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45337</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45337</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45337</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45337</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45337</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45337</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45337</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45337</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45337</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45337</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45337</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45337</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45337</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45337</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45337</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45337</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45337</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45337</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45337</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45337</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45337</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45337</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45337</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45337</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45337</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45337</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45337</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45337</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45337</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45337</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45337</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45337</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45337</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45337</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45337</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45337</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45337</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45337</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45337</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45337</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45337</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45337</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45337</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45337</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45337</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45337</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45337</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45337</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45337</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45337</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45337</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45337</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45337</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45337</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45337</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45337</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45337</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45337</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45337</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45337</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45337</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45337</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45337</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45337</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45337</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45337</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45337</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45337</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45337</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45337</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45337</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45337</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45337</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45337</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45337</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45337</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45337</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45337</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45337</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45337</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45337</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45337</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45337</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2432-2024</t>
        </is>
      </c>
      <c r="B1648" s="1" t="n">
        <v>45310</v>
      </c>
      <c r="C1648" s="1" t="n">
        <v>45337</v>
      </c>
      <c r="D1648" t="inlineStr">
        <is>
          <t>VÄSTERNORRLANDS LÄN</t>
        </is>
      </c>
      <c r="E1648" t="inlineStr">
        <is>
          <t>ÅNGE</t>
        </is>
      </c>
      <c r="F1648" t="inlineStr">
        <is>
          <t>SCA</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2434-2024</t>
        </is>
      </c>
      <c r="B1649" s="1" t="n">
        <v>45310</v>
      </c>
      <c r="C1649" s="1" t="n">
        <v>45337</v>
      </c>
      <c r="D1649" t="inlineStr">
        <is>
          <t>VÄSTERNORRLANDS LÄN</t>
        </is>
      </c>
      <c r="E1649" t="inlineStr">
        <is>
          <t>ÅNGE</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45337</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45337</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2435-2024</t>
        </is>
      </c>
      <c r="B1652" s="1" t="n">
        <v>45310</v>
      </c>
      <c r="C1652" s="1" t="n">
        <v>45337</v>
      </c>
      <c r="D1652" t="inlineStr">
        <is>
          <t>VÄSTERNORRLANDS LÄN</t>
        </is>
      </c>
      <c r="E1652" t="inlineStr">
        <is>
          <t>ÅNGE</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45337</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45337</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45337</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3256-2024</t>
        </is>
      </c>
      <c r="B1656" s="1" t="n">
        <v>45316</v>
      </c>
      <c r="C1656" s="1" t="n">
        <v>45337</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45337</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45337</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45337</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45337</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45337</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45337</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45337</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45337</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45337</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45337</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45337</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4140-2024</t>
        </is>
      </c>
      <c r="B1668" s="1" t="n">
        <v>45323</v>
      </c>
      <c r="C1668" s="1" t="n">
        <v>45337</v>
      </c>
      <c r="D1668" t="inlineStr">
        <is>
          <t>VÄSTERNORRLANDS LÄN</t>
        </is>
      </c>
      <c r="E1668" t="inlineStr">
        <is>
          <t>ÅNGE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45337</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45337</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45337</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45337</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45337</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45337</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45337</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45337</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45337</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45337</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45337</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45337</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45337</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45331</v>
      </c>
      <c r="C1682" s="1" t="n">
        <v>45337</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45337</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45337</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45337</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45337</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45337</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c r="A1688" t="inlineStr">
        <is>
          <t>A 6028-2024</t>
        </is>
      </c>
      <c r="B1688" s="1" t="n">
        <v>45336</v>
      </c>
      <c r="C1688" s="1" t="n">
        <v>45337</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2024-02-15T10:53:52Z</dcterms:created>
  <dcterms:modified xmlns:dcterms="http://purl.org/dc/terms/" xmlns:xsi="http://www.w3.org/2001/XMLSchema-instance" xsi:type="dcterms:W3CDTF">2024-02-15T10:53:53Z</dcterms:modified>
</cp:coreProperties>
</file>