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45967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45967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45967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45967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45967</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26959-2024</t>
        </is>
      </c>
      <c r="B18" s="1" t="n">
        <v>45470</v>
      </c>
      <c r="C18" s="1" t="n">
        <v>45967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45967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45967</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54677-2023</t>
        </is>
      </c>
      <c r="B21" s="1" t="n">
        <v>45235</v>
      </c>
      <c r="C21" s="1" t="n">
        <v>45967</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45967</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45967</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45967</v>
      </c>
      <c r="D24" t="inlineStr">
        <is>
          <t>VÄSTERNORRLANDS LÄN</t>
        </is>
      </c>
      <c r="E24" t="inlineStr">
        <is>
          <t>ÅNGE</t>
        </is>
      </c>
      <c r="G24" t="n">
        <v>8.1</v>
      </c>
      <c r="H24" t="n">
        <v>5</v>
      </c>
      <c r="I24" t="n">
        <v>4</v>
      </c>
      <c r="J24" t="n">
        <v>8</v>
      </c>
      <c r="K24" t="n">
        <v>3</v>
      </c>
      <c r="L24" t="n">
        <v>0</v>
      </c>
      <c r="M24" t="n">
        <v>0</v>
      </c>
      <c r="N24" t="n">
        <v>0</v>
      </c>
      <c r="O24" t="n">
        <v>11</v>
      </c>
      <c r="P24" t="n">
        <v>3</v>
      </c>
      <c r="Q24" t="n">
        <v>16</v>
      </c>
      <c r="R24" s="2" t="inlineStr">
        <is>
          <t>Knärot
Lappticka
Rynkskinn
Doftskinn
Garnlav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45967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45967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45967</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45967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45967</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45967</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45967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45967</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45967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45967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45967</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45967</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41874-2025</t>
        </is>
      </c>
      <c r="B38" s="1" t="n">
        <v>45903.3452662037</v>
      </c>
      <c r="C38" s="1" t="n">
        <v>45967</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6429-2022</t>
        </is>
      </c>
      <c r="B39" s="1" t="n">
        <v>44600</v>
      </c>
      <c r="C39" s="1" t="n">
        <v>45967</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33783-2025</t>
        </is>
      </c>
      <c r="B40" s="1" t="n">
        <v>45842.40699074074</v>
      </c>
      <c r="C40" s="1" t="n">
        <v>45967</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39496-2024</t>
        </is>
      </c>
      <c r="B41" s="1" t="n">
        <v>45551</v>
      </c>
      <c r="C41" s="1" t="n">
        <v>45967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45967</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45967</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45967</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30474-2025</t>
        </is>
      </c>
      <c r="B45" s="1" t="n">
        <v>45828.34430555555</v>
      </c>
      <c r="C45" s="1" t="n">
        <v>45967</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45967</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26314-2024</t>
        </is>
      </c>
      <c r="B47" s="1" t="n">
        <v>45468</v>
      </c>
      <c r="C47" s="1" t="n">
        <v>45967</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45967</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45967</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20694-2022</t>
        </is>
      </c>
      <c r="B50" s="1" t="n">
        <v>44700</v>
      </c>
      <c r="C50" s="1" t="n">
        <v>45967</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44607-2021</t>
        </is>
      </c>
      <c r="B51" s="1" t="n">
        <v>44435</v>
      </c>
      <c r="C51" s="1" t="n">
        <v>45967</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26473-2025</t>
        </is>
      </c>
      <c r="B52" s="1" t="n">
        <v>45807</v>
      </c>
      <c r="C52" s="1" t="n">
        <v>45967</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45967</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45967</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45967</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10086-2023</t>
        </is>
      </c>
      <c r="B56" s="1" t="n">
        <v>44985</v>
      </c>
      <c r="C56" s="1" t="n">
        <v>45967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40545-2024</t>
        </is>
      </c>
      <c r="B57" s="1" t="n">
        <v>45555</v>
      </c>
      <c r="C57" s="1" t="n">
        <v>45967</v>
      </c>
      <c r="D57" t="inlineStr">
        <is>
          <t>VÄSTERNORRLANDS LÄN</t>
        </is>
      </c>
      <c r="E57" t="inlineStr">
        <is>
          <t>ÅNGE</t>
        </is>
      </c>
      <c r="F57" t="inlineStr">
        <is>
          <t>SCA</t>
        </is>
      </c>
      <c r="G57" t="n">
        <v>9.1</v>
      </c>
      <c r="H57" t="n">
        <v>3</v>
      </c>
      <c r="I57" t="n">
        <v>1</v>
      </c>
      <c r="J57" t="n">
        <v>6</v>
      </c>
      <c r="K57" t="n">
        <v>1</v>
      </c>
      <c r="L57" t="n">
        <v>0</v>
      </c>
      <c r="M57" t="n">
        <v>0</v>
      </c>
      <c r="N57" t="n">
        <v>0</v>
      </c>
      <c r="O57" t="n">
        <v>7</v>
      </c>
      <c r="P57" t="n">
        <v>1</v>
      </c>
      <c r="Q57" t="n">
        <v>8</v>
      </c>
      <c r="R57" s="2" t="inlineStr">
        <is>
          <t>Knärot
Garnlav
Granticka
Lunglav
Talltita
Tretåig hackspett
Ullticka
Stuplav</t>
        </is>
      </c>
      <c r="S57">
        <f>HYPERLINK("https://klasma.github.io/Logging_2260/artfynd/A 40545-2024 artfynd.xlsx", "A 40545-2024")</f>
        <v/>
      </c>
      <c r="T57">
        <f>HYPERLINK("https://klasma.github.io/Logging_2260/kartor/A 40545-2024 karta.png", "A 40545-2024")</f>
        <v/>
      </c>
      <c r="U57">
        <f>HYPERLINK("https://klasma.github.io/Logging_2260/knärot/A 40545-2024 karta knärot.png", "A 40545-2024")</f>
        <v/>
      </c>
      <c r="V57">
        <f>HYPERLINK("https://klasma.github.io/Logging_2260/klagomål/A 40545-2024 FSC-klagomål.docx", "A 40545-2024")</f>
        <v/>
      </c>
      <c r="W57">
        <f>HYPERLINK("https://klasma.github.io/Logging_2260/klagomålsmail/A 40545-2024 FSC-klagomål mail.docx", "A 40545-2024")</f>
        <v/>
      </c>
      <c r="X57">
        <f>HYPERLINK("https://klasma.github.io/Logging_2260/tillsyn/A 40545-2024 tillsynsbegäran.docx", "A 40545-2024")</f>
        <v/>
      </c>
      <c r="Y57">
        <f>HYPERLINK("https://klasma.github.io/Logging_2260/tillsynsmail/A 40545-2024 tillsynsbegäran mail.docx", "A 40545-2024")</f>
        <v/>
      </c>
      <c r="Z57">
        <f>HYPERLINK("https://klasma.github.io/Logging_2260/fåglar/A 40545-2024 prioriterade fågelarter.docx", "A 40545-2024")</f>
        <v/>
      </c>
    </row>
    <row r="58" ht="15" customHeight="1">
      <c r="A58" t="inlineStr">
        <is>
          <t>A 39065-2023</t>
        </is>
      </c>
      <c r="B58" s="1" t="n">
        <v>45163</v>
      </c>
      <c r="C58" s="1" t="n">
        <v>45967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31113-2025</t>
        </is>
      </c>
      <c r="B59" s="1" t="n">
        <v>45832.61501157407</v>
      </c>
      <c r="C59" s="1" t="n">
        <v>45967</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45967</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45967</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45967</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45967</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45967</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45967</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45967</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45967</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34694-2023</t>
        </is>
      </c>
      <c r="B68" s="1" t="n">
        <v>45140.96324074074</v>
      </c>
      <c r="C68" s="1" t="n">
        <v>45967</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53456-2023</t>
        </is>
      </c>
      <c r="B69" s="1" t="n">
        <v>45229</v>
      </c>
      <c r="C69" s="1" t="n">
        <v>45967</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10085-2023</t>
        </is>
      </c>
      <c r="B70" s="1" t="n">
        <v>44985.9447337963</v>
      </c>
      <c r="C70" s="1" t="n">
        <v>45967</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45967</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31509-2024</t>
        </is>
      </c>
      <c r="B72" s="1" t="n">
        <v>45505</v>
      </c>
      <c r="C72" s="1" t="n">
        <v>45967</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39570-2025</t>
        </is>
      </c>
      <c r="B73" s="1" t="n">
        <v>45890.49009259259</v>
      </c>
      <c r="C73" s="1" t="n">
        <v>45967</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48191-2025</t>
        </is>
      </c>
      <c r="B74" s="1" t="n">
        <v>45933.46956018519</v>
      </c>
      <c r="C74" s="1" t="n">
        <v>45967</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45967</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55176-2024</t>
        </is>
      </c>
      <c r="B76" s="1" t="n">
        <v>45621</v>
      </c>
      <c r="C76" s="1" t="n">
        <v>45967</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45967</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45967</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45402-2025</t>
        </is>
      </c>
      <c r="B79" s="1" t="n">
        <v>45922.4278587963</v>
      </c>
      <c r="C79" s="1" t="n">
        <v>45967</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27955-2021</t>
        </is>
      </c>
      <c r="B80" s="1" t="n">
        <v>44354</v>
      </c>
      <c r="C80" s="1" t="n">
        <v>45967</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19010-2025</t>
        </is>
      </c>
      <c r="B81" s="1" t="n">
        <v>45764</v>
      </c>
      <c r="C81" s="1" t="n">
        <v>45967</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45967</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45967</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27914-2024</t>
        </is>
      </c>
      <c r="B84" s="1" t="n">
        <v>45475</v>
      </c>
      <c r="C84" s="1" t="n">
        <v>45967</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45967</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62640-2020</t>
        </is>
      </c>
      <c r="B86" s="1" t="n">
        <v>44161</v>
      </c>
      <c r="C86" s="1" t="n">
        <v>45967</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32911-2024</t>
        </is>
      </c>
      <c r="B87" s="1" t="n">
        <v>45516</v>
      </c>
      <c r="C87" s="1" t="n">
        <v>45967</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46375-2025</t>
        </is>
      </c>
      <c r="B88" s="1" t="n">
        <v>45925.51097222222</v>
      </c>
      <c r="C88" s="1" t="n">
        <v>45967</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38327-2025</t>
        </is>
      </c>
      <c r="B89" s="1" t="n">
        <v>45883.49084490741</v>
      </c>
      <c r="C89" s="1" t="n">
        <v>45967</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38322-2025</t>
        </is>
      </c>
      <c r="B90" s="1" t="n">
        <v>45883.49003472222</v>
      </c>
      <c r="C90" s="1" t="n">
        <v>45967</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47102-2025</t>
        </is>
      </c>
      <c r="B91" s="1" t="n">
        <v>45929</v>
      </c>
      <c r="C91" s="1" t="n">
        <v>45967</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55004-2023</t>
        </is>
      </c>
      <c r="B92" s="1" t="n">
        <v>45236</v>
      </c>
      <c r="C92" s="1" t="n">
        <v>45967</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13696-2023</t>
        </is>
      </c>
      <c r="B93" s="1" t="n">
        <v>45006</v>
      </c>
      <c r="C93" s="1" t="n">
        <v>45967</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23601-2025</t>
        </is>
      </c>
      <c r="B94" s="1" t="n">
        <v>45792</v>
      </c>
      <c r="C94" s="1" t="n">
        <v>45967</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52601-2025</t>
        </is>
      </c>
      <c r="B95" s="1" t="n">
        <v>45954.65677083333</v>
      </c>
      <c r="C95" s="1" t="n">
        <v>45967</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43520-2025</t>
        </is>
      </c>
      <c r="B96" s="1" t="n">
        <v>45911.57364583333</v>
      </c>
      <c r="C96" s="1" t="n">
        <v>45967</v>
      </c>
      <c r="D96" t="inlineStr">
        <is>
          <t>VÄSTERNORRLANDS LÄN</t>
        </is>
      </c>
      <c r="E96" t="inlineStr">
        <is>
          <t>ÅNGE</t>
        </is>
      </c>
      <c r="F96" t="inlineStr">
        <is>
          <t>SCA</t>
        </is>
      </c>
      <c r="G96" t="n">
        <v>2.5</v>
      </c>
      <c r="H96" t="n">
        <v>0</v>
      </c>
      <c r="I96" t="n">
        <v>2</v>
      </c>
      <c r="J96" t="n">
        <v>3</v>
      </c>
      <c r="K96" t="n">
        <v>0</v>
      </c>
      <c r="L96" t="n">
        <v>0</v>
      </c>
      <c r="M96" t="n">
        <v>0</v>
      </c>
      <c r="N96" t="n">
        <v>0</v>
      </c>
      <c r="O96" t="n">
        <v>3</v>
      </c>
      <c r="P96" t="n">
        <v>0</v>
      </c>
      <c r="Q96" t="n">
        <v>5</v>
      </c>
      <c r="R96" s="2" t="inlineStr">
        <is>
          <t>Garnlav
Lunglav
Vedtrappmossa
Bårdlav
Stuplav</t>
        </is>
      </c>
      <c r="S96">
        <f>HYPERLINK("https://klasma.github.io/Logging_2260/artfynd/A 43520-2025 artfynd.xlsx", "A 43520-2025")</f>
        <v/>
      </c>
      <c r="T96">
        <f>HYPERLINK("https://klasma.github.io/Logging_2260/kartor/A 43520-2025 karta.png", "A 43520-2025")</f>
        <v/>
      </c>
      <c r="V96">
        <f>HYPERLINK("https://klasma.github.io/Logging_2260/klagomål/A 43520-2025 FSC-klagomål.docx", "A 43520-2025")</f>
        <v/>
      </c>
      <c r="W96">
        <f>HYPERLINK("https://klasma.github.io/Logging_2260/klagomålsmail/A 43520-2025 FSC-klagomål mail.docx", "A 43520-2025")</f>
        <v/>
      </c>
      <c r="X96">
        <f>HYPERLINK("https://klasma.github.io/Logging_2260/tillsyn/A 43520-2025 tillsynsbegäran.docx", "A 43520-2025")</f>
        <v/>
      </c>
      <c r="Y96">
        <f>HYPERLINK("https://klasma.github.io/Logging_2260/tillsynsmail/A 43520-2025 tillsynsbegäran mail.docx", "A 43520-2025")</f>
        <v/>
      </c>
    </row>
    <row r="97" ht="15" customHeight="1">
      <c r="A97" t="inlineStr">
        <is>
          <t>A 51065-2024</t>
        </is>
      </c>
      <c r="B97" s="1" t="n">
        <v>45603</v>
      </c>
      <c r="C97" s="1" t="n">
        <v>45967</v>
      </c>
      <c r="D97" t="inlineStr">
        <is>
          <t>VÄSTERNORRLANDS LÄN</t>
        </is>
      </c>
      <c r="E97" t="inlineStr">
        <is>
          <t>ÅNGE</t>
        </is>
      </c>
      <c r="F97" t="inlineStr">
        <is>
          <t>SCA</t>
        </is>
      </c>
      <c r="G97" t="n">
        <v>4.1</v>
      </c>
      <c r="H97" t="n">
        <v>2</v>
      </c>
      <c r="I97" t="n">
        <v>0</v>
      </c>
      <c r="J97" t="n">
        <v>4</v>
      </c>
      <c r="K97" t="n">
        <v>1</v>
      </c>
      <c r="L97" t="n">
        <v>0</v>
      </c>
      <c r="M97" t="n">
        <v>0</v>
      </c>
      <c r="N97" t="n">
        <v>0</v>
      </c>
      <c r="O97" t="n">
        <v>5</v>
      </c>
      <c r="P97" t="n">
        <v>1</v>
      </c>
      <c r="Q97" t="n">
        <v>5</v>
      </c>
      <c r="R97" s="2" t="inlineStr">
        <is>
          <t>Knärot
Garnlav
Granticka
Järpe
Lunglav</t>
        </is>
      </c>
      <c r="S97">
        <f>HYPERLINK("https://klasma.github.io/Logging_2260/artfynd/A 51065-2024 artfynd.xlsx", "A 51065-2024")</f>
        <v/>
      </c>
      <c r="T97">
        <f>HYPERLINK("https://klasma.github.io/Logging_2260/kartor/A 51065-2024 karta.png", "A 51065-2024")</f>
        <v/>
      </c>
      <c r="U97">
        <f>HYPERLINK("https://klasma.github.io/Logging_2260/knärot/A 51065-2024 karta knärot.png", "A 51065-2024")</f>
        <v/>
      </c>
      <c r="V97">
        <f>HYPERLINK("https://klasma.github.io/Logging_2260/klagomål/A 51065-2024 FSC-klagomål.docx", "A 51065-2024")</f>
        <v/>
      </c>
      <c r="W97">
        <f>HYPERLINK("https://klasma.github.io/Logging_2260/klagomålsmail/A 51065-2024 FSC-klagomål mail.docx", "A 51065-2024")</f>
        <v/>
      </c>
      <c r="X97">
        <f>HYPERLINK("https://klasma.github.io/Logging_2260/tillsyn/A 51065-2024 tillsynsbegäran.docx", "A 51065-2024")</f>
        <v/>
      </c>
      <c r="Y97">
        <f>HYPERLINK("https://klasma.github.io/Logging_2260/tillsynsmail/A 51065-2024 tillsynsbegäran mail.docx", "A 51065-2024")</f>
        <v/>
      </c>
      <c r="Z97">
        <f>HYPERLINK("https://klasma.github.io/Logging_2260/fåglar/A 51065-2024 prioriterade fågelarter.docx", "A 51065-2024")</f>
        <v/>
      </c>
    </row>
    <row r="98" ht="15" customHeight="1">
      <c r="A98" t="inlineStr">
        <is>
          <t>A 29880-2025</t>
        </is>
      </c>
      <c r="B98" s="1" t="n">
        <v>45826.36510416667</v>
      </c>
      <c r="C98" s="1" t="n">
        <v>45967</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29880-2025 artfynd.xlsx", "A 29880-2025")</f>
        <v/>
      </c>
      <c r="T98">
        <f>HYPERLINK("https://klasma.github.io/Logging_2260/kartor/A 29880-2025 karta.png", "A 29880-2025")</f>
        <v/>
      </c>
      <c r="V98">
        <f>HYPERLINK("https://klasma.github.io/Logging_2260/klagomål/A 29880-2025 FSC-klagomål.docx", "A 29880-2025")</f>
        <v/>
      </c>
      <c r="W98">
        <f>HYPERLINK("https://klasma.github.io/Logging_2260/klagomålsmail/A 29880-2025 FSC-klagomål mail.docx", "A 29880-2025")</f>
        <v/>
      </c>
      <c r="X98">
        <f>HYPERLINK("https://klasma.github.io/Logging_2260/tillsyn/A 29880-2025 tillsynsbegäran.docx", "A 29880-2025")</f>
        <v/>
      </c>
      <c r="Y98">
        <f>HYPERLINK("https://klasma.github.io/Logging_2260/tillsynsmail/A 29880-2025 tillsynsbegäran mail.docx", "A 29880-2025")</f>
        <v/>
      </c>
      <c r="Z98">
        <f>HYPERLINK("https://klasma.github.io/Logging_2260/fåglar/A 29880-2025 prioriterade fågelarter.docx", "A 29880-2025")</f>
        <v/>
      </c>
    </row>
    <row r="99" ht="15" customHeight="1">
      <c r="A99" t="inlineStr">
        <is>
          <t>A 44558-2024</t>
        </is>
      </c>
      <c r="B99" s="1" t="n">
        <v>45574.47001157407</v>
      </c>
      <c r="C99" s="1" t="n">
        <v>45967</v>
      </c>
      <c r="D99" t="inlineStr">
        <is>
          <t>VÄSTERNORRLANDS LÄN</t>
        </is>
      </c>
      <c r="E99" t="inlineStr">
        <is>
          <t>ÅNGE</t>
        </is>
      </c>
      <c r="F99" t="inlineStr">
        <is>
          <t>SCA</t>
        </is>
      </c>
      <c r="G99" t="n">
        <v>6.1</v>
      </c>
      <c r="H99" t="n">
        <v>0</v>
      </c>
      <c r="I99" t="n">
        <v>0</v>
      </c>
      <c r="J99" t="n">
        <v>3</v>
      </c>
      <c r="K99" t="n">
        <v>1</v>
      </c>
      <c r="L99" t="n">
        <v>0</v>
      </c>
      <c r="M99" t="n">
        <v>0</v>
      </c>
      <c r="N99" t="n">
        <v>0</v>
      </c>
      <c r="O99" t="n">
        <v>4</v>
      </c>
      <c r="P99" t="n">
        <v>1</v>
      </c>
      <c r="Q99" t="n">
        <v>4</v>
      </c>
      <c r="R99" s="2" t="inlineStr">
        <is>
          <t>Gräddporing
Kortskaftad ärgspik
Reliktbock
Ullticka</t>
        </is>
      </c>
      <c r="S99">
        <f>HYPERLINK("https://klasma.github.io/Logging_2260/artfynd/A 44558-2024 artfynd.xlsx", "A 44558-2024")</f>
        <v/>
      </c>
      <c r="T99">
        <f>HYPERLINK("https://klasma.github.io/Logging_2260/kartor/A 44558-2024 karta.png", "A 44558-2024")</f>
        <v/>
      </c>
      <c r="V99">
        <f>HYPERLINK("https://klasma.github.io/Logging_2260/klagomål/A 44558-2024 FSC-klagomål.docx", "A 44558-2024")</f>
        <v/>
      </c>
      <c r="W99">
        <f>HYPERLINK("https://klasma.github.io/Logging_2260/klagomålsmail/A 44558-2024 FSC-klagomål mail.docx", "A 44558-2024")</f>
        <v/>
      </c>
      <c r="X99">
        <f>HYPERLINK("https://klasma.github.io/Logging_2260/tillsyn/A 44558-2024 tillsynsbegäran.docx", "A 44558-2024")</f>
        <v/>
      </c>
      <c r="Y99">
        <f>HYPERLINK("https://klasma.github.io/Logging_2260/tillsynsmail/A 44558-2024 tillsynsbegäran mail.docx", "A 44558-2024")</f>
        <v/>
      </c>
    </row>
    <row r="100" ht="15" customHeight="1">
      <c r="A100" t="inlineStr">
        <is>
          <t>A 46548-2023</t>
        </is>
      </c>
      <c r="B100" s="1" t="n">
        <v>45197</v>
      </c>
      <c r="C100" s="1" t="n">
        <v>45967</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39176-2024</t>
        </is>
      </c>
      <c r="B101" s="1" t="n">
        <v>45548</v>
      </c>
      <c r="C101" s="1" t="n">
        <v>45967</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38326-2024</t>
        </is>
      </c>
      <c r="B102" s="1" t="n">
        <v>45545.67741898148</v>
      </c>
      <c r="C102" s="1" t="n">
        <v>45967</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723-2025</t>
        </is>
      </c>
      <c r="B103" s="1" t="n">
        <v>45665.38576388889</v>
      </c>
      <c r="C103" s="1" t="n">
        <v>45967</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11029-2025</t>
        </is>
      </c>
      <c r="B104" s="1" t="n">
        <v>45723</v>
      </c>
      <c r="C104" s="1" t="n">
        <v>45967</v>
      </c>
      <c r="D104" t="inlineStr">
        <is>
          <t>VÄSTERNORRLANDS LÄN</t>
        </is>
      </c>
      <c r="E104" t="inlineStr">
        <is>
          <t>ÅNGE</t>
        </is>
      </c>
      <c r="G104" t="n">
        <v>1.3</v>
      </c>
      <c r="H104" t="n">
        <v>3</v>
      </c>
      <c r="I104" t="n">
        <v>0</v>
      </c>
      <c r="J104" t="n">
        <v>1</v>
      </c>
      <c r="K104" t="n">
        <v>1</v>
      </c>
      <c r="L104" t="n">
        <v>0</v>
      </c>
      <c r="M104" t="n">
        <v>0</v>
      </c>
      <c r="N104" t="n">
        <v>0</v>
      </c>
      <c r="O104" t="n">
        <v>2</v>
      </c>
      <c r="P104" t="n">
        <v>1</v>
      </c>
      <c r="Q104" t="n">
        <v>4</v>
      </c>
      <c r="R104" s="2" t="inlineStr">
        <is>
          <t>Knärot
Garnlav
Vanlig groda
Revlummer</t>
        </is>
      </c>
      <c r="S104">
        <f>HYPERLINK("https://klasma.github.io/Logging_2260/artfynd/A 11029-2025 artfynd.xlsx", "A 11029-2025")</f>
        <v/>
      </c>
      <c r="T104">
        <f>HYPERLINK("https://klasma.github.io/Logging_2260/kartor/A 11029-2025 karta.png", "A 11029-2025")</f>
        <v/>
      </c>
      <c r="U104">
        <f>HYPERLINK("https://klasma.github.io/Logging_2260/knärot/A 11029-2025 karta knärot.png", "A 11029-2025")</f>
        <v/>
      </c>
      <c r="V104">
        <f>HYPERLINK("https://klasma.github.io/Logging_2260/klagomål/A 11029-2025 FSC-klagomål.docx", "A 11029-2025")</f>
        <v/>
      </c>
      <c r="W104">
        <f>HYPERLINK("https://klasma.github.io/Logging_2260/klagomålsmail/A 11029-2025 FSC-klagomål mail.docx", "A 11029-2025")</f>
        <v/>
      </c>
      <c r="X104">
        <f>HYPERLINK("https://klasma.github.io/Logging_2260/tillsyn/A 11029-2025 tillsynsbegäran.docx", "A 11029-2025")</f>
        <v/>
      </c>
      <c r="Y104">
        <f>HYPERLINK("https://klasma.github.io/Logging_2260/tillsynsmail/A 11029-2025 tillsynsbegäran mail.docx", "A 11029-2025")</f>
        <v/>
      </c>
    </row>
    <row r="105" ht="15" customHeight="1">
      <c r="A105" t="inlineStr">
        <is>
          <t>A 38713-2025</t>
        </is>
      </c>
      <c r="B105" s="1" t="n">
        <v>45886.34479166667</v>
      </c>
      <c r="C105" s="1" t="n">
        <v>45967</v>
      </c>
      <c r="D105" t="inlineStr">
        <is>
          <t>VÄSTERNORRLANDS LÄN</t>
        </is>
      </c>
      <c r="E105" t="inlineStr">
        <is>
          <t>ÅNGE</t>
        </is>
      </c>
      <c r="F105" t="inlineStr">
        <is>
          <t>SCA</t>
        </is>
      </c>
      <c r="G105" t="n">
        <v>2</v>
      </c>
      <c r="H105" t="n">
        <v>1</v>
      </c>
      <c r="I105" t="n">
        <v>1</v>
      </c>
      <c r="J105" t="n">
        <v>2</v>
      </c>
      <c r="K105" t="n">
        <v>1</v>
      </c>
      <c r="L105" t="n">
        <v>0</v>
      </c>
      <c r="M105" t="n">
        <v>0</v>
      </c>
      <c r="N105" t="n">
        <v>0</v>
      </c>
      <c r="O105" t="n">
        <v>3</v>
      </c>
      <c r="P105" t="n">
        <v>1</v>
      </c>
      <c r="Q105" t="n">
        <v>4</v>
      </c>
      <c r="R105" s="2" t="inlineStr">
        <is>
          <t>Knärot
Garnlav
Vedtrappmossa
Bollvitmossa</t>
        </is>
      </c>
      <c r="S105">
        <f>HYPERLINK("https://klasma.github.io/Logging_2260/artfynd/A 38713-2025 artfynd.xlsx", "A 38713-2025")</f>
        <v/>
      </c>
      <c r="T105">
        <f>HYPERLINK("https://klasma.github.io/Logging_2260/kartor/A 38713-2025 karta.png", "A 38713-2025")</f>
        <v/>
      </c>
      <c r="U105">
        <f>HYPERLINK("https://klasma.github.io/Logging_2260/knärot/A 38713-2025 karta knärot.png", "A 38713-2025")</f>
        <v/>
      </c>
      <c r="V105">
        <f>HYPERLINK("https://klasma.github.io/Logging_2260/klagomål/A 38713-2025 FSC-klagomål.docx", "A 38713-2025")</f>
        <v/>
      </c>
      <c r="W105">
        <f>HYPERLINK("https://klasma.github.io/Logging_2260/klagomålsmail/A 38713-2025 FSC-klagomål mail.docx", "A 38713-2025")</f>
        <v/>
      </c>
      <c r="X105">
        <f>HYPERLINK("https://klasma.github.io/Logging_2260/tillsyn/A 38713-2025 tillsynsbegäran.docx", "A 38713-2025")</f>
        <v/>
      </c>
      <c r="Y105">
        <f>HYPERLINK("https://klasma.github.io/Logging_2260/tillsynsmail/A 38713-2025 tillsynsbegäran mail.docx", "A 38713-2025")</f>
        <v/>
      </c>
    </row>
    <row r="106" ht="15" customHeight="1">
      <c r="A106" t="inlineStr">
        <is>
          <t>A 24796-2024</t>
        </is>
      </c>
      <c r="B106" s="1" t="n">
        <v>45460</v>
      </c>
      <c r="C106" s="1" t="n">
        <v>45967</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26953-2024</t>
        </is>
      </c>
      <c r="B107" s="1" t="n">
        <v>45470</v>
      </c>
      <c r="C107" s="1" t="n">
        <v>45967</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54095-2025</t>
        </is>
      </c>
      <c r="B108" s="1" t="n">
        <v>45964.40685185185</v>
      </c>
      <c r="C108" s="1" t="n">
        <v>45967</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55179-2024</t>
        </is>
      </c>
      <c r="B109" s="1" t="n">
        <v>45621.53204861111</v>
      </c>
      <c r="C109" s="1" t="n">
        <v>45967</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57299-2022</t>
        </is>
      </c>
      <c r="B110" s="1" t="n">
        <v>44895.95090277777</v>
      </c>
      <c r="C110" s="1" t="n">
        <v>45967</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27956-2021</t>
        </is>
      </c>
      <c r="B111" s="1" t="n">
        <v>44354</v>
      </c>
      <c r="C111" s="1" t="n">
        <v>45967</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45967</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45967</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45967</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24795-2024</t>
        </is>
      </c>
      <c r="B115" s="1" t="n">
        <v>45460.95252314815</v>
      </c>
      <c r="C115" s="1" t="n">
        <v>45967</v>
      </c>
      <c r="D115" t="inlineStr">
        <is>
          <t>VÄSTERNORRLANDS LÄN</t>
        </is>
      </c>
      <c r="E115" t="inlineStr">
        <is>
          <t>ÅNGE</t>
        </is>
      </c>
      <c r="F115" t="inlineStr">
        <is>
          <t>SCA</t>
        </is>
      </c>
      <c r="G115" t="n">
        <v>2.2</v>
      </c>
      <c r="H115" t="n">
        <v>1</v>
      </c>
      <c r="I115" t="n">
        <v>2</v>
      </c>
      <c r="J115" t="n">
        <v>1</v>
      </c>
      <c r="K115" t="n">
        <v>0</v>
      </c>
      <c r="L115" t="n">
        <v>0</v>
      </c>
      <c r="M115" t="n">
        <v>0</v>
      </c>
      <c r="N115" t="n">
        <v>0</v>
      </c>
      <c r="O115" t="n">
        <v>1</v>
      </c>
      <c r="P115" t="n">
        <v>0</v>
      </c>
      <c r="Q115" t="n">
        <v>3</v>
      </c>
      <c r="R115" s="2" t="inlineStr">
        <is>
          <t>Lunglav
Plattlummer
Skinnlav</t>
        </is>
      </c>
      <c r="S115">
        <f>HYPERLINK("https://klasma.github.io/Logging_2260/artfynd/A 24795-2024 artfynd.xlsx", "A 24795-2024")</f>
        <v/>
      </c>
      <c r="T115">
        <f>HYPERLINK("https://klasma.github.io/Logging_2260/kartor/A 24795-2024 karta.png", "A 24795-2024")</f>
        <v/>
      </c>
      <c r="V115">
        <f>HYPERLINK("https://klasma.github.io/Logging_2260/klagomål/A 24795-2024 FSC-klagomål.docx", "A 24795-2024")</f>
        <v/>
      </c>
      <c r="W115">
        <f>HYPERLINK("https://klasma.github.io/Logging_2260/klagomålsmail/A 24795-2024 FSC-klagomål mail.docx", "A 24795-2024")</f>
        <v/>
      </c>
      <c r="X115">
        <f>HYPERLINK("https://klasma.github.io/Logging_2260/tillsyn/A 24795-2024 tillsynsbegäran.docx", "A 24795-2024")</f>
        <v/>
      </c>
      <c r="Y115">
        <f>HYPERLINK("https://klasma.github.io/Logging_2260/tillsynsmail/A 24795-2024 tillsynsbegäran mail.docx", "A 24795-2024")</f>
        <v/>
      </c>
    </row>
    <row r="116" ht="15" customHeight="1">
      <c r="A116" t="inlineStr">
        <is>
          <t>A 28274-2023</t>
        </is>
      </c>
      <c r="B116" s="1" t="n">
        <v>45099</v>
      </c>
      <c r="C116" s="1" t="n">
        <v>45967</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39179-2024</t>
        </is>
      </c>
      <c r="B117" s="1" t="n">
        <v>45548.65703703704</v>
      </c>
      <c r="C117" s="1" t="n">
        <v>45967</v>
      </c>
      <c r="D117" t="inlineStr">
        <is>
          <t>VÄSTERNORRLANDS LÄN</t>
        </is>
      </c>
      <c r="E117" t="inlineStr">
        <is>
          <t>ÅNGE</t>
        </is>
      </c>
      <c r="F117" t="inlineStr">
        <is>
          <t>SCA</t>
        </is>
      </c>
      <c r="G117" t="n">
        <v>4.2</v>
      </c>
      <c r="H117" t="n">
        <v>1</v>
      </c>
      <c r="I117" t="n">
        <v>2</v>
      </c>
      <c r="J117" t="n">
        <v>1</v>
      </c>
      <c r="K117" t="n">
        <v>0</v>
      </c>
      <c r="L117" t="n">
        <v>0</v>
      </c>
      <c r="M117" t="n">
        <v>0</v>
      </c>
      <c r="N117" t="n">
        <v>0</v>
      </c>
      <c r="O117" t="n">
        <v>1</v>
      </c>
      <c r="P117" t="n">
        <v>0</v>
      </c>
      <c r="Q117" t="n">
        <v>3</v>
      </c>
      <c r="R117" s="2" t="inlineStr">
        <is>
          <t>Rosenticka
Fjällig taggsvamp s.str.
Spindelblomster</t>
        </is>
      </c>
      <c r="S117">
        <f>HYPERLINK("https://klasma.github.io/Logging_2260/artfynd/A 39179-2024 artfynd.xlsx", "A 39179-2024")</f>
        <v/>
      </c>
      <c r="T117">
        <f>HYPERLINK("https://klasma.github.io/Logging_2260/kartor/A 39179-2024 karta.png", "A 39179-2024")</f>
        <v/>
      </c>
      <c r="V117">
        <f>HYPERLINK("https://klasma.github.io/Logging_2260/klagomål/A 39179-2024 FSC-klagomål.docx", "A 39179-2024")</f>
        <v/>
      </c>
      <c r="W117">
        <f>HYPERLINK("https://klasma.github.io/Logging_2260/klagomålsmail/A 39179-2024 FSC-klagomål mail.docx", "A 39179-2024")</f>
        <v/>
      </c>
      <c r="X117">
        <f>HYPERLINK("https://klasma.github.io/Logging_2260/tillsyn/A 39179-2024 tillsynsbegäran.docx", "A 39179-2024")</f>
        <v/>
      </c>
      <c r="Y117">
        <f>HYPERLINK("https://klasma.github.io/Logging_2260/tillsynsmail/A 39179-2024 tillsynsbegäran mail.docx", "A 39179-2024")</f>
        <v/>
      </c>
    </row>
    <row r="118" ht="15" customHeight="1">
      <c r="A118" t="inlineStr">
        <is>
          <t>A 39708-2024</t>
        </is>
      </c>
      <c r="B118" s="1" t="n">
        <v>45552.59408564815</v>
      </c>
      <c r="C118" s="1" t="n">
        <v>45967</v>
      </c>
      <c r="D118" t="inlineStr">
        <is>
          <t>VÄSTERNORRLANDS LÄN</t>
        </is>
      </c>
      <c r="E118" t="inlineStr">
        <is>
          <t>ÅNGE</t>
        </is>
      </c>
      <c r="F118" t="inlineStr">
        <is>
          <t>SCA</t>
        </is>
      </c>
      <c r="G118" t="n">
        <v>6.2</v>
      </c>
      <c r="H118" t="n">
        <v>0</v>
      </c>
      <c r="I118" t="n">
        <v>0</v>
      </c>
      <c r="J118" t="n">
        <v>3</v>
      </c>
      <c r="K118" t="n">
        <v>0</v>
      </c>
      <c r="L118" t="n">
        <v>0</v>
      </c>
      <c r="M118" t="n">
        <v>0</v>
      </c>
      <c r="N118" t="n">
        <v>0</v>
      </c>
      <c r="O118" t="n">
        <v>3</v>
      </c>
      <c r="P118" t="n">
        <v>0</v>
      </c>
      <c r="Q118" t="n">
        <v>3</v>
      </c>
      <c r="R118" s="2" t="inlineStr">
        <is>
          <t>Granticka
Ullticka
Vitgrynig nållav</t>
        </is>
      </c>
      <c r="S118">
        <f>HYPERLINK("https://klasma.github.io/Logging_2260/artfynd/A 39708-2024 artfynd.xlsx", "A 39708-2024")</f>
        <v/>
      </c>
      <c r="T118">
        <f>HYPERLINK("https://klasma.github.io/Logging_2260/kartor/A 39708-2024 karta.png", "A 39708-2024")</f>
        <v/>
      </c>
      <c r="V118">
        <f>HYPERLINK("https://klasma.github.io/Logging_2260/klagomål/A 39708-2024 FSC-klagomål.docx", "A 39708-2024")</f>
        <v/>
      </c>
      <c r="W118">
        <f>HYPERLINK("https://klasma.github.io/Logging_2260/klagomålsmail/A 39708-2024 FSC-klagomål mail.docx", "A 39708-2024")</f>
        <v/>
      </c>
      <c r="X118">
        <f>HYPERLINK("https://klasma.github.io/Logging_2260/tillsyn/A 39708-2024 tillsynsbegäran.docx", "A 39708-2024")</f>
        <v/>
      </c>
      <c r="Y118">
        <f>HYPERLINK("https://klasma.github.io/Logging_2260/tillsynsmail/A 39708-2024 tillsynsbegäran mail.docx", "A 39708-2024")</f>
        <v/>
      </c>
    </row>
    <row r="119" ht="15" customHeight="1">
      <c r="A119" t="inlineStr">
        <is>
          <t>A 38664-2025</t>
        </is>
      </c>
      <c r="B119" s="1" t="n">
        <v>45884.61503472222</v>
      </c>
      <c r="C119" s="1" t="n">
        <v>45967</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45967</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46417-2025</t>
        </is>
      </c>
      <c r="B121" s="1" t="n">
        <v>45925.59454861111</v>
      </c>
      <c r="C121" s="1" t="n">
        <v>45967</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47617-2024</t>
        </is>
      </c>
      <c r="B122" s="1" t="n">
        <v>45588.32125</v>
      </c>
      <c r="C122" s="1" t="n">
        <v>45967</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39029-2025</t>
        </is>
      </c>
      <c r="B123" s="1" t="n">
        <v>45888.40684027778</v>
      </c>
      <c r="C123" s="1" t="n">
        <v>45967</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21267-2025</t>
        </is>
      </c>
      <c r="B124" s="1" t="n">
        <v>45779</v>
      </c>
      <c r="C124" s="1" t="n">
        <v>45967</v>
      </c>
      <c r="D124" t="inlineStr">
        <is>
          <t>VÄSTERNORRLANDS LÄN</t>
        </is>
      </c>
      <c r="E124" t="inlineStr">
        <is>
          <t>ÅNGE</t>
        </is>
      </c>
      <c r="F124" t="inlineStr">
        <is>
          <t>Sveaskog</t>
        </is>
      </c>
      <c r="G124" t="n">
        <v>3.7</v>
      </c>
      <c r="H124" t="n">
        <v>2</v>
      </c>
      <c r="I124" t="n">
        <v>2</v>
      </c>
      <c r="J124" t="n">
        <v>1</v>
      </c>
      <c r="K124" t="n">
        <v>0</v>
      </c>
      <c r="L124" t="n">
        <v>0</v>
      </c>
      <c r="M124" t="n">
        <v>0</v>
      </c>
      <c r="N124" t="n">
        <v>0</v>
      </c>
      <c r="O124" t="n">
        <v>1</v>
      </c>
      <c r="P124" t="n">
        <v>0</v>
      </c>
      <c r="Q124" t="n">
        <v>3</v>
      </c>
      <c r="R124" s="2" t="inlineStr">
        <is>
          <t>Lunglav
Korallrot
Spindelblomster</t>
        </is>
      </c>
      <c r="S124">
        <f>HYPERLINK("https://klasma.github.io/Logging_2260/artfynd/A 21267-2025 artfynd.xlsx", "A 21267-2025")</f>
        <v/>
      </c>
      <c r="T124">
        <f>HYPERLINK("https://klasma.github.io/Logging_2260/kartor/A 21267-2025 karta.png", "A 21267-2025")</f>
        <v/>
      </c>
      <c r="V124">
        <f>HYPERLINK("https://klasma.github.io/Logging_2260/klagomål/A 21267-2025 FSC-klagomål.docx", "A 21267-2025")</f>
        <v/>
      </c>
      <c r="W124">
        <f>HYPERLINK("https://klasma.github.io/Logging_2260/klagomålsmail/A 21267-2025 FSC-klagomål mail.docx", "A 21267-2025")</f>
        <v/>
      </c>
      <c r="X124">
        <f>HYPERLINK("https://klasma.github.io/Logging_2260/tillsyn/A 21267-2025 tillsynsbegäran.docx", "A 21267-2025")</f>
        <v/>
      </c>
      <c r="Y124">
        <f>HYPERLINK("https://klasma.github.io/Logging_2260/tillsynsmail/A 21267-2025 tillsynsbegäran mail.docx", "A 21267-2025")</f>
        <v/>
      </c>
    </row>
    <row r="125" ht="15" customHeight="1">
      <c r="A125" t="inlineStr">
        <is>
          <t>A 49530-2025</t>
        </is>
      </c>
      <c r="B125" s="1" t="n">
        <v>45939.40700231482</v>
      </c>
      <c r="C125" s="1" t="n">
        <v>45967</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50259-2025</t>
        </is>
      </c>
      <c r="B126" s="1" t="n">
        <v>45944.34498842592</v>
      </c>
      <c r="C126" s="1" t="n">
        <v>45967</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41868-2025</t>
        </is>
      </c>
      <c r="B127" s="1" t="n">
        <v>45903.34429398148</v>
      </c>
      <c r="C127" s="1" t="n">
        <v>45967</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45967</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23754-2025</t>
        </is>
      </c>
      <c r="B129" s="1" t="n">
        <v>45793.45782407407</v>
      </c>
      <c r="C129" s="1" t="n">
        <v>45967</v>
      </c>
      <c r="D129" t="inlineStr">
        <is>
          <t>VÄSTERNORRLANDS LÄN</t>
        </is>
      </c>
      <c r="E129" t="inlineStr">
        <is>
          <t>ÅNGE</t>
        </is>
      </c>
      <c r="F129" t="inlineStr">
        <is>
          <t>Sveaskog</t>
        </is>
      </c>
      <c r="G129" t="n">
        <v>4.3</v>
      </c>
      <c r="H129" t="n">
        <v>3</v>
      </c>
      <c r="I129" t="n">
        <v>0</v>
      </c>
      <c r="J129" t="n">
        <v>1</v>
      </c>
      <c r="K129" t="n">
        <v>0</v>
      </c>
      <c r="L129" t="n">
        <v>0</v>
      </c>
      <c r="M129" t="n">
        <v>0</v>
      </c>
      <c r="N129" t="n">
        <v>0</v>
      </c>
      <c r="O129" t="n">
        <v>1</v>
      </c>
      <c r="P129" t="n">
        <v>0</v>
      </c>
      <c r="Q129" t="n">
        <v>3</v>
      </c>
      <c r="R129" s="2" t="inlineStr">
        <is>
          <t>Spillkråka
Tjäder
Blåsippa</t>
        </is>
      </c>
      <c r="S129">
        <f>HYPERLINK("https://klasma.github.io/Logging_2260/artfynd/A 23754-2025 artfynd.xlsx", "A 23754-2025")</f>
        <v/>
      </c>
      <c r="T129">
        <f>HYPERLINK("https://klasma.github.io/Logging_2260/kartor/A 23754-2025 karta.png", "A 23754-2025")</f>
        <v/>
      </c>
      <c r="U129">
        <f>HYPERLINK("https://klasma.github.io/Logging_2260/knärot/A 23754-2025 karta knärot.png", "A 23754-2025")</f>
        <v/>
      </c>
      <c r="V129">
        <f>HYPERLINK("https://klasma.github.io/Logging_2260/klagomål/A 23754-2025 FSC-klagomål.docx", "A 23754-2025")</f>
        <v/>
      </c>
      <c r="W129">
        <f>HYPERLINK("https://klasma.github.io/Logging_2260/klagomålsmail/A 23754-2025 FSC-klagomål mail.docx", "A 23754-2025")</f>
        <v/>
      </c>
      <c r="X129">
        <f>HYPERLINK("https://klasma.github.io/Logging_2260/tillsyn/A 23754-2025 tillsynsbegäran.docx", "A 23754-2025")</f>
        <v/>
      </c>
      <c r="Y129">
        <f>HYPERLINK("https://klasma.github.io/Logging_2260/tillsynsmail/A 23754-2025 tillsynsbegäran mail.docx", "A 23754-2025")</f>
        <v/>
      </c>
      <c r="Z129">
        <f>HYPERLINK("https://klasma.github.io/Logging_2260/fåglar/A 23754-2025 prioriterade fågelarter.docx", "A 23754-2025")</f>
        <v/>
      </c>
    </row>
    <row r="130" ht="15" customHeight="1">
      <c r="A130" t="inlineStr">
        <is>
          <t>A 23759-2025</t>
        </is>
      </c>
      <c r="B130" s="1" t="n">
        <v>45793.46409722222</v>
      </c>
      <c r="C130" s="1" t="n">
        <v>45967</v>
      </c>
      <c r="D130" t="inlineStr">
        <is>
          <t>VÄSTERNORRLANDS LÄN</t>
        </is>
      </c>
      <c r="E130" t="inlineStr">
        <is>
          <t>ÅNGE</t>
        </is>
      </c>
      <c r="F130" t="inlineStr">
        <is>
          <t>Sveaskog</t>
        </is>
      </c>
      <c r="G130" t="n">
        <v>5.2</v>
      </c>
      <c r="H130" t="n">
        <v>0</v>
      </c>
      <c r="I130" t="n">
        <v>1</v>
      </c>
      <c r="J130" t="n">
        <v>2</v>
      </c>
      <c r="K130" t="n">
        <v>0</v>
      </c>
      <c r="L130" t="n">
        <v>0</v>
      </c>
      <c r="M130" t="n">
        <v>0</v>
      </c>
      <c r="N130" t="n">
        <v>0</v>
      </c>
      <c r="O130" t="n">
        <v>2</v>
      </c>
      <c r="P130" t="n">
        <v>0</v>
      </c>
      <c r="Q130" t="n">
        <v>3</v>
      </c>
      <c r="R130" s="2" t="inlineStr">
        <is>
          <t>Lunglav
Skrovellav
Korallblylav</t>
        </is>
      </c>
      <c r="S130">
        <f>HYPERLINK("https://klasma.github.io/Logging_2260/artfynd/A 23759-2025 artfynd.xlsx", "A 23759-2025")</f>
        <v/>
      </c>
      <c r="T130">
        <f>HYPERLINK("https://klasma.github.io/Logging_2260/kartor/A 23759-2025 karta.png", "A 23759-2025")</f>
        <v/>
      </c>
      <c r="V130">
        <f>HYPERLINK("https://klasma.github.io/Logging_2260/klagomål/A 23759-2025 FSC-klagomål.docx", "A 23759-2025")</f>
        <v/>
      </c>
      <c r="W130">
        <f>HYPERLINK("https://klasma.github.io/Logging_2260/klagomålsmail/A 23759-2025 FSC-klagomål mail.docx", "A 23759-2025")</f>
        <v/>
      </c>
      <c r="X130">
        <f>HYPERLINK("https://klasma.github.io/Logging_2260/tillsyn/A 23759-2025 tillsynsbegäran.docx", "A 23759-2025")</f>
        <v/>
      </c>
      <c r="Y130">
        <f>HYPERLINK("https://klasma.github.io/Logging_2260/tillsynsmail/A 23759-2025 tillsynsbegäran mail.docx", "A 23759-2025")</f>
        <v/>
      </c>
    </row>
    <row r="131" ht="15" customHeight="1">
      <c r="A131" t="inlineStr">
        <is>
          <t>A 7533-2023</t>
        </is>
      </c>
      <c r="B131" s="1" t="n">
        <v>44971</v>
      </c>
      <c r="C131" s="1" t="n">
        <v>45967</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22996-2023</t>
        </is>
      </c>
      <c r="B132" s="1" t="n">
        <v>45072</v>
      </c>
      <c r="C132" s="1" t="n">
        <v>45967</v>
      </c>
      <c r="D132" t="inlineStr">
        <is>
          <t>VÄSTERNORRLANDS LÄN</t>
        </is>
      </c>
      <c r="E132" t="inlineStr">
        <is>
          <t>ÅNGE</t>
        </is>
      </c>
      <c r="F132" t="inlineStr">
        <is>
          <t>SCA</t>
        </is>
      </c>
      <c r="G132" t="n">
        <v>2.2</v>
      </c>
      <c r="H132" t="n">
        <v>1</v>
      </c>
      <c r="I132" t="n">
        <v>0</v>
      </c>
      <c r="J132" t="n">
        <v>2</v>
      </c>
      <c r="K132" t="n">
        <v>1</v>
      </c>
      <c r="L132" t="n">
        <v>0</v>
      </c>
      <c r="M132" t="n">
        <v>0</v>
      </c>
      <c r="N132" t="n">
        <v>0</v>
      </c>
      <c r="O132" t="n">
        <v>3</v>
      </c>
      <c r="P132" t="n">
        <v>1</v>
      </c>
      <c r="Q132" t="n">
        <v>3</v>
      </c>
      <c r="R132" s="2" t="inlineStr">
        <is>
          <t>Knärot
Garnlav
Vedtrappmossa</t>
        </is>
      </c>
      <c r="S132">
        <f>HYPERLINK("https://klasma.github.io/Logging_2260/artfynd/A 22996-2023 artfynd.xlsx", "A 22996-2023")</f>
        <v/>
      </c>
      <c r="T132">
        <f>HYPERLINK("https://klasma.github.io/Logging_2260/kartor/A 22996-2023 karta.png", "A 22996-2023")</f>
        <v/>
      </c>
      <c r="U132">
        <f>HYPERLINK("https://klasma.github.io/Logging_2260/knärot/A 22996-2023 karta knärot.png", "A 22996-2023")</f>
        <v/>
      </c>
      <c r="V132">
        <f>HYPERLINK("https://klasma.github.io/Logging_2260/klagomål/A 22996-2023 FSC-klagomål.docx", "A 22996-2023")</f>
        <v/>
      </c>
      <c r="W132">
        <f>HYPERLINK("https://klasma.github.io/Logging_2260/klagomålsmail/A 22996-2023 FSC-klagomål mail.docx", "A 22996-2023")</f>
        <v/>
      </c>
      <c r="X132">
        <f>HYPERLINK("https://klasma.github.io/Logging_2260/tillsyn/A 22996-2023 tillsynsbegäran.docx", "A 22996-2023")</f>
        <v/>
      </c>
      <c r="Y132">
        <f>HYPERLINK("https://klasma.github.io/Logging_2260/tillsynsmail/A 22996-2023 tillsynsbegäran mail.docx", "A 22996-2023")</f>
        <v/>
      </c>
    </row>
    <row r="133" ht="15" customHeight="1">
      <c r="A133" t="inlineStr">
        <is>
          <t>A 53710-2025</t>
        </is>
      </c>
      <c r="B133" s="1" t="n">
        <v>45960.6153125</v>
      </c>
      <c r="C133" s="1" t="n">
        <v>45967</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26679-2025</t>
        </is>
      </c>
      <c r="B134" s="1" t="n">
        <v>45810</v>
      </c>
      <c r="C134" s="1" t="n">
        <v>45967</v>
      </c>
      <c r="D134" t="inlineStr">
        <is>
          <t>VÄSTERNORRLANDS LÄN</t>
        </is>
      </c>
      <c r="E134" t="inlineStr">
        <is>
          <t>ÅNGE</t>
        </is>
      </c>
      <c r="F134" t="inlineStr">
        <is>
          <t>SCA</t>
        </is>
      </c>
      <c r="G134" t="n">
        <v>5.9</v>
      </c>
      <c r="H134" t="n">
        <v>0</v>
      </c>
      <c r="I134" t="n">
        <v>1</v>
      </c>
      <c r="J134" t="n">
        <v>2</v>
      </c>
      <c r="K134" t="n">
        <v>0</v>
      </c>
      <c r="L134" t="n">
        <v>0</v>
      </c>
      <c r="M134" t="n">
        <v>0</v>
      </c>
      <c r="N134" t="n">
        <v>0</v>
      </c>
      <c r="O134" t="n">
        <v>2</v>
      </c>
      <c r="P134" t="n">
        <v>0</v>
      </c>
      <c r="Q134" t="n">
        <v>3</v>
      </c>
      <c r="R134" s="2" t="inlineStr">
        <is>
          <t>Garnlav
Lunglav
Rödgul trumpetsvamp</t>
        </is>
      </c>
      <c r="S134">
        <f>HYPERLINK("https://klasma.github.io/Logging_2260/artfynd/A 26679-2025 artfynd.xlsx", "A 26679-2025")</f>
        <v/>
      </c>
      <c r="T134">
        <f>HYPERLINK("https://klasma.github.io/Logging_2260/kartor/A 26679-2025 karta.png", "A 26679-2025")</f>
        <v/>
      </c>
      <c r="V134">
        <f>HYPERLINK("https://klasma.github.io/Logging_2260/klagomål/A 26679-2025 FSC-klagomål.docx", "A 26679-2025")</f>
        <v/>
      </c>
      <c r="W134">
        <f>HYPERLINK("https://klasma.github.io/Logging_2260/klagomålsmail/A 26679-2025 FSC-klagomål mail.docx", "A 26679-2025")</f>
        <v/>
      </c>
      <c r="X134">
        <f>HYPERLINK("https://klasma.github.io/Logging_2260/tillsyn/A 26679-2025 tillsynsbegäran.docx", "A 26679-2025")</f>
        <v/>
      </c>
      <c r="Y134">
        <f>HYPERLINK("https://klasma.github.io/Logging_2260/tillsynsmail/A 26679-2025 tillsynsbegäran mail.docx", "A 26679-2025")</f>
        <v/>
      </c>
    </row>
    <row r="135" ht="15" customHeight="1">
      <c r="A135" t="inlineStr">
        <is>
          <t>A 43880-2025</t>
        </is>
      </c>
      <c r="B135" s="1" t="n">
        <v>45912</v>
      </c>
      <c r="C135" s="1" t="n">
        <v>45967</v>
      </c>
      <c r="D135" t="inlineStr">
        <is>
          <t>VÄSTERNORRLANDS LÄN</t>
        </is>
      </c>
      <c r="E135" t="inlineStr">
        <is>
          <t>ÅNGE</t>
        </is>
      </c>
      <c r="F135" t="inlineStr">
        <is>
          <t>SCA</t>
        </is>
      </c>
      <c r="G135" t="n">
        <v>3.5</v>
      </c>
      <c r="H135" t="n">
        <v>1</v>
      </c>
      <c r="I135" t="n">
        <v>0</v>
      </c>
      <c r="J135" t="n">
        <v>3</v>
      </c>
      <c r="K135" t="n">
        <v>0</v>
      </c>
      <c r="L135" t="n">
        <v>0</v>
      </c>
      <c r="M135" t="n">
        <v>0</v>
      </c>
      <c r="N135" t="n">
        <v>0</v>
      </c>
      <c r="O135" t="n">
        <v>3</v>
      </c>
      <c r="P135" t="n">
        <v>0</v>
      </c>
      <c r="Q135" t="n">
        <v>3</v>
      </c>
      <c r="R135" s="2" t="inlineStr">
        <is>
          <t>Granticka
Tretåig hackspett
Vitgrynig nållav</t>
        </is>
      </c>
      <c r="S135">
        <f>HYPERLINK("https://klasma.github.io/Logging_2260/artfynd/A 43880-2025 artfynd.xlsx", "A 43880-2025")</f>
        <v/>
      </c>
      <c r="T135">
        <f>HYPERLINK("https://klasma.github.io/Logging_2260/kartor/A 43880-2025 karta.png", "A 43880-2025")</f>
        <v/>
      </c>
      <c r="V135">
        <f>HYPERLINK("https://klasma.github.io/Logging_2260/klagomål/A 43880-2025 FSC-klagomål.docx", "A 43880-2025")</f>
        <v/>
      </c>
      <c r="W135">
        <f>HYPERLINK("https://klasma.github.io/Logging_2260/klagomålsmail/A 43880-2025 FSC-klagomål mail.docx", "A 43880-2025")</f>
        <v/>
      </c>
      <c r="X135">
        <f>HYPERLINK("https://klasma.github.io/Logging_2260/tillsyn/A 43880-2025 tillsynsbegäran.docx", "A 43880-2025")</f>
        <v/>
      </c>
      <c r="Y135">
        <f>HYPERLINK("https://klasma.github.io/Logging_2260/tillsynsmail/A 43880-2025 tillsynsbegäran mail.docx", "A 43880-2025")</f>
        <v/>
      </c>
      <c r="Z135">
        <f>HYPERLINK("https://klasma.github.io/Logging_2260/fåglar/A 43880-2025 prioriterade fågelarter.docx", "A 43880-2025")</f>
        <v/>
      </c>
    </row>
    <row r="136" ht="15" customHeight="1">
      <c r="A136" t="inlineStr">
        <is>
          <t>A 16307-2025</t>
        </is>
      </c>
      <c r="B136" s="1" t="n">
        <v>45751.34686342593</v>
      </c>
      <c r="C136" s="1" t="n">
        <v>45967</v>
      </c>
      <c r="D136" t="inlineStr">
        <is>
          <t>VÄSTERNORRLANDS LÄN</t>
        </is>
      </c>
      <c r="E136" t="inlineStr">
        <is>
          <t>ÅNGE</t>
        </is>
      </c>
      <c r="F136" t="inlineStr">
        <is>
          <t>SCA</t>
        </is>
      </c>
      <c r="G136" t="n">
        <v>12.3</v>
      </c>
      <c r="H136" t="n">
        <v>1</v>
      </c>
      <c r="I136" t="n">
        <v>2</v>
      </c>
      <c r="J136" t="n">
        <v>0</v>
      </c>
      <c r="K136" t="n">
        <v>0</v>
      </c>
      <c r="L136" t="n">
        <v>0</v>
      </c>
      <c r="M136" t="n">
        <v>0</v>
      </c>
      <c r="N136" t="n">
        <v>0</v>
      </c>
      <c r="O136" t="n">
        <v>0</v>
      </c>
      <c r="P136" t="n">
        <v>0</v>
      </c>
      <c r="Q136" t="n">
        <v>3</v>
      </c>
      <c r="R136" s="2" t="inlineStr">
        <is>
          <t>Stor aspticka
Vårärt
Blåsippa</t>
        </is>
      </c>
      <c r="S136">
        <f>HYPERLINK("https://klasma.github.io/Logging_2260/artfynd/A 16307-2025 artfynd.xlsx", "A 16307-2025")</f>
        <v/>
      </c>
      <c r="T136">
        <f>HYPERLINK("https://klasma.github.io/Logging_2260/kartor/A 16307-2025 karta.png", "A 16307-2025")</f>
        <v/>
      </c>
      <c r="V136">
        <f>HYPERLINK("https://klasma.github.io/Logging_2260/klagomål/A 16307-2025 FSC-klagomål.docx", "A 16307-2025")</f>
        <v/>
      </c>
      <c r="W136">
        <f>HYPERLINK("https://klasma.github.io/Logging_2260/klagomålsmail/A 16307-2025 FSC-klagomål mail.docx", "A 16307-2025")</f>
        <v/>
      </c>
      <c r="X136">
        <f>HYPERLINK("https://klasma.github.io/Logging_2260/tillsyn/A 16307-2025 tillsynsbegäran.docx", "A 16307-2025")</f>
        <v/>
      </c>
      <c r="Y136">
        <f>HYPERLINK("https://klasma.github.io/Logging_2260/tillsynsmail/A 16307-2025 tillsynsbegäran mail.docx", "A 16307-2025")</f>
        <v/>
      </c>
    </row>
    <row r="137" ht="15" customHeight="1">
      <c r="A137" t="inlineStr">
        <is>
          <t>A 39181-2024</t>
        </is>
      </c>
      <c r="B137" s="1" t="n">
        <v>45548</v>
      </c>
      <c r="C137" s="1" t="n">
        <v>45967</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31212-2025</t>
        </is>
      </c>
      <c r="B138" s="1" t="n">
        <v>45832.71978009259</v>
      </c>
      <c r="C138" s="1" t="n">
        <v>45967</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33806-2025</t>
        </is>
      </c>
      <c r="B139" s="1" t="n">
        <v>45842.44865740741</v>
      </c>
      <c r="C139" s="1" t="n">
        <v>45967</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37184-2025</t>
        </is>
      </c>
      <c r="B140" s="1" t="n">
        <v>45875.63591435185</v>
      </c>
      <c r="C140" s="1" t="n">
        <v>45967</v>
      </c>
      <c r="D140" t="inlineStr">
        <is>
          <t>VÄSTERNORRLANDS LÄN</t>
        </is>
      </c>
      <c r="E140" t="inlineStr">
        <is>
          <t>ÅNGE</t>
        </is>
      </c>
      <c r="F140" t="inlineStr">
        <is>
          <t>SCA</t>
        </is>
      </c>
      <c r="G140" t="n">
        <v>2.5</v>
      </c>
      <c r="H140" t="n">
        <v>0</v>
      </c>
      <c r="I140" t="n">
        <v>0</v>
      </c>
      <c r="J140" t="n">
        <v>3</v>
      </c>
      <c r="K140" t="n">
        <v>0</v>
      </c>
      <c r="L140" t="n">
        <v>0</v>
      </c>
      <c r="M140" t="n">
        <v>0</v>
      </c>
      <c r="N140" t="n">
        <v>0</v>
      </c>
      <c r="O140" t="n">
        <v>3</v>
      </c>
      <c r="P140" t="n">
        <v>0</v>
      </c>
      <c r="Q140" t="n">
        <v>3</v>
      </c>
      <c r="R140" s="2" t="inlineStr">
        <is>
          <t>Granticka
Lunglav
Rosenticka</t>
        </is>
      </c>
      <c r="S140">
        <f>HYPERLINK("https://klasma.github.io/Logging_2260/artfynd/A 37184-2025 artfynd.xlsx", "A 37184-2025")</f>
        <v/>
      </c>
      <c r="T140">
        <f>HYPERLINK("https://klasma.github.io/Logging_2260/kartor/A 37184-2025 karta.png", "A 37184-2025")</f>
        <v/>
      </c>
      <c r="V140">
        <f>HYPERLINK("https://klasma.github.io/Logging_2260/klagomål/A 37184-2025 FSC-klagomål.docx", "A 37184-2025")</f>
        <v/>
      </c>
      <c r="W140">
        <f>HYPERLINK("https://klasma.github.io/Logging_2260/klagomålsmail/A 37184-2025 FSC-klagomål mail.docx", "A 37184-2025")</f>
        <v/>
      </c>
      <c r="X140">
        <f>HYPERLINK("https://klasma.github.io/Logging_2260/tillsyn/A 37184-2025 tillsynsbegäran.docx", "A 37184-2025")</f>
        <v/>
      </c>
      <c r="Y140">
        <f>HYPERLINK("https://klasma.github.io/Logging_2260/tillsynsmail/A 37184-2025 tillsynsbegäran mail.docx", "A 37184-2025")</f>
        <v/>
      </c>
    </row>
    <row r="141" ht="15" customHeight="1">
      <c r="A141" t="inlineStr">
        <is>
          <t>A 47798-2022</t>
        </is>
      </c>
      <c r="B141" s="1" t="n">
        <v>44854.95365740741</v>
      </c>
      <c r="C141" s="1" t="n">
        <v>45967</v>
      </c>
      <c r="D141" t="inlineStr">
        <is>
          <t>VÄSTERNORRLANDS LÄN</t>
        </is>
      </c>
      <c r="E141" t="inlineStr">
        <is>
          <t>ÅNGE</t>
        </is>
      </c>
      <c r="F141" t="inlineStr">
        <is>
          <t>SCA</t>
        </is>
      </c>
      <c r="G141" t="n">
        <v>8.300000000000001</v>
      </c>
      <c r="H141" t="n">
        <v>0</v>
      </c>
      <c r="I141" t="n">
        <v>1</v>
      </c>
      <c r="J141" t="n">
        <v>1</v>
      </c>
      <c r="K141" t="n">
        <v>0</v>
      </c>
      <c r="L141" t="n">
        <v>0</v>
      </c>
      <c r="M141" t="n">
        <v>0</v>
      </c>
      <c r="N141" t="n">
        <v>0</v>
      </c>
      <c r="O141" t="n">
        <v>1</v>
      </c>
      <c r="P141" t="n">
        <v>0</v>
      </c>
      <c r="Q141" t="n">
        <v>2</v>
      </c>
      <c r="R141" s="2" t="inlineStr">
        <is>
          <t>Lunglav
Kransrams</t>
        </is>
      </c>
      <c r="S141">
        <f>HYPERLINK("https://klasma.github.io/Logging_2260/artfynd/A 47798-2022 artfynd.xlsx", "A 47798-2022")</f>
        <v/>
      </c>
      <c r="T141">
        <f>HYPERLINK("https://klasma.github.io/Logging_2260/kartor/A 47798-2022 karta.png", "A 47798-2022")</f>
        <v/>
      </c>
      <c r="V141">
        <f>HYPERLINK("https://klasma.github.io/Logging_2260/klagomål/A 47798-2022 FSC-klagomål.docx", "A 47798-2022")</f>
        <v/>
      </c>
      <c r="W141">
        <f>HYPERLINK("https://klasma.github.io/Logging_2260/klagomålsmail/A 47798-2022 FSC-klagomål mail.docx", "A 47798-2022")</f>
        <v/>
      </c>
      <c r="X141">
        <f>HYPERLINK("https://klasma.github.io/Logging_2260/tillsyn/A 47798-2022 tillsynsbegäran.docx", "A 47798-2022")</f>
        <v/>
      </c>
      <c r="Y141">
        <f>HYPERLINK("https://klasma.github.io/Logging_2260/tillsynsmail/A 47798-2022 tillsynsbegäran mail.docx", "A 47798-2022")</f>
        <v/>
      </c>
    </row>
    <row r="142" ht="15" customHeight="1">
      <c r="A142" t="inlineStr">
        <is>
          <t>A 36635-2021</t>
        </is>
      </c>
      <c r="B142" s="1" t="n">
        <v>44391</v>
      </c>
      <c r="C142" s="1" t="n">
        <v>45967</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45967</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48152-2022</t>
        </is>
      </c>
      <c r="B144" s="1" t="n">
        <v>44853</v>
      </c>
      <c r="C144" s="1" t="n">
        <v>45967</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45967</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45967</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45967</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25034-2024</t>
        </is>
      </c>
      <c r="B148" s="1" t="n">
        <v>45461.96458333333</v>
      </c>
      <c r="C148" s="1" t="n">
        <v>45967</v>
      </c>
      <c r="D148" t="inlineStr">
        <is>
          <t>VÄSTERNORRLANDS LÄN</t>
        </is>
      </c>
      <c r="E148" t="inlineStr">
        <is>
          <t>ÅNGE</t>
        </is>
      </c>
      <c r="F148" t="inlineStr">
        <is>
          <t>SCA</t>
        </is>
      </c>
      <c r="G148" t="n">
        <v>3.3</v>
      </c>
      <c r="H148" t="n">
        <v>0</v>
      </c>
      <c r="I148" t="n">
        <v>0</v>
      </c>
      <c r="J148" t="n">
        <v>2</v>
      </c>
      <c r="K148" t="n">
        <v>0</v>
      </c>
      <c r="L148" t="n">
        <v>0</v>
      </c>
      <c r="M148" t="n">
        <v>0</v>
      </c>
      <c r="N148" t="n">
        <v>0</v>
      </c>
      <c r="O148" t="n">
        <v>2</v>
      </c>
      <c r="P148" t="n">
        <v>0</v>
      </c>
      <c r="Q148" t="n">
        <v>2</v>
      </c>
      <c r="R148" s="2" t="inlineStr">
        <is>
          <t>Rosenticka
Ullticka</t>
        </is>
      </c>
      <c r="S148">
        <f>HYPERLINK("https://klasma.github.io/Logging_2260/artfynd/A 25034-2024 artfynd.xlsx", "A 25034-2024")</f>
        <v/>
      </c>
      <c r="T148">
        <f>HYPERLINK("https://klasma.github.io/Logging_2260/kartor/A 25034-2024 karta.png", "A 25034-2024")</f>
        <v/>
      </c>
      <c r="V148">
        <f>HYPERLINK("https://klasma.github.io/Logging_2260/klagomål/A 25034-2024 FSC-klagomål.docx", "A 25034-2024")</f>
        <v/>
      </c>
      <c r="W148">
        <f>HYPERLINK("https://klasma.github.io/Logging_2260/klagomålsmail/A 25034-2024 FSC-klagomål mail.docx", "A 25034-2024")</f>
        <v/>
      </c>
      <c r="X148">
        <f>HYPERLINK("https://klasma.github.io/Logging_2260/tillsyn/A 25034-2024 tillsynsbegäran.docx", "A 25034-2024")</f>
        <v/>
      </c>
      <c r="Y148">
        <f>HYPERLINK("https://klasma.github.io/Logging_2260/tillsynsmail/A 25034-2024 tillsynsbegäran mail.docx", "A 25034-2024")</f>
        <v/>
      </c>
    </row>
    <row r="149" ht="15" customHeight="1">
      <c r="A149" t="inlineStr">
        <is>
          <t>A 57089-2024</t>
        </is>
      </c>
      <c r="B149" s="1" t="n">
        <v>45629.35665509259</v>
      </c>
      <c r="C149" s="1" t="n">
        <v>45967</v>
      </c>
      <c r="D149" t="inlineStr">
        <is>
          <t>VÄSTERNORRLANDS LÄN</t>
        </is>
      </c>
      <c r="E149" t="inlineStr">
        <is>
          <t>ÅNGE</t>
        </is>
      </c>
      <c r="F149" t="inlineStr">
        <is>
          <t>SCA</t>
        </is>
      </c>
      <c r="G149" t="n">
        <v>1.5</v>
      </c>
      <c r="H149" t="n">
        <v>0</v>
      </c>
      <c r="I149" t="n">
        <v>0</v>
      </c>
      <c r="J149" t="n">
        <v>2</v>
      </c>
      <c r="K149" t="n">
        <v>0</v>
      </c>
      <c r="L149" t="n">
        <v>0</v>
      </c>
      <c r="M149" t="n">
        <v>0</v>
      </c>
      <c r="N149" t="n">
        <v>0</v>
      </c>
      <c r="O149" t="n">
        <v>2</v>
      </c>
      <c r="P149" t="n">
        <v>0</v>
      </c>
      <c r="Q149" t="n">
        <v>2</v>
      </c>
      <c r="R149" s="2" t="inlineStr">
        <is>
          <t>Lunglav
Ullticka</t>
        </is>
      </c>
      <c r="S149">
        <f>HYPERLINK("https://klasma.github.io/Logging_2260/artfynd/A 57089-2024 artfynd.xlsx", "A 57089-2024")</f>
        <v/>
      </c>
      <c r="T149">
        <f>HYPERLINK("https://klasma.github.io/Logging_2260/kartor/A 57089-2024 karta.png", "A 57089-2024")</f>
        <v/>
      </c>
      <c r="V149">
        <f>HYPERLINK("https://klasma.github.io/Logging_2260/klagomål/A 57089-2024 FSC-klagomål.docx", "A 57089-2024")</f>
        <v/>
      </c>
      <c r="W149">
        <f>HYPERLINK("https://klasma.github.io/Logging_2260/klagomålsmail/A 57089-2024 FSC-klagomål mail.docx", "A 57089-2024")</f>
        <v/>
      </c>
      <c r="X149">
        <f>HYPERLINK("https://klasma.github.io/Logging_2260/tillsyn/A 57089-2024 tillsynsbegäran.docx", "A 57089-2024")</f>
        <v/>
      </c>
      <c r="Y149">
        <f>HYPERLINK("https://klasma.github.io/Logging_2260/tillsynsmail/A 57089-2024 tillsynsbegäran mail.docx", "A 57089-2024")</f>
        <v/>
      </c>
    </row>
    <row r="150" ht="15" customHeight="1">
      <c r="A150" t="inlineStr">
        <is>
          <t>A 8324-2025</t>
        </is>
      </c>
      <c r="B150" s="1" t="n">
        <v>45708.63621527778</v>
      </c>
      <c r="C150" s="1" t="n">
        <v>45967</v>
      </c>
      <c r="D150" t="inlineStr">
        <is>
          <t>VÄSTERNORRLANDS LÄN</t>
        </is>
      </c>
      <c r="E150" t="inlineStr">
        <is>
          <t>ÅNGE</t>
        </is>
      </c>
      <c r="F150" t="inlineStr">
        <is>
          <t>SCA</t>
        </is>
      </c>
      <c r="G150" t="n">
        <v>7.8</v>
      </c>
      <c r="H150" t="n">
        <v>0</v>
      </c>
      <c r="I150" t="n">
        <v>1</v>
      </c>
      <c r="J150" t="n">
        <v>1</v>
      </c>
      <c r="K150" t="n">
        <v>0</v>
      </c>
      <c r="L150" t="n">
        <v>0</v>
      </c>
      <c r="M150" t="n">
        <v>0</v>
      </c>
      <c r="N150" t="n">
        <v>0</v>
      </c>
      <c r="O150" t="n">
        <v>1</v>
      </c>
      <c r="P150" t="n">
        <v>0</v>
      </c>
      <c r="Q150" t="n">
        <v>2</v>
      </c>
      <c r="R150" s="2" t="inlineStr">
        <is>
          <t>Vitgrynig nållav
Bollvitmossa</t>
        </is>
      </c>
      <c r="S150">
        <f>HYPERLINK("https://klasma.github.io/Logging_2260/artfynd/A 8324-2025 artfynd.xlsx", "A 8324-2025")</f>
        <v/>
      </c>
      <c r="T150">
        <f>HYPERLINK("https://klasma.github.io/Logging_2260/kartor/A 8324-2025 karta.png", "A 8324-2025")</f>
        <v/>
      </c>
      <c r="V150">
        <f>HYPERLINK("https://klasma.github.io/Logging_2260/klagomål/A 8324-2025 FSC-klagomål.docx", "A 8324-2025")</f>
        <v/>
      </c>
      <c r="W150">
        <f>HYPERLINK("https://klasma.github.io/Logging_2260/klagomålsmail/A 8324-2025 FSC-klagomål mail.docx", "A 8324-2025")</f>
        <v/>
      </c>
      <c r="X150">
        <f>HYPERLINK("https://klasma.github.io/Logging_2260/tillsyn/A 8324-2025 tillsynsbegäran.docx", "A 8324-2025")</f>
        <v/>
      </c>
      <c r="Y150">
        <f>HYPERLINK("https://klasma.github.io/Logging_2260/tillsynsmail/A 8324-2025 tillsynsbegäran mail.docx", "A 8324-2025")</f>
        <v/>
      </c>
    </row>
    <row r="151" ht="15" customHeight="1">
      <c r="A151" t="inlineStr">
        <is>
          <t>A 165-2025</t>
        </is>
      </c>
      <c r="B151" s="1" t="n">
        <v>45659</v>
      </c>
      <c r="C151" s="1" t="n">
        <v>45967</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38298-2025</t>
        </is>
      </c>
      <c r="B152" s="1" t="n">
        <v>45883.4568287037</v>
      </c>
      <c r="C152" s="1" t="n">
        <v>45967</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47719-2024</t>
        </is>
      </c>
      <c r="B153" s="1" t="n">
        <v>45588.48996527777</v>
      </c>
      <c r="C153" s="1" t="n">
        <v>45967</v>
      </c>
      <c r="D153" t="inlineStr">
        <is>
          <t>VÄSTERNORRLANDS LÄN</t>
        </is>
      </c>
      <c r="E153" t="inlineStr">
        <is>
          <t>ÅNGE</t>
        </is>
      </c>
      <c r="F153" t="inlineStr">
        <is>
          <t>SCA</t>
        </is>
      </c>
      <c r="G153" t="n">
        <v>1.4</v>
      </c>
      <c r="H153" t="n">
        <v>0</v>
      </c>
      <c r="I153" t="n">
        <v>0</v>
      </c>
      <c r="J153" t="n">
        <v>2</v>
      </c>
      <c r="K153" t="n">
        <v>0</v>
      </c>
      <c r="L153" t="n">
        <v>0</v>
      </c>
      <c r="M153" t="n">
        <v>0</v>
      </c>
      <c r="N153" t="n">
        <v>0</v>
      </c>
      <c r="O153" t="n">
        <v>2</v>
      </c>
      <c r="P153" t="n">
        <v>0</v>
      </c>
      <c r="Q153" t="n">
        <v>2</v>
      </c>
      <c r="R153" s="2" t="inlineStr">
        <is>
          <t>Dvärgbägarlav
Vedskivlav</t>
        </is>
      </c>
      <c r="S153">
        <f>HYPERLINK("https://klasma.github.io/Logging_2260/artfynd/A 47719-2024 artfynd.xlsx", "A 47719-2024")</f>
        <v/>
      </c>
      <c r="T153">
        <f>HYPERLINK("https://klasma.github.io/Logging_2260/kartor/A 47719-2024 karta.png", "A 47719-2024")</f>
        <v/>
      </c>
      <c r="V153">
        <f>HYPERLINK("https://klasma.github.io/Logging_2260/klagomål/A 47719-2024 FSC-klagomål.docx", "A 47719-2024")</f>
        <v/>
      </c>
      <c r="W153">
        <f>HYPERLINK("https://klasma.github.io/Logging_2260/klagomålsmail/A 47719-2024 FSC-klagomål mail.docx", "A 47719-2024")</f>
        <v/>
      </c>
      <c r="X153">
        <f>HYPERLINK("https://klasma.github.io/Logging_2260/tillsyn/A 47719-2024 tillsynsbegäran.docx", "A 47719-2024")</f>
        <v/>
      </c>
      <c r="Y153">
        <f>HYPERLINK("https://klasma.github.io/Logging_2260/tillsynsmail/A 47719-2024 tillsynsbegäran mail.docx", "A 47719-2024")</f>
        <v/>
      </c>
    </row>
    <row r="154" ht="15" customHeight="1">
      <c r="A154" t="inlineStr">
        <is>
          <t>A 57594-2022</t>
        </is>
      </c>
      <c r="B154" s="1" t="n">
        <v>44896.97854166666</v>
      </c>
      <c r="C154" s="1" t="n">
        <v>45967</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31493-2024</t>
        </is>
      </c>
      <c r="B155" s="1" t="n">
        <v>45505</v>
      </c>
      <c r="C155" s="1" t="n">
        <v>45967</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57597-2022</t>
        </is>
      </c>
      <c r="B156" s="1" t="n">
        <v>44896.97878472223</v>
      </c>
      <c r="C156" s="1" t="n">
        <v>45967</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21453-2025</t>
        </is>
      </c>
      <c r="B157" s="1" t="n">
        <v>45782.55311342593</v>
      </c>
      <c r="C157" s="1" t="n">
        <v>45967</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32659-2024</t>
        </is>
      </c>
      <c r="B158" s="1" t="n">
        <v>45513</v>
      </c>
      <c r="C158" s="1" t="n">
        <v>45967</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17861-2023</t>
        </is>
      </c>
      <c r="B159" s="1" t="n">
        <v>45037.94171296297</v>
      </c>
      <c r="C159" s="1" t="n">
        <v>45967</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62861-2021</t>
        </is>
      </c>
      <c r="B160" s="1" t="n">
        <v>44503</v>
      </c>
      <c r="C160" s="1" t="n">
        <v>45967</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55178-2024</t>
        </is>
      </c>
      <c r="B161" s="1" t="n">
        <v>45621</v>
      </c>
      <c r="C161" s="1" t="n">
        <v>45967</v>
      </c>
      <c r="D161" t="inlineStr">
        <is>
          <t>VÄSTERNORRLANDS LÄN</t>
        </is>
      </c>
      <c r="E161" t="inlineStr">
        <is>
          <t>ÅNGE</t>
        </is>
      </c>
      <c r="F161" t="inlineStr">
        <is>
          <t>SCA</t>
        </is>
      </c>
      <c r="G161" t="n">
        <v>4.8</v>
      </c>
      <c r="H161" t="n">
        <v>1</v>
      </c>
      <c r="I161" t="n">
        <v>0</v>
      </c>
      <c r="J161" t="n">
        <v>1</v>
      </c>
      <c r="K161" t="n">
        <v>1</v>
      </c>
      <c r="L161" t="n">
        <v>0</v>
      </c>
      <c r="M161" t="n">
        <v>0</v>
      </c>
      <c r="N161" t="n">
        <v>0</v>
      </c>
      <c r="O161" t="n">
        <v>2</v>
      </c>
      <c r="P161" t="n">
        <v>1</v>
      </c>
      <c r="Q161" t="n">
        <v>2</v>
      </c>
      <c r="R161" s="2" t="inlineStr">
        <is>
          <t>Knärot
Stiftgelélav</t>
        </is>
      </c>
      <c r="S161">
        <f>HYPERLINK("https://klasma.github.io/Logging_2260/artfynd/A 55178-2024 artfynd.xlsx", "A 55178-2024")</f>
        <v/>
      </c>
      <c r="T161">
        <f>HYPERLINK("https://klasma.github.io/Logging_2260/kartor/A 55178-2024 karta.png", "A 55178-2024")</f>
        <v/>
      </c>
      <c r="U161">
        <f>HYPERLINK("https://klasma.github.io/Logging_2260/knärot/A 55178-2024 karta knärot.png", "A 55178-2024")</f>
        <v/>
      </c>
      <c r="V161">
        <f>HYPERLINK("https://klasma.github.io/Logging_2260/klagomål/A 55178-2024 FSC-klagomål.docx", "A 55178-2024")</f>
        <v/>
      </c>
      <c r="W161">
        <f>HYPERLINK("https://klasma.github.io/Logging_2260/klagomålsmail/A 55178-2024 FSC-klagomål mail.docx", "A 55178-2024")</f>
        <v/>
      </c>
      <c r="X161">
        <f>HYPERLINK("https://klasma.github.io/Logging_2260/tillsyn/A 55178-2024 tillsynsbegäran.docx", "A 55178-2024")</f>
        <v/>
      </c>
      <c r="Y161">
        <f>HYPERLINK("https://klasma.github.io/Logging_2260/tillsynsmail/A 55178-2024 tillsynsbegäran mail.docx", "A 55178-2024")</f>
        <v/>
      </c>
    </row>
    <row r="162" ht="15" customHeight="1">
      <c r="A162" t="inlineStr">
        <is>
          <t>A 55591-2021</t>
        </is>
      </c>
      <c r="B162" s="1" t="n">
        <v>44475</v>
      </c>
      <c r="C162" s="1" t="n">
        <v>45967</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58902-2020</t>
        </is>
      </c>
      <c r="B163" s="1" t="n">
        <v>44146</v>
      </c>
      <c r="C163" s="1" t="n">
        <v>45967</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4873-2025</t>
        </is>
      </c>
      <c r="B164" s="1" t="n">
        <v>45688.67633101852</v>
      </c>
      <c r="C164" s="1" t="n">
        <v>45967</v>
      </c>
      <c r="D164" t="inlineStr">
        <is>
          <t>VÄSTERNORRLANDS LÄN</t>
        </is>
      </c>
      <c r="E164" t="inlineStr">
        <is>
          <t>ÅNGE</t>
        </is>
      </c>
      <c r="F164" t="inlineStr">
        <is>
          <t>SCA</t>
        </is>
      </c>
      <c r="G164" t="n">
        <v>3.3</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4873-2025 artfynd.xlsx", "A 4873-2025")</f>
        <v/>
      </c>
      <c r="T164">
        <f>HYPERLINK("https://klasma.github.io/Logging_2260/kartor/A 4873-2025 karta.png", "A 4873-2025")</f>
        <v/>
      </c>
      <c r="V164">
        <f>HYPERLINK("https://klasma.github.io/Logging_2260/klagomål/A 4873-2025 FSC-klagomål.docx", "A 4873-2025")</f>
        <v/>
      </c>
      <c r="W164">
        <f>HYPERLINK("https://klasma.github.io/Logging_2260/klagomålsmail/A 4873-2025 FSC-klagomål mail.docx", "A 4873-2025")</f>
        <v/>
      </c>
      <c r="X164">
        <f>HYPERLINK("https://klasma.github.io/Logging_2260/tillsyn/A 4873-2025 tillsynsbegäran.docx", "A 4873-2025")</f>
        <v/>
      </c>
      <c r="Y164">
        <f>HYPERLINK("https://klasma.github.io/Logging_2260/tillsynsmail/A 4873-2025 tillsynsbegäran mail.docx", "A 4873-2025")</f>
        <v/>
      </c>
    </row>
    <row r="165" ht="15" customHeight="1">
      <c r="A165" t="inlineStr">
        <is>
          <t>A 42864-2025</t>
        </is>
      </c>
      <c r="B165" s="1" t="n">
        <v>45908</v>
      </c>
      <c r="C165" s="1" t="n">
        <v>45967</v>
      </c>
      <c r="D165" t="inlineStr">
        <is>
          <t>VÄSTERNORRLANDS LÄN</t>
        </is>
      </c>
      <c r="E165" t="inlineStr">
        <is>
          <t>ÅNGE</t>
        </is>
      </c>
      <c r="G165" t="n">
        <v>2.9</v>
      </c>
      <c r="H165" t="n">
        <v>0</v>
      </c>
      <c r="I165" t="n">
        <v>0</v>
      </c>
      <c r="J165" t="n">
        <v>2</v>
      </c>
      <c r="K165" t="n">
        <v>0</v>
      </c>
      <c r="L165" t="n">
        <v>0</v>
      </c>
      <c r="M165" t="n">
        <v>0</v>
      </c>
      <c r="N165" t="n">
        <v>0</v>
      </c>
      <c r="O165" t="n">
        <v>2</v>
      </c>
      <c r="P165" t="n">
        <v>0</v>
      </c>
      <c r="Q165" t="n">
        <v>2</v>
      </c>
      <c r="R165" s="2" t="inlineStr">
        <is>
          <t>Mörk kolflarnlav
Vedflamlav</t>
        </is>
      </c>
      <c r="S165">
        <f>HYPERLINK("https://klasma.github.io/Logging_2260/artfynd/A 42864-2025 artfynd.xlsx", "A 42864-2025")</f>
        <v/>
      </c>
      <c r="T165">
        <f>HYPERLINK("https://klasma.github.io/Logging_2260/kartor/A 42864-2025 karta.png", "A 42864-2025")</f>
        <v/>
      </c>
      <c r="V165">
        <f>HYPERLINK("https://klasma.github.io/Logging_2260/klagomål/A 42864-2025 FSC-klagomål.docx", "A 42864-2025")</f>
        <v/>
      </c>
      <c r="W165">
        <f>HYPERLINK("https://klasma.github.io/Logging_2260/klagomålsmail/A 42864-2025 FSC-klagomål mail.docx", "A 42864-2025")</f>
        <v/>
      </c>
      <c r="X165">
        <f>HYPERLINK("https://klasma.github.io/Logging_2260/tillsyn/A 42864-2025 tillsynsbegäran.docx", "A 42864-2025")</f>
        <v/>
      </c>
      <c r="Y165">
        <f>HYPERLINK("https://klasma.github.io/Logging_2260/tillsynsmail/A 42864-2025 tillsynsbegäran mail.docx", "A 42864-2025")</f>
        <v/>
      </c>
    </row>
    <row r="166" ht="15" customHeight="1">
      <c r="A166" t="inlineStr">
        <is>
          <t>A 24176-2025</t>
        </is>
      </c>
      <c r="B166" s="1" t="n">
        <v>45796.69832175926</v>
      </c>
      <c r="C166" s="1" t="n">
        <v>45967</v>
      </c>
      <c r="D166" t="inlineStr">
        <is>
          <t>VÄSTERNORRLANDS LÄN</t>
        </is>
      </c>
      <c r="E166" t="inlineStr">
        <is>
          <t>ÅNGE</t>
        </is>
      </c>
      <c r="F166" t="inlineStr">
        <is>
          <t>SCA</t>
        </is>
      </c>
      <c r="G166" t="n">
        <v>3.9</v>
      </c>
      <c r="H166" t="n">
        <v>0</v>
      </c>
      <c r="I166" t="n">
        <v>1</v>
      </c>
      <c r="J166" t="n">
        <v>1</v>
      </c>
      <c r="K166" t="n">
        <v>0</v>
      </c>
      <c r="L166" t="n">
        <v>0</v>
      </c>
      <c r="M166" t="n">
        <v>0</v>
      </c>
      <c r="N166" t="n">
        <v>0</v>
      </c>
      <c r="O166" t="n">
        <v>1</v>
      </c>
      <c r="P166" t="n">
        <v>0</v>
      </c>
      <c r="Q166" t="n">
        <v>2</v>
      </c>
      <c r="R166" s="2" t="inlineStr">
        <is>
          <t>Vitgrynig nållav
Vedticka</t>
        </is>
      </c>
      <c r="S166">
        <f>HYPERLINK("https://klasma.github.io/Logging_2260/artfynd/A 24176-2025 artfynd.xlsx", "A 24176-2025")</f>
        <v/>
      </c>
      <c r="T166">
        <f>HYPERLINK("https://klasma.github.io/Logging_2260/kartor/A 24176-2025 karta.png", "A 24176-2025")</f>
        <v/>
      </c>
      <c r="V166">
        <f>HYPERLINK("https://klasma.github.io/Logging_2260/klagomål/A 24176-2025 FSC-klagomål.docx", "A 24176-2025")</f>
        <v/>
      </c>
      <c r="W166">
        <f>HYPERLINK("https://klasma.github.io/Logging_2260/klagomålsmail/A 24176-2025 FSC-klagomål mail.docx", "A 24176-2025")</f>
        <v/>
      </c>
      <c r="X166">
        <f>HYPERLINK("https://klasma.github.io/Logging_2260/tillsyn/A 24176-2025 tillsynsbegäran.docx", "A 24176-2025")</f>
        <v/>
      </c>
      <c r="Y166">
        <f>HYPERLINK("https://klasma.github.io/Logging_2260/tillsynsmail/A 24176-2025 tillsynsbegäran mail.docx", "A 24176-2025")</f>
        <v/>
      </c>
    </row>
    <row r="167" ht="15" customHeight="1">
      <c r="A167" t="inlineStr">
        <is>
          <t>A 43721-2025</t>
        </is>
      </c>
      <c r="B167" s="1" t="n">
        <v>45912.42800925926</v>
      </c>
      <c r="C167" s="1" t="n">
        <v>45967</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29325-2023</t>
        </is>
      </c>
      <c r="B168" s="1" t="n">
        <v>45105</v>
      </c>
      <c r="C168" s="1" t="n">
        <v>45967</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26020-2024</t>
        </is>
      </c>
      <c r="B169" s="1" t="n">
        <v>45467.9603125</v>
      </c>
      <c r="C169" s="1" t="n">
        <v>45967</v>
      </c>
      <c r="D169" t="inlineStr">
        <is>
          <t>VÄSTERNORRLANDS LÄN</t>
        </is>
      </c>
      <c r="E169" t="inlineStr">
        <is>
          <t>ÅNGE</t>
        </is>
      </c>
      <c r="F169" t="inlineStr">
        <is>
          <t>SCA</t>
        </is>
      </c>
      <c r="G169" t="n">
        <v>4.8</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26020-2024 artfynd.xlsx", "A 26020-2024")</f>
        <v/>
      </c>
      <c r="T169">
        <f>HYPERLINK("https://klasma.github.io/Logging_2260/kartor/A 26020-2024 karta.png", "A 26020-2024")</f>
        <v/>
      </c>
      <c r="V169">
        <f>HYPERLINK("https://klasma.github.io/Logging_2260/klagomål/A 26020-2024 FSC-klagomål.docx", "A 26020-2024")</f>
        <v/>
      </c>
      <c r="W169">
        <f>HYPERLINK("https://klasma.github.io/Logging_2260/klagomålsmail/A 26020-2024 FSC-klagomål mail.docx", "A 26020-2024")</f>
        <v/>
      </c>
      <c r="X169">
        <f>HYPERLINK("https://klasma.github.io/Logging_2260/tillsyn/A 26020-2024 tillsynsbegäran.docx", "A 26020-2024")</f>
        <v/>
      </c>
      <c r="Y169">
        <f>HYPERLINK("https://klasma.github.io/Logging_2260/tillsynsmail/A 26020-2024 tillsynsbegäran mail.docx", "A 26020-2024")</f>
        <v/>
      </c>
    </row>
    <row r="170" ht="15" customHeight="1">
      <c r="A170" t="inlineStr">
        <is>
          <t>A 4093-2025</t>
        </is>
      </c>
      <c r="B170" s="1" t="n">
        <v>45684.67762731481</v>
      </c>
      <c r="C170" s="1" t="n">
        <v>45967</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26906-2025</t>
        </is>
      </c>
      <c r="B171" s="1" t="n">
        <v>45811.34552083333</v>
      </c>
      <c r="C171" s="1" t="n">
        <v>45967</v>
      </c>
      <c r="D171" t="inlineStr">
        <is>
          <t>VÄSTERNORRLANDS LÄN</t>
        </is>
      </c>
      <c r="E171" t="inlineStr">
        <is>
          <t>ÅNGE</t>
        </is>
      </c>
      <c r="F171" t="inlineStr">
        <is>
          <t>SCA</t>
        </is>
      </c>
      <c r="G171" t="n">
        <v>7</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26906-2025 artfynd.xlsx", "A 26906-2025")</f>
        <v/>
      </c>
      <c r="T171">
        <f>HYPERLINK("https://klasma.github.io/Logging_2260/kartor/A 26906-2025 karta.png", "A 26906-2025")</f>
        <v/>
      </c>
      <c r="V171">
        <f>HYPERLINK("https://klasma.github.io/Logging_2260/klagomål/A 26906-2025 FSC-klagomål.docx", "A 26906-2025")</f>
        <v/>
      </c>
      <c r="W171">
        <f>HYPERLINK("https://klasma.github.io/Logging_2260/klagomålsmail/A 26906-2025 FSC-klagomål mail.docx", "A 26906-2025")</f>
        <v/>
      </c>
      <c r="X171">
        <f>HYPERLINK("https://klasma.github.io/Logging_2260/tillsyn/A 26906-2025 tillsynsbegäran.docx", "A 26906-2025")</f>
        <v/>
      </c>
      <c r="Y171">
        <f>HYPERLINK("https://klasma.github.io/Logging_2260/tillsynsmail/A 26906-2025 tillsynsbegäran mail.docx", "A 26906-2025")</f>
        <v/>
      </c>
    </row>
    <row r="172" ht="15" customHeight="1">
      <c r="A172" t="inlineStr">
        <is>
          <t>A 54625-2025</t>
        </is>
      </c>
      <c r="B172" s="1" t="n">
        <v>45966.34552083333</v>
      </c>
      <c r="C172" s="1" t="n">
        <v>45967</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18081-2025</t>
        </is>
      </c>
      <c r="B173" s="1" t="n">
        <v>45761.51086805556</v>
      </c>
      <c r="C173" s="1" t="n">
        <v>45967</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45967</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45967</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45967</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36414-2025</t>
        </is>
      </c>
      <c r="B177" s="1" t="n">
        <v>45868.69246527777</v>
      </c>
      <c r="C177" s="1" t="n">
        <v>45967</v>
      </c>
      <c r="D177" t="inlineStr">
        <is>
          <t>VÄSTERNORRLANDS LÄN</t>
        </is>
      </c>
      <c r="E177" t="inlineStr">
        <is>
          <t>ÅNGE</t>
        </is>
      </c>
      <c r="G177" t="n">
        <v>5.4</v>
      </c>
      <c r="H177" t="n">
        <v>0</v>
      </c>
      <c r="I177" t="n">
        <v>0</v>
      </c>
      <c r="J177" t="n">
        <v>2</v>
      </c>
      <c r="K177" t="n">
        <v>0</v>
      </c>
      <c r="L177" t="n">
        <v>0</v>
      </c>
      <c r="M177" t="n">
        <v>0</v>
      </c>
      <c r="N177" t="n">
        <v>0</v>
      </c>
      <c r="O177" t="n">
        <v>2</v>
      </c>
      <c r="P177" t="n">
        <v>0</v>
      </c>
      <c r="Q177" t="n">
        <v>2</v>
      </c>
      <c r="R177" s="2" t="inlineStr">
        <is>
          <t>Kolflarnlav
Lunglav</t>
        </is>
      </c>
      <c r="S177">
        <f>HYPERLINK("https://klasma.github.io/Logging_2260/artfynd/A 36414-2025 artfynd.xlsx", "A 36414-2025")</f>
        <v/>
      </c>
      <c r="T177">
        <f>HYPERLINK("https://klasma.github.io/Logging_2260/kartor/A 36414-2025 karta.png", "A 36414-2025")</f>
        <v/>
      </c>
      <c r="V177">
        <f>HYPERLINK("https://klasma.github.io/Logging_2260/klagomål/A 36414-2025 FSC-klagomål.docx", "A 36414-2025")</f>
        <v/>
      </c>
      <c r="W177">
        <f>HYPERLINK("https://klasma.github.io/Logging_2260/klagomålsmail/A 36414-2025 FSC-klagomål mail.docx", "A 36414-2025")</f>
        <v/>
      </c>
      <c r="X177">
        <f>HYPERLINK("https://klasma.github.io/Logging_2260/tillsyn/A 36414-2025 tillsynsbegäran.docx", "A 36414-2025")</f>
        <v/>
      </c>
      <c r="Y177">
        <f>HYPERLINK("https://klasma.github.io/Logging_2260/tillsynsmail/A 36414-2025 tillsynsbegäran mail.docx", "A 36414-2025")</f>
        <v/>
      </c>
    </row>
    <row r="178" ht="15" customHeight="1">
      <c r="A178" t="inlineStr">
        <is>
          <t>A 37800-2025</t>
        </is>
      </c>
      <c r="B178" s="1" t="n">
        <v>45881.34420138889</v>
      </c>
      <c r="C178" s="1" t="n">
        <v>45967</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45967</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45967</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45967</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45967</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45967</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45967</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45967</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56091-2024</t>
        </is>
      </c>
      <c r="B186" s="1" t="n">
        <v>45624.40678240741</v>
      </c>
      <c r="C186" s="1" t="n">
        <v>45967</v>
      </c>
      <c r="D186" t="inlineStr">
        <is>
          <t>VÄSTERNORRLANDS LÄN</t>
        </is>
      </c>
      <c r="E186" t="inlineStr">
        <is>
          <t>ÅNGE</t>
        </is>
      </c>
      <c r="F186" t="inlineStr">
        <is>
          <t>SCA</t>
        </is>
      </c>
      <c r="G186" t="n">
        <v>2.5</v>
      </c>
      <c r="H186" t="n">
        <v>0</v>
      </c>
      <c r="I186" t="n">
        <v>0</v>
      </c>
      <c r="J186" t="n">
        <v>1</v>
      </c>
      <c r="K186" t="n">
        <v>0</v>
      </c>
      <c r="L186" t="n">
        <v>0</v>
      </c>
      <c r="M186" t="n">
        <v>0</v>
      </c>
      <c r="N186" t="n">
        <v>0</v>
      </c>
      <c r="O186" t="n">
        <v>1</v>
      </c>
      <c r="P186" t="n">
        <v>0</v>
      </c>
      <c r="Q186" t="n">
        <v>1</v>
      </c>
      <c r="R186" s="2" t="inlineStr">
        <is>
          <t>Mörk kolflarnlav</t>
        </is>
      </c>
      <c r="S186">
        <f>HYPERLINK("https://klasma.github.io/Logging_2260/artfynd/A 56091-2024 artfynd.xlsx", "A 56091-2024")</f>
        <v/>
      </c>
      <c r="T186">
        <f>HYPERLINK("https://klasma.github.io/Logging_2260/kartor/A 56091-2024 karta.png", "A 56091-2024")</f>
        <v/>
      </c>
      <c r="V186">
        <f>HYPERLINK("https://klasma.github.io/Logging_2260/klagomål/A 56091-2024 FSC-klagomål.docx", "A 56091-2024")</f>
        <v/>
      </c>
      <c r="W186">
        <f>HYPERLINK("https://klasma.github.io/Logging_2260/klagomålsmail/A 56091-2024 FSC-klagomål mail.docx", "A 56091-2024")</f>
        <v/>
      </c>
      <c r="X186">
        <f>HYPERLINK("https://klasma.github.io/Logging_2260/tillsyn/A 56091-2024 tillsynsbegäran.docx", "A 56091-2024")</f>
        <v/>
      </c>
      <c r="Y186">
        <f>HYPERLINK("https://klasma.github.io/Logging_2260/tillsynsmail/A 56091-2024 tillsynsbegäran mail.docx", "A 56091-2024")</f>
        <v/>
      </c>
    </row>
    <row r="187" ht="15" customHeight="1">
      <c r="A187" t="inlineStr">
        <is>
          <t>A 31544-2024</t>
        </is>
      </c>
      <c r="B187" s="1" t="n">
        <v>45505</v>
      </c>
      <c r="C187" s="1" t="n">
        <v>45967</v>
      </c>
      <c r="D187" t="inlineStr">
        <is>
          <t>VÄSTERNORRLANDS LÄN</t>
        </is>
      </c>
      <c r="E187" t="inlineStr">
        <is>
          <t>ÅNGE</t>
        </is>
      </c>
      <c r="F187" t="inlineStr">
        <is>
          <t>SCA</t>
        </is>
      </c>
      <c r="G187" t="n">
        <v>3.5</v>
      </c>
      <c r="H187" t="n">
        <v>0</v>
      </c>
      <c r="I187" t="n">
        <v>0</v>
      </c>
      <c r="J187" t="n">
        <v>1</v>
      </c>
      <c r="K187" t="n">
        <v>0</v>
      </c>
      <c r="L187" t="n">
        <v>0</v>
      </c>
      <c r="M187" t="n">
        <v>0</v>
      </c>
      <c r="N187" t="n">
        <v>0</v>
      </c>
      <c r="O187" t="n">
        <v>1</v>
      </c>
      <c r="P187" t="n">
        <v>0</v>
      </c>
      <c r="Q187" t="n">
        <v>1</v>
      </c>
      <c r="R187" s="2" t="inlineStr">
        <is>
          <t>Granticka</t>
        </is>
      </c>
      <c r="S187">
        <f>HYPERLINK("https://klasma.github.io/Logging_2260/artfynd/A 31544-2024 artfynd.xlsx", "A 31544-2024")</f>
        <v/>
      </c>
      <c r="T187">
        <f>HYPERLINK("https://klasma.github.io/Logging_2260/kartor/A 31544-2024 karta.png", "A 31544-2024")</f>
        <v/>
      </c>
      <c r="V187">
        <f>HYPERLINK("https://klasma.github.io/Logging_2260/klagomål/A 31544-2024 FSC-klagomål.docx", "A 31544-2024")</f>
        <v/>
      </c>
      <c r="W187">
        <f>HYPERLINK("https://klasma.github.io/Logging_2260/klagomålsmail/A 31544-2024 FSC-klagomål mail.docx", "A 31544-2024")</f>
        <v/>
      </c>
      <c r="X187">
        <f>HYPERLINK("https://klasma.github.io/Logging_2260/tillsyn/A 31544-2024 tillsynsbegäran.docx", "A 31544-2024")</f>
        <v/>
      </c>
      <c r="Y187">
        <f>HYPERLINK("https://klasma.github.io/Logging_2260/tillsynsmail/A 31544-2024 tillsynsbegäran mail.docx", "A 31544-2024")</f>
        <v/>
      </c>
    </row>
    <row r="188" ht="15" customHeight="1">
      <c r="A188" t="inlineStr">
        <is>
          <t>A 43171-2024</t>
        </is>
      </c>
      <c r="B188" s="1" t="n">
        <v>45567</v>
      </c>
      <c r="C188" s="1" t="n">
        <v>45967</v>
      </c>
      <c r="D188" t="inlineStr">
        <is>
          <t>VÄSTERNORRLANDS LÄN</t>
        </is>
      </c>
      <c r="E188" t="inlineStr">
        <is>
          <t>ÅNGE</t>
        </is>
      </c>
      <c r="F188" t="inlineStr">
        <is>
          <t>SCA</t>
        </is>
      </c>
      <c r="G188" t="n">
        <v>3.4</v>
      </c>
      <c r="H188" t="n">
        <v>0</v>
      </c>
      <c r="I188" t="n">
        <v>0</v>
      </c>
      <c r="J188" t="n">
        <v>1</v>
      </c>
      <c r="K188" t="n">
        <v>0</v>
      </c>
      <c r="L188" t="n">
        <v>0</v>
      </c>
      <c r="M188" t="n">
        <v>0</v>
      </c>
      <c r="N188" t="n">
        <v>0</v>
      </c>
      <c r="O188" t="n">
        <v>1</v>
      </c>
      <c r="P188" t="n">
        <v>0</v>
      </c>
      <c r="Q188" t="n">
        <v>1</v>
      </c>
      <c r="R188" s="2" t="inlineStr">
        <is>
          <t>Rosenticka</t>
        </is>
      </c>
      <c r="S188">
        <f>HYPERLINK("https://klasma.github.io/Logging_2260/artfynd/A 43171-2024 artfynd.xlsx", "A 43171-2024")</f>
        <v/>
      </c>
      <c r="T188">
        <f>HYPERLINK("https://klasma.github.io/Logging_2260/kartor/A 43171-2024 karta.png", "A 43171-2024")</f>
        <v/>
      </c>
      <c r="V188">
        <f>HYPERLINK("https://klasma.github.io/Logging_2260/klagomål/A 43171-2024 FSC-klagomål.docx", "A 43171-2024")</f>
        <v/>
      </c>
      <c r="W188">
        <f>HYPERLINK("https://klasma.github.io/Logging_2260/klagomålsmail/A 43171-2024 FSC-klagomål mail.docx", "A 43171-2024")</f>
        <v/>
      </c>
      <c r="X188">
        <f>HYPERLINK("https://klasma.github.io/Logging_2260/tillsyn/A 43171-2024 tillsynsbegäran.docx", "A 43171-2024")</f>
        <v/>
      </c>
      <c r="Y188">
        <f>HYPERLINK("https://klasma.github.io/Logging_2260/tillsynsmail/A 43171-2024 tillsynsbegäran mail.docx", "A 43171-2024")</f>
        <v/>
      </c>
    </row>
    <row r="189" ht="15" customHeight="1">
      <c r="A189" t="inlineStr">
        <is>
          <t>A 31878-2024</t>
        </is>
      </c>
      <c r="B189" s="1" t="n">
        <v>45509</v>
      </c>
      <c r="C189" s="1" t="n">
        <v>45967</v>
      </c>
      <c r="D189" t="inlineStr">
        <is>
          <t>VÄSTERNORRLANDS LÄN</t>
        </is>
      </c>
      <c r="E189" t="inlineStr">
        <is>
          <t>ÅNGE</t>
        </is>
      </c>
      <c r="F189" t="inlineStr">
        <is>
          <t>SCA</t>
        </is>
      </c>
      <c r="G189" t="n">
        <v>5.1</v>
      </c>
      <c r="H189" t="n">
        <v>0</v>
      </c>
      <c r="I189" t="n">
        <v>1</v>
      </c>
      <c r="J189" t="n">
        <v>0</v>
      </c>
      <c r="K189" t="n">
        <v>0</v>
      </c>
      <c r="L189" t="n">
        <v>0</v>
      </c>
      <c r="M189" t="n">
        <v>0</v>
      </c>
      <c r="N189" t="n">
        <v>0</v>
      </c>
      <c r="O189" t="n">
        <v>0</v>
      </c>
      <c r="P189" t="n">
        <v>0</v>
      </c>
      <c r="Q189" t="n">
        <v>1</v>
      </c>
      <c r="R189" s="2" t="inlineStr">
        <is>
          <t>Grönpyrola</t>
        </is>
      </c>
      <c r="S189">
        <f>HYPERLINK("https://klasma.github.io/Logging_2260/artfynd/A 31878-2024 artfynd.xlsx", "A 31878-2024")</f>
        <v/>
      </c>
      <c r="T189">
        <f>HYPERLINK("https://klasma.github.io/Logging_2260/kartor/A 31878-2024 karta.png", "A 31878-2024")</f>
        <v/>
      </c>
      <c r="V189">
        <f>HYPERLINK("https://klasma.github.io/Logging_2260/klagomål/A 31878-2024 FSC-klagomål.docx", "A 31878-2024")</f>
        <v/>
      </c>
      <c r="W189">
        <f>HYPERLINK("https://klasma.github.io/Logging_2260/klagomålsmail/A 31878-2024 FSC-klagomål mail.docx", "A 31878-2024")</f>
        <v/>
      </c>
      <c r="X189">
        <f>HYPERLINK("https://klasma.github.io/Logging_2260/tillsyn/A 31878-2024 tillsynsbegäran.docx", "A 31878-2024")</f>
        <v/>
      </c>
      <c r="Y189">
        <f>HYPERLINK("https://klasma.github.io/Logging_2260/tillsynsmail/A 31878-2024 tillsynsbegäran mail.docx", "A 31878-2024")</f>
        <v/>
      </c>
    </row>
    <row r="190" ht="15" customHeight="1">
      <c r="A190" t="inlineStr">
        <is>
          <t>A 24798-2024</t>
        </is>
      </c>
      <c r="B190" s="1" t="n">
        <v>45460.95277777778</v>
      </c>
      <c r="C190" s="1" t="n">
        <v>45967</v>
      </c>
      <c r="D190" t="inlineStr">
        <is>
          <t>VÄSTERNORRLANDS LÄN</t>
        </is>
      </c>
      <c r="E190" t="inlineStr">
        <is>
          <t>ÅNGE</t>
        </is>
      </c>
      <c r="F190" t="inlineStr">
        <is>
          <t>SCA</t>
        </is>
      </c>
      <c r="G190" t="n">
        <v>1.3</v>
      </c>
      <c r="H190" t="n">
        <v>0</v>
      </c>
      <c r="I190" t="n">
        <v>0</v>
      </c>
      <c r="J190" t="n">
        <v>1</v>
      </c>
      <c r="K190" t="n">
        <v>0</v>
      </c>
      <c r="L190" t="n">
        <v>0</v>
      </c>
      <c r="M190" t="n">
        <v>0</v>
      </c>
      <c r="N190" t="n">
        <v>0</v>
      </c>
      <c r="O190" t="n">
        <v>1</v>
      </c>
      <c r="P190" t="n">
        <v>0</v>
      </c>
      <c r="Q190" t="n">
        <v>1</v>
      </c>
      <c r="R190" s="2" t="inlineStr">
        <is>
          <t>Lunglav</t>
        </is>
      </c>
      <c r="S190">
        <f>HYPERLINK("https://klasma.github.io/Logging_2260/artfynd/A 24798-2024 artfynd.xlsx", "A 24798-2024")</f>
        <v/>
      </c>
      <c r="T190">
        <f>HYPERLINK("https://klasma.github.io/Logging_2260/kartor/A 24798-2024 karta.png", "A 24798-2024")</f>
        <v/>
      </c>
      <c r="V190">
        <f>HYPERLINK("https://klasma.github.io/Logging_2260/klagomål/A 24798-2024 FSC-klagomål.docx", "A 24798-2024")</f>
        <v/>
      </c>
      <c r="W190">
        <f>HYPERLINK("https://klasma.github.io/Logging_2260/klagomålsmail/A 24798-2024 FSC-klagomål mail.docx", "A 24798-2024")</f>
        <v/>
      </c>
      <c r="X190">
        <f>HYPERLINK("https://klasma.github.io/Logging_2260/tillsyn/A 24798-2024 tillsynsbegäran.docx", "A 24798-2024")</f>
        <v/>
      </c>
      <c r="Y190">
        <f>HYPERLINK("https://klasma.github.io/Logging_2260/tillsynsmail/A 24798-2024 tillsynsbegäran mail.docx", "A 24798-2024")</f>
        <v/>
      </c>
    </row>
    <row r="191" ht="15" customHeight="1">
      <c r="A191" t="inlineStr">
        <is>
          <t>A 24799-2024</t>
        </is>
      </c>
      <c r="B191" s="1" t="n">
        <v>45460</v>
      </c>
      <c r="C191" s="1" t="n">
        <v>45967</v>
      </c>
      <c r="D191" t="inlineStr">
        <is>
          <t>VÄSTERNORRLANDS LÄN</t>
        </is>
      </c>
      <c r="E191" t="inlineStr">
        <is>
          <t>ÅNGE</t>
        </is>
      </c>
      <c r="F191" t="inlineStr">
        <is>
          <t>SCA</t>
        </is>
      </c>
      <c r="G191" t="n">
        <v>2.8</v>
      </c>
      <c r="H191" t="n">
        <v>1</v>
      </c>
      <c r="I191" t="n">
        <v>0</v>
      </c>
      <c r="J191" t="n">
        <v>0</v>
      </c>
      <c r="K191" t="n">
        <v>1</v>
      </c>
      <c r="L191" t="n">
        <v>0</v>
      </c>
      <c r="M191" t="n">
        <v>0</v>
      </c>
      <c r="N191" t="n">
        <v>0</v>
      </c>
      <c r="O191" t="n">
        <v>1</v>
      </c>
      <c r="P191" t="n">
        <v>1</v>
      </c>
      <c r="Q191" t="n">
        <v>1</v>
      </c>
      <c r="R191" s="2" t="inlineStr">
        <is>
          <t>Doftticka</t>
        </is>
      </c>
      <c r="S191">
        <f>HYPERLINK("https://klasma.github.io/Logging_2260/artfynd/A 24799-2024 artfynd.xlsx", "A 24799-2024")</f>
        <v/>
      </c>
      <c r="T191">
        <f>HYPERLINK("https://klasma.github.io/Logging_2260/kartor/A 24799-2024 karta.png", "A 24799-2024")</f>
        <v/>
      </c>
      <c r="V191">
        <f>HYPERLINK("https://klasma.github.io/Logging_2260/klagomål/A 24799-2024 FSC-klagomål.docx", "A 24799-2024")</f>
        <v/>
      </c>
      <c r="W191">
        <f>HYPERLINK("https://klasma.github.io/Logging_2260/klagomålsmail/A 24799-2024 FSC-klagomål mail.docx", "A 24799-2024")</f>
        <v/>
      </c>
      <c r="X191">
        <f>HYPERLINK("https://klasma.github.io/Logging_2260/tillsyn/A 24799-2024 tillsynsbegäran.docx", "A 24799-2024")</f>
        <v/>
      </c>
      <c r="Y191">
        <f>HYPERLINK("https://klasma.github.io/Logging_2260/tillsynsmail/A 24799-2024 tillsynsbegäran mail.docx", "A 24799-2024")</f>
        <v/>
      </c>
    </row>
    <row r="192" ht="15" customHeight="1">
      <c r="A192" t="inlineStr">
        <is>
          <t>A 13934-2024</t>
        </is>
      </c>
      <c r="B192" s="1" t="n">
        <v>45391</v>
      </c>
      <c r="C192" s="1" t="n">
        <v>45967</v>
      </c>
      <c r="D192" t="inlineStr">
        <is>
          <t>VÄSTERNORRLANDS LÄN</t>
        </is>
      </c>
      <c r="E192" t="inlineStr">
        <is>
          <t>ÅNGE</t>
        </is>
      </c>
      <c r="F192" t="inlineStr">
        <is>
          <t>SCA</t>
        </is>
      </c>
      <c r="G192" t="n">
        <v>5.8</v>
      </c>
      <c r="H192" t="n">
        <v>0</v>
      </c>
      <c r="I192" t="n">
        <v>0</v>
      </c>
      <c r="J192" t="n">
        <v>1</v>
      </c>
      <c r="K192" t="n">
        <v>0</v>
      </c>
      <c r="L192" t="n">
        <v>0</v>
      </c>
      <c r="M192" t="n">
        <v>0</v>
      </c>
      <c r="N192" t="n">
        <v>0</v>
      </c>
      <c r="O192" t="n">
        <v>1</v>
      </c>
      <c r="P192" t="n">
        <v>0</v>
      </c>
      <c r="Q192" t="n">
        <v>1</v>
      </c>
      <c r="R192" s="2" t="inlineStr">
        <is>
          <t>Ullticka</t>
        </is>
      </c>
      <c r="S192">
        <f>HYPERLINK("https://klasma.github.io/Logging_2260/artfynd/A 13934-2024 artfynd.xlsx", "A 13934-2024")</f>
        <v/>
      </c>
      <c r="T192">
        <f>HYPERLINK("https://klasma.github.io/Logging_2260/kartor/A 13934-2024 karta.png", "A 13934-2024")</f>
        <v/>
      </c>
      <c r="V192">
        <f>HYPERLINK("https://klasma.github.io/Logging_2260/klagomål/A 13934-2024 FSC-klagomål.docx", "A 13934-2024")</f>
        <v/>
      </c>
      <c r="W192">
        <f>HYPERLINK("https://klasma.github.io/Logging_2260/klagomålsmail/A 13934-2024 FSC-klagomål mail.docx", "A 13934-2024")</f>
        <v/>
      </c>
      <c r="X192">
        <f>HYPERLINK("https://klasma.github.io/Logging_2260/tillsyn/A 13934-2024 tillsynsbegäran.docx", "A 13934-2024")</f>
        <v/>
      </c>
      <c r="Y192">
        <f>HYPERLINK("https://klasma.github.io/Logging_2260/tillsynsmail/A 13934-2024 tillsynsbegäran mail.docx", "A 13934-2024")</f>
        <v/>
      </c>
    </row>
    <row r="193" ht="15" customHeight="1">
      <c r="A193" t="inlineStr">
        <is>
          <t>A 37914-2024</t>
        </is>
      </c>
      <c r="B193" s="1" t="n">
        <v>45544</v>
      </c>
      <c r="C193" s="1" t="n">
        <v>45967</v>
      </c>
      <c r="D193" t="inlineStr">
        <is>
          <t>VÄSTERNORRLANDS LÄN</t>
        </is>
      </c>
      <c r="E193" t="inlineStr">
        <is>
          <t>ÅNGE</t>
        </is>
      </c>
      <c r="F193" t="inlineStr">
        <is>
          <t>SCA</t>
        </is>
      </c>
      <c r="G193" t="n">
        <v>9</v>
      </c>
      <c r="H193" t="n">
        <v>0</v>
      </c>
      <c r="I193" t="n">
        <v>0</v>
      </c>
      <c r="J193" t="n">
        <v>1</v>
      </c>
      <c r="K193" t="n">
        <v>0</v>
      </c>
      <c r="L193" t="n">
        <v>0</v>
      </c>
      <c r="M193" t="n">
        <v>0</v>
      </c>
      <c r="N193" t="n">
        <v>0</v>
      </c>
      <c r="O193" t="n">
        <v>1</v>
      </c>
      <c r="P193" t="n">
        <v>0</v>
      </c>
      <c r="Q193" t="n">
        <v>1</v>
      </c>
      <c r="R193" s="2" t="inlineStr">
        <is>
          <t>Granticka</t>
        </is>
      </c>
      <c r="S193">
        <f>HYPERLINK("https://klasma.github.io/Logging_2260/artfynd/A 37914-2024 artfynd.xlsx", "A 37914-2024")</f>
        <v/>
      </c>
      <c r="T193">
        <f>HYPERLINK("https://klasma.github.io/Logging_2260/kartor/A 37914-2024 karta.png", "A 37914-2024")</f>
        <v/>
      </c>
      <c r="V193">
        <f>HYPERLINK("https://klasma.github.io/Logging_2260/klagomål/A 37914-2024 FSC-klagomål.docx", "A 37914-2024")</f>
        <v/>
      </c>
      <c r="W193">
        <f>HYPERLINK("https://klasma.github.io/Logging_2260/klagomålsmail/A 37914-2024 FSC-klagomål mail.docx", "A 37914-2024")</f>
        <v/>
      </c>
      <c r="X193">
        <f>HYPERLINK("https://klasma.github.io/Logging_2260/tillsyn/A 37914-2024 tillsynsbegäran.docx", "A 37914-2024")</f>
        <v/>
      </c>
      <c r="Y193">
        <f>HYPERLINK("https://klasma.github.io/Logging_2260/tillsynsmail/A 37914-2024 tillsynsbegäran mail.docx", "A 37914-2024")</f>
        <v/>
      </c>
    </row>
    <row r="194" ht="15" customHeight="1">
      <c r="A194" t="inlineStr">
        <is>
          <t>A 4351-2024</t>
        </is>
      </c>
      <c r="B194" s="1" t="n">
        <v>45324</v>
      </c>
      <c r="C194" s="1" t="n">
        <v>45967</v>
      </c>
      <c r="D194" t="inlineStr">
        <is>
          <t>VÄSTERNORRLANDS LÄN</t>
        </is>
      </c>
      <c r="E194" t="inlineStr">
        <is>
          <t>ÅNGE</t>
        </is>
      </c>
      <c r="F194" t="inlineStr">
        <is>
          <t>SCA</t>
        </is>
      </c>
      <c r="G194" t="n">
        <v>0.5</v>
      </c>
      <c r="H194" t="n">
        <v>0</v>
      </c>
      <c r="I194" t="n">
        <v>0</v>
      </c>
      <c r="J194" t="n">
        <v>1</v>
      </c>
      <c r="K194" t="n">
        <v>0</v>
      </c>
      <c r="L194" t="n">
        <v>0</v>
      </c>
      <c r="M194" t="n">
        <v>0</v>
      </c>
      <c r="N194" t="n">
        <v>0</v>
      </c>
      <c r="O194" t="n">
        <v>1</v>
      </c>
      <c r="P194" t="n">
        <v>0</v>
      </c>
      <c r="Q194" t="n">
        <v>1</v>
      </c>
      <c r="R194" s="2" t="inlineStr">
        <is>
          <t>Garnlav</t>
        </is>
      </c>
      <c r="S194">
        <f>HYPERLINK("https://klasma.github.io/Logging_2260/artfynd/A 4351-2024 artfynd.xlsx", "A 4351-2024")</f>
        <v/>
      </c>
      <c r="T194">
        <f>HYPERLINK("https://klasma.github.io/Logging_2260/kartor/A 4351-2024 karta.png", "A 4351-2024")</f>
        <v/>
      </c>
      <c r="V194">
        <f>HYPERLINK("https://klasma.github.io/Logging_2260/klagomål/A 4351-2024 FSC-klagomål.docx", "A 4351-2024")</f>
        <v/>
      </c>
      <c r="W194">
        <f>HYPERLINK("https://klasma.github.io/Logging_2260/klagomålsmail/A 4351-2024 FSC-klagomål mail.docx", "A 4351-2024")</f>
        <v/>
      </c>
      <c r="X194">
        <f>HYPERLINK("https://klasma.github.io/Logging_2260/tillsyn/A 4351-2024 tillsynsbegäran.docx", "A 4351-2024")</f>
        <v/>
      </c>
      <c r="Y194">
        <f>HYPERLINK("https://klasma.github.io/Logging_2260/tillsynsmail/A 4351-2024 tillsynsbegäran mail.docx", "A 4351-2024")</f>
        <v/>
      </c>
    </row>
    <row r="195" ht="15" customHeight="1">
      <c r="A195" t="inlineStr">
        <is>
          <t>A 27308-2024</t>
        </is>
      </c>
      <c r="B195" s="1" t="n">
        <v>45471</v>
      </c>
      <c r="C195" s="1" t="n">
        <v>45967</v>
      </c>
      <c r="D195" t="inlineStr">
        <is>
          <t>VÄSTERNORRLANDS LÄN</t>
        </is>
      </c>
      <c r="E195" t="inlineStr">
        <is>
          <t>ÅNGE</t>
        </is>
      </c>
      <c r="F195" t="inlineStr">
        <is>
          <t>SCA</t>
        </is>
      </c>
      <c r="G195" t="n">
        <v>15.9</v>
      </c>
      <c r="H195" t="n">
        <v>0</v>
      </c>
      <c r="I195" t="n">
        <v>0</v>
      </c>
      <c r="J195" t="n">
        <v>1</v>
      </c>
      <c r="K195" t="n">
        <v>0</v>
      </c>
      <c r="L195" t="n">
        <v>0</v>
      </c>
      <c r="M195" t="n">
        <v>0</v>
      </c>
      <c r="N195" t="n">
        <v>0</v>
      </c>
      <c r="O195" t="n">
        <v>1</v>
      </c>
      <c r="P195" t="n">
        <v>0</v>
      </c>
      <c r="Q195" t="n">
        <v>1</v>
      </c>
      <c r="R195" s="2" t="inlineStr">
        <is>
          <t>Lunglav</t>
        </is>
      </c>
      <c r="S195">
        <f>HYPERLINK("https://klasma.github.io/Logging_2260/artfynd/A 27308-2024 artfynd.xlsx", "A 27308-2024")</f>
        <v/>
      </c>
      <c r="T195">
        <f>HYPERLINK("https://klasma.github.io/Logging_2260/kartor/A 27308-2024 karta.png", "A 27308-2024")</f>
        <v/>
      </c>
      <c r="V195">
        <f>HYPERLINK("https://klasma.github.io/Logging_2260/klagomål/A 27308-2024 FSC-klagomål.docx", "A 27308-2024")</f>
        <v/>
      </c>
      <c r="W195">
        <f>HYPERLINK("https://klasma.github.io/Logging_2260/klagomålsmail/A 27308-2024 FSC-klagomål mail.docx", "A 27308-2024")</f>
        <v/>
      </c>
      <c r="X195">
        <f>HYPERLINK("https://klasma.github.io/Logging_2260/tillsyn/A 27308-2024 tillsynsbegäran.docx", "A 27308-2024")</f>
        <v/>
      </c>
      <c r="Y195">
        <f>HYPERLINK("https://klasma.github.io/Logging_2260/tillsynsmail/A 27308-2024 tillsynsbegäran mail.docx", "A 27308-2024")</f>
        <v/>
      </c>
    </row>
    <row r="196" ht="15" customHeight="1">
      <c r="A196" t="inlineStr">
        <is>
          <t>A 31510-2024</t>
        </is>
      </c>
      <c r="B196" s="1" t="n">
        <v>45505</v>
      </c>
      <c r="C196" s="1" t="n">
        <v>45967</v>
      </c>
      <c r="D196" t="inlineStr">
        <is>
          <t>VÄSTERNORRLANDS LÄN</t>
        </is>
      </c>
      <c r="E196" t="inlineStr">
        <is>
          <t>ÅNGE</t>
        </is>
      </c>
      <c r="F196" t="inlineStr">
        <is>
          <t>SCA</t>
        </is>
      </c>
      <c r="G196" t="n">
        <v>6</v>
      </c>
      <c r="H196" t="n">
        <v>1</v>
      </c>
      <c r="I196" t="n">
        <v>0</v>
      </c>
      <c r="J196" t="n">
        <v>0</v>
      </c>
      <c r="K196" t="n">
        <v>1</v>
      </c>
      <c r="L196" t="n">
        <v>0</v>
      </c>
      <c r="M196" t="n">
        <v>0</v>
      </c>
      <c r="N196" t="n">
        <v>0</v>
      </c>
      <c r="O196" t="n">
        <v>1</v>
      </c>
      <c r="P196" t="n">
        <v>1</v>
      </c>
      <c r="Q196" t="n">
        <v>1</v>
      </c>
      <c r="R196" s="2" t="inlineStr">
        <is>
          <t>Doftticka</t>
        </is>
      </c>
      <c r="S196">
        <f>HYPERLINK("https://klasma.github.io/Logging_2260/artfynd/A 31510-2024 artfynd.xlsx", "A 31510-2024")</f>
        <v/>
      </c>
      <c r="T196">
        <f>HYPERLINK("https://klasma.github.io/Logging_2260/kartor/A 31510-2024 karta.png", "A 31510-2024")</f>
        <v/>
      </c>
      <c r="V196">
        <f>HYPERLINK("https://klasma.github.io/Logging_2260/klagomål/A 31510-2024 FSC-klagomål.docx", "A 31510-2024")</f>
        <v/>
      </c>
      <c r="W196">
        <f>HYPERLINK("https://klasma.github.io/Logging_2260/klagomålsmail/A 31510-2024 FSC-klagomål mail.docx", "A 31510-2024")</f>
        <v/>
      </c>
      <c r="X196">
        <f>HYPERLINK("https://klasma.github.io/Logging_2260/tillsyn/A 31510-2024 tillsynsbegäran.docx", "A 31510-2024")</f>
        <v/>
      </c>
      <c r="Y196">
        <f>HYPERLINK("https://klasma.github.io/Logging_2260/tillsynsmail/A 31510-2024 tillsynsbegäran mail.docx", "A 31510-2024")</f>
        <v/>
      </c>
    </row>
    <row r="197" ht="15" customHeight="1">
      <c r="A197" t="inlineStr">
        <is>
          <t>A 47857-2025</t>
        </is>
      </c>
      <c r="B197" s="1" t="n">
        <v>45932.4068287037</v>
      </c>
      <c r="C197" s="1" t="n">
        <v>45967</v>
      </c>
      <c r="D197" t="inlineStr">
        <is>
          <t>VÄSTERNORRLANDS LÄN</t>
        </is>
      </c>
      <c r="E197" t="inlineStr">
        <is>
          <t>ÅNGE</t>
        </is>
      </c>
      <c r="G197" t="n">
        <v>2.5</v>
      </c>
      <c r="H197" t="n">
        <v>1</v>
      </c>
      <c r="I197" t="n">
        <v>0</v>
      </c>
      <c r="J197" t="n">
        <v>1</v>
      </c>
      <c r="K197" t="n">
        <v>0</v>
      </c>
      <c r="L197" t="n">
        <v>0</v>
      </c>
      <c r="M197" t="n">
        <v>0</v>
      </c>
      <c r="N197" t="n">
        <v>0</v>
      </c>
      <c r="O197" t="n">
        <v>1</v>
      </c>
      <c r="P197" t="n">
        <v>0</v>
      </c>
      <c r="Q197" t="n">
        <v>1</v>
      </c>
      <c r="R197" s="2" t="inlineStr">
        <is>
          <t>Kungsörn</t>
        </is>
      </c>
      <c r="S197">
        <f>HYPERLINK("https://klasma.github.io/Logging_2260/artfynd/A 47857-2025 artfynd.xlsx", "A 47857-2025")</f>
        <v/>
      </c>
      <c r="T197">
        <f>HYPERLINK("https://klasma.github.io/Logging_2260/kartor/A 47857-2025 karta.png", "A 47857-2025")</f>
        <v/>
      </c>
      <c r="V197">
        <f>HYPERLINK("https://klasma.github.io/Logging_2260/klagomål/A 47857-2025 FSC-klagomål.docx", "A 47857-2025")</f>
        <v/>
      </c>
      <c r="W197">
        <f>HYPERLINK("https://klasma.github.io/Logging_2260/klagomålsmail/A 47857-2025 FSC-klagomål mail.docx", "A 47857-2025")</f>
        <v/>
      </c>
      <c r="X197">
        <f>HYPERLINK("https://klasma.github.io/Logging_2260/tillsyn/A 47857-2025 tillsynsbegäran.docx", "A 47857-2025")</f>
        <v/>
      </c>
      <c r="Y197">
        <f>HYPERLINK("https://klasma.github.io/Logging_2260/tillsynsmail/A 47857-2025 tillsynsbegäran mail.docx", "A 47857-2025")</f>
        <v/>
      </c>
      <c r="Z197">
        <f>HYPERLINK("https://klasma.github.io/Logging_2260/fåglar/A 47857-2025 prioriterade fågelarter.docx", "A 47857-2025")</f>
        <v/>
      </c>
    </row>
    <row r="198" ht="15" customHeight="1">
      <c r="A198" t="inlineStr">
        <is>
          <t>A 55015-2023</t>
        </is>
      </c>
      <c r="B198" s="1" t="n">
        <v>45237.32185185186</v>
      </c>
      <c r="C198" s="1" t="n">
        <v>45967</v>
      </c>
      <c r="D198" t="inlineStr">
        <is>
          <t>VÄSTERNORRLANDS LÄN</t>
        </is>
      </c>
      <c r="E198" t="inlineStr">
        <is>
          <t>ÅNGE</t>
        </is>
      </c>
      <c r="F198" t="inlineStr">
        <is>
          <t>Sveaskog</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HYPERLINK("https://klasma.github.io/Logging_2260/artfynd/A 55015-2023 artfynd.xlsx", "A 55015-2023")</f>
        <v/>
      </c>
      <c r="T198">
        <f>HYPERLINK("https://klasma.github.io/Logging_2260/kartor/A 55015-2023 karta.png", "A 55015-2023")</f>
        <v/>
      </c>
      <c r="V198">
        <f>HYPERLINK("https://klasma.github.io/Logging_2260/klagomål/A 55015-2023 FSC-klagomål.docx", "A 55015-2023")</f>
        <v/>
      </c>
      <c r="W198">
        <f>HYPERLINK("https://klasma.github.io/Logging_2260/klagomålsmail/A 55015-2023 FSC-klagomål mail.docx", "A 55015-2023")</f>
        <v/>
      </c>
      <c r="X198">
        <f>HYPERLINK("https://klasma.github.io/Logging_2260/tillsyn/A 55015-2023 tillsynsbegäran.docx", "A 55015-2023")</f>
        <v/>
      </c>
      <c r="Y198">
        <f>HYPERLINK("https://klasma.github.io/Logging_2260/tillsynsmail/A 55015-2023 tillsynsbegäran mail.docx", "A 55015-2023")</f>
        <v/>
      </c>
    </row>
    <row r="199" ht="15" customHeight="1">
      <c r="A199" t="inlineStr">
        <is>
          <t>A 57272-2024</t>
        </is>
      </c>
      <c r="B199" s="1" t="n">
        <v>45629.57380787037</v>
      </c>
      <c r="C199" s="1" t="n">
        <v>45967</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1449-2025</t>
        </is>
      </c>
      <c r="B200" s="1" t="n">
        <v>45670.27537037037</v>
      </c>
      <c r="C200" s="1" t="n">
        <v>45967</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23490-2025</t>
        </is>
      </c>
      <c r="B201" s="1" t="n">
        <v>45792.46907407408</v>
      </c>
      <c r="C201" s="1" t="n">
        <v>45967</v>
      </c>
      <c r="D201" t="inlineStr">
        <is>
          <t>VÄSTERNORRLANDS LÄN</t>
        </is>
      </c>
      <c r="E201" t="inlineStr">
        <is>
          <t>ÅNGE</t>
        </is>
      </c>
      <c r="F201" t="inlineStr">
        <is>
          <t>SCA</t>
        </is>
      </c>
      <c r="G201" t="n">
        <v>3.3</v>
      </c>
      <c r="H201" t="n">
        <v>0</v>
      </c>
      <c r="I201" t="n">
        <v>0</v>
      </c>
      <c r="J201" t="n">
        <v>1</v>
      </c>
      <c r="K201" t="n">
        <v>0</v>
      </c>
      <c r="L201" t="n">
        <v>0</v>
      </c>
      <c r="M201" t="n">
        <v>0</v>
      </c>
      <c r="N201" t="n">
        <v>0</v>
      </c>
      <c r="O201" t="n">
        <v>1</v>
      </c>
      <c r="P201" t="n">
        <v>0</v>
      </c>
      <c r="Q201" t="n">
        <v>1</v>
      </c>
      <c r="R201" s="2" t="inlineStr">
        <is>
          <t>Garnlav</t>
        </is>
      </c>
      <c r="S201">
        <f>HYPERLINK("https://klasma.github.io/Logging_2260/artfynd/A 23490-2025 artfynd.xlsx", "A 23490-2025")</f>
        <v/>
      </c>
      <c r="T201">
        <f>HYPERLINK("https://klasma.github.io/Logging_2260/kartor/A 23490-2025 karta.png", "A 23490-2025")</f>
        <v/>
      </c>
      <c r="V201">
        <f>HYPERLINK("https://klasma.github.io/Logging_2260/klagomål/A 23490-2025 FSC-klagomål.docx", "A 23490-2025")</f>
        <v/>
      </c>
      <c r="W201">
        <f>HYPERLINK("https://klasma.github.io/Logging_2260/klagomålsmail/A 23490-2025 FSC-klagomål mail.docx", "A 23490-2025")</f>
        <v/>
      </c>
      <c r="X201">
        <f>HYPERLINK("https://klasma.github.io/Logging_2260/tillsyn/A 23490-2025 tillsynsbegäran.docx", "A 23490-2025")</f>
        <v/>
      </c>
      <c r="Y201">
        <f>HYPERLINK("https://klasma.github.io/Logging_2260/tillsynsmail/A 23490-2025 tillsynsbegäran mail.docx", "A 23490-2025")</f>
        <v/>
      </c>
    </row>
    <row r="202" ht="15" customHeight="1">
      <c r="A202" t="inlineStr">
        <is>
          <t>A 34696-2024</t>
        </is>
      </c>
      <c r="B202" s="1" t="n">
        <v>45526</v>
      </c>
      <c r="C202" s="1" t="n">
        <v>45967</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41493-2021</t>
        </is>
      </c>
      <c r="B203" s="1" t="n">
        <v>44424</v>
      </c>
      <c r="C203" s="1" t="n">
        <v>45967</v>
      </c>
      <c r="D203" t="inlineStr">
        <is>
          <t>VÄSTERNORRLANDS LÄN</t>
        </is>
      </c>
      <c r="E203" t="inlineStr">
        <is>
          <t>ÅNGE</t>
        </is>
      </c>
      <c r="F203" t="inlineStr">
        <is>
          <t>SCA</t>
        </is>
      </c>
      <c r="G203" t="n">
        <v>8</v>
      </c>
      <c r="H203" t="n">
        <v>1</v>
      </c>
      <c r="I203" t="n">
        <v>0</v>
      </c>
      <c r="J203" t="n">
        <v>0</v>
      </c>
      <c r="K203" t="n">
        <v>1</v>
      </c>
      <c r="L203" t="n">
        <v>0</v>
      </c>
      <c r="M203" t="n">
        <v>0</v>
      </c>
      <c r="N203" t="n">
        <v>0</v>
      </c>
      <c r="O203" t="n">
        <v>1</v>
      </c>
      <c r="P203" t="n">
        <v>1</v>
      </c>
      <c r="Q203" t="n">
        <v>1</v>
      </c>
      <c r="R203" s="2" t="inlineStr">
        <is>
          <t>Knärot</t>
        </is>
      </c>
      <c r="S203">
        <f>HYPERLINK("https://klasma.github.io/Logging_2260/artfynd/A 41493-2021 artfynd.xlsx", "A 41493-2021")</f>
        <v/>
      </c>
      <c r="T203">
        <f>HYPERLINK("https://klasma.github.io/Logging_2260/kartor/A 41493-2021 karta.png", "A 41493-2021")</f>
        <v/>
      </c>
      <c r="U203">
        <f>HYPERLINK("https://klasma.github.io/Logging_2260/knärot/A 41493-2021 karta knärot.png", "A 41493-2021")</f>
        <v/>
      </c>
      <c r="V203">
        <f>HYPERLINK("https://klasma.github.io/Logging_2260/klagomål/A 41493-2021 FSC-klagomål.docx", "A 41493-2021")</f>
        <v/>
      </c>
      <c r="W203">
        <f>HYPERLINK("https://klasma.github.io/Logging_2260/klagomålsmail/A 41493-2021 FSC-klagomål mail.docx", "A 41493-2021")</f>
        <v/>
      </c>
      <c r="X203">
        <f>HYPERLINK("https://klasma.github.io/Logging_2260/tillsyn/A 41493-2021 tillsynsbegäran.docx", "A 41493-2021")</f>
        <v/>
      </c>
      <c r="Y203">
        <f>HYPERLINK("https://klasma.github.io/Logging_2260/tillsynsmail/A 41493-2021 tillsynsbegäran mail.docx", "A 41493-2021")</f>
        <v/>
      </c>
    </row>
    <row r="204" ht="15" customHeight="1">
      <c r="A204" t="inlineStr">
        <is>
          <t>A 29327-2023</t>
        </is>
      </c>
      <c r="B204" s="1" t="n">
        <v>45105.94349537037</v>
      </c>
      <c r="C204" s="1" t="n">
        <v>45967</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42524-2025</t>
        </is>
      </c>
      <c r="B205" s="1" t="n">
        <v>45905.55262731481</v>
      </c>
      <c r="C205" s="1" t="n">
        <v>45967</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25705-2024</t>
        </is>
      </c>
      <c r="B206" s="1" t="n">
        <v>45463.9428587963</v>
      </c>
      <c r="C206" s="1" t="n">
        <v>45967</v>
      </c>
      <c r="D206" t="inlineStr">
        <is>
          <t>VÄSTERNORRLANDS LÄN</t>
        </is>
      </c>
      <c r="E206" t="inlineStr">
        <is>
          <t>ÅNGE</t>
        </is>
      </c>
      <c r="F206" t="inlineStr">
        <is>
          <t>SCA</t>
        </is>
      </c>
      <c r="G206" t="n">
        <v>10.6</v>
      </c>
      <c r="H206" t="n">
        <v>1</v>
      </c>
      <c r="I206" t="n">
        <v>1</v>
      </c>
      <c r="J206" t="n">
        <v>0</v>
      </c>
      <c r="K206" t="n">
        <v>0</v>
      </c>
      <c r="L206" t="n">
        <v>0</v>
      </c>
      <c r="M206" t="n">
        <v>0</v>
      </c>
      <c r="N206" t="n">
        <v>0</v>
      </c>
      <c r="O206" t="n">
        <v>0</v>
      </c>
      <c r="P206" t="n">
        <v>0</v>
      </c>
      <c r="Q206" t="n">
        <v>1</v>
      </c>
      <c r="R206" s="2" t="inlineStr">
        <is>
          <t>Korallrot</t>
        </is>
      </c>
      <c r="S206">
        <f>HYPERLINK("https://klasma.github.io/Logging_2260/artfynd/A 25705-2024 artfynd.xlsx", "A 25705-2024")</f>
        <v/>
      </c>
      <c r="T206">
        <f>HYPERLINK("https://klasma.github.io/Logging_2260/kartor/A 25705-2024 karta.png", "A 25705-2024")</f>
        <v/>
      </c>
      <c r="V206">
        <f>HYPERLINK("https://klasma.github.io/Logging_2260/klagomål/A 25705-2024 FSC-klagomål.docx", "A 25705-2024")</f>
        <v/>
      </c>
      <c r="W206">
        <f>HYPERLINK("https://klasma.github.io/Logging_2260/klagomålsmail/A 25705-2024 FSC-klagomål mail.docx", "A 25705-2024")</f>
        <v/>
      </c>
      <c r="X206">
        <f>HYPERLINK("https://klasma.github.io/Logging_2260/tillsyn/A 25705-2024 tillsynsbegäran.docx", "A 25705-2024")</f>
        <v/>
      </c>
      <c r="Y206">
        <f>HYPERLINK("https://klasma.github.io/Logging_2260/tillsynsmail/A 25705-2024 tillsynsbegäran mail.docx", "A 25705-2024")</f>
        <v/>
      </c>
    </row>
    <row r="207" ht="15" customHeight="1">
      <c r="A207" t="inlineStr">
        <is>
          <t>A 43590-2025</t>
        </is>
      </c>
      <c r="B207" s="1" t="n">
        <v>45911.65665509259</v>
      </c>
      <c r="C207" s="1" t="n">
        <v>45967</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30774-2024</t>
        </is>
      </c>
      <c r="B208" s="1" t="n">
        <v>45496.949375</v>
      </c>
      <c r="C208" s="1" t="n">
        <v>45967</v>
      </c>
      <c r="D208" t="inlineStr">
        <is>
          <t>VÄSTERNORRLANDS LÄN</t>
        </is>
      </c>
      <c r="E208" t="inlineStr">
        <is>
          <t>ÅNGE</t>
        </is>
      </c>
      <c r="F208" t="inlineStr">
        <is>
          <t>SCA</t>
        </is>
      </c>
      <c r="G208" t="n">
        <v>2.2</v>
      </c>
      <c r="H208" t="n">
        <v>1</v>
      </c>
      <c r="I208" t="n">
        <v>0</v>
      </c>
      <c r="J208" t="n">
        <v>0</v>
      </c>
      <c r="K208" t="n">
        <v>0</v>
      </c>
      <c r="L208" t="n">
        <v>0</v>
      </c>
      <c r="M208" t="n">
        <v>0</v>
      </c>
      <c r="N208" t="n">
        <v>0</v>
      </c>
      <c r="O208" t="n">
        <v>0</v>
      </c>
      <c r="P208" t="n">
        <v>0</v>
      </c>
      <c r="Q208" t="n">
        <v>1</v>
      </c>
      <c r="R208" s="2" t="inlineStr">
        <is>
          <t>Tjäder</t>
        </is>
      </c>
      <c r="S208">
        <f>HYPERLINK("https://klasma.github.io/Logging_2260/artfynd/A 30774-2024 artfynd.xlsx", "A 30774-2024")</f>
        <v/>
      </c>
      <c r="T208">
        <f>HYPERLINK("https://klasma.github.io/Logging_2260/kartor/A 30774-2024 karta.png", "A 30774-2024")</f>
        <v/>
      </c>
      <c r="V208">
        <f>HYPERLINK("https://klasma.github.io/Logging_2260/klagomål/A 30774-2024 FSC-klagomål.docx", "A 30774-2024")</f>
        <v/>
      </c>
      <c r="W208">
        <f>HYPERLINK("https://klasma.github.io/Logging_2260/klagomålsmail/A 30774-2024 FSC-klagomål mail.docx", "A 30774-2024")</f>
        <v/>
      </c>
      <c r="X208">
        <f>HYPERLINK("https://klasma.github.io/Logging_2260/tillsyn/A 30774-2024 tillsynsbegäran.docx", "A 30774-2024")</f>
        <v/>
      </c>
      <c r="Y208">
        <f>HYPERLINK("https://klasma.github.io/Logging_2260/tillsynsmail/A 30774-2024 tillsynsbegäran mail.docx", "A 30774-2024")</f>
        <v/>
      </c>
      <c r="Z208">
        <f>HYPERLINK("https://klasma.github.io/Logging_2260/fåglar/A 30774-2024 prioriterade fågelarter.docx", "A 30774-2024")</f>
        <v/>
      </c>
    </row>
    <row r="209" ht="15" customHeight="1">
      <c r="A209" t="inlineStr">
        <is>
          <t>A 54386-2024</t>
        </is>
      </c>
      <c r="B209" s="1" t="n">
        <v>45617.44822916666</v>
      </c>
      <c r="C209" s="1" t="n">
        <v>45967</v>
      </c>
      <c r="D209" t="inlineStr">
        <is>
          <t>VÄSTERNORRLANDS LÄN</t>
        </is>
      </c>
      <c r="E209" t="inlineStr">
        <is>
          <t>ÅNGE</t>
        </is>
      </c>
      <c r="F209" t="inlineStr">
        <is>
          <t>SCA</t>
        </is>
      </c>
      <c r="G209" t="n">
        <v>1.9</v>
      </c>
      <c r="H209" t="n">
        <v>0</v>
      </c>
      <c r="I209" t="n">
        <v>0</v>
      </c>
      <c r="J209" t="n">
        <v>1</v>
      </c>
      <c r="K209" t="n">
        <v>0</v>
      </c>
      <c r="L209" t="n">
        <v>0</v>
      </c>
      <c r="M209" t="n">
        <v>0</v>
      </c>
      <c r="N209" t="n">
        <v>0</v>
      </c>
      <c r="O209" t="n">
        <v>1</v>
      </c>
      <c r="P209" t="n">
        <v>0</v>
      </c>
      <c r="Q209" t="n">
        <v>1</v>
      </c>
      <c r="R209" s="2" t="inlineStr">
        <is>
          <t>Reliktbock</t>
        </is>
      </c>
      <c r="S209">
        <f>HYPERLINK("https://klasma.github.io/Logging_2260/artfynd/A 54386-2024 artfynd.xlsx", "A 54386-2024")</f>
        <v/>
      </c>
      <c r="T209">
        <f>HYPERLINK("https://klasma.github.io/Logging_2260/kartor/A 54386-2024 karta.png", "A 54386-2024")</f>
        <v/>
      </c>
      <c r="V209">
        <f>HYPERLINK("https://klasma.github.io/Logging_2260/klagomål/A 54386-2024 FSC-klagomål.docx", "A 54386-2024")</f>
        <v/>
      </c>
      <c r="W209">
        <f>HYPERLINK("https://klasma.github.io/Logging_2260/klagomålsmail/A 54386-2024 FSC-klagomål mail.docx", "A 54386-2024")</f>
        <v/>
      </c>
      <c r="X209">
        <f>HYPERLINK("https://klasma.github.io/Logging_2260/tillsyn/A 54386-2024 tillsynsbegäran.docx", "A 54386-2024")</f>
        <v/>
      </c>
      <c r="Y209">
        <f>HYPERLINK("https://klasma.github.io/Logging_2260/tillsynsmail/A 54386-2024 tillsynsbegäran mail.docx", "A 54386-2024")</f>
        <v/>
      </c>
    </row>
    <row r="210" ht="15" customHeight="1">
      <c r="A210" t="inlineStr">
        <is>
          <t>A 63983-2020</t>
        </is>
      </c>
      <c r="B210" s="1" t="n">
        <v>44167</v>
      </c>
      <c r="C210" s="1" t="n">
        <v>45967</v>
      </c>
      <c r="D210" t="inlineStr">
        <is>
          <t>VÄSTERNORRLANDS LÄN</t>
        </is>
      </c>
      <c r="E210" t="inlineStr">
        <is>
          <t>ÅNGE</t>
        </is>
      </c>
      <c r="F210" t="inlineStr">
        <is>
          <t>Kommuner</t>
        </is>
      </c>
      <c r="G210" t="n">
        <v>27.1</v>
      </c>
      <c r="H210" t="n">
        <v>1</v>
      </c>
      <c r="I210" t="n">
        <v>0</v>
      </c>
      <c r="J210" t="n">
        <v>0</v>
      </c>
      <c r="K210" t="n">
        <v>1</v>
      </c>
      <c r="L210" t="n">
        <v>0</v>
      </c>
      <c r="M210" t="n">
        <v>0</v>
      </c>
      <c r="N210" t="n">
        <v>0</v>
      </c>
      <c r="O210" t="n">
        <v>1</v>
      </c>
      <c r="P210" t="n">
        <v>1</v>
      </c>
      <c r="Q210" t="n">
        <v>1</v>
      </c>
      <c r="R210" s="2" t="inlineStr">
        <is>
          <t>Knärot</t>
        </is>
      </c>
      <c r="S210">
        <f>HYPERLINK("https://klasma.github.io/Logging_2260/artfynd/A 63983-2020 artfynd.xlsx", "A 63983-2020")</f>
        <v/>
      </c>
      <c r="T210">
        <f>HYPERLINK("https://klasma.github.io/Logging_2260/kartor/A 63983-2020 karta.png", "A 63983-2020")</f>
        <v/>
      </c>
      <c r="U210">
        <f>HYPERLINK("https://klasma.github.io/Logging_2260/knärot/A 63983-2020 karta knärot.png", "A 63983-2020")</f>
        <v/>
      </c>
      <c r="V210">
        <f>HYPERLINK("https://klasma.github.io/Logging_2260/klagomål/A 63983-2020 FSC-klagomål.docx", "A 63983-2020")</f>
        <v/>
      </c>
      <c r="W210">
        <f>HYPERLINK("https://klasma.github.io/Logging_2260/klagomålsmail/A 63983-2020 FSC-klagomål mail.docx", "A 63983-2020")</f>
        <v/>
      </c>
      <c r="X210">
        <f>HYPERLINK("https://klasma.github.io/Logging_2260/tillsyn/A 63983-2020 tillsynsbegäran.docx", "A 63983-2020")</f>
        <v/>
      </c>
      <c r="Y210">
        <f>HYPERLINK("https://klasma.github.io/Logging_2260/tillsynsmail/A 63983-2020 tillsynsbegäran mail.docx", "A 63983-2020")</f>
        <v/>
      </c>
    </row>
    <row r="211" ht="15" customHeight="1">
      <c r="A211" t="inlineStr">
        <is>
          <t>A 64510-2023</t>
        </is>
      </c>
      <c r="B211" s="1" t="n">
        <v>45281</v>
      </c>
      <c r="C211" s="1" t="n">
        <v>45967</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38603-2024</t>
        </is>
      </c>
      <c r="B212" s="1" t="n">
        <v>45546</v>
      </c>
      <c r="C212" s="1" t="n">
        <v>45967</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52424-2023</t>
        </is>
      </c>
      <c r="B213" s="1" t="n">
        <v>45217</v>
      </c>
      <c r="C213" s="1" t="n">
        <v>45967</v>
      </c>
      <c r="D213" t="inlineStr">
        <is>
          <t>VÄSTERNORRLANDS LÄN</t>
        </is>
      </c>
      <c r="E213" t="inlineStr">
        <is>
          <t>ÅNGE</t>
        </is>
      </c>
      <c r="F213" t="inlineStr">
        <is>
          <t>SCA</t>
        </is>
      </c>
      <c r="G213" t="n">
        <v>3.8</v>
      </c>
      <c r="H213" t="n">
        <v>1</v>
      </c>
      <c r="I213" t="n">
        <v>0</v>
      </c>
      <c r="J213" t="n">
        <v>0</v>
      </c>
      <c r="K213" t="n">
        <v>0</v>
      </c>
      <c r="L213" t="n">
        <v>0</v>
      </c>
      <c r="M213" t="n">
        <v>0</v>
      </c>
      <c r="N213" t="n">
        <v>0</v>
      </c>
      <c r="O213" t="n">
        <v>0</v>
      </c>
      <c r="P213" t="n">
        <v>0</v>
      </c>
      <c r="Q213" t="n">
        <v>1</v>
      </c>
      <c r="R213" s="2" t="inlineStr">
        <is>
          <t>Revlummer</t>
        </is>
      </c>
      <c r="S213">
        <f>HYPERLINK("https://klasma.github.io/Logging_2260/artfynd/A 52424-2023 artfynd.xlsx", "A 52424-2023")</f>
        <v/>
      </c>
      <c r="T213">
        <f>HYPERLINK("https://klasma.github.io/Logging_2260/kartor/A 52424-2023 karta.png", "A 52424-2023")</f>
        <v/>
      </c>
      <c r="V213">
        <f>HYPERLINK("https://klasma.github.io/Logging_2260/klagomål/A 52424-2023 FSC-klagomål.docx", "A 52424-2023")</f>
        <v/>
      </c>
      <c r="W213">
        <f>HYPERLINK("https://klasma.github.io/Logging_2260/klagomålsmail/A 52424-2023 FSC-klagomål mail.docx", "A 52424-2023")</f>
        <v/>
      </c>
      <c r="X213">
        <f>HYPERLINK("https://klasma.github.io/Logging_2260/tillsyn/A 52424-2023 tillsynsbegäran.docx", "A 52424-2023")</f>
        <v/>
      </c>
      <c r="Y213">
        <f>HYPERLINK("https://klasma.github.io/Logging_2260/tillsynsmail/A 52424-2023 tillsynsbegäran mail.docx", "A 52424-2023")</f>
        <v/>
      </c>
    </row>
    <row r="214" ht="15" customHeight="1">
      <c r="A214" t="inlineStr">
        <is>
          <t>A 20192-2025</t>
        </is>
      </c>
      <c r="B214" s="1" t="n">
        <v>45772.60177083333</v>
      </c>
      <c r="C214" s="1" t="n">
        <v>45967</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39638-2024</t>
        </is>
      </c>
      <c r="B215" s="1" t="n">
        <v>45552</v>
      </c>
      <c r="C215" s="1" t="n">
        <v>45967</v>
      </c>
      <c r="D215" t="inlineStr">
        <is>
          <t>VÄSTERNORRLANDS LÄN</t>
        </is>
      </c>
      <c r="E215" t="inlineStr">
        <is>
          <t>ÅNGE</t>
        </is>
      </c>
      <c r="G215" t="n">
        <v>3</v>
      </c>
      <c r="H215" t="n">
        <v>1</v>
      </c>
      <c r="I215" t="n">
        <v>0</v>
      </c>
      <c r="J215" t="n">
        <v>0</v>
      </c>
      <c r="K215" t="n">
        <v>0</v>
      </c>
      <c r="L215" t="n">
        <v>0</v>
      </c>
      <c r="M215" t="n">
        <v>0</v>
      </c>
      <c r="N215" t="n">
        <v>0</v>
      </c>
      <c r="O215" t="n">
        <v>0</v>
      </c>
      <c r="P215" t="n">
        <v>0</v>
      </c>
      <c r="Q215" t="n">
        <v>1</v>
      </c>
      <c r="R215" s="2" t="inlineStr">
        <is>
          <t>Tjäder</t>
        </is>
      </c>
      <c r="S215">
        <f>HYPERLINK("https://klasma.github.io/Logging_2260/artfynd/A 39638-2024 artfynd.xlsx", "A 39638-2024")</f>
        <v/>
      </c>
      <c r="T215">
        <f>HYPERLINK("https://klasma.github.io/Logging_2260/kartor/A 39638-2024 karta.png", "A 39638-2024")</f>
        <v/>
      </c>
      <c r="V215">
        <f>HYPERLINK("https://klasma.github.io/Logging_2260/klagomål/A 39638-2024 FSC-klagomål.docx", "A 39638-2024")</f>
        <v/>
      </c>
      <c r="W215">
        <f>HYPERLINK("https://klasma.github.io/Logging_2260/klagomålsmail/A 39638-2024 FSC-klagomål mail.docx", "A 39638-2024")</f>
        <v/>
      </c>
      <c r="X215">
        <f>HYPERLINK("https://klasma.github.io/Logging_2260/tillsyn/A 39638-2024 tillsynsbegäran.docx", "A 39638-2024")</f>
        <v/>
      </c>
      <c r="Y215">
        <f>HYPERLINK("https://klasma.github.io/Logging_2260/tillsynsmail/A 39638-2024 tillsynsbegäran mail.docx", "A 39638-2024")</f>
        <v/>
      </c>
      <c r="Z215">
        <f>HYPERLINK("https://klasma.github.io/Logging_2260/fåglar/A 39638-2024 prioriterade fågelarter.docx", "A 39638-2024")</f>
        <v/>
      </c>
    </row>
    <row r="216" ht="15" customHeight="1">
      <c r="A216" t="inlineStr">
        <is>
          <t>A 53683-2025</t>
        </is>
      </c>
      <c r="B216" s="1" t="n">
        <v>45960.57456018519</v>
      </c>
      <c r="C216" s="1" t="n">
        <v>45967</v>
      </c>
      <c r="D216" t="inlineStr">
        <is>
          <t>VÄSTERNORRLANDS LÄN</t>
        </is>
      </c>
      <c r="E216" t="inlineStr">
        <is>
          <t>ÅNGE</t>
        </is>
      </c>
      <c r="F216" t="inlineStr">
        <is>
          <t>SCA</t>
        </is>
      </c>
      <c r="G216" t="n">
        <v>3.6</v>
      </c>
      <c r="H216" t="n">
        <v>0</v>
      </c>
      <c r="I216" t="n">
        <v>1</v>
      </c>
      <c r="J216" t="n">
        <v>0</v>
      </c>
      <c r="K216" t="n">
        <v>0</v>
      </c>
      <c r="L216" t="n">
        <v>0</v>
      </c>
      <c r="M216" t="n">
        <v>0</v>
      </c>
      <c r="N216" t="n">
        <v>0</v>
      </c>
      <c r="O216" t="n">
        <v>0</v>
      </c>
      <c r="P216" t="n">
        <v>0</v>
      </c>
      <c r="Q216" t="n">
        <v>1</v>
      </c>
      <c r="R216" s="2" t="inlineStr">
        <is>
          <t>Ögonpyrola</t>
        </is>
      </c>
      <c r="S216">
        <f>HYPERLINK("https://klasma.github.io/Logging_2260/artfynd/A 53683-2025 artfynd.xlsx", "A 53683-2025")</f>
        <v/>
      </c>
      <c r="T216">
        <f>HYPERLINK("https://klasma.github.io/Logging_2260/kartor/A 53683-2025 karta.png", "A 53683-2025")</f>
        <v/>
      </c>
      <c r="U216">
        <f>HYPERLINK("https://klasma.github.io/Logging_2260/knärot/A 53683-2025 karta knärot.png", "A 53683-2025")</f>
        <v/>
      </c>
      <c r="V216">
        <f>HYPERLINK("https://klasma.github.io/Logging_2260/klagomål/A 53683-2025 FSC-klagomål.docx", "A 53683-2025")</f>
        <v/>
      </c>
      <c r="W216">
        <f>HYPERLINK("https://klasma.github.io/Logging_2260/klagomålsmail/A 53683-2025 FSC-klagomål mail.docx", "A 53683-2025")</f>
        <v/>
      </c>
      <c r="X216">
        <f>HYPERLINK("https://klasma.github.io/Logging_2260/tillsyn/A 53683-2025 tillsynsbegäran.docx", "A 53683-2025")</f>
        <v/>
      </c>
      <c r="Y216">
        <f>HYPERLINK("https://klasma.github.io/Logging_2260/tillsynsmail/A 53683-2025 tillsynsbegäran mail.docx", "A 53683-2025")</f>
        <v/>
      </c>
    </row>
    <row r="217" ht="15" customHeight="1">
      <c r="A217" t="inlineStr">
        <is>
          <t>A 54751-2021</t>
        </is>
      </c>
      <c r="B217" s="1" t="n">
        <v>44473</v>
      </c>
      <c r="C217" s="1" t="n">
        <v>45967</v>
      </c>
      <c r="D217" t="inlineStr">
        <is>
          <t>VÄSTERNORRLANDS LÄN</t>
        </is>
      </c>
      <c r="E217" t="inlineStr">
        <is>
          <t>ÅNGE</t>
        </is>
      </c>
      <c r="G217" t="n">
        <v>6.5</v>
      </c>
      <c r="H217" t="n">
        <v>0</v>
      </c>
      <c r="I217" t="n">
        <v>0</v>
      </c>
      <c r="J217" t="n">
        <v>0</v>
      </c>
      <c r="K217" t="n">
        <v>1</v>
      </c>
      <c r="L217" t="n">
        <v>0</v>
      </c>
      <c r="M217" t="n">
        <v>0</v>
      </c>
      <c r="N217" t="n">
        <v>0</v>
      </c>
      <c r="O217" t="n">
        <v>1</v>
      </c>
      <c r="P217" t="n">
        <v>1</v>
      </c>
      <c r="Q217" t="n">
        <v>1</v>
      </c>
      <c r="R217" s="2" t="inlineStr">
        <is>
          <t>Gräddporing</t>
        </is>
      </c>
      <c r="S217">
        <f>HYPERLINK("https://klasma.github.io/Logging_2260/artfynd/A 54751-2021 artfynd.xlsx", "A 54751-2021")</f>
        <v/>
      </c>
      <c r="T217">
        <f>HYPERLINK("https://klasma.github.io/Logging_2260/kartor/A 54751-2021 karta.png", "A 54751-2021")</f>
        <v/>
      </c>
      <c r="V217">
        <f>HYPERLINK("https://klasma.github.io/Logging_2260/klagomål/A 54751-2021 FSC-klagomål.docx", "A 54751-2021")</f>
        <v/>
      </c>
      <c r="W217">
        <f>HYPERLINK("https://klasma.github.io/Logging_2260/klagomålsmail/A 54751-2021 FSC-klagomål mail.docx", "A 54751-2021")</f>
        <v/>
      </c>
      <c r="X217">
        <f>HYPERLINK("https://klasma.github.io/Logging_2260/tillsyn/A 54751-2021 tillsynsbegäran.docx", "A 54751-2021")</f>
        <v/>
      </c>
      <c r="Y217">
        <f>HYPERLINK("https://klasma.github.io/Logging_2260/tillsynsmail/A 54751-2021 tillsynsbegäran mail.docx", "A 54751-2021")</f>
        <v/>
      </c>
    </row>
    <row r="218" ht="15" customHeight="1">
      <c r="A218" t="inlineStr">
        <is>
          <t>A 71366-2021</t>
        </is>
      </c>
      <c r="B218" s="1" t="n">
        <v>44539</v>
      </c>
      <c r="C218" s="1" t="n">
        <v>45967</v>
      </c>
      <c r="D218" t="inlineStr">
        <is>
          <t>VÄSTERNORRLANDS LÄN</t>
        </is>
      </c>
      <c r="E218" t="inlineStr">
        <is>
          <t>ÅNGE</t>
        </is>
      </c>
      <c r="F218" t="inlineStr">
        <is>
          <t>SCA</t>
        </is>
      </c>
      <c r="G218" t="n">
        <v>2.3</v>
      </c>
      <c r="H218" t="n">
        <v>1</v>
      </c>
      <c r="I218" t="n">
        <v>0</v>
      </c>
      <c r="J218" t="n">
        <v>0</v>
      </c>
      <c r="K218" t="n">
        <v>1</v>
      </c>
      <c r="L218" t="n">
        <v>0</v>
      </c>
      <c r="M218" t="n">
        <v>0</v>
      </c>
      <c r="N218" t="n">
        <v>0</v>
      </c>
      <c r="O218" t="n">
        <v>1</v>
      </c>
      <c r="P218" t="n">
        <v>1</v>
      </c>
      <c r="Q218" t="n">
        <v>1</v>
      </c>
      <c r="R218" s="2" t="inlineStr">
        <is>
          <t>Knärot</t>
        </is>
      </c>
      <c r="S218">
        <f>HYPERLINK("https://klasma.github.io/Logging_2260/artfynd/A 71366-2021 artfynd.xlsx", "A 71366-2021")</f>
        <v/>
      </c>
      <c r="T218">
        <f>HYPERLINK("https://klasma.github.io/Logging_2260/kartor/A 71366-2021 karta.png", "A 71366-2021")</f>
        <v/>
      </c>
      <c r="U218">
        <f>HYPERLINK("https://klasma.github.io/Logging_2260/knärot/A 71366-2021 karta knärot.png", "A 71366-2021")</f>
        <v/>
      </c>
      <c r="V218">
        <f>HYPERLINK("https://klasma.github.io/Logging_2260/klagomål/A 71366-2021 FSC-klagomål.docx", "A 71366-2021")</f>
        <v/>
      </c>
      <c r="W218">
        <f>HYPERLINK("https://klasma.github.io/Logging_2260/klagomålsmail/A 71366-2021 FSC-klagomål mail.docx", "A 71366-2021")</f>
        <v/>
      </c>
      <c r="X218">
        <f>HYPERLINK("https://klasma.github.io/Logging_2260/tillsyn/A 71366-2021 tillsynsbegäran.docx", "A 71366-2021")</f>
        <v/>
      </c>
      <c r="Y218">
        <f>HYPERLINK("https://klasma.github.io/Logging_2260/tillsynsmail/A 71366-2021 tillsynsbegäran mail.docx", "A 71366-2021")</f>
        <v/>
      </c>
    </row>
    <row r="219" ht="15" customHeight="1">
      <c r="A219" t="inlineStr">
        <is>
          <t>A 48237-2025</t>
        </is>
      </c>
      <c r="B219" s="1" t="n">
        <v>45933</v>
      </c>
      <c r="C219" s="1" t="n">
        <v>45967</v>
      </c>
      <c r="D219" t="inlineStr">
        <is>
          <t>VÄSTERNORRLANDS LÄN</t>
        </is>
      </c>
      <c r="E219" t="inlineStr">
        <is>
          <t>ÅNGE</t>
        </is>
      </c>
      <c r="F219" t="inlineStr">
        <is>
          <t>SCA</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HYPERLINK("https://klasma.github.io/Logging_2260/artfynd/A 48237-2025 artfynd.xlsx", "A 48237-2025")</f>
        <v/>
      </c>
      <c r="T219">
        <f>HYPERLINK("https://klasma.github.io/Logging_2260/kartor/A 48237-2025 karta.png", "A 48237-2025")</f>
        <v/>
      </c>
      <c r="U219">
        <f>HYPERLINK("https://klasma.github.io/Logging_2260/knärot/A 48237-2025 karta knärot.png", "A 48237-2025")</f>
        <v/>
      </c>
      <c r="V219">
        <f>HYPERLINK("https://klasma.github.io/Logging_2260/klagomål/A 48237-2025 FSC-klagomål.docx", "A 48237-2025")</f>
        <v/>
      </c>
      <c r="W219">
        <f>HYPERLINK("https://klasma.github.io/Logging_2260/klagomålsmail/A 48237-2025 FSC-klagomål mail.docx", "A 48237-2025")</f>
        <v/>
      </c>
      <c r="X219">
        <f>HYPERLINK("https://klasma.github.io/Logging_2260/tillsyn/A 48237-2025 tillsynsbegäran.docx", "A 48237-2025")</f>
        <v/>
      </c>
      <c r="Y219">
        <f>HYPERLINK("https://klasma.github.io/Logging_2260/tillsynsmail/A 48237-2025 tillsynsbegäran mail.docx", "A 48237-2025")</f>
        <v/>
      </c>
    </row>
    <row r="220" ht="15" customHeight="1">
      <c r="A220" t="inlineStr">
        <is>
          <t>A 40214-2024</t>
        </is>
      </c>
      <c r="B220" s="1" t="n">
        <v>45554.59460648148</v>
      </c>
      <c r="C220" s="1" t="n">
        <v>45967</v>
      </c>
      <c r="D220" t="inlineStr">
        <is>
          <t>VÄSTERNORRLANDS LÄN</t>
        </is>
      </c>
      <c r="E220" t="inlineStr">
        <is>
          <t>ÅNGE</t>
        </is>
      </c>
      <c r="F220" t="inlineStr">
        <is>
          <t>SCA</t>
        </is>
      </c>
      <c r="G220" t="n">
        <v>7.7</v>
      </c>
      <c r="H220" t="n">
        <v>0</v>
      </c>
      <c r="I220" t="n">
        <v>0</v>
      </c>
      <c r="J220" t="n">
        <v>1</v>
      </c>
      <c r="K220" t="n">
        <v>0</v>
      </c>
      <c r="L220" t="n">
        <v>0</v>
      </c>
      <c r="M220" t="n">
        <v>0</v>
      </c>
      <c r="N220" t="n">
        <v>0</v>
      </c>
      <c r="O220" t="n">
        <v>1</v>
      </c>
      <c r="P220" t="n">
        <v>0</v>
      </c>
      <c r="Q220" t="n">
        <v>1</v>
      </c>
      <c r="R220" s="2" t="inlineStr">
        <is>
          <t>Lunglav</t>
        </is>
      </c>
      <c r="S220">
        <f>HYPERLINK("https://klasma.github.io/Logging_2260/artfynd/A 40214-2024 artfynd.xlsx", "A 40214-2024")</f>
        <v/>
      </c>
      <c r="T220">
        <f>HYPERLINK("https://klasma.github.io/Logging_2260/kartor/A 40214-2024 karta.png", "A 40214-2024")</f>
        <v/>
      </c>
      <c r="V220">
        <f>HYPERLINK("https://klasma.github.io/Logging_2260/klagomål/A 40214-2024 FSC-klagomål.docx", "A 40214-2024")</f>
        <v/>
      </c>
      <c r="W220">
        <f>HYPERLINK("https://klasma.github.io/Logging_2260/klagomålsmail/A 40214-2024 FSC-klagomål mail.docx", "A 40214-2024")</f>
        <v/>
      </c>
      <c r="X220">
        <f>HYPERLINK("https://klasma.github.io/Logging_2260/tillsyn/A 40214-2024 tillsynsbegäran.docx", "A 40214-2024")</f>
        <v/>
      </c>
      <c r="Y220">
        <f>HYPERLINK("https://klasma.github.io/Logging_2260/tillsynsmail/A 40214-2024 tillsynsbegäran mail.docx", "A 40214-2024")</f>
        <v/>
      </c>
    </row>
    <row r="221" ht="15" customHeight="1">
      <c r="A221" t="inlineStr">
        <is>
          <t>A 39180-2024</t>
        </is>
      </c>
      <c r="B221" s="1" t="n">
        <v>45548.6571412037</v>
      </c>
      <c r="C221" s="1" t="n">
        <v>45967</v>
      </c>
      <c r="D221" t="inlineStr">
        <is>
          <t>VÄSTERNORRLANDS LÄN</t>
        </is>
      </c>
      <c r="E221" t="inlineStr">
        <is>
          <t>ÅNGE</t>
        </is>
      </c>
      <c r="F221" t="inlineStr">
        <is>
          <t>SCA</t>
        </is>
      </c>
      <c r="G221" t="n">
        <v>8.699999999999999</v>
      </c>
      <c r="H221" t="n">
        <v>0</v>
      </c>
      <c r="I221" t="n">
        <v>0</v>
      </c>
      <c r="J221" t="n">
        <v>1</v>
      </c>
      <c r="K221" t="n">
        <v>0</v>
      </c>
      <c r="L221" t="n">
        <v>0</v>
      </c>
      <c r="M221" t="n">
        <v>0</v>
      </c>
      <c r="N221" t="n">
        <v>0</v>
      </c>
      <c r="O221" t="n">
        <v>1</v>
      </c>
      <c r="P221" t="n">
        <v>0</v>
      </c>
      <c r="Q221" t="n">
        <v>1</v>
      </c>
      <c r="R221" s="2" t="inlineStr">
        <is>
          <t>Lunglav</t>
        </is>
      </c>
      <c r="S221">
        <f>HYPERLINK("https://klasma.github.io/Logging_2260/artfynd/A 39180-2024 artfynd.xlsx", "A 39180-2024")</f>
        <v/>
      </c>
      <c r="T221">
        <f>HYPERLINK("https://klasma.github.io/Logging_2260/kartor/A 39180-2024 karta.png", "A 39180-2024")</f>
        <v/>
      </c>
      <c r="V221">
        <f>HYPERLINK("https://klasma.github.io/Logging_2260/klagomål/A 39180-2024 FSC-klagomål.docx", "A 39180-2024")</f>
        <v/>
      </c>
      <c r="W221">
        <f>HYPERLINK("https://klasma.github.io/Logging_2260/klagomålsmail/A 39180-2024 FSC-klagomål mail.docx", "A 39180-2024")</f>
        <v/>
      </c>
      <c r="X221">
        <f>HYPERLINK("https://klasma.github.io/Logging_2260/tillsyn/A 39180-2024 tillsynsbegäran.docx", "A 39180-2024")</f>
        <v/>
      </c>
      <c r="Y221">
        <f>HYPERLINK("https://klasma.github.io/Logging_2260/tillsynsmail/A 39180-2024 tillsynsbegäran mail.docx", "A 39180-2024")</f>
        <v/>
      </c>
    </row>
    <row r="222" ht="15" customHeight="1">
      <c r="A222" t="inlineStr">
        <is>
          <t>A 46094-2025</t>
        </is>
      </c>
      <c r="B222" s="1" t="n">
        <v>45924</v>
      </c>
      <c r="C222" s="1" t="n">
        <v>45967</v>
      </c>
      <c r="D222" t="inlineStr">
        <is>
          <t>VÄSTERNORRLANDS LÄN</t>
        </is>
      </c>
      <c r="E222" t="inlineStr">
        <is>
          <t>ÅNGE</t>
        </is>
      </c>
      <c r="F222" t="inlineStr">
        <is>
          <t>SCA</t>
        </is>
      </c>
      <c r="G222" t="n">
        <v>1.1</v>
      </c>
      <c r="H222" t="n">
        <v>1</v>
      </c>
      <c r="I222" t="n">
        <v>0</v>
      </c>
      <c r="J222" t="n">
        <v>1</v>
      </c>
      <c r="K222" t="n">
        <v>0</v>
      </c>
      <c r="L222" t="n">
        <v>0</v>
      </c>
      <c r="M222" t="n">
        <v>0</v>
      </c>
      <c r="N222" t="n">
        <v>0</v>
      </c>
      <c r="O222" t="n">
        <v>1</v>
      </c>
      <c r="P222" t="n">
        <v>0</v>
      </c>
      <c r="Q222" t="n">
        <v>1</v>
      </c>
      <c r="R222" s="2" t="inlineStr">
        <is>
          <t>Utter</t>
        </is>
      </c>
      <c r="S222">
        <f>HYPERLINK("https://klasma.github.io/Logging_2260/artfynd/A 46094-2025 artfynd.xlsx", "A 46094-2025")</f>
        <v/>
      </c>
      <c r="T222">
        <f>HYPERLINK("https://klasma.github.io/Logging_2260/kartor/A 46094-2025 karta.png", "A 46094-2025")</f>
        <v/>
      </c>
      <c r="V222">
        <f>HYPERLINK("https://klasma.github.io/Logging_2260/klagomål/A 46094-2025 FSC-klagomål.docx", "A 46094-2025")</f>
        <v/>
      </c>
      <c r="W222">
        <f>HYPERLINK("https://klasma.github.io/Logging_2260/klagomålsmail/A 46094-2025 FSC-klagomål mail.docx", "A 46094-2025")</f>
        <v/>
      </c>
      <c r="X222">
        <f>HYPERLINK("https://klasma.github.io/Logging_2260/tillsyn/A 46094-2025 tillsynsbegäran.docx", "A 46094-2025")</f>
        <v/>
      </c>
      <c r="Y222">
        <f>HYPERLINK("https://klasma.github.io/Logging_2260/tillsynsmail/A 46094-2025 tillsynsbegäran mail.docx", "A 46094-2025")</f>
        <v/>
      </c>
    </row>
    <row r="223" ht="15" customHeight="1">
      <c r="A223" t="inlineStr">
        <is>
          <t>A 39933-2022</t>
        </is>
      </c>
      <c r="B223" s="1" t="n">
        <v>44819</v>
      </c>
      <c r="C223" s="1" t="n">
        <v>45967</v>
      </c>
      <c r="D223" t="inlineStr">
        <is>
          <t>VÄSTERNORRLANDS LÄN</t>
        </is>
      </c>
      <c r="E223" t="inlineStr">
        <is>
          <t>ÅNGE</t>
        </is>
      </c>
      <c r="F223" t="inlineStr">
        <is>
          <t>SCA</t>
        </is>
      </c>
      <c r="G223" t="n">
        <v>13.8</v>
      </c>
      <c r="H223" t="n">
        <v>1</v>
      </c>
      <c r="I223" t="n">
        <v>0</v>
      </c>
      <c r="J223" t="n">
        <v>0</v>
      </c>
      <c r="K223" t="n">
        <v>1</v>
      </c>
      <c r="L223" t="n">
        <v>0</v>
      </c>
      <c r="M223" t="n">
        <v>0</v>
      </c>
      <c r="N223" t="n">
        <v>0</v>
      </c>
      <c r="O223" t="n">
        <v>1</v>
      </c>
      <c r="P223" t="n">
        <v>1</v>
      </c>
      <c r="Q223" t="n">
        <v>1</v>
      </c>
      <c r="R223" s="2" t="inlineStr">
        <is>
          <t>Knärot</t>
        </is>
      </c>
      <c r="S223">
        <f>HYPERLINK("https://klasma.github.io/Logging_2260/artfynd/A 39933-2022 artfynd.xlsx", "A 39933-2022")</f>
        <v/>
      </c>
      <c r="T223">
        <f>HYPERLINK("https://klasma.github.io/Logging_2260/kartor/A 39933-2022 karta.png", "A 39933-2022")</f>
        <v/>
      </c>
      <c r="U223">
        <f>HYPERLINK("https://klasma.github.io/Logging_2260/knärot/A 39933-2022 karta knärot.png", "A 39933-2022")</f>
        <v/>
      </c>
      <c r="V223">
        <f>HYPERLINK("https://klasma.github.io/Logging_2260/klagomål/A 39933-2022 FSC-klagomål.docx", "A 39933-2022")</f>
        <v/>
      </c>
      <c r="W223">
        <f>HYPERLINK("https://klasma.github.io/Logging_2260/klagomålsmail/A 39933-2022 FSC-klagomål mail.docx", "A 39933-2022")</f>
        <v/>
      </c>
      <c r="X223">
        <f>HYPERLINK("https://klasma.github.io/Logging_2260/tillsyn/A 39933-2022 tillsynsbegäran.docx", "A 39933-2022")</f>
        <v/>
      </c>
      <c r="Y223">
        <f>HYPERLINK("https://klasma.github.io/Logging_2260/tillsynsmail/A 39933-2022 tillsynsbegäran mail.docx", "A 39933-2022")</f>
        <v/>
      </c>
    </row>
    <row r="224" ht="15" customHeight="1">
      <c r="A224" t="inlineStr">
        <is>
          <t>A 32457-2024</t>
        </is>
      </c>
      <c r="B224" s="1" t="n">
        <v>45512</v>
      </c>
      <c r="C224" s="1" t="n">
        <v>45967</v>
      </c>
      <c r="D224" t="inlineStr">
        <is>
          <t>VÄSTERNORRLANDS LÄN</t>
        </is>
      </c>
      <c r="E224" t="inlineStr">
        <is>
          <t>ÅNGE</t>
        </is>
      </c>
      <c r="F224" t="inlineStr">
        <is>
          <t>SCA</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HYPERLINK("https://klasma.github.io/Logging_2260/artfynd/A 32457-2024 artfynd.xlsx", "A 32457-2024")</f>
        <v/>
      </c>
      <c r="T224">
        <f>HYPERLINK("https://klasma.github.io/Logging_2260/kartor/A 32457-2024 karta.png", "A 32457-2024")</f>
        <v/>
      </c>
      <c r="V224">
        <f>HYPERLINK("https://klasma.github.io/Logging_2260/klagomål/A 32457-2024 FSC-klagomål.docx", "A 32457-2024")</f>
        <v/>
      </c>
      <c r="W224">
        <f>HYPERLINK("https://klasma.github.io/Logging_2260/klagomålsmail/A 32457-2024 FSC-klagomål mail.docx", "A 32457-2024")</f>
        <v/>
      </c>
      <c r="X224">
        <f>HYPERLINK("https://klasma.github.io/Logging_2260/tillsyn/A 32457-2024 tillsynsbegäran.docx", "A 32457-2024")</f>
        <v/>
      </c>
      <c r="Y224">
        <f>HYPERLINK("https://klasma.github.io/Logging_2260/tillsynsmail/A 32457-2024 tillsynsbegäran mail.docx", "A 32457-2024")</f>
        <v/>
      </c>
    </row>
    <row r="225" ht="15" customHeight="1">
      <c r="A225" t="inlineStr">
        <is>
          <t>A 27025-2025</t>
        </is>
      </c>
      <c r="B225" s="1" t="n">
        <v>45811</v>
      </c>
      <c r="C225" s="1" t="n">
        <v>45967</v>
      </c>
      <c r="D225" t="inlineStr">
        <is>
          <t>VÄSTERNORRLANDS LÄN</t>
        </is>
      </c>
      <c r="E225" t="inlineStr">
        <is>
          <t>ÅNGE</t>
        </is>
      </c>
      <c r="G225" t="n">
        <v>25.5</v>
      </c>
      <c r="H225" t="n">
        <v>0</v>
      </c>
      <c r="I225" t="n">
        <v>0</v>
      </c>
      <c r="J225" t="n">
        <v>1</v>
      </c>
      <c r="K225" t="n">
        <v>0</v>
      </c>
      <c r="L225" t="n">
        <v>0</v>
      </c>
      <c r="M225" t="n">
        <v>0</v>
      </c>
      <c r="N225" t="n">
        <v>0</v>
      </c>
      <c r="O225" t="n">
        <v>1</v>
      </c>
      <c r="P225" t="n">
        <v>0</v>
      </c>
      <c r="Q225" t="n">
        <v>1</v>
      </c>
      <c r="R225" s="2" t="inlineStr">
        <is>
          <t>Garnlav</t>
        </is>
      </c>
      <c r="S225">
        <f>HYPERLINK("https://klasma.github.io/Logging_2260/artfynd/A 27025-2025 artfynd.xlsx", "A 27025-2025")</f>
        <v/>
      </c>
      <c r="T225">
        <f>HYPERLINK("https://klasma.github.io/Logging_2260/kartor/A 27025-2025 karta.png", "A 27025-2025")</f>
        <v/>
      </c>
      <c r="U225">
        <f>HYPERLINK("https://klasma.github.io/Logging_2260/knärot/A 27025-2025 karta knärot.png", "A 27025-2025")</f>
        <v/>
      </c>
      <c r="V225">
        <f>HYPERLINK("https://klasma.github.io/Logging_2260/klagomål/A 27025-2025 FSC-klagomål.docx", "A 27025-2025")</f>
        <v/>
      </c>
      <c r="W225">
        <f>HYPERLINK("https://klasma.github.io/Logging_2260/klagomålsmail/A 27025-2025 FSC-klagomål mail.docx", "A 27025-2025")</f>
        <v/>
      </c>
      <c r="X225">
        <f>HYPERLINK("https://klasma.github.io/Logging_2260/tillsyn/A 27025-2025 tillsynsbegäran.docx", "A 27025-2025")</f>
        <v/>
      </c>
      <c r="Y225">
        <f>HYPERLINK("https://klasma.github.io/Logging_2260/tillsynsmail/A 27025-2025 tillsynsbegäran mail.docx", "A 27025-2025")</f>
        <v/>
      </c>
    </row>
    <row r="226" ht="15" customHeight="1">
      <c r="A226" t="inlineStr">
        <is>
          <t>A 35648-2025</t>
        </is>
      </c>
      <c r="B226" s="1" t="n">
        <v>45859.51670138889</v>
      </c>
      <c r="C226" s="1" t="n">
        <v>45967</v>
      </c>
      <c r="D226" t="inlineStr">
        <is>
          <t>VÄSTERNORRLANDS LÄN</t>
        </is>
      </c>
      <c r="E226" t="inlineStr">
        <is>
          <t>ÅNGE</t>
        </is>
      </c>
      <c r="F226" t="inlineStr">
        <is>
          <t>Sveaskog</t>
        </is>
      </c>
      <c r="G226" t="n">
        <v>9.1</v>
      </c>
      <c r="H226" t="n">
        <v>0</v>
      </c>
      <c r="I226" t="n">
        <v>0</v>
      </c>
      <c r="J226" t="n">
        <v>1</v>
      </c>
      <c r="K226" t="n">
        <v>0</v>
      </c>
      <c r="L226" t="n">
        <v>0</v>
      </c>
      <c r="M226" t="n">
        <v>0</v>
      </c>
      <c r="N226" t="n">
        <v>0</v>
      </c>
      <c r="O226" t="n">
        <v>1</v>
      </c>
      <c r="P226" t="n">
        <v>0</v>
      </c>
      <c r="Q226" t="n">
        <v>1</v>
      </c>
      <c r="R226" s="2" t="inlineStr">
        <is>
          <t>Lunglav</t>
        </is>
      </c>
      <c r="S226">
        <f>HYPERLINK("https://klasma.github.io/Logging_2260/artfynd/A 35648-2025 artfynd.xlsx", "A 35648-2025")</f>
        <v/>
      </c>
      <c r="T226">
        <f>HYPERLINK("https://klasma.github.io/Logging_2260/kartor/A 35648-2025 karta.png", "A 35648-2025")</f>
        <v/>
      </c>
      <c r="V226">
        <f>HYPERLINK("https://klasma.github.io/Logging_2260/klagomål/A 35648-2025 FSC-klagomål.docx", "A 35648-2025")</f>
        <v/>
      </c>
      <c r="W226">
        <f>HYPERLINK("https://klasma.github.io/Logging_2260/klagomålsmail/A 35648-2025 FSC-klagomål mail.docx", "A 35648-2025")</f>
        <v/>
      </c>
      <c r="X226">
        <f>HYPERLINK("https://klasma.github.io/Logging_2260/tillsyn/A 35648-2025 tillsynsbegäran.docx", "A 35648-2025")</f>
        <v/>
      </c>
      <c r="Y226">
        <f>HYPERLINK("https://klasma.github.io/Logging_2260/tillsynsmail/A 35648-2025 tillsynsbegäran mail.docx", "A 35648-2025")</f>
        <v/>
      </c>
    </row>
    <row r="227" ht="15" customHeight="1">
      <c r="A227" t="inlineStr">
        <is>
          <t>A 35839-2025</t>
        </is>
      </c>
      <c r="B227" s="1" t="n">
        <v>45861.53943287037</v>
      </c>
      <c r="C227" s="1" t="n">
        <v>45967</v>
      </c>
      <c r="D227" t="inlineStr">
        <is>
          <t>VÄSTERNORRLANDS LÄN</t>
        </is>
      </c>
      <c r="E227" t="inlineStr">
        <is>
          <t>ÅNGE</t>
        </is>
      </c>
      <c r="F227" t="inlineStr">
        <is>
          <t>Sveaskog</t>
        </is>
      </c>
      <c r="G227" t="n">
        <v>7.9</v>
      </c>
      <c r="H227" t="n">
        <v>0</v>
      </c>
      <c r="I227" t="n">
        <v>0</v>
      </c>
      <c r="J227" t="n">
        <v>1</v>
      </c>
      <c r="K227" t="n">
        <v>0</v>
      </c>
      <c r="L227" t="n">
        <v>0</v>
      </c>
      <c r="M227" t="n">
        <v>0</v>
      </c>
      <c r="N227" t="n">
        <v>0</v>
      </c>
      <c r="O227" t="n">
        <v>1</v>
      </c>
      <c r="P227" t="n">
        <v>0</v>
      </c>
      <c r="Q227" t="n">
        <v>1</v>
      </c>
      <c r="R227" s="2" t="inlineStr">
        <is>
          <t>Lunglav</t>
        </is>
      </c>
      <c r="S227">
        <f>HYPERLINK("https://klasma.github.io/Logging_2260/artfynd/A 35839-2025 artfynd.xlsx", "A 35839-2025")</f>
        <v/>
      </c>
      <c r="T227">
        <f>HYPERLINK("https://klasma.github.io/Logging_2260/kartor/A 35839-2025 karta.png", "A 35839-2025")</f>
        <v/>
      </c>
      <c r="V227">
        <f>HYPERLINK("https://klasma.github.io/Logging_2260/klagomål/A 35839-2025 FSC-klagomål.docx", "A 35839-2025")</f>
        <v/>
      </c>
      <c r="W227">
        <f>HYPERLINK("https://klasma.github.io/Logging_2260/klagomålsmail/A 35839-2025 FSC-klagomål mail.docx", "A 35839-2025")</f>
        <v/>
      </c>
      <c r="X227">
        <f>HYPERLINK("https://klasma.github.io/Logging_2260/tillsyn/A 35839-2025 tillsynsbegäran.docx", "A 35839-2025")</f>
        <v/>
      </c>
      <c r="Y227">
        <f>HYPERLINK("https://klasma.github.io/Logging_2260/tillsynsmail/A 35839-2025 tillsynsbegäran mail.docx", "A 35839-2025")</f>
        <v/>
      </c>
    </row>
    <row r="228" ht="15" customHeight="1">
      <c r="A228" t="inlineStr">
        <is>
          <t>A 37432-2025</t>
        </is>
      </c>
      <c r="B228" s="1" t="n">
        <v>45877.51106481482</v>
      </c>
      <c r="C228" s="1" t="n">
        <v>45967</v>
      </c>
      <c r="D228" t="inlineStr">
        <is>
          <t>VÄSTERNORRLANDS LÄN</t>
        </is>
      </c>
      <c r="E228" t="inlineStr">
        <is>
          <t>ÅNGE</t>
        </is>
      </c>
      <c r="F228" t="inlineStr">
        <is>
          <t>SCA</t>
        </is>
      </c>
      <c r="G228" t="n">
        <v>1.2</v>
      </c>
      <c r="H228" t="n">
        <v>1</v>
      </c>
      <c r="I228" t="n">
        <v>1</v>
      </c>
      <c r="J228" t="n">
        <v>0</v>
      </c>
      <c r="K228" t="n">
        <v>0</v>
      </c>
      <c r="L228" t="n">
        <v>0</v>
      </c>
      <c r="M228" t="n">
        <v>0</v>
      </c>
      <c r="N228" t="n">
        <v>0</v>
      </c>
      <c r="O228" t="n">
        <v>0</v>
      </c>
      <c r="P228" t="n">
        <v>0</v>
      </c>
      <c r="Q228" t="n">
        <v>1</v>
      </c>
      <c r="R228" s="2" t="inlineStr">
        <is>
          <t>Spindelblomster</t>
        </is>
      </c>
      <c r="S228">
        <f>HYPERLINK("https://klasma.github.io/Logging_2260/artfynd/A 37432-2025 artfynd.xlsx", "A 37432-2025")</f>
        <v/>
      </c>
      <c r="T228">
        <f>HYPERLINK("https://klasma.github.io/Logging_2260/kartor/A 37432-2025 karta.png", "A 37432-2025")</f>
        <v/>
      </c>
      <c r="V228">
        <f>HYPERLINK("https://klasma.github.io/Logging_2260/klagomål/A 37432-2025 FSC-klagomål.docx", "A 37432-2025")</f>
        <v/>
      </c>
      <c r="W228">
        <f>HYPERLINK("https://klasma.github.io/Logging_2260/klagomålsmail/A 37432-2025 FSC-klagomål mail.docx", "A 37432-2025")</f>
        <v/>
      </c>
      <c r="X228">
        <f>HYPERLINK("https://klasma.github.io/Logging_2260/tillsyn/A 37432-2025 tillsynsbegäran.docx", "A 37432-2025")</f>
        <v/>
      </c>
      <c r="Y228">
        <f>HYPERLINK("https://klasma.github.io/Logging_2260/tillsynsmail/A 37432-2025 tillsynsbegäran mail.docx", "A 37432-2025")</f>
        <v/>
      </c>
    </row>
    <row r="229" ht="15" customHeight="1">
      <c r="A229" t="inlineStr">
        <is>
          <t>A 8057-2021</t>
        </is>
      </c>
      <c r="B229" s="1" t="n">
        <v>44238</v>
      </c>
      <c r="C229" s="1" t="n">
        <v>45967</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20354-2021</t>
        </is>
      </c>
      <c r="B230" s="1" t="n">
        <v>44312</v>
      </c>
      <c r="C230" s="1" t="n">
        <v>45967</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68715-2020</t>
        </is>
      </c>
      <c r="B231" s="1" t="n">
        <v>44187</v>
      </c>
      <c r="C231" s="1" t="n">
        <v>45967</v>
      </c>
      <c r="D231" t="inlineStr">
        <is>
          <t>VÄSTERNORRLANDS LÄN</t>
        </is>
      </c>
      <c r="E231" t="inlineStr">
        <is>
          <t>ÅNGE</t>
        </is>
      </c>
      <c r="G231" t="n">
        <v>19.1</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45967</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45967</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45967</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45967</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45967</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45967</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45967</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45967</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45967</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69271-2020</t>
        </is>
      </c>
      <c r="B241" s="1" t="n">
        <v>44193</v>
      </c>
      <c r="C241" s="1" t="n">
        <v>45967</v>
      </c>
      <c r="D241" t="inlineStr">
        <is>
          <t>VÄSTERNORRLANDS LÄN</t>
        </is>
      </c>
      <c r="E241" t="inlineStr">
        <is>
          <t>ÅNGE</t>
        </is>
      </c>
      <c r="G241" t="n">
        <v>0.8</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45967</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65593-2020</t>
        </is>
      </c>
      <c r="B243" s="1" t="n">
        <v>44173</v>
      </c>
      <c r="C243" s="1" t="n">
        <v>45967</v>
      </c>
      <c r="D243" t="inlineStr">
        <is>
          <t>VÄSTERNORRLANDS LÄN</t>
        </is>
      </c>
      <c r="E243" t="inlineStr">
        <is>
          <t>ÅNGE</t>
        </is>
      </c>
      <c r="G243" t="n">
        <v>4</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45967</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45967</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45967</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45967</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45967</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45967</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45967</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45967</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45967</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45967</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45967</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45967</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45967</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45967</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45967</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45967</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45967</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45967</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45967</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45967</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45967</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45967</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45967</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45967</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45967</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45967</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45967</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45967</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45967</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45967</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45967</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45967</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45967</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47282-2022</t>
        </is>
      </c>
      <c r="B277" s="1" t="n">
        <v>44852.95091435185</v>
      </c>
      <c r="C277" s="1" t="n">
        <v>45967</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45967</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45967</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45967</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45967</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45967</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45967</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45967</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45967</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45967</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45967</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45967</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45967</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45967</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30345-2021</t>
        </is>
      </c>
      <c r="B291" s="1" t="n">
        <v>44364</v>
      </c>
      <c r="C291" s="1" t="n">
        <v>45967</v>
      </c>
      <c r="D291" t="inlineStr">
        <is>
          <t>VÄSTERNORRLANDS LÄN</t>
        </is>
      </c>
      <c r="E291" t="inlineStr">
        <is>
          <t>ÅNGE</t>
        </is>
      </c>
      <c r="G291" t="n">
        <v>7.7</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45967</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45967</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45967</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45967</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45967</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45967</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45967</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45967</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45967</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45967</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45967</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40476-2022</t>
        </is>
      </c>
      <c r="B303" s="1" t="n">
        <v>44823.54685185185</v>
      </c>
      <c r="C303" s="1" t="n">
        <v>45967</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21642-2021</t>
        </is>
      </c>
      <c r="B304" s="1" t="n">
        <v>44321.94239583334</v>
      </c>
      <c r="C304" s="1" t="n">
        <v>45967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14813-2022</t>
        </is>
      </c>
      <c r="B305" s="1" t="n">
        <v>44656</v>
      </c>
      <c r="C305" s="1" t="n">
        <v>45967</v>
      </c>
      <c r="D305" t="inlineStr">
        <is>
          <t>VÄSTERNORRLANDS LÄN</t>
        </is>
      </c>
      <c r="E305" t="inlineStr">
        <is>
          <t>ÅNGE</t>
        </is>
      </c>
      <c r="G305" t="n">
        <v>2.2</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45967</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57418-2021</t>
        </is>
      </c>
      <c r="B307" s="1" t="n">
        <v>44483</v>
      </c>
      <c r="C307" s="1" t="n">
        <v>45967</v>
      </c>
      <c r="D307" t="inlineStr">
        <is>
          <t>VÄSTERNORRLANDS LÄN</t>
        </is>
      </c>
      <c r="E307" t="inlineStr">
        <is>
          <t>ÅNGE</t>
        </is>
      </c>
      <c r="G307" t="n">
        <v>4.4</v>
      </c>
      <c r="H307" t="n">
        <v>0</v>
      </c>
      <c r="I307" t="n">
        <v>0</v>
      </c>
      <c r="J307" t="n">
        <v>0</v>
      </c>
      <c r="K307" t="n">
        <v>0</v>
      </c>
      <c r="L307" t="n">
        <v>0</v>
      </c>
      <c r="M307" t="n">
        <v>0</v>
      </c>
      <c r="N307" t="n">
        <v>0</v>
      </c>
      <c r="O307" t="n">
        <v>0</v>
      </c>
      <c r="P307" t="n">
        <v>0</v>
      </c>
      <c r="Q307" t="n">
        <v>0</v>
      </c>
      <c r="R307" s="2" t="inlineStr"/>
    </row>
    <row r="308" ht="15" customHeight="1">
      <c r="A308" t="inlineStr">
        <is>
          <t>A 35058-2021</t>
        </is>
      </c>
      <c r="B308" s="1" t="n">
        <v>44383</v>
      </c>
      <c r="C308" s="1" t="n">
        <v>45967</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35079-2021</t>
        </is>
      </c>
      <c r="B309" s="1" t="n">
        <v>44383</v>
      </c>
      <c r="C309" s="1" t="n">
        <v>45967</v>
      </c>
      <c r="D309" t="inlineStr">
        <is>
          <t>VÄSTERNORRLANDS LÄN</t>
        </is>
      </c>
      <c r="E309" t="inlineStr">
        <is>
          <t>ÅNGE</t>
        </is>
      </c>
      <c r="G309" t="n">
        <v>2.8</v>
      </c>
      <c r="H309" t="n">
        <v>0</v>
      </c>
      <c r="I309" t="n">
        <v>0</v>
      </c>
      <c r="J309" t="n">
        <v>0</v>
      </c>
      <c r="K309" t="n">
        <v>0</v>
      </c>
      <c r="L309" t="n">
        <v>0</v>
      </c>
      <c r="M309" t="n">
        <v>0</v>
      </c>
      <c r="N309" t="n">
        <v>0</v>
      </c>
      <c r="O309" t="n">
        <v>0</v>
      </c>
      <c r="P309" t="n">
        <v>0</v>
      </c>
      <c r="Q309" t="n">
        <v>0</v>
      </c>
      <c r="R309" s="2" t="inlineStr"/>
    </row>
    <row r="310" ht="15" customHeight="1">
      <c r="A310" t="inlineStr">
        <is>
          <t>A 4939-2022</t>
        </is>
      </c>
      <c r="B310" s="1" t="n">
        <v>44593.50019675926</v>
      </c>
      <c r="C310" s="1" t="n">
        <v>45967</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53664-2022</t>
        </is>
      </c>
      <c r="B311" s="1" t="n">
        <v>44879.95643518519</v>
      </c>
      <c r="C311" s="1" t="n">
        <v>45967</v>
      </c>
      <c r="D311" t="inlineStr">
        <is>
          <t>VÄSTERNORRLANDS LÄN</t>
        </is>
      </c>
      <c r="E311" t="inlineStr">
        <is>
          <t>ÅNGE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55905-2021</t>
        </is>
      </c>
      <c r="B312" s="1" t="n">
        <v>44476.91895833334</v>
      </c>
      <c r="C312" s="1" t="n">
        <v>45967</v>
      </c>
      <c r="D312" t="inlineStr">
        <is>
          <t>VÄSTERNORRLANDS LÄN</t>
        </is>
      </c>
      <c r="E312" t="inlineStr">
        <is>
          <t>ÅNGE</t>
        </is>
      </c>
      <c r="G312" t="n">
        <v>0.9</v>
      </c>
      <c r="H312" t="n">
        <v>0</v>
      </c>
      <c r="I312" t="n">
        <v>0</v>
      </c>
      <c r="J312" t="n">
        <v>0</v>
      </c>
      <c r="K312" t="n">
        <v>0</v>
      </c>
      <c r="L312" t="n">
        <v>0</v>
      </c>
      <c r="M312" t="n">
        <v>0</v>
      </c>
      <c r="N312" t="n">
        <v>0</v>
      </c>
      <c r="O312" t="n">
        <v>0</v>
      </c>
      <c r="P312" t="n">
        <v>0</v>
      </c>
      <c r="Q312" t="n">
        <v>0</v>
      </c>
      <c r="R312" s="2" t="inlineStr"/>
    </row>
    <row r="313" ht="15" customHeight="1">
      <c r="A313" t="inlineStr">
        <is>
          <t>A 17580-2022</t>
        </is>
      </c>
      <c r="B313" s="1" t="n">
        <v>44679</v>
      </c>
      <c r="C313" s="1" t="n">
        <v>45967</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1297-2022</t>
        </is>
      </c>
      <c r="B314" s="1" t="n">
        <v>44572.69135416667</v>
      </c>
      <c r="C314" s="1" t="n">
        <v>45967</v>
      </c>
      <c r="D314" t="inlineStr">
        <is>
          <t>VÄSTERNORRLANDS LÄN</t>
        </is>
      </c>
      <c r="E314" t="inlineStr">
        <is>
          <t>ÅNGE</t>
        </is>
      </c>
      <c r="G314" t="n">
        <v>2.3</v>
      </c>
      <c r="H314" t="n">
        <v>0</v>
      </c>
      <c r="I314" t="n">
        <v>0</v>
      </c>
      <c r="J314" t="n">
        <v>0</v>
      </c>
      <c r="K314" t="n">
        <v>0</v>
      </c>
      <c r="L314" t="n">
        <v>0</v>
      </c>
      <c r="M314" t="n">
        <v>0</v>
      </c>
      <c r="N314" t="n">
        <v>0</v>
      </c>
      <c r="O314" t="n">
        <v>0</v>
      </c>
      <c r="P314" t="n">
        <v>0</v>
      </c>
      <c r="Q314" t="n">
        <v>0</v>
      </c>
      <c r="R314" s="2" t="inlineStr"/>
    </row>
    <row r="315" ht="15" customHeight="1">
      <c r="A315" t="inlineStr">
        <is>
          <t>A 10342-2021</t>
        </is>
      </c>
      <c r="B315" s="1" t="n">
        <v>44257</v>
      </c>
      <c r="C315" s="1" t="n">
        <v>45967</v>
      </c>
      <c r="D315" t="inlineStr">
        <is>
          <t>VÄSTERNORRLANDS LÄN</t>
        </is>
      </c>
      <c r="E315" t="inlineStr">
        <is>
          <t>ÅNGE</t>
        </is>
      </c>
      <c r="G315" t="n">
        <v>1.8</v>
      </c>
      <c r="H315" t="n">
        <v>0</v>
      </c>
      <c r="I315" t="n">
        <v>0</v>
      </c>
      <c r="J315" t="n">
        <v>0</v>
      </c>
      <c r="K315" t="n">
        <v>0</v>
      </c>
      <c r="L315" t="n">
        <v>0</v>
      </c>
      <c r="M315" t="n">
        <v>0</v>
      </c>
      <c r="N315" t="n">
        <v>0</v>
      </c>
      <c r="O315" t="n">
        <v>0</v>
      </c>
      <c r="P315" t="n">
        <v>0</v>
      </c>
      <c r="Q315" t="n">
        <v>0</v>
      </c>
      <c r="R315" s="2" t="inlineStr"/>
    </row>
    <row r="316" ht="15" customHeight="1">
      <c r="A316" t="inlineStr">
        <is>
          <t>A 50125-2021</t>
        </is>
      </c>
      <c r="B316" s="1" t="n">
        <v>44456</v>
      </c>
      <c r="C316" s="1" t="n">
        <v>45967</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20807-2021</t>
        </is>
      </c>
      <c r="B317" s="1" t="n">
        <v>44316.93965277778</v>
      </c>
      <c r="C317" s="1" t="n">
        <v>45967</v>
      </c>
      <c r="D317" t="inlineStr">
        <is>
          <t>VÄSTERNORRLANDS LÄN</t>
        </is>
      </c>
      <c r="E317" t="inlineStr">
        <is>
          <t>ÅNGE</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17594-2021</t>
        </is>
      </c>
      <c r="B318" s="1" t="n">
        <v>44299</v>
      </c>
      <c r="C318" s="1" t="n">
        <v>45967</v>
      </c>
      <c r="D318" t="inlineStr">
        <is>
          <t>VÄSTERNORRLANDS LÄN</t>
        </is>
      </c>
      <c r="E318" t="inlineStr">
        <is>
          <t>ÅNGE</t>
        </is>
      </c>
      <c r="G318" t="n">
        <v>0.8</v>
      </c>
      <c r="H318" t="n">
        <v>0</v>
      </c>
      <c r="I318" t="n">
        <v>0</v>
      </c>
      <c r="J318" t="n">
        <v>0</v>
      </c>
      <c r="K318" t="n">
        <v>0</v>
      </c>
      <c r="L318" t="n">
        <v>0</v>
      </c>
      <c r="M318" t="n">
        <v>0</v>
      </c>
      <c r="N318" t="n">
        <v>0</v>
      </c>
      <c r="O318" t="n">
        <v>0</v>
      </c>
      <c r="P318" t="n">
        <v>0</v>
      </c>
      <c r="Q318" t="n">
        <v>0</v>
      </c>
      <c r="R318" s="2" t="inlineStr"/>
    </row>
    <row r="319" ht="15" customHeight="1">
      <c r="A319" t="inlineStr">
        <is>
          <t>A 6898-2022</t>
        </is>
      </c>
      <c r="B319" s="1" t="n">
        <v>44602.92141203704</v>
      </c>
      <c r="C319" s="1" t="n">
        <v>45967</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37605-2021</t>
        </is>
      </c>
      <c r="B320" s="1" t="n">
        <v>44399</v>
      </c>
      <c r="C320" s="1" t="n">
        <v>45967</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37620-2021</t>
        </is>
      </c>
      <c r="B321" s="1" t="n">
        <v>44399</v>
      </c>
      <c r="C321" s="1" t="n">
        <v>45967</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69736-2021</t>
        </is>
      </c>
      <c r="B322" s="1" t="n">
        <v>44532</v>
      </c>
      <c r="C322" s="1" t="n">
        <v>45967</v>
      </c>
      <c r="D322" t="inlineStr">
        <is>
          <t>VÄSTERNORRLANDS LÄN</t>
        </is>
      </c>
      <c r="E322" t="inlineStr">
        <is>
          <t>ÅNGE</t>
        </is>
      </c>
      <c r="G322" t="n">
        <v>5</v>
      </c>
      <c r="H322" t="n">
        <v>0</v>
      </c>
      <c r="I322" t="n">
        <v>0</v>
      </c>
      <c r="J322" t="n">
        <v>0</v>
      </c>
      <c r="K322" t="n">
        <v>0</v>
      </c>
      <c r="L322" t="n">
        <v>0</v>
      </c>
      <c r="M322" t="n">
        <v>0</v>
      </c>
      <c r="N322" t="n">
        <v>0</v>
      </c>
      <c r="O322" t="n">
        <v>0</v>
      </c>
      <c r="P322" t="n">
        <v>0</v>
      </c>
      <c r="Q322" t="n">
        <v>0</v>
      </c>
      <c r="R322" s="2" t="inlineStr"/>
    </row>
    <row r="323" ht="15" customHeight="1">
      <c r="A323" t="inlineStr">
        <is>
          <t>A 70893-2021</t>
        </is>
      </c>
      <c r="B323" s="1" t="n">
        <v>44538</v>
      </c>
      <c r="C323" s="1" t="n">
        <v>45967</v>
      </c>
      <c r="D323" t="inlineStr">
        <is>
          <t>VÄSTERNORRLANDS LÄN</t>
        </is>
      </c>
      <c r="E323" t="inlineStr">
        <is>
          <t>ÅNGE</t>
        </is>
      </c>
      <c r="G323" t="n">
        <v>6.2</v>
      </c>
      <c r="H323" t="n">
        <v>0</v>
      </c>
      <c r="I323" t="n">
        <v>0</v>
      </c>
      <c r="J323" t="n">
        <v>0</v>
      </c>
      <c r="K323" t="n">
        <v>0</v>
      </c>
      <c r="L323" t="n">
        <v>0</v>
      </c>
      <c r="M323" t="n">
        <v>0</v>
      </c>
      <c r="N323" t="n">
        <v>0</v>
      </c>
      <c r="O323" t="n">
        <v>0</v>
      </c>
      <c r="P323" t="n">
        <v>0</v>
      </c>
      <c r="Q323" t="n">
        <v>0</v>
      </c>
      <c r="R323" s="2" t="inlineStr"/>
    </row>
    <row r="324" ht="15" customHeight="1">
      <c r="A324" t="inlineStr">
        <is>
          <t>A 5279-2022</t>
        </is>
      </c>
      <c r="B324" s="1" t="n">
        <v>44594</v>
      </c>
      <c r="C324" s="1" t="n">
        <v>45967</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57162-2021</t>
        </is>
      </c>
      <c r="B325" s="1" t="n">
        <v>44482</v>
      </c>
      <c r="C325" s="1" t="n">
        <v>45967</v>
      </c>
      <c r="D325" t="inlineStr">
        <is>
          <t>VÄSTERNORRLANDS LÄN</t>
        </is>
      </c>
      <c r="E325" t="inlineStr">
        <is>
          <t>ÅNGE</t>
        </is>
      </c>
      <c r="G325" t="n">
        <v>2.5</v>
      </c>
      <c r="H325" t="n">
        <v>0</v>
      </c>
      <c r="I325" t="n">
        <v>0</v>
      </c>
      <c r="J325" t="n">
        <v>0</v>
      </c>
      <c r="K325" t="n">
        <v>0</v>
      </c>
      <c r="L325" t="n">
        <v>0</v>
      </c>
      <c r="M325" t="n">
        <v>0</v>
      </c>
      <c r="N325" t="n">
        <v>0</v>
      </c>
      <c r="O325" t="n">
        <v>0</v>
      </c>
      <c r="P325" t="n">
        <v>0</v>
      </c>
      <c r="Q325" t="n">
        <v>0</v>
      </c>
      <c r="R325" s="2" t="inlineStr"/>
    </row>
    <row r="326" ht="15" customHeight="1">
      <c r="A326" t="inlineStr">
        <is>
          <t>A 33408-2021</t>
        </is>
      </c>
      <c r="B326" s="1" t="n">
        <v>44377</v>
      </c>
      <c r="C326" s="1" t="n">
        <v>45967</v>
      </c>
      <c r="D326" t="inlineStr">
        <is>
          <t>VÄSTERNORRLANDS LÄN</t>
        </is>
      </c>
      <c r="E326" t="inlineStr">
        <is>
          <t>ÅNGE</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20369-2022</t>
        </is>
      </c>
      <c r="B327" s="1" t="n">
        <v>44699.41140046297</v>
      </c>
      <c r="C327" s="1" t="n">
        <v>45967</v>
      </c>
      <c r="D327" t="inlineStr">
        <is>
          <t>VÄSTERNORRLANDS LÄN</t>
        </is>
      </c>
      <c r="E327" t="inlineStr">
        <is>
          <t>ÅNGE</t>
        </is>
      </c>
      <c r="G327" t="n">
        <v>5.5</v>
      </c>
      <c r="H327" t="n">
        <v>0</v>
      </c>
      <c r="I327" t="n">
        <v>0</v>
      </c>
      <c r="J327" t="n">
        <v>0</v>
      </c>
      <c r="K327" t="n">
        <v>0</v>
      </c>
      <c r="L327" t="n">
        <v>0</v>
      </c>
      <c r="M327" t="n">
        <v>0</v>
      </c>
      <c r="N327" t="n">
        <v>0</v>
      </c>
      <c r="O327" t="n">
        <v>0</v>
      </c>
      <c r="P327" t="n">
        <v>0</v>
      </c>
      <c r="Q327" t="n">
        <v>0</v>
      </c>
      <c r="R327" s="2" t="inlineStr"/>
    </row>
    <row r="328" ht="15" customHeight="1">
      <c r="A328" t="inlineStr">
        <is>
          <t>A 55907-2022</t>
        </is>
      </c>
      <c r="B328" s="1" t="n">
        <v>44888.95457175926</v>
      </c>
      <c r="C328" s="1" t="n">
        <v>45967</v>
      </c>
      <c r="D328" t="inlineStr">
        <is>
          <t>VÄSTERNORRLANDS LÄN</t>
        </is>
      </c>
      <c r="E328" t="inlineStr">
        <is>
          <t>ÅNGE</t>
        </is>
      </c>
      <c r="F328" t="inlineStr">
        <is>
          <t>SCA</t>
        </is>
      </c>
      <c r="G328" t="n">
        <v>8.4</v>
      </c>
      <c r="H328" t="n">
        <v>0</v>
      </c>
      <c r="I328" t="n">
        <v>0</v>
      </c>
      <c r="J328" t="n">
        <v>0</v>
      </c>
      <c r="K328" t="n">
        <v>0</v>
      </c>
      <c r="L328" t="n">
        <v>0</v>
      </c>
      <c r="M328" t="n">
        <v>0</v>
      </c>
      <c r="N328" t="n">
        <v>0</v>
      </c>
      <c r="O328" t="n">
        <v>0</v>
      </c>
      <c r="P328" t="n">
        <v>0</v>
      </c>
      <c r="Q328" t="n">
        <v>0</v>
      </c>
      <c r="R328" s="2" t="inlineStr"/>
    </row>
    <row r="329" ht="15" customHeight="1">
      <c r="A329" t="inlineStr">
        <is>
          <t>A 5113-2022</t>
        </is>
      </c>
      <c r="B329" s="1" t="n">
        <v>44593.93362268519</v>
      </c>
      <c r="C329" s="1" t="n">
        <v>45967</v>
      </c>
      <c r="D329" t="inlineStr">
        <is>
          <t>VÄSTERNORRLANDS LÄN</t>
        </is>
      </c>
      <c r="E329" t="inlineStr">
        <is>
          <t>ÅNGE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31668-2021</t>
        </is>
      </c>
      <c r="B330" s="1" t="n">
        <v>44369</v>
      </c>
      <c r="C330" s="1" t="n">
        <v>45967</v>
      </c>
      <c r="D330" t="inlineStr">
        <is>
          <t>VÄSTERNORRLANDS LÄN</t>
        </is>
      </c>
      <c r="E330" t="inlineStr">
        <is>
          <t>ÅNGE</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31647-2022</t>
        </is>
      </c>
      <c r="B331" s="1" t="n">
        <v>44775.94328703704</v>
      </c>
      <c r="C331" s="1" t="n">
        <v>45967</v>
      </c>
      <c r="D331" t="inlineStr">
        <is>
          <t>VÄSTERNORRLANDS LÄN</t>
        </is>
      </c>
      <c r="E331" t="inlineStr">
        <is>
          <t>ÅNGE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66560-2021</t>
        </is>
      </c>
      <c r="B332" s="1" t="n">
        <v>44519</v>
      </c>
      <c r="C332" s="1" t="n">
        <v>45967</v>
      </c>
      <c r="D332" t="inlineStr">
        <is>
          <t>VÄSTERNORRLANDS LÄN</t>
        </is>
      </c>
      <c r="E332" t="inlineStr">
        <is>
          <t>ÅNGE</t>
        </is>
      </c>
      <c r="G332" t="n">
        <v>2.6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45967</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24355-2022</t>
        </is>
      </c>
      <c r="B334" s="1" t="n">
        <v>44726.3816087963</v>
      </c>
      <c r="C334" s="1" t="n">
        <v>45967</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45967</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70899-2021</t>
        </is>
      </c>
      <c r="B336" s="1" t="n">
        <v>44537</v>
      </c>
      <c r="C336" s="1" t="n">
        <v>45967</v>
      </c>
      <c r="D336" t="inlineStr">
        <is>
          <t>VÄSTERNORRLANDS LÄN</t>
        </is>
      </c>
      <c r="E336" t="inlineStr">
        <is>
          <t>ÅNGE</t>
        </is>
      </c>
      <c r="G336" t="n">
        <v>1.1</v>
      </c>
      <c r="H336" t="n">
        <v>0</v>
      </c>
      <c r="I336" t="n">
        <v>0</v>
      </c>
      <c r="J336" t="n">
        <v>0</v>
      </c>
      <c r="K336" t="n">
        <v>0</v>
      </c>
      <c r="L336" t="n">
        <v>0</v>
      </c>
      <c r="M336" t="n">
        <v>0</v>
      </c>
      <c r="N336" t="n">
        <v>0</v>
      </c>
      <c r="O336" t="n">
        <v>0</v>
      </c>
      <c r="P336" t="n">
        <v>0</v>
      </c>
      <c r="Q336" t="n">
        <v>0</v>
      </c>
      <c r="R336" s="2" t="inlineStr"/>
    </row>
    <row r="337" ht="15" customHeight="1">
      <c r="A337" t="inlineStr">
        <is>
          <t>A 74194-2021</t>
        </is>
      </c>
      <c r="B337" s="1" t="n">
        <v>44558.47333333334</v>
      </c>
      <c r="C337" s="1" t="n">
        <v>45967</v>
      </c>
      <c r="D337" t="inlineStr">
        <is>
          <t>VÄSTERNORRLANDS LÄN</t>
        </is>
      </c>
      <c r="E337" t="inlineStr">
        <is>
          <t>ÅNGE</t>
        </is>
      </c>
      <c r="G337" t="n">
        <v>1.9</v>
      </c>
      <c r="H337" t="n">
        <v>0</v>
      </c>
      <c r="I337" t="n">
        <v>0</v>
      </c>
      <c r="J337" t="n">
        <v>0</v>
      </c>
      <c r="K337" t="n">
        <v>0</v>
      </c>
      <c r="L337" t="n">
        <v>0</v>
      </c>
      <c r="M337" t="n">
        <v>0</v>
      </c>
      <c r="N337" t="n">
        <v>0</v>
      </c>
      <c r="O337" t="n">
        <v>0</v>
      </c>
      <c r="P337" t="n">
        <v>0</v>
      </c>
      <c r="Q337" t="n">
        <v>0</v>
      </c>
      <c r="R337" s="2" t="inlineStr"/>
    </row>
    <row r="338" ht="15" customHeight="1">
      <c r="A338" t="inlineStr">
        <is>
          <t>A 35507-2022</t>
        </is>
      </c>
      <c r="B338" s="1" t="n">
        <v>44798</v>
      </c>
      <c r="C338" s="1" t="n">
        <v>45967</v>
      </c>
      <c r="D338" t="inlineStr">
        <is>
          <t>VÄSTERNORRLANDS LÄN</t>
        </is>
      </c>
      <c r="E338" t="inlineStr">
        <is>
          <t>ÅNGE</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13641-2022</t>
        </is>
      </c>
      <c r="B339" s="1" t="n">
        <v>44648</v>
      </c>
      <c r="C339" s="1" t="n">
        <v>45967</v>
      </c>
      <c r="D339" t="inlineStr">
        <is>
          <t>VÄSTERNORRLANDS LÄN</t>
        </is>
      </c>
      <c r="E339" t="inlineStr">
        <is>
          <t>ÅNGE</t>
        </is>
      </c>
      <c r="G339" t="n">
        <v>4.9</v>
      </c>
      <c r="H339" t="n">
        <v>0</v>
      </c>
      <c r="I339" t="n">
        <v>0</v>
      </c>
      <c r="J339" t="n">
        <v>0</v>
      </c>
      <c r="K339" t="n">
        <v>0</v>
      </c>
      <c r="L339" t="n">
        <v>0</v>
      </c>
      <c r="M339" t="n">
        <v>0</v>
      </c>
      <c r="N339" t="n">
        <v>0</v>
      </c>
      <c r="O339" t="n">
        <v>0</v>
      </c>
      <c r="P339" t="n">
        <v>0</v>
      </c>
      <c r="Q339" t="n">
        <v>0</v>
      </c>
      <c r="R339" s="2" t="inlineStr"/>
    </row>
    <row r="340" ht="15" customHeight="1">
      <c r="A340" t="inlineStr">
        <is>
          <t>A 10680-2022</t>
        </is>
      </c>
      <c r="B340" s="1" t="n">
        <v>44624</v>
      </c>
      <c r="C340" s="1" t="n">
        <v>45967</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10686-2022</t>
        </is>
      </c>
      <c r="B341" s="1" t="n">
        <v>44624.92680555556</v>
      </c>
      <c r="C341" s="1" t="n">
        <v>45967</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45967</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45967</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62870-2021</t>
        </is>
      </c>
      <c r="B344" s="1" t="n">
        <v>44503</v>
      </c>
      <c r="C344" s="1" t="n">
        <v>45967</v>
      </c>
      <c r="D344" t="inlineStr">
        <is>
          <t>VÄSTERNORRLANDS LÄN</t>
        </is>
      </c>
      <c r="E344" t="inlineStr">
        <is>
          <t>ÅNGE</t>
        </is>
      </c>
      <c r="F344" t="inlineStr">
        <is>
          <t>Övriga statliga verk och myndigheter</t>
        </is>
      </c>
      <c r="G344" t="n">
        <v>3</v>
      </c>
      <c r="H344" t="n">
        <v>0</v>
      </c>
      <c r="I344" t="n">
        <v>0</v>
      </c>
      <c r="J344" t="n">
        <v>0</v>
      </c>
      <c r="K344" t="n">
        <v>0</v>
      </c>
      <c r="L344" t="n">
        <v>0</v>
      </c>
      <c r="M344" t="n">
        <v>0</v>
      </c>
      <c r="N344" t="n">
        <v>0</v>
      </c>
      <c r="O344" t="n">
        <v>0</v>
      </c>
      <c r="P344" t="n">
        <v>0</v>
      </c>
      <c r="Q344" t="n">
        <v>0</v>
      </c>
      <c r="R344" s="2" t="inlineStr"/>
    </row>
    <row r="345" ht="15" customHeight="1">
      <c r="A345" t="inlineStr">
        <is>
          <t>A 66233-2021</t>
        </is>
      </c>
      <c r="B345" s="1" t="n">
        <v>44518.39234953704</v>
      </c>
      <c r="C345" s="1" t="n">
        <v>45967</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45967</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14084-2022</t>
        </is>
      </c>
      <c r="B347" s="1" t="n">
        <v>44651</v>
      </c>
      <c r="C347" s="1" t="n">
        <v>45967</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14091-2022</t>
        </is>
      </c>
      <c r="B348" s="1" t="n">
        <v>44651</v>
      </c>
      <c r="C348" s="1" t="n">
        <v>45967</v>
      </c>
      <c r="D348" t="inlineStr">
        <is>
          <t>VÄSTERNORRLANDS LÄN</t>
        </is>
      </c>
      <c r="E348" t="inlineStr">
        <is>
          <t>ÅNGE</t>
        </is>
      </c>
      <c r="G348" t="n">
        <v>2.4</v>
      </c>
      <c r="H348" t="n">
        <v>0</v>
      </c>
      <c r="I348" t="n">
        <v>0</v>
      </c>
      <c r="J348" t="n">
        <v>0</v>
      </c>
      <c r="K348" t="n">
        <v>0</v>
      </c>
      <c r="L348" t="n">
        <v>0</v>
      </c>
      <c r="M348" t="n">
        <v>0</v>
      </c>
      <c r="N348" t="n">
        <v>0</v>
      </c>
      <c r="O348" t="n">
        <v>0</v>
      </c>
      <c r="P348" t="n">
        <v>0</v>
      </c>
      <c r="Q348" t="n">
        <v>0</v>
      </c>
      <c r="R348" s="2" t="inlineStr"/>
    </row>
    <row r="349" ht="15" customHeight="1">
      <c r="A349" t="inlineStr">
        <is>
          <t>A 51494-2022</t>
        </is>
      </c>
      <c r="B349" s="1" t="n">
        <v>44869</v>
      </c>
      <c r="C349" s="1" t="n">
        <v>45967</v>
      </c>
      <c r="D349" t="inlineStr">
        <is>
          <t>VÄSTERNORRLANDS LÄN</t>
        </is>
      </c>
      <c r="E349" t="inlineStr">
        <is>
          <t>ÅNGE</t>
        </is>
      </c>
      <c r="G349" t="n">
        <v>1.2</v>
      </c>
      <c r="H349" t="n">
        <v>0</v>
      </c>
      <c r="I349" t="n">
        <v>0</v>
      </c>
      <c r="J349" t="n">
        <v>0</v>
      </c>
      <c r="K349" t="n">
        <v>0</v>
      </c>
      <c r="L349" t="n">
        <v>0</v>
      </c>
      <c r="M349" t="n">
        <v>0</v>
      </c>
      <c r="N349" t="n">
        <v>0</v>
      </c>
      <c r="O349" t="n">
        <v>0</v>
      </c>
      <c r="P349" t="n">
        <v>0</v>
      </c>
      <c r="Q349" t="n">
        <v>0</v>
      </c>
      <c r="R349" s="2" t="inlineStr"/>
    </row>
    <row r="350" ht="15" customHeight="1">
      <c r="A350" t="inlineStr">
        <is>
          <t>A 21189-2021</t>
        </is>
      </c>
      <c r="B350" s="1" t="n">
        <v>44320</v>
      </c>
      <c r="C350" s="1" t="n">
        <v>45967</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30286-2021</t>
        </is>
      </c>
      <c r="B351" s="1" t="n">
        <v>44363</v>
      </c>
      <c r="C351" s="1" t="n">
        <v>45967</v>
      </c>
      <c r="D351" t="inlineStr">
        <is>
          <t>VÄSTERNORRLANDS LÄN</t>
        </is>
      </c>
      <c r="E351" t="inlineStr">
        <is>
          <t>ÅNGE</t>
        </is>
      </c>
      <c r="G351" t="n">
        <v>1.2</v>
      </c>
      <c r="H351" t="n">
        <v>0</v>
      </c>
      <c r="I351" t="n">
        <v>0</v>
      </c>
      <c r="J351" t="n">
        <v>0</v>
      </c>
      <c r="K351" t="n">
        <v>0</v>
      </c>
      <c r="L351" t="n">
        <v>0</v>
      </c>
      <c r="M351" t="n">
        <v>0</v>
      </c>
      <c r="N351" t="n">
        <v>0</v>
      </c>
      <c r="O351" t="n">
        <v>0</v>
      </c>
      <c r="P351" t="n">
        <v>0</v>
      </c>
      <c r="Q351" t="n">
        <v>0</v>
      </c>
      <c r="R351" s="2" t="inlineStr"/>
    </row>
    <row r="352" ht="15" customHeight="1">
      <c r="A352" t="inlineStr">
        <is>
          <t>A 60064-2020</t>
        </is>
      </c>
      <c r="B352" s="1" t="n">
        <v>44151</v>
      </c>
      <c r="C352" s="1" t="n">
        <v>45967</v>
      </c>
      <c r="D352" t="inlineStr">
        <is>
          <t>VÄSTERNORRLANDS LÄN</t>
        </is>
      </c>
      <c r="E352" t="inlineStr">
        <is>
          <t>ÅNGE</t>
        </is>
      </c>
      <c r="G352" t="n">
        <v>1.8</v>
      </c>
      <c r="H352" t="n">
        <v>0</v>
      </c>
      <c r="I352" t="n">
        <v>0</v>
      </c>
      <c r="J352" t="n">
        <v>0</v>
      </c>
      <c r="K352" t="n">
        <v>0</v>
      </c>
      <c r="L352" t="n">
        <v>0</v>
      </c>
      <c r="M352" t="n">
        <v>0</v>
      </c>
      <c r="N352" t="n">
        <v>0</v>
      </c>
      <c r="O352" t="n">
        <v>0</v>
      </c>
      <c r="P352" t="n">
        <v>0</v>
      </c>
      <c r="Q352" t="n">
        <v>0</v>
      </c>
      <c r="R352" s="2" t="inlineStr"/>
    </row>
    <row r="353" ht="15" customHeight="1">
      <c r="A353" t="inlineStr">
        <is>
          <t>A 5366-2022</t>
        </is>
      </c>
      <c r="B353" s="1" t="n">
        <v>44594.92107638889</v>
      </c>
      <c r="C353" s="1" t="n">
        <v>45967</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35276-2022</t>
        </is>
      </c>
      <c r="B354" s="1" t="n">
        <v>44798</v>
      </c>
      <c r="C354" s="1" t="n">
        <v>45967</v>
      </c>
      <c r="D354" t="inlineStr">
        <is>
          <t>VÄSTERNORRLANDS LÄN</t>
        </is>
      </c>
      <c r="E354" t="inlineStr">
        <is>
          <t>ÅNGE</t>
        </is>
      </c>
      <c r="G354" t="n">
        <v>15.2</v>
      </c>
      <c r="H354" t="n">
        <v>0</v>
      </c>
      <c r="I354" t="n">
        <v>0</v>
      </c>
      <c r="J354" t="n">
        <v>0</v>
      </c>
      <c r="K354" t="n">
        <v>0</v>
      </c>
      <c r="L354" t="n">
        <v>0</v>
      </c>
      <c r="M354" t="n">
        <v>0</v>
      </c>
      <c r="N354" t="n">
        <v>0</v>
      </c>
      <c r="O354" t="n">
        <v>0</v>
      </c>
      <c r="P354" t="n">
        <v>0</v>
      </c>
      <c r="Q354" t="n">
        <v>0</v>
      </c>
      <c r="R354" s="2" t="inlineStr"/>
    </row>
    <row r="355" ht="15" customHeight="1">
      <c r="A355" t="inlineStr">
        <is>
          <t>A 13149-2021</t>
        </is>
      </c>
      <c r="B355" s="1" t="n">
        <v>44272</v>
      </c>
      <c r="C355" s="1" t="n">
        <v>45967</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11098-2022</t>
        </is>
      </c>
      <c r="B356" s="1" t="n">
        <v>44628</v>
      </c>
      <c r="C356" s="1" t="n">
        <v>45967</v>
      </c>
      <c r="D356" t="inlineStr">
        <is>
          <t>VÄSTERNORRLANDS LÄN</t>
        </is>
      </c>
      <c r="E356" t="inlineStr">
        <is>
          <t>ÅNGE</t>
        </is>
      </c>
      <c r="G356" t="n">
        <v>8.9</v>
      </c>
      <c r="H356" t="n">
        <v>0</v>
      </c>
      <c r="I356" t="n">
        <v>0</v>
      </c>
      <c r="J356" t="n">
        <v>0</v>
      </c>
      <c r="K356" t="n">
        <v>0</v>
      </c>
      <c r="L356" t="n">
        <v>0</v>
      </c>
      <c r="M356" t="n">
        <v>0</v>
      </c>
      <c r="N356" t="n">
        <v>0</v>
      </c>
      <c r="O356" t="n">
        <v>0</v>
      </c>
      <c r="P356" t="n">
        <v>0</v>
      </c>
      <c r="Q356" t="n">
        <v>0</v>
      </c>
      <c r="R356" s="2" t="inlineStr"/>
    </row>
    <row r="357" ht="15" customHeight="1">
      <c r="A357" t="inlineStr">
        <is>
          <t>A 38369-2021</t>
        </is>
      </c>
      <c r="B357" s="1" t="n">
        <v>44406</v>
      </c>
      <c r="C357" s="1" t="n">
        <v>45967</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65280-2020</t>
        </is>
      </c>
      <c r="B358" s="1" t="n">
        <v>44172</v>
      </c>
      <c r="C358" s="1" t="n">
        <v>45967</v>
      </c>
      <c r="D358" t="inlineStr">
        <is>
          <t>VÄSTERNORRLANDS LÄN</t>
        </is>
      </c>
      <c r="E358" t="inlineStr">
        <is>
          <t>ÅNGE</t>
        </is>
      </c>
      <c r="F358" t="inlineStr">
        <is>
          <t>SCA</t>
        </is>
      </c>
      <c r="G358" t="n">
        <v>4</v>
      </c>
      <c r="H358" t="n">
        <v>0</v>
      </c>
      <c r="I358" t="n">
        <v>0</v>
      </c>
      <c r="J358" t="n">
        <v>0</v>
      </c>
      <c r="K358" t="n">
        <v>0</v>
      </c>
      <c r="L358" t="n">
        <v>0</v>
      </c>
      <c r="M358" t="n">
        <v>0</v>
      </c>
      <c r="N358" t="n">
        <v>0</v>
      </c>
      <c r="O358" t="n">
        <v>0</v>
      </c>
      <c r="P358" t="n">
        <v>0</v>
      </c>
      <c r="Q358" t="n">
        <v>0</v>
      </c>
      <c r="R358" s="2" t="inlineStr"/>
    </row>
    <row r="359" ht="15" customHeight="1">
      <c r="A359" t="inlineStr">
        <is>
          <t>A 35283-2022</t>
        </is>
      </c>
      <c r="B359" s="1" t="n">
        <v>44798.39916666667</v>
      </c>
      <c r="C359" s="1" t="n">
        <v>45967</v>
      </c>
      <c r="D359" t="inlineStr">
        <is>
          <t>VÄSTERNORRLANDS LÄN</t>
        </is>
      </c>
      <c r="E359" t="inlineStr">
        <is>
          <t>ÅNGE</t>
        </is>
      </c>
      <c r="G359" t="n">
        <v>4.5</v>
      </c>
      <c r="H359" t="n">
        <v>0</v>
      </c>
      <c r="I359" t="n">
        <v>0</v>
      </c>
      <c r="J359" t="n">
        <v>0</v>
      </c>
      <c r="K359" t="n">
        <v>0</v>
      </c>
      <c r="L359" t="n">
        <v>0</v>
      </c>
      <c r="M359" t="n">
        <v>0</v>
      </c>
      <c r="N359" t="n">
        <v>0</v>
      </c>
      <c r="O359" t="n">
        <v>0</v>
      </c>
      <c r="P359" t="n">
        <v>0</v>
      </c>
      <c r="Q359" t="n">
        <v>0</v>
      </c>
      <c r="R359" s="2" t="inlineStr"/>
    </row>
    <row r="360" ht="15" customHeight="1">
      <c r="A360" t="inlineStr">
        <is>
          <t>A 46351-2022</t>
        </is>
      </c>
      <c r="B360" s="1" t="n">
        <v>44847</v>
      </c>
      <c r="C360" s="1" t="n">
        <v>45967</v>
      </c>
      <c r="D360" t="inlineStr">
        <is>
          <t>VÄSTERNORRLANDS LÄN</t>
        </is>
      </c>
      <c r="E360" t="inlineStr">
        <is>
          <t>ÅNGE</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29509-2021</t>
        </is>
      </c>
      <c r="B361" s="1" t="n">
        <v>44361</v>
      </c>
      <c r="C361" s="1" t="n">
        <v>45967</v>
      </c>
      <c r="D361" t="inlineStr">
        <is>
          <t>VÄSTERNORRLANDS LÄN</t>
        </is>
      </c>
      <c r="E361" t="inlineStr">
        <is>
          <t>ÅNGE</t>
        </is>
      </c>
      <c r="G361" t="n">
        <v>3.6</v>
      </c>
      <c r="H361" t="n">
        <v>0</v>
      </c>
      <c r="I361" t="n">
        <v>0</v>
      </c>
      <c r="J361" t="n">
        <v>0</v>
      </c>
      <c r="K361" t="n">
        <v>0</v>
      </c>
      <c r="L361" t="n">
        <v>0</v>
      </c>
      <c r="M361" t="n">
        <v>0</v>
      </c>
      <c r="N361" t="n">
        <v>0</v>
      </c>
      <c r="O361" t="n">
        <v>0</v>
      </c>
      <c r="P361" t="n">
        <v>0</v>
      </c>
      <c r="Q361" t="n">
        <v>0</v>
      </c>
      <c r="R361" s="2" t="inlineStr"/>
    </row>
    <row r="362" ht="15" customHeight="1">
      <c r="A362" t="inlineStr">
        <is>
          <t>A 44413-2022</t>
        </is>
      </c>
      <c r="B362" s="1" t="n">
        <v>44839.92630787037</v>
      </c>
      <c r="C362" s="1" t="n">
        <v>45967</v>
      </c>
      <c r="D362" t="inlineStr">
        <is>
          <t>VÄSTERNORRLANDS LÄN</t>
        </is>
      </c>
      <c r="E362" t="inlineStr">
        <is>
          <t>ÅNGE</t>
        </is>
      </c>
      <c r="G362" t="n">
        <v>0.7</v>
      </c>
      <c r="H362" t="n">
        <v>0</v>
      </c>
      <c r="I362" t="n">
        <v>0</v>
      </c>
      <c r="J362" t="n">
        <v>0</v>
      </c>
      <c r="K362" t="n">
        <v>0</v>
      </c>
      <c r="L362" t="n">
        <v>0</v>
      </c>
      <c r="M362" t="n">
        <v>0</v>
      </c>
      <c r="N362" t="n">
        <v>0</v>
      </c>
      <c r="O362" t="n">
        <v>0</v>
      </c>
      <c r="P362" t="n">
        <v>0</v>
      </c>
      <c r="Q362" t="n">
        <v>0</v>
      </c>
      <c r="R362" s="2" t="inlineStr"/>
    </row>
    <row r="363" ht="15" customHeight="1">
      <c r="A363" t="inlineStr">
        <is>
          <t>A 33274-2022</t>
        </is>
      </c>
      <c r="B363" s="1" t="n">
        <v>44788</v>
      </c>
      <c r="C363" s="1" t="n">
        <v>45967</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45967</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45967</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7633-2022</t>
        </is>
      </c>
      <c r="B366" s="1" t="n">
        <v>44607.71378472223</v>
      </c>
      <c r="C366" s="1" t="n">
        <v>45967</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47660-2022</t>
        </is>
      </c>
      <c r="B367" s="1" t="n">
        <v>44854.45766203704</v>
      </c>
      <c r="C367" s="1" t="n">
        <v>45967</v>
      </c>
      <c r="D367" t="inlineStr">
        <is>
          <t>VÄSTERNORRLANDS LÄN</t>
        </is>
      </c>
      <c r="E367" t="inlineStr">
        <is>
          <t>ÅNGE</t>
        </is>
      </c>
      <c r="F367" t="inlineStr">
        <is>
          <t>Holmen skog AB</t>
        </is>
      </c>
      <c r="G367" t="n">
        <v>0.5</v>
      </c>
      <c r="H367" t="n">
        <v>0</v>
      </c>
      <c r="I367" t="n">
        <v>0</v>
      </c>
      <c r="J367" t="n">
        <v>0</v>
      </c>
      <c r="K367" t="n">
        <v>0</v>
      </c>
      <c r="L367" t="n">
        <v>0</v>
      </c>
      <c r="M367" t="n">
        <v>0</v>
      </c>
      <c r="N367" t="n">
        <v>0</v>
      </c>
      <c r="O367" t="n">
        <v>0</v>
      </c>
      <c r="P367" t="n">
        <v>0</v>
      </c>
      <c r="Q367" t="n">
        <v>0</v>
      </c>
      <c r="R367" s="2" t="inlineStr"/>
    </row>
    <row r="368" ht="15" customHeight="1">
      <c r="A368" t="inlineStr">
        <is>
          <t>A 50710-2021</t>
        </is>
      </c>
      <c r="B368" s="1" t="n">
        <v>44460.366875</v>
      </c>
      <c r="C368" s="1" t="n">
        <v>45967</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45967</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2327-2021</t>
        </is>
      </c>
      <c r="B370" s="1" t="n">
        <v>44214</v>
      </c>
      <c r="C370" s="1" t="n">
        <v>45967</v>
      </c>
      <c r="D370" t="inlineStr">
        <is>
          <t>VÄSTERNORRLANDS LÄN</t>
        </is>
      </c>
      <c r="E370" t="inlineStr">
        <is>
          <t>ÅNGE</t>
        </is>
      </c>
      <c r="G370" t="n">
        <v>6.7</v>
      </c>
      <c r="H370" t="n">
        <v>0</v>
      </c>
      <c r="I370" t="n">
        <v>0</v>
      </c>
      <c r="J370" t="n">
        <v>0</v>
      </c>
      <c r="K370" t="n">
        <v>0</v>
      </c>
      <c r="L370" t="n">
        <v>0</v>
      </c>
      <c r="M370" t="n">
        <v>0</v>
      </c>
      <c r="N370" t="n">
        <v>0</v>
      </c>
      <c r="O370" t="n">
        <v>0</v>
      </c>
      <c r="P370" t="n">
        <v>0</v>
      </c>
      <c r="Q370" t="n">
        <v>0</v>
      </c>
      <c r="R370" s="2" t="inlineStr"/>
    </row>
    <row r="371" ht="15" customHeight="1">
      <c r="A371" t="inlineStr">
        <is>
          <t>A 17963-2022</t>
        </is>
      </c>
      <c r="B371" s="1" t="n">
        <v>44683</v>
      </c>
      <c r="C371" s="1" t="n">
        <v>45967</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14587-2021</t>
        </is>
      </c>
      <c r="B372" s="1" t="n">
        <v>44279.91825231481</v>
      </c>
      <c r="C372" s="1" t="n">
        <v>45967</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35496-2022</t>
        </is>
      </c>
      <c r="B373" s="1" t="n">
        <v>44798</v>
      </c>
      <c r="C373" s="1" t="n">
        <v>45967</v>
      </c>
      <c r="D373" t="inlineStr">
        <is>
          <t>VÄSTERNORRLANDS LÄN</t>
        </is>
      </c>
      <c r="E373" t="inlineStr">
        <is>
          <t>ÅNGE</t>
        </is>
      </c>
      <c r="F373" t="inlineStr">
        <is>
          <t>SCA</t>
        </is>
      </c>
      <c r="G373" t="n">
        <v>15.6</v>
      </c>
      <c r="H373" t="n">
        <v>0</v>
      </c>
      <c r="I373" t="n">
        <v>0</v>
      </c>
      <c r="J373" t="n">
        <v>0</v>
      </c>
      <c r="K373" t="n">
        <v>0</v>
      </c>
      <c r="L373" t="n">
        <v>0</v>
      </c>
      <c r="M373" t="n">
        <v>0</v>
      </c>
      <c r="N373" t="n">
        <v>0</v>
      </c>
      <c r="O373" t="n">
        <v>0</v>
      </c>
      <c r="P373" t="n">
        <v>0</v>
      </c>
      <c r="Q373" t="n">
        <v>0</v>
      </c>
      <c r="R373" s="2" t="inlineStr"/>
    </row>
    <row r="374" ht="15" customHeight="1">
      <c r="A374" t="inlineStr">
        <is>
          <t>A 56907-2021</t>
        </is>
      </c>
      <c r="B374" s="1" t="n">
        <v>44481.93837962963</v>
      </c>
      <c r="C374" s="1" t="n">
        <v>45967</v>
      </c>
      <c r="D374" t="inlineStr">
        <is>
          <t>VÄSTERNORRLANDS LÄN</t>
        </is>
      </c>
      <c r="E374" t="inlineStr">
        <is>
          <t>ÅNGE</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12800-2021</t>
        </is>
      </c>
      <c r="B375" s="1" t="n">
        <v>44270.92056712963</v>
      </c>
      <c r="C375" s="1" t="n">
        <v>45967</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45967</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53010-2022</t>
        </is>
      </c>
      <c r="B377" s="1" t="n">
        <v>44875</v>
      </c>
      <c r="C377" s="1" t="n">
        <v>45967</v>
      </c>
      <c r="D377" t="inlineStr">
        <is>
          <t>VÄSTERNORRLANDS LÄN</t>
        </is>
      </c>
      <c r="E377" t="inlineStr">
        <is>
          <t>ÅNGE</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24232-2024</t>
        </is>
      </c>
      <c r="B378" s="1" t="n">
        <v>45457.34686342593</v>
      </c>
      <c r="C378" s="1" t="n">
        <v>45967</v>
      </c>
      <c r="D378" t="inlineStr">
        <is>
          <t>VÄSTERNORRLANDS LÄN</t>
        </is>
      </c>
      <c r="E378" t="inlineStr">
        <is>
          <t>ÅNGE</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46824-2021</t>
        </is>
      </c>
      <c r="B379" s="1" t="n">
        <v>44446.34271990741</v>
      </c>
      <c r="C379" s="1" t="n">
        <v>45967</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33783-2024</t>
        </is>
      </c>
      <c r="B380" s="1" t="n">
        <v>45520</v>
      </c>
      <c r="C380" s="1" t="n">
        <v>45967</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45128-2022</t>
        </is>
      </c>
      <c r="B381" s="1" t="n">
        <v>44844.3146412037</v>
      </c>
      <c r="C381" s="1" t="n">
        <v>45967</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26951-2024</t>
        </is>
      </c>
      <c r="B382" s="1" t="n">
        <v>45470.96991898148</v>
      </c>
      <c r="C382" s="1" t="n">
        <v>45967</v>
      </c>
      <c r="D382" t="inlineStr">
        <is>
          <t>VÄSTERNORRLANDS LÄN</t>
        </is>
      </c>
      <c r="E382" t="inlineStr">
        <is>
          <t>ÅNGE</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26952-2024</t>
        </is>
      </c>
      <c r="B383" s="1" t="n">
        <v>45470</v>
      </c>
      <c r="C383" s="1" t="n">
        <v>45967</v>
      </c>
      <c r="D383" t="inlineStr">
        <is>
          <t>VÄSTERNORRLANDS LÄN</t>
        </is>
      </c>
      <c r="E383" t="inlineStr">
        <is>
          <t>ÅNGE</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10087-2023</t>
        </is>
      </c>
      <c r="B384" s="1" t="n">
        <v>44985</v>
      </c>
      <c r="C384" s="1" t="n">
        <v>45967</v>
      </c>
      <c r="D384" t="inlineStr">
        <is>
          <t>VÄSTERNORRLANDS LÄN</t>
        </is>
      </c>
      <c r="E384" t="inlineStr">
        <is>
          <t>ÅNGE</t>
        </is>
      </c>
      <c r="F384" t="inlineStr">
        <is>
          <t>SCA</t>
        </is>
      </c>
      <c r="G384" t="n">
        <v>7.9</v>
      </c>
      <c r="H384" t="n">
        <v>0</v>
      </c>
      <c r="I384" t="n">
        <v>0</v>
      </c>
      <c r="J384" t="n">
        <v>0</v>
      </c>
      <c r="K384" t="n">
        <v>0</v>
      </c>
      <c r="L384" t="n">
        <v>0</v>
      </c>
      <c r="M384" t="n">
        <v>0</v>
      </c>
      <c r="N384" t="n">
        <v>0</v>
      </c>
      <c r="O384" t="n">
        <v>0</v>
      </c>
      <c r="P384" t="n">
        <v>0</v>
      </c>
      <c r="Q384" t="n">
        <v>0</v>
      </c>
      <c r="R384" s="2" t="inlineStr"/>
    </row>
    <row r="385" ht="15" customHeight="1">
      <c r="A385" t="inlineStr">
        <is>
          <t>A 27321-2024</t>
        </is>
      </c>
      <c r="B385" s="1" t="n">
        <v>45471</v>
      </c>
      <c r="C385" s="1" t="n">
        <v>45967</v>
      </c>
      <c r="D385" t="inlineStr">
        <is>
          <t>VÄSTERNORRLANDS LÄN</t>
        </is>
      </c>
      <c r="E385" t="inlineStr">
        <is>
          <t>ÅNGE</t>
        </is>
      </c>
      <c r="F385" t="inlineStr">
        <is>
          <t>SCA</t>
        </is>
      </c>
      <c r="G385" t="n">
        <v>14.1</v>
      </c>
      <c r="H385" t="n">
        <v>0</v>
      </c>
      <c r="I385" t="n">
        <v>0</v>
      </c>
      <c r="J385" t="n">
        <v>0</v>
      </c>
      <c r="K385" t="n">
        <v>0</v>
      </c>
      <c r="L385" t="n">
        <v>0</v>
      </c>
      <c r="M385" t="n">
        <v>0</v>
      </c>
      <c r="N385" t="n">
        <v>0</v>
      </c>
      <c r="O385" t="n">
        <v>0</v>
      </c>
      <c r="P385" t="n">
        <v>0</v>
      </c>
      <c r="Q385" t="n">
        <v>0</v>
      </c>
      <c r="R385" s="2" t="inlineStr"/>
    </row>
    <row r="386" ht="15" customHeight="1">
      <c r="A386" t="inlineStr">
        <is>
          <t>A 37382-2021</t>
        </is>
      </c>
      <c r="B386" s="1" t="n">
        <v>44397</v>
      </c>
      <c r="C386" s="1" t="n">
        <v>45967</v>
      </c>
      <c r="D386" t="inlineStr">
        <is>
          <t>VÄSTERNORRLANDS LÄN</t>
        </is>
      </c>
      <c r="E386" t="inlineStr">
        <is>
          <t>ÅNGE</t>
        </is>
      </c>
      <c r="G386" t="n">
        <v>2.4</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45967</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27682-2023</t>
        </is>
      </c>
      <c r="B388" s="1" t="n">
        <v>45097.93758101852</v>
      </c>
      <c r="C388" s="1" t="n">
        <v>45967</v>
      </c>
      <c r="D388" t="inlineStr">
        <is>
          <t>VÄSTERNORRLANDS LÄN</t>
        </is>
      </c>
      <c r="E388" t="inlineStr">
        <is>
          <t>ÅNGE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27668-2024</t>
        </is>
      </c>
      <c r="B389" s="1" t="n">
        <v>45474.95435185185</v>
      </c>
      <c r="C389" s="1" t="n">
        <v>45967</v>
      </c>
      <c r="D389" t="inlineStr">
        <is>
          <t>VÄSTERNORRLANDS LÄN</t>
        </is>
      </c>
      <c r="E389" t="inlineStr">
        <is>
          <t>ÅNGE</t>
        </is>
      </c>
      <c r="F389" t="inlineStr">
        <is>
          <t>SCA</t>
        </is>
      </c>
      <c r="G389" t="n">
        <v>5.5</v>
      </c>
      <c r="H389" t="n">
        <v>0</v>
      </c>
      <c r="I389" t="n">
        <v>0</v>
      </c>
      <c r="J389" t="n">
        <v>0</v>
      </c>
      <c r="K389" t="n">
        <v>0</v>
      </c>
      <c r="L389" t="n">
        <v>0</v>
      </c>
      <c r="M389" t="n">
        <v>0</v>
      </c>
      <c r="N389" t="n">
        <v>0</v>
      </c>
      <c r="O389" t="n">
        <v>0</v>
      </c>
      <c r="P389" t="n">
        <v>0</v>
      </c>
      <c r="Q389" t="n">
        <v>0</v>
      </c>
      <c r="R389" s="2" t="inlineStr"/>
    </row>
    <row r="390" ht="15" customHeight="1">
      <c r="A390" t="inlineStr">
        <is>
          <t>A 1116-2023</t>
        </is>
      </c>
      <c r="B390" s="1" t="n">
        <v>44929</v>
      </c>
      <c r="C390" s="1" t="n">
        <v>45967</v>
      </c>
      <c r="D390" t="inlineStr">
        <is>
          <t>VÄSTERNORRLANDS LÄN</t>
        </is>
      </c>
      <c r="E390" t="inlineStr">
        <is>
          <t>ÅNGE</t>
        </is>
      </c>
      <c r="G390" t="n">
        <v>17.2</v>
      </c>
      <c r="H390" t="n">
        <v>0</v>
      </c>
      <c r="I390" t="n">
        <v>0</v>
      </c>
      <c r="J390" t="n">
        <v>0</v>
      </c>
      <c r="K390" t="n">
        <v>0</v>
      </c>
      <c r="L390" t="n">
        <v>0</v>
      </c>
      <c r="M390" t="n">
        <v>0</v>
      </c>
      <c r="N390" t="n">
        <v>0</v>
      </c>
      <c r="O390" t="n">
        <v>0</v>
      </c>
      <c r="P390" t="n">
        <v>0</v>
      </c>
      <c r="Q390" t="n">
        <v>0</v>
      </c>
      <c r="R390" s="2" t="inlineStr"/>
    </row>
    <row r="391" ht="15" customHeight="1">
      <c r="A391" t="inlineStr">
        <is>
          <t>A 5552-2022</t>
        </is>
      </c>
      <c r="B391" s="1" t="n">
        <v>44595.62966435185</v>
      </c>
      <c r="C391" s="1" t="n">
        <v>45967</v>
      </c>
      <c r="D391" t="inlineStr">
        <is>
          <t>VÄSTERNORRLANDS LÄN</t>
        </is>
      </c>
      <c r="E391" t="inlineStr">
        <is>
          <t>ÅNGE</t>
        </is>
      </c>
      <c r="G391" t="n">
        <v>0.6</v>
      </c>
      <c r="H391" t="n">
        <v>0</v>
      </c>
      <c r="I391" t="n">
        <v>0</v>
      </c>
      <c r="J391" t="n">
        <v>0</v>
      </c>
      <c r="K391" t="n">
        <v>0</v>
      </c>
      <c r="L391" t="n">
        <v>0</v>
      </c>
      <c r="M391" t="n">
        <v>0</v>
      </c>
      <c r="N391" t="n">
        <v>0</v>
      </c>
      <c r="O391" t="n">
        <v>0</v>
      </c>
      <c r="P391" t="n">
        <v>0</v>
      </c>
      <c r="Q391" t="n">
        <v>0</v>
      </c>
      <c r="R391" s="2" t="inlineStr"/>
    </row>
    <row r="392" ht="15" customHeight="1">
      <c r="A392" t="inlineStr">
        <is>
          <t>A 35026-2022</t>
        </is>
      </c>
      <c r="B392" s="1" t="n">
        <v>44796</v>
      </c>
      <c r="C392" s="1" t="n">
        <v>45967</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32535-2022</t>
        </is>
      </c>
      <c r="B393" s="1" t="n">
        <v>44783.29856481482</v>
      </c>
      <c r="C393" s="1" t="n">
        <v>45967</v>
      </c>
      <c r="D393" t="inlineStr">
        <is>
          <t>VÄSTERNORRLANDS LÄN</t>
        </is>
      </c>
      <c r="E393" t="inlineStr">
        <is>
          <t>ÅNGE</t>
        </is>
      </c>
      <c r="G393" t="n">
        <v>10.3</v>
      </c>
      <c r="H393" t="n">
        <v>0</v>
      </c>
      <c r="I393" t="n">
        <v>0</v>
      </c>
      <c r="J393" t="n">
        <v>0</v>
      </c>
      <c r="K393" t="n">
        <v>0</v>
      </c>
      <c r="L393" t="n">
        <v>0</v>
      </c>
      <c r="M393" t="n">
        <v>0</v>
      </c>
      <c r="N393" t="n">
        <v>0</v>
      </c>
      <c r="O393" t="n">
        <v>0</v>
      </c>
      <c r="P393" t="n">
        <v>0</v>
      </c>
      <c r="Q393" t="n">
        <v>0</v>
      </c>
      <c r="R393" s="2" t="inlineStr"/>
    </row>
    <row r="394" ht="15" customHeight="1">
      <c r="A394" t="inlineStr">
        <is>
          <t>A 38795-2023</t>
        </is>
      </c>
      <c r="B394" s="1" t="n">
        <v>45162</v>
      </c>
      <c r="C394" s="1" t="n">
        <v>45967</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39594-2022</t>
        </is>
      </c>
      <c r="B395" s="1" t="n">
        <v>44818</v>
      </c>
      <c r="C395" s="1" t="n">
        <v>45967</v>
      </c>
      <c r="D395" t="inlineStr">
        <is>
          <t>VÄSTERNORRLANDS LÄN</t>
        </is>
      </c>
      <c r="E395" t="inlineStr">
        <is>
          <t>ÅNGE</t>
        </is>
      </c>
      <c r="G395" t="n">
        <v>1.4</v>
      </c>
      <c r="H395" t="n">
        <v>0</v>
      </c>
      <c r="I395" t="n">
        <v>0</v>
      </c>
      <c r="J395" t="n">
        <v>0</v>
      </c>
      <c r="K395" t="n">
        <v>0</v>
      </c>
      <c r="L395" t="n">
        <v>0</v>
      </c>
      <c r="M395" t="n">
        <v>0</v>
      </c>
      <c r="N395" t="n">
        <v>0</v>
      </c>
      <c r="O395" t="n">
        <v>0</v>
      </c>
      <c r="P395" t="n">
        <v>0</v>
      </c>
      <c r="Q395" t="n">
        <v>0</v>
      </c>
      <c r="R395" s="2" t="inlineStr"/>
    </row>
    <row r="396" ht="15" customHeight="1">
      <c r="A396" t="inlineStr">
        <is>
          <t>A 46053-2021</t>
        </is>
      </c>
      <c r="B396" s="1" t="n">
        <v>44441</v>
      </c>
      <c r="C396" s="1" t="n">
        <v>45967</v>
      </c>
      <c r="D396" t="inlineStr">
        <is>
          <t>VÄSTERNORRLANDS LÄN</t>
        </is>
      </c>
      <c r="E396" t="inlineStr">
        <is>
          <t>ÅNGE</t>
        </is>
      </c>
      <c r="F396" t="inlineStr">
        <is>
          <t>SCA</t>
        </is>
      </c>
      <c r="G396" t="n">
        <v>0.2</v>
      </c>
      <c r="H396" t="n">
        <v>0</v>
      </c>
      <c r="I396" t="n">
        <v>0</v>
      </c>
      <c r="J396" t="n">
        <v>0</v>
      </c>
      <c r="K396" t="n">
        <v>0</v>
      </c>
      <c r="L396" t="n">
        <v>0</v>
      </c>
      <c r="M396" t="n">
        <v>0</v>
      </c>
      <c r="N396" t="n">
        <v>0</v>
      </c>
      <c r="O396" t="n">
        <v>0</v>
      </c>
      <c r="P396" t="n">
        <v>0</v>
      </c>
      <c r="Q396" t="n">
        <v>0</v>
      </c>
      <c r="R396" s="2" t="inlineStr"/>
    </row>
    <row r="397" ht="15" customHeight="1">
      <c r="A397" t="inlineStr">
        <is>
          <t>A 10313-2022</t>
        </is>
      </c>
      <c r="B397" s="1" t="n">
        <v>44622</v>
      </c>
      <c r="C397" s="1" t="n">
        <v>45967</v>
      </c>
      <c r="D397" t="inlineStr">
        <is>
          <t>VÄSTERNORRLANDS LÄN</t>
        </is>
      </c>
      <c r="E397" t="inlineStr">
        <is>
          <t>ÅNGE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35979-2023</t>
        </is>
      </c>
      <c r="B398" s="1" t="n">
        <v>45148</v>
      </c>
      <c r="C398" s="1" t="n">
        <v>45967</v>
      </c>
      <c r="D398" t="inlineStr">
        <is>
          <t>VÄSTERNORRLANDS LÄN</t>
        </is>
      </c>
      <c r="E398" t="inlineStr">
        <is>
          <t>ÅNGE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35582-2024</t>
        </is>
      </c>
      <c r="B399" s="1" t="n">
        <v>45531.64800925926</v>
      </c>
      <c r="C399" s="1" t="n">
        <v>45967</v>
      </c>
      <c r="D399" t="inlineStr">
        <is>
          <t>VÄSTERNORRLANDS LÄN</t>
        </is>
      </c>
      <c r="E399" t="inlineStr">
        <is>
          <t>ÅNGE</t>
        </is>
      </c>
      <c r="G399" t="n">
        <v>4.1</v>
      </c>
      <c r="H399" t="n">
        <v>0</v>
      </c>
      <c r="I399" t="n">
        <v>0</v>
      </c>
      <c r="J399" t="n">
        <v>0</v>
      </c>
      <c r="K399" t="n">
        <v>0</v>
      </c>
      <c r="L399" t="n">
        <v>0</v>
      </c>
      <c r="M399" t="n">
        <v>0</v>
      </c>
      <c r="N399" t="n">
        <v>0</v>
      </c>
      <c r="O399" t="n">
        <v>0</v>
      </c>
      <c r="P399" t="n">
        <v>0</v>
      </c>
      <c r="Q399" t="n">
        <v>0</v>
      </c>
      <c r="R399" s="2" t="inlineStr"/>
    </row>
    <row r="400" ht="15" customHeight="1">
      <c r="A400" t="inlineStr">
        <is>
          <t>A 36466-2024</t>
        </is>
      </c>
      <c r="B400" s="1" t="n">
        <v>45537.35872685185</v>
      </c>
      <c r="C400" s="1" t="n">
        <v>45967</v>
      </c>
      <c r="D400" t="inlineStr">
        <is>
          <t>VÄSTERNORRLANDS LÄN</t>
        </is>
      </c>
      <c r="E400" t="inlineStr">
        <is>
          <t>ÅNGE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52785-2024</t>
        </is>
      </c>
      <c r="B401" s="1" t="n">
        <v>45610.55273148148</v>
      </c>
      <c r="C401" s="1" t="n">
        <v>45967</v>
      </c>
      <c r="D401" t="inlineStr">
        <is>
          <t>VÄSTERNORRLANDS LÄN</t>
        </is>
      </c>
      <c r="E401" t="inlineStr">
        <is>
          <t>ÅNGE</t>
        </is>
      </c>
      <c r="F401" t="inlineStr">
        <is>
          <t>SCA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52786-2024</t>
        </is>
      </c>
      <c r="B402" s="1" t="n">
        <v>45610.55283564814</v>
      </c>
      <c r="C402" s="1" t="n">
        <v>45967</v>
      </c>
      <c r="D402" t="inlineStr">
        <is>
          <t>VÄSTERNORRLANDS LÄN</t>
        </is>
      </c>
      <c r="E402" t="inlineStr">
        <is>
          <t>ÅNGE</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45145-2021</t>
        </is>
      </c>
      <c r="B403" s="1" t="n">
        <v>44439</v>
      </c>
      <c r="C403" s="1" t="n">
        <v>45967</v>
      </c>
      <c r="D403" t="inlineStr">
        <is>
          <t>VÄSTERNORRLANDS LÄN</t>
        </is>
      </c>
      <c r="E403" t="inlineStr">
        <is>
          <t>ÅNGE</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63216-2023</t>
        </is>
      </c>
      <c r="B404" s="1" t="n">
        <v>45273.62721064815</v>
      </c>
      <c r="C404" s="1" t="n">
        <v>45967</v>
      </c>
      <c r="D404" t="inlineStr">
        <is>
          <t>VÄSTERNORRLANDS LÄN</t>
        </is>
      </c>
      <c r="E404" t="inlineStr">
        <is>
          <t>ÅNGE</t>
        </is>
      </c>
      <c r="F404" t="inlineStr">
        <is>
          <t>Holmen skog AB</t>
        </is>
      </c>
      <c r="G404" t="n">
        <v>2.9</v>
      </c>
      <c r="H404" t="n">
        <v>0</v>
      </c>
      <c r="I404" t="n">
        <v>0</v>
      </c>
      <c r="J404" t="n">
        <v>0</v>
      </c>
      <c r="K404" t="n">
        <v>0</v>
      </c>
      <c r="L404" t="n">
        <v>0</v>
      </c>
      <c r="M404" t="n">
        <v>0</v>
      </c>
      <c r="N404" t="n">
        <v>0</v>
      </c>
      <c r="O404" t="n">
        <v>0</v>
      </c>
      <c r="P404" t="n">
        <v>0</v>
      </c>
      <c r="Q404" t="n">
        <v>0</v>
      </c>
      <c r="R404" s="2" t="inlineStr"/>
    </row>
    <row r="405" ht="15" customHeight="1">
      <c r="A405" t="inlineStr">
        <is>
          <t>A 48787-2024</t>
        </is>
      </c>
      <c r="B405" s="1" t="n">
        <v>45593.63888888889</v>
      </c>
      <c r="C405" s="1" t="n">
        <v>45967</v>
      </c>
      <c r="D405" t="inlineStr">
        <is>
          <t>VÄSTERNORRLANDS LÄN</t>
        </is>
      </c>
      <c r="E405" t="inlineStr">
        <is>
          <t>ÅNGE</t>
        </is>
      </c>
      <c r="G405" t="n">
        <v>1.7</v>
      </c>
      <c r="H405" t="n">
        <v>0</v>
      </c>
      <c r="I405" t="n">
        <v>0</v>
      </c>
      <c r="J405" t="n">
        <v>0</v>
      </c>
      <c r="K405" t="n">
        <v>0</v>
      </c>
      <c r="L405" t="n">
        <v>0</v>
      </c>
      <c r="M405" t="n">
        <v>0</v>
      </c>
      <c r="N405" t="n">
        <v>0</v>
      </c>
      <c r="O405" t="n">
        <v>0</v>
      </c>
      <c r="P405" t="n">
        <v>0</v>
      </c>
      <c r="Q405" t="n">
        <v>0</v>
      </c>
      <c r="R405" s="2" t="inlineStr"/>
    </row>
    <row r="406" ht="15" customHeight="1">
      <c r="A406" t="inlineStr">
        <is>
          <t>A 58939-2021</t>
        </is>
      </c>
      <c r="B406" s="1" t="n">
        <v>44489</v>
      </c>
      <c r="C406" s="1" t="n">
        <v>45967</v>
      </c>
      <c r="D406" t="inlineStr">
        <is>
          <t>VÄSTERNORRLANDS LÄN</t>
        </is>
      </c>
      <c r="E406" t="inlineStr">
        <is>
          <t>ÅNGE</t>
        </is>
      </c>
      <c r="G406" t="n">
        <v>2.5</v>
      </c>
      <c r="H406" t="n">
        <v>0</v>
      </c>
      <c r="I406" t="n">
        <v>0</v>
      </c>
      <c r="J406" t="n">
        <v>0</v>
      </c>
      <c r="K406" t="n">
        <v>0</v>
      </c>
      <c r="L406" t="n">
        <v>0</v>
      </c>
      <c r="M406" t="n">
        <v>0</v>
      </c>
      <c r="N406" t="n">
        <v>0</v>
      </c>
      <c r="O406" t="n">
        <v>0</v>
      </c>
      <c r="P406" t="n">
        <v>0</v>
      </c>
      <c r="Q406" t="n">
        <v>0</v>
      </c>
      <c r="R406" s="2" t="inlineStr"/>
    </row>
    <row r="407" ht="15" customHeight="1">
      <c r="A407" t="inlineStr">
        <is>
          <t>A 55197-2022</t>
        </is>
      </c>
      <c r="B407" s="1" t="n">
        <v>44886.93714120371</v>
      </c>
      <c r="C407" s="1" t="n">
        <v>45967</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50186-2021</t>
        </is>
      </c>
      <c r="B408" s="1" t="n">
        <v>44456</v>
      </c>
      <c r="C408" s="1" t="n">
        <v>45967</v>
      </c>
      <c r="D408" t="inlineStr">
        <is>
          <t>VÄSTERNORRLANDS LÄN</t>
        </is>
      </c>
      <c r="E408" t="inlineStr">
        <is>
          <t>ÅNGE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16978-2024</t>
        </is>
      </c>
      <c r="B409" s="1" t="n">
        <v>45412.02416666667</v>
      </c>
      <c r="C409" s="1" t="n">
        <v>45967</v>
      </c>
      <c r="D409" t="inlineStr">
        <is>
          <t>VÄSTERNORRLANDS LÄN</t>
        </is>
      </c>
      <c r="E409" t="inlineStr">
        <is>
          <t>ÅNGE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42969-2024</t>
        </is>
      </c>
      <c r="B410" s="1" t="n">
        <v>45567.37300925926</v>
      </c>
      <c r="C410" s="1" t="n">
        <v>45967</v>
      </c>
      <c r="D410" t="inlineStr">
        <is>
          <t>VÄSTERNORRLANDS LÄN</t>
        </is>
      </c>
      <c r="E410" t="inlineStr">
        <is>
          <t>ÅNGE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52683-2024</t>
        </is>
      </c>
      <c r="B411" s="1" t="n">
        <v>45610</v>
      </c>
      <c r="C411" s="1" t="n">
        <v>45967</v>
      </c>
      <c r="D411" t="inlineStr">
        <is>
          <t>VÄSTERNORRLANDS LÄN</t>
        </is>
      </c>
      <c r="E411" t="inlineStr">
        <is>
          <t>ÅNGE</t>
        </is>
      </c>
      <c r="G411" t="n">
        <v>1.8</v>
      </c>
      <c r="H411" t="n">
        <v>0</v>
      </c>
      <c r="I411" t="n">
        <v>0</v>
      </c>
      <c r="J411" t="n">
        <v>0</v>
      </c>
      <c r="K411" t="n">
        <v>0</v>
      </c>
      <c r="L411" t="n">
        <v>0</v>
      </c>
      <c r="M411" t="n">
        <v>0</v>
      </c>
      <c r="N411" t="n">
        <v>0</v>
      </c>
      <c r="O411" t="n">
        <v>0</v>
      </c>
      <c r="P411" t="n">
        <v>0</v>
      </c>
      <c r="Q411" t="n">
        <v>0</v>
      </c>
      <c r="R411" s="2" t="inlineStr"/>
    </row>
    <row r="412" ht="15" customHeight="1">
      <c r="A412" t="inlineStr">
        <is>
          <t>A 37558-2023</t>
        </is>
      </c>
      <c r="B412" s="1" t="n">
        <v>45159.34511574074</v>
      </c>
      <c r="C412" s="1" t="n">
        <v>45967</v>
      </c>
      <c r="D412" t="inlineStr">
        <is>
          <t>VÄSTERNORRLANDS LÄN</t>
        </is>
      </c>
      <c r="E412" t="inlineStr">
        <is>
          <t>ÅNGE</t>
        </is>
      </c>
      <c r="F412" t="inlineStr">
        <is>
          <t>Kyrkan</t>
        </is>
      </c>
      <c r="G412" t="n">
        <v>5.6</v>
      </c>
      <c r="H412" t="n">
        <v>0</v>
      </c>
      <c r="I412" t="n">
        <v>0</v>
      </c>
      <c r="J412" t="n">
        <v>0</v>
      </c>
      <c r="K412" t="n">
        <v>0</v>
      </c>
      <c r="L412" t="n">
        <v>0</v>
      </c>
      <c r="M412" t="n">
        <v>0</v>
      </c>
      <c r="N412" t="n">
        <v>0</v>
      </c>
      <c r="O412" t="n">
        <v>0</v>
      </c>
      <c r="P412" t="n">
        <v>0</v>
      </c>
      <c r="Q412" t="n">
        <v>0</v>
      </c>
      <c r="R412" s="2" t="inlineStr"/>
    </row>
    <row r="413" ht="15" customHeight="1">
      <c r="A413" t="inlineStr">
        <is>
          <t>A 34852-2023</t>
        </is>
      </c>
      <c r="B413" s="1" t="n">
        <v>45141</v>
      </c>
      <c r="C413" s="1" t="n">
        <v>45967</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53549-2023</t>
        </is>
      </c>
      <c r="B414" s="1" t="n">
        <v>45230</v>
      </c>
      <c r="C414" s="1" t="n">
        <v>45967</v>
      </c>
      <c r="D414" t="inlineStr">
        <is>
          <t>VÄSTERNORRLANDS LÄN</t>
        </is>
      </c>
      <c r="E414" t="inlineStr">
        <is>
          <t>ÅNGE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19798-2025</t>
        </is>
      </c>
      <c r="B415" s="1" t="n">
        <v>45771.44824074074</v>
      </c>
      <c r="C415" s="1" t="n">
        <v>45967</v>
      </c>
      <c r="D415" t="inlineStr">
        <is>
          <t>VÄSTERNORRLANDS LÄN</t>
        </is>
      </c>
      <c r="E415" t="inlineStr">
        <is>
          <t>ÅNGE</t>
        </is>
      </c>
      <c r="F415" t="inlineStr">
        <is>
          <t>SCA</t>
        </is>
      </c>
      <c r="G415" t="n">
        <v>4.8</v>
      </c>
      <c r="H415" t="n">
        <v>0</v>
      </c>
      <c r="I415" t="n">
        <v>0</v>
      </c>
      <c r="J415" t="n">
        <v>0</v>
      </c>
      <c r="K415" t="n">
        <v>0</v>
      </c>
      <c r="L415" t="n">
        <v>0</v>
      </c>
      <c r="M415" t="n">
        <v>0</v>
      </c>
      <c r="N415" t="n">
        <v>0</v>
      </c>
      <c r="O415" t="n">
        <v>0</v>
      </c>
      <c r="P415" t="n">
        <v>0</v>
      </c>
      <c r="Q415" t="n">
        <v>0</v>
      </c>
      <c r="R415" s="2" t="inlineStr"/>
    </row>
    <row r="416" ht="15" customHeight="1">
      <c r="A416" t="inlineStr">
        <is>
          <t>A 10558-2023</t>
        </is>
      </c>
      <c r="B416" s="1" t="n">
        <v>44987.94438657408</v>
      </c>
      <c r="C416" s="1" t="n">
        <v>45967</v>
      </c>
      <c r="D416" t="inlineStr">
        <is>
          <t>VÄSTERNORRLANDS LÄN</t>
        </is>
      </c>
      <c r="E416" t="inlineStr">
        <is>
          <t>ÅNGE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31325-2022</t>
        </is>
      </c>
      <c r="B417" s="1" t="n">
        <v>44774.41421296296</v>
      </c>
      <c r="C417" s="1" t="n">
        <v>45967</v>
      </c>
      <c r="D417" t="inlineStr">
        <is>
          <t>VÄSTERNORRLANDS LÄN</t>
        </is>
      </c>
      <c r="E417" t="inlineStr">
        <is>
          <t>ÅNGE</t>
        </is>
      </c>
      <c r="G417" t="n">
        <v>6.3</v>
      </c>
      <c r="H417" t="n">
        <v>0</v>
      </c>
      <c r="I417" t="n">
        <v>0</v>
      </c>
      <c r="J417" t="n">
        <v>0</v>
      </c>
      <c r="K417" t="n">
        <v>0</v>
      </c>
      <c r="L417" t="n">
        <v>0</v>
      </c>
      <c r="M417" t="n">
        <v>0</v>
      </c>
      <c r="N417" t="n">
        <v>0</v>
      </c>
      <c r="O417" t="n">
        <v>0</v>
      </c>
      <c r="P417" t="n">
        <v>0</v>
      </c>
      <c r="Q417" t="n">
        <v>0</v>
      </c>
      <c r="R417" s="2" t="inlineStr"/>
    </row>
    <row r="418" ht="15" customHeight="1">
      <c r="A418" t="inlineStr">
        <is>
          <t>A 31864-2024</t>
        </is>
      </c>
      <c r="B418" s="1" t="n">
        <v>45509.74791666667</v>
      </c>
      <c r="C418" s="1" t="n">
        <v>45967</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49532-2024</t>
        </is>
      </c>
      <c r="B419" s="1" t="n">
        <v>45596.41797453703</v>
      </c>
      <c r="C419" s="1" t="n">
        <v>45967</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40790-2023</t>
        </is>
      </c>
      <c r="B420" s="1" t="n">
        <v>45170.95814814815</v>
      </c>
      <c r="C420" s="1" t="n">
        <v>45967</v>
      </c>
      <c r="D420" t="inlineStr">
        <is>
          <t>VÄSTERNORRLANDS LÄN</t>
        </is>
      </c>
      <c r="E420" t="inlineStr">
        <is>
          <t>ÅNGE</t>
        </is>
      </c>
      <c r="F420" t="inlineStr">
        <is>
          <t>SCA</t>
        </is>
      </c>
      <c r="G420" t="n">
        <v>2.9</v>
      </c>
      <c r="H420" t="n">
        <v>0</v>
      </c>
      <c r="I420" t="n">
        <v>0</v>
      </c>
      <c r="J420" t="n">
        <v>0</v>
      </c>
      <c r="K420" t="n">
        <v>0</v>
      </c>
      <c r="L420" t="n">
        <v>0</v>
      </c>
      <c r="M420" t="n">
        <v>0</v>
      </c>
      <c r="N420" t="n">
        <v>0</v>
      </c>
      <c r="O420" t="n">
        <v>0</v>
      </c>
      <c r="P420" t="n">
        <v>0</v>
      </c>
      <c r="Q420" t="n">
        <v>0</v>
      </c>
      <c r="R420" s="2" t="inlineStr"/>
    </row>
    <row r="421" ht="15" customHeight="1">
      <c r="A421" t="inlineStr">
        <is>
          <t>A 49487-2024</t>
        </is>
      </c>
      <c r="B421" s="1" t="n">
        <v>45596.35813657408</v>
      </c>
      <c r="C421" s="1" t="n">
        <v>45967</v>
      </c>
      <c r="D421" t="inlineStr">
        <is>
          <t>VÄSTERNORRLANDS LÄN</t>
        </is>
      </c>
      <c r="E421" t="inlineStr">
        <is>
          <t>ÅNGE</t>
        </is>
      </c>
      <c r="G421" t="n">
        <v>4.3</v>
      </c>
      <c r="H421" t="n">
        <v>0</v>
      </c>
      <c r="I421" t="n">
        <v>0</v>
      </c>
      <c r="J421" t="n">
        <v>0</v>
      </c>
      <c r="K421" t="n">
        <v>0</v>
      </c>
      <c r="L421" t="n">
        <v>0</v>
      </c>
      <c r="M421" t="n">
        <v>0</v>
      </c>
      <c r="N421" t="n">
        <v>0</v>
      </c>
      <c r="O421" t="n">
        <v>0</v>
      </c>
      <c r="P421" t="n">
        <v>0</v>
      </c>
      <c r="Q421" t="n">
        <v>0</v>
      </c>
      <c r="R421" s="2" t="inlineStr"/>
    </row>
    <row r="422" ht="15" customHeight="1">
      <c r="A422" t="inlineStr">
        <is>
          <t>A 11310-2023</t>
        </is>
      </c>
      <c r="B422" s="1" t="n">
        <v>44993.01190972222</v>
      </c>
      <c r="C422" s="1" t="n">
        <v>45967</v>
      </c>
      <c r="D422" t="inlineStr">
        <is>
          <t>VÄSTERNORRLANDS LÄN</t>
        </is>
      </c>
      <c r="E422" t="inlineStr">
        <is>
          <t>ÅNGE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1090-2023</t>
        </is>
      </c>
      <c r="B423" s="1" t="n">
        <v>44929</v>
      </c>
      <c r="C423" s="1" t="n">
        <v>45967</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44606-2024</t>
        </is>
      </c>
      <c r="B424" s="1" t="n">
        <v>45574.51195601852</v>
      </c>
      <c r="C424" s="1" t="n">
        <v>45967</v>
      </c>
      <c r="D424" t="inlineStr">
        <is>
          <t>VÄSTERNORRLANDS LÄN</t>
        </is>
      </c>
      <c r="E424" t="inlineStr">
        <is>
          <t>ÅNGE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44626-2024</t>
        </is>
      </c>
      <c r="B425" s="1" t="n">
        <v>45574.51378472222</v>
      </c>
      <c r="C425" s="1" t="n">
        <v>45967</v>
      </c>
      <c r="D425" t="inlineStr">
        <is>
          <t>VÄSTERNORRLANDS LÄN</t>
        </is>
      </c>
      <c r="E425" t="inlineStr">
        <is>
          <t>ÅNGE</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71302-2021</t>
        </is>
      </c>
      <c r="B426" s="1" t="n">
        <v>44539.63871527778</v>
      </c>
      <c r="C426" s="1" t="n">
        <v>45967</v>
      </c>
      <c r="D426" t="inlineStr">
        <is>
          <t>VÄSTERNORRLANDS LÄN</t>
        </is>
      </c>
      <c r="E426" t="inlineStr">
        <is>
          <t>ÅNGE</t>
        </is>
      </c>
      <c r="G426" t="n">
        <v>0.5</v>
      </c>
      <c r="H426" t="n">
        <v>0</v>
      </c>
      <c r="I426" t="n">
        <v>0</v>
      </c>
      <c r="J426" t="n">
        <v>0</v>
      </c>
      <c r="K426" t="n">
        <v>0</v>
      </c>
      <c r="L426" t="n">
        <v>0</v>
      </c>
      <c r="M426" t="n">
        <v>0</v>
      </c>
      <c r="N426" t="n">
        <v>0</v>
      </c>
      <c r="O426" t="n">
        <v>0</v>
      </c>
      <c r="P426" t="n">
        <v>0</v>
      </c>
      <c r="Q426" t="n">
        <v>0</v>
      </c>
      <c r="R426" s="2" t="inlineStr"/>
    </row>
    <row r="427" ht="15" customHeight="1">
      <c r="A427" t="inlineStr">
        <is>
          <t>A 51810-2023</t>
        </is>
      </c>
      <c r="B427" s="1" t="n">
        <v>45222.96583333334</v>
      </c>
      <c r="C427" s="1" t="n">
        <v>45967</v>
      </c>
      <c r="D427" t="inlineStr">
        <is>
          <t>VÄSTERNORRLANDS LÄN</t>
        </is>
      </c>
      <c r="E427" t="inlineStr">
        <is>
          <t>ÅNGE</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61781-2023</t>
        </is>
      </c>
      <c r="B428" s="1" t="n">
        <v>45265.95708333333</v>
      </c>
      <c r="C428" s="1" t="n">
        <v>45967</v>
      </c>
      <c r="D428" t="inlineStr">
        <is>
          <t>VÄSTERNORRLANDS LÄN</t>
        </is>
      </c>
      <c r="E428" t="inlineStr">
        <is>
          <t>ÅNGE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25023-2022</t>
        </is>
      </c>
      <c r="B429" s="1" t="n">
        <v>44728</v>
      </c>
      <c r="C429" s="1" t="n">
        <v>45967</v>
      </c>
      <c r="D429" t="inlineStr">
        <is>
          <t>VÄSTERNORRLANDS LÄN</t>
        </is>
      </c>
      <c r="E429" t="inlineStr">
        <is>
          <t>ÅNGE</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35426-2024</t>
        </is>
      </c>
      <c r="B430" s="1" t="n">
        <v>45531</v>
      </c>
      <c r="C430" s="1" t="n">
        <v>45967</v>
      </c>
      <c r="D430" t="inlineStr">
        <is>
          <t>VÄSTERNORRLANDS LÄN</t>
        </is>
      </c>
      <c r="E430" t="inlineStr">
        <is>
          <t>ÅNGE</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49187-2024</t>
        </is>
      </c>
      <c r="B431" s="1" t="n">
        <v>45595.34490740741</v>
      </c>
      <c r="C431" s="1" t="n">
        <v>45967</v>
      </c>
      <c r="D431" t="inlineStr">
        <is>
          <t>VÄSTERNORRLANDS LÄN</t>
        </is>
      </c>
      <c r="E431" t="inlineStr">
        <is>
          <t>ÅNGE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31545-2024</t>
        </is>
      </c>
      <c r="B432" s="1" t="n">
        <v>45505</v>
      </c>
      <c r="C432" s="1" t="n">
        <v>45967</v>
      </c>
      <c r="D432" t="inlineStr">
        <is>
          <t>VÄSTERNORRLANDS LÄN</t>
        </is>
      </c>
      <c r="E432" t="inlineStr">
        <is>
          <t>ÅNGE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31696-2022</t>
        </is>
      </c>
      <c r="B433" s="1" t="n">
        <v>44776</v>
      </c>
      <c r="C433" s="1" t="n">
        <v>45967</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58634-2023</t>
        </is>
      </c>
      <c r="B434" s="1" t="n">
        <v>45251</v>
      </c>
      <c r="C434" s="1" t="n">
        <v>45967</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28873-2024</t>
        </is>
      </c>
      <c r="B435" s="1" t="n">
        <v>45478.94766203704</v>
      </c>
      <c r="C435" s="1" t="n">
        <v>45967</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27915-2024</t>
        </is>
      </c>
      <c r="B436" s="1" t="n">
        <v>45475</v>
      </c>
      <c r="C436" s="1" t="n">
        <v>45967</v>
      </c>
      <c r="D436" t="inlineStr">
        <is>
          <t>VÄSTERNORRLANDS LÄN</t>
        </is>
      </c>
      <c r="E436" t="inlineStr">
        <is>
          <t>ÅNGE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31563-2024</t>
        </is>
      </c>
      <c r="B437" s="1" t="n">
        <v>45505</v>
      </c>
      <c r="C437" s="1" t="n">
        <v>45967</v>
      </c>
      <c r="D437" t="inlineStr">
        <is>
          <t>VÄSTERNORRLANDS LÄN</t>
        </is>
      </c>
      <c r="E437" t="inlineStr">
        <is>
          <t>ÅNGE</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15369-2024</t>
        </is>
      </c>
      <c r="B438" s="1" t="n">
        <v>45400.92290509259</v>
      </c>
      <c r="C438" s="1" t="n">
        <v>45967</v>
      </c>
      <c r="D438" t="inlineStr">
        <is>
          <t>VÄSTERNORRLANDS LÄN</t>
        </is>
      </c>
      <c r="E438" t="inlineStr">
        <is>
          <t>ÅNGE</t>
        </is>
      </c>
      <c r="G438" t="n">
        <v>0.4</v>
      </c>
      <c r="H438" t="n">
        <v>0</v>
      </c>
      <c r="I438" t="n">
        <v>0</v>
      </c>
      <c r="J438" t="n">
        <v>0</v>
      </c>
      <c r="K438" t="n">
        <v>0</v>
      </c>
      <c r="L438" t="n">
        <v>0</v>
      </c>
      <c r="M438" t="n">
        <v>0</v>
      </c>
      <c r="N438" t="n">
        <v>0</v>
      </c>
      <c r="O438" t="n">
        <v>0</v>
      </c>
      <c r="P438" t="n">
        <v>0</v>
      </c>
      <c r="Q438" t="n">
        <v>0</v>
      </c>
      <c r="R438" s="2" t="inlineStr"/>
    </row>
    <row r="439" ht="15" customHeight="1">
      <c r="A439" t="inlineStr">
        <is>
          <t>A 1964-2022</t>
        </is>
      </c>
      <c r="B439" s="1" t="n">
        <v>44575.5050462963</v>
      </c>
      <c r="C439" s="1" t="n">
        <v>45967</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9605-2025</t>
        </is>
      </c>
      <c r="B440" s="1" t="n">
        <v>45715.65657407408</v>
      </c>
      <c r="C440" s="1" t="n">
        <v>45967</v>
      </c>
      <c r="D440" t="inlineStr">
        <is>
          <t>VÄSTERNORRLANDS LÄN</t>
        </is>
      </c>
      <c r="E440" t="inlineStr">
        <is>
          <t>ÅNGE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34705-2023</t>
        </is>
      </c>
      <c r="B441" s="1" t="n">
        <v>45140.96452546296</v>
      </c>
      <c r="C441" s="1" t="n">
        <v>45967</v>
      </c>
      <c r="D441" t="inlineStr">
        <is>
          <t>VÄSTERNORRLANDS LÄN</t>
        </is>
      </c>
      <c r="E441" t="inlineStr">
        <is>
          <t>ÅNGE</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34750-2023</t>
        </is>
      </c>
      <c r="B442" s="1" t="n">
        <v>45139</v>
      </c>
      <c r="C442" s="1" t="n">
        <v>45967</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69790-2021</t>
        </is>
      </c>
      <c r="B443" s="1" t="n">
        <v>44532.605625</v>
      </c>
      <c r="C443" s="1" t="n">
        <v>45967</v>
      </c>
      <c r="D443" t="inlineStr">
        <is>
          <t>VÄSTERNORRLANDS LÄN</t>
        </is>
      </c>
      <c r="E443" t="inlineStr">
        <is>
          <t>ÅNGE</t>
        </is>
      </c>
      <c r="G443" t="n">
        <v>1.9</v>
      </c>
      <c r="H443" t="n">
        <v>0</v>
      </c>
      <c r="I443" t="n">
        <v>0</v>
      </c>
      <c r="J443" t="n">
        <v>0</v>
      </c>
      <c r="K443" t="n">
        <v>0</v>
      </c>
      <c r="L443" t="n">
        <v>0</v>
      </c>
      <c r="M443" t="n">
        <v>0</v>
      </c>
      <c r="N443" t="n">
        <v>0</v>
      </c>
      <c r="O443" t="n">
        <v>0</v>
      </c>
      <c r="P443" t="n">
        <v>0</v>
      </c>
      <c r="Q443" t="n">
        <v>0</v>
      </c>
      <c r="R443" s="2" t="inlineStr"/>
    </row>
    <row r="444" ht="15" customHeight="1">
      <c r="A444" t="inlineStr">
        <is>
          <t>A 3330-2025</t>
        </is>
      </c>
      <c r="B444" s="1" t="n">
        <v>45679.70041666667</v>
      </c>
      <c r="C444" s="1" t="n">
        <v>45967</v>
      </c>
      <c r="D444" t="inlineStr">
        <is>
          <t>VÄSTERNORRLANDS LÄN</t>
        </is>
      </c>
      <c r="E444" t="inlineStr">
        <is>
          <t>ÅNGE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20108-2025</t>
        </is>
      </c>
      <c r="B445" s="1" t="n">
        <v>45772.47006944445</v>
      </c>
      <c r="C445" s="1" t="n">
        <v>45967</v>
      </c>
      <c r="D445" t="inlineStr">
        <is>
          <t>VÄSTERNORRLANDS LÄN</t>
        </is>
      </c>
      <c r="E445" t="inlineStr">
        <is>
          <t>ÅNGE</t>
        </is>
      </c>
      <c r="F445" t="inlineStr">
        <is>
          <t>Naturvårdsverket</t>
        </is>
      </c>
      <c r="G445" t="n">
        <v>2</v>
      </c>
      <c r="H445" t="n">
        <v>0</v>
      </c>
      <c r="I445" t="n">
        <v>0</v>
      </c>
      <c r="J445" t="n">
        <v>0</v>
      </c>
      <c r="K445" t="n">
        <v>0</v>
      </c>
      <c r="L445" t="n">
        <v>0</v>
      </c>
      <c r="M445" t="n">
        <v>0</v>
      </c>
      <c r="N445" t="n">
        <v>0</v>
      </c>
      <c r="O445" t="n">
        <v>0</v>
      </c>
      <c r="P445" t="n">
        <v>0</v>
      </c>
      <c r="Q445" t="n">
        <v>0</v>
      </c>
      <c r="R445" s="2" t="inlineStr"/>
    </row>
    <row r="446" ht="15" customHeight="1">
      <c r="A446" t="inlineStr">
        <is>
          <t>A 63522-2021</t>
        </is>
      </c>
      <c r="B446" s="1" t="n">
        <v>44508</v>
      </c>
      <c r="C446" s="1" t="n">
        <v>45967</v>
      </c>
      <c r="D446" t="inlineStr">
        <is>
          <t>VÄSTERNORRLANDS LÄN</t>
        </is>
      </c>
      <c r="E446" t="inlineStr">
        <is>
          <t>ÅNGE</t>
        </is>
      </c>
      <c r="F446" t="inlineStr">
        <is>
          <t>Övriga Aktiebolag</t>
        </is>
      </c>
      <c r="G446" t="n">
        <v>3.5</v>
      </c>
      <c r="H446" t="n">
        <v>0</v>
      </c>
      <c r="I446" t="n">
        <v>0</v>
      </c>
      <c r="J446" t="n">
        <v>0</v>
      </c>
      <c r="K446" t="n">
        <v>0</v>
      </c>
      <c r="L446" t="n">
        <v>0</v>
      </c>
      <c r="M446" t="n">
        <v>0</v>
      </c>
      <c r="N446" t="n">
        <v>0</v>
      </c>
      <c r="O446" t="n">
        <v>0</v>
      </c>
      <c r="P446" t="n">
        <v>0</v>
      </c>
      <c r="Q446" t="n">
        <v>0</v>
      </c>
      <c r="R446" s="2" t="inlineStr"/>
    </row>
    <row r="447" ht="15" customHeight="1">
      <c r="A447" t="inlineStr">
        <is>
          <t>A 6732-2022</t>
        </is>
      </c>
      <c r="B447" s="1" t="n">
        <v>44602.46072916667</v>
      </c>
      <c r="C447" s="1" t="n">
        <v>45967</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6610-2025</t>
        </is>
      </c>
      <c r="B448" s="1" t="n">
        <v>45700</v>
      </c>
      <c r="C448" s="1" t="n">
        <v>45967</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57287-2022</t>
        </is>
      </c>
      <c r="B449" s="1" t="n">
        <v>44895.95</v>
      </c>
      <c r="C449" s="1" t="n">
        <v>45967</v>
      </c>
      <c r="D449" t="inlineStr">
        <is>
          <t>VÄSTERNORRLANDS LÄN</t>
        </is>
      </c>
      <c r="E449" t="inlineStr">
        <is>
          <t>ÅNGE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57291-2022</t>
        </is>
      </c>
      <c r="B450" s="1" t="n">
        <v>44895</v>
      </c>
      <c r="C450" s="1" t="n">
        <v>45967</v>
      </c>
      <c r="D450" t="inlineStr">
        <is>
          <t>VÄSTERNORRLANDS LÄN</t>
        </is>
      </c>
      <c r="E450" t="inlineStr">
        <is>
          <t>ÅNGE</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6680-2024</t>
        </is>
      </c>
      <c r="B451" s="1" t="n">
        <v>45341</v>
      </c>
      <c r="C451" s="1" t="n">
        <v>45967</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6685-2024</t>
        </is>
      </c>
      <c r="B452" s="1" t="n">
        <v>45341</v>
      </c>
      <c r="C452" s="1" t="n">
        <v>45967</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6689-2024</t>
        </is>
      </c>
      <c r="B453" s="1" t="n">
        <v>45341.9259375</v>
      </c>
      <c r="C453" s="1" t="n">
        <v>45967</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16853-2023</t>
        </is>
      </c>
      <c r="B454" s="1" t="n">
        <v>45033</v>
      </c>
      <c r="C454" s="1" t="n">
        <v>45967</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35488-2024</t>
        </is>
      </c>
      <c r="B455" s="1" t="n">
        <v>45531</v>
      </c>
      <c r="C455" s="1" t="n">
        <v>45967</v>
      </c>
      <c r="D455" t="inlineStr">
        <is>
          <t>VÄSTERNORRLANDS LÄN</t>
        </is>
      </c>
      <c r="E455" t="inlineStr">
        <is>
          <t>ÅNGE</t>
        </is>
      </c>
      <c r="G455" t="n">
        <v>2.4</v>
      </c>
      <c r="H455" t="n">
        <v>0</v>
      </c>
      <c r="I455" t="n">
        <v>0</v>
      </c>
      <c r="J455" t="n">
        <v>0</v>
      </c>
      <c r="K455" t="n">
        <v>0</v>
      </c>
      <c r="L455" t="n">
        <v>0</v>
      </c>
      <c r="M455" t="n">
        <v>0</v>
      </c>
      <c r="N455" t="n">
        <v>0</v>
      </c>
      <c r="O455" t="n">
        <v>0</v>
      </c>
      <c r="P455" t="n">
        <v>0</v>
      </c>
      <c r="Q455" t="n">
        <v>0</v>
      </c>
      <c r="R455" s="2" t="inlineStr"/>
    </row>
    <row r="456" ht="15" customHeight="1">
      <c r="A456" t="inlineStr">
        <is>
          <t>A 35593-2024</t>
        </is>
      </c>
      <c r="B456" s="1" t="n">
        <v>45531</v>
      </c>
      <c r="C456" s="1" t="n">
        <v>45967</v>
      </c>
      <c r="D456" t="inlineStr">
        <is>
          <t>VÄSTERNORRLANDS LÄN</t>
        </is>
      </c>
      <c r="E456" t="inlineStr">
        <is>
          <t>ÅNGE</t>
        </is>
      </c>
      <c r="G456" t="n">
        <v>17.6</v>
      </c>
      <c r="H456" t="n">
        <v>0</v>
      </c>
      <c r="I456" t="n">
        <v>0</v>
      </c>
      <c r="J456" t="n">
        <v>0</v>
      </c>
      <c r="K456" t="n">
        <v>0</v>
      </c>
      <c r="L456" t="n">
        <v>0</v>
      </c>
      <c r="M456" t="n">
        <v>0</v>
      </c>
      <c r="N456" t="n">
        <v>0</v>
      </c>
      <c r="O456" t="n">
        <v>0</v>
      </c>
      <c r="P456" t="n">
        <v>0</v>
      </c>
      <c r="Q456" t="n">
        <v>0</v>
      </c>
      <c r="R456" s="2" t="inlineStr"/>
    </row>
    <row r="457" ht="15" customHeight="1">
      <c r="A457" t="inlineStr">
        <is>
          <t>A 27468-2024</t>
        </is>
      </c>
      <c r="B457" s="1" t="n">
        <v>45474</v>
      </c>
      <c r="C457" s="1" t="n">
        <v>45967</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63709-2023</t>
        </is>
      </c>
      <c r="B458" s="1" t="n">
        <v>45275.95069444444</v>
      </c>
      <c r="C458" s="1" t="n">
        <v>45967</v>
      </c>
      <c r="D458" t="inlineStr">
        <is>
          <t>VÄSTERNORRLANDS LÄN</t>
        </is>
      </c>
      <c r="E458" t="inlineStr">
        <is>
          <t>ÅNGE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30055-2024</t>
        </is>
      </c>
      <c r="B459" s="1" t="n">
        <v>45488.94767361111</v>
      </c>
      <c r="C459" s="1" t="n">
        <v>45967</v>
      </c>
      <c r="D459" t="inlineStr">
        <is>
          <t>VÄSTERNORRLANDS LÄN</t>
        </is>
      </c>
      <c r="E459" t="inlineStr">
        <is>
          <t>ÅNGE</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34091-2022</t>
        </is>
      </c>
      <c r="B460" s="1" t="n">
        <v>44791</v>
      </c>
      <c r="C460" s="1" t="n">
        <v>45967</v>
      </c>
      <c r="D460" t="inlineStr">
        <is>
          <t>VÄSTERNORRLANDS LÄN</t>
        </is>
      </c>
      <c r="E460" t="inlineStr">
        <is>
          <t>ÅNGE</t>
        </is>
      </c>
      <c r="G460" t="n">
        <v>10.1</v>
      </c>
      <c r="H460" t="n">
        <v>0</v>
      </c>
      <c r="I460" t="n">
        <v>0</v>
      </c>
      <c r="J460" t="n">
        <v>0</v>
      </c>
      <c r="K460" t="n">
        <v>0</v>
      </c>
      <c r="L460" t="n">
        <v>0</v>
      </c>
      <c r="M460" t="n">
        <v>0</v>
      </c>
      <c r="N460" t="n">
        <v>0</v>
      </c>
      <c r="O460" t="n">
        <v>0</v>
      </c>
      <c r="P460" t="n">
        <v>0</v>
      </c>
      <c r="Q460" t="n">
        <v>0</v>
      </c>
      <c r="R460" s="2" t="inlineStr"/>
    </row>
    <row r="461" ht="15" customHeight="1">
      <c r="A461" t="inlineStr">
        <is>
          <t>A 31229-2023</t>
        </is>
      </c>
      <c r="B461" s="1" t="n">
        <v>45114</v>
      </c>
      <c r="C461" s="1" t="n">
        <v>45967</v>
      </c>
      <c r="D461" t="inlineStr">
        <is>
          <t>VÄSTERNORRLANDS LÄN</t>
        </is>
      </c>
      <c r="E461" t="inlineStr">
        <is>
          <t>ÅNGE</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26011-2024</t>
        </is>
      </c>
      <c r="B462" s="1" t="n">
        <v>45467.95828703704</v>
      </c>
      <c r="C462" s="1" t="n">
        <v>45967</v>
      </c>
      <c r="D462" t="inlineStr">
        <is>
          <t>VÄSTERNORRLANDS LÄN</t>
        </is>
      </c>
      <c r="E462" t="inlineStr">
        <is>
          <t>ÅNGE</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26014-2024</t>
        </is>
      </c>
      <c r="B463" s="1" t="n">
        <v>45467.95862268518</v>
      </c>
      <c r="C463" s="1" t="n">
        <v>45967</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26019-2024</t>
        </is>
      </c>
      <c r="B464" s="1" t="n">
        <v>45467.96015046296</v>
      </c>
      <c r="C464" s="1" t="n">
        <v>45967</v>
      </c>
      <c r="D464" t="inlineStr">
        <is>
          <t>VÄSTERNORRLANDS LÄN</t>
        </is>
      </c>
      <c r="E464" t="inlineStr">
        <is>
          <t>ÅNGE</t>
        </is>
      </c>
      <c r="F464" t="inlineStr">
        <is>
          <t>SCA</t>
        </is>
      </c>
      <c r="G464" t="n">
        <v>7.5</v>
      </c>
      <c r="H464" t="n">
        <v>0</v>
      </c>
      <c r="I464" t="n">
        <v>0</v>
      </c>
      <c r="J464" t="n">
        <v>0</v>
      </c>
      <c r="K464" t="n">
        <v>0</v>
      </c>
      <c r="L464" t="n">
        <v>0</v>
      </c>
      <c r="M464" t="n">
        <v>0</v>
      </c>
      <c r="N464" t="n">
        <v>0</v>
      </c>
      <c r="O464" t="n">
        <v>0</v>
      </c>
      <c r="P464" t="n">
        <v>0</v>
      </c>
      <c r="Q464" t="n">
        <v>0</v>
      </c>
      <c r="R464" s="2" t="inlineStr"/>
    </row>
    <row r="465" ht="15" customHeight="1">
      <c r="A465" t="inlineStr">
        <is>
          <t>A 35577-2024</t>
        </is>
      </c>
      <c r="B465" s="1" t="n">
        <v>45531</v>
      </c>
      <c r="C465" s="1" t="n">
        <v>45967</v>
      </c>
      <c r="D465" t="inlineStr">
        <is>
          <t>VÄSTERNORRLANDS LÄN</t>
        </is>
      </c>
      <c r="E465" t="inlineStr">
        <is>
          <t>ÅNGE</t>
        </is>
      </c>
      <c r="F465" t="inlineStr">
        <is>
          <t>SCA</t>
        </is>
      </c>
      <c r="G465" t="n">
        <v>0.1</v>
      </c>
      <c r="H465" t="n">
        <v>0</v>
      </c>
      <c r="I465" t="n">
        <v>0</v>
      </c>
      <c r="J465" t="n">
        <v>0</v>
      </c>
      <c r="K465" t="n">
        <v>0</v>
      </c>
      <c r="L465" t="n">
        <v>0</v>
      </c>
      <c r="M465" t="n">
        <v>0</v>
      </c>
      <c r="N465" t="n">
        <v>0</v>
      </c>
      <c r="O465" t="n">
        <v>0</v>
      </c>
      <c r="P465" t="n">
        <v>0</v>
      </c>
      <c r="Q465" t="n">
        <v>0</v>
      </c>
      <c r="R465" s="2" t="inlineStr"/>
    </row>
    <row r="466" ht="15" customHeight="1">
      <c r="A466" t="inlineStr">
        <is>
          <t>A 35580-2024</t>
        </is>
      </c>
      <c r="B466" s="1" t="n">
        <v>45531</v>
      </c>
      <c r="C466" s="1" t="n">
        <v>45967</v>
      </c>
      <c r="D466" t="inlineStr">
        <is>
          <t>VÄSTERNORRLANDS LÄN</t>
        </is>
      </c>
      <c r="E466" t="inlineStr">
        <is>
          <t>ÅNGE</t>
        </is>
      </c>
      <c r="G466" t="n">
        <v>0.7</v>
      </c>
      <c r="H466" t="n">
        <v>0</v>
      </c>
      <c r="I466" t="n">
        <v>0</v>
      </c>
      <c r="J466" t="n">
        <v>0</v>
      </c>
      <c r="K466" t="n">
        <v>0</v>
      </c>
      <c r="L466" t="n">
        <v>0</v>
      </c>
      <c r="M466" t="n">
        <v>0</v>
      </c>
      <c r="N466" t="n">
        <v>0</v>
      </c>
      <c r="O466" t="n">
        <v>0</v>
      </c>
      <c r="P466" t="n">
        <v>0</v>
      </c>
      <c r="Q466" t="n">
        <v>0</v>
      </c>
      <c r="R466" s="2" t="inlineStr"/>
    </row>
    <row r="467" ht="15" customHeight="1">
      <c r="A467" t="inlineStr">
        <is>
          <t>A 54342-2023</t>
        </is>
      </c>
      <c r="B467" s="1" t="n">
        <v>45232</v>
      </c>
      <c r="C467" s="1" t="n">
        <v>45967</v>
      </c>
      <c r="D467" t="inlineStr">
        <is>
          <t>VÄSTERNORRLANDS LÄN</t>
        </is>
      </c>
      <c r="E467" t="inlineStr">
        <is>
          <t>ÅNGE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14889-2022</t>
        </is>
      </c>
      <c r="B468" s="1" t="n">
        <v>44656</v>
      </c>
      <c r="C468" s="1" t="n">
        <v>45967</v>
      </c>
      <c r="D468" t="inlineStr">
        <is>
          <t>VÄSTERNORRLANDS LÄN</t>
        </is>
      </c>
      <c r="E468" t="inlineStr">
        <is>
          <t>ÅNGE</t>
        </is>
      </c>
      <c r="G468" t="n">
        <v>14</v>
      </c>
      <c r="H468" t="n">
        <v>0</v>
      </c>
      <c r="I468" t="n">
        <v>0</v>
      </c>
      <c r="J468" t="n">
        <v>0</v>
      </c>
      <c r="K468" t="n">
        <v>0</v>
      </c>
      <c r="L468" t="n">
        <v>0</v>
      </c>
      <c r="M468" t="n">
        <v>0</v>
      </c>
      <c r="N468" t="n">
        <v>0</v>
      </c>
      <c r="O468" t="n">
        <v>0</v>
      </c>
      <c r="P468" t="n">
        <v>0</v>
      </c>
      <c r="Q468" t="n">
        <v>0</v>
      </c>
      <c r="R468" s="2" t="inlineStr"/>
    </row>
    <row r="469" ht="15" customHeight="1">
      <c r="A469" t="inlineStr">
        <is>
          <t>A 48690-2024</t>
        </is>
      </c>
      <c r="B469" s="1" t="n">
        <v>45593.50704861111</v>
      </c>
      <c r="C469" s="1" t="n">
        <v>45967</v>
      </c>
      <c r="D469" t="inlineStr">
        <is>
          <t>VÄSTERNORRLANDS LÄN</t>
        </is>
      </c>
      <c r="E469" t="inlineStr">
        <is>
          <t>ÅNGE</t>
        </is>
      </c>
      <c r="G469" t="n">
        <v>5</v>
      </c>
      <c r="H469" t="n">
        <v>0</v>
      </c>
      <c r="I469" t="n">
        <v>0</v>
      </c>
      <c r="J469" t="n">
        <v>0</v>
      </c>
      <c r="K469" t="n">
        <v>0</v>
      </c>
      <c r="L469" t="n">
        <v>0</v>
      </c>
      <c r="M469" t="n">
        <v>0</v>
      </c>
      <c r="N469" t="n">
        <v>0</v>
      </c>
      <c r="O469" t="n">
        <v>0</v>
      </c>
      <c r="P469" t="n">
        <v>0</v>
      </c>
      <c r="Q469" t="n">
        <v>0</v>
      </c>
      <c r="R469" s="2" t="inlineStr"/>
    </row>
    <row r="470" ht="15" customHeight="1">
      <c r="A470" t="inlineStr">
        <is>
          <t>A 46255-2023</t>
        </is>
      </c>
      <c r="B470" s="1" t="n">
        <v>45196</v>
      </c>
      <c r="C470" s="1" t="n">
        <v>45967</v>
      </c>
      <c r="D470" t="inlineStr">
        <is>
          <t>VÄSTERNORRLANDS LÄN</t>
        </is>
      </c>
      <c r="E470" t="inlineStr">
        <is>
          <t>ÅNGE</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60817-2024</t>
        </is>
      </c>
      <c r="B471" s="1" t="n">
        <v>45644</v>
      </c>
      <c r="C471" s="1" t="n">
        <v>45967</v>
      </c>
      <c r="D471" t="inlineStr">
        <is>
          <t>VÄSTERNORRLANDS LÄN</t>
        </is>
      </c>
      <c r="E471" t="inlineStr">
        <is>
          <t>ÅNGE</t>
        </is>
      </c>
      <c r="G471" t="n">
        <v>3.2</v>
      </c>
      <c r="H471" t="n">
        <v>0</v>
      </c>
      <c r="I471" t="n">
        <v>0</v>
      </c>
      <c r="J471" t="n">
        <v>0</v>
      </c>
      <c r="K471" t="n">
        <v>0</v>
      </c>
      <c r="L471" t="n">
        <v>0</v>
      </c>
      <c r="M471" t="n">
        <v>0</v>
      </c>
      <c r="N471" t="n">
        <v>0</v>
      </c>
      <c r="O471" t="n">
        <v>0</v>
      </c>
      <c r="P471" t="n">
        <v>0</v>
      </c>
      <c r="Q471" t="n">
        <v>0</v>
      </c>
      <c r="R471" s="2" t="inlineStr"/>
    </row>
    <row r="472" ht="15" customHeight="1">
      <c r="A472" t="inlineStr">
        <is>
          <t>A 23225-2024</t>
        </is>
      </c>
      <c r="B472" s="1" t="n">
        <v>45452.9490162037</v>
      </c>
      <c r="C472" s="1" t="n">
        <v>45967</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2365-2024</t>
        </is>
      </c>
      <c r="B473" s="1" t="n">
        <v>45310.59778935185</v>
      </c>
      <c r="C473" s="1" t="n">
        <v>45967</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2372-2024</t>
        </is>
      </c>
      <c r="B474" s="1" t="n">
        <v>45310.6115625</v>
      </c>
      <c r="C474" s="1" t="n">
        <v>45967</v>
      </c>
      <c r="D474" t="inlineStr">
        <is>
          <t>VÄSTERNORRLANDS LÄN</t>
        </is>
      </c>
      <c r="E474" t="inlineStr">
        <is>
          <t>ÅNGE</t>
        </is>
      </c>
      <c r="G474" t="n">
        <v>5.6</v>
      </c>
      <c r="H474" t="n">
        <v>0</v>
      </c>
      <c r="I474" t="n">
        <v>0</v>
      </c>
      <c r="J474" t="n">
        <v>0</v>
      </c>
      <c r="K474" t="n">
        <v>0</v>
      </c>
      <c r="L474" t="n">
        <v>0</v>
      </c>
      <c r="M474" t="n">
        <v>0</v>
      </c>
      <c r="N474" t="n">
        <v>0</v>
      </c>
      <c r="O474" t="n">
        <v>0</v>
      </c>
      <c r="P474" t="n">
        <v>0</v>
      </c>
      <c r="Q474" t="n">
        <v>0</v>
      </c>
      <c r="R474" s="2" t="inlineStr"/>
    </row>
    <row r="475" ht="15" customHeight="1">
      <c r="A475" t="inlineStr">
        <is>
          <t>A 17452-2025</t>
        </is>
      </c>
      <c r="B475" s="1" t="n">
        <v>45757.44842592593</v>
      </c>
      <c r="C475" s="1" t="n">
        <v>45967</v>
      </c>
      <c r="D475" t="inlineStr">
        <is>
          <t>VÄSTERNORRLANDS LÄN</t>
        </is>
      </c>
      <c r="E475" t="inlineStr">
        <is>
          <t>ÅNGE</t>
        </is>
      </c>
      <c r="F475" t="inlineStr">
        <is>
          <t>SCA</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19342-2024</t>
        </is>
      </c>
      <c r="B476" s="1" t="n">
        <v>45428</v>
      </c>
      <c r="C476" s="1" t="n">
        <v>45967</v>
      </c>
      <c r="D476" t="inlineStr">
        <is>
          <t>VÄSTERNORRLANDS LÄN</t>
        </is>
      </c>
      <c r="E476" t="inlineStr">
        <is>
          <t>ÅNGE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44412-2022</t>
        </is>
      </c>
      <c r="B477" s="1" t="n">
        <v>44839.92626157407</v>
      </c>
      <c r="C477" s="1" t="n">
        <v>45967</v>
      </c>
      <c r="D477" t="inlineStr">
        <is>
          <t>VÄSTERNORRLANDS LÄN</t>
        </is>
      </c>
      <c r="E477" t="inlineStr">
        <is>
          <t>ÅNGE</t>
        </is>
      </c>
      <c r="G477" t="n">
        <v>1.6</v>
      </c>
      <c r="H477" t="n">
        <v>0</v>
      </c>
      <c r="I477" t="n">
        <v>0</v>
      </c>
      <c r="J477" t="n">
        <v>0</v>
      </c>
      <c r="K477" t="n">
        <v>0</v>
      </c>
      <c r="L477" t="n">
        <v>0</v>
      </c>
      <c r="M477" t="n">
        <v>0</v>
      </c>
      <c r="N477" t="n">
        <v>0</v>
      </c>
      <c r="O477" t="n">
        <v>0</v>
      </c>
      <c r="P477" t="n">
        <v>0</v>
      </c>
      <c r="Q477" t="n">
        <v>0</v>
      </c>
      <c r="R477" s="2" t="inlineStr"/>
    </row>
    <row r="478" ht="15" customHeight="1">
      <c r="A478" t="inlineStr">
        <is>
          <t>A 6263-2022</t>
        </is>
      </c>
      <c r="B478" s="1" t="n">
        <v>44600</v>
      </c>
      <c r="C478" s="1" t="n">
        <v>45967</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33305-2024</t>
        </is>
      </c>
      <c r="B479" s="1" t="n">
        <v>45518</v>
      </c>
      <c r="C479" s="1" t="n">
        <v>45967</v>
      </c>
      <c r="D479" t="inlineStr">
        <is>
          <t>VÄSTERNORRLANDS LÄN</t>
        </is>
      </c>
      <c r="E479" t="inlineStr">
        <is>
          <t>ÅNGE</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33306-2024</t>
        </is>
      </c>
      <c r="B480" s="1" t="n">
        <v>45518</v>
      </c>
      <c r="C480" s="1" t="n">
        <v>45967</v>
      </c>
      <c r="D480" t="inlineStr">
        <is>
          <t>VÄSTERNORRLANDS LÄN</t>
        </is>
      </c>
      <c r="E480" t="inlineStr">
        <is>
          <t>ÅNGE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27953-2021</t>
        </is>
      </c>
      <c r="B481" s="1" t="n">
        <v>44354.9209375</v>
      </c>
      <c r="C481" s="1" t="n">
        <v>45967</v>
      </c>
      <c r="D481" t="inlineStr">
        <is>
          <t>VÄSTERNORRLANDS LÄN</t>
        </is>
      </c>
      <c r="E481" t="inlineStr">
        <is>
          <t>ÅNGE</t>
        </is>
      </c>
      <c r="G481" t="n">
        <v>2.9</v>
      </c>
      <c r="H481" t="n">
        <v>0</v>
      </c>
      <c r="I481" t="n">
        <v>0</v>
      </c>
      <c r="J481" t="n">
        <v>0</v>
      </c>
      <c r="K481" t="n">
        <v>0</v>
      </c>
      <c r="L481" t="n">
        <v>0</v>
      </c>
      <c r="M481" t="n">
        <v>0</v>
      </c>
      <c r="N481" t="n">
        <v>0</v>
      </c>
      <c r="O481" t="n">
        <v>0</v>
      </c>
      <c r="P481" t="n">
        <v>0</v>
      </c>
      <c r="Q481" t="n">
        <v>0</v>
      </c>
      <c r="R481" s="2" t="inlineStr"/>
    </row>
    <row r="482" ht="15" customHeight="1">
      <c r="A482" t="inlineStr">
        <is>
          <t>A 7535-2023</t>
        </is>
      </c>
      <c r="B482" s="1" t="n">
        <v>44971</v>
      </c>
      <c r="C482" s="1" t="n">
        <v>45967</v>
      </c>
      <c r="D482" t="inlineStr">
        <is>
          <t>VÄSTERNORRLANDS LÄN</t>
        </is>
      </c>
      <c r="E482" t="inlineStr">
        <is>
          <t>ÅNGE</t>
        </is>
      </c>
      <c r="F482" t="inlineStr">
        <is>
          <t>SCA</t>
        </is>
      </c>
      <c r="G482" t="n">
        <v>14.6</v>
      </c>
      <c r="H482" t="n">
        <v>0</v>
      </c>
      <c r="I482" t="n">
        <v>0</v>
      </c>
      <c r="J482" t="n">
        <v>0</v>
      </c>
      <c r="K482" t="n">
        <v>0</v>
      </c>
      <c r="L482" t="n">
        <v>0</v>
      </c>
      <c r="M482" t="n">
        <v>0</v>
      </c>
      <c r="N482" t="n">
        <v>0</v>
      </c>
      <c r="O482" t="n">
        <v>0</v>
      </c>
      <c r="P482" t="n">
        <v>0</v>
      </c>
      <c r="Q482" t="n">
        <v>0</v>
      </c>
      <c r="R482" s="2" t="inlineStr"/>
    </row>
    <row r="483" ht="15" customHeight="1">
      <c r="A483" t="inlineStr">
        <is>
          <t>A 30365-2021</t>
        </is>
      </c>
      <c r="B483" s="1" t="n">
        <v>44364.45164351852</v>
      </c>
      <c r="C483" s="1" t="n">
        <v>45967</v>
      </c>
      <c r="D483" t="inlineStr">
        <is>
          <t>VÄSTERNORRLANDS LÄN</t>
        </is>
      </c>
      <c r="E483" t="inlineStr">
        <is>
          <t>ÅNGE</t>
        </is>
      </c>
      <c r="G483" t="n">
        <v>3.9</v>
      </c>
      <c r="H483" t="n">
        <v>0</v>
      </c>
      <c r="I483" t="n">
        <v>0</v>
      </c>
      <c r="J483" t="n">
        <v>0</v>
      </c>
      <c r="K483" t="n">
        <v>0</v>
      </c>
      <c r="L483" t="n">
        <v>0</v>
      </c>
      <c r="M483" t="n">
        <v>0</v>
      </c>
      <c r="N483" t="n">
        <v>0</v>
      </c>
      <c r="O483" t="n">
        <v>0</v>
      </c>
      <c r="P483" t="n">
        <v>0</v>
      </c>
      <c r="Q483" t="n">
        <v>0</v>
      </c>
      <c r="R483" s="2" t="inlineStr"/>
    </row>
    <row r="484" ht="15" customHeight="1">
      <c r="A484" t="inlineStr">
        <is>
          <t>A 17044-2022</t>
        </is>
      </c>
      <c r="B484" s="1" t="n">
        <v>44676</v>
      </c>
      <c r="C484" s="1" t="n">
        <v>45967</v>
      </c>
      <c r="D484" t="inlineStr">
        <is>
          <t>VÄSTERNORRLANDS LÄN</t>
        </is>
      </c>
      <c r="E484" t="inlineStr">
        <is>
          <t>ÅNGE</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37038-2024</t>
        </is>
      </c>
      <c r="B485" s="1" t="n">
        <v>45539.40881944444</v>
      </c>
      <c r="C485" s="1" t="n">
        <v>45967</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25035-2023</t>
        </is>
      </c>
      <c r="B486" s="1" t="n">
        <v>45085</v>
      </c>
      <c r="C486" s="1" t="n">
        <v>45967</v>
      </c>
      <c r="D486" t="inlineStr">
        <is>
          <t>VÄSTERNORRLANDS LÄN</t>
        </is>
      </c>
      <c r="E486" t="inlineStr">
        <is>
          <t>ÅNGE</t>
        </is>
      </c>
      <c r="G486" t="n">
        <v>0.3</v>
      </c>
      <c r="H486" t="n">
        <v>0</v>
      </c>
      <c r="I486" t="n">
        <v>0</v>
      </c>
      <c r="J486" t="n">
        <v>0</v>
      </c>
      <c r="K486" t="n">
        <v>0</v>
      </c>
      <c r="L486" t="n">
        <v>0</v>
      </c>
      <c r="M486" t="n">
        <v>0</v>
      </c>
      <c r="N486" t="n">
        <v>0</v>
      </c>
      <c r="O486" t="n">
        <v>0</v>
      </c>
      <c r="P486" t="n">
        <v>0</v>
      </c>
      <c r="Q486" t="n">
        <v>0</v>
      </c>
      <c r="R486" s="2" t="inlineStr"/>
    </row>
    <row r="487" ht="15" customHeight="1">
      <c r="A487" t="inlineStr">
        <is>
          <t>A 50640-2022</t>
        </is>
      </c>
      <c r="B487" s="1" t="n">
        <v>44866.94734953704</v>
      </c>
      <c r="C487" s="1" t="n">
        <v>45967</v>
      </c>
      <c r="D487" t="inlineStr">
        <is>
          <t>VÄSTERNORRLANDS LÄN</t>
        </is>
      </c>
      <c r="E487" t="inlineStr">
        <is>
          <t>ÅNGE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42529-2024</t>
        </is>
      </c>
      <c r="B488" s="1" t="n">
        <v>45565.57324074074</v>
      </c>
      <c r="C488" s="1" t="n">
        <v>45967</v>
      </c>
      <c r="D488" t="inlineStr">
        <is>
          <t>VÄSTERNORRLANDS LÄN</t>
        </is>
      </c>
      <c r="E488" t="inlineStr">
        <is>
          <t>ÅNGE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40755-2023</t>
        </is>
      </c>
      <c r="B489" s="1" t="n">
        <v>45170</v>
      </c>
      <c r="C489" s="1" t="n">
        <v>45967</v>
      </c>
      <c r="D489" t="inlineStr">
        <is>
          <t>VÄSTERNORRLANDS LÄN</t>
        </is>
      </c>
      <c r="E489" t="inlineStr">
        <is>
          <t>ÅNGE</t>
        </is>
      </c>
      <c r="G489" t="n">
        <v>3.6</v>
      </c>
      <c r="H489" t="n">
        <v>0</v>
      </c>
      <c r="I489" t="n">
        <v>0</v>
      </c>
      <c r="J489" t="n">
        <v>0</v>
      </c>
      <c r="K489" t="n">
        <v>0</v>
      </c>
      <c r="L489" t="n">
        <v>0</v>
      </c>
      <c r="M489" t="n">
        <v>0</v>
      </c>
      <c r="N489" t="n">
        <v>0</v>
      </c>
      <c r="O489" t="n">
        <v>0</v>
      </c>
      <c r="P489" t="n">
        <v>0</v>
      </c>
      <c r="Q489" t="n">
        <v>0</v>
      </c>
      <c r="R489" s="2" t="inlineStr"/>
    </row>
    <row r="490" ht="15" customHeight="1">
      <c r="A490" t="inlineStr">
        <is>
          <t>A 41284-2024</t>
        </is>
      </c>
      <c r="B490" s="1" t="n">
        <v>45559.59520833333</v>
      </c>
      <c r="C490" s="1" t="n">
        <v>45967</v>
      </c>
      <c r="D490" t="inlineStr">
        <is>
          <t>VÄSTERNORRLANDS LÄN</t>
        </is>
      </c>
      <c r="E490" t="inlineStr">
        <is>
          <t>ÅNGE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3966-2025</t>
        </is>
      </c>
      <c r="B491" s="1" t="n">
        <v>45684.51072916666</v>
      </c>
      <c r="C491" s="1" t="n">
        <v>45967</v>
      </c>
      <c r="D491" t="inlineStr">
        <is>
          <t>VÄSTERNORRLANDS LÄN</t>
        </is>
      </c>
      <c r="E491" t="inlineStr">
        <is>
          <t>ÅNGE</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32901-2023</t>
        </is>
      </c>
      <c r="B492" s="1" t="n">
        <v>45124.95063657407</v>
      </c>
      <c r="C492" s="1" t="n">
        <v>45967</v>
      </c>
      <c r="D492" t="inlineStr">
        <is>
          <t>VÄSTERNORRLANDS LÄN</t>
        </is>
      </c>
      <c r="E492" t="inlineStr">
        <is>
          <t>ÅNGE</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16903-2024</t>
        </is>
      </c>
      <c r="B493" s="1" t="n">
        <v>45411.63106481481</v>
      </c>
      <c r="C493" s="1" t="n">
        <v>45967</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16915-2024</t>
        </is>
      </c>
      <c r="B494" s="1" t="n">
        <v>45411.65185185185</v>
      </c>
      <c r="C494" s="1" t="n">
        <v>45967</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5613-2024</t>
        </is>
      </c>
      <c r="B495" s="1" t="n">
        <v>45334</v>
      </c>
      <c r="C495" s="1" t="n">
        <v>45967</v>
      </c>
      <c r="D495" t="inlineStr">
        <is>
          <t>VÄSTERNORRLANDS LÄN</t>
        </is>
      </c>
      <c r="E495" t="inlineStr">
        <is>
          <t>ÅNGE</t>
        </is>
      </c>
      <c r="G495" t="n">
        <v>0.4</v>
      </c>
      <c r="H495" t="n">
        <v>0</v>
      </c>
      <c r="I495" t="n">
        <v>0</v>
      </c>
      <c r="J495" t="n">
        <v>0</v>
      </c>
      <c r="K495" t="n">
        <v>0</v>
      </c>
      <c r="L495" t="n">
        <v>0</v>
      </c>
      <c r="M495" t="n">
        <v>0</v>
      </c>
      <c r="N495" t="n">
        <v>0</v>
      </c>
      <c r="O495" t="n">
        <v>0</v>
      </c>
      <c r="P495" t="n">
        <v>0</v>
      </c>
      <c r="Q495" t="n">
        <v>0</v>
      </c>
      <c r="R495" s="2" t="inlineStr"/>
    </row>
    <row r="496" ht="15" customHeight="1">
      <c r="A496" t="inlineStr">
        <is>
          <t>A 21200-2024</t>
        </is>
      </c>
      <c r="B496" s="1" t="n">
        <v>45440</v>
      </c>
      <c r="C496" s="1" t="n">
        <v>45967</v>
      </c>
      <c r="D496" t="inlineStr">
        <is>
          <t>VÄSTERNORRLANDS LÄN</t>
        </is>
      </c>
      <c r="E496" t="inlineStr">
        <is>
          <t>ÅNGE</t>
        </is>
      </c>
      <c r="G496" t="n">
        <v>1.1</v>
      </c>
      <c r="H496" t="n">
        <v>0</v>
      </c>
      <c r="I496" t="n">
        <v>0</v>
      </c>
      <c r="J496" t="n">
        <v>0</v>
      </c>
      <c r="K496" t="n">
        <v>0</v>
      </c>
      <c r="L496" t="n">
        <v>0</v>
      </c>
      <c r="M496" t="n">
        <v>0</v>
      </c>
      <c r="N496" t="n">
        <v>0</v>
      </c>
      <c r="O496" t="n">
        <v>0</v>
      </c>
      <c r="P496" t="n">
        <v>0</v>
      </c>
      <c r="Q496" t="n">
        <v>0</v>
      </c>
      <c r="R496" s="2" t="inlineStr"/>
    </row>
    <row r="497" ht="15" customHeight="1">
      <c r="A497" t="inlineStr">
        <is>
          <t>A 51383-2022</t>
        </is>
      </c>
      <c r="B497" s="1" t="n">
        <v>44866</v>
      </c>
      <c r="C497" s="1" t="n">
        <v>45967</v>
      </c>
      <c r="D497" t="inlineStr">
        <is>
          <t>VÄSTERNORRLANDS LÄN</t>
        </is>
      </c>
      <c r="E497" t="inlineStr">
        <is>
          <t>ÅNGE</t>
        </is>
      </c>
      <c r="G497" t="n">
        <v>1.5</v>
      </c>
      <c r="H497" t="n">
        <v>0</v>
      </c>
      <c r="I497" t="n">
        <v>0</v>
      </c>
      <c r="J497" t="n">
        <v>0</v>
      </c>
      <c r="K497" t="n">
        <v>0</v>
      </c>
      <c r="L497" t="n">
        <v>0</v>
      </c>
      <c r="M497" t="n">
        <v>0</v>
      </c>
      <c r="N497" t="n">
        <v>0</v>
      </c>
      <c r="O497" t="n">
        <v>0</v>
      </c>
      <c r="P497" t="n">
        <v>0</v>
      </c>
      <c r="Q497" t="n">
        <v>0</v>
      </c>
      <c r="R497" s="2" t="inlineStr"/>
    </row>
    <row r="498" ht="15" customHeight="1">
      <c r="A498" t="inlineStr">
        <is>
          <t>A 51393-2022</t>
        </is>
      </c>
      <c r="B498" s="1" t="n">
        <v>44869.43277777778</v>
      </c>
      <c r="C498" s="1" t="n">
        <v>45967</v>
      </c>
      <c r="D498" t="inlineStr">
        <is>
          <t>VÄSTERNORRLANDS LÄN</t>
        </is>
      </c>
      <c r="E498" t="inlineStr">
        <is>
          <t>ÅNGE</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54456-2024</t>
        </is>
      </c>
      <c r="B499" s="1" t="n">
        <v>45617.53160879629</v>
      </c>
      <c r="C499" s="1" t="n">
        <v>45967</v>
      </c>
      <c r="D499" t="inlineStr">
        <is>
          <t>VÄSTERNORRLANDS LÄN</t>
        </is>
      </c>
      <c r="E499" t="inlineStr">
        <is>
          <t>ÅNGE</t>
        </is>
      </c>
      <c r="F499" t="inlineStr">
        <is>
          <t>SCA</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25311-2023</t>
        </is>
      </c>
      <c r="B500" s="1" t="n">
        <v>45086.93869212963</v>
      </c>
      <c r="C500" s="1" t="n">
        <v>45967</v>
      </c>
      <c r="D500" t="inlineStr">
        <is>
          <t>VÄSTERNORRLANDS LÄN</t>
        </is>
      </c>
      <c r="E500" t="inlineStr">
        <is>
          <t>ÅNGE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20761-2024</t>
        </is>
      </c>
      <c r="B501" s="1" t="n">
        <v>45436</v>
      </c>
      <c r="C501" s="1" t="n">
        <v>45967</v>
      </c>
      <c r="D501" t="inlineStr">
        <is>
          <t>VÄSTERNORRLANDS LÄN</t>
        </is>
      </c>
      <c r="E501" t="inlineStr">
        <is>
          <t>ÅNGE</t>
        </is>
      </c>
      <c r="G501" t="n">
        <v>1.1</v>
      </c>
      <c r="H501" t="n">
        <v>0</v>
      </c>
      <c r="I501" t="n">
        <v>0</v>
      </c>
      <c r="J501" t="n">
        <v>0</v>
      </c>
      <c r="K501" t="n">
        <v>0</v>
      </c>
      <c r="L501" t="n">
        <v>0</v>
      </c>
      <c r="M501" t="n">
        <v>0</v>
      </c>
      <c r="N501" t="n">
        <v>0</v>
      </c>
      <c r="O501" t="n">
        <v>0</v>
      </c>
      <c r="P501" t="n">
        <v>0</v>
      </c>
      <c r="Q501" t="n">
        <v>0</v>
      </c>
      <c r="R501" s="2" t="inlineStr"/>
    </row>
    <row r="502" ht="15" customHeight="1">
      <c r="A502" t="inlineStr">
        <is>
          <t>A 42857-2022</t>
        </is>
      </c>
      <c r="B502" s="1" t="n">
        <v>44832</v>
      </c>
      <c r="C502" s="1" t="n">
        <v>45967</v>
      </c>
      <c r="D502" t="inlineStr">
        <is>
          <t>VÄSTERNORRLANDS LÄN</t>
        </is>
      </c>
      <c r="E502" t="inlineStr">
        <is>
          <t>ÅNGE</t>
        </is>
      </c>
      <c r="G502" t="n">
        <v>3.4</v>
      </c>
      <c r="H502" t="n">
        <v>0</v>
      </c>
      <c r="I502" t="n">
        <v>0</v>
      </c>
      <c r="J502" t="n">
        <v>0</v>
      </c>
      <c r="K502" t="n">
        <v>0</v>
      </c>
      <c r="L502" t="n">
        <v>0</v>
      </c>
      <c r="M502" t="n">
        <v>0</v>
      </c>
      <c r="N502" t="n">
        <v>0</v>
      </c>
      <c r="O502" t="n">
        <v>0</v>
      </c>
      <c r="P502" t="n">
        <v>0</v>
      </c>
      <c r="Q502" t="n">
        <v>0</v>
      </c>
      <c r="R502" s="2" t="inlineStr"/>
    </row>
    <row r="503" ht="15" customHeight="1">
      <c r="A503" t="inlineStr">
        <is>
          <t>A 4904-2024</t>
        </is>
      </c>
      <c r="B503" s="1" t="n">
        <v>45329.47856481482</v>
      </c>
      <c r="C503" s="1" t="n">
        <v>45967</v>
      </c>
      <c r="D503" t="inlineStr">
        <is>
          <t>VÄSTERNORRLANDS LÄN</t>
        </is>
      </c>
      <c r="E503" t="inlineStr">
        <is>
          <t>ÅNGE</t>
        </is>
      </c>
      <c r="G503" t="n">
        <v>3.5</v>
      </c>
      <c r="H503" t="n">
        <v>0</v>
      </c>
      <c r="I503" t="n">
        <v>0</v>
      </c>
      <c r="J503" t="n">
        <v>0</v>
      </c>
      <c r="K503" t="n">
        <v>0</v>
      </c>
      <c r="L503" t="n">
        <v>0</v>
      </c>
      <c r="M503" t="n">
        <v>0</v>
      </c>
      <c r="N503" t="n">
        <v>0</v>
      </c>
      <c r="O503" t="n">
        <v>0</v>
      </c>
      <c r="P503" t="n">
        <v>0</v>
      </c>
      <c r="Q503" t="n">
        <v>0</v>
      </c>
      <c r="R503" s="2" t="inlineStr"/>
    </row>
    <row r="504" ht="15" customHeight="1">
      <c r="A504" t="inlineStr">
        <is>
          <t>A 59626-2022</t>
        </is>
      </c>
      <c r="B504" s="1" t="n">
        <v>44907.92354166666</v>
      </c>
      <c r="C504" s="1" t="n">
        <v>45967</v>
      </c>
      <c r="D504" t="inlineStr">
        <is>
          <t>VÄSTERNORRLANDS LÄN</t>
        </is>
      </c>
      <c r="E504" t="inlineStr">
        <is>
          <t>ÅNGE</t>
        </is>
      </c>
      <c r="G504" t="n">
        <v>1.4</v>
      </c>
      <c r="H504" t="n">
        <v>0</v>
      </c>
      <c r="I504" t="n">
        <v>0</v>
      </c>
      <c r="J504" t="n">
        <v>0</v>
      </c>
      <c r="K504" t="n">
        <v>0</v>
      </c>
      <c r="L504" t="n">
        <v>0</v>
      </c>
      <c r="M504" t="n">
        <v>0</v>
      </c>
      <c r="N504" t="n">
        <v>0</v>
      </c>
      <c r="O504" t="n">
        <v>0</v>
      </c>
      <c r="P504" t="n">
        <v>0</v>
      </c>
      <c r="Q504" t="n">
        <v>0</v>
      </c>
      <c r="R504" s="2" t="inlineStr"/>
    </row>
    <row r="505" ht="15" customHeight="1">
      <c r="A505" t="inlineStr">
        <is>
          <t>A 29462-2024</t>
        </is>
      </c>
      <c r="B505" s="1" t="n">
        <v>45483.96979166667</v>
      </c>
      <c r="C505" s="1" t="n">
        <v>45967</v>
      </c>
      <c r="D505" t="inlineStr">
        <is>
          <t>VÄSTERNORRLANDS LÄN</t>
        </is>
      </c>
      <c r="E505" t="inlineStr">
        <is>
          <t>ÅNGE</t>
        </is>
      </c>
      <c r="F505" t="inlineStr">
        <is>
          <t>SCA</t>
        </is>
      </c>
      <c r="G505" t="n">
        <v>8.4</v>
      </c>
      <c r="H505" t="n">
        <v>0</v>
      </c>
      <c r="I505" t="n">
        <v>0</v>
      </c>
      <c r="J505" t="n">
        <v>0</v>
      </c>
      <c r="K505" t="n">
        <v>0</v>
      </c>
      <c r="L505" t="n">
        <v>0</v>
      </c>
      <c r="M505" t="n">
        <v>0</v>
      </c>
      <c r="N505" t="n">
        <v>0</v>
      </c>
      <c r="O505" t="n">
        <v>0</v>
      </c>
      <c r="P505" t="n">
        <v>0</v>
      </c>
      <c r="Q505" t="n">
        <v>0</v>
      </c>
      <c r="R505" s="2" t="inlineStr"/>
    </row>
    <row r="506" ht="15" customHeight="1">
      <c r="A506" t="inlineStr">
        <is>
          <t>A 44178-2023</t>
        </is>
      </c>
      <c r="B506" s="1" t="n">
        <v>45183</v>
      </c>
      <c r="C506" s="1" t="n">
        <v>45967</v>
      </c>
      <c r="D506" t="inlineStr">
        <is>
          <t>VÄSTERNORRLANDS LÄN</t>
        </is>
      </c>
      <c r="E506" t="inlineStr">
        <is>
          <t>ÅNGE</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15287-2025</t>
        </is>
      </c>
      <c r="B507" s="1" t="n">
        <v>45745</v>
      </c>
      <c r="C507" s="1" t="n">
        <v>45967</v>
      </c>
      <c r="D507" t="inlineStr">
        <is>
          <t>VÄSTERNORRLANDS LÄN</t>
        </is>
      </c>
      <c r="E507" t="inlineStr">
        <is>
          <t>ÅNGE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15288-2025</t>
        </is>
      </c>
      <c r="B508" s="1" t="n">
        <v>45745.34423611111</v>
      </c>
      <c r="C508" s="1" t="n">
        <v>45967</v>
      </c>
      <c r="D508" t="inlineStr">
        <is>
          <t>VÄSTERNORRLANDS LÄN</t>
        </is>
      </c>
      <c r="E508" t="inlineStr">
        <is>
          <t>ÅNGE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3249-2024</t>
        </is>
      </c>
      <c r="B509" s="1" t="n">
        <v>45316</v>
      </c>
      <c r="C509" s="1" t="n">
        <v>45967</v>
      </c>
      <c r="D509" t="inlineStr">
        <is>
          <t>VÄSTERNORRLANDS LÄN</t>
        </is>
      </c>
      <c r="E509" t="inlineStr">
        <is>
          <t>ÅNGE</t>
        </is>
      </c>
      <c r="G509" t="n">
        <v>0.3</v>
      </c>
      <c r="H509" t="n">
        <v>0</v>
      </c>
      <c r="I509" t="n">
        <v>0</v>
      </c>
      <c r="J509" t="n">
        <v>0</v>
      </c>
      <c r="K509" t="n">
        <v>0</v>
      </c>
      <c r="L509" t="n">
        <v>0</v>
      </c>
      <c r="M509" t="n">
        <v>0</v>
      </c>
      <c r="N509" t="n">
        <v>0</v>
      </c>
      <c r="O509" t="n">
        <v>0</v>
      </c>
      <c r="P509" t="n">
        <v>0</v>
      </c>
      <c r="Q509" t="n">
        <v>0</v>
      </c>
      <c r="R509" s="2" t="inlineStr"/>
    </row>
    <row r="510" ht="15" customHeight="1">
      <c r="A510" t="inlineStr">
        <is>
          <t>A 8648-2025</t>
        </is>
      </c>
      <c r="B510" s="1" t="n">
        <v>45712.34501157407</v>
      </c>
      <c r="C510" s="1" t="n">
        <v>45967</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27952-2024</t>
        </is>
      </c>
      <c r="B511" s="1" t="n">
        <v>45476.33063657407</v>
      </c>
      <c r="C511" s="1" t="n">
        <v>45967</v>
      </c>
      <c r="D511" t="inlineStr">
        <is>
          <t>VÄSTERNORRLANDS LÄN</t>
        </is>
      </c>
      <c r="E511" t="inlineStr">
        <is>
          <t>ÅNGE</t>
        </is>
      </c>
      <c r="G511" t="n">
        <v>12.2</v>
      </c>
      <c r="H511" t="n">
        <v>0</v>
      </c>
      <c r="I511" t="n">
        <v>0</v>
      </c>
      <c r="J511" t="n">
        <v>0</v>
      </c>
      <c r="K511" t="n">
        <v>0</v>
      </c>
      <c r="L511" t="n">
        <v>0</v>
      </c>
      <c r="M511" t="n">
        <v>0</v>
      </c>
      <c r="N511" t="n">
        <v>0</v>
      </c>
      <c r="O511" t="n">
        <v>0</v>
      </c>
      <c r="P511" t="n">
        <v>0</v>
      </c>
      <c r="Q511" t="n">
        <v>0</v>
      </c>
      <c r="R511" s="2" t="inlineStr"/>
    </row>
    <row r="512" ht="15" customHeight="1">
      <c r="A512" t="inlineStr">
        <is>
          <t>A 32439-2024</t>
        </is>
      </c>
      <c r="B512" s="1" t="n">
        <v>45512</v>
      </c>
      <c r="C512" s="1" t="n">
        <v>45967</v>
      </c>
      <c r="D512" t="inlineStr">
        <is>
          <t>VÄSTERNORRLANDS LÄN</t>
        </is>
      </c>
      <c r="E512" t="inlineStr">
        <is>
          <t>ÅNGE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54316-2024</t>
        </is>
      </c>
      <c r="B513" s="1" t="n">
        <v>45617.34443287037</v>
      </c>
      <c r="C513" s="1" t="n">
        <v>45967</v>
      </c>
      <c r="D513" t="inlineStr">
        <is>
          <t>VÄSTERNORRLANDS LÄN</t>
        </is>
      </c>
      <c r="E513" t="inlineStr">
        <is>
          <t>ÅNGE</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60363-2024</t>
        </is>
      </c>
      <c r="B514" s="1" t="n">
        <v>45643</v>
      </c>
      <c r="C514" s="1" t="n">
        <v>45967</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51070-2024</t>
        </is>
      </c>
      <c r="B515" s="1" t="n">
        <v>45603</v>
      </c>
      <c r="C515" s="1" t="n">
        <v>45967</v>
      </c>
      <c r="D515" t="inlineStr">
        <is>
          <t>VÄSTERNORRLANDS LÄN</t>
        </is>
      </c>
      <c r="E515" t="inlineStr">
        <is>
          <t>ÅNGE</t>
        </is>
      </c>
      <c r="G515" t="n">
        <v>11.1</v>
      </c>
      <c r="H515" t="n">
        <v>0</v>
      </c>
      <c r="I515" t="n">
        <v>0</v>
      </c>
      <c r="J515" t="n">
        <v>0</v>
      </c>
      <c r="K515" t="n">
        <v>0</v>
      </c>
      <c r="L515" t="n">
        <v>0</v>
      </c>
      <c r="M515" t="n">
        <v>0</v>
      </c>
      <c r="N515" t="n">
        <v>0</v>
      </c>
      <c r="O515" t="n">
        <v>0</v>
      </c>
      <c r="P515" t="n">
        <v>0</v>
      </c>
      <c r="Q515" t="n">
        <v>0</v>
      </c>
      <c r="R515" s="2" t="inlineStr"/>
    </row>
    <row r="516" ht="15" customHeight="1">
      <c r="A516" t="inlineStr">
        <is>
          <t>A 60514-2024</t>
        </is>
      </c>
      <c r="B516" s="1" t="n">
        <v>45643.67474537037</v>
      </c>
      <c r="C516" s="1" t="n">
        <v>45967</v>
      </c>
      <c r="D516" t="inlineStr">
        <is>
          <t>VÄSTERNORRLANDS LÄN</t>
        </is>
      </c>
      <c r="E516" t="inlineStr">
        <is>
          <t>ÅNGE</t>
        </is>
      </c>
      <c r="G516" t="n">
        <v>2.4</v>
      </c>
      <c r="H516" t="n">
        <v>0</v>
      </c>
      <c r="I516" t="n">
        <v>0</v>
      </c>
      <c r="J516" t="n">
        <v>0</v>
      </c>
      <c r="K516" t="n">
        <v>0</v>
      </c>
      <c r="L516" t="n">
        <v>0</v>
      </c>
      <c r="M516" t="n">
        <v>0</v>
      </c>
      <c r="N516" t="n">
        <v>0</v>
      </c>
      <c r="O516" t="n">
        <v>0</v>
      </c>
      <c r="P516" t="n">
        <v>0</v>
      </c>
      <c r="Q516" t="n">
        <v>0</v>
      </c>
      <c r="R516" s="2" t="inlineStr"/>
    </row>
    <row r="517" ht="15" customHeight="1">
      <c r="A517" t="inlineStr">
        <is>
          <t>A 9759-2024</t>
        </is>
      </c>
      <c r="B517" s="1" t="n">
        <v>45362</v>
      </c>
      <c r="C517" s="1" t="n">
        <v>45967</v>
      </c>
      <c r="D517" t="inlineStr">
        <is>
          <t>VÄSTERNORRLANDS LÄN</t>
        </is>
      </c>
      <c r="E517" t="inlineStr">
        <is>
          <t>ÅNGE</t>
        </is>
      </c>
      <c r="G517" t="n">
        <v>2.5</v>
      </c>
      <c r="H517" t="n">
        <v>0</v>
      </c>
      <c r="I517" t="n">
        <v>0</v>
      </c>
      <c r="J517" t="n">
        <v>0</v>
      </c>
      <c r="K517" t="n">
        <v>0</v>
      </c>
      <c r="L517" t="n">
        <v>0</v>
      </c>
      <c r="M517" t="n">
        <v>0</v>
      </c>
      <c r="N517" t="n">
        <v>0</v>
      </c>
      <c r="O517" t="n">
        <v>0</v>
      </c>
      <c r="P517" t="n">
        <v>0</v>
      </c>
      <c r="Q517" t="n">
        <v>0</v>
      </c>
      <c r="R517" s="2" t="inlineStr"/>
    </row>
    <row r="518" ht="15" customHeight="1">
      <c r="A518" t="inlineStr">
        <is>
          <t>A 58997-2023</t>
        </is>
      </c>
      <c r="B518" s="1" t="n">
        <v>45252.6352662037</v>
      </c>
      <c r="C518" s="1" t="n">
        <v>45967</v>
      </c>
      <c r="D518" t="inlineStr">
        <is>
          <t>VÄSTERNORRLANDS LÄN</t>
        </is>
      </c>
      <c r="E518" t="inlineStr">
        <is>
          <t>ÅNGE</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52665-2024</t>
        </is>
      </c>
      <c r="B519" s="1" t="n">
        <v>45610.36549768518</v>
      </c>
      <c r="C519" s="1" t="n">
        <v>45967</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47792-2022</t>
        </is>
      </c>
      <c r="B520" s="1" t="n">
        <v>44854.95238425926</v>
      </c>
      <c r="C520" s="1" t="n">
        <v>45967</v>
      </c>
      <c r="D520" t="inlineStr">
        <is>
          <t>VÄSTERNORRLANDS LÄN</t>
        </is>
      </c>
      <c r="E520" t="inlineStr">
        <is>
          <t>ÅNGE</t>
        </is>
      </c>
      <c r="F520" t="inlineStr">
        <is>
          <t>SCA</t>
        </is>
      </c>
      <c r="G520" t="n">
        <v>10.9</v>
      </c>
      <c r="H520" t="n">
        <v>0</v>
      </c>
      <c r="I520" t="n">
        <v>0</v>
      </c>
      <c r="J520" t="n">
        <v>0</v>
      </c>
      <c r="K520" t="n">
        <v>0</v>
      </c>
      <c r="L520" t="n">
        <v>0</v>
      </c>
      <c r="M520" t="n">
        <v>0</v>
      </c>
      <c r="N520" t="n">
        <v>0</v>
      </c>
      <c r="O520" t="n">
        <v>0</v>
      </c>
      <c r="P520" t="n">
        <v>0</v>
      </c>
      <c r="Q520" t="n">
        <v>0</v>
      </c>
      <c r="R520" s="2" t="inlineStr"/>
    </row>
    <row r="521" ht="15" customHeight="1">
      <c r="A521" t="inlineStr">
        <is>
          <t>A 18869-2024</t>
        </is>
      </c>
      <c r="B521" s="1" t="n">
        <v>45426</v>
      </c>
      <c r="C521" s="1" t="n">
        <v>45967</v>
      </c>
      <c r="D521" t="inlineStr">
        <is>
          <t>VÄSTERNORRLANDS LÄN</t>
        </is>
      </c>
      <c r="E521" t="inlineStr">
        <is>
          <t>ÅNGE</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24797-2024</t>
        </is>
      </c>
      <c r="B522" s="1" t="n">
        <v>45460.95269675926</v>
      </c>
      <c r="C522" s="1" t="n">
        <v>45967</v>
      </c>
      <c r="D522" t="inlineStr">
        <is>
          <t>VÄSTERNORRLANDS LÄN</t>
        </is>
      </c>
      <c r="E522" t="inlineStr">
        <is>
          <t>ÅNGE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42953-2024</t>
        </is>
      </c>
      <c r="B523" s="1" t="n">
        <v>45567</v>
      </c>
      <c r="C523" s="1" t="n">
        <v>45967</v>
      </c>
      <c r="D523" t="inlineStr">
        <is>
          <t>VÄSTERNORRLANDS LÄN</t>
        </is>
      </c>
      <c r="E523" t="inlineStr">
        <is>
          <t>ÅNGE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42968-2024</t>
        </is>
      </c>
      <c r="B524" s="1" t="n">
        <v>45567</v>
      </c>
      <c r="C524" s="1" t="n">
        <v>45967</v>
      </c>
      <c r="D524" t="inlineStr">
        <is>
          <t>VÄSTERNORRLANDS LÄN</t>
        </is>
      </c>
      <c r="E524" t="inlineStr">
        <is>
          <t>ÅNGE</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41831-2021</t>
        </is>
      </c>
      <c r="B525" s="1" t="n">
        <v>44425.92212962963</v>
      </c>
      <c r="C525" s="1" t="n">
        <v>45967</v>
      </c>
      <c r="D525" t="inlineStr">
        <is>
          <t>VÄSTERNORRLANDS LÄN</t>
        </is>
      </c>
      <c r="E525" t="inlineStr">
        <is>
          <t>ÅNGE</t>
        </is>
      </c>
      <c r="G525" t="n">
        <v>1</v>
      </c>
      <c r="H525" t="n">
        <v>0</v>
      </c>
      <c r="I525" t="n">
        <v>0</v>
      </c>
      <c r="J525" t="n">
        <v>0</v>
      </c>
      <c r="K525" t="n">
        <v>0</v>
      </c>
      <c r="L525" t="n">
        <v>0</v>
      </c>
      <c r="M525" t="n">
        <v>0</v>
      </c>
      <c r="N525" t="n">
        <v>0</v>
      </c>
      <c r="O525" t="n">
        <v>0</v>
      </c>
      <c r="P525" t="n">
        <v>0</v>
      </c>
      <c r="Q525" t="n">
        <v>0</v>
      </c>
      <c r="R525" s="2" t="inlineStr"/>
    </row>
    <row r="526" ht="15" customHeight="1">
      <c r="A526" t="inlineStr">
        <is>
          <t>A 22680-2024</t>
        </is>
      </c>
      <c r="B526" s="1" t="n">
        <v>45447.94548611111</v>
      </c>
      <c r="C526" s="1" t="n">
        <v>45967</v>
      </c>
      <c r="D526" t="inlineStr">
        <is>
          <t>VÄSTERNORRLANDS LÄN</t>
        </is>
      </c>
      <c r="E526" t="inlineStr">
        <is>
          <t>ÅNGE</t>
        </is>
      </c>
      <c r="G526" t="n">
        <v>0.7</v>
      </c>
      <c r="H526" t="n">
        <v>0</v>
      </c>
      <c r="I526" t="n">
        <v>0</v>
      </c>
      <c r="J526" t="n">
        <v>0</v>
      </c>
      <c r="K526" t="n">
        <v>0</v>
      </c>
      <c r="L526" t="n">
        <v>0</v>
      </c>
      <c r="M526" t="n">
        <v>0</v>
      </c>
      <c r="N526" t="n">
        <v>0</v>
      </c>
      <c r="O526" t="n">
        <v>0</v>
      </c>
      <c r="P526" t="n">
        <v>0</v>
      </c>
      <c r="Q526" t="n">
        <v>0</v>
      </c>
      <c r="R526" s="2" t="inlineStr"/>
    </row>
    <row r="527" ht="15" customHeight="1">
      <c r="A527" t="inlineStr">
        <is>
          <t>A 57815-2024</t>
        </is>
      </c>
      <c r="B527" s="1" t="n">
        <v>45631.37068287037</v>
      </c>
      <c r="C527" s="1" t="n">
        <v>45967</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23035-2024</t>
        </is>
      </c>
      <c r="B528" s="1" t="n">
        <v>45450.39016203704</v>
      </c>
      <c r="C528" s="1" t="n">
        <v>45967</v>
      </c>
      <c r="D528" t="inlineStr">
        <is>
          <t>VÄSTERNORRLANDS LÄN</t>
        </is>
      </c>
      <c r="E528" t="inlineStr">
        <is>
          <t>ÅNGE</t>
        </is>
      </c>
      <c r="G528" t="n">
        <v>12.1</v>
      </c>
      <c r="H528" t="n">
        <v>0</v>
      </c>
      <c r="I528" t="n">
        <v>0</v>
      </c>
      <c r="J528" t="n">
        <v>0</v>
      </c>
      <c r="K528" t="n">
        <v>0</v>
      </c>
      <c r="L528" t="n">
        <v>0</v>
      </c>
      <c r="M528" t="n">
        <v>0</v>
      </c>
      <c r="N528" t="n">
        <v>0</v>
      </c>
      <c r="O528" t="n">
        <v>0</v>
      </c>
      <c r="P528" t="n">
        <v>0</v>
      </c>
      <c r="Q528" t="n">
        <v>0</v>
      </c>
      <c r="R528" s="2" t="inlineStr"/>
    </row>
    <row r="529" ht="15" customHeight="1">
      <c r="A529" t="inlineStr">
        <is>
          <t>A 6691-2024</t>
        </is>
      </c>
      <c r="B529" s="1" t="n">
        <v>45341</v>
      </c>
      <c r="C529" s="1" t="n">
        <v>45967</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23063-2024</t>
        </is>
      </c>
      <c r="B530" s="1" t="n">
        <v>45450.44278935185</v>
      </c>
      <c r="C530" s="1" t="n">
        <v>45967</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12123-2024</t>
        </is>
      </c>
      <c r="B531" s="1" t="n">
        <v>45377</v>
      </c>
      <c r="C531" s="1" t="n">
        <v>45967</v>
      </c>
      <c r="D531" t="inlineStr">
        <is>
          <t>VÄSTERNORRLANDS LÄN</t>
        </is>
      </c>
      <c r="E531" t="inlineStr">
        <is>
          <t>ÅNGE</t>
        </is>
      </c>
      <c r="G531" t="n">
        <v>2.2</v>
      </c>
      <c r="H531" t="n">
        <v>0</v>
      </c>
      <c r="I531" t="n">
        <v>0</v>
      </c>
      <c r="J531" t="n">
        <v>0</v>
      </c>
      <c r="K531" t="n">
        <v>0</v>
      </c>
      <c r="L531" t="n">
        <v>0</v>
      </c>
      <c r="M531" t="n">
        <v>0</v>
      </c>
      <c r="N531" t="n">
        <v>0</v>
      </c>
      <c r="O531" t="n">
        <v>0</v>
      </c>
      <c r="P531" t="n">
        <v>0</v>
      </c>
      <c r="Q531" t="n">
        <v>0</v>
      </c>
      <c r="R531" s="2" t="inlineStr"/>
    </row>
    <row r="532" ht="15" customHeight="1">
      <c r="A532" t="inlineStr">
        <is>
          <t>A 12581-2024</t>
        </is>
      </c>
      <c r="B532" s="1" t="n">
        <v>45379</v>
      </c>
      <c r="C532" s="1" t="n">
        <v>45967</v>
      </c>
      <c r="D532" t="inlineStr">
        <is>
          <t>VÄSTERNORRLANDS LÄN</t>
        </is>
      </c>
      <c r="E532" t="inlineStr">
        <is>
          <t>ÅNGE</t>
        </is>
      </c>
      <c r="G532" t="n">
        <v>1.7</v>
      </c>
      <c r="H532" t="n">
        <v>0</v>
      </c>
      <c r="I532" t="n">
        <v>0</v>
      </c>
      <c r="J532" t="n">
        <v>0</v>
      </c>
      <c r="K532" t="n">
        <v>0</v>
      </c>
      <c r="L532" t="n">
        <v>0</v>
      </c>
      <c r="M532" t="n">
        <v>0</v>
      </c>
      <c r="N532" t="n">
        <v>0</v>
      </c>
      <c r="O532" t="n">
        <v>0</v>
      </c>
      <c r="P532" t="n">
        <v>0</v>
      </c>
      <c r="Q532" t="n">
        <v>0</v>
      </c>
      <c r="R532" s="2" t="inlineStr"/>
    </row>
    <row r="533" ht="15" customHeight="1">
      <c r="A533" t="inlineStr">
        <is>
          <t>A 42100-2023</t>
        </is>
      </c>
      <c r="B533" s="1" t="n">
        <v>45174</v>
      </c>
      <c r="C533" s="1" t="n">
        <v>45967</v>
      </c>
      <c r="D533" t="inlineStr">
        <is>
          <t>VÄSTERNORRLANDS LÄN</t>
        </is>
      </c>
      <c r="E533" t="inlineStr">
        <is>
          <t>ÅNGE</t>
        </is>
      </c>
      <c r="G533" t="n">
        <v>0.6</v>
      </c>
      <c r="H533" t="n">
        <v>0</v>
      </c>
      <c r="I533" t="n">
        <v>0</v>
      </c>
      <c r="J533" t="n">
        <v>0</v>
      </c>
      <c r="K533" t="n">
        <v>0</v>
      </c>
      <c r="L533" t="n">
        <v>0</v>
      </c>
      <c r="M533" t="n">
        <v>0</v>
      </c>
      <c r="N533" t="n">
        <v>0</v>
      </c>
      <c r="O533" t="n">
        <v>0</v>
      </c>
      <c r="P533" t="n">
        <v>0</v>
      </c>
      <c r="Q533" t="n">
        <v>0</v>
      </c>
      <c r="R533" s="2" t="inlineStr"/>
    </row>
    <row r="534" ht="15" customHeight="1">
      <c r="A534" t="inlineStr">
        <is>
          <t>A 12806-2025</t>
        </is>
      </c>
      <c r="B534" s="1" t="n">
        <v>45733.61518518518</v>
      </c>
      <c r="C534" s="1" t="n">
        <v>45967</v>
      </c>
      <c r="D534" t="inlineStr">
        <is>
          <t>VÄSTERNORRLANDS LÄN</t>
        </is>
      </c>
      <c r="E534" t="inlineStr">
        <is>
          <t>ÅNGE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20024-2023</t>
        </is>
      </c>
      <c r="B535" s="1" t="n">
        <v>45051</v>
      </c>
      <c r="C535" s="1" t="n">
        <v>45967</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51411-2023</t>
        </is>
      </c>
      <c r="B536" s="1" t="n">
        <v>45219</v>
      </c>
      <c r="C536" s="1" t="n">
        <v>45967</v>
      </c>
      <c r="D536" t="inlineStr">
        <is>
          <t>VÄSTERNORRLANDS LÄN</t>
        </is>
      </c>
      <c r="E536" t="inlineStr">
        <is>
          <t>ÅNGE</t>
        </is>
      </c>
      <c r="G536" t="n">
        <v>2.5</v>
      </c>
      <c r="H536" t="n">
        <v>0</v>
      </c>
      <c r="I536" t="n">
        <v>0</v>
      </c>
      <c r="J536" t="n">
        <v>0</v>
      </c>
      <c r="K536" t="n">
        <v>0</v>
      </c>
      <c r="L536" t="n">
        <v>0</v>
      </c>
      <c r="M536" t="n">
        <v>0</v>
      </c>
      <c r="N536" t="n">
        <v>0</v>
      </c>
      <c r="O536" t="n">
        <v>0</v>
      </c>
      <c r="P536" t="n">
        <v>0</v>
      </c>
      <c r="Q536" t="n">
        <v>0</v>
      </c>
      <c r="R536" s="2" t="inlineStr"/>
    </row>
    <row r="537" ht="15" customHeight="1">
      <c r="A537" t="inlineStr">
        <is>
          <t>A 1869-2022</t>
        </is>
      </c>
      <c r="B537" s="1" t="n">
        <v>44574</v>
      </c>
      <c r="C537" s="1" t="n">
        <v>45967</v>
      </c>
      <c r="D537" t="inlineStr">
        <is>
          <t>VÄSTERNORRLANDS LÄN</t>
        </is>
      </c>
      <c r="E537" t="inlineStr">
        <is>
          <t>ÅNGE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13164-2022</t>
        </is>
      </c>
      <c r="B538" s="1" t="n">
        <v>44644</v>
      </c>
      <c r="C538" s="1" t="n">
        <v>45967</v>
      </c>
      <c r="D538" t="inlineStr">
        <is>
          <t>VÄSTERNORRLANDS LÄN</t>
        </is>
      </c>
      <c r="E538" t="inlineStr">
        <is>
          <t>ÅNGE</t>
        </is>
      </c>
      <c r="G538" t="n">
        <v>1.8</v>
      </c>
      <c r="H538" t="n">
        <v>0</v>
      </c>
      <c r="I538" t="n">
        <v>0</v>
      </c>
      <c r="J538" t="n">
        <v>0</v>
      </c>
      <c r="K538" t="n">
        <v>0</v>
      </c>
      <c r="L538" t="n">
        <v>0</v>
      </c>
      <c r="M538" t="n">
        <v>0</v>
      </c>
      <c r="N538" t="n">
        <v>0</v>
      </c>
      <c r="O538" t="n">
        <v>0</v>
      </c>
      <c r="P538" t="n">
        <v>0</v>
      </c>
      <c r="Q538" t="n">
        <v>0</v>
      </c>
      <c r="R538" s="2" t="inlineStr"/>
    </row>
    <row r="539" ht="15" customHeight="1">
      <c r="A539" t="inlineStr">
        <is>
          <t>A 5456-2024</t>
        </is>
      </c>
      <c r="B539" s="1" t="n">
        <v>45331</v>
      </c>
      <c r="C539" s="1" t="n">
        <v>45967</v>
      </c>
      <c r="D539" t="inlineStr">
        <is>
          <t>VÄSTERNORRLANDS LÄN</t>
        </is>
      </c>
      <c r="E539" t="inlineStr">
        <is>
          <t>ÅNGE</t>
        </is>
      </c>
      <c r="G539" t="n">
        <v>13</v>
      </c>
      <c r="H539" t="n">
        <v>0</v>
      </c>
      <c r="I539" t="n">
        <v>0</v>
      </c>
      <c r="J539" t="n">
        <v>0</v>
      </c>
      <c r="K539" t="n">
        <v>0</v>
      </c>
      <c r="L539" t="n">
        <v>0</v>
      </c>
      <c r="M539" t="n">
        <v>0</v>
      </c>
      <c r="N539" t="n">
        <v>0</v>
      </c>
      <c r="O539" t="n">
        <v>0</v>
      </c>
      <c r="P539" t="n">
        <v>0</v>
      </c>
      <c r="Q539" t="n">
        <v>0</v>
      </c>
      <c r="R539" s="2" t="inlineStr"/>
    </row>
    <row r="540" ht="15" customHeight="1">
      <c r="A540" t="inlineStr">
        <is>
          <t>A 30474-2024</t>
        </is>
      </c>
      <c r="B540" s="1" t="n">
        <v>45491</v>
      </c>
      <c r="C540" s="1" t="n">
        <v>45967</v>
      </c>
      <c r="D540" t="inlineStr">
        <is>
          <t>VÄSTERNORRLANDS LÄN</t>
        </is>
      </c>
      <c r="E540" t="inlineStr">
        <is>
          <t>ÅNGE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30475-2024</t>
        </is>
      </c>
      <c r="B541" s="1" t="n">
        <v>45491</v>
      </c>
      <c r="C541" s="1" t="n">
        <v>45967</v>
      </c>
      <c r="D541" t="inlineStr">
        <is>
          <t>VÄSTERNORRLANDS LÄN</t>
        </is>
      </c>
      <c r="E541" t="inlineStr">
        <is>
          <t>ÅNGE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65149-2020</t>
        </is>
      </c>
      <c r="B542" s="1" t="n">
        <v>44172</v>
      </c>
      <c r="C542" s="1" t="n">
        <v>45967</v>
      </c>
      <c r="D542" t="inlineStr">
        <is>
          <t>VÄSTERNORRLANDS LÄN</t>
        </is>
      </c>
      <c r="E542" t="inlineStr">
        <is>
          <t>ÅNGE</t>
        </is>
      </c>
      <c r="G542" t="n">
        <v>9.5</v>
      </c>
      <c r="H542" t="n">
        <v>0</v>
      </c>
      <c r="I542" t="n">
        <v>0</v>
      </c>
      <c r="J542" t="n">
        <v>0</v>
      </c>
      <c r="K542" t="n">
        <v>0</v>
      </c>
      <c r="L542" t="n">
        <v>0</v>
      </c>
      <c r="M542" t="n">
        <v>0</v>
      </c>
      <c r="N542" t="n">
        <v>0</v>
      </c>
      <c r="O542" t="n">
        <v>0</v>
      </c>
      <c r="P542" t="n">
        <v>0</v>
      </c>
      <c r="Q542" t="n">
        <v>0</v>
      </c>
      <c r="R542" s="2" t="inlineStr"/>
    </row>
    <row r="543" ht="15" customHeight="1">
      <c r="A543" t="inlineStr">
        <is>
          <t>A 24231-2024</t>
        </is>
      </c>
      <c r="B543" s="1" t="n">
        <v>45457.34393518518</v>
      </c>
      <c r="C543" s="1" t="n">
        <v>45967</v>
      </c>
      <c r="D543" t="inlineStr">
        <is>
          <t>VÄSTERNORRLANDS LÄN</t>
        </is>
      </c>
      <c r="E543" t="inlineStr">
        <is>
          <t>ÅNGE</t>
        </is>
      </c>
      <c r="F543" t="inlineStr">
        <is>
          <t>Sveaskog</t>
        </is>
      </c>
      <c r="G543" t="n">
        <v>7</v>
      </c>
      <c r="H543" t="n">
        <v>0</v>
      </c>
      <c r="I543" t="n">
        <v>0</v>
      </c>
      <c r="J543" t="n">
        <v>0</v>
      </c>
      <c r="K543" t="n">
        <v>0</v>
      </c>
      <c r="L543" t="n">
        <v>0</v>
      </c>
      <c r="M543" t="n">
        <v>0</v>
      </c>
      <c r="N543" t="n">
        <v>0</v>
      </c>
      <c r="O543" t="n">
        <v>0</v>
      </c>
      <c r="P543" t="n">
        <v>0</v>
      </c>
      <c r="Q543" t="n">
        <v>0</v>
      </c>
      <c r="R543" s="2" t="inlineStr"/>
    </row>
    <row r="544" ht="15" customHeight="1">
      <c r="A544" t="inlineStr">
        <is>
          <t>A 4095-2023</t>
        </is>
      </c>
      <c r="B544" s="1" t="n">
        <v>44952</v>
      </c>
      <c r="C544" s="1" t="n">
        <v>45967</v>
      </c>
      <c r="D544" t="inlineStr">
        <is>
          <t>VÄSTERNORRLANDS LÄN</t>
        </is>
      </c>
      <c r="E544" t="inlineStr">
        <is>
          <t>ÅNGE</t>
        </is>
      </c>
      <c r="G544" t="n">
        <v>13.4</v>
      </c>
      <c r="H544" t="n">
        <v>0</v>
      </c>
      <c r="I544" t="n">
        <v>0</v>
      </c>
      <c r="J544" t="n">
        <v>0</v>
      </c>
      <c r="K544" t="n">
        <v>0</v>
      </c>
      <c r="L544" t="n">
        <v>0</v>
      </c>
      <c r="M544" t="n">
        <v>0</v>
      </c>
      <c r="N544" t="n">
        <v>0</v>
      </c>
      <c r="O544" t="n">
        <v>0</v>
      </c>
      <c r="P544" t="n">
        <v>0</v>
      </c>
      <c r="Q544" t="n">
        <v>0</v>
      </c>
      <c r="R544" s="2" t="inlineStr"/>
    </row>
    <row r="545" ht="15" customHeight="1">
      <c r="A545" t="inlineStr">
        <is>
          <t>A 71965-2021</t>
        </is>
      </c>
      <c r="B545" s="1" t="n">
        <v>44544.32483796297</v>
      </c>
      <c r="C545" s="1" t="n">
        <v>45967</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56574-2024</t>
        </is>
      </c>
      <c r="B546" s="1" t="n">
        <v>45625.59616898148</v>
      </c>
      <c r="C546" s="1" t="n">
        <v>45967</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5367-2022</t>
        </is>
      </c>
      <c r="B547" s="1" t="n">
        <v>44594.92111111111</v>
      </c>
      <c r="C547" s="1" t="n">
        <v>45967</v>
      </c>
      <c r="D547" t="inlineStr">
        <is>
          <t>VÄSTERNORRLANDS LÄN</t>
        </is>
      </c>
      <c r="E547" t="inlineStr">
        <is>
          <t>ÅNGE</t>
        </is>
      </c>
      <c r="G547" t="n">
        <v>1.4</v>
      </c>
      <c r="H547" t="n">
        <v>0</v>
      </c>
      <c r="I547" t="n">
        <v>0</v>
      </c>
      <c r="J547" t="n">
        <v>0</v>
      </c>
      <c r="K547" t="n">
        <v>0</v>
      </c>
      <c r="L547" t="n">
        <v>0</v>
      </c>
      <c r="M547" t="n">
        <v>0</v>
      </c>
      <c r="N547" t="n">
        <v>0</v>
      </c>
      <c r="O547" t="n">
        <v>0</v>
      </c>
      <c r="P547" t="n">
        <v>0</v>
      </c>
      <c r="Q547" t="n">
        <v>0</v>
      </c>
      <c r="R547" s="2" t="inlineStr"/>
    </row>
    <row r="548" ht="15" customHeight="1">
      <c r="A548" t="inlineStr">
        <is>
          <t>A 58087-2024</t>
        </is>
      </c>
      <c r="B548" s="1" t="n">
        <v>45632.34502314815</v>
      </c>
      <c r="C548" s="1" t="n">
        <v>45967</v>
      </c>
      <c r="D548" t="inlineStr">
        <is>
          <t>VÄSTERNORRLANDS LÄN</t>
        </is>
      </c>
      <c r="E548" t="inlineStr">
        <is>
          <t>ÅNGE</t>
        </is>
      </c>
      <c r="G548" t="n">
        <v>2.6</v>
      </c>
      <c r="H548" t="n">
        <v>0</v>
      </c>
      <c r="I548" t="n">
        <v>0</v>
      </c>
      <c r="J548" t="n">
        <v>0</v>
      </c>
      <c r="K548" t="n">
        <v>0</v>
      </c>
      <c r="L548" t="n">
        <v>0</v>
      </c>
      <c r="M548" t="n">
        <v>0</v>
      </c>
      <c r="N548" t="n">
        <v>0</v>
      </c>
      <c r="O548" t="n">
        <v>0</v>
      </c>
      <c r="P548" t="n">
        <v>0</v>
      </c>
      <c r="Q548" t="n">
        <v>0</v>
      </c>
      <c r="R548" s="2" t="inlineStr"/>
    </row>
    <row r="549" ht="15" customHeight="1">
      <c r="A549" t="inlineStr">
        <is>
          <t>A 4186-2025</t>
        </is>
      </c>
      <c r="B549" s="1" t="n">
        <v>45685.44827546296</v>
      </c>
      <c r="C549" s="1" t="n">
        <v>45967</v>
      </c>
      <c r="D549" t="inlineStr">
        <is>
          <t>VÄSTERNORRLANDS LÄN</t>
        </is>
      </c>
      <c r="E549" t="inlineStr">
        <is>
          <t>ÅNGE</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13773-2024</t>
        </is>
      </c>
      <c r="B550" s="1" t="n">
        <v>45390.95297453704</v>
      </c>
      <c r="C550" s="1" t="n">
        <v>45967</v>
      </c>
      <c r="D550" t="inlineStr">
        <is>
          <t>VÄSTERNORRLANDS LÄN</t>
        </is>
      </c>
      <c r="E550" t="inlineStr">
        <is>
          <t>ÅNGE</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50231-2024</t>
        </is>
      </c>
      <c r="B551" s="1" t="n">
        <v>45600.55251157407</v>
      </c>
      <c r="C551" s="1" t="n">
        <v>45967</v>
      </c>
      <c r="D551" t="inlineStr">
        <is>
          <t>VÄSTERNORRLANDS LÄN</t>
        </is>
      </c>
      <c r="E551" t="inlineStr">
        <is>
          <t>ÅNGE</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72239-2021</t>
        </is>
      </c>
      <c r="B552" s="1" t="n">
        <v>44544.9203587963</v>
      </c>
      <c r="C552" s="1" t="n">
        <v>45967</v>
      </c>
      <c r="D552" t="inlineStr">
        <is>
          <t>VÄSTERNORRLANDS LÄN</t>
        </is>
      </c>
      <c r="E552" t="inlineStr">
        <is>
          <t>ÅNGE</t>
        </is>
      </c>
      <c r="G552" t="n">
        <v>1.2</v>
      </c>
      <c r="H552" t="n">
        <v>0</v>
      </c>
      <c r="I552" t="n">
        <v>0</v>
      </c>
      <c r="J552" t="n">
        <v>0</v>
      </c>
      <c r="K552" t="n">
        <v>0</v>
      </c>
      <c r="L552" t="n">
        <v>0</v>
      </c>
      <c r="M552" t="n">
        <v>0</v>
      </c>
      <c r="N552" t="n">
        <v>0</v>
      </c>
      <c r="O552" t="n">
        <v>0</v>
      </c>
      <c r="P552" t="n">
        <v>0</v>
      </c>
      <c r="Q552" t="n">
        <v>0</v>
      </c>
      <c r="R552" s="2" t="inlineStr"/>
    </row>
    <row r="553" ht="15" customHeight="1">
      <c r="A553" t="inlineStr">
        <is>
          <t>A 55882-2022</t>
        </is>
      </c>
      <c r="B553" s="1" t="n">
        <v>44888</v>
      </c>
      <c r="C553" s="1" t="n">
        <v>45967</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9567-2024</t>
        </is>
      </c>
      <c r="B554" s="1" t="n">
        <v>45360.03635416667</v>
      </c>
      <c r="C554" s="1" t="n">
        <v>45967</v>
      </c>
      <c r="D554" t="inlineStr">
        <is>
          <t>VÄSTERNORRLANDS LÄN</t>
        </is>
      </c>
      <c r="E554" t="inlineStr">
        <is>
          <t>ÅNGE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51311-2022</t>
        </is>
      </c>
      <c r="B555" s="1" t="n">
        <v>44868</v>
      </c>
      <c r="C555" s="1" t="n">
        <v>45967</v>
      </c>
      <c r="D555" t="inlineStr">
        <is>
          <t>VÄSTERNORRLANDS LÄN</t>
        </is>
      </c>
      <c r="E555" t="inlineStr">
        <is>
          <t>ÅNGE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33428-2023</t>
        </is>
      </c>
      <c r="B556" s="1" t="n">
        <v>45128.94976851852</v>
      </c>
      <c r="C556" s="1" t="n">
        <v>45967</v>
      </c>
      <c r="D556" t="inlineStr">
        <is>
          <t>VÄSTERNORRLANDS LÄN</t>
        </is>
      </c>
      <c r="E556" t="inlineStr">
        <is>
          <t>ÅNGE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53209-2024</t>
        </is>
      </c>
      <c r="B557" s="1" t="n">
        <v>45612.51079861111</v>
      </c>
      <c r="C557" s="1" t="n">
        <v>45967</v>
      </c>
      <c r="D557" t="inlineStr">
        <is>
          <t>VÄSTERNORRLANDS LÄN</t>
        </is>
      </c>
      <c r="E557" t="inlineStr">
        <is>
          <t>ÅNGE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46249-2024</t>
        </is>
      </c>
      <c r="B558" s="1" t="n">
        <v>45581.59409722222</v>
      </c>
      <c r="C558" s="1" t="n">
        <v>45967</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34815-2024</t>
        </is>
      </c>
      <c r="B559" s="1" t="n">
        <v>45526.70732638889</v>
      </c>
      <c r="C559" s="1" t="n">
        <v>45967</v>
      </c>
      <c r="D559" t="inlineStr">
        <is>
          <t>VÄSTERNORRLANDS LÄN</t>
        </is>
      </c>
      <c r="E559" t="inlineStr">
        <is>
          <t>ÅNGE</t>
        </is>
      </c>
      <c r="G559" t="n">
        <v>1.3</v>
      </c>
      <c r="H559" t="n">
        <v>0</v>
      </c>
      <c r="I559" t="n">
        <v>0</v>
      </c>
      <c r="J559" t="n">
        <v>0</v>
      </c>
      <c r="K559" t="n">
        <v>0</v>
      </c>
      <c r="L559" t="n">
        <v>0</v>
      </c>
      <c r="M559" t="n">
        <v>0</v>
      </c>
      <c r="N559" t="n">
        <v>0</v>
      </c>
      <c r="O559" t="n">
        <v>0</v>
      </c>
      <c r="P559" t="n">
        <v>0</v>
      </c>
      <c r="Q559" t="n">
        <v>0</v>
      </c>
      <c r="R559" s="2" t="inlineStr"/>
    </row>
    <row r="560" ht="15" customHeight="1">
      <c r="A560" t="inlineStr">
        <is>
          <t>A 56399-2022</t>
        </is>
      </c>
      <c r="B560" s="1" t="n">
        <v>44890</v>
      </c>
      <c r="C560" s="1" t="n">
        <v>45967</v>
      </c>
      <c r="D560" t="inlineStr">
        <is>
          <t>VÄSTERNORRLANDS LÄN</t>
        </is>
      </c>
      <c r="E560" t="inlineStr">
        <is>
          <t>ÅNGE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59600-2024</t>
        </is>
      </c>
      <c r="B561" s="1" t="n">
        <v>45638.71763888889</v>
      </c>
      <c r="C561" s="1" t="n">
        <v>45967</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28506-2024</t>
        </is>
      </c>
      <c r="B562" s="1" t="n">
        <v>45477.9475</v>
      </c>
      <c r="C562" s="1" t="n">
        <v>45967</v>
      </c>
      <c r="D562" t="inlineStr">
        <is>
          <t>VÄSTERNORRLANDS LÄN</t>
        </is>
      </c>
      <c r="E562" t="inlineStr">
        <is>
          <t>ÅNGE</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3133-2024</t>
        </is>
      </c>
      <c r="B563" s="1" t="n">
        <v>45316.55885416667</v>
      </c>
      <c r="C563" s="1" t="n">
        <v>45967</v>
      </c>
      <c r="D563" t="inlineStr">
        <is>
          <t>VÄSTERNORRLANDS LÄN</t>
        </is>
      </c>
      <c r="E563" t="inlineStr">
        <is>
          <t>ÅNGE</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17210-2022</t>
        </is>
      </c>
      <c r="B564" s="1" t="n">
        <v>44677.92701388889</v>
      </c>
      <c r="C564" s="1" t="n">
        <v>45967</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1420-2023</t>
        </is>
      </c>
      <c r="B565" s="1" t="n">
        <v>44936.92762731481</v>
      </c>
      <c r="C565" s="1" t="n">
        <v>45967</v>
      </c>
      <c r="D565" t="inlineStr">
        <is>
          <t>VÄSTERNORRLANDS LÄN</t>
        </is>
      </c>
      <c r="E565" t="inlineStr">
        <is>
          <t>ÅNGE</t>
        </is>
      </c>
      <c r="G565" t="n">
        <v>3.7</v>
      </c>
      <c r="H565" t="n">
        <v>0</v>
      </c>
      <c r="I565" t="n">
        <v>0</v>
      </c>
      <c r="J565" t="n">
        <v>0</v>
      </c>
      <c r="K565" t="n">
        <v>0</v>
      </c>
      <c r="L565" t="n">
        <v>0</v>
      </c>
      <c r="M565" t="n">
        <v>0</v>
      </c>
      <c r="N565" t="n">
        <v>0</v>
      </c>
      <c r="O565" t="n">
        <v>0</v>
      </c>
      <c r="P565" t="n">
        <v>0</v>
      </c>
      <c r="Q565" t="n">
        <v>0</v>
      </c>
      <c r="R565" s="2" t="inlineStr"/>
    </row>
    <row r="566" ht="15" customHeight="1">
      <c r="A566" t="inlineStr">
        <is>
          <t>A 60205-2023</t>
        </is>
      </c>
      <c r="B566" s="1" t="n">
        <v>45257</v>
      </c>
      <c r="C566" s="1" t="n">
        <v>45967</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10195-2024</t>
        </is>
      </c>
      <c r="B567" s="1" t="n">
        <v>45364</v>
      </c>
      <c r="C567" s="1" t="n">
        <v>45967</v>
      </c>
      <c r="D567" t="inlineStr">
        <is>
          <t>VÄSTERNORRLANDS LÄN</t>
        </is>
      </c>
      <c r="E567" t="inlineStr">
        <is>
          <t>ÅNGE</t>
        </is>
      </c>
      <c r="G567" t="n">
        <v>0.7</v>
      </c>
      <c r="H567" t="n">
        <v>0</v>
      </c>
      <c r="I567" t="n">
        <v>0</v>
      </c>
      <c r="J567" t="n">
        <v>0</v>
      </c>
      <c r="K567" t="n">
        <v>0</v>
      </c>
      <c r="L567" t="n">
        <v>0</v>
      </c>
      <c r="M567" t="n">
        <v>0</v>
      </c>
      <c r="N567" t="n">
        <v>0</v>
      </c>
      <c r="O567" t="n">
        <v>0</v>
      </c>
      <c r="P567" t="n">
        <v>0</v>
      </c>
      <c r="Q567" t="n">
        <v>0</v>
      </c>
      <c r="R567" s="2" t="inlineStr"/>
    </row>
    <row r="568" ht="15" customHeight="1">
      <c r="A568" t="inlineStr">
        <is>
          <t>A 38272-2024</t>
        </is>
      </c>
      <c r="B568" s="1" t="n">
        <v>45545.60392361111</v>
      </c>
      <c r="C568" s="1" t="n">
        <v>45967</v>
      </c>
      <c r="D568" t="inlineStr">
        <is>
          <t>VÄSTERNORRLANDS LÄN</t>
        </is>
      </c>
      <c r="E568" t="inlineStr">
        <is>
          <t>ÅNGE</t>
        </is>
      </c>
      <c r="G568" t="n">
        <v>1.7</v>
      </c>
      <c r="H568" t="n">
        <v>0</v>
      </c>
      <c r="I568" t="n">
        <v>0</v>
      </c>
      <c r="J568" t="n">
        <v>0</v>
      </c>
      <c r="K568" t="n">
        <v>0</v>
      </c>
      <c r="L568" t="n">
        <v>0</v>
      </c>
      <c r="M568" t="n">
        <v>0</v>
      </c>
      <c r="N568" t="n">
        <v>0</v>
      </c>
      <c r="O568" t="n">
        <v>0</v>
      </c>
      <c r="P568" t="n">
        <v>0</v>
      </c>
      <c r="Q568" t="n">
        <v>0</v>
      </c>
      <c r="R568" s="2" t="inlineStr"/>
    </row>
    <row r="569" ht="15" customHeight="1">
      <c r="A569" t="inlineStr">
        <is>
          <t>A 33631-2024</t>
        </is>
      </c>
      <c r="B569" s="1" t="n">
        <v>45520</v>
      </c>
      <c r="C569" s="1" t="n">
        <v>45967</v>
      </c>
      <c r="D569" t="inlineStr">
        <is>
          <t>VÄSTERNORRLANDS LÄN</t>
        </is>
      </c>
      <c r="E569" t="inlineStr">
        <is>
          <t>ÅNGE</t>
        </is>
      </c>
      <c r="G569" t="n">
        <v>1.7</v>
      </c>
      <c r="H569" t="n">
        <v>0</v>
      </c>
      <c r="I569" t="n">
        <v>0</v>
      </c>
      <c r="J569" t="n">
        <v>0</v>
      </c>
      <c r="K569" t="n">
        <v>0</v>
      </c>
      <c r="L569" t="n">
        <v>0</v>
      </c>
      <c r="M569" t="n">
        <v>0</v>
      </c>
      <c r="N569" t="n">
        <v>0</v>
      </c>
      <c r="O569" t="n">
        <v>0</v>
      </c>
      <c r="P569" t="n">
        <v>0</v>
      </c>
      <c r="Q569" t="n">
        <v>0</v>
      </c>
      <c r="R569" s="2" t="inlineStr"/>
    </row>
    <row r="570" ht="15" customHeight="1">
      <c r="A570" t="inlineStr">
        <is>
          <t>A 44876-2024</t>
        </is>
      </c>
      <c r="B570" s="1" t="n">
        <v>45575.34474537037</v>
      </c>
      <c r="C570" s="1" t="n">
        <v>45967</v>
      </c>
      <c r="D570" t="inlineStr">
        <is>
          <t>VÄSTERNORRLANDS LÄN</t>
        </is>
      </c>
      <c r="E570" t="inlineStr">
        <is>
          <t>ÅNGE</t>
        </is>
      </c>
      <c r="F570" t="inlineStr">
        <is>
          <t>SCA</t>
        </is>
      </c>
      <c r="G570" t="n">
        <v>12.4</v>
      </c>
      <c r="H570" t="n">
        <v>0</v>
      </c>
      <c r="I570" t="n">
        <v>0</v>
      </c>
      <c r="J570" t="n">
        <v>0</v>
      </c>
      <c r="K570" t="n">
        <v>0</v>
      </c>
      <c r="L570" t="n">
        <v>0</v>
      </c>
      <c r="M570" t="n">
        <v>0</v>
      </c>
      <c r="N570" t="n">
        <v>0</v>
      </c>
      <c r="O570" t="n">
        <v>0</v>
      </c>
      <c r="P570" t="n">
        <v>0</v>
      </c>
      <c r="Q570" t="n">
        <v>0</v>
      </c>
      <c r="R570" s="2" t="inlineStr"/>
    </row>
    <row r="571" ht="15" customHeight="1">
      <c r="A571" t="inlineStr">
        <is>
          <t>A 16593-2023</t>
        </is>
      </c>
      <c r="B571" s="1" t="n">
        <v>45030</v>
      </c>
      <c r="C571" s="1" t="n">
        <v>45967</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16600-2023</t>
        </is>
      </c>
      <c r="B572" s="1" t="n">
        <v>45030</v>
      </c>
      <c r="C572" s="1" t="n">
        <v>45967</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15778-2025</t>
        </is>
      </c>
      <c r="B573" s="1" t="n">
        <v>45748.60030092593</v>
      </c>
      <c r="C573" s="1" t="n">
        <v>45967</v>
      </c>
      <c r="D573" t="inlineStr">
        <is>
          <t>VÄSTERNORRLANDS LÄN</t>
        </is>
      </c>
      <c r="E573" t="inlineStr">
        <is>
          <t>ÅNGE</t>
        </is>
      </c>
      <c r="F573" t="inlineStr">
        <is>
          <t>SCA</t>
        </is>
      </c>
      <c r="G573" t="n">
        <v>13.6</v>
      </c>
      <c r="H573" t="n">
        <v>0</v>
      </c>
      <c r="I573" t="n">
        <v>0</v>
      </c>
      <c r="J573" t="n">
        <v>0</v>
      </c>
      <c r="K573" t="n">
        <v>0</v>
      </c>
      <c r="L573" t="n">
        <v>0</v>
      </c>
      <c r="M573" t="n">
        <v>0</v>
      </c>
      <c r="N573" t="n">
        <v>0</v>
      </c>
      <c r="O573" t="n">
        <v>0</v>
      </c>
      <c r="P573" t="n">
        <v>0</v>
      </c>
      <c r="Q573" t="n">
        <v>0</v>
      </c>
      <c r="R573" s="2" t="inlineStr"/>
    </row>
    <row r="574" ht="15" customHeight="1">
      <c r="A574" t="inlineStr">
        <is>
          <t>A 11088-2024</t>
        </is>
      </c>
      <c r="B574" s="1" t="n">
        <v>45370</v>
      </c>
      <c r="C574" s="1" t="n">
        <v>45967</v>
      </c>
      <c r="D574" t="inlineStr">
        <is>
          <t>VÄSTERNORRLANDS LÄN</t>
        </is>
      </c>
      <c r="E574" t="inlineStr">
        <is>
          <t>ÅNGE</t>
        </is>
      </c>
      <c r="F574" t="inlineStr">
        <is>
          <t>SCA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42488-2024</t>
        </is>
      </c>
      <c r="B575" s="1" t="n">
        <v>45565.49420138889</v>
      </c>
      <c r="C575" s="1" t="n">
        <v>45967</v>
      </c>
      <c r="D575" t="inlineStr">
        <is>
          <t>VÄSTERNORRLANDS LÄN</t>
        </is>
      </c>
      <c r="E575" t="inlineStr">
        <is>
          <t>ÅNGE</t>
        </is>
      </c>
      <c r="F575" t="inlineStr">
        <is>
          <t>SCA</t>
        </is>
      </c>
      <c r="G575" t="n">
        <v>6</v>
      </c>
      <c r="H575" t="n">
        <v>0</v>
      </c>
      <c r="I575" t="n">
        <v>0</v>
      </c>
      <c r="J575" t="n">
        <v>0</v>
      </c>
      <c r="K575" t="n">
        <v>0</v>
      </c>
      <c r="L575" t="n">
        <v>0</v>
      </c>
      <c r="M575" t="n">
        <v>0</v>
      </c>
      <c r="N575" t="n">
        <v>0</v>
      </c>
      <c r="O575" t="n">
        <v>0</v>
      </c>
      <c r="P575" t="n">
        <v>0</v>
      </c>
      <c r="Q575" t="n">
        <v>0</v>
      </c>
      <c r="R575" s="2" t="inlineStr"/>
    </row>
    <row r="576" ht="15" customHeight="1">
      <c r="A576" t="inlineStr">
        <is>
          <t>A 35399-2024</t>
        </is>
      </c>
      <c r="B576" s="1" t="n">
        <v>45531.40438657408</v>
      </c>
      <c r="C576" s="1" t="n">
        <v>45967</v>
      </c>
      <c r="D576" t="inlineStr">
        <is>
          <t>VÄSTERNORRLANDS LÄN</t>
        </is>
      </c>
      <c r="E576" t="inlineStr">
        <is>
          <t>ÅNGE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26012-2024</t>
        </is>
      </c>
      <c r="B577" s="1" t="n">
        <v>45467</v>
      </c>
      <c r="C577" s="1" t="n">
        <v>45967</v>
      </c>
      <c r="D577" t="inlineStr">
        <is>
          <t>VÄSTERNORRLANDS LÄN</t>
        </is>
      </c>
      <c r="E577" t="inlineStr">
        <is>
          <t>ÅNGE</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361-2025</t>
        </is>
      </c>
      <c r="B578" s="1" t="n">
        <v>45660</v>
      </c>
      <c r="C578" s="1" t="n">
        <v>45967</v>
      </c>
      <c r="D578" t="inlineStr">
        <is>
          <t>VÄSTERNORRLANDS LÄN</t>
        </is>
      </c>
      <c r="E578" t="inlineStr">
        <is>
          <t>ÅNGE</t>
        </is>
      </c>
      <c r="G578" t="n">
        <v>4.2</v>
      </c>
      <c r="H578" t="n">
        <v>0</v>
      </c>
      <c r="I578" t="n">
        <v>0</v>
      </c>
      <c r="J578" t="n">
        <v>0</v>
      </c>
      <c r="K578" t="n">
        <v>0</v>
      </c>
      <c r="L578" t="n">
        <v>0</v>
      </c>
      <c r="M578" t="n">
        <v>0</v>
      </c>
      <c r="N578" t="n">
        <v>0</v>
      </c>
      <c r="O578" t="n">
        <v>0</v>
      </c>
      <c r="P578" t="n">
        <v>0</v>
      </c>
      <c r="Q578" t="n">
        <v>0</v>
      </c>
      <c r="R578" s="2" t="inlineStr"/>
    </row>
    <row r="579" ht="15" customHeight="1">
      <c r="A579" t="inlineStr">
        <is>
          <t>A 39682-2024</t>
        </is>
      </c>
      <c r="B579" s="1" t="n">
        <v>45552</v>
      </c>
      <c r="C579" s="1" t="n">
        <v>45967</v>
      </c>
      <c r="D579" t="inlineStr">
        <is>
          <t>VÄSTERNORRLANDS LÄN</t>
        </is>
      </c>
      <c r="E579" t="inlineStr">
        <is>
          <t>ÅNGE</t>
        </is>
      </c>
      <c r="G579" t="n">
        <v>35.4</v>
      </c>
      <c r="H579" t="n">
        <v>0</v>
      </c>
      <c r="I579" t="n">
        <v>0</v>
      </c>
      <c r="J579" t="n">
        <v>0</v>
      </c>
      <c r="K579" t="n">
        <v>0</v>
      </c>
      <c r="L579" t="n">
        <v>0</v>
      </c>
      <c r="M579" t="n">
        <v>0</v>
      </c>
      <c r="N579" t="n">
        <v>0</v>
      </c>
      <c r="O579" t="n">
        <v>0</v>
      </c>
      <c r="P579" t="n">
        <v>0</v>
      </c>
      <c r="Q579" t="n">
        <v>0</v>
      </c>
      <c r="R579" s="2" t="inlineStr"/>
    </row>
    <row r="580" ht="15" customHeight="1">
      <c r="A580" t="inlineStr">
        <is>
          <t>A 30348-2024</t>
        </is>
      </c>
      <c r="B580" s="1" t="n">
        <v>45490.95524305556</v>
      </c>
      <c r="C580" s="1" t="n">
        <v>45967</v>
      </c>
      <c r="D580" t="inlineStr">
        <is>
          <t>VÄSTERNORRLANDS LÄN</t>
        </is>
      </c>
      <c r="E580" t="inlineStr">
        <is>
          <t>ÅNGE</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31457-2024</t>
        </is>
      </c>
      <c r="B581" s="1" t="n">
        <v>45505</v>
      </c>
      <c r="C581" s="1" t="n">
        <v>45967</v>
      </c>
      <c r="D581" t="inlineStr">
        <is>
          <t>VÄSTERNORRLANDS LÄN</t>
        </is>
      </c>
      <c r="E581" t="inlineStr">
        <is>
          <t>ÅNGE</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12021-2022</t>
        </is>
      </c>
      <c r="B582" s="1" t="n">
        <v>44635</v>
      </c>
      <c r="C582" s="1" t="n">
        <v>45967</v>
      </c>
      <c r="D582" t="inlineStr">
        <is>
          <t>VÄSTERNORRLANDS LÄN</t>
        </is>
      </c>
      <c r="E582" t="inlineStr">
        <is>
          <t>ÅNGE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17668-2023</t>
        </is>
      </c>
      <c r="B583" s="1" t="n">
        <v>45036</v>
      </c>
      <c r="C583" s="1" t="n">
        <v>45967</v>
      </c>
      <c r="D583" t="inlineStr">
        <is>
          <t>VÄSTERNORRLANDS LÄN</t>
        </is>
      </c>
      <c r="E583" t="inlineStr">
        <is>
          <t>ÅNGE</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35392-2024</t>
        </is>
      </c>
      <c r="B584" s="1" t="n">
        <v>45531.4025462963</v>
      </c>
      <c r="C584" s="1" t="n">
        <v>45967</v>
      </c>
      <c r="D584" t="inlineStr">
        <is>
          <t>VÄSTERNORRLANDS LÄN</t>
        </is>
      </c>
      <c r="E584" t="inlineStr">
        <is>
          <t>ÅNGE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60401-2020</t>
        </is>
      </c>
      <c r="B585" s="1" t="n">
        <v>44152</v>
      </c>
      <c r="C585" s="1" t="n">
        <v>45967</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17718-2025</t>
        </is>
      </c>
      <c r="B586" s="1" t="n">
        <v>45758.44815972223</v>
      </c>
      <c r="C586" s="1" t="n">
        <v>45967</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43066-2022</t>
        </is>
      </c>
      <c r="B587" s="1" t="n">
        <v>44833</v>
      </c>
      <c r="C587" s="1" t="n">
        <v>45967</v>
      </c>
      <c r="D587" t="inlineStr">
        <is>
          <t>VÄSTERNORRLANDS LÄN</t>
        </is>
      </c>
      <c r="E587" t="inlineStr">
        <is>
          <t>ÅNGE</t>
        </is>
      </c>
      <c r="G587" t="n">
        <v>1.2</v>
      </c>
      <c r="H587" t="n">
        <v>0</v>
      </c>
      <c r="I587" t="n">
        <v>0</v>
      </c>
      <c r="J587" t="n">
        <v>0</v>
      </c>
      <c r="K587" t="n">
        <v>0</v>
      </c>
      <c r="L587" t="n">
        <v>0</v>
      </c>
      <c r="M587" t="n">
        <v>0</v>
      </c>
      <c r="N587" t="n">
        <v>0</v>
      </c>
      <c r="O587" t="n">
        <v>0</v>
      </c>
      <c r="P587" t="n">
        <v>0</v>
      </c>
      <c r="Q587" t="n">
        <v>0</v>
      </c>
      <c r="R587" s="2" t="inlineStr"/>
    </row>
    <row r="588" ht="15" customHeight="1">
      <c r="A588" t="inlineStr">
        <is>
          <t>A 6690-2024</t>
        </is>
      </c>
      <c r="B588" s="1" t="n">
        <v>45341</v>
      </c>
      <c r="C588" s="1" t="n">
        <v>45967</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57595-2022</t>
        </is>
      </c>
      <c r="B589" s="1" t="n">
        <v>44896.97862268519</v>
      </c>
      <c r="C589" s="1" t="n">
        <v>45967</v>
      </c>
      <c r="D589" t="inlineStr">
        <is>
          <t>VÄSTERNORRLANDS LÄN</t>
        </is>
      </c>
      <c r="E589" t="inlineStr">
        <is>
          <t>ÅNGE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8406-2023</t>
        </is>
      </c>
      <c r="B590" s="1" t="n">
        <v>44971</v>
      </c>
      <c r="C590" s="1" t="n">
        <v>45967</v>
      </c>
      <c r="D590" t="inlineStr">
        <is>
          <t>VÄSTERNORRLANDS LÄN</t>
        </is>
      </c>
      <c r="E590" t="inlineStr">
        <is>
          <t>ÅNGE</t>
        </is>
      </c>
      <c r="G590" t="n">
        <v>1.2</v>
      </c>
      <c r="H590" t="n">
        <v>0</v>
      </c>
      <c r="I590" t="n">
        <v>0</v>
      </c>
      <c r="J590" t="n">
        <v>0</v>
      </c>
      <c r="K590" t="n">
        <v>0</v>
      </c>
      <c r="L590" t="n">
        <v>0</v>
      </c>
      <c r="M590" t="n">
        <v>0</v>
      </c>
      <c r="N590" t="n">
        <v>0</v>
      </c>
      <c r="O590" t="n">
        <v>0</v>
      </c>
      <c r="P590" t="n">
        <v>0</v>
      </c>
      <c r="Q590" t="n">
        <v>0</v>
      </c>
      <c r="R590" s="2" t="inlineStr"/>
    </row>
    <row r="591" ht="15" customHeight="1">
      <c r="A591" t="inlineStr">
        <is>
          <t>A 4651-2022</t>
        </is>
      </c>
      <c r="B591" s="1" t="n">
        <v>44592</v>
      </c>
      <c r="C591" s="1" t="n">
        <v>45967</v>
      </c>
      <c r="D591" t="inlineStr">
        <is>
          <t>VÄSTERNORRLANDS LÄN</t>
        </is>
      </c>
      <c r="E591" t="inlineStr">
        <is>
          <t>ÅNGE</t>
        </is>
      </c>
      <c r="G591" t="n">
        <v>1.7</v>
      </c>
      <c r="H591" t="n">
        <v>0</v>
      </c>
      <c r="I591" t="n">
        <v>0</v>
      </c>
      <c r="J591" t="n">
        <v>0</v>
      </c>
      <c r="K591" t="n">
        <v>0</v>
      </c>
      <c r="L591" t="n">
        <v>0</v>
      </c>
      <c r="M591" t="n">
        <v>0</v>
      </c>
      <c r="N591" t="n">
        <v>0</v>
      </c>
      <c r="O591" t="n">
        <v>0</v>
      </c>
      <c r="P591" t="n">
        <v>0</v>
      </c>
      <c r="Q591" t="n">
        <v>0</v>
      </c>
      <c r="R591" s="2" t="inlineStr"/>
    </row>
    <row r="592" ht="15" customHeight="1">
      <c r="A592" t="inlineStr">
        <is>
          <t>A 45933-2023</t>
        </is>
      </c>
      <c r="B592" s="1" t="n">
        <v>45195</v>
      </c>
      <c r="C592" s="1" t="n">
        <v>45967</v>
      </c>
      <c r="D592" t="inlineStr">
        <is>
          <t>VÄSTERNORRLANDS LÄN</t>
        </is>
      </c>
      <c r="E592" t="inlineStr">
        <is>
          <t>ÅNGE</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57601-2022</t>
        </is>
      </c>
      <c r="B593" s="1" t="n">
        <v>44896</v>
      </c>
      <c r="C593" s="1" t="n">
        <v>45967</v>
      </c>
      <c r="D593" t="inlineStr">
        <is>
          <t>VÄSTERNORRLANDS LÄN</t>
        </is>
      </c>
      <c r="E593" t="inlineStr">
        <is>
          <t>ÅNGE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3977-2025</t>
        </is>
      </c>
      <c r="B594" s="1" t="n">
        <v>45684</v>
      </c>
      <c r="C594" s="1" t="n">
        <v>45967</v>
      </c>
      <c r="D594" t="inlineStr">
        <is>
          <t>VÄSTERNORRLANDS LÄN</t>
        </is>
      </c>
      <c r="E594" t="inlineStr">
        <is>
          <t>ÅNGE</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34649-2024</t>
        </is>
      </c>
      <c r="B595" s="1" t="n">
        <v>45526.48325231481</v>
      </c>
      <c r="C595" s="1" t="n">
        <v>45967</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38686-2025</t>
        </is>
      </c>
      <c r="B596" s="1" t="n">
        <v>45884.65658564815</v>
      </c>
      <c r="C596" s="1" t="n">
        <v>45967</v>
      </c>
      <c r="D596" t="inlineStr">
        <is>
          <t>VÄSTERNORRLANDS LÄN</t>
        </is>
      </c>
      <c r="E596" t="inlineStr">
        <is>
          <t>ÅNGE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14976-2025</t>
        </is>
      </c>
      <c r="B597" s="1" t="n">
        <v>45743</v>
      </c>
      <c r="C597" s="1" t="n">
        <v>45967</v>
      </c>
      <c r="D597" t="inlineStr">
        <is>
          <t>VÄSTERNORRLANDS LÄN</t>
        </is>
      </c>
      <c r="E597" t="inlineStr">
        <is>
          <t>ÅNGE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38693-2025</t>
        </is>
      </c>
      <c r="B598" s="1" t="n">
        <v>45884.69829861111</v>
      </c>
      <c r="C598" s="1" t="n">
        <v>45967</v>
      </c>
      <c r="D598" t="inlineStr">
        <is>
          <t>VÄSTERNORRLANDS LÄN</t>
        </is>
      </c>
      <c r="E598" t="inlineStr">
        <is>
          <t>ÅNGE</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5249-2025</t>
        </is>
      </c>
      <c r="B599" s="1" t="n">
        <v>45692.34465277778</v>
      </c>
      <c r="C599" s="1" t="n">
        <v>45967</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38386-2025</t>
        </is>
      </c>
      <c r="B600" s="1" t="n">
        <v>45883.57430555556</v>
      </c>
      <c r="C600" s="1" t="n">
        <v>45967</v>
      </c>
      <c r="D600" t="inlineStr">
        <is>
          <t>VÄSTERNORRLANDS LÄN</t>
        </is>
      </c>
      <c r="E600" t="inlineStr">
        <is>
          <t>ÅNGE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38273-2025</t>
        </is>
      </c>
      <c r="B601" s="1" t="n">
        <v>45883.40740740741</v>
      </c>
      <c r="C601" s="1" t="n">
        <v>45967</v>
      </c>
      <c r="D601" t="inlineStr">
        <is>
          <t>VÄSTERNORRLANDS LÄN</t>
        </is>
      </c>
      <c r="E601" t="inlineStr">
        <is>
          <t>ÅNGE</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34679-2024</t>
        </is>
      </c>
      <c r="B602" s="1" t="n">
        <v>45526</v>
      </c>
      <c r="C602" s="1" t="n">
        <v>45967</v>
      </c>
      <c r="D602" t="inlineStr">
        <is>
          <t>VÄSTERNORRLANDS LÄN</t>
        </is>
      </c>
      <c r="E602" t="inlineStr">
        <is>
          <t>ÅNGE</t>
        </is>
      </c>
      <c r="G602" t="n">
        <v>1.4</v>
      </c>
      <c r="H602" t="n">
        <v>0</v>
      </c>
      <c r="I602" t="n">
        <v>0</v>
      </c>
      <c r="J602" t="n">
        <v>0</v>
      </c>
      <c r="K602" t="n">
        <v>0</v>
      </c>
      <c r="L602" t="n">
        <v>0</v>
      </c>
      <c r="M602" t="n">
        <v>0</v>
      </c>
      <c r="N602" t="n">
        <v>0</v>
      </c>
      <c r="O602" t="n">
        <v>0</v>
      </c>
      <c r="P602" t="n">
        <v>0</v>
      </c>
      <c r="Q602" t="n">
        <v>0</v>
      </c>
      <c r="R602" s="2" t="inlineStr"/>
    </row>
    <row r="603" ht="15" customHeight="1">
      <c r="A603" t="inlineStr">
        <is>
          <t>A 57271-2024</t>
        </is>
      </c>
      <c r="B603" s="1" t="n">
        <v>45629.57364583333</v>
      </c>
      <c r="C603" s="1" t="n">
        <v>45967</v>
      </c>
      <c r="D603" t="inlineStr">
        <is>
          <t>VÄSTERNORRLANDS LÄN</t>
        </is>
      </c>
      <c r="E603" t="inlineStr">
        <is>
          <t>ÅNGE</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58445-2022</t>
        </is>
      </c>
      <c r="B604" s="1" t="n">
        <v>44901.95453703704</v>
      </c>
      <c r="C604" s="1" t="n">
        <v>45967</v>
      </c>
      <c r="D604" t="inlineStr">
        <is>
          <t>VÄSTERNORRLANDS LÄN</t>
        </is>
      </c>
      <c r="E604" t="inlineStr">
        <is>
          <t>ÅNGE</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5369-2022</t>
        </is>
      </c>
      <c r="B605" s="1" t="n">
        <v>44594.92113425926</v>
      </c>
      <c r="C605" s="1" t="n">
        <v>45967</v>
      </c>
      <c r="D605" t="inlineStr">
        <is>
          <t>VÄSTERNORRLANDS LÄN</t>
        </is>
      </c>
      <c r="E605" t="inlineStr">
        <is>
          <t>ÅNGE</t>
        </is>
      </c>
      <c r="G605" t="n">
        <v>1.3</v>
      </c>
      <c r="H605" t="n">
        <v>0</v>
      </c>
      <c r="I605" t="n">
        <v>0</v>
      </c>
      <c r="J605" t="n">
        <v>0</v>
      </c>
      <c r="K605" t="n">
        <v>0</v>
      </c>
      <c r="L605" t="n">
        <v>0</v>
      </c>
      <c r="M605" t="n">
        <v>0</v>
      </c>
      <c r="N605" t="n">
        <v>0</v>
      </c>
      <c r="O605" t="n">
        <v>0</v>
      </c>
      <c r="P605" t="n">
        <v>0</v>
      </c>
      <c r="Q605" t="n">
        <v>0</v>
      </c>
      <c r="R605" s="2" t="inlineStr"/>
    </row>
    <row r="606" ht="15" customHeight="1">
      <c r="A606" t="inlineStr">
        <is>
          <t>A 23058-2024</t>
        </is>
      </c>
      <c r="B606" s="1" t="n">
        <v>45450.44020833333</v>
      </c>
      <c r="C606" s="1" t="n">
        <v>45967</v>
      </c>
      <c r="D606" t="inlineStr">
        <is>
          <t>VÄSTERNORRLANDS LÄN</t>
        </is>
      </c>
      <c r="E606" t="inlineStr">
        <is>
          <t>ÅNGE</t>
        </is>
      </c>
      <c r="G606" t="n">
        <v>3.9</v>
      </c>
      <c r="H606" t="n">
        <v>0</v>
      </c>
      <c r="I606" t="n">
        <v>0</v>
      </c>
      <c r="J606" t="n">
        <v>0</v>
      </c>
      <c r="K606" t="n">
        <v>0</v>
      </c>
      <c r="L606" t="n">
        <v>0</v>
      </c>
      <c r="M606" t="n">
        <v>0</v>
      </c>
      <c r="N606" t="n">
        <v>0</v>
      </c>
      <c r="O606" t="n">
        <v>0</v>
      </c>
      <c r="P606" t="n">
        <v>0</v>
      </c>
      <c r="Q606" t="n">
        <v>0</v>
      </c>
      <c r="R606" s="2" t="inlineStr"/>
    </row>
    <row r="607" ht="15" customHeight="1">
      <c r="A607" t="inlineStr">
        <is>
          <t>A 38283-2025</t>
        </is>
      </c>
      <c r="B607" s="1" t="n">
        <v>45883.42740740741</v>
      </c>
      <c r="C607" s="1" t="n">
        <v>45967</v>
      </c>
      <c r="D607" t="inlineStr">
        <is>
          <t>VÄSTERNORRLANDS LÄN</t>
        </is>
      </c>
      <c r="E607" t="inlineStr">
        <is>
          <t>ÅNGE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46416-2025</t>
        </is>
      </c>
      <c r="B608" s="1" t="n">
        <v>45925.594375</v>
      </c>
      <c r="C608" s="1" t="n">
        <v>45967</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64946-2023</t>
        </is>
      </c>
      <c r="B609" s="1" t="n">
        <v>45282.94678240741</v>
      </c>
      <c r="C609" s="1" t="n">
        <v>45967</v>
      </c>
      <c r="D609" t="inlineStr">
        <is>
          <t>VÄSTERNORRLANDS LÄN</t>
        </is>
      </c>
      <c r="E609" t="inlineStr">
        <is>
          <t>ÅNGE</t>
        </is>
      </c>
      <c r="F609" t="inlineStr">
        <is>
          <t>SCA</t>
        </is>
      </c>
      <c r="G609" t="n">
        <v>6.4</v>
      </c>
      <c r="H609" t="n">
        <v>0</v>
      </c>
      <c r="I609" t="n">
        <v>0</v>
      </c>
      <c r="J609" t="n">
        <v>0</v>
      </c>
      <c r="K609" t="n">
        <v>0</v>
      </c>
      <c r="L609" t="n">
        <v>0</v>
      </c>
      <c r="M609" t="n">
        <v>0</v>
      </c>
      <c r="N609" t="n">
        <v>0</v>
      </c>
      <c r="O609" t="n">
        <v>0</v>
      </c>
      <c r="P609" t="n">
        <v>0</v>
      </c>
      <c r="Q609" t="n">
        <v>0</v>
      </c>
      <c r="R609" s="2" t="inlineStr"/>
    </row>
    <row r="610" ht="15" customHeight="1">
      <c r="A610" t="inlineStr">
        <is>
          <t>A 22755-2023</t>
        </is>
      </c>
      <c r="B610" s="1" t="n">
        <v>45071.94127314815</v>
      </c>
      <c r="C610" s="1" t="n">
        <v>45967</v>
      </c>
      <c r="D610" t="inlineStr">
        <is>
          <t>VÄSTERNORRLANDS LÄN</t>
        </is>
      </c>
      <c r="E610" t="inlineStr">
        <is>
          <t>ÅNGE</t>
        </is>
      </c>
      <c r="F610" t="inlineStr">
        <is>
          <t>SCA</t>
        </is>
      </c>
      <c r="G610" t="n">
        <v>12.6</v>
      </c>
      <c r="H610" t="n">
        <v>0</v>
      </c>
      <c r="I610" t="n">
        <v>0</v>
      </c>
      <c r="J610" t="n">
        <v>0</v>
      </c>
      <c r="K610" t="n">
        <v>0</v>
      </c>
      <c r="L610" t="n">
        <v>0</v>
      </c>
      <c r="M610" t="n">
        <v>0</v>
      </c>
      <c r="N610" t="n">
        <v>0</v>
      </c>
      <c r="O610" t="n">
        <v>0</v>
      </c>
      <c r="P610" t="n">
        <v>0</v>
      </c>
      <c r="Q610" t="n">
        <v>0</v>
      </c>
      <c r="R610" s="2" t="inlineStr"/>
    </row>
    <row r="611" ht="15" customHeight="1">
      <c r="A611" t="inlineStr">
        <is>
          <t>A 50419-2022</t>
        </is>
      </c>
      <c r="B611" s="1" t="n">
        <v>44861</v>
      </c>
      <c r="C611" s="1" t="n">
        <v>45967</v>
      </c>
      <c r="D611" t="inlineStr">
        <is>
          <t>VÄSTERNORRLANDS LÄN</t>
        </is>
      </c>
      <c r="E611" t="inlineStr">
        <is>
          <t>ÅNGE</t>
        </is>
      </c>
      <c r="G611" t="n">
        <v>1.3</v>
      </c>
      <c r="H611" t="n">
        <v>0</v>
      </c>
      <c r="I611" t="n">
        <v>0</v>
      </c>
      <c r="J611" t="n">
        <v>0</v>
      </c>
      <c r="K611" t="n">
        <v>0</v>
      </c>
      <c r="L611" t="n">
        <v>0</v>
      </c>
      <c r="M611" t="n">
        <v>0</v>
      </c>
      <c r="N611" t="n">
        <v>0</v>
      </c>
      <c r="O611" t="n">
        <v>0</v>
      </c>
      <c r="P611" t="n">
        <v>0</v>
      </c>
      <c r="Q611" t="n">
        <v>0</v>
      </c>
      <c r="R611" s="2" t="inlineStr"/>
    </row>
    <row r="612" ht="15" customHeight="1">
      <c r="A612" t="inlineStr">
        <is>
          <t>A 38332-2025</t>
        </is>
      </c>
      <c r="B612" s="1" t="n">
        <v>45883.49151620371</v>
      </c>
      <c r="C612" s="1" t="n">
        <v>45967</v>
      </c>
      <c r="D612" t="inlineStr">
        <is>
          <t>VÄSTERNORRLANDS LÄN</t>
        </is>
      </c>
      <c r="E612" t="inlineStr">
        <is>
          <t>ÅNGE</t>
        </is>
      </c>
      <c r="F612" t="inlineStr">
        <is>
          <t>SCA</t>
        </is>
      </c>
      <c r="G612" t="n">
        <v>5.9</v>
      </c>
      <c r="H612" t="n">
        <v>0</v>
      </c>
      <c r="I612" t="n">
        <v>0</v>
      </c>
      <c r="J612" t="n">
        <v>0</v>
      </c>
      <c r="K612" t="n">
        <v>0</v>
      </c>
      <c r="L612" t="n">
        <v>0</v>
      </c>
      <c r="M612" t="n">
        <v>0</v>
      </c>
      <c r="N612" t="n">
        <v>0</v>
      </c>
      <c r="O612" t="n">
        <v>0</v>
      </c>
      <c r="P612" t="n">
        <v>0</v>
      </c>
      <c r="Q612" t="n">
        <v>0</v>
      </c>
      <c r="R612" s="2" t="inlineStr"/>
    </row>
    <row r="613" ht="15" customHeight="1">
      <c r="A613" t="inlineStr">
        <is>
          <t>A 42881-2023</t>
        </is>
      </c>
      <c r="B613" s="1" t="n">
        <v>45182.45256944445</v>
      </c>
      <c r="C613" s="1" t="n">
        <v>45967</v>
      </c>
      <c r="D613" t="inlineStr">
        <is>
          <t>VÄSTERNORRLANDS LÄN</t>
        </is>
      </c>
      <c r="E613" t="inlineStr">
        <is>
          <t>ÅNGE</t>
        </is>
      </c>
      <c r="G613" t="n">
        <v>3.9</v>
      </c>
      <c r="H613" t="n">
        <v>0</v>
      </c>
      <c r="I613" t="n">
        <v>0</v>
      </c>
      <c r="J613" t="n">
        <v>0</v>
      </c>
      <c r="K613" t="n">
        <v>0</v>
      </c>
      <c r="L613" t="n">
        <v>0</v>
      </c>
      <c r="M613" t="n">
        <v>0</v>
      </c>
      <c r="N613" t="n">
        <v>0</v>
      </c>
      <c r="O613" t="n">
        <v>0</v>
      </c>
      <c r="P613" t="n">
        <v>0</v>
      </c>
      <c r="Q613" t="n">
        <v>0</v>
      </c>
      <c r="R613" s="2" t="inlineStr"/>
    </row>
    <row r="614" ht="15" customHeight="1">
      <c r="A614" t="inlineStr">
        <is>
          <t>A 18430-2025</t>
        </is>
      </c>
      <c r="B614" s="1" t="n">
        <v>45762.63576388889</v>
      </c>
      <c r="C614" s="1" t="n">
        <v>45967</v>
      </c>
      <c r="D614" t="inlineStr">
        <is>
          <t>VÄSTERNORRLANDS LÄN</t>
        </is>
      </c>
      <c r="E614" t="inlineStr">
        <is>
          <t>ÅNGE</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43916-2023</t>
        </is>
      </c>
      <c r="B615" s="1" t="n">
        <v>45187.72152777778</v>
      </c>
      <c r="C615" s="1" t="n">
        <v>45967</v>
      </c>
      <c r="D615" t="inlineStr">
        <is>
          <t>VÄSTERNORRLANDS LÄN</t>
        </is>
      </c>
      <c r="E615" t="inlineStr">
        <is>
          <t>ÅNGE</t>
        </is>
      </c>
      <c r="G615" t="n">
        <v>3.1</v>
      </c>
      <c r="H615" t="n">
        <v>0</v>
      </c>
      <c r="I615" t="n">
        <v>0</v>
      </c>
      <c r="J615" t="n">
        <v>0</v>
      </c>
      <c r="K615" t="n">
        <v>0</v>
      </c>
      <c r="L615" t="n">
        <v>0</v>
      </c>
      <c r="M615" t="n">
        <v>0</v>
      </c>
      <c r="N615" t="n">
        <v>0</v>
      </c>
      <c r="O615" t="n">
        <v>0</v>
      </c>
      <c r="P615" t="n">
        <v>0</v>
      </c>
      <c r="Q615" t="n">
        <v>0</v>
      </c>
      <c r="R615" s="2" t="inlineStr"/>
    </row>
    <row r="616" ht="15" customHeight="1">
      <c r="A616" t="inlineStr">
        <is>
          <t>A 38246-2024</t>
        </is>
      </c>
      <c r="B616" s="1" t="n">
        <v>45545.57327546296</v>
      </c>
      <c r="C616" s="1" t="n">
        <v>45967</v>
      </c>
      <c r="D616" t="inlineStr">
        <is>
          <t>VÄSTERNORRLANDS LÄN</t>
        </is>
      </c>
      <c r="E616" t="inlineStr">
        <is>
          <t>ÅNGE</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46681-2023</t>
        </is>
      </c>
      <c r="B617" s="1" t="n">
        <v>45198</v>
      </c>
      <c r="C617" s="1" t="n">
        <v>45967</v>
      </c>
      <c r="D617" t="inlineStr">
        <is>
          <t>VÄSTERNORRLANDS LÄN</t>
        </is>
      </c>
      <c r="E617" t="inlineStr">
        <is>
          <t>ÅNGE</t>
        </is>
      </c>
      <c r="G617" t="n">
        <v>0.8</v>
      </c>
      <c r="H617" t="n">
        <v>0</v>
      </c>
      <c r="I617" t="n">
        <v>0</v>
      </c>
      <c r="J617" t="n">
        <v>0</v>
      </c>
      <c r="K617" t="n">
        <v>0</v>
      </c>
      <c r="L617" t="n">
        <v>0</v>
      </c>
      <c r="M617" t="n">
        <v>0</v>
      </c>
      <c r="N617" t="n">
        <v>0</v>
      </c>
      <c r="O617" t="n">
        <v>0</v>
      </c>
      <c r="P617" t="n">
        <v>0</v>
      </c>
      <c r="Q617" t="n">
        <v>0</v>
      </c>
      <c r="R617" s="2" t="inlineStr"/>
    </row>
    <row r="618" ht="15" customHeight="1">
      <c r="A618" t="inlineStr">
        <is>
          <t>A 41586-2024</t>
        </is>
      </c>
      <c r="B618" s="1" t="n">
        <v>45560.56089120371</v>
      </c>
      <c r="C618" s="1" t="n">
        <v>45967</v>
      </c>
      <c r="D618" t="inlineStr">
        <is>
          <t>VÄSTERNORRLANDS LÄN</t>
        </is>
      </c>
      <c r="E618" t="inlineStr">
        <is>
          <t>ÅNGE</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20255-2023</t>
        </is>
      </c>
      <c r="B619" s="1" t="n">
        <v>45055</v>
      </c>
      <c r="C619" s="1" t="n">
        <v>45967</v>
      </c>
      <c r="D619" t="inlineStr">
        <is>
          <t>VÄSTERNORRLANDS LÄN</t>
        </is>
      </c>
      <c r="E619" t="inlineStr">
        <is>
          <t>ÅNGE</t>
        </is>
      </c>
      <c r="G619" t="n">
        <v>1.4</v>
      </c>
      <c r="H619" t="n">
        <v>0</v>
      </c>
      <c r="I619" t="n">
        <v>0</v>
      </c>
      <c r="J619" t="n">
        <v>0</v>
      </c>
      <c r="K619" t="n">
        <v>0</v>
      </c>
      <c r="L619" t="n">
        <v>0</v>
      </c>
      <c r="M619" t="n">
        <v>0</v>
      </c>
      <c r="N619" t="n">
        <v>0</v>
      </c>
      <c r="O619" t="n">
        <v>0</v>
      </c>
      <c r="P619" t="n">
        <v>0</v>
      </c>
      <c r="Q619" t="n">
        <v>0</v>
      </c>
      <c r="R619" s="2" t="inlineStr"/>
    </row>
    <row r="620" ht="15" customHeight="1">
      <c r="A620" t="inlineStr">
        <is>
          <t>A 48946-2024</t>
        </is>
      </c>
      <c r="B620" s="1" t="n">
        <v>45594.42736111111</v>
      </c>
      <c r="C620" s="1" t="n">
        <v>45967</v>
      </c>
      <c r="D620" t="inlineStr">
        <is>
          <t>VÄSTERNORRLANDS LÄN</t>
        </is>
      </c>
      <c r="E620" t="inlineStr">
        <is>
          <t>ÅNGE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54429-2024</t>
        </is>
      </c>
      <c r="B621" s="1" t="n">
        <v>45617.49087962963</v>
      </c>
      <c r="C621" s="1" t="n">
        <v>45967</v>
      </c>
      <c r="D621" t="inlineStr">
        <is>
          <t>VÄSTERNORRLANDS LÄN</t>
        </is>
      </c>
      <c r="E621" t="inlineStr">
        <is>
          <t>ÅNGE</t>
        </is>
      </c>
      <c r="G621" t="n">
        <v>0.6</v>
      </c>
      <c r="H621" t="n">
        <v>0</v>
      </c>
      <c r="I621" t="n">
        <v>0</v>
      </c>
      <c r="J621" t="n">
        <v>0</v>
      </c>
      <c r="K621" t="n">
        <v>0</v>
      </c>
      <c r="L621" t="n">
        <v>0</v>
      </c>
      <c r="M621" t="n">
        <v>0</v>
      </c>
      <c r="N621" t="n">
        <v>0</v>
      </c>
      <c r="O621" t="n">
        <v>0</v>
      </c>
      <c r="P621" t="n">
        <v>0</v>
      </c>
      <c r="Q621" t="n">
        <v>0</v>
      </c>
      <c r="R621" s="2" t="inlineStr"/>
    </row>
    <row r="622" ht="15" customHeight="1">
      <c r="A622" t="inlineStr">
        <is>
          <t>A 22988-2024</t>
        </is>
      </c>
      <c r="B622" s="1" t="n">
        <v>45449.94530092592</v>
      </c>
      <c r="C622" s="1" t="n">
        <v>45967</v>
      </c>
      <c r="D622" t="inlineStr">
        <is>
          <t>VÄSTERNORRLANDS LÄN</t>
        </is>
      </c>
      <c r="E622" t="inlineStr">
        <is>
          <t>ÅNGE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59222-2020</t>
        </is>
      </c>
      <c r="B623" s="1" t="n">
        <v>44147</v>
      </c>
      <c r="C623" s="1" t="n">
        <v>45967</v>
      </c>
      <c r="D623" t="inlineStr">
        <is>
          <t>VÄSTERNORRLANDS LÄN</t>
        </is>
      </c>
      <c r="E623" t="inlineStr">
        <is>
          <t>ÅNGE</t>
        </is>
      </c>
      <c r="G623" t="n">
        <v>7.6</v>
      </c>
      <c r="H623" t="n">
        <v>0</v>
      </c>
      <c r="I623" t="n">
        <v>0</v>
      </c>
      <c r="J623" t="n">
        <v>0</v>
      </c>
      <c r="K623" t="n">
        <v>0</v>
      </c>
      <c r="L623" t="n">
        <v>0</v>
      </c>
      <c r="M623" t="n">
        <v>0</v>
      </c>
      <c r="N623" t="n">
        <v>0</v>
      </c>
      <c r="O623" t="n">
        <v>0</v>
      </c>
      <c r="P623" t="n">
        <v>0</v>
      </c>
      <c r="Q623" t="n">
        <v>0</v>
      </c>
      <c r="R623" s="2" t="inlineStr"/>
    </row>
    <row r="624" ht="15" customHeight="1">
      <c r="A624" t="inlineStr">
        <is>
          <t>A 3023-2023</t>
        </is>
      </c>
      <c r="B624" s="1" t="n">
        <v>44945</v>
      </c>
      <c r="C624" s="1" t="n">
        <v>45967</v>
      </c>
      <c r="D624" t="inlineStr">
        <is>
          <t>VÄSTERNORRLANDS LÄN</t>
        </is>
      </c>
      <c r="E624" t="inlineStr">
        <is>
          <t>ÅNGE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3025-2023</t>
        </is>
      </c>
      <c r="B625" s="1" t="n">
        <v>44945</v>
      </c>
      <c r="C625" s="1" t="n">
        <v>45967</v>
      </c>
      <c r="D625" t="inlineStr">
        <is>
          <t>VÄSTERNORRLANDS LÄN</t>
        </is>
      </c>
      <c r="E625" t="inlineStr">
        <is>
          <t>ÅNGE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26943-2024</t>
        </is>
      </c>
      <c r="B626" s="1" t="n">
        <v>45470</v>
      </c>
      <c r="C626" s="1" t="n">
        <v>45967</v>
      </c>
      <c r="D626" t="inlineStr">
        <is>
          <t>VÄSTERNORRLANDS LÄN</t>
        </is>
      </c>
      <c r="E626" t="inlineStr">
        <is>
          <t>ÅNGE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45967</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38002-2024</t>
        </is>
      </c>
      <c r="B628" s="1" t="n">
        <v>45544.61484953704</v>
      </c>
      <c r="C628" s="1" t="n">
        <v>45967</v>
      </c>
      <c r="D628" t="inlineStr">
        <is>
          <t>VÄSTERNORRLANDS LÄN</t>
        </is>
      </c>
      <c r="E628" t="inlineStr">
        <is>
          <t>ÅNGE</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31568-2024</t>
        </is>
      </c>
      <c r="B629" s="1" t="n">
        <v>45505.96721064814</v>
      </c>
      <c r="C629" s="1" t="n">
        <v>45967</v>
      </c>
      <c r="D629" t="inlineStr">
        <is>
          <t>VÄSTERNORRLANDS LÄN</t>
        </is>
      </c>
      <c r="E629" t="inlineStr">
        <is>
          <t>ÅNGE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44565-2024</t>
        </is>
      </c>
      <c r="B630" s="1" t="n">
        <v>45574.47518518518</v>
      </c>
      <c r="C630" s="1" t="n">
        <v>45967</v>
      </c>
      <c r="D630" t="inlineStr">
        <is>
          <t>VÄSTERNORRLANDS LÄN</t>
        </is>
      </c>
      <c r="E630" t="inlineStr">
        <is>
          <t>ÅNGE</t>
        </is>
      </c>
      <c r="G630" t="n">
        <v>1.8</v>
      </c>
      <c r="H630" t="n">
        <v>0</v>
      </c>
      <c r="I630" t="n">
        <v>0</v>
      </c>
      <c r="J630" t="n">
        <v>0</v>
      </c>
      <c r="K630" t="n">
        <v>0</v>
      </c>
      <c r="L630" t="n">
        <v>0</v>
      </c>
      <c r="M630" t="n">
        <v>0</v>
      </c>
      <c r="N630" t="n">
        <v>0</v>
      </c>
      <c r="O630" t="n">
        <v>0</v>
      </c>
      <c r="P630" t="n">
        <v>0</v>
      </c>
      <c r="Q630" t="n">
        <v>0</v>
      </c>
      <c r="R630" s="2" t="inlineStr"/>
    </row>
    <row r="631" ht="15" customHeight="1">
      <c r="A631" t="inlineStr">
        <is>
          <t>A 19997-2023</t>
        </is>
      </c>
      <c r="B631" s="1" t="n">
        <v>45054</v>
      </c>
      <c r="C631" s="1" t="n">
        <v>45967</v>
      </c>
      <c r="D631" t="inlineStr">
        <is>
          <t>VÄSTERNORRLANDS LÄN</t>
        </is>
      </c>
      <c r="E631" t="inlineStr">
        <is>
          <t>ÅNGE</t>
        </is>
      </c>
      <c r="G631" t="n">
        <v>0.3</v>
      </c>
      <c r="H631" t="n">
        <v>0</v>
      </c>
      <c r="I631" t="n">
        <v>0</v>
      </c>
      <c r="J631" t="n">
        <v>0</v>
      </c>
      <c r="K631" t="n">
        <v>0</v>
      </c>
      <c r="L631" t="n">
        <v>0</v>
      </c>
      <c r="M631" t="n">
        <v>0</v>
      </c>
      <c r="N631" t="n">
        <v>0</v>
      </c>
      <c r="O631" t="n">
        <v>0</v>
      </c>
      <c r="P631" t="n">
        <v>0</v>
      </c>
      <c r="Q631" t="n">
        <v>0</v>
      </c>
      <c r="R631" s="2" t="inlineStr"/>
    </row>
    <row r="632" ht="15" customHeight="1">
      <c r="A632" t="inlineStr">
        <is>
          <t>A 3352-2021</t>
        </is>
      </c>
      <c r="B632" s="1" t="n">
        <v>44217</v>
      </c>
      <c r="C632" s="1" t="n">
        <v>45967</v>
      </c>
      <c r="D632" t="inlineStr">
        <is>
          <t>VÄSTERNORRLANDS LÄN</t>
        </is>
      </c>
      <c r="E632" t="inlineStr">
        <is>
          <t>ÅNGE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53512-2023</t>
        </is>
      </c>
      <c r="B633" s="1" t="n">
        <v>45230</v>
      </c>
      <c r="C633" s="1" t="n">
        <v>45967</v>
      </c>
      <c r="D633" t="inlineStr">
        <is>
          <t>VÄSTERNORRLANDS LÄN</t>
        </is>
      </c>
      <c r="E633" t="inlineStr">
        <is>
          <t>ÅNGE</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36492-2023</t>
        </is>
      </c>
      <c r="B634" s="1" t="n">
        <v>45152.92479166666</v>
      </c>
      <c r="C634" s="1" t="n">
        <v>45967</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34959-2023</t>
        </is>
      </c>
      <c r="B635" s="1" t="n">
        <v>45142</v>
      </c>
      <c r="C635" s="1" t="n">
        <v>45967</v>
      </c>
      <c r="D635" t="inlineStr">
        <is>
          <t>VÄSTERNORRLANDS LÄN</t>
        </is>
      </c>
      <c r="E635" t="inlineStr">
        <is>
          <t>ÅNGE</t>
        </is>
      </c>
      <c r="F635" t="inlineStr">
        <is>
          <t>Sveaskog</t>
        </is>
      </c>
      <c r="G635" t="n">
        <v>6.6</v>
      </c>
      <c r="H635" t="n">
        <v>0</v>
      </c>
      <c r="I635" t="n">
        <v>0</v>
      </c>
      <c r="J635" t="n">
        <v>0</v>
      </c>
      <c r="K635" t="n">
        <v>0</v>
      </c>
      <c r="L635" t="n">
        <v>0</v>
      </c>
      <c r="M635" t="n">
        <v>0</v>
      </c>
      <c r="N635" t="n">
        <v>0</v>
      </c>
      <c r="O635" t="n">
        <v>0</v>
      </c>
      <c r="P635" t="n">
        <v>0</v>
      </c>
      <c r="Q635" t="n">
        <v>0</v>
      </c>
      <c r="R635" s="2" t="inlineStr"/>
    </row>
    <row r="636" ht="15" customHeight="1">
      <c r="A636" t="inlineStr">
        <is>
          <t>A 8650-2024</t>
        </is>
      </c>
      <c r="B636" s="1" t="n">
        <v>45356</v>
      </c>
      <c r="C636" s="1" t="n">
        <v>45967</v>
      </c>
      <c r="D636" t="inlineStr">
        <is>
          <t>VÄSTERNORRLANDS LÄN</t>
        </is>
      </c>
      <c r="E636" t="inlineStr">
        <is>
          <t>ÅNGE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54346-2023</t>
        </is>
      </c>
      <c r="B637" s="1" t="n">
        <v>45232.96087962963</v>
      </c>
      <c r="C637" s="1" t="n">
        <v>45967</v>
      </c>
      <c r="D637" t="inlineStr">
        <is>
          <t>VÄSTERNORRLANDS LÄN</t>
        </is>
      </c>
      <c r="E637" t="inlineStr">
        <is>
          <t>ÅNGE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55328-2023</t>
        </is>
      </c>
      <c r="B638" s="1" t="n">
        <v>45237</v>
      </c>
      <c r="C638" s="1" t="n">
        <v>45967</v>
      </c>
      <c r="D638" t="inlineStr">
        <is>
          <t>VÄSTERNORRLANDS LÄN</t>
        </is>
      </c>
      <c r="E638" t="inlineStr">
        <is>
          <t>ÅNGE</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46267-2025</t>
        </is>
      </c>
      <c r="B639" s="1" t="n">
        <v>45925.36578703704</v>
      </c>
      <c r="C639" s="1" t="n">
        <v>45967</v>
      </c>
      <c r="D639" t="inlineStr">
        <is>
          <t>VÄSTERNORRLANDS LÄN</t>
        </is>
      </c>
      <c r="E639" t="inlineStr">
        <is>
          <t>ÅNGE</t>
        </is>
      </c>
      <c r="G639" t="n">
        <v>1.9</v>
      </c>
      <c r="H639" t="n">
        <v>0</v>
      </c>
      <c r="I639" t="n">
        <v>0</v>
      </c>
      <c r="J639" t="n">
        <v>0</v>
      </c>
      <c r="K639" t="n">
        <v>0</v>
      </c>
      <c r="L639" t="n">
        <v>0</v>
      </c>
      <c r="M639" t="n">
        <v>0</v>
      </c>
      <c r="N639" t="n">
        <v>0</v>
      </c>
      <c r="O639" t="n">
        <v>0</v>
      </c>
      <c r="P639" t="n">
        <v>0</v>
      </c>
      <c r="Q639" t="n">
        <v>0</v>
      </c>
      <c r="R639" s="2" t="inlineStr"/>
    </row>
    <row r="640" ht="15" customHeight="1">
      <c r="A640" t="inlineStr">
        <is>
          <t>A 47488-2025</t>
        </is>
      </c>
      <c r="B640" s="1" t="n">
        <v>45930.69890046296</v>
      </c>
      <c r="C640" s="1" t="n">
        <v>45967</v>
      </c>
      <c r="D640" t="inlineStr">
        <is>
          <t>VÄSTERNORRLANDS LÄN</t>
        </is>
      </c>
      <c r="E640" t="inlineStr">
        <is>
          <t>ÅNGE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11531-2023</t>
        </is>
      </c>
      <c r="B641" s="1" t="n">
        <v>44993.77038194444</v>
      </c>
      <c r="C641" s="1" t="n">
        <v>45967</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11532-2023</t>
        </is>
      </c>
      <c r="B642" s="1" t="n">
        <v>44993.77212962963</v>
      </c>
      <c r="C642" s="1" t="n">
        <v>45967</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41355-2024</t>
        </is>
      </c>
      <c r="B643" s="1" t="n">
        <v>45559.69833333333</v>
      </c>
      <c r="C643" s="1" t="n">
        <v>45967</v>
      </c>
      <c r="D643" t="inlineStr">
        <is>
          <t>VÄSTERNORRLANDS LÄN</t>
        </is>
      </c>
      <c r="E643" t="inlineStr">
        <is>
          <t>ÅNGE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46897-2025</t>
        </is>
      </c>
      <c r="B644" s="1" t="n">
        <v>45929.38597222222</v>
      </c>
      <c r="C644" s="1" t="n">
        <v>45967</v>
      </c>
      <c r="D644" t="inlineStr">
        <is>
          <t>VÄSTERNORRLANDS LÄN</t>
        </is>
      </c>
      <c r="E644" t="inlineStr">
        <is>
          <t>ÅNGE</t>
        </is>
      </c>
      <c r="G644" t="n">
        <v>10.6</v>
      </c>
      <c r="H644" t="n">
        <v>0</v>
      </c>
      <c r="I644" t="n">
        <v>0</v>
      </c>
      <c r="J644" t="n">
        <v>0</v>
      </c>
      <c r="K644" t="n">
        <v>0</v>
      </c>
      <c r="L644" t="n">
        <v>0</v>
      </c>
      <c r="M644" t="n">
        <v>0</v>
      </c>
      <c r="N644" t="n">
        <v>0</v>
      </c>
      <c r="O644" t="n">
        <v>0</v>
      </c>
      <c r="P644" t="n">
        <v>0</v>
      </c>
      <c r="Q644" t="n">
        <v>0</v>
      </c>
      <c r="R644" s="2" t="inlineStr"/>
    </row>
    <row r="645" ht="15" customHeight="1">
      <c r="A645" t="inlineStr">
        <is>
          <t>A 47196-2025</t>
        </is>
      </c>
      <c r="B645" s="1" t="n">
        <v>45930.34520833333</v>
      </c>
      <c r="C645" s="1" t="n">
        <v>45967</v>
      </c>
      <c r="D645" t="inlineStr">
        <is>
          <t>VÄSTERNORRLANDS LÄN</t>
        </is>
      </c>
      <c r="E645" t="inlineStr">
        <is>
          <t>ÅNGE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45631-2021</t>
        </is>
      </c>
      <c r="B646" s="1" t="n">
        <v>44440.98045138889</v>
      </c>
      <c r="C646" s="1" t="n">
        <v>45967</v>
      </c>
      <c r="D646" t="inlineStr">
        <is>
          <t>VÄSTERNORRLANDS LÄN</t>
        </is>
      </c>
      <c r="E646" t="inlineStr">
        <is>
          <t>ÅNGE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57592-2022</t>
        </is>
      </c>
      <c r="B647" s="1" t="n">
        <v>44896.97841435186</v>
      </c>
      <c r="C647" s="1" t="n">
        <v>45967</v>
      </c>
      <c r="D647" t="inlineStr">
        <is>
          <t>VÄSTERNORRLANDS LÄN</t>
        </is>
      </c>
      <c r="E647" t="inlineStr">
        <is>
          <t>ÅNGE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57602-2022</t>
        </is>
      </c>
      <c r="B648" s="1" t="n">
        <v>44896</v>
      </c>
      <c r="C648" s="1" t="n">
        <v>45967</v>
      </c>
      <c r="D648" t="inlineStr">
        <is>
          <t>VÄSTERNORRLANDS LÄN</t>
        </is>
      </c>
      <c r="E648" t="inlineStr">
        <is>
          <t>ÅNGE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56569-2024</t>
        </is>
      </c>
      <c r="B649" s="1" t="n">
        <v>45625</v>
      </c>
      <c r="C649" s="1" t="n">
        <v>45967</v>
      </c>
      <c r="D649" t="inlineStr">
        <is>
          <t>VÄSTERNORRLANDS LÄN</t>
        </is>
      </c>
      <c r="E649" t="inlineStr">
        <is>
          <t>ÅNGE</t>
        </is>
      </c>
      <c r="G649" t="n">
        <v>4.8</v>
      </c>
      <c r="H649" t="n">
        <v>0</v>
      </c>
      <c r="I649" t="n">
        <v>0</v>
      </c>
      <c r="J649" t="n">
        <v>0</v>
      </c>
      <c r="K649" t="n">
        <v>0</v>
      </c>
      <c r="L649" t="n">
        <v>0</v>
      </c>
      <c r="M649" t="n">
        <v>0</v>
      </c>
      <c r="N649" t="n">
        <v>0</v>
      </c>
      <c r="O649" t="n">
        <v>0</v>
      </c>
      <c r="P649" t="n">
        <v>0</v>
      </c>
      <c r="Q649" t="n">
        <v>0</v>
      </c>
      <c r="R649" s="2" t="inlineStr"/>
    </row>
    <row r="650" ht="15" customHeight="1">
      <c r="A650" t="inlineStr">
        <is>
          <t>A 38703-2025</t>
        </is>
      </c>
      <c r="B650" s="1" t="n">
        <v>45885.34440972222</v>
      </c>
      <c r="C650" s="1" t="n">
        <v>45967</v>
      </c>
      <c r="D650" t="inlineStr">
        <is>
          <t>VÄSTERNORRLANDS LÄN</t>
        </is>
      </c>
      <c r="E650" t="inlineStr">
        <is>
          <t>ÅNGE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20231-2022</t>
        </is>
      </c>
      <c r="B651" s="1" t="n">
        <v>44698</v>
      </c>
      <c r="C651" s="1" t="n">
        <v>45967</v>
      </c>
      <c r="D651" t="inlineStr">
        <is>
          <t>VÄSTERNORRLANDS LÄN</t>
        </is>
      </c>
      <c r="E651" t="inlineStr">
        <is>
          <t>ÅNGE</t>
        </is>
      </c>
      <c r="G651" t="n">
        <v>4.2</v>
      </c>
      <c r="H651" t="n">
        <v>0</v>
      </c>
      <c r="I651" t="n">
        <v>0</v>
      </c>
      <c r="J651" t="n">
        <v>0</v>
      </c>
      <c r="K651" t="n">
        <v>0</v>
      </c>
      <c r="L651" t="n">
        <v>0</v>
      </c>
      <c r="M651" t="n">
        <v>0</v>
      </c>
      <c r="N651" t="n">
        <v>0</v>
      </c>
      <c r="O651" t="n">
        <v>0</v>
      </c>
      <c r="P651" t="n">
        <v>0</v>
      </c>
      <c r="Q651" t="n">
        <v>0</v>
      </c>
      <c r="R651" s="2" t="inlineStr"/>
    </row>
    <row r="652" ht="15" customHeight="1">
      <c r="A652" t="inlineStr">
        <is>
          <t>A 39985-2023</t>
        </is>
      </c>
      <c r="B652" s="1" t="n">
        <v>45168</v>
      </c>
      <c r="C652" s="1" t="n">
        <v>45967</v>
      </c>
      <c r="D652" t="inlineStr">
        <is>
          <t>VÄSTERNORRLANDS LÄN</t>
        </is>
      </c>
      <c r="E652" t="inlineStr">
        <is>
          <t>ÅNGE</t>
        </is>
      </c>
      <c r="G652" t="n">
        <v>0.1</v>
      </c>
      <c r="H652" t="n">
        <v>0</v>
      </c>
      <c r="I652" t="n">
        <v>0</v>
      </c>
      <c r="J652" t="n">
        <v>0</v>
      </c>
      <c r="K652" t="n">
        <v>0</v>
      </c>
      <c r="L652" t="n">
        <v>0</v>
      </c>
      <c r="M652" t="n">
        <v>0</v>
      </c>
      <c r="N652" t="n">
        <v>0</v>
      </c>
      <c r="O652" t="n">
        <v>0</v>
      </c>
      <c r="P652" t="n">
        <v>0</v>
      </c>
      <c r="Q652" t="n">
        <v>0</v>
      </c>
      <c r="R652" s="2" t="inlineStr"/>
    </row>
    <row r="653" ht="15" customHeight="1">
      <c r="A653" t="inlineStr">
        <is>
          <t>A 57529-2024</t>
        </is>
      </c>
      <c r="B653" s="1" t="n">
        <v>45630</v>
      </c>
      <c r="C653" s="1" t="n">
        <v>45967</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4872-2025</t>
        </is>
      </c>
      <c r="B654" s="1" t="n">
        <v>45688.67619212963</v>
      </c>
      <c r="C654" s="1" t="n">
        <v>45967</v>
      </c>
      <c r="D654" t="inlineStr">
        <is>
          <t>VÄSTERNORRLANDS LÄN</t>
        </is>
      </c>
      <c r="E654" t="inlineStr">
        <is>
          <t>ÅNGE</t>
        </is>
      </c>
      <c r="F654" t="inlineStr">
        <is>
          <t>SCA</t>
        </is>
      </c>
      <c r="G654" t="n">
        <v>31.3</v>
      </c>
      <c r="H654" t="n">
        <v>0</v>
      </c>
      <c r="I654" t="n">
        <v>0</v>
      </c>
      <c r="J654" t="n">
        <v>0</v>
      </c>
      <c r="K654" t="n">
        <v>0</v>
      </c>
      <c r="L654" t="n">
        <v>0</v>
      </c>
      <c r="M654" t="n">
        <v>0</v>
      </c>
      <c r="N654" t="n">
        <v>0</v>
      </c>
      <c r="O654" t="n">
        <v>0</v>
      </c>
      <c r="P654" t="n">
        <v>0</v>
      </c>
      <c r="Q654" t="n">
        <v>0</v>
      </c>
      <c r="R654" s="2" t="inlineStr"/>
      <c r="U654">
        <f>HYPERLINK("https://klasma.github.io/Logging_2260/knärot/A 4872-2025 karta knärot.png", "A 4872-2025")</f>
        <v/>
      </c>
      <c r="V654">
        <f>HYPERLINK("https://klasma.github.io/Logging_2260/klagomål/A 4872-2025 FSC-klagomål.docx", "A 4872-2025")</f>
        <v/>
      </c>
      <c r="W654">
        <f>HYPERLINK("https://klasma.github.io/Logging_2260/klagomålsmail/A 4872-2025 FSC-klagomål mail.docx", "A 4872-2025")</f>
        <v/>
      </c>
      <c r="X654">
        <f>HYPERLINK("https://klasma.github.io/Logging_2260/tillsyn/A 4872-2025 tillsynsbegäran.docx", "A 4872-2025")</f>
        <v/>
      </c>
      <c r="Y654">
        <f>HYPERLINK("https://klasma.github.io/Logging_2260/tillsynsmail/A 4872-2025 tillsynsbegäran mail.docx", "A 4872-2025")</f>
        <v/>
      </c>
    </row>
    <row r="655" ht="15" customHeight="1">
      <c r="A655" t="inlineStr">
        <is>
          <t>A 58748-2023</t>
        </is>
      </c>
      <c r="B655" s="1" t="n">
        <v>45251.92936342592</v>
      </c>
      <c r="C655" s="1" t="n">
        <v>45967</v>
      </c>
      <c r="D655" t="inlineStr">
        <is>
          <t>VÄSTERNORRLANDS LÄN</t>
        </is>
      </c>
      <c r="E655" t="inlineStr">
        <is>
          <t>ÅNGE</t>
        </is>
      </c>
      <c r="G655" t="n">
        <v>2.7</v>
      </c>
      <c r="H655" t="n">
        <v>0</v>
      </c>
      <c r="I655" t="n">
        <v>0</v>
      </c>
      <c r="J655" t="n">
        <v>0</v>
      </c>
      <c r="K655" t="n">
        <v>0</v>
      </c>
      <c r="L655" t="n">
        <v>0</v>
      </c>
      <c r="M655" t="n">
        <v>0</v>
      </c>
      <c r="N655" t="n">
        <v>0</v>
      </c>
      <c r="O655" t="n">
        <v>0</v>
      </c>
      <c r="P655" t="n">
        <v>0</v>
      </c>
      <c r="Q655" t="n">
        <v>0</v>
      </c>
      <c r="R655" s="2" t="inlineStr"/>
    </row>
    <row r="656" ht="15" customHeight="1">
      <c r="A656" t="inlineStr">
        <is>
          <t>A 16973-2025</t>
        </is>
      </c>
      <c r="B656" s="1" t="n">
        <v>45755.46967592592</v>
      </c>
      <c r="C656" s="1" t="n">
        <v>45967</v>
      </c>
      <c r="D656" t="inlineStr">
        <is>
          <t>VÄSTERNORRLANDS LÄN</t>
        </is>
      </c>
      <c r="E656" t="inlineStr">
        <is>
          <t>ÅNGE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47377-2025</t>
        </is>
      </c>
      <c r="B657" s="1" t="n">
        <v>45930.59469907408</v>
      </c>
      <c r="C657" s="1" t="n">
        <v>45967</v>
      </c>
      <c r="D657" t="inlineStr">
        <is>
          <t>VÄSTERNORRLANDS LÄN</t>
        </is>
      </c>
      <c r="E657" t="inlineStr">
        <is>
          <t>ÅNGE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47440-2025</t>
        </is>
      </c>
      <c r="B658" s="1" t="n">
        <v>45930.63766203704</v>
      </c>
      <c r="C658" s="1" t="n">
        <v>45967</v>
      </c>
      <c r="D658" t="inlineStr">
        <is>
          <t>VÄSTERNORRLANDS LÄN</t>
        </is>
      </c>
      <c r="E658" t="inlineStr">
        <is>
          <t>ÅNGE</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43552-2023</t>
        </is>
      </c>
      <c r="B659" s="1" t="n">
        <v>45181</v>
      </c>
      <c r="C659" s="1" t="n">
        <v>45967</v>
      </c>
      <c r="D659" t="inlineStr">
        <is>
          <t>VÄSTERNORRLANDS LÄN</t>
        </is>
      </c>
      <c r="E659" t="inlineStr">
        <is>
          <t>ÅNGE</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47118-2025</t>
        </is>
      </c>
      <c r="B660" s="1" t="n">
        <v>45929.67770833334</v>
      </c>
      <c r="C660" s="1" t="n">
        <v>45967</v>
      </c>
      <c r="D660" t="inlineStr">
        <is>
          <t>VÄSTERNORRLANDS LÄN</t>
        </is>
      </c>
      <c r="E660" t="inlineStr">
        <is>
          <t>ÅNGE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32051-2025</t>
        </is>
      </c>
      <c r="B661" s="1" t="n">
        <v>45835.44185185185</v>
      </c>
      <c r="C661" s="1" t="n">
        <v>45967</v>
      </c>
      <c r="D661" t="inlineStr">
        <is>
          <t>VÄSTERNORRLANDS LÄN</t>
        </is>
      </c>
      <c r="E661" t="inlineStr">
        <is>
          <t>ÅNGE</t>
        </is>
      </c>
      <c r="G661" t="n">
        <v>4</v>
      </c>
      <c r="H661" t="n">
        <v>0</v>
      </c>
      <c r="I661" t="n">
        <v>0</v>
      </c>
      <c r="J661" t="n">
        <v>0</v>
      </c>
      <c r="K661" t="n">
        <v>0</v>
      </c>
      <c r="L661" t="n">
        <v>0</v>
      </c>
      <c r="M661" t="n">
        <v>0</v>
      </c>
      <c r="N661" t="n">
        <v>0</v>
      </c>
      <c r="O661" t="n">
        <v>0</v>
      </c>
      <c r="P661" t="n">
        <v>0</v>
      </c>
      <c r="Q661" t="n">
        <v>0</v>
      </c>
      <c r="R661" s="2" t="inlineStr"/>
    </row>
    <row r="662" ht="15" customHeight="1">
      <c r="A662" t="inlineStr">
        <is>
          <t>A 46829-2025</t>
        </is>
      </c>
      <c r="B662" s="1" t="n">
        <v>45927.34513888889</v>
      </c>
      <c r="C662" s="1" t="n">
        <v>45967</v>
      </c>
      <c r="D662" t="inlineStr">
        <is>
          <t>VÄSTERNORRLANDS LÄN</t>
        </is>
      </c>
      <c r="E662" t="inlineStr">
        <is>
          <t>ÅNGE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48632-2023</t>
        </is>
      </c>
      <c r="B663" s="1" t="n">
        <v>45208.57944444445</v>
      </c>
      <c r="C663" s="1" t="n">
        <v>45967</v>
      </c>
      <c r="D663" t="inlineStr">
        <is>
          <t>VÄSTERNORRLANDS LÄN</t>
        </is>
      </c>
      <c r="E663" t="inlineStr">
        <is>
          <t>ÅNGE</t>
        </is>
      </c>
      <c r="G663" t="n">
        <v>2.2</v>
      </c>
      <c r="H663" t="n">
        <v>0</v>
      </c>
      <c r="I663" t="n">
        <v>0</v>
      </c>
      <c r="J663" t="n">
        <v>0</v>
      </c>
      <c r="K663" t="n">
        <v>0</v>
      </c>
      <c r="L663" t="n">
        <v>0</v>
      </c>
      <c r="M663" t="n">
        <v>0</v>
      </c>
      <c r="N663" t="n">
        <v>0</v>
      </c>
      <c r="O663" t="n">
        <v>0</v>
      </c>
      <c r="P663" t="n">
        <v>0</v>
      </c>
      <c r="Q663" t="n">
        <v>0</v>
      </c>
      <c r="R663" s="2" t="inlineStr"/>
    </row>
    <row r="664" ht="15" customHeight="1">
      <c r="A664" t="inlineStr">
        <is>
          <t>A 20716-2025</t>
        </is>
      </c>
      <c r="B664" s="1" t="n">
        <v>45776.49026620371</v>
      </c>
      <c r="C664" s="1" t="n">
        <v>45967</v>
      </c>
      <c r="D664" t="inlineStr">
        <is>
          <t>VÄSTERNORRLANDS LÄN</t>
        </is>
      </c>
      <c r="E664" t="inlineStr">
        <is>
          <t>ÅNGE</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46775-2024</t>
        </is>
      </c>
      <c r="B665" s="1" t="n">
        <v>45583.49711805556</v>
      </c>
      <c r="C665" s="1" t="n">
        <v>45967</v>
      </c>
      <c r="D665" t="inlineStr">
        <is>
          <t>VÄSTERNORRLANDS LÄN</t>
        </is>
      </c>
      <c r="E665" t="inlineStr">
        <is>
          <t>ÅNGE</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46780-2024</t>
        </is>
      </c>
      <c r="B666" s="1" t="n">
        <v>45583.51076388889</v>
      </c>
      <c r="C666" s="1" t="n">
        <v>45967</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18880-2024</t>
        </is>
      </c>
      <c r="B667" s="1" t="n">
        <v>45426</v>
      </c>
      <c r="C667" s="1" t="n">
        <v>45967</v>
      </c>
      <c r="D667" t="inlineStr">
        <is>
          <t>VÄSTERNORRLANDS LÄN</t>
        </is>
      </c>
      <c r="E667" t="inlineStr">
        <is>
          <t>ÅNGE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55558-2024</t>
        </is>
      </c>
      <c r="B668" s="1" t="n">
        <v>45622.52586805556</v>
      </c>
      <c r="C668" s="1" t="n">
        <v>45967</v>
      </c>
      <c r="D668" t="inlineStr">
        <is>
          <t>VÄSTERNORRLANDS LÄN</t>
        </is>
      </c>
      <c r="E668" t="inlineStr">
        <is>
          <t>ÅNGE</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20229-2022</t>
        </is>
      </c>
      <c r="B669" s="1" t="n">
        <v>44698.61150462963</v>
      </c>
      <c r="C669" s="1" t="n">
        <v>45967</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38711-2025</t>
        </is>
      </c>
      <c r="B670" s="1" t="n">
        <v>45886.34450231482</v>
      </c>
      <c r="C670" s="1" t="n">
        <v>45967</v>
      </c>
      <c r="D670" t="inlineStr">
        <is>
          <t>VÄSTERNORRLANDS LÄN</t>
        </is>
      </c>
      <c r="E670" t="inlineStr">
        <is>
          <t>ÅNGE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38715-2025</t>
        </is>
      </c>
      <c r="B671" s="1" t="n">
        <v>45886.34501157407</v>
      </c>
      <c r="C671" s="1" t="n">
        <v>45967</v>
      </c>
      <c r="D671" t="inlineStr">
        <is>
          <t>VÄSTERNORRLANDS LÄN</t>
        </is>
      </c>
      <c r="E671" t="inlineStr">
        <is>
          <t>ÅNGE</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8747-2022</t>
        </is>
      </c>
      <c r="B672" s="1" t="n">
        <v>44614.33912037037</v>
      </c>
      <c r="C672" s="1" t="n">
        <v>45967</v>
      </c>
      <c r="D672" t="inlineStr">
        <is>
          <t>VÄSTERNORRLANDS LÄN</t>
        </is>
      </c>
      <c r="E672" t="inlineStr">
        <is>
          <t>ÅNGE</t>
        </is>
      </c>
      <c r="G672" t="n">
        <v>1.5</v>
      </c>
      <c r="H672" t="n">
        <v>0</v>
      </c>
      <c r="I672" t="n">
        <v>0</v>
      </c>
      <c r="J672" t="n">
        <v>0</v>
      </c>
      <c r="K672" t="n">
        <v>0</v>
      </c>
      <c r="L672" t="n">
        <v>0</v>
      </c>
      <c r="M672" t="n">
        <v>0</v>
      </c>
      <c r="N672" t="n">
        <v>0</v>
      </c>
      <c r="O672" t="n">
        <v>0</v>
      </c>
      <c r="P672" t="n">
        <v>0</v>
      </c>
      <c r="Q672" t="n">
        <v>0</v>
      </c>
      <c r="R672" s="2" t="inlineStr"/>
    </row>
    <row r="673" ht="15" customHeight="1">
      <c r="A673" t="inlineStr">
        <is>
          <t>A 58639-2023</t>
        </is>
      </c>
      <c r="B673" s="1" t="n">
        <v>45251</v>
      </c>
      <c r="C673" s="1" t="n">
        <v>45967</v>
      </c>
      <c r="D673" t="inlineStr">
        <is>
          <t>VÄSTERNORRLANDS LÄN</t>
        </is>
      </c>
      <c r="E673" t="inlineStr">
        <is>
          <t>ÅNGE</t>
        </is>
      </c>
      <c r="G673" t="n">
        <v>0.6</v>
      </c>
      <c r="H673" t="n">
        <v>0</v>
      </c>
      <c r="I673" t="n">
        <v>0</v>
      </c>
      <c r="J673" t="n">
        <v>0</v>
      </c>
      <c r="K673" t="n">
        <v>0</v>
      </c>
      <c r="L673" t="n">
        <v>0</v>
      </c>
      <c r="M673" t="n">
        <v>0</v>
      </c>
      <c r="N673" t="n">
        <v>0</v>
      </c>
      <c r="O673" t="n">
        <v>0</v>
      </c>
      <c r="P673" t="n">
        <v>0</v>
      </c>
      <c r="Q673" t="n">
        <v>0</v>
      </c>
      <c r="R673" s="2" t="inlineStr"/>
    </row>
    <row r="674" ht="15" customHeight="1">
      <c r="A674" t="inlineStr">
        <is>
          <t>A 14888-2022</t>
        </is>
      </c>
      <c r="B674" s="1" t="n">
        <v>44656</v>
      </c>
      <c r="C674" s="1" t="n">
        <v>45967</v>
      </c>
      <c r="D674" t="inlineStr">
        <is>
          <t>VÄSTERNORRLANDS LÄN</t>
        </is>
      </c>
      <c r="E674" t="inlineStr">
        <is>
          <t>ÅNGE</t>
        </is>
      </c>
      <c r="G674" t="n">
        <v>6.2</v>
      </c>
      <c r="H674" t="n">
        <v>0</v>
      </c>
      <c r="I674" t="n">
        <v>0</v>
      </c>
      <c r="J674" t="n">
        <v>0</v>
      </c>
      <c r="K674" t="n">
        <v>0</v>
      </c>
      <c r="L674" t="n">
        <v>0</v>
      </c>
      <c r="M674" t="n">
        <v>0</v>
      </c>
      <c r="N674" t="n">
        <v>0</v>
      </c>
      <c r="O674" t="n">
        <v>0</v>
      </c>
      <c r="P674" t="n">
        <v>0</v>
      </c>
      <c r="Q674" t="n">
        <v>0</v>
      </c>
      <c r="R674" s="2" t="inlineStr"/>
    </row>
    <row r="675" ht="15" customHeight="1">
      <c r="A675" t="inlineStr">
        <is>
          <t>A 35498-2022</t>
        </is>
      </c>
      <c r="B675" s="1" t="n">
        <v>44798.94810185185</v>
      </c>
      <c r="C675" s="1" t="n">
        <v>45967</v>
      </c>
      <c r="D675" t="inlineStr">
        <is>
          <t>VÄSTERNORRLANDS LÄN</t>
        </is>
      </c>
      <c r="E675" t="inlineStr">
        <is>
          <t>ÅNGE</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46933-2025</t>
        </is>
      </c>
      <c r="B676" s="1" t="n">
        <v>45929.44645833333</v>
      </c>
      <c r="C676" s="1" t="n">
        <v>45967</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55329-2023</t>
        </is>
      </c>
      <c r="B677" s="1" t="n">
        <v>45237</v>
      </c>
      <c r="C677" s="1" t="n">
        <v>45967</v>
      </c>
      <c r="D677" t="inlineStr">
        <is>
          <t>VÄSTERNORRLANDS LÄN</t>
        </is>
      </c>
      <c r="E677" t="inlineStr">
        <is>
          <t>ÅNGE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3986-2025</t>
        </is>
      </c>
      <c r="B678" s="1" t="n">
        <v>45684.55262731481</v>
      </c>
      <c r="C678" s="1" t="n">
        <v>45967</v>
      </c>
      <c r="D678" t="inlineStr">
        <is>
          <t>VÄSTERNORRLANDS LÄN</t>
        </is>
      </c>
      <c r="E678" t="inlineStr">
        <is>
          <t>ÅNGE</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3347-2024</t>
        </is>
      </c>
      <c r="B679" s="1" t="n">
        <v>45317</v>
      </c>
      <c r="C679" s="1" t="n">
        <v>45967</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9382-2025</t>
        </is>
      </c>
      <c r="B680" s="1" t="n">
        <v>45715.34425925926</v>
      </c>
      <c r="C680" s="1" t="n">
        <v>45967</v>
      </c>
      <c r="D680" t="inlineStr">
        <is>
          <t>VÄSTERNORRLANDS LÄN</t>
        </is>
      </c>
      <c r="E680" t="inlineStr">
        <is>
          <t>ÅNGE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39444-2025</t>
        </is>
      </c>
      <c r="B681" s="1" t="n">
        <v>45889.69826388889</v>
      </c>
      <c r="C681" s="1" t="n">
        <v>45967</v>
      </c>
      <c r="D681" t="inlineStr">
        <is>
          <t>VÄSTERNORRLANDS LÄN</t>
        </is>
      </c>
      <c r="E681" t="inlineStr">
        <is>
          <t>ÅNGE</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1711-2025</t>
        </is>
      </c>
      <c r="B682" s="1" t="n">
        <v>45671.31184027778</v>
      </c>
      <c r="C682" s="1" t="n">
        <v>45967</v>
      </c>
      <c r="D682" t="inlineStr">
        <is>
          <t>VÄSTERNORRLANDS LÄN</t>
        </is>
      </c>
      <c r="E682" t="inlineStr">
        <is>
          <t>ÅNGE</t>
        </is>
      </c>
      <c r="G682" t="n">
        <v>2.8</v>
      </c>
      <c r="H682" t="n">
        <v>0</v>
      </c>
      <c r="I682" t="n">
        <v>0</v>
      </c>
      <c r="J682" t="n">
        <v>0</v>
      </c>
      <c r="K682" t="n">
        <v>0</v>
      </c>
      <c r="L682" t="n">
        <v>0</v>
      </c>
      <c r="M682" t="n">
        <v>0</v>
      </c>
      <c r="N682" t="n">
        <v>0</v>
      </c>
      <c r="O682" t="n">
        <v>0</v>
      </c>
      <c r="P682" t="n">
        <v>0</v>
      </c>
      <c r="Q682" t="n">
        <v>0</v>
      </c>
      <c r="R682" s="2" t="inlineStr"/>
    </row>
    <row r="683" ht="15" customHeight="1">
      <c r="A683" t="inlineStr">
        <is>
          <t>A 42043-2024</t>
        </is>
      </c>
      <c r="B683" s="1" t="n">
        <v>45561</v>
      </c>
      <c r="C683" s="1" t="n">
        <v>45967</v>
      </c>
      <c r="D683" t="inlineStr">
        <is>
          <t>VÄSTERNORRLANDS LÄN</t>
        </is>
      </c>
      <c r="E683" t="inlineStr">
        <is>
          <t>ÅNGE</t>
        </is>
      </c>
      <c r="G683" t="n">
        <v>3.1</v>
      </c>
      <c r="H683" t="n">
        <v>0</v>
      </c>
      <c r="I683" t="n">
        <v>0</v>
      </c>
      <c r="J683" t="n">
        <v>0</v>
      </c>
      <c r="K683" t="n">
        <v>0</v>
      </c>
      <c r="L683" t="n">
        <v>0</v>
      </c>
      <c r="M683" t="n">
        <v>0</v>
      </c>
      <c r="N683" t="n">
        <v>0</v>
      </c>
      <c r="O683" t="n">
        <v>0</v>
      </c>
      <c r="P683" t="n">
        <v>0</v>
      </c>
      <c r="Q683" t="n">
        <v>0</v>
      </c>
      <c r="R683" s="2" t="inlineStr"/>
    </row>
    <row r="684" ht="15" customHeight="1">
      <c r="A684" t="inlineStr">
        <is>
          <t>A 42046-2024</t>
        </is>
      </c>
      <c r="B684" s="1" t="n">
        <v>45561.83422453704</v>
      </c>
      <c r="C684" s="1" t="n">
        <v>45967</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46795-2023</t>
        </is>
      </c>
      <c r="B685" s="1" t="n">
        <v>45198</v>
      </c>
      <c r="C685" s="1" t="n">
        <v>45967</v>
      </c>
      <c r="D685" t="inlineStr">
        <is>
          <t>VÄSTERNORRLANDS LÄN</t>
        </is>
      </c>
      <c r="E685" t="inlineStr">
        <is>
          <t>ÅNGE</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55751-2024</t>
        </is>
      </c>
      <c r="B686" s="1" t="n">
        <v>45623.34409722222</v>
      </c>
      <c r="C686" s="1" t="n">
        <v>45967</v>
      </c>
      <c r="D686" t="inlineStr">
        <is>
          <t>VÄSTERNORRLANDS LÄN</t>
        </is>
      </c>
      <c r="E686" t="inlineStr">
        <is>
          <t>ÅNGE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47752-2025</t>
        </is>
      </c>
      <c r="B687" s="1" t="n">
        <v>45931.66358796296</v>
      </c>
      <c r="C687" s="1" t="n">
        <v>45967</v>
      </c>
      <c r="D687" t="inlineStr">
        <is>
          <t>VÄSTERNORRLANDS LÄN</t>
        </is>
      </c>
      <c r="E687" t="inlineStr">
        <is>
          <t>ÅNGE</t>
        </is>
      </c>
      <c r="G687" t="n">
        <v>3.9</v>
      </c>
      <c r="H687" t="n">
        <v>0</v>
      </c>
      <c r="I687" t="n">
        <v>0</v>
      </c>
      <c r="J687" t="n">
        <v>0</v>
      </c>
      <c r="K687" t="n">
        <v>0</v>
      </c>
      <c r="L687" t="n">
        <v>0</v>
      </c>
      <c r="M687" t="n">
        <v>0</v>
      </c>
      <c r="N687" t="n">
        <v>0</v>
      </c>
      <c r="O687" t="n">
        <v>0</v>
      </c>
      <c r="P687" t="n">
        <v>0</v>
      </c>
      <c r="Q687" t="n">
        <v>0</v>
      </c>
      <c r="R687" s="2" t="inlineStr"/>
    </row>
    <row r="688" ht="15" customHeight="1">
      <c r="A688" t="inlineStr">
        <is>
          <t>A 48069-2025</t>
        </is>
      </c>
      <c r="B688" s="1" t="n">
        <v>45932.69865740741</v>
      </c>
      <c r="C688" s="1" t="n">
        <v>45967</v>
      </c>
      <c r="D688" t="inlineStr">
        <is>
          <t>VÄSTERNORRLANDS LÄN</t>
        </is>
      </c>
      <c r="E688" t="inlineStr">
        <is>
          <t>ÅNGE</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4094-2025</t>
        </is>
      </c>
      <c r="B689" s="1" t="n">
        <v>45684.6778125</v>
      </c>
      <c r="C689" s="1" t="n">
        <v>45967</v>
      </c>
      <c r="D689" t="inlineStr">
        <is>
          <t>VÄSTERNORRLANDS LÄN</t>
        </is>
      </c>
      <c r="E689" t="inlineStr">
        <is>
          <t>ÅNGE</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56232-2024</t>
        </is>
      </c>
      <c r="B690" s="1" t="n">
        <v>45624</v>
      </c>
      <c r="C690" s="1" t="n">
        <v>45967</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44635-2024</t>
        </is>
      </c>
      <c r="B691" s="1" t="n">
        <v>45574.51488425926</v>
      </c>
      <c r="C691" s="1" t="n">
        <v>45967</v>
      </c>
      <c r="D691" t="inlineStr">
        <is>
          <t>VÄSTERNORRLANDS LÄN</t>
        </is>
      </c>
      <c r="E691" t="inlineStr">
        <is>
          <t>ÅNGE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39434-2025</t>
        </is>
      </c>
      <c r="B692" s="1" t="n">
        <v>45889.67811342593</v>
      </c>
      <c r="C692" s="1" t="n">
        <v>45967</v>
      </c>
      <c r="D692" t="inlineStr">
        <is>
          <t>VÄSTERNORRLANDS LÄN</t>
        </is>
      </c>
      <c r="E692" t="inlineStr">
        <is>
          <t>ÅNGE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39973-2023</t>
        </is>
      </c>
      <c r="B693" s="1" t="n">
        <v>45168.5858912037</v>
      </c>
      <c r="C693" s="1" t="n">
        <v>45967</v>
      </c>
      <c r="D693" t="inlineStr">
        <is>
          <t>VÄSTERNORRLANDS LÄN</t>
        </is>
      </c>
      <c r="E693" t="inlineStr">
        <is>
          <t>ÅNGE</t>
        </is>
      </c>
      <c r="G693" t="n">
        <v>3.6</v>
      </c>
      <c r="H693" t="n">
        <v>0</v>
      </c>
      <c r="I693" t="n">
        <v>0</v>
      </c>
      <c r="J693" t="n">
        <v>0</v>
      </c>
      <c r="K693" t="n">
        <v>0</v>
      </c>
      <c r="L693" t="n">
        <v>0</v>
      </c>
      <c r="M693" t="n">
        <v>0</v>
      </c>
      <c r="N693" t="n">
        <v>0</v>
      </c>
      <c r="O693" t="n">
        <v>0</v>
      </c>
      <c r="P693" t="n">
        <v>0</v>
      </c>
      <c r="Q693" t="n">
        <v>0</v>
      </c>
      <c r="R693" s="2" t="inlineStr"/>
    </row>
    <row r="694" ht="15" customHeight="1">
      <c r="A694" t="inlineStr">
        <is>
          <t>A 16191-2023</t>
        </is>
      </c>
      <c r="B694" s="1" t="n">
        <v>45027.94111111111</v>
      </c>
      <c r="C694" s="1" t="n">
        <v>45967</v>
      </c>
      <c r="D694" t="inlineStr">
        <is>
          <t>VÄSTERNORRLANDS LÄN</t>
        </is>
      </c>
      <c r="E694" t="inlineStr">
        <is>
          <t>ÅNGE</t>
        </is>
      </c>
      <c r="F694" t="inlineStr">
        <is>
          <t>SCA</t>
        </is>
      </c>
      <c r="G694" t="n">
        <v>6.8</v>
      </c>
      <c r="H694" t="n">
        <v>0</v>
      </c>
      <c r="I694" t="n">
        <v>0</v>
      </c>
      <c r="J694" t="n">
        <v>0</v>
      </c>
      <c r="K694" t="n">
        <v>0</v>
      </c>
      <c r="L694" t="n">
        <v>0</v>
      </c>
      <c r="M694" t="n">
        <v>0</v>
      </c>
      <c r="N694" t="n">
        <v>0</v>
      </c>
      <c r="O694" t="n">
        <v>0</v>
      </c>
      <c r="P694" t="n">
        <v>0</v>
      </c>
      <c r="Q694" t="n">
        <v>0</v>
      </c>
      <c r="R694" s="2" t="inlineStr"/>
    </row>
    <row r="695" ht="15" customHeight="1">
      <c r="A695" t="inlineStr">
        <is>
          <t>A 17670-2023</t>
        </is>
      </c>
      <c r="B695" s="1" t="n">
        <v>45036</v>
      </c>
      <c r="C695" s="1" t="n">
        <v>45967</v>
      </c>
      <c r="D695" t="inlineStr">
        <is>
          <t>VÄSTERNORRLANDS LÄN</t>
        </is>
      </c>
      <c r="E695" t="inlineStr">
        <is>
          <t>ÅNGE</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48055-2025</t>
        </is>
      </c>
      <c r="B696" s="1" t="n">
        <v>45932.67922453704</v>
      </c>
      <c r="C696" s="1" t="n">
        <v>45967</v>
      </c>
      <c r="D696" t="inlineStr">
        <is>
          <t>VÄSTERNORRLANDS LÄN</t>
        </is>
      </c>
      <c r="E696" t="inlineStr">
        <is>
          <t>ÅNGE</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59412-2024</t>
        </is>
      </c>
      <c r="B697" s="1" t="n">
        <v>45638</v>
      </c>
      <c r="C697" s="1" t="n">
        <v>45967</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44518-2024</t>
        </is>
      </c>
      <c r="B698" s="1" t="n">
        <v>45574.43376157407</v>
      </c>
      <c r="C698" s="1" t="n">
        <v>45967</v>
      </c>
      <c r="D698" t="inlineStr">
        <is>
          <t>VÄSTERNORRLANDS LÄN</t>
        </is>
      </c>
      <c r="E698" t="inlineStr">
        <is>
          <t>ÅNGE</t>
        </is>
      </c>
      <c r="G698" t="n">
        <v>2.6</v>
      </c>
      <c r="H698" t="n">
        <v>0</v>
      </c>
      <c r="I698" t="n">
        <v>0</v>
      </c>
      <c r="J698" t="n">
        <v>0</v>
      </c>
      <c r="K698" t="n">
        <v>0</v>
      </c>
      <c r="L698" t="n">
        <v>0</v>
      </c>
      <c r="M698" t="n">
        <v>0</v>
      </c>
      <c r="N698" t="n">
        <v>0</v>
      </c>
      <c r="O698" t="n">
        <v>0</v>
      </c>
      <c r="P698" t="n">
        <v>0</v>
      </c>
      <c r="Q698" t="n">
        <v>0</v>
      </c>
      <c r="R698" s="2" t="inlineStr"/>
    </row>
    <row r="699" ht="15" customHeight="1">
      <c r="A699" t="inlineStr">
        <is>
          <t>A 58637-2023</t>
        </is>
      </c>
      <c r="B699" s="1" t="n">
        <v>45251</v>
      </c>
      <c r="C699" s="1" t="n">
        <v>45967</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51124-2024</t>
        </is>
      </c>
      <c r="B700" s="1" t="n">
        <v>45603.50716435185</v>
      </c>
      <c r="C700" s="1" t="n">
        <v>45967</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20776-2025</t>
        </is>
      </c>
      <c r="B701" s="1" t="n">
        <v>45776.59410879629</v>
      </c>
      <c r="C701" s="1" t="n">
        <v>45967</v>
      </c>
      <c r="D701" t="inlineStr">
        <is>
          <t>VÄSTERNORRLANDS LÄN</t>
        </is>
      </c>
      <c r="E701" t="inlineStr">
        <is>
          <t>ÅNGE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20718-2025</t>
        </is>
      </c>
      <c r="B702" s="1" t="n">
        <v>45776.49047453704</v>
      </c>
      <c r="C702" s="1" t="n">
        <v>45967</v>
      </c>
      <c r="D702" t="inlineStr">
        <is>
          <t>VÄSTERNORRLANDS LÄN</t>
        </is>
      </c>
      <c r="E702" t="inlineStr">
        <is>
          <t>ÅNGE</t>
        </is>
      </c>
      <c r="G702" t="n">
        <v>4.7</v>
      </c>
      <c r="H702" t="n">
        <v>0</v>
      </c>
      <c r="I702" t="n">
        <v>0</v>
      </c>
      <c r="J702" t="n">
        <v>0</v>
      </c>
      <c r="K702" t="n">
        <v>0</v>
      </c>
      <c r="L702" t="n">
        <v>0</v>
      </c>
      <c r="M702" t="n">
        <v>0</v>
      </c>
      <c r="N702" t="n">
        <v>0</v>
      </c>
      <c r="O702" t="n">
        <v>0</v>
      </c>
      <c r="P702" t="n">
        <v>0</v>
      </c>
      <c r="Q702" t="n">
        <v>0</v>
      </c>
      <c r="R702" s="2" t="inlineStr"/>
    </row>
    <row r="703" ht="15" customHeight="1">
      <c r="A703" t="inlineStr">
        <is>
          <t>A 50674-2024</t>
        </is>
      </c>
      <c r="B703" s="1" t="n">
        <v>45601.85402777778</v>
      </c>
      <c r="C703" s="1" t="n">
        <v>45967</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54720-2024</t>
        </is>
      </c>
      <c r="B704" s="1" t="n">
        <v>45618.43715277778</v>
      </c>
      <c r="C704" s="1" t="n">
        <v>45967</v>
      </c>
      <c r="D704" t="inlineStr">
        <is>
          <t>VÄSTERNORRLANDS LÄN</t>
        </is>
      </c>
      <c r="E704" t="inlineStr">
        <is>
          <t>ÅNGE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20864-2025</t>
        </is>
      </c>
      <c r="B705" s="1" t="n">
        <v>45777.34417824074</v>
      </c>
      <c r="C705" s="1" t="n">
        <v>45967</v>
      </c>
      <c r="D705" t="inlineStr">
        <is>
          <t>VÄSTERNORRLANDS LÄN</t>
        </is>
      </c>
      <c r="E705" t="inlineStr">
        <is>
          <t>ÅNGE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53336-2024</t>
        </is>
      </c>
      <c r="B706" s="1" t="n">
        <v>45614.42753472222</v>
      </c>
      <c r="C706" s="1" t="n">
        <v>45967</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57598-2022</t>
        </is>
      </c>
      <c r="B707" s="1" t="n">
        <v>44896</v>
      </c>
      <c r="C707" s="1" t="n">
        <v>45967</v>
      </c>
      <c r="D707" t="inlineStr">
        <is>
          <t>VÄSTERNORRLANDS LÄN</t>
        </is>
      </c>
      <c r="E707" t="inlineStr">
        <is>
          <t>ÅNGE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21068-2025</t>
        </is>
      </c>
      <c r="B708" s="1" t="n">
        <v>45777.59413194445</v>
      </c>
      <c r="C708" s="1" t="n">
        <v>45967</v>
      </c>
      <c r="D708" t="inlineStr">
        <is>
          <t>VÄSTERNORRLANDS LÄN</t>
        </is>
      </c>
      <c r="E708" t="inlineStr">
        <is>
          <t>ÅNGE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20868-2025</t>
        </is>
      </c>
      <c r="B709" s="1" t="n">
        <v>45777.34483796296</v>
      </c>
      <c r="C709" s="1" t="n">
        <v>45967</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35578-2025</t>
        </is>
      </c>
      <c r="B710" s="1" t="n">
        <v>45856.67797453704</v>
      </c>
      <c r="C710" s="1" t="n">
        <v>45967</v>
      </c>
      <c r="D710" t="inlineStr">
        <is>
          <t>VÄSTERNORRLANDS LÄN</t>
        </is>
      </c>
      <c r="E710" t="inlineStr">
        <is>
          <t>ÅNGE</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4236-2025</t>
        </is>
      </c>
      <c r="B711" s="1" t="n">
        <v>45685.56534722223</v>
      </c>
      <c r="C711" s="1" t="n">
        <v>45967</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21176-2025</t>
        </is>
      </c>
      <c r="B712" s="1" t="n">
        <v>45779.42798611111</v>
      </c>
      <c r="C712" s="1" t="n">
        <v>45967</v>
      </c>
      <c r="D712" t="inlineStr">
        <is>
          <t>VÄSTERNORRLANDS LÄN</t>
        </is>
      </c>
      <c r="E712" t="inlineStr">
        <is>
          <t>ÅNGE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21197-2025</t>
        </is>
      </c>
      <c r="B713" s="1" t="n">
        <v>45779.46949074074</v>
      </c>
      <c r="C713" s="1" t="n">
        <v>45967</v>
      </c>
      <c r="D713" t="inlineStr">
        <is>
          <t>VÄSTERNORRLANDS LÄN</t>
        </is>
      </c>
      <c r="E713" t="inlineStr">
        <is>
          <t>ÅNGE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21563-2025</t>
        </is>
      </c>
      <c r="B714" s="1" t="n">
        <v>45782.69822916666</v>
      </c>
      <c r="C714" s="1" t="n">
        <v>45967</v>
      </c>
      <c r="D714" t="inlineStr">
        <is>
          <t>VÄSTERNORRLANDS LÄN</t>
        </is>
      </c>
      <c r="E714" t="inlineStr">
        <is>
          <t>ÅNGE</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48235-2025</t>
        </is>
      </c>
      <c r="B715" s="1" t="n">
        <v>45933.5321412037</v>
      </c>
      <c r="C715" s="1" t="n">
        <v>45967</v>
      </c>
      <c r="D715" t="inlineStr">
        <is>
          <t>VÄSTERNORRLANDS LÄN</t>
        </is>
      </c>
      <c r="E715" t="inlineStr">
        <is>
          <t>ÅNGE</t>
        </is>
      </c>
      <c r="G715" t="n">
        <v>3.1</v>
      </c>
      <c r="H715" t="n">
        <v>0</v>
      </c>
      <c r="I715" t="n">
        <v>0</v>
      </c>
      <c r="J715" t="n">
        <v>0</v>
      </c>
      <c r="K715" t="n">
        <v>0</v>
      </c>
      <c r="L715" t="n">
        <v>0</v>
      </c>
      <c r="M715" t="n">
        <v>0</v>
      </c>
      <c r="N715" t="n">
        <v>0</v>
      </c>
      <c r="O715" t="n">
        <v>0</v>
      </c>
      <c r="P715" t="n">
        <v>0</v>
      </c>
      <c r="Q715" t="n">
        <v>0</v>
      </c>
      <c r="R715" s="2" t="inlineStr"/>
    </row>
    <row r="716" ht="15" customHeight="1">
      <c r="A716" t="inlineStr">
        <is>
          <t>A 45030-2024</t>
        </is>
      </c>
      <c r="B716" s="1" t="n">
        <v>45575.52089120371</v>
      </c>
      <c r="C716" s="1" t="n">
        <v>45967</v>
      </c>
      <c r="D716" t="inlineStr">
        <is>
          <t>VÄSTERNORRLANDS LÄN</t>
        </is>
      </c>
      <c r="E716" t="inlineStr">
        <is>
          <t>ÅNGE</t>
        </is>
      </c>
      <c r="G716" t="n">
        <v>1.7</v>
      </c>
      <c r="H716" t="n">
        <v>0</v>
      </c>
      <c r="I716" t="n">
        <v>0</v>
      </c>
      <c r="J716" t="n">
        <v>0</v>
      </c>
      <c r="K716" t="n">
        <v>0</v>
      </c>
      <c r="L716" t="n">
        <v>0</v>
      </c>
      <c r="M716" t="n">
        <v>0</v>
      </c>
      <c r="N716" t="n">
        <v>0</v>
      </c>
      <c r="O716" t="n">
        <v>0</v>
      </c>
      <c r="P716" t="n">
        <v>0</v>
      </c>
      <c r="Q716" t="n">
        <v>0</v>
      </c>
      <c r="R716" s="2" t="inlineStr"/>
    </row>
    <row r="717" ht="15" customHeight="1">
      <c r="A717" t="inlineStr">
        <is>
          <t>A 1975-2025</t>
        </is>
      </c>
      <c r="B717" s="1" t="n">
        <v>45672.39332175926</v>
      </c>
      <c r="C717" s="1" t="n">
        <v>45967</v>
      </c>
      <c r="D717" t="inlineStr">
        <is>
          <t>VÄSTERNORRLANDS LÄN</t>
        </is>
      </c>
      <c r="E717" t="inlineStr">
        <is>
          <t>ÅNGE</t>
        </is>
      </c>
      <c r="G717" t="n">
        <v>6.2</v>
      </c>
      <c r="H717" t="n">
        <v>0</v>
      </c>
      <c r="I717" t="n">
        <v>0</v>
      </c>
      <c r="J717" t="n">
        <v>0</v>
      </c>
      <c r="K717" t="n">
        <v>0</v>
      </c>
      <c r="L717" t="n">
        <v>0</v>
      </c>
      <c r="M717" t="n">
        <v>0</v>
      </c>
      <c r="N717" t="n">
        <v>0</v>
      </c>
      <c r="O717" t="n">
        <v>0</v>
      </c>
      <c r="P717" t="n">
        <v>0</v>
      </c>
      <c r="Q717" t="n">
        <v>0</v>
      </c>
      <c r="R717" s="2" t="inlineStr"/>
    </row>
    <row r="718" ht="15" customHeight="1">
      <c r="A718" t="inlineStr">
        <is>
          <t>A 51131-2022</t>
        </is>
      </c>
      <c r="B718" s="1" t="n">
        <v>44868</v>
      </c>
      <c r="C718" s="1" t="n">
        <v>45967</v>
      </c>
      <c r="D718" t="inlineStr">
        <is>
          <t>VÄSTERNORRLANDS LÄN</t>
        </is>
      </c>
      <c r="E718" t="inlineStr">
        <is>
          <t>ÅNGE</t>
        </is>
      </c>
      <c r="G718" t="n">
        <v>11.1</v>
      </c>
      <c r="H718" t="n">
        <v>0</v>
      </c>
      <c r="I718" t="n">
        <v>0</v>
      </c>
      <c r="J718" t="n">
        <v>0</v>
      </c>
      <c r="K718" t="n">
        <v>0</v>
      </c>
      <c r="L718" t="n">
        <v>0</v>
      </c>
      <c r="M718" t="n">
        <v>0</v>
      </c>
      <c r="N718" t="n">
        <v>0</v>
      </c>
      <c r="O718" t="n">
        <v>0</v>
      </c>
      <c r="P718" t="n">
        <v>0</v>
      </c>
      <c r="Q718" t="n">
        <v>0</v>
      </c>
      <c r="R718" s="2" t="inlineStr"/>
    </row>
    <row r="719" ht="15" customHeight="1">
      <c r="A719" t="inlineStr">
        <is>
          <t>A 39768-2025</t>
        </is>
      </c>
      <c r="B719" s="1" t="n">
        <v>45891.44842592593</v>
      </c>
      <c r="C719" s="1" t="n">
        <v>45967</v>
      </c>
      <c r="D719" t="inlineStr">
        <is>
          <t>VÄSTERNORRLANDS LÄN</t>
        </is>
      </c>
      <c r="E719" t="inlineStr">
        <is>
          <t>ÅNGE</t>
        </is>
      </c>
      <c r="G719" t="n">
        <v>10.4</v>
      </c>
      <c r="H719" t="n">
        <v>0</v>
      </c>
      <c r="I719" t="n">
        <v>0</v>
      </c>
      <c r="J719" t="n">
        <v>0</v>
      </c>
      <c r="K719" t="n">
        <v>0</v>
      </c>
      <c r="L719" t="n">
        <v>0</v>
      </c>
      <c r="M719" t="n">
        <v>0</v>
      </c>
      <c r="N719" t="n">
        <v>0</v>
      </c>
      <c r="O719" t="n">
        <v>0</v>
      </c>
      <c r="P719" t="n">
        <v>0</v>
      </c>
      <c r="Q719" t="n">
        <v>0</v>
      </c>
      <c r="R719" s="2" t="inlineStr"/>
    </row>
    <row r="720" ht="15" customHeight="1">
      <c r="A720" t="inlineStr">
        <is>
          <t>A 33429-2023</t>
        </is>
      </c>
      <c r="B720" s="1" t="n">
        <v>45128.94983796297</v>
      </c>
      <c r="C720" s="1" t="n">
        <v>45967</v>
      </c>
      <c r="D720" t="inlineStr">
        <is>
          <t>VÄSTERNORRLANDS LÄN</t>
        </is>
      </c>
      <c r="E720" t="inlineStr">
        <is>
          <t>ÅNGE</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20576-2021</t>
        </is>
      </c>
      <c r="B721" s="1" t="n">
        <v>44316.3290162037</v>
      </c>
      <c r="C721" s="1" t="n">
        <v>45967</v>
      </c>
      <c r="D721" t="inlineStr">
        <is>
          <t>VÄSTERNORRLANDS LÄN</t>
        </is>
      </c>
      <c r="E721" t="inlineStr">
        <is>
          <t>ÅNGE</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33720-2025</t>
        </is>
      </c>
      <c r="B722" s="1" t="n">
        <v>45841.90605324074</v>
      </c>
      <c r="C722" s="1" t="n">
        <v>45967</v>
      </c>
      <c r="D722" t="inlineStr">
        <is>
          <t>VÄSTERNORRLANDS LÄN</t>
        </is>
      </c>
      <c r="E722" t="inlineStr">
        <is>
          <t>ÅNGE</t>
        </is>
      </c>
      <c r="G722" t="n">
        <v>6.4</v>
      </c>
      <c r="H722" t="n">
        <v>0</v>
      </c>
      <c r="I722" t="n">
        <v>0</v>
      </c>
      <c r="J722" t="n">
        <v>0</v>
      </c>
      <c r="K722" t="n">
        <v>0</v>
      </c>
      <c r="L722" t="n">
        <v>0</v>
      </c>
      <c r="M722" t="n">
        <v>0</v>
      </c>
      <c r="N722" t="n">
        <v>0</v>
      </c>
      <c r="O722" t="n">
        <v>0</v>
      </c>
      <c r="P722" t="n">
        <v>0</v>
      </c>
      <c r="Q722" t="n">
        <v>0</v>
      </c>
      <c r="R722" s="2" t="inlineStr"/>
    </row>
    <row r="723" ht="15" customHeight="1">
      <c r="A723" t="inlineStr">
        <is>
          <t>A 5999-2025</t>
        </is>
      </c>
      <c r="B723" s="1" t="n">
        <v>45695</v>
      </c>
      <c r="C723" s="1" t="n">
        <v>45967</v>
      </c>
      <c r="D723" t="inlineStr">
        <is>
          <t>VÄSTERNORRLANDS LÄN</t>
        </is>
      </c>
      <c r="E723" t="inlineStr">
        <is>
          <t>ÅNGE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1235-2023</t>
        </is>
      </c>
      <c r="B724" s="1" t="n">
        <v>44935</v>
      </c>
      <c r="C724" s="1" t="n">
        <v>45967</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13501-2021</t>
        </is>
      </c>
      <c r="B725" s="1" t="n">
        <v>44273</v>
      </c>
      <c r="C725" s="1" t="n">
        <v>45967</v>
      </c>
      <c r="D725" t="inlineStr">
        <is>
          <t>VÄSTERNORRLANDS LÄN</t>
        </is>
      </c>
      <c r="E725" t="inlineStr">
        <is>
          <t>ÅNGE</t>
        </is>
      </c>
      <c r="G725" t="n">
        <v>0.4</v>
      </c>
      <c r="H725" t="n">
        <v>0</v>
      </c>
      <c r="I725" t="n">
        <v>0</v>
      </c>
      <c r="J725" t="n">
        <v>0</v>
      </c>
      <c r="K725" t="n">
        <v>0</v>
      </c>
      <c r="L725" t="n">
        <v>0</v>
      </c>
      <c r="M725" t="n">
        <v>0</v>
      </c>
      <c r="N725" t="n">
        <v>0</v>
      </c>
      <c r="O725" t="n">
        <v>0</v>
      </c>
      <c r="P725" t="n">
        <v>0</v>
      </c>
      <c r="Q725" t="n">
        <v>0</v>
      </c>
      <c r="R725" s="2" t="inlineStr"/>
    </row>
    <row r="726" ht="15" customHeight="1">
      <c r="A726" t="inlineStr">
        <is>
          <t>A 33302-2024</t>
        </is>
      </c>
      <c r="B726" s="1" t="n">
        <v>45518.96967592592</v>
      </c>
      <c r="C726" s="1" t="n">
        <v>45967</v>
      </c>
      <c r="D726" t="inlineStr">
        <is>
          <t>VÄSTERNORRLANDS LÄN</t>
        </is>
      </c>
      <c r="E726" t="inlineStr">
        <is>
          <t>ÅNGE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7528-2023</t>
        </is>
      </c>
      <c r="B727" s="1" t="n">
        <v>44971.97662037037</v>
      </c>
      <c r="C727" s="1" t="n">
        <v>45967</v>
      </c>
      <c r="D727" t="inlineStr">
        <is>
          <t>VÄSTERNORRLANDS LÄN</t>
        </is>
      </c>
      <c r="E727" t="inlineStr">
        <is>
          <t>ÅNGE</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26015-2024</t>
        </is>
      </c>
      <c r="B728" s="1" t="n">
        <v>45467.95872685185</v>
      </c>
      <c r="C728" s="1" t="n">
        <v>45967</v>
      </c>
      <c r="D728" t="inlineStr">
        <is>
          <t>VÄSTERNORRLANDS LÄN</t>
        </is>
      </c>
      <c r="E728" t="inlineStr">
        <is>
          <t>ÅNGE</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26010-2024</t>
        </is>
      </c>
      <c r="B729" s="1" t="n">
        <v>45467.95819444444</v>
      </c>
      <c r="C729" s="1" t="n">
        <v>45967</v>
      </c>
      <c r="D729" t="inlineStr">
        <is>
          <t>VÄSTERNORRLANDS LÄN</t>
        </is>
      </c>
      <c r="E729" t="inlineStr">
        <is>
          <t>ÅNGE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39729-2025</t>
        </is>
      </c>
      <c r="B730" s="1" t="n">
        <v>45891</v>
      </c>
      <c r="C730" s="1" t="n">
        <v>45967</v>
      </c>
      <c r="D730" t="inlineStr">
        <is>
          <t>VÄSTERNORRLANDS LÄN</t>
        </is>
      </c>
      <c r="E730" t="inlineStr">
        <is>
          <t>ÅNGE</t>
        </is>
      </c>
      <c r="G730" t="n">
        <v>2.3</v>
      </c>
      <c r="H730" t="n">
        <v>0</v>
      </c>
      <c r="I730" t="n">
        <v>0</v>
      </c>
      <c r="J730" t="n">
        <v>0</v>
      </c>
      <c r="K730" t="n">
        <v>0</v>
      </c>
      <c r="L730" t="n">
        <v>0</v>
      </c>
      <c r="M730" t="n">
        <v>0</v>
      </c>
      <c r="N730" t="n">
        <v>0</v>
      </c>
      <c r="O730" t="n">
        <v>0</v>
      </c>
      <c r="P730" t="n">
        <v>0</v>
      </c>
      <c r="Q730" t="n">
        <v>0</v>
      </c>
      <c r="R730" s="2" t="inlineStr"/>
    </row>
    <row r="731" ht="15" customHeight="1">
      <c r="A731" t="inlineStr">
        <is>
          <t>A 60365-2024</t>
        </is>
      </c>
      <c r="B731" s="1" t="n">
        <v>45643</v>
      </c>
      <c r="C731" s="1" t="n">
        <v>45967</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34851-2023</t>
        </is>
      </c>
      <c r="B732" s="1" t="n">
        <v>45141</v>
      </c>
      <c r="C732" s="1" t="n">
        <v>45967</v>
      </c>
      <c r="D732" t="inlineStr">
        <is>
          <t>VÄSTERNORRLANDS LÄN</t>
        </is>
      </c>
      <c r="E732" t="inlineStr">
        <is>
          <t>ÅNGE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21263-2025</t>
        </is>
      </c>
      <c r="B733" s="1" t="n">
        <v>45779.61233796296</v>
      </c>
      <c r="C733" s="1" t="n">
        <v>45967</v>
      </c>
      <c r="D733" t="inlineStr">
        <is>
          <t>VÄSTERNORRLANDS LÄN</t>
        </is>
      </c>
      <c r="E733" t="inlineStr">
        <is>
          <t>ÅNGE</t>
        </is>
      </c>
      <c r="F733" t="inlineStr">
        <is>
          <t>Sveaskog</t>
        </is>
      </c>
      <c r="G733" t="n">
        <v>14.9</v>
      </c>
      <c r="H733" t="n">
        <v>0</v>
      </c>
      <c r="I733" t="n">
        <v>0</v>
      </c>
      <c r="J733" t="n">
        <v>0</v>
      </c>
      <c r="K733" t="n">
        <v>0</v>
      </c>
      <c r="L733" t="n">
        <v>0</v>
      </c>
      <c r="M733" t="n">
        <v>0</v>
      </c>
      <c r="N733" t="n">
        <v>0</v>
      </c>
      <c r="O733" t="n">
        <v>0</v>
      </c>
      <c r="P733" t="n">
        <v>0</v>
      </c>
      <c r="Q733" t="n">
        <v>0</v>
      </c>
      <c r="R733" s="2" t="inlineStr"/>
    </row>
    <row r="734" ht="15" customHeight="1">
      <c r="A734" t="inlineStr">
        <is>
          <t>A 11871-2025</t>
        </is>
      </c>
      <c r="B734" s="1" t="n">
        <v>45728.42740740741</v>
      </c>
      <c r="C734" s="1" t="n">
        <v>45967</v>
      </c>
      <c r="D734" t="inlineStr">
        <is>
          <t>VÄSTERNORRLANDS LÄN</t>
        </is>
      </c>
      <c r="E734" t="inlineStr">
        <is>
          <t>ÅNGE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15799-2025</t>
        </is>
      </c>
      <c r="B735" s="1" t="n">
        <v>45748.64768518518</v>
      </c>
      <c r="C735" s="1" t="n">
        <v>45967</v>
      </c>
      <c r="D735" t="inlineStr">
        <is>
          <t>VÄSTERNORRLANDS LÄN</t>
        </is>
      </c>
      <c r="E735" t="inlineStr">
        <is>
          <t>ÅNGE</t>
        </is>
      </c>
      <c r="G735" t="n">
        <v>2.3</v>
      </c>
      <c r="H735" t="n">
        <v>0</v>
      </c>
      <c r="I735" t="n">
        <v>0</v>
      </c>
      <c r="J735" t="n">
        <v>0</v>
      </c>
      <c r="K735" t="n">
        <v>0</v>
      </c>
      <c r="L735" t="n">
        <v>0</v>
      </c>
      <c r="M735" t="n">
        <v>0</v>
      </c>
      <c r="N735" t="n">
        <v>0</v>
      </c>
      <c r="O735" t="n">
        <v>0</v>
      </c>
      <c r="P735" t="n">
        <v>0</v>
      </c>
      <c r="Q735" t="n">
        <v>0</v>
      </c>
      <c r="R735" s="2" t="inlineStr"/>
    </row>
    <row r="736" ht="15" customHeight="1">
      <c r="A736" t="inlineStr">
        <is>
          <t>A 47488-2023</t>
        </is>
      </c>
      <c r="B736" s="1" t="n">
        <v>45202.94168981481</v>
      </c>
      <c r="C736" s="1" t="n">
        <v>45967</v>
      </c>
      <c r="D736" t="inlineStr">
        <is>
          <t>VÄSTERNORRLANDS LÄN</t>
        </is>
      </c>
      <c r="E736" t="inlineStr">
        <is>
          <t>ÅNGE</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16450-2025</t>
        </is>
      </c>
      <c r="B737" s="1" t="n">
        <v>45751.51081018519</v>
      </c>
      <c r="C737" s="1" t="n">
        <v>45967</v>
      </c>
      <c r="D737" t="inlineStr">
        <is>
          <t>VÄSTERNORRLANDS LÄN</t>
        </is>
      </c>
      <c r="E737" t="inlineStr">
        <is>
          <t>ÅNGE</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54982-2023</t>
        </is>
      </c>
      <c r="B738" s="1" t="n">
        <v>45236</v>
      </c>
      <c r="C738" s="1" t="n">
        <v>45967</v>
      </c>
      <c r="D738" t="inlineStr">
        <is>
          <t>VÄSTERNORRLANDS LÄN</t>
        </is>
      </c>
      <c r="E738" t="inlineStr">
        <is>
          <t>ÅNGE</t>
        </is>
      </c>
      <c r="F738" t="inlineStr">
        <is>
          <t>SCA</t>
        </is>
      </c>
      <c r="G738" t="n">
        <v>26.2</v>
      </c>
      <c r="H738" t="n">
        <v>0</v>
      </c>
      <c r="I738" t="n">
        <v>0</v>
      </c>
      <c r="J738" t="n">
        <v>0</v>
      </c>
      <c r="K738" t="n">
        <v>0</v>
      </c>
      <c r="L738" t="n">
        <v>0</v>
      </c>
      <c r="M738" t="n">
        <v>0</v>
      </c>
      <c r="N738" t="n">
        <v>0</v>
      </c>
      <c r="O738" t="n">
        <v>0</v>
      </c>
      <c r="P738" t="n">
        <v>0</v>
      </c>
      <c r="Q738" t="n">
        <v>0</v>
      </c>
      <c r="R738" s="2" t="inlineStr"/>
    </row>
    <row r="739" ht="15" customHeight="1">
      <c r="A739" t="inlineStr">
        <is>
          <t>A 21174-2025</t>
        </is>
      </c>
      <c r="B739" s="1" t="n">
        <v>45779.42746527777</v>
      </c>
      <c r="C739" s="1" t="n">
        <v>45967</v>
      </c>
      <c r="D739" t="inlineStr">
        <is>
          <t>VÄSTERNORRLANDS LÄN</t>
        </is>
      </c>
      <c r="E739" t="inlineStr">
        <is>
          <t>ÅNGE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57560-2023</t>
        </is>
      </c>
      <c r="B740" s="1" t="n">
        <v>45243</v>
      </c>
      <c r="C740" s="1" t="n">
        <v>45967</v>
      </c>
      <c r="D740" t="inlineStr">
        <is>
          <t>VÄSTERNORRLANDS LÄN</t>
        </is>
      </c>
      <c r="E740" t="inlineStr">
        <is>
          <t>ÅNGE</t>
        </is>
      </c>
      <c r="G740" t="n">
        <v>7.4</v>
      </c>
      <c r="H740" t="n">
        <v>0</v>
      </c>
      <c r="I740" t="n">
        <v>0</v>
      </c>
      <c r="J740" t="n">
        <v>0</v>
      </c>
      <c r="K740" t="n">
        <v>0</v>
      </c>
      <c r="L740" t="n">
        <v>0</v>
      </c>
      <c r="M740" t="n">
        <v>0</v>
      </c>
      <c r="N740" t="n">
        <v>0</v>
      </c>
      <c r="O740" t="n">
        <v>0</v>
      </c>
      <c r="P740" t="n">
        <v>0</v>
      </c>
      <c r="Q740" t="n">
        <v>0</v>
      </c>
      <c r="R740" s="2" t="inlineStr"/>
    </row>
    <row r="741" ht="15" customHeight="1">
      <c r="A741" t="inlineStr">
        <is>
          <t>A 57568-2023</t>
        </is>
      </c>
      <c r="B741" s="1" t="n">
        <v>45246.50484953704</v>
      </c>
      <c r="C741" s="1" t="n">
        <v>45967</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48234-2025</t>
        </is>
      </c>
      <c r="B742" s="1" t="n">
        <v>45933.53211805555</v>
      </c>
      <c r="C742" s="1" t="n">
        <v>45967</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21251-2025</t>
        </is>
      </c>
      <c r="B743" s="1" t="n">
        <v>45779.57417824074</v>
      </c>
      <c r="C743" s="1" t="n">
        <v>45967</v>
      </c>
      <c r="D743" t="inlineStr">
        <is>
          <t>VÄSTERNORRLANDS LÄN</t>
        </is>
      </c>
      <c r="E743" t="inlineStr">
        <is>
          <t>ÅNGE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26018-2024</t>
        </is>
      </c>
      <c r="B744" s="1" t="n">
        <v>45467.95998842592</v>
      </c>
      <c r="C744" s="1" t="n">
        <v>45967</v>
      </c>
      <c r="D744" t="inlineStr">
        <is>
          <t>VÄSTERNORRLANDS LÄN</t>
        </is>
      </c>
      <c r="E744" t="inlineStr">
        <is>
          <t>ÅNGE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26021-2024</t>
        </is>
      </c>
      <c r="B745" s="1" t="n">
        <v>45467</v>
      </c>
      <c r="C745" s="1" t="n">
        <v>45967</v>
      </c>
      <c r="D745" t="inlineStr">
        <is>
          <t>VÄSTERNORRLANDS LÄN</t>
        </is>
      </c>
      <c r="E745" t="inlineStr">
        <is>
          <t>ÅNGE</t>
        </is>
      </c>
      <c r="F745" t="inlineStr">
        <is>
          <t>SCA</t>
        </is>
      </c>
      <c r="G745" t="n">
        <v>7.7</v>
      </c>
      <c r="H745" t="n">
        <v>0</v>
      </c>
      <c r="I745" t="n">
        <v>0</v>
      </c>
      <c r="J745" t="n">
        <v>0</v>
      </c>
      <c r="K745" t="n">
        <v>0</v>
      </c>
      <c r="L745" t="n">
        <v>0</v>
      </c>
      <c r="M745" t="n">
        <v>0</v>
      </c>
      <c r="N745" t="n">
        <v>0</v>
      </c>
      <c r="O745" t="n">
        <v>0</v>
      </c>
      <c r="P745" t="n">
        <v>0</v>
      </c>
      <c r="Q745" t="n">
        <v>0</v>
      </c>
      <c r="R745" s="2" t="inlineStr"/>
    </row>
    <row r="746" ht="15" customHeight="1">
      <c r="A746" t="inlineStr">
        <is>
          <t>A 48679-2025</t>
        </is>
      </c>
      <c r="B746" s="1" t="n">
        <v>45936.59196759259</v>
      </c>
      <c r="C746" s="1" t="n">
        <v>45967</v>
      </c>
      <c r="D746" t="inlineStr">
        <is>
          <t>VÄSTERNORRLANDS LÄN</t>
        </is>
      </c>
      <c r="E746" t="inlineStr">
        <is>
          <t>ÅNGE</t>
        </is>
      </c>
      <c r="G746" t="n">
        <v>2.1</v>
      </c>
      <c r="H746" t="n">
        <v>0</v>
      </c>
      <c r="I746" t="n">
        <v>0</v>
      </c>
      <c r="J746" t="n">
        <v>0</v>
      </c>
      <c r="K746" t="n">
        <v>0</v>
      </c>
      <c r="L746" t="n">
        <v>0</v>
      </c>
      <c r="M746" t="n">
        <v>0</v>
      </c>
      <c r="N746" t="n">
        <v>0</v>
      </c>
      <c r="O746" t="n">
        <v>0</v>
      </c>
      <c r="P746" t="n">
        <v>0</v>
      </c>
      <c r="Q746" t="n">
        <v>0</v>
      </c>
      <c r="R746" s="2" t="inlineStr"/>
    </row>
    <row r="747" ht="15" customHeight="1">
      <c r="A747" t="inlineStr">
        <is>
          <t>A 21712-2025</t>
        </is>
      </c>
      <c r="B747" s="1" t="n">
        <v>45783.53210648148</v>
      </c>
      <c r="C747" s="1" t="n">
        <v>45967</v>
      </c>
      <c r="D747" t="inlineStr">
        <is>
          <t>VÄSTERNORRLANDS LÄN</t>
        </is>
      </c>
      <c r="E747" t="inlineStr">
        <is>
          <t>ÅNGE</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45932-2023</t>
        </is>
      </c>
      <c r="B748" s="1" t="n">
        <v>45195</v>
      </c>
      <c r="C748" s="1" t="n">
        <v>45967</v>
      </c>
      <c r="D748" t="inlineStr">
        <is>
          <t>VÄSTERNORRLANDS LÄN</t>
        </is>
      </c>
      <c r="E748" t="inlineStr">
        <is>
          <t>ÅNGE</t>
        </is>
      </c>
      <c r="F748" t="inlineStr">
        <is>
          <t>SCA</t>
        </is>
      </c>
      <c r="G748" t="n">
        <v>0.1</v>
      </c>
      <c r="H748" t="n">
        <v>0</v>
      </c>
      <c r="I748" t="n">
        <v>0</v>
      </c>
      <c r="J748" t="n">
        <v>0</v>
      </c>
      <c r="K748" t="n">
        <v>0</v>
      </c>
      <c r="L748" t="n">
        <v>0</v>
      </c>
      <c r="M748" t="n">
        <v>0</v>
      </c>
      <c r="N748" t="n">
        <v>0</v>
      </c>
      <c r="O748" t="n">
        <v>0</v>
      </c>
      <c r="P748" t="n">
        <v>0</v>
      </c>
      <c r="Q748" t="n">
        <v>0</v>
      </c>
      <c r="R748" s="2" t="inlineStr"/>
    </row>
    <row r="749" ht="15" customHeight="1">
      <c r="A749" t="inlineStr">
        <is>
          <t>A 2539-2025</t>
        </is>
      </c>
      <c r="B749" s="1" t="n">
        <v>45674.61581018518</v>
      </c>
      <c r="C749" s="1" t="n">
        <v>45967</v>
      </c>
      <c r="D749" t="inlineStr">
        <is>
          <t>VÄSTERNORRLANDS LÄN</t>
        </is>
      </c>
      <c r="E749" t="inlineStr">
        <is>
          <t>ÅNGE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49156-2025</t>
        </is>
      </c>
      <c r="B750" s="1" t="n">
        <v>45938.3458912037</v>
      </c>
      <c r="C750" s="1" t="n">
        <v>45967</v>
      </c>
      <c r="D750" t="inlineStr">
        <is>
          <t>VÄSTERNORRLANDS LÄN</t>
        </is>
      </c>
      <c r="E750" t="inlineStr">
        <is>
          <t>ÅNGE</t>
        </is>
      </c>
      <c r="G750" t="n">
        <v>2.3</v>
      </c>
      <c r="H750" t="n">
        <v>0</v>
      </c>
      <c r="I750" t="n">
        <v>0</v>
      </c>
      <c r="J750" t="n">
        <v>0</v>
      </c>
      <c r="K750" t="n">
        <v>0</v>
      </c>
      <c r="L750" t="n">
        <v>0</v>
      </c>
      <c r="M750" t="n">
        <v>0</v>
      </c>
      <c r="N750" t="n">
        <v>0</v>
      </c>
      <c r="O750" t="n">
        <v>0</v>
      </c>
      <c r="P750" t="n">
        <v>0</v>
      </c>
      <c r="Q750" t="n">
        <v>0</v>
      </c>
      <c r="R750" s="2" t="inlineStr"/>
    </row>
    <row r="751" ht="15" customHeight="1">
      <c r="A751" t="inlineStr">
        <is>
          <t>A 6-2025</t>
        </is>
      </c>
      <c r="B751" s="1" t="n">
        <v>45658.50759259259</v>
      </c>
      <c r="C751" s="1" t="n">
        <v>45967</v>
      </c>
      <c r="D751" t="inlineStr">
        <is>
          <t>VÄSTERNORRLANDS LÄN</t>
        </is>
      </c>
      <c r="E751" t="inlineStr">
        <is>
          <t>ÅNGE</t>
        </is>
      </c>
      <c r="G751" t="n">
        <v>4.3</v>
      </c>
      <c r="H751" t="n">
        <v>0</v>
      </c>
      <c r="I751" t="n">
        <v>0</v>
      </c>
      <c r="J751" t="n">
        <v>0</v>
      </c>
      <c r="K751" t="n">
        <v>0</v>
      </c>
      <c r="L751" t="n">
        <v>0</v>
      </c>
      <c r="M751" t="n">
        <v>0</v>
      </c>
      <c r="N751" t="n">
        <v>0</v>
      </c>
      <c r="O751" t="n">
        <v>0</v>
      </c>
      <c r="P751" t="n">
        <v>0</v>
      </c>
      <c r="Q751" t="n">
        <v>0</v>
      </c>
      <c r="R751" s="2" t="inlineStr"/>
    </row>
    <row r="752" ht="15" customHeight="1">
      <c r="A752" t="inlineStr">
        <is>
          <t>A 39764-2024</t>
        </is>
      </c>
      <c r="B752" s="1" t="n">
        <v>45552.7190162037</v>
      </c>
      <c r="C752" s="1" t="n">
        <v>45967</v>
      </c>
      <c r="D752" t="inlineStr">
        <is>
          <t>VÄSTERNORRLANDS LÄN</t>
        </is>
      </c>
      <c r="E752" t="inlineStr">
        <is>
          <t>ÅNGE</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22187-2024</t>
        </is>
      </c>
      <c r="B753" s="1" t="n">
        <v>45446.35222222222</v>
      </c>
      <c r="C753" s="1" t="n">
        <v>45967</v>
      </c>
      <c r="D753" t="inlineStr">
        <is>
          <t>VÄSTERNORRLANDS LÄN</t>
        </is>
      </c>
      <c r="E753" t="inlineStr">
        <is>
          <t>ÅNGE</t>
        </is>
      </c>
      <c r="G753" t="n">
        <v>2.3</v>
      </c>
      <c r="H753" t="n">
        <v>0</v>
      </c>
      <c r="I753" t="n">
        <v>0</v>
      </c>
      <c r="J753" t="n">
        <v>0</v>
      </c>
      <c r="K753" t="n">
        <v>0</v>
      </c>
      <c r="L753" t="n">
        <v>0</v>
      </c>
      <c r="M753" t="n">
        <v>0</v>
      </c>
      <c r="N753" t="n">
        <v>0</v>
      </c>
      <c r="O753" t="n">
        <v>0</v>
      </c>
      <c r="P753" t="n">
        <v>0</v>
      </c>
      <c r="Q753" t="n">
        <v>0</v>
      </c>
      <c r="R753" s="2" t="inlineStr"/>
    </row>
    <row r="754" ht="15" customHeight="1">
      <c r="A754" t="inlineStr">
        <is>
          <t>A 40665-2025</t>
        </is>
      </c>
      <c r="B754" s="1" t="n">
        <v>45896.65663194445</v>
      </c>
      <c r="C754" s="1" t="n">
        <v>45967</v>
      </c>
      <c r="D754" t="inlineStr">
        <is>
          <t>VÄSTERNORRLANDS LÄN</t>
        </is>
      </c>
      <c r="E754" t="inlineStr">
        <is>
          <t>ÅNGE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53988-2024</t>
        </is>
      </c>
      <c r="B755" s="1" t="n">
        <v>45616.34408564815</v>
      </c>
      <c r="C755" s="1" t="n">
        <v>45967</v>
      </c>
      <c r="D755" t="inlineStr">
        <is>
          <t>VÄSTERNORRLANDS LÄN</t>
        </is>
      </c>
      <c r="E755" t="inlineStr">
        <is>
          <t>ÅNGE</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54002-2024</t>
        </is>
      </c>
      <c r="B756" s="1" t="n">
        <v>45616.36491898148</v>
      </c>
      <c r="C756" s="1" t="n">
        <v>45967</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21883-2025</t>
        </is>
      </c>
      <c r="B757" s="1" t="n">
        <v>45784.41361111111</v>
      </c>
      <c r="C757" s="1" t="n">
        <v>45967</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49381-2025</t>
        </is>
      </c>
      <c r="B758" s="1" t="n">
        <v>45938.63694444444</v>
      </c>
      <c r="C758" s="1" t="n">
        <v>45967</v>
      </c>
      <c r="D758" t="inlineStr">
        <is>
          <t>VÄSTERNORRLANDS LÄN</t>
        </is>
      </c>
      <c r="E758" t="inlineStr">
        <is>
          <t>ÅNGE</t>
        </is>
      </c>
      <c r="F758" t="inlineStr">
        <is>
          <t>SCA</t>
        </is>
      </c>
      <c r="G758" t="n">
        <v>20.6</v>
      </c>
      <c r="H758" t="n">
        <v>0</v>
      </c>
      <c r="I758" t="n">
        <v>0</v>
      </c>
      <c r="J758" t="n">
        <v>0</v>
      </c>
      <c r="K758" t="n">
        <v>0</v>
      </c>
      <c r="L758" t="n">
        <v>0</v>
      </c>
      <c r="M758" t="n">
        <v>0</v>
      </c>
      <c r="N758" t="n">
        <v>0</v>
      </c>
      <c r="O758" t="n">
        <v>0</v>
      </c>
      <c r="P758" t="n">
        <v>0</v>
      </c>
      <c r="Q758" t="n">
        <v>0</v>
      </c>
      <c r="R758" s="2" t="inlineStr"/>
    </row>
    <row r="759" ht="15" customHeight="1">
      <c r="A759" t="inlineStr">
        <is>
          <t>A 48697-2024</t>
        </is>
      </c>
      <c r="B759" s="1" t="n">
        <v>45593.51136574074</v>
      </c>
      <c r="C759" s="1" t="n">
        <v>45967</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11764-2024</t>
        </is>
      </c>
      <c r="B760" s="1" t="n">
        <v>45373.94837962963</v>
      </c>
      <c r="C760" s="1" t="n">
        <v>45967</v>
      </c>
      <c r="D760" t="inlineStr">
        <is>
          <t>VÄSTERNORRLANDS LÄN</t>
        </is>
      </c>
      <c r="E760" t="inlineStr">
        <is>
          <t>ÅNGE</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49179-2025</t>
        </is>
      </c>
      <c r="B761" s="1" t="n">
        <v>45938.38579861111</v>
      </c>
      <c r="C761" s="1" t="n">
        <v>45967</v>
      </c>
      <c r="D761" t="inlineStr">
        <is>
          <t>VÄSTERNORRLANDS LÄN</t>
        </is>
      </c>
      <c r="E761" t="inlineStr">
        <is>
          <t>ÅNGE</t>
        </is>
      </c>
      <c r="G761" t="n">
        <v>2.3</v>
      </c>
      <c r="H761" t="n">
        <v>0</v>
      </c>
      <c r="I761" t="n">
        <v>0</v>
      </c>
      <c r="J761" t="n">
        <v>0</v>
      </c>
      <c r="K761" t="n">
        <v>0</v>
      </c>
      <c r="L761" t="n">
        <v>0</v>
      </c>
      <c r="M761" t="n">
        <v>0</v>
      </c>
      <c r="N761" t="n">
        <v>0</v>
      </c>
      <c r="O761" t="n">
        <v>0</v>
      </c>
      <c r="P761" t="n">
        <v>0</v>
      </c>
      <c r="Q761" t="n">
        <v>0</v>
      </c>
      <c r="R761" s="2" t="inlineStr"/>
    </row>
    <row r="762" ht="15" customHeight="1">
      <c r="A762" t="inlineStr">
        <is>
          <t>A 21597-2025</t>
        </is>
      </c>
      <c r="B762" s="1" t="n">
        <v>45783.34493055556</v>
      </c>
      <c r="C762" s="1" t="n">
        <v>45967</v>
      </c>
      <c r="D762" t="inlineStr">
        <is>
          <t>VÄSTERNORRLANDS LÄN</t>
        </is>
      </c>
      <c r="E762" t="inlineStr">
        <is>
          <t>ÅNGE</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54059-2024</t>
        </is>
      </c>
      <c r="B763" s="1" t="n">
        <v>45616.46943287037</v>
      </c>
      <c r="C763" s="1" t="n">
        <v>45967</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18112-2025</t>
        </is>
      </c>
      <c r="B764" s="1" t="n">
        <v>45761.57350694444</v>
      </c>
      <c r="C764" s="1" t="n">
        <v>45967</v>
      </c>
      <c r="D764" t="inlineStr">
        <is>
          <t>VÄSTERNORRLANDS LÄN</t>
        </is>
      </c>
      <c r="E764" t="inlineStr">
        <is>
          <t>ÅNGE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49377-2025</t>
        </is>
      </c>
      <c r="B765" s="1" t="n">
        <v>45938.63626157407</v>
      </c>
      <c r="C765" s="1" t="n">
        <v>45967</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44158-2024</t>
        </is>
      </c>
      <c r="B766" s="1" t="n">
        <v>45572</v>
      </c>
      <c r="C766" s="1" t="n">
        <v>45967</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63530-2023</t>
        </is>
      </c>
      <c r="B767" s="1" t="n">
        <v>45274</v>
      </c>
      <c r="C767" s="1" t="n">
        <v>45967</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2299-2025</t>
        </is>
      </c>
      <c r="B768" s="1" t="n">
        <v>45673.59516203704</v>
      </c>
      <c r="C768" s="1" t="n">
        <v>45967</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44639-2023</t>
        </is>
      </c>
      <c r="B769" s="1" t="n">
        <v>45184</v>
      </c>
      <c r="C769" s="1" t="n">
        <v>45967</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3253-2024</t>
        </is>
      </c>
      <c r="B770" s="1" t="n">
        <v>45316</v>
      </c>
      <c r="C770" s="1" t="n">
        <v>45967</v>
      </c>
      <c r="D770" t="inlineStr">
        <is>
          <t>VÄSTERNORRLANDS LÄN</t>
        </is>
      </c>
      <c r="E770" t="inlineStr">
        <is>
          <t>ÅNGE</t>
        </is>
      </c>
      <c r="G770" t="n">
        <v>1.2</v>
      </c>
      <c r="H770" t="n">
        <v>0</v>
      </c>
      <c r="I770" t="n">
        <v>0</v>
      </c>
      <c r="J770" t="n">
        <v>0</v>
      </c>
      <c r="K770" t="n">
        <v>0</v>
      </c>
      <c r="L770" t="n">
        <v>0</v>
      </c>
      <c r="M770" t="n">
        <v>0</v>
      </c>
      <c r="N770" t="n">
        <v>0</v>
      </c>
      <c r="O770" t="n">
        <v>0</v>
      </c>
      <c r="P770" t="n">
        <v>0</v>
      </c>
      <c r="Q770" t="n">
        <v>0</v>
      </c>
      <c r="R770" s="2" t="inlineStr"/>
    </row>
    <row r="771" ht="15" customHeight="1">
      <c r="A771" t="inlineStr">
        <is>
          <t>A 49945-2023</t>
        </is>
      </c>
      <c r="B771" s="1" t="n">
        <v>45215.3625462963</v>
      </c>
      <c r="C771" s="1" t="n">
        <v>45967</v>
      </c>
      <c r="D771" t="inlineStr">
        <is>
          <t>VÄSTERNORRLANDS LÄN</t>
        </is>
      </c>
      <c r="E771" t="inlineStr">
        <is>
          <t>ÅNGE</t>
        </is>
      </c>
      <c r="F771" t="inlineStr">
        <is>
          <t>Holmen skog AB</t>
        </is>
      </c>
      <c r="G771" t="n">
        <v>1.6</v>
      </c>
      <c r="H771" t="n">
        <v>0</v>
      </c>
      <c r="I771" t="n">
        <v>0</v>
      </c>
      <c r="J771" t="n">
        <v>0</v>
      </c>
      <c r="K771" t="n">
        <v>0</v>
      </c>
      <c r="L771" t="n">
        <v>0</v>
      </c>
      <c r="M771" t="n">
        <v>0</v>
      </c>
      <c r="N771" t="n">
        <v>0</v>
      </c>
      <c r="O771" t="n">
        <v>0</v>
      </c>
      <c r="P771" t="n">
        <v>0</v>
      </c>
      <c r="Q771" t="n">
        <v>0</v>
      </c>
      <c r="R771" s="2" t="inlineStr"/>
    </row>
    <row r="772" ht="15" customHeight="1">
      <c r="A772" t="inlineStr">
        <is>
          <t>A 17009-2023</t>
        </is>
      </c>
      <c r="B772" s="1" t="n">
        <v>45033.9455787037</v>
      </c>
      <c r="C772" s="1" t="n">
        <v>45967</v>
      </c>
      <c r="D772" t="inlineStr">
        <is>
          <t>VÄSTERNORRLANDS LÄN</t>
        </is>
      </c>
      <c r="E772" t="inlineStr">
        <is>
          <t>ÅNGE</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25903-2022</t>
        </is>
      </c>
      <c r="B773" s="1" t="n">
        <v>44733</v>
      </c>
      <c r="C773" s="1" t="n">
        <v>45967</v>
      </c>
      <c r="D773" t="inlineStr">
        <is>
          <t>VÄSTERNORRLANDS LÄN</t>
        </is>
      </c>
      <c r="E773" t="inlineStr">
        <is>
          <t>ÅNGE</t>
        </is>
      </c>
      <c r="G773" t="n">
        <v>1</v>
      </c>
      <c r="H773" t="n">
        <v>0</v>
      </c>
      <c r="I773" t="n">
        <v>0</v>
      </c>
      <c r="J773" t="n">
        <v>0</v>
      </c>
      <c r="K773" t="n">
        <v>0</v>
      </c>
      <c r="L773" t="n">
        <v>0</v>
      </c>
      <c r="M773" t="n">
        <v>0</v>
      </c>
      <c r="N773" t="n">
        <v>0</v>
      </c>
      <c r="O773" t="n">
        <v>0</v>
      </c>
      <c r="P773" t="n">
        <v>0</v>
      </c>
      <c r="Q773" t="n">
        <v>0</v>
      </c>
      <c r="R773" s="2" t="inlineStr"/>
    </row>
    <row r="774" ht="15" customHeight="1">
      <c r="A774" t="inlineStr">
        <is>
          <t>A 41179-2025</t>
        </is>
      </c>
      <c r="B774" s="1" t="n">
        <v>45898.55277777778</v>
      </c>
      <c r="C774" s="1" t="n">
        <v>45967</v>
      </c>
      <c r="D774" t="inlineStr">
        <is>
          <t>VÄSTERNORRLANDS LÄN</t>
        </is>
      </c>
      <c r="E774" t="inlineStr">
        <is>
          <t>ÅNGE</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60578-2024</t>
        </is>
      </c>
      <c r="B775" s="1" t="n">
        <v>45644.34434027778</v>
      </c>
      <c r="C775" s="1" t="n">
        <v>45967</v>
      </c>
      <c r="D775" t="inlineStr">
        <is>
          <t>VÄSTERNORRLANDS LÄN</t>
        </is>
      </c>
      <c r="E775" t="inlineStr">
        <is>
          <t>ÅNGE</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19709-2025</t>
        </is>
      </c>
      <c r="B776" s="1" t="n">
        <v>45771.34263888889</v>
      </c>
      <c r="C776" s="1" t="n">
        <v>45967</v>
      </c>
      <c r="D776" t="inlineStr">
        <is>
          <t>VÄSTERNORRLANDS LÄN</t>
        </is>
      </c>
      <c r="E776" t="inlineStr">
        <is>
          <t>ÅNGE</t>
        </is>
      </c>
      <c r="G776" t="n">
        <v>3.8</v>
      </c>
      <c r="H776" t="n">
        <v>0</v>
      </c>
      <c r="I776" t="n">
        <v>0</v>
      </c>
      <c r="J776" t="n">
        <v>0</v>
      </c>
      <c r="K776" t="n">
        <v>0</v>
      </c>
      <c r="L776" t="n">
        <v>0</v>
      </c>
      <c r="M776" t="n">
        <v>0</v>
      </c>
      <c r="N776" t="n">
        <v>0</v>
      </c>
      <c r="O776" t="n">
        <v>0</v>
      </c>
      <c r="P776" t="n">
        <v>0</v>
      </c>
      <c r="Q776" t="n">
        <v>0</v>
      </c>
      <c r="R776" s="2" t="inlineStr"/>
    </row>
    <row r="777" ht="15" customHeight="1">
      <c r="A777" t="inlineStr">
        <is>
          <t>A 24977-2021</t>
        </is>
      </c>
      <c r="B777" s="1" t="n">
        <v>44341.51386574074</v>
      </c>
      <c r="C777" s="1" t="n">
        <v>45967</v>
      </c>
      <c r="D777" t="inlineStr">
        <is>
          <t>VÄSTERNORRLANDS LÄN</t>
        </is>
      </c>
      <c r="E777" t="inlineStr">
        <is>
          <t>ÅNGE</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25867-2024</t>
        </is>
      </c>
      <c r="B778" s="1" t="n">
        <v>45463</v>
      </c>
      <c r="C778" s="1" t="n">
        <v>45967</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17669-2023</t>
        </is>
      </c>
      <c r="B779" s="1" t="n">
        <v>45036.94457175926</v>
      </c>
      <c r="C779" s="1" t="n">
        <v>45967</v>
      </c>
      <c r="D779" t="inlineStr">
        <is>
          <t>VÄSTERNORRLANDS LÄN</t>
        </is>
      </c>
      <c r="E779" t="inlineStr">
        <is>
          <t>ÅNGE</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25034-2023</t>
        </is>
      </c>
      <c r="B780" s="1" t="n">
        <v>45085</v>
      </c>
      <c r="C780" s="1" t="n">
        <v>45967</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29395-2023</t>
        </is>
      </c>
      <c r="B781" s="1" t="n">
        <v>45106.4359837963</v>
      </c>
      <c r="C781" s="1" t="n">
        <v>45967</v>
      </c>
      <c r="D781" t="inlineStr">
        <is>
          <t>VÄSTERNORRLANDS LÄN</t>
        </is>
      </c>
      <c r="E781" t="inlineStr">
        <is>
          <t>ÅNGE</t>
        </is>
      </c>
      <c r="G781" t="n">
        <v>3.5</v>
      </c>
      <c r="H781" t="n">
        <v>0</v>
      </c>
      <c r="I781" t="n">
        <v>0</v>
      </c>
      <c r="J781" t="n">
        <v>0</v>
      </c>
      <c r="K781" t="n">
        <v>0</v>
      </c>
      <c r="L781" t="n">
        <v>0</v>
      </c>
      <c r="M781" t="n">
        <v>0</v>
      </c>
      <c r="N781" t="n">
        <v>0</v>
      </c>
      <c r="O781" t="n">
        <v>0</v>
      </c>
      <c r="P781" t="n">
        <v>0</v>
      </c>
      <c r="Q781" t="n">
        <v>0</v>
      </c>
      <c r="R781" s="2" t="inlineStr"/>
    </row>
    <row r="782" ht="15" customHeight="1">
      <c r="A782" t="inlineStr">
        <is>
          <t>A 41173-2025</t>
        </is>
      </c>
      <c r="B782" s="1" t="n">
        <v>45898</v>
      </c>
      <c r="C782" s="1" t="n">
        <v>45967</v>
      </c>
      <c r="D782" t="inlineStr">
        <is>
          <t>VÄSTERNORRLANDS LÄN</t>
        </is>
      </c>
      <c r="E782" t="inlineStr">
        <is>
          <t>ÅNGE</t>
        </is>
      </c>
      <c r="G782" t="n">
        <v>3.6</v>
      </c>
      <c r="H782" t="n">
        <v>0</v>
      </c>
      <c r="I782" t="n">
        <v>0</v>
      </c>
      <c r="J782" t="n">
        <v>0</v>
      </c>
      <c r="K782" t="n">
        <v>0</v>
      </c>
      <c r="L782" t="n">
        <v>0</v>
      </c>
      <c r="M782" t="n">
        <v>0</v>
      </c>
      <c r="N782" t="n">
        <v>0</v>
      </c>
      <c r="O782" t="n">
        <v>0</v>
      </c>
      <c r="P782" t="n">
        <v>0</v>
      </c>
      <c r="Q782" t="n">
        <v>0</v>
      </c>
      <c r="R782" s="2" t="inlineStr"/>
    </row>
    <row r="783" ht="15" customHeight="1">
      <c r="A783" t="inlineStr">
        <is>
          <t>A 40898-2025</t>
        </is>
      </c>
      <c r="B783" s="1" t="n">
        <v>45897.61503472222</v>
      </c>
      <c r="C783" s="1" t="n">
        <v>45967</v>
      </c>
      <c r="D783" t="inlineStr">
        <is>
          <t>VÄSTERNORRLANDS LÄN</t>
        </is>
      </c>
      <c r="E783" t="inlineStr">
        <is>
          <t>ÅNGE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40899-2025</t>
        </is>
      </c>
      <c r="B784" s="1" t="n">
        <v>45897.61528935185</v>
      </c>
      <c r="C784" s="1" t="n">
        <v>45967</v>
      </c>
      <c r="D784" t="inlineStr">
        <is>
          <t>VÄSTERNORRLANDS LÄN</t>
        </is>
      </c>
      <c r="E784" t="inlineStr">
        <is>
          <t>ÅNGE</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21862-2025</t>
        </is>
      </c>
      <c r="B785" s="1" t="n">
        <v>45784.36519675926</v>
      </c>
      <c r="C785" s="1" t="n">
        <v>45967</v>
      </c>
      <c r="D785" t="inlineStr">
        <is>
          <t>VÄSTERNORRLANDS LÄN</t>
        </is>
      </c>
      <c r="E785" t="inlineStr">
        <is>
          <t>ÅNGE</t>
        </is>
      </c>
      <c r="F785" t="inlineStr">
        <is>
          <t>SCA</t>
        </is>
      </c>
      <c r="G785" t="n">
        <v>4.6</v>
      </c>
      <c r="H785" t="n">
        <v>0</v>
      </c>
      <c r="I785" t="n">
        <v>0</v>
      </c>
      <c r="J785" t="n">
        <v>0</v>
      </c>
      <c r="K785" t="n">
        <v>0</v>
      </c>
      <c r="L785" t="n">
        <v>0</v>
      </c>
      <c r="M785" t="n">
        <v>0</v>
      </c>
      <c r="N785" t="n">
        <v>0</v>
      </c>
      <c r="O785" t="n">
        <v>0</v>
      </c>
      <c r="P785" t="n">
        <v>0</v>
      </c>
      <c r="Q785" t="n">
        <v>0</v>
      </c>
      <c r="R785" s="2" t="inlineStr"/>
    </row>
    <row r="786" ht="15" customHeight="1">
      <c r="A786" t="inlineStr">
        <is>
          <t>A 24324-2022</t>
        </is>
      </c>
      <c r="B786" s="1" t="n">
        <v>44725.945</v>
      </c>
      <c r="C786" s="1" t="n">
        <v>45967</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24325-2022</t>
        </is>
      </c>
      <c r="B787" s="1" t="n">
        <v>44725.94506944445</v>
      </c>
      <c r="C787" s="1" t="n">
        <v>45967</v>
      </c>
      <c r="D787" t="inlineStr">
        <is>
          <t>VÄSTERNORRLANDS LÄN</t>
        </is>
      </c>
      <c r="E787" t="inlineStr">
        <is>
          <t>ÅNGE</t>
        </is>
      </c>
      <c r="G787" t="n">
        <v>1.6</v>
      </c>
      <c r="H787" t="n">
        <v>0</v>
      </c>
      <c r="I787" t="n">
        <v>0</v>
      </c>
      <c r="J787" t="n">
        <v>0</v>
      </c>
      <c r="K787" t="n">
        <v>0</v>
      </c>
      <c r="L787" t="n">
        <v>0</v>
      </c>
      <c r="M787" t="n">
        <v>0</v>
      </c>
      <c r="N787" t="n">
        <v>0</v>
      </c>
      <c r="O787" t="n">
        <v>0</v>
      </c>
      <c r="P787" t="n">
        <v>0</v>
      </c>
      <c r="Q787" t="n">
        <v>0</v>
      </c>
      <c r="R787" s="2" t="inlineStr"/>
    </row>
    <row r="788" ht="15" customHeight="1">
      <c r="A788" t="inlineStr">
        <is>
          <t>A 22597-2021</t>
        </is>
      </c>
      <c r="B788" s="1" t="n">
        <v>44326</v>
      </c>
      <c r="C788" s="1" t="n">
        <v>45967</v>
      </c>
      <c r="D788" t="inlineStr">
        <is>
          <t>VÄSTERNORRLANDS LÄN</t>
        </is>
      </c>
      <c r="E788" t="inlineStr">
        <is>
          <t>ÅNGE</t>
        </is>
      </c>
      <c r="G788" t="n">
        <v>0.9</v>
      </c>
      <c r="H788" t="n">
        <v>0</v>
      </c>
      <c r="I788" t="n">
        <v>0</v>
      </c>
      <c r="J788" t="n">
        <v>0</v>
      </c>
      <c r="K788" t="n">
        <v>0</v>
      </c>
      <c r="L788" t="n">
        <v>0</v>
      </c>
      <c r="M788" t="n">
        <v>0</v>
      </c>
      <c r="N788" t="n">
        <v>0</v>
      </c>
      <c r="O788" t="n">
        <v>0</v>
      </c>
      <c r="P788" t="n">
        <v>0</v>
      </c>
      <c r="Q788" t="n">
        <v>0</v>
      </c>
      <c r="R788" s="2" t="inlineStr"/>
    </row>
    <row r="789" ht="15" customHeight="1">
      <c r="A789" t="inlineStr">
        <is>
          <t>A 30803-2022</t>
        </is>
      </c>
      <c r="B789" s="1" t="n">
        <v>44764</v>
      </c>
      <c r="C789" s="1" t="n">
        <v>45967</v>
      </c>
      <c r="D789" t="inlineStr">
        <is>
          <t>VÄSTERNORRLANDS LÄN</t>
        </is>
      </c>
      <c r="E789" t="inlineStr">
        <is>
          <t>ÅNGE</t>
        </is>
      </c>
      <c r="G789" t="n">
        <v>1.1</v>
      </c>
      <c r="H789" t="n">
        <v>0</v>
      </c>
      <c r="I789" t="n">
        <v>0</v>
      </c>
      <c r="J789" t="n">
        <v>0</v>
      </c>
      <c r="K789" t="n">
        <v>0</v>
      </c>
      <c r="L789" t="n">
        <v>0</v>
      </c>
      <c r="M789" t="n">
        <v>0</v>
      </c>
      <c r="N789" t="n">
        <v>0</v>
      </c>
      <c r="O789" t="n">
        <v>0</v>
      </c>
      <c r="P789" t="n">
        <v>0</v>
      </c>
      <c r="Q789" t="n">
        <v>0</v>
      </c>
      <c r="R789" s="2" t="inlineStr"/>
    </row>
    <row r="790" ht="15" customHeight="1">
      <c r="A790" t="inlineStr">
        <is>
          <t>A 17744-2025</t>
        </is>
      </c>
      <c r="B790" s="1" t="n">
        <v>45758</v>
      </c>
      <c r="C790" s="1" t="n">
        <v>45967</v>
      </c>
      <c r="D790" t="inlineStr">
        <is>
          <t>VÄSTERNORRLANDS LÄN</t>
        </is>
      </c>
      <c r="E790" t="inlineStr">
        <is>
          <t>ÅNGE</t>
        </is>
      </c>
      <c r="G790" t="n">
        <v>5</v>
      </c>
      <c r="H790" t="n">
        <v>0</v>
      </c>
      <c r="I790" t="n">
        <v>0</v>
      </c>
      <c r="J790" t="n">
        <v>0</v>
      </c>
      <c r="K790" t="n">
        <v>0</v>
      </c>
      <c r="L790" t="n">
        <v>0</v>
      </c>
      <c r="M790" t="n">
        <v>0</v>
      </c>
      <c r="N790" t="n">
        <v>0</v>
      </c>
      <c r="O790" t="n">
        <v>0</v>
      </c>
      <c r="P790" t="n">
        <v>0</v>
      </c>
      <c r="Q790" t="n">
        <v>0</v>
      </c>
      <c r="R790" s="2" t="inlineStr"/>
    </row>
    <row r="791" ht="15" customHeight="1">
      <c r="A791" t="inlineStr">
        <is>
          <t>A 2433-2024</t>
        </is>
      </c>
      <c r="B791" s="1" t="n">
        <v>45310</v>
      </c>
      <c r="C791" s="1" t="n">
        <v>45967</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21982-2025</t>
        </is>
      </c>
      <c r="B792" s="1" t="n">
        <v>45784.65660879629</v>
      </c>
      <c r="C792" s="1" t="n">
        <v>45967</v>
      </c>
      <c r="D792" t="inlineStr">
        <is>
          <t>VÄSTERNORRLANDS LÄN</t>
        </is>
      </c>
      <c r="E792" t="inlineStr">
        <is>
          <t>ÅNGE</t>
        </is>
      </c>
      <c r="F792" t="inlineStr">
        <is>
          <t>SCA</t>
        </is>
      </c>
      <c r="G792" t="n">
        <v>7.6</v>
      </c>
      <c r="H792" t="n">
        <v>0</v>
      </c>
      <c r="I792" t="n">
        <v>0</v>
      </c>
      <c r="J792" t="n">
        <v>0</v>
      </c>
      <c r="K792" t="n">
        <v>0</v>
      </c>
      <c r="L792" t="n">
        <v>0</v>
      </c>
      <c r="M792" t="n">
        <v>0</v>
      </c>
      <c r="N792" t="n">
        <v>0</v>
      </c>
      <c r="O792" t="n">
        <v>0</v>
      </c>
      <c r="P792" t="n">
        <v>0</v>
      </c>
      <c r="Q792" t="n">
        <v>0</v>
      </c>
      <c r="R792" s="2" t="inlineStr"/>
    </row>
    <row r="793" ht="15" customHeight="1">
      <c r="A793" t="inlineStr">
        <is>
          <t>A 54295-2024</t>
        </is>
      </c>
      <c r="B793" s="1" t="n">
        <v>45617</v>
      </c>
      <c r="C793" s="1" t="n">
        <v>45967</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21686-2025</t>
        </is>
      </c>
      <c r="B794" s="1" t="n">
        <v>45783.490625</v>
      </c>
      <c r="C794" s="1" t="n">
        <v>45967</v>
      </c>
      <c r="D794" t="inlineStr">
        <is>
          <t>VÄSTERNORRLANDS LÄN</t>
        </is>
      </c>
      <c r="E794" t="inlineStr">
        <is>
          <t>ÅNGE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40872-2025</t>
        </is>
      </c>
      <c r="B795" s="1" t="n">
        <v>45897.574375</v>
      </c>
      <c r="C795" s="1" t="n">
        <v>45967</v>
      </c>
      <c r="D795" t="inlineStr">
        <is>
          <t>VÄSTERNORRLANDS LÄN</t>
        </is>
      </c>
      <c r="E795" t="inlineStr">
        <is>
          <t>ÅNGE</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10282-2025</t>
        </is>
      </c>
      <c r="B796" s="1" t="n">
        <v>45720.40659722222</v>
      </c>
      <c r="C796" s="1" t="n">
        <v>45967</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56615-2023</t>
        </is>
      </c>
      <c r="B797" s="1" t="n">
        <v>45243</v>
      </c>
      <c r="C797" s="1" t="n">
        <v>45967</v>
      </c>
      <c r="D797" t="inlineStr">
        <is>
          <t>VÄSTERNORRLANDS LÄN</t>
        </is>
      </c>
      <c r="E797" t="inlineStr">
        <is>
          <t>ÅNGE</t>
        </is>
      </c>
      <c r="G797" t="n">
        <v>7.4</v>
      </c>
      <c r="H797" t="n">
        <v>0</v>
      </c>
      <c r="I797" t="n">
        <v>0</v>
      </c>
      <c r="J797" t="n">
        <v>0</v>
      </c>
      <c r="K797" t="n">
        <v>0</v>
      </c>
      <c r="L797" t="n">
        <v>0</v>
      </c>
      <c r="M797" t="n">
        <v>0</v>
      </c>
      <c r="N797" t="n">
        <v>0</v>
      </c>
      <c r="O797" t="n">
        <v>0</v>
      </c>
      <c r="P797" t="n">
        <v>0</v>
      </c>
      <c r="Q797" t="n">
        <v>0</v>
      </c>
      <c r="R797" s="2" t="inlineStr"/>
    </row>
    <row r="798" ht="15" customHeight="1">
      <c r="A798" t="inlineStr">
        <is>
          <t>A 61461-2023</t>
        </is>
      </c>
      <c r="B798" s="1" t="n">
        <v>45264.9261574074</v>
      </c>
      <c r="C798" s="1" t="n">
        <v>45967</v>
      </c>
      <c r="D798" t="inlineStr">
        <is>
          <t>VÄSTERNORRLANDS LÄN</t>
        </is>
      </c>
      <c r="E798" t="inlineStr">
        <is>
          <t>ÅNGE</t>
        </is>
      </c>
      <c r="G798" t="n">
        <v>0.9</v>
      </c>
      <c r="H798" t="n">
        <v>0</v>
      </c>
      <c r="I798" t="n">
        <v>0</v>
      </c>
      <c r="J798" t="n">
        <v>0</v>
      </c>
      <c r="K798" t="n">
        <v>0</v>
      </c>
      <c r="L798" t="n">
        <v>0</v>
      </c>
      <c r="M798" t="n">
        <v>0</v>
      </c>
      <c r="N798" t="n">
        <v>0</v>
      </c>
      <c r="O798" t="n">
        <v>0</v>
      </c>
      <c r="P798" t="n">
        <v>0</v>
      </c>
      <c r="Q798" t="n">
        <v>0</v>
      </c>
      <c r="R798" s="2" t="inlineStr"/>
    </row>
    <row r="799" ht="15" customHeight="1">
      <c r="A799" t="inlineStr">
        <is>
          <t>A 40818-2025</t>
        </is>
      </c>
      <c r="B799" s="1" t="n">
        <v>45897.48881944444</v>
      </c>
      <c r="C799" s="1" t="n">
        <v>45967</v>
      </c>
      <c r="D799" t="inlineStr">
        <is>
          <t>VÄSTERNORRLANDS LÄN</t>
        </is>
      </c>
      <c r="E799" t="inlineStr">
        <is>
          <t>ÅNGE</t>
        </is>
      </c>
      <c r="G799" t="n">
        <v>2.9</v>
      </c>
      <c r="H799" t="n">
        <v>0</v>
      </c>
      <c r="I799" t="n">
        <v>0</v>
      </c>
      <c r="J799" t="n">
        <v>0</v>
      </c>
      <c r="K799" t="n">
        <v>0</v>
      </c>
      <c r="L799" t="n">
        <v>0</v>
      </c>
      <c r="M799" t="n">
        <v>0</v>
      </c>
      <c r="N799" t="n">
        <v>0</v>
      </c>
      <c r="O799" t="n">
        <v>0</v>
      </c>
      <c r="P799" t="n">
        <v>0</v>
      </c>
      <c r="Q799" t="n">
        <v>0</v>
      </c>
      <c r="R799" s="2" t="inlineStr"/>
    </row>
    <row r="800" ht="15" customHeight="1">
      <c r="A800" t="inlineStr">
        <is>
          <t>A 40830-2025</t>
        </is>
      </c>
      <c r="B800" s="1" t="n">
        <v>45897.51079861111</v>
      </c>
      <c r="C800" s="1" t="n">
        <v>45967</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137-2025</t>
        </is>
      </c>
      <c r="B801" s="1" t="n">
        <v>45659.57684027778</v>
      </c>
      <c r="C801" s="1" t="n">
        <v>45967</v>
      </c>
      <c r="D801" t="inlineStr">
        <is>
          <t>VÄSTERNORRLANDS LÄN</t>
        </is>
      </c>
      <c r="E801" t="inlineStr">
        <is>
          <t>ÅNGE</t>
        </is>
      </c>
      <c r="G801" t="n">
        <v>0.2</v>
      </c>
      <c r="H801" t="n">
        <v>0</v>
      </c>
      <c r="I801" t="n">
        <v>0</v>
      </c>
      <c r="J801" t="n">
        <v>0</v>
      </c>
      <c r="K801" t="n">
        <v>0</v>
      </c>
      <c r="L801" t="n">
        <v>0</v>
      </c>
      <c r="M801" t="n">
        <v>0</v>
      </c>
      <c r="N801" t="n">
        <v>0</v>
      </c>
      <c r="O801" t="n">
        <v>0</v>
      </c>
      <c r="P801" t="n">
        <v>0</v>
      </c>
      <c r="Q801" t="n">
        <v>0</v>
      </c>
      <c r="R801" s="2" t="inlineStr"/>
    </row>
    <row r="802" ht="15" customHeight="1">
      <c r="A802" t="inlineStr">
        <is>
          <t>A 21741-2025</t>
        </is>
      </c>
      <c r="B802" s="1" t="n">
        <v>45783.59415509259</v>
      </c>
      <c r="C802" s="1" t="n">
        <v>45967</v>
      </c>
      <c r="D802" t="inlineStr">
        <is>
          <t>VÄSTERNORRLANDS LÄN</t>
        </is>
      </c>
      <c r="E802" t="inlineStr">
        <is>
          <t>ÅNGE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39119-2024</t>
        </is>
      </c>
      <c r="B803" s="1" t="n">
        <v>45548.58939814815</v>
      </c>
      <c r="C803" s="1" t="n">
        <v>45967</v>
      </c>
      <c r="D803" t="inlineStr">
        <is>
          <t>VÄSTERNORRLANDS LÄN</t>
        </is>
      </c>
      <c r="E803" t="inlineStr">
        <is>
          <t>ÅNGE</t>
        </is>
      </c>
      <c r="G803" t="n">
        <v>8</v>
      </c>
      <c r="H803" t="n">
        <v>0</v>
      </c>
      <c r="I803" t="n">
        <v>0</v>
      </c>
      <c r="J803" t="n">
        <v>0</v>
      </c>
      <c r="K803" t="n">
        <v>0</v>
      </c>
      <c r="L803" t="n">
        <v>0</v>
      </c>
      <c r="M803" t="n">
        <v>0</v>
      </c>
      <c r="N803" t="n">
        <v>0</v>
      </c>
      <c r="O803" t="n">
        <v>0</v>
      </c>
      <c r="P803" t="n">
        <v>0</v>
      </c>
      <c r="Q803" t="n">
        <v>0</v>
      </c>
      <c r="R803" s="2" t="inlineStr"/>
    </row>
    <row r="804" ht="15" customHeight="1">
      <c r="A804" t="inlineStr">
        <is>
          <t>A 21685-2025</t>
        </is>
      </c>
      <c r="B804" s="1" t="n">
        <v>45783.49050925926</v>
      </c>
      <c r="C804" s="1" t="n">
        <v>45967</v>
      </c>
      <c r="D804" t="inlineStr">
        <is>
          <t>VÄSTERNORRLANDS LÄN</t>
        </is>
      </c>
      <c r="E804" t="inlineStr">
        <is>
          <t>ÅNGE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10071-2023</t>
        </is>
      </c>
      <c r="B805" s="1" t="n">
        <v>44985.92418981482</v>
      </c>
      <c r="C805" s="1" t="n">
        <v>45967</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27661-2024</t>
        </is>
      </c>
      <c r="B806" s="1" t="n">
        <v>45474.95365740741</v>
      </c>
      <c r="C806" s="1" t="n">
        <v>45967</v>
      </c>
      <c r="D806" t="inlineStr">
        <is>
          <t>VÄSTERNORRLANDS LÄN</t>
        </is>
      </c>
      <c r="E806" t="inlineStr">
        <is>
          <t>ÅNGE</t>
        </is>
      </c>
      <c r="F806" t="inlineStr">
        <is>
          <t>SCA</t>
        </is>
      </c>
      <c r="G806" t="n">
        <v>19.1</v>
      </c>
      <c r="H806" t="n">
        <v>0</v>
      </c>
      <c r="I806" t="n">
        <v>0</v>
      </c>
      <c r="J806" t="n">
        <v>0</v>
      </c>
      <c r="K806" t="n">
        <v>0</v>
      </c>
      <c r="L806" t="n">
        <v>0</v>
      </c>
      <c r="M806" t="n">
        <v>0</v>
      </c>
      <c r="N806" t="n">
        <v>0</v>
      </c>
      <c r="O806" t="n">
        <v>0</v>
      </c>
      <c r="P806" t="n">
        <v>0</v>
      </c>
      <c r="Q806" t="n">
        <v>0</v>
      </c>
      <c r="R806" s="2" t="inlineStr"/>
    </row>
    <row r="807" ht="15" customHeight="1">
      <c r="A807" t="inlineStr">
        <is>
          <t>A 49562-2025</t>
        </is>
      </c>
      <c r="B807" s="1" t="n">
        <v>45939.46524305556</v>
      </c>
      <c r="C807" s="1" t="n">
        <v>45967</v>
      </c>
      <c r="D807" t="inlineStr">
        <is>
          <t>VÄSTERNORRLANDS LÄN</t>
        </is>
      </c>
      <c r="E807" t="inlineStr">
        <is>
          <t>ÅNGE</t>
        </is>
      </c>
      <c r="G807" t="n">
        <v>4.4</v>
      </c>
      <c r="H807" t="n">
        <v>0</v>
      </c>
      <c r="I807" t="n">
        <v>0</v>
      </c>
      <c r="J807" t="n">
        <v>0</v>
      </c>
      <c r="K807" t="n">
        <v>0</v>
      </c>
      <c r="L807" t="n">
        <v>0</v>
      </c>
      <c r="M807" t="n">
        <v>0</v>
      </c>
      <c r="N807" t="n">
        <v>0</v>
      </c>
      <c r="O807" t="n">
        <v>0</v>
      </c>
      <c r="P807" t="n">
        <v>0</v>
      </c>
      <c r="Q807" t="n">
        <v>0</v>
      </c>
      <c r="R807" s="2" t="inlineStr"/>
    </row>
    <row r="808" ht="15" customHeight="1">
      <c r="A808" t="inlineStr">
        <is>
          <t>A 32257-2024</t>
        </is>
      </c>
      <c r="B808" s="1" t="n">
        <v>45511</v>
      </c>
      <c r="C808" s="1" t="n">
        <v>45967</v>
      </c>
      <c r="D808" t="inlineStr">
        <is>
          <t>VÄSTERNORRLANDS LÄN</t>
        </is>
      </c>
      <c r="E808" t="inlineStr">
        <is>
          <t>ÅNGE</t>
        </is>
      </c>
      <c r="F808" t="inlineStr">
        <is>
          <t>SCA</t>
        </is>
      </c>
      <c r="G808" t="n">
        <v>4.7</v>
      </c>
      <c r="H808" t="n">
        <v>0</v>
      </c>
      <c r="I808" t="n">
        <v>0</v>
      </c>
      <c r="J808" t="n">
        <v>0</v>
      </c>
      <c r="K808" t="n">
        <v>0</v>
      </c>
      <c r="L808" t="n">
        <v>0</v>
      </c>
      <c r="M808" t="n">
        <v>0</v>
      </c>
      <c r="N808" t="n">
        <v>0</v>
      </c>
      <c r="O808" t="n">
        <v>0</v>
      </c>
      <c r="P808" t="n">
        <v>0</v>
      </c>
      <c r="Q808" t="n">
        <v>0</v>
      </c>
      <c r="R808" s="2" t="inlineStr"/>
    </row>
    <row r="809" ht="15" customHeight="1">
      <c r="A809" t="inlineStr">
        <is>
          <t>A 45890-2021</t>
        </is>
      </c>
      <c r="B809" s="1" t="n">
        <v>44441</v>
      </c>
      <c r="C809" s="1" t="n">
        <v>45967</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31492-2024</t>
        </is>
      </c>
      <c r="B810" s="1" t="n">
        <v>45505</v>
      </c>
      <c r="C810" s="1" t="n">
        <v>45967</v>
      </c>
      <c r="D810" t="inlineStr">
        <is>
          <t>VÄSTERNORRLANDS LÄN</t>
        </is>
      </c>
      <c r="E810" t="inlineStr">
        <is>
          <t>ÅNGE</t>
        </is>
      </c>
      <c r="F810" t="inlineStr">
        <is>
          <t>SCA</t>
        </is>
      </c>
      <c r="G810" t="n">
        <v>5.5</v>
      </c>
      <c r="H810" t="n">
        <v>0</v>
      </c>
      <c r="I810" t="n">
        <v>0</v>
      </c>
      <c r="J810" t="n">
        <v>0</v>
      </c>
      <c r="K810" t="n">
        <v>0</v>
      </c>
      <c r="L810" t="n">
        <v>0</v>
      </c>
      <c r="M810" t="n">
        <v>0</v>
      </c>
      <c r="N810" t="n">
        <v>0</v>
      </c>
      <c r="O810" t="n">
        <v>0</v>
      </c>
      <c r="P810" t="n">
        <v>0</v>
      </c>
      <c r="Q810" t="n">
        <v>0</v>
      </c>
      <c r="R810" s="2" t="inlineStr"/>
    </row>
    <row r="811" ht="15" customHeight="1">
      <c r="A811" t="inlineStr">
        <is>
          <t>A 38800-2024</t>
        </is>
      </c>
      <c r="B811" s="1" t="n">
        <v>45547</v>
      </c>
      <c r="C811" s="1" t="n">
        <v>45967</v>
      </c>
      <c r="D811" t="inlineStr">
        <is>
          <t>VÄSTERNORRLANDS LÄN</t>
        </is>
      </c>
      <c r="E811" t="inlineStr">
        <is>
          <t>ÅNGE</t>
        </is>
      </c>
      <c r="G811" t="n">
        <v>2.6</v>
      </c>
      <c r="H811" t="n">
        <v>0</v>
      </c>
      <c r="I811" t="n">
        <v>0</v>
      </c>
      <c r="J811" t="n">
        <v>0</v>
      </c>
      <c r="K811" t="n">
        <v>0</v>
      </c>
      <c r="L811" t="n">
        <v>0</v>
      </c>
      <c r="M811" t="n">
        <v>0</v>
      </c>
      <c r="N811" t="n">
        <v>0</v>
      </c>
      <c r="O811" t="n">
        <v>0</v>
      </c>
      <c r="P811" t="n">
        <v>0</v>
      </c>
      <c r="Q811" t="n">
        <v>0</v>
      </c>
      <c r="R811" s="2" t="inlineStr"/>
    </row>
    <row r="812" ht="15" customHeight="1">
      <c r="A812" t="inlineStr">
        <is>
          <t>A 20880-2025</t>
        </is>
      </c>
      <c r="B812" s="1" t="n">
        <v>45777</v>
      </c>
      <c r="C812" s="1" t="n">
        <v>45967</v>
      </c>
      <c r="D812" t="inlineStr">
        <is>
          <t>VÄSTERNORRLANDS LÄN</t>
        </is>
      </c>
      <c r="E812" t="inlineStr">
        <is>
          <t>ÅNGE</t>
        </is>
      </c>
      <c r="G812" t="n">
        <v>1.6</v>
      </c>
      <c r="H812" t="n">
        <v>0</v>
      </c>
      <c r="I812" t="n">
        <v>0</v>
      </c>
      <c r="J812" t="n">
        <v>0</v>
      </c>
      <c r="K812" t="n">
        <v>0</v>
      </c>
      <c r="L812" t="n">
        <v>0</v>
      </c>
      <c r="M812" t="n">
        <v>0</v>
      </c>
      <c r="N812" t="n">
        <v>0</v>
      </c>
      <c r="O812" t="n">
        <v>0</v>
      </c>
      <c r="P812" t="n">
        <v>0</v>
      </c>
      <c r="Q812" t="n">
        <v>0</v>
      </c>
      <c r="R812" s="2" t="inlineStr"/>
    </row>
    <row r="813" ht="15" customHeight="1">
      <c r="A813" t="inlineStr">
        <is>
          <t>A 60003-2023</t>
        </is>
      </c>
      <c r="B813" s="1" t="n">
        <v>45257</v>
      </c>
      <c r="C813" s="1" t="n">
        <v>45967</v>
      </c>
      <c r="D813" t="inlineStr">
        <is>
          <t>VÄSTERNORRLANDS LÄN</t>
        </is>
      </c>
      <c r="E813" t="inlineStr">
        <is>
          <t>ÅNGE</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213-2024</t>
        </is>
      </c>
      <c r="B814" s="1" t="n">
        <v>45293</v>
      </c>
      <c r="C814" s="1" t="n">
        <v>45967</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40788-2024</t>
        </is>
      </c>
      <c r="B815" s="1" t="n">
        <v>45558.50974537037</v>
      </c>
      <c r="C815" s="1" t="n">
        <v>45967</v>
      </c>
      <c r="D815" t="inlineStr">
        <is>
          <t>VÄSTERNORRLANDS LÄN</t>
        </is>
      </c>
      <c r="E815" t="inlineStr">
        <is>
          <t>ÅNGE</t>
        </is>
      </c>
      <c r="G815" t="n">
        <v>4.2</v>
      </c>
      <c r="H815" t="n">
        <v>0</v>
      </c>
      <c r="I815" t="n">
        <v>0</v>
      </c>
      <c r="J815" t="n">
        <v>0</v>
      </c>
      <c r="K815" t="n">
        <v>0</v>
      </c>
      <c r="L815" t="n">
        <v>0</v>
      </c>
      <c r="M815" t="n">
        <v>0</v>
      </c>
      <c r="N815" t="n">
        <v>0</v>
      </c>
      <c r="O815" t="n">
        <v>0</v>
      </c>
      <c r="P815" t="n">
        <v>0</v>
      </c>
      <c r="Q815" t="n">
        <v>0</v>
      </c>
      <c r="R815" s="2" t="inlineStr"/>
    </row>
    <row r="816" ht="15" customHeight="1">
      <c r="A816" t="inlineStr">
        <is>
          <t>A 49566-2025</t>
        </is>
      </c>
      <c r="B816" s="1" t="n">
        <v>45939.46939814815</v>
      </c>
      <c r="C816" s="1" t="n">
        <v>45967</v>
      </c>
      <c r="D816" t="inlineStr">
        <is>
          <t>VÄSTERNORRLANDS LÄN</t>
        </is>
      </c>
      <c r="E816" t="inlineStr">
        <is>
          <t>ÅNGE</t>
        </is>
      </c>
      <c r="F816" t="inlineStr">
        <is>
          <t>SCA</t>
        </is>
      </c>
      <c r="G816" t="n">
        <v>7.7</v>
      </c>
      <c r="H816" t="n">
        <v>0</v>
      </c>
      <c r="I816" t="n">
        <v>0</v>
      </c>
      <c r="J816" t="n">
        <v>0</v>
      </c>
      <c r="K816" t="n">
        <v>0</v>
      </c>
      <c r="L816" t="n">
        <v>0</v>
      </c>
      <c r="M816" t="n">
        <v>0</v>
      </c>
      <c r="N816" t="n">
        <v>0</v>
      </c>
      <c r="O816" t="n">
        <v>0</v>
      </c>
      <c r="P816" t="n">
        <v>0</v>
      </c>
      <c r="Q816" t="n">
        <v>0</v>
      </c>
      <c r="R816" s="2" t="inlineStr"/>
    </row>
    <row r="817" ht="15" customHeight="1">
      <c r="A817" t="inlineStr">
        <is>
          <t>A 49476-2025</t>
        </is>
      </c>
      <c r="B817" s="1" t="n">
        <v>45939.34506944445</v>
      </c>
      <c r="C817" s="1" t="n">
        <v>45967</v>
      </c>
      <c r="D817" t="inlineStr">
        <is>
          <t>VÄSTERNORRLANDS LÄN</t>
        </is>
      </c>
      <c r="E817" t="inlineStr">
        <is>
          <t>ÅNGE</t>
        </is>
      </c>
      <c r="F817" t="inlineStr">
        <is>
          <t>SCA</t>
        </is>
      </c>
      <c r="G817" t="n">
        <v>11.4</v>
      </c>
      <c r="H817" t="n">
        <v>0</v>
      </c>
      <c r="I817" t="n">
        <v>0</v>
      </c>
      <c r="J817" t="n">
        <v>0</v>
      </c>
      <c r="K817" t="n">
        <v>0</v>
      </c>
      <c r="L817" t="n">
        <v>0</v>
      </c>
      <c r="M817" t="n">
        <v>0</v>
      </c>
      <c r="N817" t="n">
        <v>0</v>
      </c>
      <c r="O817" t="n">
        <v>0</v>
      </c>
      <c r="P817" t="n">
        <v>0</v>
      </c>
      <c r="Q817" t="n">
        <v>0</v>
      </c>
      <c r="R817" s="2" t="inlineStr"/>
    </row>
    <row r="818" ht="15" customHeight="1">
      <c r="A818" t="inlineStr">
        <is>
          <t>A 741-2024</t>
        </is>
      </c>
      <c r="B818" s="1" t="n">
        <v>45300.46591435185</v>
      </c>
      <c r="C818" s="1" t="n">
        <v>45967</v>
      </c>
      <c r="D818" t="inlineStr">
        <is>
          <t>VÄSTERNORRLANDS LÄN</t>
        </is>
      </c>
      <c r="E818" t="inlineStr">
        <is>
          <t>ÅNGE</t>
        </is>
      </c>
      <c r="G818" t="n">
        <v>8</v>
      </c>
      <c r="H818" t="n">
        <v>0</v>
      </c>
      <c r="I818" t="n">
        <v>0</v>
      </c>
      <c r="J818" t="n">
        <v>0</v>
      </c>
      <c r="K818" t="n">
        <v>0</v>
      </c>
      <c r="L818" t="n">
        <v>0</v>
      </c>
      <c r="M818" t="n">
        <v>0</v>
      </c>
      <c r="N818" t="n">
        <v>0</v>
      </c>
      <c r="O818" t="n">
        <v>0</v>
      </c>
      <c r="P818" t="n">
        <v>0</v>
      </c>
      <c r="Q818" t="n">
        <v>0</v>
      </c>
      <c r="R818" s="2" t="inlineStr"/>
    </row>
    <row r="819" ht="15" customHeight="1">
      <c r="A819" t="inlineStr">
        <is>
          <t>A 22219-2025</t>
        </is>
      </c>
      <c r="B819" s="1" t="n">
        <v>45785.65849537037</v>
      </c>
      <c r="C819" s="1" t="n">
        <v>45967</v>
      </c>
      <c r="D819" t="inlineStr">
        <is>
          <t>VÄSTERNORRLANDS LÄN</t>
        </is>
      </c>
      <c r="E819" t="inlineStr">
        <is>
          <t>ÅNGE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22206-2025</t>
        </is>
      </c>
      <c r="B820" s="1" t="n">
        <v>45785.65699074074</v>
      </c>
      <c r="C820" s="1" t="n">
        <v>45967</v>
      </c>
      <c r="D820" t="inlineStr">
        <is>
          <t>VÄSTERNORRLANDS LÄN</t>
        </is>
      </c>
      <c r="E820" t="inlineStr">
        <is>
          <t>ÅNGE</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16362-2023</t>
        </is>
      </c>
      <c r="B821" s="1" t="n">
        <v>45028.9250462963</v>
      </c>
      <c r="C821" s="1" t="n">
        <v>45967</v>
      </c>
      <c r="D821" t="inlineStr">
        <is>
          <t>VÄSTERNORRLANDS LÄN</t>
        </is>
      </c>
      <c r="E821" t="inlineStr">
        <is>
          <t>ÅNGE</t>
        </is>
      </c>
      <c r="G821" t="n">
        <v>4.8</v>
      </c>
      <c r="H821" t="n">
        <v>0</v>
      </c>
      <c r="I821" t="n">
        <v>0</v>
      </c>
      <c r="J821" t="n">
        <v>0</v>
      </c>
      <c r="K821" t="n">
        <v>0</v>
      </c>
      <c r="L821" t="n">
        <v>0</v>
      </c>
      <c r="M821" t="n">
        <v>0</v>
      </c>
      <c r="N821" t="n">
        <v>0</v>
      </c>
      <c r="O821" t="n">
        <v>0</v>
      </c>
      <c r="P821" t="n">
        <v>0</v>
      </c>
      <c r="Q821" t="n">
        <v>0</v>
      </c>
      <c r="R821" s="2" t="inlineStr"/>
    </row>
    <row r="822" ht="15" customHeight="1">
      <c r="A822" t="inlineStr">
        <is>
          <t>A 54611-2023</t>
        </is>
      </c>
      <c r="B822" s="1" t="n">
        <v>45233</v>
      </c>
      <c r="C822" s="1" t="n">
        <v>45967</v>
      </c>
      <c r="D822" t="inlineStr">
        <is>
          <t>VÄSTERNORRLANDS LÄN</t>
        </is>
      </c>
      <c r="E822" t="inlineStr">
        <is>
          <t>ÅNGE</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49600-2025</t>
        </is>
      </c>
      <c r="B823" s="1" t="n">
        <v>45939.54434027777</v>
      </c>
      <c r="C823" s="1" t="n">
        <v>45967</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49669-2025</t>
        </is>
      </c>
      <c r="B824" s="1" t="n">
        <v>45939.63710648148</v>
      </c>
      <c r="C824" s="1" t="n">
        <v>45967</v>
      </c>
      <c r="D824" t="inlineStr">
        <is>
          <t>VÄSTERNORRLANDS LÄN</t>
        </is>
      </c>
      <c r="E824" t="inlineStr">
        <is>
          <t>ÅNGE</t>
        </is>
      </c>
      <c r="F824" t="inlineStr">
        <is>
          <t>SCA</t>
        </is>
      </c>
      <c r="G824" t="n">
        <v>7.1</v>
      </c>
      <c r="H824" t="n">
        <v>0</v>
      </c>
      <c r="I824" t="n">
        <v>0</v>
      </c>
      <c r="J824" t="n">
        <v>0</v>
      </c>
      <c r="K824" t="n">
        <v>0</v>
      </c>
      <c r="L824" t="n">
        <v>0</v>
      </c>
      <c r="M824" t="n">
        <v>0</v>
      </c>
      <c r="N824" t="n">
        <v>0</v>
      </c>
      <c r="O824" t="n">
        <v>0</v>
      </c>
      <c r="P824" t="n">
        <v>0</v>
      </c>
      <c r="Q824" t="n">
        <v>0</v>
      </c>
      <c r="R824" s="2" t="inlineStr"/>
    </row>
    <row r="825" ht="15" customHeight="1">
      <c r="A825" t="inlineStr">
        <is>
          <t>A 49603-2025</t>
        </is>
      </c>
      <c r="B825" s="1" t="n">
        <v>45939.5484375</v>
      </c>
      <c r="C825" s="1" t="n">
        <v>45967</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28779-2023</t>
        </is>
      </c>
      <c r="B826" s="1" t="n">
        <v>45104.34314814815</v>
      </c>
      <c r="C826" s="1" t="n">
        <v>45967</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63607-2021</t>
        </is>
      </c>
      <c r="B827" s="1" t="n">
        <v>44508.94650462963</v>
      </c>
      <c r="C827" s="1" t="n">
        <v>45967</v>
      </c>
      <c r="D827" t="inlineStr">
        <is>
          <t>VÄSTERNORRLANDS LÄN</t>
        </is>
      </c>
      <c r="E827" t="inlineStr">
        <is>
          <t>ÅNGE</t>
        </is>
      </c>
      <c r="F827" t="inlineStr">
        <is>
          <t>SCA</t>
        </is>
      </c>
      <c r="G827" t="n">
        <v>6.7</v>
      </c>
      <c r="H827" t="n">
        <v>0</v>
      </c>
      <c r="I827" t="n">
        <v>0</v>
      </c>
      <c r="J827" t="n">
        <v>0</v>
      </c>
      <c r="K827" t="n">
        <v>0</v>
      </c>
      <c r="L827" t="n">
        <v>0</v>
      </c>
      <c r="M827" t="n">
        <v>0</v>
      </c>
      <c r="N827" t="n">
        <v>0</v>
      </c>
      <c r="O827" t="n">
        <v>0</v>
      </c>
      <c r="P827" t="n">
        <v>0</v>
      </c>
      <c r="Q827" t="n">
        <v>0</v>
      </c>
      <c r="R827" s="2" t="inlineStr"/>
    </row>
    <row r="828" ht="15" customHeight="1">
      <c r="A828" t="inlineStr">
        <is>
          <t>A 30235-2024</t>
        </is>
      </c>
      <c r="B828" s="1" t="n">
        <v>45490.49040509259</v>
      </c>
      <c r="C828" s="1" t="n">
        <v>45967</v>
      </c>
      <c r="D828" t="inlineStr">
        <is>
          <t>VÄSTERNORRLANDS LÄN</t>
        </is>
      </c>
      <c r="E828" t="inlineStr">
        <is>
          <t>ÅNGE</t>
        </is>
      </c>
      <c r="G828" t="n">
        <v>3.7</v>
      </c>
      <c r="H828" t="n">
        <v>0</v>
      </c>
      <c r="I828" t="n">
        <v>0</v>
      </c>
      <c r="J828" t="n">
        <v>0</v>
      </c>
      <c r="K828" t="n">
        <v>0</v>
      </c>
      <c r="L828" t="n">
        <v>0</v>
      </c>
      <c r="M828" t="n">
        <v>0</v>
      </c>
      <c r="N828" t="n">
        <v>0</v>
      </c>
      <c r="O828" t="n">
        <v>0</v>
      </c>
      <c r="P828" t="n">
        <v>0</v>
      </c>
      <c r="Q828" t="n">
        <v>0</v>
      </c>
      <c r="R828" s="2" t="inlineStr"/>
    </row>
    <row r="829" ht="15" customHeight="1">
      <c r="A829" t="inlineStr">
        <is>
          <t>A 14673-2025</t>
        </is>
      </c>
      <c r="B829" s="1" t="n">
        <v>45742.55309027778</v>
      </c>
      <c r="C829" s="1" t="n">
        <v>45967</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50210-2025</t>
        </is>
      </c>
      <c r="B830" s="1" t="n">
        <v>45943.67379629629</v>
      </c>
      <c r="C830" s="1" t="n">
        <v>45967</v>
      </c>
      <c r="D830" t="inlineStr">
        <is>
          <t>VÄSTERNORRLANDS LÄN</t>
        </is>
      </c>
      <c r="E830" t="inlineStr">
        <is>
          <t>ÅNGE</t>
        </is>
      </c>
      <c r="G830" t="n">
        <v>2.5</v>
      </c>
      <c r="H830" t="n">
        <v>0</v>
      </c>
      <c r="I830" t="n">
        <v>0</v>
      </c>
      <c r="J830" t="n">
        <v>0</v>
      </c>
      <c r="K830" t="n">
        <v>0</v>
      </c>
      <c r="L830" t="n">
        <v>0</v>
      </c>
      <c r="M830" t="n">
        <v>0</v>
      </c>
      <c r="N830" t="n">
        <v>0</v>
      </c>
      <c r="O830" t="n">
        <v>0</v>
      </c>
      <c r="P830" t="n">
        <v>0</v>
      </c>
      <c r="Q830" t="n">
        <v>0</v>
      </c>
      <c r="R830" s="2" t="inlineStr"/>
    </row>
    <row r="831" ht="15" customHeight="1">
      <c r="A831" t="inlineStr">
        <is>
          <t>A 26640-2024</t>
        </is>
      </c>
      <c r="B831" s="1" t="n">
        <v>45469.92831018518</v>
      </c>
      <c r="C831" s="1" t="n">
        <v>45967</v>
      </c>
      <c r="D831" t="inlineStr">
        <is>
          <t>VÄSTERNORRLANDS LÄN</t>
        </is>
      </c>
      <c r="E831" t="inlineStr">
        <is>
          <t>ÅNGE</t>
        </is>
      </c>
      <c r="G831" t="n">
        <v>9.9</v>
      </c>
      <c r="H831" t="n">
        <v>0</v>
      </c>
      <c r="I831" t="n">
        <v>0</v>
      </c>
      <c r="J831" t="n">
        <v>0</v>
      </c>
      <c r="K831" t="n">
        <v>0</v>
      </c>
      <c r="L831" t="n">
        <v>0</v>
      </c>
      <c r="M831" t="n">
        <v>0</v>
      </c>
      <c r="N831" t="n">
        <v>0</v>
      </c>
      <c r="O831" t="n">
        <v>0</v>
      </c>
      <c r="P831" t="n">
        <v>0</v>
      </c>
      <c r="Q831" t="n">
        <v>0</v>
      </c>
      <c r="R831" s="2" t="inlineStr"/>
    </row>
    <row r="832" ht="15" customHeight="1">
      <c r="A832" t="inlineStr">
        <is>
          <t>A 15032-2025</t>
        </is>
      </c>
      <c r="B832" s="1" t="n">
        <v>45743.67748842593</v>
      </c>
      <c r="C832" s="1" t="n">
        <v>45967</v>
      </c>
      <c r="D832" t="inlineStr">
        <is>
          <t>VÄSTERNORRLANDS LÄN</t>
        </is>
      </c>
      <c r="E832" t="inlineStr">
        <is>
          <t>ÅNGE</t>
        </is>
      </c>
      <c r="F832" t="inlineStr">
        <is>
          <t>SCA</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7692-2024</t>
        </is>
      </c>
      <c r="B833" s="1" t="n">
        <v>45349</v>
      </c>
      <c r="C833" s="1" t="n">
        <v>45967</v>
      </c>
      <c r="D833" t="inlineStr">
        <is>
          <t>VÄSTERNORRLANDS LÄN</t>
        </is>
      </c>
      <c r="E833" t="inlineStr">
        <is>
          <t>ÅNGE</t>
        </is>
      </c>
      <c r="F833" t="inlineStr">
        <is>
          <t>SCA</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41370-2023</t>
        </is>
      </c>
      <c r="B834" s="1" t="n">
        <v>45174.85951388889</v>
      </c>
      <c r="C834" s="1" t="n">
        <v>45967</v>
      </c>
      <c r="D834" t="inlineStr">
        <is>
          <t>VÄSTERNORRLANDS LÄN</t>
        </is>
      </c>
      <c r="E834" t="inlineStr">
        <is>
          <t>ÅNGE</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14927-2025</t>
        </is>
      </c>
      <c r="B835" s="1" t="n">
        <v>45743</v>
      </c>
      <c r="C835" s="1" t="n">
        <v>45967</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47305-2025</t>
        </is>
      </c>
      <c r="B836" s="1" t="n">
        <v>45930</v>
      </c>
      <c r="C836" s="1" t="n">
        <v>45967</v>
      </c>
      <c r="D836" t="inlineStr">
        <is>
          <t>VÄSTERNORRLANDS LÄN</t>
        </is>
      </c>
      <c r="E836" t="inlineStr">
        <is>
          <t>ÅNGE</t>
        </is>
      </c>
      <c r="G836" t="n">
        <v>10.9</v>
      </c>
      <c r="H836" t="n">
        <v>0</v>
      </c>
      <c r="I836" t="n">
        <v>0</v>
      </c>
      <c r="J836" t="n">
        <v>0</v>
      </c>
      <c r="K836" t="n">
        <v>0</v>
      </c>
      <c r="L836" t="n">
        <v>0</v>
      </c>
      <c r="M836" t="n">
        <v>0</v>
      </c>
      <c r="N836" t="n">
        <v>0</v>
      </c>
      <c r="O836" t="n">
        <v>0</v>
      </c>
      <c r="P836" t="n">
        <v>0</v>
      </c>
      <c r="Q836" t="n">
        <v>0</v>
      </c>
      <c r="R836" s="2" t="inlineStr"/>
    </row>
    <row r="837" ht="15" customHeight="1">
      <c r="A837" t="inlineStr">
        <is>
          <t>A 38284-2022</t>
        </is>
      </c>
      <c r="B837" s="1" t="n">
        <v>44812.55149305556</v>
      </c>
      <c r="C837" s="1" t="n">
        <v>45967</v>
      </c>
      <c r="D837" t="inlineStr">
        <is>
          <t>VÄSTERNORRLANDS LÄN</t>
        </is>
      </c>
      <c r="E837" t="inlineStr">
        <is>
          <t>ÅNGE</t>
        </is>
      </c>
      <c r="G837" t="n">
        <v>2.4</v>
      </c>
      <c r="H837" t="n">
        <v>0</v>
      </c>
      <c r="I837" t="n">
        <v>0</v>
      </c>
      <c r="J837" t="n">
        <v>0</v>
      </c>
      <c r="K837" t="n">
        <v>0</v>
      </c>
      <c r="L837" t="n">
        <v>0</v>
      </c>
      <c r="M837" t="n">
        <v>0</v>
      </c>
      <c r="N837" t="n">
        <v>0</v>
      </c>
      <c r="O837" t="n">
        <v>0</v>
      </c>
      <c r="P837" t="n">
        <v>0</v>
      </c>
      <c r="Q837" t="n">
        <v>0</v>
      </c>
      <c r="R837" s="2" t="inlineStr"/>
    </row>
    <row r="838" ht="15" customHeight="1">
      <c r="A838" t="inlineStr">
        <is>
          <t>A 29673-2024</t>
        </is>
      </c>
      <c r="B838" s="1" t="n">
        <v>45484.94210648148</v>
      </c>
      <c r="C838" s="1" t="n">
        <v>45967</v>
      </c>
      <c r="D838" t="inlineStr">
        <is>
          <t>VÄSTERNORRLANDS LÄN</t>
        </is>
      </c>
      <c r="E838" t="inlineStr">
        <is>
          <t>ÅNGE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5602-2025</t>
        </is>
      </c>
      <c r="B839" s="1" t="n">
        <v>45693</v>
      </c>
      <c r="C839" s="1" t="n">
        <v>45967</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30751-2024</t>
        </is>
      </c>
      <c r="B840" s="1" t="n">
        <v>45496.69339120371</v>
      </c>
      <c r="C840" s="1" t="n">
        <v>45967</v>
      </c>
      <c r="D840" t="inlineStr">
        <is>
          <t>VÄSTERNORRLANDS LÄN</t>
        </is>
      </c>
      <c r="E840" t="inlineStr">
        <is>
          <t>ÅNGE</t>
        </is>
      </c>
      <c r="G840" t="n">
        <v>0.3</v>
      </c>
      <c r="H840" t="n">
        <v>0</v>
      </c>
      <c r="I840" t="n">
        <v>0</v>
      </c>
      <c r="J840" t="n">
        <v>0</v>
      </c>
      <c r="K840" t="n">
        <v>0</v>
      </c>
      <c r="L840" t="n">
        <v>0</v>
      </c>
      <c r="M840" t="n">
        <v>0</v>
      </c>
      <c r="N840" t="n">
        <v>0</v>
      </c>
      <c r="O840" t="n">
        <v>0</v>
      </c>
      <c r="P840" t="n">
        <v>0</v>
      </c>
      <c r="Q840" t="n">
        <v>0</v>
      </c>
      <c r="R840" s="2" t="inlineStr"/>
    </row>
    <row r="841" ht="15" customHeight="1">
      <c r="A841" t="inlineStr">
        <is>
          <t>A 22489-2025</t>
        </is>
      </c>
      <c r="B841" s="1" t="n">
        <v>45786.64946759259</v>
      </c>
      <c r="C841" s="1" t="n">
        <v>45967</v>
      </c>
      <c r="D841" t="inlineStr">
        <is>
          <t>VÄSTERNORRLANDS LÄN</t>
        </is>
      </c>
      <c r="E841" t="inlineStr">
        <is>
          <t>ÅNGE</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30353-2024</t>
        </is>
      </c>
      <c r="B842" s="1" t="n">
        <v>45490.95567129629</v>
      </c>
      <c r="C842" s="1" t="n">
        <v>45967</v>
      </c>
      <c r="D842" t="inlineStr">
        <is>
          <t>VÄSTERNORRLANDS LÄN</t>
        </is>
      </c>
      <c r="E842" t="inlineStr">
        <is>
          <t>ÅNGE</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38099-2024</t>
        </is>
      </c>
      <c r="B843" s="1" t="n">
        <v>45545.35920138889</v>
      </c>
      <c r="C843" s="1" t="n">
        <v>45967</v>
      </c>
      <c r="D843" t="inlineStr">
        <is>
          <t>VÄSTERNORRLANDS LÄN</t>
        </is>
      </c>
      <c r="E843" t="inlineStr">
        <is>
          <t>ÅNGE</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44636-2024</t>
        </is>
      </c>
      <c r="B844" s="1" t="n">
        <v>45574.51491898148</v>
      </c>
      <c r="C844" s="1" t="n">
        <v>45967</v>
      </c>
      <c r="D844" t="inlineStr">
        <is>
          <t>VÄSTERNORRLANDS LÄN</t>
        </is>
      </c>
      <c r="E844" t="inlineStr">
        <is>
          <t>ÅNGE</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16606-2023</t>
        </is>
      </c>
      <c r="B845" s="1" t="n">
        <v>45030.3990625</v>
      </c>
      <c r="C845" s="1" t="n">
        <v>45967</v>
      </c>
      <c r="D845" t="inlineStr">
        <is>
          <t>VÄSTERNORRLANDS LÄN</t>
        </is>
      </c>
      <c r="E845" t="inlineStr">
        <is>
          <t>ÅNGE</t>
        </is>
      </c>
      <c r="G845" t="n">
        <v>0.9</v>
      </c>
      <c r="H845" t="n">
        <v>0</v>
      </c>
      <c r="I845" t="n">
        <v>0</v>
      </c>
      <c r="J845" t="n">
        <v>0</v>
      </c>
      <c r="K845" t="n">
        <v>0</v>
      </c>
      <c r="L845" t="n">
        <v>0</v>
      </c>
      <c r="M845" t="n">
        <v>0</v>
      </c>
      <c r="N845" t="n">
        <v>0</v>
      </c>
      <c r="O845" t="n">
        <v>0</v>
      </c>
      <c r="P845" t="n">
        <v>0</v>
      </c>
      <c r="Q845" t="n">
        <v>0</v>
      </c>
      <c r="R845" s="2" t="inlineStr"/>
    </row>
    <row r="846" ht="15" customHeight="1">
      <c r="A846" t="inlineStr">
        <is>
          <t>A 22549-2025</t>
        </is>
      </c>
      <c r="B846" s="1" t="n">
        <v>45788.48113425926</v>
      </c>
      <c r="C846" s="1" t="n">
        <v>45967</v>
      </c>
      <c r="D846" t="inlineStr">
        <is>
          <t>VÄSTERNORRLANDS LÄN</t>
        </is>
      </c>
      <c r="E846" t="inlineStr">
        <is>
          <t>ÅNGE</t>
        </is>
      </c>
      <c r="G846" t="n">
        <v>2.6</v>
      </c>
      <c r="H846" t="n">
        <v>0</v>
      </c>
      <c r="I846" t="n">
        <v>0</v>
      </c>
      <c r="J846" t="n">
        <v>0</v>
      </c>
      <c r="K846" t="n">
        <v>0</v>
      </c>
      <c r="L846" t="n">
        <v>0</v>
      </c>
      <c r="M846" t="n">
        <v>0</v>
      </c>
      <c r="N846" t="n">
        <v>0</v>
      </c>
      <c r="O846" t="n">
        <v>0</v>
      </c>
      <c r="P846" t="n">
        <v>0</v>
      </c>
      <c r="Q846" t="n">
        <v>0</v>
      </c>
      <c r="R846" s="2" t="inlineStr"/>
    </row>
    <row r="847" ht="15" customHeight="1">
      <c r="A847" t="inlineStr">
        <is>
          <t>A 41355-2025</t>
        </is>
      </c>
      <c r="B847" s="1" t="n">
        <v>45900.34425925926</v>
      </c>
      <c r="C847" s="1" t="n">
        <v>45967</v>
      </c>
      <c r="D847" t="inlineStr">
        <is>
          <t>VÄSTERNORRLANDS LÄN</t>
        </is>
      </c>
      <c r="E847" t="inlineStr">
        <is>
          <t>ÅNGE</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25047-2023</t>
        </is>
      </c>
      <c r="B848" s="1" t="n">
        <v>45085.94569444445</v>
      </c>
      <c r="C848" s="1" t="n">
        <v>45967</v>
      </c>
      <c r="D848" t="inlineStr">
        <is>
          <t>VÄSTERNORRLANDS LÄN</t>
        </is>
      </c>
      <c r="E848" t="inlineStr">
        <is>
          <t>ÅNGE</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64375-2023</t>
        </is>
      </c>
      <c r="B849" s="1" t="n">
        <v>45280</v>
      </c>
      <c r="C849" s="1" t="n">
        <v>45967</v>
      </c>
      <c r="D849" t="inlineStr">
        <is>
          <t>VÄSTERNORRLANDS LÄN</t>
        </is>
      </c>
      <c r="E849" t="inlineStr">
        <is>
          <t>ÅNGE</t>
        </is>
      </c>
      <c r="G849" t="n">
        <v>7.5</v>
      </c>
      <c r="H849" t="n">
        <v>0</v>
      </c>
      <c r="I849" t="n">
        <v>0</v>
      </c>
      <c r="J849" t="n">
        <v>0</v>
      </c>
      <c r="K849" t="n">
        <v>0</v>
      </c>
      <c r="L849" t="n">
        <v>0</v>
      </c>
      <c r="M849" t="n">
        <v>0</v>
      </c>
      <c r="N849" t="n">
        <v>0</v>
      </c>
      <c r="O849" t="n">
        <v>0</v>
      </c>
      <c r="P849" t="n">
        <v>0</v>
      </c>
      <c r="Q849" t="n">
        <v>0</v>
      </c>
      <c r="R849" s="2" t="inlineStr"/>
    </row>
    <row r="850" ht="15" customHeight="1">
      <c r="A850" t="inlineStr">
        <is>
          <t>A 15791-2025</t>
        </is>
      </c>
      <c r="B850" s="1" t="n">
        <v>45748.631875</v>
      </c>
      <c r="C850" s="1" t="n">
        <v>45967</v>
      </c>
      <c r="D850" t="inlineStr">
        <is>
          <t>VÄSTERNORRLANDS LÄN</t>
        </is>
      </c>
      <c r="E850" t="inlineStr">
        <is>
          <t>ÅNGE</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50291-2025</t>
        </is>
      </c>
      <c r="B851" s="1" t="n">
        <v>45944.40677083333</v>
      </c>
      <c r="C851" s="1" t="n">
        <v>45967</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60296-2021</t>
        </is>
      </c>
      <c r="B852" s="1" t="n">
        <v>44495</v>
      </c>
      <c r="C852" s="1" t="n">
        <v>45967</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50001-2025</t>
        </is>
      </c>
      <c r="B853" s="1" t="n">
        <v>45943.34421296296</v>
      </c>
      <c r="C853" s="1" t="n">
        <v>45967</v>
      </c>
      <c r="D853" t="inlineStr">
        <is>
          <t>VÄSTERNORRLANDS LÄN</t>
        </is>
      </c>
      <c r="E853" t="inlineStr">
        <is>
          <t>ÅNGE</t>
        </is>
      </c>
      <c r="G853" t="n">
        <v>1.8</v>
      </c>
      <c r="H853" t="n">
        <v>0</v>
      </c>
      <c r="I853" t="n">
        <v>0</v>
      </c>
      <c r="J853" t="n">
        <v>0</v>
      </c>
      <c r="K853" t="n">
        <v>0</v>
      </c>
      <c r="L853" t="n">
        <v>0</v>
      </c>
      <c r="M853" t="n">
        <v>0</v>
      </c>
      <c r="N853" t="n">
        <v>0</v>
      </c>
      <c r="O853" t="n">
        <v>0</v>
      </c>
      <c r="P853" t="n">
        <v>0</v>
      </c>
      <c r="Q853" t="n">
        <v>0</v>
      </c>
      <c r="R853" s="2" t="inlineStr"/>
    </row>
    <row r="854" ht="15" customHeight="1">
      <c r="A854" t="inlineStr">
        <is>
          <t>A 55007-2022</t>
        </is>
      </c>
      <c r="B854" s="1" t="n">
        <v>44881</v>
      </c>
      <c r="C854" s="1" t="n">
        <v>45967</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63556-2021</t>
        </is>
      </c>
      <c r="B855" s="1" t="n">
        <v>44508.70231481481</v>
      </c>
      <c r="C855" s="1" t="n">
        <v>45967</v>
      </c>
      <c r="D855" t="inlineStr">
        <is>
          <t>VÄSTERNORRLANDS LÄN</t>
        </is>
      </c>
      <c r="E855" t="inlineStr">
        <is>
          <t>ÅNGE</t>
        </is>
      </c>
      <c r="G855" t="n">
        <v>4.2</v>
      </c>
      <c r="H855" t="n">
        <v>0</v>
      </c>
      <c r="I855" t="n">
        <v>0</v>
      </c>
      <c r="J855" t="n">
        <v>0</v>
      </c>
      <c r="K855" t="n">
        <v>0</v>
      </c>
      <c r="L855" t="n">
        <v>0</v>
      </c>
      <c r="M855" t="n">
        <v>0</v>
      </c>
      <c r="N855" t="n">
        <v>0</v>
      </c>
      <c r="O855" t="n">
        <v>0</v>
      </c>
      <c r="P855" t="n">
        <v>0</v>
      </c>
      <c r="Q855" t="n">
        <v>0</v>
      </c>
      <c r="R855" s="2" t="inlineStr"/>
    </row>
    <row r="856" ht="15" customHeight="1">
      <c r="A856" t="inlineStr">
        <is>
          <t>A 16281-2023</t>
        </is>
      </c>
      <c r="B856" s="1" t="n">
        <v>45028</v>
      </c>
      <c r="C856" s="1" t="n">
        <v>45967</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22926-2025</t>
        </is>
      </c>
      <c r="B857" s="1" t="n">
        <v>45790</v>
      </c>
      <c r="C857" s="1" t="n">
        <v>45967</v>
      </c>
      <c r="D857" t="inlineStr">
        <is>
          <t>VÄSTERNORRLANDS LÄN</t>
        </is>
      </c>
      <c r="E857" t="inlineStr">
        <is>
          <t>ÅNGE</t>
        </is>
      </c>
      <c r="G857" t="n">
        <v>1.3</v>
      </c>
      <c r="H857" t="n">
        <v>0</v>
      </c>
      <c r="I857" t="n">
        <v>0</v>
      </c>
      <c r="J857" t="n">
        <v>0</v>
      </c>
      <c r="K857" t="n">
        <v>0</v>
      </c>
      <c r="L857" t="n">
        <v>0</v>
      </c>
      <c r="M857" t="n">
        <v>0</v>
      </c>
      <c r="N857" t="n">
        <v>0</v>
      </c>
      <c r="O857" t="n">
        <v>0</v>
      </c>
      <c r="P857" t="n">
        <v>0</v>
      </c>
      <c r="Q857" t="n">
        <v>0</v>
      </c>
      <c r="R857" s="2" t="inlineStr"/>
    </row>
    <row r="858" ht="15" customHeight="1">
      <c r="A858" t="inlineStr">
        <is>
          <t>A 22928-2025</t>
        </is>
      </c>
      <c r="B858" s="1" t="n">
        <v>45790.44825231482</v>
      </c>
      <c r="C858" s="1" t="n">
        <v>45967</v>
      </c>
      <c r="D858" t="inlineStr">
        <is>
          <t>VÄSTERNORRLANDS LÄN</t>
        </is>
      </c>
      <c r="E858" t="inlineStr">
        <is>
          <t>ÅNGE</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10922-2024</t>
        </is>
      </c>
      <c r="B859" s="1" t="n">
        <v>45370</v>
      </c>
      <c r="C859" s="1" t="n">
        <v>45967</v>
      </c>
      <c r="D859" t="inlineStr">
        <is>
          <t>VÄSTERNORRLANDS LÄN</t>
        </is>
      </c>
      <c r="E859" t="inlineStr">
        <is>
          <t>ÅNGE</t>
        </is>
      </c>
      <c r="G859" t="n">
        <v>1.5</v>
      </c>
      <c r="H859" t="n">
        <v>0</v>
      </c>
      <c r="I859" t="n">
        <v>0</v>
      </c>
      <c r="J859" t="n">
        <v>0</v>
      </c>
      <c r="K859" t="n">
        <v>0</v>
      </c>
      <c r="L859" t="n">
        <v>0</v>
      </c>
      <c r="M859" t="n">
        <v>0</v>
      </c>
      <c r="N859" t="n">
        <v>0</v>
      </c>
      <c r="O859" t="n">
        <v>0</v>
      </c>
      <c r="P859" t="n">
        <v>0</v>
      </c>
      <c r="Q859" t="n">
        <v>0</v>
      </c>
      <c r="R859" s="2" t="inlineStr"/>
    </row>
    <row r="860" ht="15" customHeight="1">
      <c r="A860" t="inlineStr">
        <is>
          <t>A 45459-2022</t>
        </is>
      </c>
      <c r="B860" s="1" t="n">
        <v>44845</v>
      </c>
      <c r="C860" s="1" t="n">
        <v>45967</v>
      </c>
      <c r="D860" t="inlineStr">
        <is>
          <t>VÄSTERNORRLANDS LÄN</t>
        </is>
      </c>
      <c r="E860" t="inlineStr">
        <is>
          <t>ÅNGE</t>
        </is>
      </c>
      <c r="G860" t="n">
        <v>0.9</v>
      </c>
      <c r="H860" t="n">
        <v>0</v>
      </c>
      <c r="I860" t="n">
        <v>0</v>
      </c>
      <c r="J860" t="n">
        <v>0</v>
      </c>
      <c r="K860" t="n">
        <v>0</v>
      </c>
      <c r="L860" t="n">
        <v>0</v>
      </c>
      <c r="M860" t="n">
        <v>0</v>
      </c>
      <c r="N860" t="n">
        <v>0</v>
      </c>
      <c r="O860" t="n">
        <v>0</v>
      </c>
      <c r="P860" t="n">
        <v>0</v>
      </c>
      <c r="Q860" t="n">
        <v>0</v>
      </c>
      <c r="R860" s="2" t="inlineStr"/>
    </row>
    <row r="861" ht="15" customHeight="1">
      <c r="A861" t="inlineStr">
        <is>
          <t>A 21089-2024</t>
        </is>
      </c>
      <c r="B861" s="1" t="n">
        <v>45439.94987268518</v>
      </c>
      <c r="C861" s="1" t="n">
        <v>45967</v>
      </c>
      <c r="D861" t="inlineStr">
        <is>
          <t>VÄSTERNORRLANDS LÄN</t>
        </is>
      </c>
      <c r="E861" t="inlineStr">
        <is>
          <t>ÅNGE</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50009-2025</t>
        </is>
      </c>
      <c r="B862" s="1" t="n">
        <v>45943.34527777778</v>
      </c>
      <c r="C862" s="1" t="n">
        <v>45967</v>
      </c>
      <c r="D862" t="inlineStr">
        <is>
          <t>VÄSTERNORRLANDS LÄN</t>
        </is>
      </c>
      <c r="E862" t="inlineStr">
        <is>
          <t>ÅNGE</t>
        </is>
      </c>
      <c r="G862" t="n">
        <v>0.6</v>
      </c>
      <c r="H862" t="n">
        <v>0</v>
      </c>
      <c r="I862" t="n">
        <v>0</v>
      </c>
      <c r="J862" t="n">
        <v>0</v>
      </c>
      <c r="K862" t="n">
        <v>0</v>
      </c>
      <c r="L862" t="n">
        <v>0</v>
      </c>
      <c r="M862" t="n">
        <v>0</v>
      </c>
      <c r="N862" t="n">
        <v>0</v>
      </c>
      <c r="O862" t="n">
        <v>0</v>
      </c>
      <c r="P862" t="n">
        <v>0</v>
      </c>
      <c r="Q862" t="n">
        <v>0</v>
      </c>
      <c r="R862" s="2" t="inlineStr"/>
    </row>
    <row r="863" ht="15" customHeight="1">
      <c r="A863" t="inlineStr">
        <is>
          <t>A 64950-2023</t>
        </is>
      </c>
      <c r="B863" s="1" t="n">
        <v>45282</v>
      </c>
      <c r="C863" s="1" t="n">
        <v>45967</v>
      </c>
      <c r="D863" t="inlineStr">
        <is>
          <t>VÄSTERNORRLANDS LÄN</t>
        </is>
      </c>
      <c r="E863" t="inlineStr">
        <is>
          <t>ÅNGE</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2984-2025</t>
        </is>
      </c>
      <c r="B864" s="1" t="n">
        <v>45678.51094907407</v>
      </c>
      <c r="C864" s="1" t="n">
        <v>45967</v>
      </c>
      <c r="D864" t="inlineStr">
        <is>
          <t>VÄSTERNORRLANDS LÄN</t>
        </is>
      </c>
      <c r="E864" t="inlineStr">
        <is>
          <t>ÅNGE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50008-2025</t>
        </is>
      </c>
      <c r="B865" s="1" t="n">
        <v>45943.34515046296</v>
      </c>
      <c r="C865" s="1" t="n">
        <v>45967</v>
      </c>
      <c r="D865" t="inlineStr">
        <is>
          <t>VÄSTERNORRLANDS LÄN</t>
        </is>
      </c>
      <c r="E865" t="inlineStr">
        <is>
          <t>ÅNGE</t>
        </is>
      </c>
      <c r="G865" t="n">
        <v>13.9</v>
      </c>
      <c r="H865" t="n">
        <v>0</v>
      </c>
      <c r="I865" t="n">
        <v>0</v>
      </c>
      <c r="J865" t="n">
        <v>0</v>
      </c>
      <c r="K865" t="n">
        <v>0</v>
      </c>
      <c r="L865" t="n">
        <v>0</v>
      </c>
      <c r="M865" t="n">
        <v>0</v>
      </c>
      <c r="N865" t="n">
        <v>0</v>
      </c>
      <c r="O865" t="n">
        <v>0</v>
      </c>
      <c r="P865" t="n">
        <v>0</v>
      </c>
      <c r="Q865" t="n">
        <v>0</v>
      </c>
      <c r="R865" s="2" t="inlineStr"/>
    </row>
    <row r="866" ht="15" customHeight="1">
      <c r="A866" t="inlineStr">
        <is>
          <t>A 20393-2022</t>
        </is>
      </c>
      <c r="B866" s="1" t="n">
        <v>44699</v>
      </c>
      <c r="C866" s="1" t="n">
        <v>45967</v>
      </c>
      <c r="D866" t="inlineStr">
        <is>
          <t>VÄSTERNORRLANDS LÄN</t>
        </is>
      </c>
      <c r="E866" t="inlineStr">
        <is>
          <t>ÅNGE</t>
        </is>
      </c>
      <c r="G866" t="n">
        <v>6.9</v>
      </c>
      <c r="H866" t="n">
        <v>0</v>
      </c>
      <c r="I866" t="n">
        <v>0</v>
      </c>
      <c r="J866" t="n">
        <v>0</v>
      </c>
      <c r="K866" t="n">
        <v>0</v>
      </c>
      <c r="L866" t="n">
        <v>0</v>
      </c>
      <c r="M866" t="n">
        <v>0</v>
      </c>
      <c r="N866" t="n">
        <v>0</v>
      </c>
      <c r="O866" t="n">
        <v>0</v>
      </c>
      <c r="P866" t="n">
        <v>0</v>
      </c>
      <c r="Q866" t="n">
        <v>0</v>
      </c>
      <c r="R866" s="2" t="inlineStr"/>
    </row>
    <row r="867" ht="15" customHeight="1">
      <c r="A867" t="inlineStr">
        <is>
          <t>A 4727-2023</t>
        </is>
      </c>
      <c r="B867" s="1" t="n">
        <v>44953</v>
      </c>
      <c r="C867" s="1" t="n">
        <v>45967</v>
      </c>
      <c r="D867" t="inlineStr">
        <is>
          <t>VÄSTERNORRLANDS LÄN</t>
        </is>
      </c>
      <c r="E867" t="inlineStr">
        <is>
          <t>ÅNGE</t>
        </is>
      </c>
      <c r="G867" t="n">
        <v>0.4</v>
      </c>
      <c r="H867" t="n">
        <v>0</v>
      </c>
      <c r="I867" t="n">
        <v>0</v>
      </c>
      <c r="J867" t="n">
        <v>0</v>
      </c>
      <c r="K867" t="n">
        <v>0</v>
      </c>
      <c r="L867" t="n">
        <v>0</v>
      </c>
      <c r="M867" t="n">
        <v>0</v>
      </c>
      <c r="N867" t="n">
        <v>0</v>
      </c>
      <c r="O867" t="n">
        <v>0</v>
      </c>
      <c r="P867" t="n">
        <v>0</v>
      </c>
      <c r="Q867" t="n">
        <v>0</v>
      </c>
      <c r="R867" s="2" t="inlineStr"/>
    </row>
    <row r="868" ht="15" customHeight="1">
      <c r="A868" t="inlineStr">
        <is>
          <t>A 35650-2024</t>
        </is>
      </c>
      <c r="B868" s="1" t="n">
        <v>45532.34123842593</v>
      </c>
      <c r="C868" s="1" t="n">
        <v>45967</v>
      </c>
      <c r="D868" t="inlineStr">
        <is>
          <t>VÄSTERNORRLANDS LÄN</t>
        </is>
      </c>
      <c r="E868" t="inlineStr">
        <is>
          <t>ÅNGE</t>
        </is>
      </c>
      <c r="G868" t="n">
        <v>3.8</v>
      </c>
      <c r="H868" t="n">
        <v>0</v>
      </c>
      <c r="I868" t="n">
        <v>0</v>
      </c>
      <c r="J868" t="n">
        <v>0</v>
      </c>
      <c r="K868" t="n">
        <v>0</v>
      </c>
      <c r="L868" t="n">
        <v>0</v>
      </c>
      <c r="M868" t="n">
        <v>0</v>
      </c>
      <c r="N868" t="n">
        <v>0</v>
      </c>
      <c r="O868" t="n">
        <v>0</v>
      </c>
      <c r="P868" t="n">
        <v>0</v>
      </c>
      <c r="Q868" t="n">
        <v>0</v>
      </c>
      <c r="R868" s="2" t="inlineStr"/>
    </row>
    <row r="869" ht="15" customHeight="1">
      <c r="A869" t="inlineStr">
        <is>
          <t>A 3357-2024</t>
        </is>
      </c>
      <c r="B869" s="1" t="n">
        <v>45317</v>
      </c>
      <c r="C869" s="1" t="n">
        <v>45967</v>
      </c>
      <c r="D869" t="inlineStr">
        <is>
          <t>VÄSTERNORRLANDS LÄN</t>
        </is>
      </c>
      <c r="E869" t="inlineStr">
        <is>
          <t>ÅNGE</t>
        </is>
      </c>
      <c r="G869" t="n">
        <v>8</v>
      </c>
      <c r="H869" t="n">
        <v>0</v>
      </c>
      <c r="I869" t="n">
        <v>0</v>
      </c>
      <c r="J869" t="n">
        <v>0</v>
      </c>
      <c r="K869" t="n">
        <v>0</v>
      </c>
      <c r="L869" t="n">
        <v>0</v>
      </c>
      <c r="M869" t="n">
        <v>0</v>
      </c>
      <c r="N869" t="n">
        <v>0</v>
      </c>
      <c r="O869" t="n">
        <v>0</v>
      </c>
      <c r="P869" t="n">
        <v>0</v>
      </c>
      <c r="Q869" t="n">
        <v>0</v>
      </c>
      <c r="R869" s="2" t="inlineStr"/>
    </row>
    <row r="870" ht="15" customHeight="1">
      <c r="A870" t="inlineStr">
        <is>
          <t>A 10017-2025</t>
        </is>
      </c>
      <c r="B870" s="1" t="n">
        <v>45719.46957175926</v>
      </c>
      <c r="C870" s="1" t="n">
        <v>45967</v>
      </c>
      <c r="D870" t="inlineStr">
        <is>
          <t>VÄSTERNORRLANDS LÄN</t>
        </is>
      </c>
      <c r="E870" t="inlineStr">
        <is>
          <t>ÅNGE</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46332-2023</t>
        </is>
      </c>
      <c r="B871" s="1" t="n">
        <v>45196</v>
      </c>
      <c r="C871" s="1" t="n">
        <v>45967</v>
      </c>
      <c r="D871" t="inlineStr">
        <is>
          <t>VÄSTERNORRLANDS LÄN</t>
        </is>
      </c>
      <c r="E871" t="inlineStr">
        <is>
          <t>ÅNGE</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22791-2025</t>
        </is>
      </c>
      <c r="B872" s="1" t="n">
        <v>45789.65663194445</v>
      </c>
      <c r="C872" s="1" t="n">
        <v>45967</v>
      </c>
      <c r="D872" t="inlineStr">
        <is>
          <t>VÄSTERNORRLANDS LÄN</t>
        </is>
      </c>
      <c r="E872" t="inlineStr">
        <is>
          <t>ÅNGE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29270-2024</t>
        </is>
      </c>
      <c r="B873" s="1" t="n">
        <v>45482.94979166667</v>
      </c>
      <c r="C873" s="1" t="n">
        <v>45967</v>
      </c>
      <c r="D873" t="inlineStr">
        <is>
          <t>VÄSTERNORRLANDS LÄN</t>
        </is>
      </c>
      <c r="E873" t="inlineStr">
        <is>
          <t>ÅNGE</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29696-2024</t>
        </is>
      </c>
      <c r="B874" s="1" t="n">
        <v>45484.94524305555</v>
      </c>
      <c r="C874" s="1" t="n">
        <v>45967</v>
      </c>
      <c r="D874" t="inlineStr">
        <is>
          <t>VÄSTERNORRLANDS LÄN</t>
        </is>
      </c>
      <c r="E874" t="inlineStr">
        <is>
          <t>ÅNGE</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33062-2022</t>
        </is>
      </c>
      <c r="B875" s="1" t="n">
        <v>44785</v>
      </c>
      <c r="C875" s="1" t="n">
        <v>45967</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50571-2025</t>
        </is>
      </c>
      <c r="B876" s="1" t="n">
        <v>45945.57443287037</v>
      </c>
      <c r="C876" s="1" t="n">
        <v>45967</v>
      </c>
      <c r="D876" t="inlineStr">
        <is>
          <t>VÄSTERNORRLANDS LÄN</t>
        </is>
      </c>
      <c r="E876" t="inlineStr">
        <is>
          <t>ÅNGE</t>
        </is>
      </c>
      <c r="G876" t="n">
        <v>2.5</v>
      </c>
      <c r="H876" t="n">
        <v>0</v>
      </c>
      <c r="I876" t="n">
        <v>0</v>
      </c>
      <c r="J876" t="n">
        <v>0</v>
      </c>
      <c r="K876" t="n">
        <v>0</v>
      </c>
      <c r="L876" t="n">
        <v>0</v>
      </c>
      <c r="M876" t="n">
        <v>0</v>
      </c>
      <c r="N876" t="n">
        <v>0</v>
      </c>
      <c r="O876" t="n">
        <v>0</v>
      </c>
      <c r="P876" t="n">
        <v>0</v>
      </c>
      <c r="Q876" t="n">
        <v>0</v>
      </c>
      <c r="R876" s="2" t="inlineStr"/>
    </row>
    <row r="877" ht="15" customHeight="1">
      <c r="A877" t="inlineStr">
        <is>
          <t>A 64945-2023</t>
        </is>
      </c>
      <c r="B877" s="1" t="n">
        <v>45282.94668981482</v>
      </c>
      <c r="C877" s="1" t="n">
        <v>45967</v>
      </c>
      <c r="D877" t="inlineStr">
        <is>
          <t>VÄSTERNORRLANDS LÄN</t>
        </is>
      </c>
      <c r="E877" t="inlineStr">
        <is>
          <t>ÅNGE</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27002-2023</t>
        </is>
      </c>
      <c r="B878" s="1" t="n">
        <v>45093</v>
      </c>
      <c r="C878" s="1" t="n">
        <v>45967</v>
      </c>
      <c r="D878" t="inlineStr">
        <is>
          <t>VÄSTERNORRLANDS LÄN</t>
        </is>
      </c>
      <c r="E878" t="inlineStr">
        <is>
          <t>ÅNGE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23018-2021</t>
        </is>
      </c>
      <c r="B879" s="1" t="n">
        <v>44328</v>
      </c>
      <c r="C879" s="1" t="n">
        <v>45967</v>
      </c>
      <c r="D879" t="inlineStr">
        <is>
          <t>VÄSTERNORRLANDS LÄN</t>
        </is>
      </c>
      <c r="E879" t="inlineStr">
        <is>
          <t>ÅNGE</t>
        </is>
      </c>
      <c r="G879" t="n">
        <v>1.8</v>
      </c>
      <c r="H879" t="n">
        <v>0</v>
      </c>
      <c r="I879" t="n">
        <v>0</v>
      </c>
      <c r="J879" t="n">
        <v>0</v>
      </c>
      <c r="K879" t="n">
        <v>0</v>
      </c>
      <c r="L879" t="n">
        <v>0</v>
      </c>
      <c r="M879" t="n">
        <v>0</v>
      </c>
      <c r="N879" t="n">
        <v>0</v>
      </c>
      <c r="O879" t="n">
        <v>0</v>
      </c>
      <c r="P879" t="n">
        <v>0</v>
      </c>
      <c r="Q879" t="n">
        <v>0</v>
      </c>
      <c r="R879" s="2" t="inlineStr"/>
    </row>
    <row r="880" ht="15" customHeight="1">
      <c r="A880" t="inlineStr">
        <is>
          <t>A 31866-2024</t>
        </is>
      </c>
      <c r="B880" s="1" t="n">
        <v>45509</v>
      </c>
      <c r="C880" s="1" t="n">
        <v>45967</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31867-2024</t>
        </is>
      </c>
      <c r="B881" s="1" t="n">
        <v>45509</v>
      </c>
      <c r="C881" s="1" t="n">
        <v>45967</v>
      </c>
      <c r="D881" t="inlineStr">
        <is>
          <t>VÄSTERNORRLANDS LÄN</t>
        </is>
      </c>
      <c r="E881" t="inlineStr">
        <is>
          <t>ÅNGE</t>
        </is>
      </c>
      <c r="G881" t="n">
        <v>7.8</v>
      </c>
      <c r="H881" t="n">
        <v>0</v>
      </c>
      <c r="I881" t="n">
        <v>0</v>
      </c>
      <c r="J881" t="n">
        <v>0</v>
      </c>
      <c r="K881" t="n">
        <v>0</v>
      </c>
      <c r="L881" t="n">
        <v>0</v>
      </c>
      <c r="M881" t="n">
        <v>0</v>
      </c>
      <c r="N881" t="n">
        <v>0</v>
      </c>
      <c r="O881" t="n">
        <v>0</v>
      </c>
      <c r="P881" t="n">
        <v>0</v>
      </c>
      <c r="Q881" t="n">
        <v>0</v>
      </c>
      <c r="R881" s="2" t="inlineStr"/>
    </row>
    <row r="882" ht="15" customHeight="1">
      <c r="A882" t="inlineStr">
        <is>
          <t>A 39178-2024</t>
        </is>
      </c>
      <c r="B882" s="1" t="n">
        <v>45548.65692129629</v>
      </c>
      <c r="C882" s="1" t="n">
        <v>45967</v>
      </c>
      <c r="D882" t="inlineStr">
        <is>
          <t>VÄSTERNORRLANDS LÄN</t>
        </is>
      </c>
      <c r="E882" t="inlineStr">
        <is>
          <t>ÅNGE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50767-2025</t>
        </is>
      </c>
      <c r="B883" s="1" t="n">
        <v>45946</v>
      </c>
      <c r="C883" s="1" t="n">
        <v>45967</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50769-2025</t>
        </is>
      </c>
      <c r="B884" s="1" t="n">
        <v>45946.44864583333</v>
      </c>
      <c r="C884" s="1" t="n">
        <v>45967</v>
      </c>
      <c r="D884" t="inlineStr">
        <is>
          <t>VÄSTERNORRLANDS LÄN</t>
        </is>
      </c>
      <c r="E884" t="inlineStr">
        <is>
          <t>ÅNGE</t>
        </is>
      </c>
      <c r="G884" t="n">
        <v>3.4</v>
      </c>
      <c r="H884" t="n">
        <v>0</v>
      </c>
      <c r="I884" t="n">
        <v>0</v>
      </c>
      <c r="J884" t="n">
        <v>0</v>
      </c>
      <c r="K884" t="n">
        <v>0</v>
      </c>
      <c r="L884" t="n">
        <v>0</v>
      </c>
      <c r="M884" t="n">
        <v>0</v>
      </c>
      <c r="N884" t="n">
        <v>0</v>
      </c>
      <c r="O884" t="n">
        <v>0</v>
      </c>
      <c r="P884" t="n">
        <v>0</v>
      </c>
      <c r="Q884" t="n">
        <v>0</v>
      </c>
      <c r="R884" s="2" t="inlineStr"/>
    </row>
    <row r="885" ht="15" customHeight="1">
      <c r="A885" t="inlineStr">
        <is>
          <t>A 23091-2025</t>
        </is>
      </c>
      <c r="B885" s="1" t="n">
        <v>45791.34456018519</v>
      </c>
      <c r="C885" s="1" t="n">
        <v>45967</v>
      </c>
      <c r="D885" t="inlineStr">
        <is>
          <t>VÄSTERNORRLANDS LÄN</t>
        </is>
      </c>
      <c r="E885" t="inlineStr">
        <is>
          <t>ÅNGE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63170-2023</t>
        </is>
      </c>
      <c r="B886" s="1" t="n">
        <v>45273.57087962963</v>
      </c>
      <c r="C886" s="1" t="n">
        <v>45967</v>
      </c>
      <c r="D886" t="inlineStr">
        <is>
          <t>VÄSTERNORRLANDS LÄN</t>
        </is>
      </c>
      <c r="E886" t="inlineStr">
        <is>
          <t>ÅNGE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50460-2025</t>
        </is>
      </c>
      <c r="B887" s="1" t="n">
        <v>45945.345</v>
      </c>
      <c r="C887" s="1" t="n">
        <v>45967</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30273-2023</t>
        </is>
      </c>
      <c r="B888" s="1" t="n">
        <v>45099</v>
      </c>
      <c r="C888" s="1" t="n">
        <v>45967</v>
      </c>
      <c r="D888" t="inlineStr">
        <is>
          <t>VÄSTERNORRLANDS LÄN</t>
        </is>
      </c>
      <c r="E888" t="inlineStr">
        <is>
          <t>ÅNGE</t>
        </is>
      </c>
      <c r="G888" t="n">
        <v>3.9</v>
      </c>
      <c r="H888" t="n">
        <v>0</v>
      </c>
      <c r="I888" t="n">
        <v>0</v>
      </c>
      <c r="J888" t="n">
        <v>0</v>
      </c>
      <c r="K888" t="n">
        <v>0</v>
      </c>
      <c r="L888" t="n">
        <v>0</v>
      </c>
      <c r="M888" t="n">
        <v>0</v>
      </c>
      <c r="N888" t="n">
        <v>0</v>
      </c>
      <c r="O888" t="n">
        <v>0</v>
      </c>
      <c r="P888" t="n">
        <v>0</v>
      </c>
      <c r="Q888" t="n">
        <v>0</v>
      </c>
      <c r="R888" s="2" t="inlineStr"/>
    </row>
    <row r="889" ht="15" customHeight="1">
      <c r="A889" t="inlineStr">
        <is>
          <t>A 60368-2024</t>
        </is>
      </c>
      <c r="B889" s="1" t="n">
        <v>45643</v>
      </c>
      <c r="C889" s="1" t="n">
        <v>45967</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31729-2024</t>
        </is>
      </c>
      <c r="B890" s="1" t="n">
        <v>45509.35844907408</v>
      </c>
      <c r="C890" s="1" t="n">
        <v>45967</v>
      </c>
      <c r="D890" t="inlineStr">
        <is>
          <t>VÄSTERNORRLANDS LÄN</t>
        </is>
      </c>
      <c r="E890" t="inlineStr">
        <is>
          <t>ÅNGE</t>
        </is>
      </c>
      <c r="G890" t="n">
        <v>1.9</v>
      </c>
      <c r="H890" t="n">
        <v>0</v>
      </c>
      <c r="I890" t="n">
        <v>0</v>
      </c>
      <c r="J890" t="n">
        <v>0</v>
      </c>
      <c r="K890" t="n">
        <v>0</v>
      </c>
      <c r="L890" t="n">
        <v>0</v>
      </c>
      <c r="M890" t="n">
        <v>0</v>
      </c>
      <c r="N890" t="n">
        <v>0</v>
      </c>
      <c r="O890" t="n">
        <v>0</v>
      </c>
      <c r="P890" t="n">
        <v>0</v>
      </c>
      <c r="Q890" t="n">
        <v>0</v>
      </c>
      <c r="R890" s="2" t="inlineStr"/>
    </row>
    <row r="891" ht="15" customHeight="1">
      <c r="A891" t="inlineStr">
        <is>
          <t>A 41870-2025</t>
        </is>
      </c>
      <c r="B891" s="1" t="n">
        <v>45903.3446412037</v>
      </c>
      <c r="C891" s="1" t="n">
        <v>45967</v>
      </c>
      <c r="D891" t="inlineStr">
        <is>
          <t>VÄSTERNORRLANDS LÄN</t>
        </is>
      </c>
      <c r="E891" t="inlineStr">
        <is>
          <t>ÅNGE</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23580-2025</t>
        </is>
      </c>
      <c r="B892" s="1" t="n">
        <v>45792.62555555555</v>
      </c>
      <c r="C892" s="1" t="n">
        <v>45967</v>
      </c>
      <c r="D892" t="inlineStr">
        <is>
          <t>VÄSTERNORRLANDS LÄN</t>
        </is>
      </c>
      <c r="E892" t="inlineStr">
        <is>
          <t>ÅNGE</t>
        </is>
      </c>
      <c r="F892" t="inlineStr">
        <is>
          <t>Kyrkan</t>
        </is>
      </c>
      <c r="G892" t="n">
        <v>2.6</v>
      </c>
      <c r="H892" t="n">
        <v>0</v>
      </c>
      <c r="I892" t="n">
        <v>0</v>
      </c>
      <c r="J892" t="n">
        <v>0</v>
      </c>
      <c r="K892" t="n">
        <v>0</v>
      </c>
      <c r="L892" t="n">
        <v>0</v>
      </c>
      <c r="M892" t="n">
        <v>0</v>
      </c>
      <c r="N892" t="n">
        <v>0</v>
      </c>
      <c r="O892" t="n">
        <v>0</v>
      </c>
      <c r="P892" t="n">
        <v>0</v>
      </c>
      <c r="Q892" t="n">
        <v>0</v>
      </c>
      <c r="R892" s="2" t="inlineStr"/>
    </row>
    <row r="893" ht="15" customHeight="1">
      <c r="A893" t="inlineStr">
        <is>
          <t>A 41872-2025</t>
        </is>
      </c>
      <c r="B893" s="1" t="n">
        <v>45903.34497685185</v>
      </c>
      <c r="C893" s="1" t="n">
        <v>45967</v>
      </c>
      <c r="D893" t="inlineStr">
        <is>
          <t>VÄSTERNORRLANDS LÄN</t>
        </is>
      </c>
      <c r="E893" t="inlineStr">
        <is>
          <t>ÅNGE</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34783-2021</t>
        </is>
      </c>
      <c r="B894" s="1" t="n">
        <v>44382</v>
      </c>
      <c r="C894" s="1" t="n">
        <v>45967</v>
      </c>
      <c r="D894" t="inlineStr">
        <is>
          <t>VÄSTERNORRLANDS LÄN</t>
        </is>
      </c>
      <c r="E894" t="inlineStr">
        <is>
          <t>ÅNGE</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29193-2024</t>
        </is>
      </c>
      <c r="B895" s="1" t="n">
        <v>45482.56510416666</v>
      </c>
      <c r="C895" s="1" t="n">
        <v>45967</v>
      </c>
      <c r="D895" t="inlineStr">
        <is>
          <t>VÄSTERNORRLANDS LÄN</t>
        </is>
      </c>
      <c r="E895" t="inlineStr">
        <is>
          <t>ÅNGE</t>
        </is>
      </c>
      <c r="G895" t="n">
        <v>5.6</v>
      </c>
      <c r="H895" t="n">
        <v>0</v>
      </c>
      <c r="I895" t="n">
        <v>0</v>
      </c>
      <c r="J895" t="n">
        <v>0</v>
      </c>
      <c r="K895" t="n">
        <v>0</v>
      </c>
      <c r="L895" t="n">
        <v>0</v>
      </c>
      <c r="M895" t="n">
        <v>0</v>
      </c>
      <c r="N895" t="n">
        <v>0</v>
      </c>
      <c r="O895" t="n">
        <v>0</v>
      </c>
      <c r="P895" t="n">
        <v>0</v>
      </c>
      <c r="Q895" t="n">
        <v>0</v>
      </c>
      <c r="R895" s="2" t="inlineStr"/>
    </row>
    <row r="896" ht="15" customHeight="1">
      <c r="A896" t="inlineStr">
        <is>
          <t>A 23343-2025</t>
        </is>
      </c>
      <c r="B896" s="1" t="n">
        <v>45791.65702546296</v>
      </c>
      <c r="C896" s="1" t="n">
        <v>45967</v>
      </c>
      <c r="D896" t="inlineStr">
        <is>
          <t>VÄSTERNORRLANDS LÄN</t>
        </is>
      </c>
      <c r="E896" t="inlineStr">
        <is>
          <t>ÅNGE</t>
        </is>
      </c>
      <c r="F896" t="inlineStr">
        <is>
          <t>SCA</t>
        </is>
      </c>
      <c r="G896" t="n">
        <v>12.6</v>
      </c>
      <c r="H896" t="n">
        <v>0</v>
      </c>
      <c r="I896" t="n">
        <v>0</v>
      </c>
      <c r="J896" t="n">
        <v>0</v>
      </c>
      <c r="K896" t="n">
        <v>0</v>
      </c>
      <c r="L896" t="n">
        <v>0</v>
      </c>
      <c r="M896" t="n">
        <v>0</v>
      </c>
      <c r="N896" t="n">
        <v>0</v>
      </c>
      <c r="O896" t="n">
        <v>0</v>
      </c>
      <c r="P896" t="n">
        <v>0</v>
      </c>
      <c r="Q896" t="n">
        <v>0</v>
      </c>
      <c r="R896" s="2" t="inlineStr"/>
    </row>
    <row r="897" ht="15" customHeight="1">
      <c r="A897" t="inlineStr">
        <is>
          <t>A 42040-2024</t>
        </is>
      </c>
      <c r="B897" s="1" t="n">
        <v>45561.80983796297</v>
      </c>
      <c r="C897" s="1" t="n">
        <v>45967</v>
      </c>
      <c r="D897" t="inlineStr">
        <is>
          <t>VÄSTERNORRLANDS LÄN</t>
        </is>
      </c>
      <c r="E897" t="inlineStr">
        <is>
          <t>ÅNGE</t>
        </is>
      </c>
      <c r="G897" t="n">
        <v>0.6</v>
      </c>
      <c r="H897" t="n">
        <v>0</v>
      </c>
      <c r="I897" t="n">
        <v>0</v>
      </c>
      <c r="J897" t="n">
        <v>0</v>
      </c>
      <c r="K897" t="n">
        <v>0</v>
      </c>
      <c r="L897" t="n">
        <v>0</v>
      </c>
      <c r="M897" t="n">
        <v>0</v>
      </c>
      <c r="N897" t="n">
        <v>0</v>
      </c>
      <c r="O897" t="n">
        <v>0</v>
      </c>
      <c r="P897" t="n">
        <v>0</v>
      </c>
      <c r="Q897" t="n">
        <v>0</v>
      </c>
      <c r="R897" s="2" t="inlineStr"/>
    </row>
    <row r="898" ht="15" customHeight="1">
      <c r="A898" t="inlineStr">
        <is>
          <t>A 4187-2025</t>
        </is>
      </c>
      <c r="B898" s="1" t="n">
        <v>45685.44842592593</v>
      </c>
      <c r="C898" s="1" t="n">
        <v>45967</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34691-2024</t>
        </is>
      </c>
      <c r="B899" s="1" t="n">
        <v>45526.54516203704</v>
      </c>
      <c r="C899" s="1" t="n">
        <v>45967</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23573-2025</t>
        </is>
      </c>
      <c r="B900" s="1" t="n">
        <v>45792.61497685185</v>
      </c>
      <c r="C900" s="1" t="n">
        <v>45967</v>
      </c>
      <c r="D900" t="inlineStr">
        <is>
          <t>VÄSTERNORRLANDS LÄN</t>
        </is>
      </c>
      <c r="E900" t="inlineStr">
        <is>
          <t>ÅNGE</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54210-2024</t>
        </is>
      </c>
      <c r="B901" s="1" t="n">
        <v>45616.65662037037</v>
      </c>
      <c r="C901" s="1" t="n">
        <v>45967</v>
      </c>
      <c r="D901" t="inlineStr">
        <is>
          <t>VÄSTERNORRLANDS LÄN</t>
        </is>
      </c>
      <c r="E901" t="inlineStr">
        <is>
          <t>ÅNGE</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23590-2025</t>
        </is>
      </c>
      <c r="B902" s="1" t="n">
        <v>45792.63627314815</v>
      </c>
      <c r="C902" s="1" t="n">
        <v>45967</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42889-2025</t>
        </is>
      </c>
      <c r="B903" s="1" t="n">
        <v>45908.65546296296</v>
      </c>
      <c r="C903" s="1" t="n">
        <v>45967</v>
      </c>
      <c r="D903" t="inlineStr">
        <is>
          <t>VÄSTERNORRLANDS LÄN</t>
        </is>
      </c>
      <c r="E903" t="inlineStr">
        <is>
          <t>ÅNGE</t>
        </is>
      </c>
      <c r="G903" t="n">
        <v>11.9</v>
      </c>
      <c r="H903" t="n">
        <v>0</v>
      </c>
      <c r="I903" t="n">
        <v>0</v>
      </c>
      <c r="J903" t="n">
        <v>0</v>
      </c>
      <c r="K903" t="n">
        <v>0</v>
      </c>
      <c r="L903" t="n">
        <v>0</v>
      </c>
      <c r="M903" t="n">
        <v>0</v>
      </c>
      <c r="N903" t="n">
        <v>0</v>
      </c>
      <c r="O903" t="n">
        <v>0</v>
      </c>
      <c r="P903" t="n">
        <v>0</v>
      </c>
      <c r="Q903" t="n">
        <v>0</v>
      </c>
      <c r="R903" s="2" t="inlineStr"/>
    </row>
    <row r="904" ht="15" customHeight="1">
      <c r="A904" t="inlineStr">
        <is>
          <t>A 23495-2025</t>
        </is>
      </c>
      <c r="B904" s="1" t="n">
        <v>45792.46967592592</v>
      </c>
      <c r="C904" s="1" t="n">
        <v>45967</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52805-2024</t>
        </is>
      </c>
      <c r="B905" s="1" t="n">
        <v>45610.57344907407</v>
      </c>
      <c r="C905" s="1" t="n">
        <v>45967</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51109-2025</t>
        </is>
      </c>
      <c r="B906" s="1" t="n">
        <v>45947.50263888889</v>
      </c>
      <c r="C906" s="1" t="n">
        <v>45967</v>
      </c>
      <c r="D906" t="inlineStr">
        <is>
          <t>VÄSTERNORRLANDS LÄN</t>
        </is>
      </c>
      <c r="E906" t="inlineStr">
        <is>
          <t>ÅNGE</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23589-2025</t>
        </is>
      </c>
      <c r="B907" s="1" t="n">
        <v>45792.63618055556</v>
      </c>
      <c r="C907" s="1" t="n">
        <v>45967</v>
      </c>
      <c r="D907" t="inlineStr">
        <is>
          <t>VÄSTERNORRLANDS LÄN</t>
        </is>
      </c>
      <c r="E907" t="inlineStr">
        <is>
          <t>ÅNGE</t>
        </is>
      </c>
      <c r="F907" t="inlineStr">
        <is>
          <t>SCA</t>
        </is>
      </c>
      <c r="G907" t="n">
        <v>10.7</v>
      </c>
      <c r="H907" t="n">
        <v>0</v>
      </c>
      <c r="I907" t="n">
        <v>0</v>
      </c>
      <c r="J907" t="n">
        <v>0</v>
      </c>
      <c r="K907" t="n">
        <v>0</v>
      </c>
      <c r="L907" t="n">
        <v>0</v>
      </c>
      <c r="M907" t="n">
        <v>0</v>
      </c>
      <c r="N907" t="n">
        <v>0</v>
      </c>
      <c r="O907" t="n">
        <v>0</v>
      </c>
      <c r="P907" t="n">
        <v>0</v>
      </c>
      <c r="Q907" t="n">
        <v>0</v>
      </c>
      <c r="R907" s="2" t="inlineStr"/>
    </row>
    <row r="908" ht="15" customHeight="1">
      <c r="A908" t="inlineStr">
        <is>
          <t>A 61577-2023</t>
        </is>
      </c>
      <c r="B908" s="1" t="n">
        <v>45265.47366898148</v>
      </c>
      <c r="C908" s="1" t="n">
        <v>45967</v>
      </c>
      <c r="D908" t="inlineStr">
        <is>
          <t>VÄSTERNORRLANDS LÄN</t>
        </is>
      </c>
      <c r="E908" t="inlineStr">
        <is>
          <t>ÅNGE</t>
        </is>
      </c>
      <c r="G908" t="n">
        <v>2.9</v>
      </c>
      <c r="H908" t="n">
        <v>0</v>
      </c>
      <c r="I908" t="n">
        <v>0</v>
      </c>
      <c r="J908" t="n">
        <v>0</v>
      </c>
      <c r="K908" t="n">
        <v>0</v>
      </c>
      <c r="L908" t="n">
        <v>0</v>
      </c>
      <c r="M908" t="n">
        <v>0</v>
      </c>
      <c r="N908" t="n">
        <v>0</v>
      </c>
      <c r="O908" t="n">
        <v>0</v>
      </c>
      <c r="P908" t="n">
        <v>0</v>
      </c>
      <c r="Q908" t="n">
        <v>0</v>
      </c>
      <c r="R908" s="2" t="inlineStr"/>
    </row>
    <row r="909" ht="15" customHeight="1">
      <c r="A909" t="inlineStr">
        <is>
          <t>A 1735-2025</t>
        </is>
      </c>
      <c r="B909" s="1" t="n">
        <v>45671.38594907407</v>
      </c>
      <c r="C909" s="1" t="n">
        <v>45967</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45939-2023</t>
        </is>
      </c>
      <c r="B910" s="1" t="n">
        <v>45195.94578703704</v>
      </c>
      <c r="C910" s="1" t="n">
        <v>45967</v>
      </c>
      <c r="D910" t="inlineStr">
        <is>
          <t>VÄSTERNORRLANDS LÄN</t>
        </is>
      </c>
      <c r="E910" t="inlineStr">
        <is>
          <t>ÅNGE</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61585-2022</t>
        </is>
      </c>
      <c r="B911" s="1" t="n">
        <v>44916.63380787037</v>
      </c>
      <c r="C911" s="1" t="n">
        <v>45967</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3574-2025</t>
        </is>
      </c>
      <c r="B912" s="1" t="n">
        <v>45680.71916666667</v>
      </c>
      <c r="C912" s="1" t="n">
        <v>45967</v>
      </c>
      <c r="D912" t="inlineStr">
        <is>
          <t>VÄSTERNORRLANDS LÄN</t>
        </is>
      </c>
      <c r="E912" t="inlineStr">
        <is>
          <t>ÅNGE</t>
        </is>
      </c>
      <c r="F912" t="inlineStr">
        <is>
          <t>SCA</t>
        </is>
      </c>
      <c r="G912" t="n">
        <v>4.4</v>
      </c>
      <c r="H912" t="n">
        <v>0</v>
      </c>
      <c r="I912" t="n">
        <v>0</v>
      </c>
      <c r="J912" t="n">
        <v>0</v>
      </c>
      <c r="K912" t="n">
        <v>0</v>
      </c>
      <c r="L912" t="n">
        <v>0</v>
      </c>
      <c r="M912" t="n">
        <v>0</v>
      </c>
      <c r="N912" t="n">
        <v>0</v>
      </c>
      <c r="O912" t="n">
        <v>0</v>
      </c>
      <c r="P912" t="n">
        <v>0</v>
      </c>
      <c r="Q912" t="n">
        <v>0</v>
      </c>
      <c r="R912" s="2" t="inlineStr"/>
    </row>
    <row r="913" ht="15" customHeight="1">
      <c r="A913" t="inlineStr">
        <is>
          <t>A 12807-2025</t>
        </is>
      </c>
      <c r="B913" s="1" t="n">
        <v>45733.61537037037</v>
      </c>
      <c r="C913" s="1" t="n">
        <v>45967</v>
      </c>
      <c r="D913" t="inlineStr">
        <is>
          <t>VÄSTERNORRLANDS LÄN</t>
        </is>
      </c>
      <c r="E913" t="inlineStr">
        <is>
          <t>ÅNGE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29048-2021</t>
        </is>
      </c>
      <c r="B914" s="1" t="n">
        <v>44358</v>
      </c>
      <c r="C914" s="1" t="n">
        <v>45967</v>
      </c>
      <c r="D914" t="inlineStr">
        <is>
          <t>VÄSTERNORRLANDS LÄN</t>
        </is>
      </c>
      <c r="E914" t="inlineStr">
        <is>
          <t>ÅNGE</t>
        </is>
      </c>
      <c r="G914" t="n">
        <v>2.5</v>
      </c>
      <c r="H914" t="n">
        <v>0</v>
      </c>
      <c r="I914" t="n">
        <v>0</v>
      </c>
      <c r="J914" t="n">
        <v>0</v>
      </c>
      <c r="K914" t="n">
        <v>0</v>
      </c>
      <c r="L914" t="n">
        <v>0</v>
      </c>
      <c r="M914" t="n">
        <v>0</v>
      </c>
      <c r="N914" t="n">
        <v>0</v>
      </c>
      <c r="O914" t="n">
        <v>0</v>
      </c>
      <c r="P914" t="n">
        <v>0</v>
      </c>
      <c r="Q914" t="n">
        <v>0</v>
      </c>
      <c r="R914" s="2" t="inlineStr"/>
    </row>
    <row r="915" ht="15" customHeight="1">
      <c r="A915" t="inlineStr">
        <is>
          <t>A 42786-2025</t>
        </is>
      </c>
      <c r="B915" s="1" t="n">
        <v>45908.51097222222</v>
      </c>
      <c r="C915" s="1" t="n">
        <v>45967</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18668-2023</t>
        </is>
      </c>
      <c r="B916" s="1" t="n">
        <v>45043.57108796296</v>
      </c>
      <c r="C916" s="1" t="n">
        <v>45967</v>
      </c>
      <c r="D916" t="inlineStr">
        <is>
          <t>VÄSTERNORRLANDS LÄN</t>
        </is>
      </c>
      <c r="E916" t="inlineStr">
        <is>
          <t>ÅNGE</t>
        </is>
      </c>
      <c r="G916" t="n">
        <v>3.4</v>
      </c>
      <c r="H916" t="n">
        <v>0</v>
      </c>
      <c r="I916" t="n">
        <v>0</v>
      </c>
      <c r="J916" t="n">
        <v>0</v>
      </c>
      <c r="K916" t="n">
        <v>0</v>
      </c>
      <c r="L916" t="n">
        <v>0</v>
      </c>
      <c r="M916" t="n">
        <v>0</v>
      </c>
      <c r="N916" t="n">
        <v>0</v>
      </c>
      <c r="O916" t="n">
        <v>0</v>
      </c>
      <c r="P916" t="n">
        <v>0</v>
      </c>
      <c r="Q916" t="n">
        <v>0</v>
      </c>
      <c r="R916" s="2" t="inlineStr"/>
    </row>
    <row r="917" ht="15" customHeight="1">
      <c r="A917" t="inlineStr">
        <is>
          <t>A 62261-2022</t>
        </is>
      </c>
      <c r="B917" s="1" t="n">
        <v>44922.94378472222</v>
      </c>
      <c r="C917" s="1" t="n">
        <v>45967</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16524-2025</t>
        </is>
      </c>
      <c r="B918" s="1" t="n">
        <v>45751.64310185185</v>
      </c>
      <c r="C918" s="1" t="n">
        <v>45967</v>
      </c>
      <c r="D918" t="inlineStr">
        <is>
          <t>VÄSTERNORRLANDS LÄN</t>
        </is>
      </c>
      <c r="E918" t="inlineStr">
        <is>
          <t>ÅNGE</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47779-2023</t>
        </is>
      </c>
      <c r="B919" s="1" t="n">
        <v>45203.92232638889</v>
      </c>
      <c r="C919" s="1" t="n">
        <v>45967</v>
      </c>
      <c r="D919" t="inlineStr">
        <is>
          <t>VÄSTERNORRLANDS LÄN</t>
        </is>
      </c>
      <c r="E919" t="inlineStr">
        <is>
          <t>ÅNGE</t>
        </is>
      </c>
      <c r="G919" t="n">
        <v>9.6</v>
      </c>
      <c r="H919" t="n">
        <v>0</v>
      </c>
      <c r="I919" t="n">
        <v>0</v>
      </c>
      <c r="J919" t="n">
        <v>0</v>
      </c>
      <c r="K919" t="n">
        <v>0</v>
      </c>
      <c r="L919" t="n">
        <v>0</v>
      </c>
      <c r="M919" t="n">
        <v>0</v>
      </c>
      <c r="N919" t="n">
        <v>0</v>
      </c>
      <c r="O919" t="n">
        <v>0</v>
      </c>
      <c r="P919" t="n">
        <v>0</v>
      </c>
      <c r="Q919" t="n">
        <v>0</v>
      </c>
      <c r="R919" s="2" t="inlineStr"/>
    </row>
    <row r="920" ht="15" customHeight="1">
      <c r="A920" t="inlineStr">
        <is>
          <t>A 51370-2025</t>
        </is>
      </c>
      <c r="B920" s="1" t="n">
        <v>45950.44818287037</v>
      </c>
      <c r="C920" s="1" t="n">
        <v>45967</v>
      </c>
      <c r="D920" t="inlineStr">
        <is>
          <t>VÄSTERNORRLANDS LÄN</t>
        </is>
      </c>
      <c r="E920" t="inlineStr">
        <is>
          <t>ÅNGE</t>
        </is>
      </c>
      <c r="G920" t="n">
        <v>0.9</v>
      </c>
      <c r="H920" t="n">
        <v>0</v>
      </c>
      <c r="I920" t="n">
        <v>0</v>
      </c>
      <c r="J920" t="n">
        <v>0</v>
      </c>
      <c r="K920" t="n">
        <v>0</v>
      </c>
      <c r="L920" t="n">
        <v>0</v>
      </c>
      <c r="M920" t="n">
        <v>0</v>
      </c>
      <c r="N920" t="n">
        <v>0</v>
      </c>
      <c r="O920" t="n">
        <v>0</v>
      </c>
      <c r="P920" t="n">
        <v>0</v>
      </c>
      <c r="Q920" t="n">
        <v>0</v>
      </c>
      <c r="R920" s="2" t="inlineStr"/>
    </row>
    <row r="921" ht="15" customHeight="1">
      <c r="A921" t="inlineStr">
        <is>
          <t>A 3022-2023</t>
        </is>
      </c>
      <c r="B921" s="1" t="n">
        <v>44945</v>
      </c>
      <c r="C921" s="1" t="n">
        <v>45967</v>
      </c>
      <c r="D921" t="inlineStr">
        <is>
          <t>VÄSTERNORRLANDS LÄN</t>
        </is>
      </c>
      <c r="E921" t="inlineStr">
        <is>
          <t>ÅNGE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51416-2025</t>
        </is>
      </c>
      <c r="B922" s="1" t="n">
        <v>45950.51097222222</v>
      </c>
      <c r="C922" s="1" t="n">
        <v>45967</v>
      </c>
      <c r="D922" t="inlineStr">
        <is>
          <t>VÄSTERNORRLANDS LÄN</t>
        </is>
      </c>
      <c r="E922" t="inlineStr">
        <is>
          <t>ÅNGE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5035-2025</t>
        </is>
      </c>
      <c r="B923" s="1" t="n">
        <v>45691</v>
      </c>
      <c r="C923" s="1" t="n">
        <v>45967</v>
      </c>
      <c r="D923" t="inlineStr">
        <is>
          <t>VÄSTERNORRLANDS LÄN</t>
        </is>
      </c>
      <c r="E923" t="inlineStr">
        <is>
          <t>ÅNGE</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49502-2022</t>
        </is>
      </c>
      <c r="B924" s="1" t="n">
        <v>44861.92613425926</v>
      </c>
      <c r="C924" s="1" t="n">
        <v>45967</v>
      </c>
      <c r="D924" t="inlineStr">
        <is>
          <t>VÄSTERNORRLANDS LÄN</t>
        </is>
      </c>
      <c r="E924" t="inlineStr">
        <is>
          <t>ÅNGE</t>
        </is>
      </c>
      <c r="G924" t="n">
        <v>0.8</v>
      </c>
      <c r="H924" t="n">
        <v>0</v>
      </c>
      <c r="I924" t="n">
        <v>0</v>
      </c>
      <c r="J924" t="n">
        <v>0</v>
      </c>
      <c r="K924" t="n">
        <v>0</v>
      </c>
      <c r="L924" t="n">
        <v>0</v>
      </c>
      <c r="M924" t="n">
        <v>0</v>
      </c>
      <c r="N924" t="n">
        <v>0</v>
      </c>
      <c r="O924" t="n">
        <v>0</v>
      </c>
      <c r="P924" t="n">
        <v>0</v>
      </c>
      <c r="Q924" t="n">
        <v>0</v>
      </c>
      <c r="R924" s="2" t="inlineStr"/>
    </row>
    <row r="925" ht="15" customHeight="1">
      <c r="A925" t="inlineStr">
        <is>
          <t>A 42863-2025</t>
        </is>
      </c>
      <c r="B925" s="1" t="n">
        <v>45908.61527777778</v>
      </c>
      <c r="C925" s="1" t="n">
        <v>45967</v>
      </c>
      <c r="D925" t="inlineStr">
        <is>
          <t>VÄSTERNORRLANDS LÄN</t>
        </is>
      </c>
      <c r="E925" t="inlineStr">
        <is>
          <t>ÅNGE</t>
        </is>
      </c>
      <c r="G925" t="n">
        <v>1.1</v>
      </c>
      <c r="H925" t="n">
        <v>0</v>
      </c>
      <c r="I925" t="n">
        <v>0</v>
      </c>
      <c r="J925" t="n">
        <v>0</v>
      </c>
      <c r="K925" t="n">
        <v>0</v>
      </c>
      <c r="L925" t="n">
        <v>0</v>
      </c>
      <c r="M925" t="n">
        <v>0</v>
      </c>
      <c r="N925" t="n">
        <v>0</v>
      </c>
      <c r="O925" t="n">
        <v>0</v>
      </c>
      <c r="P925" t="n">
        <v>0</v>
      </c>
      <c r="Q925" t="n">
        <v>0</v>
      </c>
      <c r="R925" s="2" t="inlineStr"/>
    </row>
    <row r="926" ht="15" customHeight="1">
      <c r="A926" t="inlineStr">
        <is>
          <t>A 39021-2024</t>
        </is>
      </c>
      <c r="B926" s="1" t="n">
        <v>45548</v>
      </c>
      <c r="C926" s="1" t="n">
        <v>45967</v>
      </c>
      <c r="D926" t="inlineStr">
        <is>
          <t>VÄSTERNORRLANDS LÄN</t>
        </is>
      </c>
      <c r="E926" t="inlineStr">
        <is>
          <t>ÅNGE</t>
        </is>
      </c>
      <c r="G926" t="n">
        <v>2.5</v>
      </c>
      <c r="H926" t="n">
        <v>0</v>
      </c>
      <c r="I926" t="n">
        <v>0</v>
      </c>
      <c r="J926" t="n">
        <v>0</v>
      </c>
      <c r="K926" t="n">
        <v>0</v>
      </c>
      <c r="L926" t="n">
        <v>0</v>
      </c>
      <c r="M926" t="n">
        <v>0</v>
      </c>
      <c r="N926" t="n">
        <v>0</v>
      </c>
      <c r="O926" t="n">
        <v>0</v>
      </c>
      <c r="P926" t="n">
        <v>0</v>
      </c>
      <c r="Q926" t="n">
        <v>0</v>
      </c>
      <c r="R926" s="2" t="inlineStr"/>
    </row>
    <row r="927" ht="15" customHeight="1">
      <c r="A927" t="inlineStr">
        <is>
          <t>A 42731-2025</t>
        </is>
      </c>
      <c r="B927" s="1" t="n">
        <v>45908.40686342592</v>
      </c>
      <c r="C927" s="1" t="n">
        <v>45967</v>
      </c>
      <c r="D927" t="inlineStr">
        <is>
          <t>VÄSTERNORRLANDS LÄN</t>
        </is>
      </c>
      <c r="E927" t="inlineStr">
        <is>
          <t>ÅNGE</t>
        </is>
      </c>
      <c r="G927" t="n">
        <v>14.1</v>
      </c>
      <c r="H927" t="n">
        <v>0</v>
      </c>
      <c r="I927" t="n">
        <v>0</v>
      </c>
      <c r="J927" t="n">
        <v>0</v>
      </c>
      <c r="K927" t="n">
        <v>0</v>
      </c>
      <c r="L927" t="n">
        <v>0</v>
      </c>
      <c r="M927" t="n">
        <v>0</v>
      </c>
      <c r="N927" t="n">
        <v>0</v>
      </c>
      <c r="O927" t="n">
        <v>0</v>
      </c>
      <c r="P927" t="n">
        <v>0</v>
      </c>
      <c r="Q927" t="n">
        <v>0</v>
      </c>
      <c r="R927" s="2" t="inlineStr"/>
    </row>
    <row r="928" ht="15" customHeight="1">
      <c r="A928" t="inlineStr">
        <is>
          <t>A 42785-2025</t>
        </is>
      </c>
      <c r="B928" s="1" t="n">
        <v>45908.51083333333</v>
      </c>
      <c r="C928" s="1" t="n">
        <v>45967</v>
      </c>
      <c r="D928" t="inlineStr">
        <is>
          <t>VÄSTERNORRLANDS LÄN</t>
        </is>
      </c>
      <c r="E928" t="inlineStr">
        <is>
          <t>ÅNGE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13875-2022</t>
        </is>
      </c>
      <c r="B929" s="1" t="n">
        <v>44649</v>
      </c>
      <c r="C929" s="1" t="n">
        <v>45967</v>
      </c>
      <c r="D929" t="inlineStr">
        <is>
          <t>VÄSTERNORRLANDS LÄN</t>
        </is>
      </c>
      <c r="E929" t="inlineStr">
        <is>
          <t>ÅNGE</t>
        </is>
      </c>
      <c r="G929" t="n">
        <v>1.3</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45967</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51382-2025</t>
        </is>
      </c>
      <c r="B931" s="1" t="n">
        <v>45950.46019675926</v>
      </c>
      <c r="C931" s="1" t="n">
        <v>45967</v>
      </c>
      <c r="D931" t="inlineStr">
        <is>
          <t>VÄSTERNORRLANDS LÄN</t>
        </is>
      </c>
      <c r="E931" t="inlineStr">
        <is>
          <t>ÅNGE</t>
        </is>
      </c>
      <c r="G931" t="n">
        <v>3</v>
      </c>
      <c r="H931" t="n">
        <v>0</v>
      </c>
      <c r="I931" t="n">
        <v>0</v>
      </c>
      <c r="J931" t="n">
        <v>0</v>
      </c>
      <c r="K931" t="n">
        <v>0</v>
      </c>
      <c r="L931" t="n">
        <v>0</v>
      </c>
      <c r="M931" t="n">
        <v>0</v>
      </c>
      <c r="N931" t="n">
        <v>0</v>
      </c>
      <c r="O931" t="n">
        <v>0</v>
      </c>
      <c r="P931" t="n">
        <v>0</v>
      </c>
      <c r="Q931" t="n">
        <v>0</v>
      </c>
      <c r="R931" s="2" t="inlineStr"/>
    </row>
    <row r="932" ht="15" customHeight="1">
      <c r="A932" t="inlineStr">
        <is>
          <t>A 51389-2025</t>
        </is>
      </c>
      <c r="B932" s="1" t="n">
        <v>45950.46767361111</v>
      </c>
      <c r="C932" s="1" t="n">
        <v>45967</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23252-2025</t>
        </is>
      </c>
      <c r="B933" s="1" t="n">
        <v>45791.53157407408</v>
      </c>
      <c r="C933" s="1" t="n">
        <v>45967</v>
      </c>
      <c r="D933" t="inlineStr">
        <is>
          <t>VÄSTERNORRLANDS LÄN</t>
        </is>
      </c>
      <c r="E933" t="inlineStr">
        <is>
          <t>ÅNGE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23529-2025</t>
        </is>
      </c>
      <c r="B934" s="1" t="n">
        <v>45792.53158564815</v>
      </c>
      <c r="C934" s="1" t="n">
        <v>45967</v>
      </c>
      <c r="D934" t="inlineStr">
        <is>
          <t>VÄSTERNORRLANDS LÄN</t>
        </is>
      </c>
      <c r="E934" t="inlineStr">
        <is>
          <t>ÅNGE</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23552-2025</t>
        </is>
      </c>
      <c r="B935" s="1" t="n">
        <v>45792.5738425926</v>
      </c>
      <c r="C935" s="1" t="n">
        <v>45967</v>
      </c>
      <c r="D935" t="inlineStr">
        <is>
          <t>VÄSTERNORRLANDS LÄN</t>
        </is>
      </c>
      <c r="E935" t="inlineStr">
        <is>
          <t>ÅNGE</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42958-2024</t>
        </is>
      </c>
      <c r="B936" s="1" t="n">
        <v>45567.37131944444</v>
      </c>
      <c r="C936" s="1" t="n">
        <v>45967</v>
      </c>
      <c r="D936" t="inlineStr">
        <is>
          <t>VÄSTERNORRLANDS LÄN</t>
        </is>
      </c>
      <c r="E936" t="inlineStr">
        <is>
          <t>ÅNGE</t>
        </is>
      </c>
      <c r="F936" t="inlineStr">
        <is>
          <t>SCA</t>
        </is>
      </c>
      <c r="G936" t="n">
        <v>0.4</v>
      </c>
      <c r="H936" t="n">
        <v>0</v>
      </c>
      <c r="I936" t="n">
        <v>0</v>
      </c>
      <c r="J936" t="n">
        <v>0</v>
      </c>
      <c r="K936" t="n">
        <v>0</v>
      </c>
      <c r="L936" t="n">
        <v>0</v>
      </c>
      <c r="M936" t="n">
        <v>0</v>
      </c>
      <c r="N936" t="n">
        <v>0</v>
      </c>
      <c r="O936" t="n">
        <v>0</v>
      </c>
      <c r="P936" t="n">
        <v>0</v>
      </c>
      <c r="Q936" t="n">
        <v>0</v>
      </c>
      <c r="R936" s="2" t="inlineStr"/>
    </row>
    <row r="937" ht="15" customHeight="1">
      <c r="A937" t="inlineStr">
        <is>
          <t>A 23748-2025</t>
        </is>
      </c>
      <c r="B937" s="1" t="n">
        <v>45793.44755787037</v>
      </c>
      <c r="C937" s="1" t="n">
        <v>45967</v>
      </c>
      <c r="D937" t="inlineStr">
        <is>
          <t>VÄSTERNORRLANDS LÄN</t>
        </is>
      </c>
      <c r="E937" t="inlineStr">
        <is>
          <t>ÅNGE</t>
        </is>
      </c>
      <c r="F937" t="inlineStr">
        <is>
          <t>Sveaskog</t>
        </is>
      </c>
      <c r="G937" t="n">
        <v>6.5</v>
      </c>
      <c r="H937" t="n">
        <v>0</v>
      </c>
      <c r="I937" t="n">
        <v>0</v>
      </c>
      <c r="J937" t="n">
        <v>0</v>
      </c>
      <c r="K937" t="n">
        <v>0</v>
      </c>
      <c r="L937" t="n">
        <v>0</v>
      </c>
      <c r="M937" t="n">
        <v>0</v>
      </c>
      <c r="N937" t="n">
        <v>0</v>
      </c>
      <c r="O937" t="n">
        <v>0</v>
      </c>
      <c r="P937" t="n">
        <v>0</v>
      </c>
      <c r="Q937" t="n">
        <v>0</v>
      </c>
      <c r="R937" s="2" t="inlineStr"/>
    </row>
    <row r="938" ht="15" customHeight="1">
      <c r="A938" t="inlineStr">
        <is>
          <t>A 43145-2024</t>
        </is>
      </c>
      <c r="B938" s="1" t="n">
        <v>45567.63030092593</v>
      </c>
      <c r="C938" s="1" t="n">
        <v>45967</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23899-2025</t>
        </is>
      </c>
      <c r="B939" s="1" t="n">
        <v>45794.34414351852</v>
      </c>
      <c r="C939" s="1" t="n">
        <v>45967</v>
      </c>
      <c r="D939" t="inlineStr">
        <is>
          <t>VÄSTERNORRLANDS LÄN</t>
        </is>
      </c>
      <c r="E939" t="inlineStr">
        <is>
          <t>ÅNGE</t>
        </is>
      </c>
      <c r="F939" t="inlineStr">
        <is>
          <t>SCA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23917-2025</t>
        </is>
      </c>
      <c r="B940" s="1" t="n">
        <v>45795.34481481482</v>
      </c>
      <c r="C940" s="1" t="n">
        <v>45967</v>
      </c>
      <c r="D940" t="inlineStr">
        <is>
          <t>VÄSTERNORRLANDS LÄN</t>
        </is>
      </c>
      <c r="E940" t="inlineStr">
        <is>
          <t>ÅNGE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34861-2024</t>
        </is>
      </c>
      <c r="B941" s="1" t="n">
        <v>45527.339375</v>
      </c>
      <c r="C941" s="1" t="n">
        <v>45967</v>
      </c>
      <c r="D941" t="inlineStr">
        <is>
          <t>VÄSTERNORRLANDS LÄN</t>
        </is>
      </c>
      <c r="E941" t="inlineStr">
        <is>
          <t>ÅNGE</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17601-2024</t>
        </is>
      </c>
      <c r="B942" s="1" t="n">
        <v>45415</v>
      </c>
      <c r="C942" s="1" t="n">
        <v>45967</v>
      </c>
      <c r="D942" t="inlineStr">
        <is>
          <t>VÄSTERNORRLANDS LÄN</t>
        </is>
      </c>
      <c r="E942" t="inlineStr">
        <is>
          <t>ÅNGE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21456-2025</t>
        </is>
      </c>
      <c r="B943" s="1" t="n">
        <v>45782.55342592593</v>
      </c>
      <c r="C943" s="1" t="n">
        <v>45967</v>
      </c>
      <c r="D943" t="inlineStr">
        <is>
          <t>VÄSTERNORRLANDS LÄN</t>
        </is>
      </c>
      <c r="E943" t="inlineStr">
        <is>
          <t>ÅNGE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3-2025</t>
        </is>
      </c>
      <c r="B944" s="1" t="n">
        <v>45658.49819444444</v>
      </c>
      <c r="C944" s="1" t="n">
        <v>45967</v>
      </c>
      <c r="D944" t="inlineStr">
        <is>
          <t>VÄSTERNORRLANDS LÄN</t>
        </is>
      </c>
      <c r="E944" t="inlineStr">
        <is>
          <t>ÅNGE</t>
        </is>
      </c>
      <c r="G944" t="n">
        <v>2</v>
      </c>
      <c r="H944" t="n">
        <v>0</v>
      </c>
      <c r="I944" t="n">
        <v>0</v>
      </c>
      <c r="J944" t="n">
        <v>0</v>
      </c>
      <c r="K944" t="n">
        <v>0</v>
      </c>
      <c r="L944" t="n">
        <v>0</v>
      </c>
      <c r="M944" t="n">
        <v>0</v>
      </c>
      <c r="N944" t="n">
        <v>0</v>
      </c>
      <c r="O944" t="n">
        <v>0</v>
      </c>
      <c r="P944" t="n">
        <v>0</v>
      </c>
      <c r="Q944" t="n">
        <v>0</v>
      </c>
      <c r="R944" s="2" t="inlineStr"/>
    </row>
    <row r="945" ht="15" customHeight="1">
      <c r="A945" t="inlineStr">
        <is>
          <t>A 9619-2021</t>
        </is>
      </c>
      <c r="B945" s="1" t="n">
        <v>44251</v>
      </c>
      <c r="C945" s="1" t="n">
        <v>45967</v>
      </c>
      <c r="D945" t="inlineStr">
        <is>
          <t>VÄSTERNORRLANDS LÄN</t>
        </is>
      </c>
      <c r="E945" t="inlineStr">
        <is>
          <t>ÅNGE</t>
        </is>
      </c>
      <c r="G945" t="n">
        <v>10.4</v>
      </c>
      <c r="H945" t="n">
        <v>0</v>
      </c>
      <c r="I945" t="n">
        <v>0</v>
      </c>
      <c r="J945" t="n">
        <v>0</v>
      </c>
      <c r="K945" t="n">
        <v>0</v>
      </c>
      <c r="L945" t="n">
        <v>0</v>
      </c>
      <c r="M945" t="n">
        <v>0</v>
      </c>
      <c r="N945" t="n">
        <v>0</v>
      </c>
      <c r="O945" t="n">
        <v>0</v>
      </c>
      <c r="P945" t="n">
        <v>0</v>
      </c>
      <c r="Q945" t="n">
        <v>0</v>
      </c>
      <c r="R945" s="2" t="inlineStr"/>
    </row>
    <row r="946" ht="15" customHeight="1">
      <c r="A946" t="inlineStr">
        <is>
          <t>A 4876-2023</t>
        </is>
      </c>
      <c r="B946" s="1" t="n">
        <v>44957.94023148148</v>
      </c>
      <c r="C946" s="1" t="n">
        <v>45967</v>
      </c>
      <c r="D946" t="inlineStr">
        <is>
          <t>VÄSTERNORRLANDS LÄN</t>
        </is>
      </c>
      <c r="E946" t="inlineStr">
        <is>
          <t>ÅNGE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56188-2024</t>
        </is>
      </c>
      <c r="B947" s="1" t="n">
        <v>45624.57800925926</v>
      </c>
      <c r="C947" s="1" t="n">
        <v>45967</v>
      </c>
      <c r="D947" t="inlineStr">
        <is>
          <t>VÄSTERNORRLANDS LÄN</t>
        </is>
      </c>
      <c r="E947" t="inlineStr">
        <is>
          <t>ÅNGE</t>
        </is>
      </c>
      <c r="G947" t="n">
        <v>0.9</v>
      </c>
      <c r="H947" t="n">
        <v>0</v>
      </c>
      <c r="I947" t="n">
        <v>0</v>
      </c>
      <c r="J947" t="n">
        <v>0</v>
      </c>
      <c r="K947" t="n">
        <v>0</v>
      </c>
      <c r="L947" t="n">
        <v>0</v>
      </c>
      <c r="M947" t="n">
        <v>0</v>
      </c>
      <c r="N947" t="n">
        <v>0</v>
      </c>
      <c r="O947" t="n">
        <v>0</v>
      </c>
      <c r="P947" t="n">
        <v>0</v>
      </c>
      <c r="Q947" t="n">
        <v>0</v>
      </c>
      <c r="R947" s="2" t="inlineStr"/>
    </row>
    <row r="948" ht="15" customHeight="1">
      <c r="A948" t="inlineStr">
        <is>
          <t>A 42730-2025</t>
        </is>
      </c>
      <c r="B948" s="1" t="n">
        <v>45908.40666666667</v>
      </c>
      <c r="C948" s="1" t="n">
        <v>45967</v>
      </c>
      <c r="D948" t="inlineStr">
        <is>
          <t>VÄSTERNORRLANDS LÄN</t>
        </is>
      </c>
      <c r="E948" t="inlineStr">
        <is>
          <t>ÅNGE</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42589-2025</t>
        </is>
      </c>
      <c r="B949" s="1" t="n">
        <v>45905.63585648148</v>
      </c>
      <c r="C949" s="1" t="n">
        <v>45967</v>
      </c>
      <c r="D949" t="inlineStr">
        <is>
          <t>VÄSTERNORRLANDS LÄN</t>
        </is>
      </c>
      <c r="E949" t="inlineStr">
        <is>
          <t>ÅNGE</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57846-2022</t>
        </is>
      </c>
      <c r="B950" s="1" t="n">
        <v>44897.95008101852</v>
      </c>
      <c r="C950" s="1" t="n">
        <v>45967</v>
      </c>
      <c r="D950" t="inlineStr">
        <is>
          <t>VÄSTERNORRLANDS LÄN</t>
        </is>
      </c>
      <c r="E950" t="inlineStr">
        <is>
          <t>ÅNGE</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42764-2025</t>
        </is>
      </c>
      <c r="B951" s="1" t="n">
        <v>45908.46943287037</v>
      </c>
      <c r="C951" s="1" t="n">
        <v>45967</v>
      </c>
      <c r="D951" t="inlineStr">
        <is>
          <t>VÄSTERNORRLANDS LÄN</t>
        </is>
      </c>
      <c r="E951" t="inlineStr">
        <is>
          <t>ÅNGE</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3362-2023</t>
        </is>
      </c>
      <c r="B952" s="1" t="n">
        <v>44945</v>
      </c>
      <c r="C952" s="1" t="n">
        <v>45967</v>
      </c>
      <c r="D952" t="inlineStr">
        <is>
          <t>VÄSTERNORRLANDS LÄN</t>
        </is>
      </c>
      <c r="E952" t="inlineStr">
        <is>
          <t>ÅNGE</t>
        </is>
      </c>
      <c r="G952" t="n">
        <v>1</v>
      </c>
      <c r="H952" t="n">
        <v>0</v>
      </c>
      <c r="I952" t="n">
        <v>0</v>
      </c>
      <c r="J952" t="n">
        <v>0</v>
      </c>
      <c r="K952" t="n">
        <v>0</v>
      </c>
      <c r="L952" t="n">
        <v>0</v>
      </c>
      <c r="M952" t="n">
        <v>0</v>
      </c>
      <c r="N952" t="n">
        <v>0</v>
      </c>
      <c r="O952" t="n">
        <v>0</v>
      </c>
      <c r="P952" t="n">
        <v>0</v>
      </c>
      <c r="Q952" t="n">
        <v>0</v>
      </c>
      <c r="R952" s="2" t="inlineStr"/>
    </row>
    <row r="953" ht="15" customHeight="1">
      <c r="A953" t="inlineStr">
        <is>
          <t>A 44415-2021</t>
        </is>
      </c>
      <c r="B953" s="1" t="n">
        <v>44435</v>
      </c>
      <c r="C953" s="1" t="n">
        <v>45967</v>
      </c>
      <c r="D953" t="inlineStr">
        <is>
          <t>VÄSTERNORRLANDS LÄN</t>
        </is>
      </c>
      <c r="E953" t="inlineStr">
        <is>
          <t>ÅNGE</t>
        </is>
      </c>
      <c r="G953" t="n">
        <v>5.2</v>
      </c>
      <c r="H953" t="n">
        <v>0</v>
      </c>
      <c r="I953" t="n">
        <v>0</v>
      </c>
      <c r="J953" t="n">
        <v>0</v>
      </c>
      <c r="K953" t="n">
        <v>0</v>
      </c>
      <c r="L953" t="n">
        <v>0</v>
      </c>
      <c r="M953" t="n">
        <v>0</v>
      </c>
      <c r="N953" t="n">
        <v>0</v>
      </c>
      <c r="O953" t="n">
        <v>0</v>
      </c>
      <c r="P953" t="n">
        <v>0</v>
      </c>
      <c r="Q953" t="n">
        <v>0</v>
      </c>
      <c r="R953" s="2" t="inlineStr"/>
    </row>
    <row r="954" ht="15" customHeight="1">
      <c r="A954" t="inlineStr">
        <is>
          <t>A 51393-2025</t>
        </is>
      </c>
      <c r="B954" s="1" t="n">
        <v>45950.46957175926</v>
      </c>
      <c r="C954" s="1" t="n">
        <v>45967</v>
      </c>
      <c r="D954" t="inlineStr">
        <is>
          <t>VÄSTERNORRLANDS LÄN</t>
        </is>
      </c>
      <c r="E954" t="inlineStr">
        <is>
          <t>ÅNGE</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36342-2024</t>
        </is>
      </c>
      <c r="B955" s="1" t="n">
        <v>45534.64315972223</v>
      </c>
      <c r="C955" s="1" t="n">
        <v>45967</v>
      </c>
      <c r="D955" t="inlineStr">
        <is>
          <t>VÄSTERNORRLANDS LÄN</t>
        </is>
      </c>
      <c r="E955" t="inlineStr">
        <is>
          <t>ÅNGE</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39843-2023</t>
        </is>
      </c>
      <c r="B956" s="1" t="n">
        <v>45168</v>
      </c>
      <c r="C956" s="1" t="n">
        <v>45967</v>
      </c>
      <c r="D956" t="inlineStr">
        <is>
          <t>VÄSTERNORRLANDS LÄN</t>
        </is>
      </c>
      <c r="E956" t="inlineStr">
        <is>
          <t>ÅNGE</t>
        </is>
      </c>
      <c r="G956" t="n">
        <v>2.1</v>
      </c>
      <c r="H956" t="n">
        <v>0</v>
      </c>
      <c r="I956" t="n">
        <v>0</v>
      </c>
      <c r="J956" t="n">
        <v>0</v>
      </c>
      <c r="K956" t="n">
        <v>0</v>
      </c>
      <c r="L956" t="n">
        <v>0</v>
      </c>
      <c r="M956" t="n">
        <v>0</v>
      </c>
      <c r="N956" t="n">
        <v>0</v>
      </c>
      <c r="O956" t="n">
        <v>0</v>
      </c>
      <c r="P956" t="n">
        <v>0</v>
      </c>
      <c r="Q956" t="n">
        <v>0</v>
      </c>
      <c r="R956" s="2" t="inlineStr"/>
    </row>
    <row r="957" ht="15" customHeight="1">
      <c r="A957" t="inlineStr">
        <is>
          <t>A 42880-2025</t>
        </is>
      </c>
      <c r="B957" s="1" t="n">
        <v>45908.63599537037</v>
      </c>
      <c r="C957" s="1" t="n">
        <v>45967</v>
      </c>
      <c r="D957" t="inlineStr">
        <is>
          <t>VÄSTERNORRLANDS LÄN</t>
        </is>
      </c>
      <c r="E957" t="inlineStr">
        <is>
          <t>ÅNGE</t>
        </is>
      </c>
      <c r="G957" t="n">
        <v>4.3</v>
      </c>
      <c r="H957" t="n">
        <v>0</v>
      </c>
      <c r="I957" t="n">
        <v>0</v>
      </c>
      <c r="J957" t="n">
        <v>0</v>
      </c>
      <c r="K957" t="n">
        <v>0</v>
      </c>
      <c r="L957" t="n">
        <v>0</v>
      </c>
      <c r="M957" t="n">
        <v>0</v>
      </c>
      <c r="N957" t="n">
        <v>0</v>
      </c>
      <c r="O957" t="n">
        <v>0</v>
      </c>
      <c r="P957" t="n">
        <v>0</v>
      </c>
      <c r="Q957" t="n">
        <v>0</v>
      </c>
      <c r="R957" s="2" t="inlineStr"/>
    </row>
    <row r="958" ht="15" customHeight="1">
      <c r="A958" t="inlineStr">
        <is>
          <t>A 54771-2023</t>
        </is>
      </c>
      <c r="B958" s="1" t="n">
        <v>45229</v>
      </c>
      <c r="C958" s="1" t="n">
        <v>45967</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32922-2024</t>
        </is>
      </c>
      <c r="B959" s="1" t="n">
        <v>45516.95263888889</v>
      </c>
      <c r="C959" s="1" t="n">
        <v>45967</v>
      </c>
      <c r="D959" t="inlineStr">
        <is>
          <t>VÄSTERNORRLANDS LÄN</t>
        </is>
      </c>
      <c r="E959" t="inlineStr">
        <is>
          <t>ÅNGE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23975-2025</t>
        </is>
      </c>
      <c r="B960" s="1" t="n">
        <v>45796.38614583333</v>
      </c>
      <c r="C960" s="1" t="n">
        <v>45967</v>
      </c>
      <c r="D960" t="inlineStr">
        <is>
          <t>VÄSTERNORRLANDS LÄN</t>
        </is>
      </c>
      <c r="E960" t="inlineStr">
        <is>
          <t>ÅNGE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23976-2025</t>
        </is>
      </c>
      <c r="B961" s="1" t="n">
        <v>45796.38625</v>
      </c>
      <c r="C961" s="1" t="n">
        <v>45967</v>
      </c>
      <c r="D961" t="inlineStr">
        <is>
          <t>VÄSTERNORRLANDS LÄN</t>
        </is>
      </c>
      <c r="E961" t="inlineStr">
        <is>
          <t>ÅNGE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23921-2025</t>
        </is>
      </c>
      <c r="B962" s="1" t="n">
        <v>45795.34513888889</v>
      </c>
      <c r="C962" s="1" t="n">
        <v>45967</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54079-2023</t>
        </is>
      </c>
      <c r="B963" s="1" t="n">
        <v>45231</v>
      </c>
      <c r="C963" s="1" t="n">
        <v>45967</v>
      </c>
      <c r="D963" t="inlineStr">
        <is>
          <t>VÄSTERNORRLANDS LÄN</t>
        </is>
      </c>
      <c r="E963" t="inlineStr">
        <is>
          <t>ÅNGE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29702-2024</t>
        </is>
      </c>
      <c r="B964" s="1" t="n">
        <v>45485.31525462963</v>
      </c>
      <c r="C964" s="1" t="n">
        <v>45967</v>
      </c>
      <c r="D964" t="inlineStr">
        <is>
          <t>VÄSTERNORRLANDS LÄN</t>
        </is>
      </c>
      <c r="E964" t="inlineStr">
        <is>
          <t>ÅNGE</t>
        </is>
      </c>
      <c r="G964" t="n">
        <v>2.6</v>
      </c>
      <c r="H964" t="n">
        <v>0</v>
      </c>
      <c r="I964" t="n">
        <v>0</v>
      </c>
      <c r="J964" t="n">
        <v>0</v>
      </c>
      <c r="K964" t="n">
        <v>0</v>
      </c>
      <c r="L964" t="n">
        <v>0</v>
      </c>
      <c r="M964" t="n">
        <v>0</v>
      </c>
      <c r="N964" t="n">
        <v>0</v>
      </c>
      <c r="O964" t="n">
        <v>0</v>
      </c>
      <c r="P964" t="n">
        <v>0</v>
      </c>
      <c r="Q964" t="n">
        <v>0</v>
      </c>
      <c r="R964" s="2" t="inlineStr"/>
    </row>
    <row r="965" ht="15" customHeight="1">
      <c r="A965" t="inlineStr">
        <is>
          <t>A 43237-2025</t>
        </is>
      </c>
      <c r="B965" s="1" t="n">
        <v>45910.51670138889</v>
      </c>
      <c r="C965" s="1" t="n">
        <v>45967</v>
      </c>
      <c r="D965" t="inlineStr">
        <is>
          <t>VÄSTERNORRLANDS LÄN</t>
        </is>
      </c>
      <c r="E965" t="inlineStr">
        <is>
          <t>ÅNGE</t>
        </is>
      </c>
      <c r="G965" t="n">
        <v>0.7</v>
      </c>
      <c r="H965" t="n">
        <v>0</v>
      </c>
      <c r="I965" t="n">
        <v>0</v>
      </c>
      <c r="J965" t="n">
        <v>0</v>
      </c>
      <c r="K965" t="n">
        <v>0</v>
      </c>
      <c r="L965" t="n">
        <v>0</v>
      </c>
      <c r="M965" t="n">
        <v>0</v>
      </c>
      <c r="N965" t="n">
        <v>0</v>
      </c>
      <c r="O965" t="n">
        <v>0</v>
      </c>
      <c r="P965" t="n">
        <v>0</v>
      </c>
      <c r="Q965" t="n">
        <v>0</v>
      </c>
      <c r="R965" s="2" t="inlineStr"/>
    </row>
    <row r="966" ht="15" customHeight="1">
      <c r="A966" t="inlineStr">
        <is>
          <t>A 43250-2025</t>
        </is>
      </c>
      <c r="B966" s="1" t="n">
        <v>45910.5525462963</v>
      </c>
      <c r="C966" s="1" t="n">
        <v>45967</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26641-2024</t>
        </is>
      </c>
      <c r="B967" s="1" t="n">
        <v>45469.92836805555</v>
      </c>
      <c r="C967" s="1" t="n">
        <v>45967</v>
      </c>
      <c r="D967" t="inlineStr">
        <is>
          <t>VÄSTERNORRLANDS LÄN</t>
        </is>
      </c>
      <c r="E967" t="inlineStr">
        <is>
          <t>ÅNGE</t>
        </is>
      </c>
      <c r="G967" t="n">
        <v>4.5</v>
      </c>
      <c r="H967" t="n">
        <v>0</v>
      </c>
      <c r="I967" t="n">
        <v>0</v>
      </c>
      <c r="J967" t="n">
        <v>0</v>
      </c>
      <c r="K967" t="n">
        <v>0</v>
      </c>
      <c r="L967" t="n">
        <v>0</v>
      </c>
      <c r="M967" t="n">
        <v>0</v>
      </c>
      <c r="N967" t="n">
        <v>0</v>
      </c>
      <c r="O967" t="n">
        <v>0</v>
      </c>
      <c r="P967" t="n">
        <v>0</v>
      </c>
      <c r="Q967" t="n">
        <v>0</v>
      </c>
      <c r="R967" s="2" t="inlineStr"/>
    </row>
    <row r="968" ht="15" customHeight="1">
      <c r="A968" t="inlineStr">
        <is>
          <t>A 41741-2023</t>
        </is>
      </c>
      <c r="B968" s="1" t="n">
        <v>45176.42164351852</v>
      </c>
      <c r="C968" s="1" t="n">
        <v>45967</v>
      </c>
      <c r="D968" t="inlineStr">
        <is>
          <t>VÄSTERNORRLANDS LÄN</t>
        </is>
      </c>
      <c r="E968" t="inlineStr">
        <is>
          <t>ÅNGE</t>
        </is>
      </c>
      <c r="G968" t="n">
        <v>7.8</v>
      </c>
      <c r="H968" t="n">
        <v>0</v>
      </c>
      <c r="I968" t="n">
        <v>0</v>
      </c>
      <c r="J968" t="n">
        <v>0</v>
      </c>
      <c r="K968" t="n">
        <v>0</v>
      </c>
      <c r="L968" t="n">
        <v>0</v>
      </c>
      <c r="M968" t="n">
        <v>0</v>
      </c>
      <c r="N968" t="n">
        <v>0</v>
      </c>
      <c r="O968" t="n">
        <v>0</v>
      </c>
      <c r="P968" t="n">
        <v>0</v>
      </c>
      <c r="Q968" t="n">
        <v>0</v>
      </c>
      <c r="R968" s="2" t="inlineStr"/>
    </row>
    <row r="969" ht="15" customHeight="1">
      <c r="A969" t="inlineStr">
        <is>
          <t>A 37992-2024</t>
        </is>
      </c>
      <c r="B969" s="1" t="n">
        <v>45544.59524305556</v>
      </c>
      <c r="C969" s="1" t="n">
        <v>45967</v>
      </c>
      <c r="D969" t="inlineStr">
        <is>
          <t>VÄSTERNORRLANDS LÄN</t>
        </is>
      </c>
      <c r="E969" t="inlineStr">
        <is>
          <t>ÅNGE</t>
        </is>
      </c>
      <c r="G969" t="n">
        <v>3.9</v>
      </c>
      <c r="H969" t="n">
        <v>0</v>
      </c>
      <c r="I969" t="n">
        <v>0</v>
      </c>
      <c r="J969" t="n">
        <v>0</v>
      </c>
      <c r="K969" t="n">
        <v>0</v>
      </c>
      <c r="L969" t="n">
        <v>0</v>
      </c>
      <c r="M969" t="n">
        <v>0</v>
      </c>
      <c r="N969" t="n">
        <v>0</v>
      </c>
      <c r="O969" t="n">
        <v>0</v>
      </c>
      <c r="P969" t="n">
        <v>0</v>
      </c>
      <c r="Q969" t="n">
        <v>0</v>
      </c>
      <c r="R969" s="2" t="inlineStr"/>
    </row>
    <row r="970" ht="15" customHeight="1">
      <c r="A970" t="inlineStr">
        <is>
          <t>A 53858-2024</t>
        </is>
      </c>
      <c r="B970" s="1" t="n">
        <v>45615</v>
      </c>
      <c r="C970" s="1" t="n">
        <v>45967</v>
      </c>
      <c r="D970" t="inlineStr">
        <is>
          <t>VÄSTERNORRLANDS LÄN</t>
        </is>
      </c>
      <c r="E970" t="inlineStr">
        <is>
          <t>ÅNGE</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57516-2023</t>
        </is>
      </c>
      <c r="B971" s="1" t="n">
        <v>45246.44665509259</v>
      </c>
      <c r="C971" s="1" t="n">
        <v>45967</v>
      </c>
      <c r="D971" t="inlineStr">
        <is>
          <t>VÄSTERNORRLANDS LÄN</t>
        </is>
      </c>
      <c r="E971" t="inlineStr">
        <is>
          <t>ÅNGE</t>
        </is>
      </c>
      <c r="G971" t="n">
        <v>2.2</v>
      </c>
      <c r="H971" t="n">
        <v>0</v>
      </c>
      <c r="I971" t="n">
        <v>0</v>
      </c>
      <c r="J971" t="n">
        <v>0</v>
      </c>
      <c r="K971" t="n">
        <v>0</v>
      </c>
      <c r="L971" t="n">
        <v>0</v>
      </c>
      <c r="M971" t="n">
        <v>0</v>
      </c>
      <c r="N971" t="n">
        <v>0</v>
      </c>
      <c r="O971" t="n">
        <v>0</v>
      </c>
      <c r="P971" t="n">
        <v>0</v>
      </c>
      <c r="Q971" t="n">
        <v>0</v>
      </c>
      <c r="R971" s="2" t="inlineStr"/>
    </row>
    <row r="972" ht="15" customHeight="1">
      <c r="A972" t="inlineStr">
        <is>
          <t>A 5455-2023</t>
        </is>
      </c>
      <c r="B972" s="1" t="n">
        <v>44959.93983796296</v>
      </c>
      <c r="C972" s="1" t="n">
        <v>45967</v>
      </c>
      <c r="D972" t="inlineStr">
        <is>
          <t>VÄSTERNORRLANDS LÄN</t>
        </is>
      </c>
      <c r="E972" t="inlineStr">
        <is>
          <t>ÅNGE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20338-2025</t>
        </is>
      </c>
      <c r="B973" s="1" t="n">
        <v>45775</v>
      </c>
      <c r="C973" s="1" t="n">
        <v>45967</v>
      </c>
      <c r="D973" t="inlineStr">
        <is>
          <t>VÄSTERNORRLANDS LÄN</t>
        </is>
      </c>
      <c r="E973" t="inlineStr">
        <is>
          <t>ÅNGE</t>
        </is>
      </c>
      <c r="F973" t="inlineStr">
        <is>
          <t>SCA</t>
        </is>
      </c>
      <c r="G973" t="n">
        <v>5.7</v>
      </c>
      <c r="H973" t="n">
        <v>0</v>
      </c>
      <c r="I973" t="n">
        <v>0</v>
      </c>
      <c r="J973" t="n">
        <v>0</v>
      </c>
      <c r="K973" t="n">
        <v>0</v>
      </c>
      <c r="L973" t="n">
        <v>0</v>
      </c>
      <c r="M973" t="n">
        <v>0</v>
      </c>
      <c r="N973" t="n">
        <v>0</v>
      </c>
      <c r="O973" t="n">
        <v>0</v>
      </c>
      <c r="P973" t="n">
        <v>0</v>
      </c>
      <c r="Q973" t="n">
        <v>0</v>
      </c>
      <c r="R973" s="2" t="inlineStr"/>
    </row>
    <row r="974" ht="15" customHeight="1">
      <c r="A974" t="inlineStr">
        <is>
          <t>A 23069-2024</t>
        </is>
      </c>
      <c r="B974" s="1" t="n">
        <v>45450</v>
      </c>
      <c r="C974" s="1" t="n">
        <v>45967</v>
      </c>
      <c r="D974" t="inlineStr">
        <is>
          <t>VÄSTERNORRLANDS LÄN</t>
        </is>
      </c>
      <c r="E974" t="inlineStr">
        <is>
          <t>ÅNGE</t>
        </is>
      </c>
      <c r="G974" t="n">
        <v>1.5</v>
      </c>
      <c r="H974" t="n">
        <v>0</v>
      </c>
      <c r="I974" t="n">
        <v>0</v>
      </c>
      <c r="J974" t="n">
        <v>0</v>
      </c>
      <c r="K974" t="n">
        <v>0</v>
      </c>
      <c r="L974" t="n">
        <v>0</v>
      </c>
      <c r="M974" t="n">
        <v>0</v>
      </c>
      <c r="N974" t="n">
        <v>0</v>
      </c>
      <c r="O974" t="n">
        <v>0</v>
      </c>
      <c r="P974" t="n">
        <v>0</v>
      </c>
      <c r="Q974" t="n">
        <v>0</v>
      </c>
      <c r="R974" s="2" t="inlineStr"/>
    </row>
    <row r="975" ht="15" customHeight="1">
      <c r="A975" t="inlineStr">
        <is>
          <t>A 43221-2025</t>
        </is>
      </c>
      <c r="B975" s="1" t="n">
        <v>45910.47981481482</v>
      </c>
      <c r="C975" s="1" t="n">
        <v>45967</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41575-2024</t>
        </is>
      </c>
      <c r="B976" s="1" t="n">
        <v>45560.55106481481</v>
      </c>
      <c r="C976" s="1" t="n">
        <v>45967</v>
      </c>
      <c r="D976" t="inlineStr">
        <is>
          <t>VÄSTERNORRLANDS LÄN</t>
        </is>
      </c>
      <c r="E976" t="inlineStr">
        <is>
          <t>ÅNGE</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24008-2025</t>
        </is>
      </c>
      <c r="B977" s="1" t="n">
        <v>45796.43841435185</v>
      </c>
      <c r="C977" s="1" t="n">
        <v>45967</v>
      </c>
      <c r="D977" t="inlineStr">
        <is>
          <t>VÄSTERNORRLANDS LÄN</t>
        </is>
      </c>
      <c r="E977" t="inlineStr">
        <is>
          <t>ÅNGE</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19007-2025</t>
        </is>
      </c>
      <c r="B978" s="1" t="n">
        <v>45764.58515046296</v>
      </c>
      <c r="C978" s="1" t="n">
        <v>45967</v>
      </c>
      <c r="D978" t="inlineStr">
        <is>
          <t>VÄSTERNORRLANDS LÄN</t>
        </is>
      </c>
      <c r="E978" t="inlineStr">
        <is>
          <t>ÅNGE</t>
        </is>
      </c>
      <c r="G978" t="n">
        <v>3.7</v>
      </c>
      <c r="H978" t="n">
        <v>0</v>
      </c>
      <c r="I978" t="n">
        <v>0</v>
      </c>
      <c r="J978" t="n">
        <v>0</v>
      </c>
      <c r="K978" t="n">
        <v>0</v>
      </c>
      <c r="L978" t="n">
        <v>0</v>
      </c>
      <c r="M978" t="n">
        <v>0</v>
      </c>
      <c r="N978" t="n">
        <v>0</v>
      </c>
      <c r="O978" t="n">
        <v>0</v>
      </c>
      <c r="P978" t="n">
        <v>0</v>
      </c>
      <c r="Q978" t="n">
        <v>0</v>
      </c>
      <c r="R978" s="2" t="inlineStr"/>
    </row>
    <row r="979" ht="15" customHeight="1">
      <c r="A979" t="inlineStr">
        <is>
          <t>A 60004-2023</t>
        </is>
      </c>
      <c r="B979" s="1" t="n">
        <v>45257</v>
      </c>
      <c r="C979" s="1" t="n">
        <v>45967</v>
      </c>
      <c r="D979" t="inlineStr">
        <is>
          <t>VÄSTERNORRLANDS LÄN</t>
        </is>
      </c>
      <c r="E979" t="inlineStr">
        <is>
          <t>ÅNGE</t>
        </is>
      </c>
      <c r="F979" t="inlineStr">
        <is>
          <t>SCA</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36457-2021</t>
        </is>
      </c>
      <c r="B980" s="1" t="n">
        <v>44390.93858796296</v>
      </c>
      <c r="C980" s="1" t="n">
        <v>45967</v>
      </c>
      <c r="D980" t="inlineStr">
        <is>
          <t>VÄSTERNORRLANDS LÄN</t>
        </is>
      </c>
      <c r="E980" t="inlineStr">
        <is>
          <t>ÅNGE</t>
        </is>
      </c>
      <c r="G980" t="n">
        <v>1.6</v>
      </c>
      <c r="H980" t="n">
        <v>0</v>
      </c>
      <c r="I980" t="n">
        <v>0</v>
      </c>
      <c r="J980" t="n">
        <v>0</v>
      </c>
      <c r="K980" t="n">
        <v>0</v>
      </c>
      <c r="L980" t="n">
        <v>0</v>
      </c>
      <c r="M980" t="n">
        <v>0</v>
      </c>
      <c r="N980" t="n">
        <v>0</v>
      </c>
      <c r="O980" t="n">
        <v>0</v>
      </c>
      <c r="P980" t="n">
        <v>0</v>
      </c>
      <c r="Q980" t="n">
        <v>0</v>
      </c>
      <c r="R980" s="2" t="inlineStr"/>
    </row>
    <row r="981" ht="15" customHeight="1">
      <c r="A981" t="inlineStr">
        <is>
          <t>A 52060-2025</t>
        </is>
      </c>
      <c r="B981" s="1" t="n">
        <v>45952.63641203703</v>
      </c>
      <c r="C981" s="1" t="n">
        <v>45967</v>
      </c>
      <c r="D981" t="inlineStr">
        <is>
          <t>VÄSTERNORRLANDS LÄN</t>
        </is>
      </c>
      <c r="E981" t="inlineStr">
        <is>
          <t>ÅNGE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59986-2021</t>
        </is>
      </c>
      <c r="B982" s="1" t="n">
        <v>44494</v>
      </c>
      <c r="C982" s="1" t="n">
        <v>45967</v>
      </c>
      <c r="D982" t="inlineStr">
        <is>
          <t>VÄSTERNORRLANDS LÄN</t>
        </is>
      </c>
      <c r="E982" t="inlineStr">
        <is>
          <t>ÅNGE</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43265-2025</t>
        </is>
      </c>
      <c r="B983" s="1" t="n">
        <v>45910.57377314815</v>
      </c>
      <c r="C983" s="1" t="n">
        <v>45967</v>
      </c>
      <c r="D983" t="inlineStr">
        <is>
          <t>VÄSTERNORRLANDS LÄN</t>
        </is>
      </c>
      <c r="E983" t="inlineStr">
        <is>
          <t>ÅNGE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56699-2023</t>
        </is>
      </c>
      <c r="B984" s="1" t="n">
        <v>45243</v>
      </c>
      <c r="C984" s="1" t="n">
        <v>45967</v>
      </c>
      <c r="D984" t="inlineStr">
        <is>
          <t>VÄSTERNORRLANDS LÄN</t>
        </is>
      </c>
      <c r="E984" t="inlineStr">
        <is>
          <t>ÅNGE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61928-2021</t>
        </is>
      </c>
      <c r="B985" s="1" t="n">
        <v>44502.38475694445</v>
      </c>
      <c r="C985" s="1" t="n">
        <v>45967</v>
      </c>
      <c r="D985" t="inlineStr">
        <is>
          <t>VÄSTERNORRLANDS LÄN</t>
        </is>
      </c>
      <c r="E985" t="inlineStr">
        <is>
          <t>ÅNGE</t>
        </is>
      </c>
      <c r="G985" t="n">
        <v>1</v>
      </c>
      <c r="H985" t="n">
        <v>0</v>
      </c>
      <c r="I985" t="n">
        <v>0</v>
      </c>
      <c r="J985" t="n">
        <v>0</v>
      </c>
      <c r="K985" t="n">
        <v>0</v>
      </c>
      <c r="L985" t="n">
        <v>0</v>
      </c>
      <c r="M985" t="n">
        <v>0</v>
      </c>
      <c r="N985" t="n">
        <v>0</v>
      </c>
      <c r="O985" t="n">
        <v>0</v>
      </c>
      <c r="P985" t="n">
        <v>0</v>
      </c>
      <c r="Q985" t="n">
        <v>0</v>
      </c>
      <c r="R985" s="2" t="inlineStr"/>
    </row>
    <row r="986" ht="15" customHeight="1">
      <c r="A986" t="inlineStr">
        <is>
          <t>A 51813-2025</t>
        </is>
      </c>
      <c r="B986" s="1" t="n">
        <v>45951.83082175926</v>
      </c>
      <c r="C986" s="1" t="n">
        <v>45967</v>
      </c>
      <c r="D986" t="inlineStr">
        <is>
          <t>VÄSTERNORRLANDS LÄN</t>
        </is>
      </c>
      <c r="E986" t="inlineStr">
        <is>
          <t>ÅNGE</t>
        </is>
      </c>
      <c r="G986" t="n">
        <v>2.5</v>
      </c>
      <c r="H986" t="n">
        <v>0</v>
      </c>
      <c r="I986" t="n">
        <v>0</v>
      </c>
      <c r="J986" t="n">
        <v>0</v>
      </c>
      <c r="K986" t="n">
        <v>0</v>
      </c>
      <c r="L986" t="n">
        <v>0</v>
      </c>
      <c r="M986" t="n">
        <v>0</v>
      </c>
      <c r="N986" t="n">
        <v>0</v>
      </c>
      <c r="O986" t="n">
        <v>0</v>
      </c>
      <c r="P986" t="n">
        <v>0</v>
      </c>
      <c r="Q986" t="n">
        <v>0</v>
      </c>
      <c r="R986" s="2" t="inlineStr"/>
    </row>
    <row r="987" ht="15" customHeight="1">
      <c r="A987" t="inlineStr">
        <is>
          <t>A 43622-2023</t>
        </is>
      </c>
      <c r="B987" s="1" t="n">
        <v>45184.70777777778</v>
      </c>
      <c r="C987" s="1" t="n">
        <v>45967</v>
      </c>
      <c r="D987" t="inlineStr">
        <is>
          <t>VÄSTERNORRLANDS LÄN</t>
        </is>
      </c>
      <c r="E987" t="inlineStr">
        <is>
          <t>ÅNGE</t>
        </is>
      </c>
      <c r="F987" t="inlineStr">
        <is>
          <t>Holmen skog AB</t>
        </is>
      </c>
      <c r="G987" t="n">
        <v>5.9</v>
      </c>
      <c r="H987" t="n">
        <v>0</v>
      </c>
      <c r="I987" t="n">
        <v>0</v>
      </c>
      <c r="J987" t="n">
        <v>0</v>
      </c>
      <c r="K987" t="n">
        <v>0</v>
      </c>
      <c r="L987" t="n">
        <v>0</v>
      </c>
      <c r="M987" t="n">
        <v>0</v>
      </c>
      <c r="N987" t="n">
        <v>0</v>
      </c>
      <c r="O987" t="n">
        <v>0</v>
      </c>
      <c r="P987" t="n">
        <v>0</v>
      </c>
      <c r="Q987" t="n">
        <v>0</v>
      </c>
      <c r="R987" s="2" t="inlineStr"/>
    </row>
    <row r="988" ht="15" customHeight="1">
      <c r="A988" t="inlineStr">
        <is>
          <t>A 16303-2025</t>
        </is>
      </c>
      <c r="B988" s="1" t="n">
        <v>45751.3462037037</v>
      </c>
      <c r="C988" s="1" t="n">
        <v>45967</v>
      </c>
      <c r="D988" t="inlineStr">
        <is>
          <t>VÄSTERNORRLANDS LÄN</t>
        </is>
      </c>
      <c r="E988" t="inlineStr">
        <is>
          <t>ÅNGE</t>
        </is>
      </c>
      <c r="F988" t="inlineStr">
        <is>
          <t>SCA</t>
        </is>
      </c>
      <c r="G988" t="n">
        <v>0.3</v>
      </c>
      <c r="H988" t="n">
        <v>0</v>
      </c>
      <c r="I988" t="n">
        <v>0</v>
      </c>
      <c r="J988" t="n">
        <v>0</v>
      </c>
      <c r="K988" t="n">
        <v>0</v>
      </c>
      <c r="L988" t="n">
        <v>0</v>
      </c>
      <c r="M988" t="n">
        <v>0</v>
      </c>
      <c r="N988" t="n">
        <v>0</v>
      </c>
      <c r="O988" t="n">
        <v>0</v>
      </c>
      <c r="P988" t="n">
        <v>0</v>
      </c>
      <c r="Q988" t="n">
        <v>0</v>
      </c>
      <c r="R988" s="2" t="inlineStr"/>
    </row>
    <row r="989" ht="15" customHeight="1">
      <c r="A989" t="inlineStr">
        <is>
          <t>A 37051-2021</t>
        </is>
      </c>
      <c r="B989" s="1" t="n">
        <v>44393</v>
      </c>
      <c r="C989" s="1" t="n">
        <v>45967</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51857-2025</t>
        </is>
      </c>
      <c r="B990" s="1" t="n">
        <v>45952.36506944444</v>
      </c>
      <c r="C990" s="1" t="n">
        <v>45967</v>
      </c>
      <c r="D990" t="inlineStr">
        <is>
          <t>VÄSTERNORRLANDS LÄN</t>
        </is>
      </c>
      <c r="E990" t="inlineStr">
        <is>
          <t>ÅNGE</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43252-2025</t>
        </is>
      </c>
      <c r="B991" s="1" t="n">
        <v>45910.55292824074</v>
      </c>
      <c r="C991" s="1" t="n">
        <v>45967</v>
      </c>
      <c r="D991" t="inlineStr">
        <is>
          <t>VÄSTERNORRLANDS LÄN</t>
        </is>
      </c>
      <c r="E991" t="inlineStr">
        <is>
          <t>ÅNGE</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24458-2025</t>
        </is>
      </c>
      <c r="B992" s="1" t="n">
        <v>45798.34476851852</v>
      </c>
      <c r="C992" s="1" t="n">
        <v>45967</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56908-2021</t>
        </is>
      </c>
      <c r="B993" s="1" t="n">
        <v>44481.93844907408</v>
      </c>
      <c r="C993" s="1" t="n">
        <v>45967</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732-2023</t>
        </is>
      </c>
      <c r="B994" s="1" t="n">
        <v>44931.29981481482</v>
      </c>
      <c r="C994" s="1" t="n">
        <v>45967</v>
      </c>
      <c r="D994" t="inlineStr">
        <is>
          <t>VÄSTERNORRLANDS LÄN</t>
        </is>
      </c>
      <c r="E994" t="inlineStr">
        <is>
          <t>ÅNGE</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5520-2022</t>
        </is>
      </c>
      <c r="B995" s="1" t="n">
        <v>44595</v>
      </c>
      <c r="C995" s="1" t="n">
        <v>45967</v>
      </c>
      <c r="D995" t="inlineStr">
        <is>
          <t>VÄSTERNORRLANDS LÄN</t>
        </is>
      </c>
      <c r="E995" t="inlineStr">
        <is>
          <t>ÅNGE</t>
        </is>
      </c>
      <c r="G995" t="n">
        <v>4.9</v>
      </c>
      <c r="H995" t="n">
        <v>0</v>
      </c>
      <c r="I995" t="n">
        <v>0</v>
      </c>
      <c r="J995" t="n">
        <v>0</v>
      </c>
      <c r="K995" t="n">
        <v>0</v>
      </c>
      <c r="L995" t="n">
        <v>0</v>
      </c>
      <c r="M995" t="n">
        <v>0</v>
      </c>
      <c r="N995" t="n">
        <v>0</v>
      </c>
      <c r="O995" t="n">
        <v>0</v>
      </c>
      <c r="P995" t="n">
        <v>0</v>
      </c>
      <c r="Q995" t="n">
        <v>0</v>
      </c>
      <c r="R995" s="2" t="inlineStr"/>
    </row>
    <row r="996" ht="15" customHeight="1">
      <c r="A996" t="inlineStr">
        <is>
          <t>A 29390-2021</t>
        </is>
      </c>
      <c r="B996" s="1" t="n">
        <v>44361</v>
      </c>
      <c r="C996" s="1" t="n">
        <v>45967</v>
      </c>
      <c r="D996" t="inlineStr">
        <is>
          <t>VÄSTERNORRLANDS LÄN</t>
        </is>
      </c>
      <c r="E996" t="inlineStr">
        <is>
          <t>ÅNGE</t>
        </is>
      </c>
      <c r="F996" t="inlineStr">
        <is>
          <t>Holmen skog AB</t>
        </is>
      </c>
      <c r="G996" t="n">
        <v>1.7</v>
      </c>
      <c r="H996" t="n">
        <v>0</v>
      </c>
      <c r="I996" t="n">
        <v>0</v>
      </c>
      <c r="J996" t="n">
        <v>0</v>
      </c>
      <c r="K996" t="n">
        <v>0</v>
      </c>
      <c r="L996" t="n">
        <v>0</v>
      </c>
      <c r="M996" t="n">
        <v>0</v>
      </c>
      <c r="N996" t="n">
        <v>0</v>
      </c>
      <c r="O996" t="n">
        <v>0</v>
      </c>
      <c r="P996" t="n">
        <v>0</v>
      </c>
      <c r="Q996" t="n">
        <v>0</v>
      </c>
      <c r="R996" s="2" t="inlineStr"/>
    </row>
    <row r="997" ht="15" customHeight="1">
      <c r="A997" t="inlineStr">
        <is>
          <t>A 43091-2025</t>
        </is>
      </c>
      <c r="B997" s="1" t="n">
        <v>45909.62511574074</v>
      </c>
      <c r="C997" s="1" t="n">
        <v>45967</v>
      </c>
      <c r="D997" t="inlineStr">
        <is>
          <t>VÄSTERNORRLANDS LÄN</t>
        </is>
      </c>
      <c r="E997" t="inlineStr">
        <is>
          <t>ÅNGE</t>
        </is>
      </c>
      <c r="F997" t="inlineStr">
        <is>
          <t>Kyrkan</t>
        </is>
      </c>
      <c r="G997" t="n">
        <v>0.5</v>
      </c>
      <c r="H997" t="n">
        <v>0</v>
      </c>
      <c r="I997" t="n">
        <v>0</v>
      </c>
      <c r="J997" t="n">
        <v>0</v>
      </c>
      <c r="K997" t="n">
        <v>0</v>
      </c>
      <c r="L997" t="n">
        <v>0</v>
      </c>
      <c r="M997" t="n">
        <v>0</v>
      </c>
      <c r="N997" t="n">
        <v>0</v>
      </c>
      <c r="O997" t="n">
        <v>0</v>
      </c>
      <c r="P997" t="n">
        <v>0</v>
      </c>
      <c r="Q997" t="n">
        <v>0</v>
      </c>
      <c r="R997" s="2" t="inlineStr"/>
    </row>
    <row r="998" ht="15" customHeight="1">
      <c r="A998" t="inlineStr">
        <is>
          <t>A 36786-2024</t>
        </is>
      </c>
      <c r="B998" s="1" t="n">
        <v>45538</v>
      </c>
      <c r="C998" s="1" t="n">
        <v>45967</v>
      </c>
      <c r="D998" t="inlineStr">
        <is>
          <t>VÄSTERNORRLANDS LÄN</t>
        </is>
      </c>
      <c r="E998" t="inlineStr">
        <is>
          <t>ÅNGE</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30054-2024</t>
        </is>
      </c>
      <c r="B999" s="1" t="n">
        <v>45488.94758101852</v>
      </c>
      <c r="C999" s="1" t="n">
        <v>45967</v>
      </c>
      <c r="D999" t="inlineStr">
        <is>
          <t>VÄSTERNORRLANDS LÄN</t>
        </is>
      </c>
      <c r="E999" t="inlineStr">
        <is>
          <t>ÅNGE</t>
        </is>
      </c>
      <c r="F999" t="inlineStr">
        <is>
          <t>SCA</t>
        </is>
      </c>
      <c r="G999" t="n">
        <v>11.7</v>
      </c>
      <c r="H999" t="n">
        <v>0</v>
      </c>
      <c r="I999" t="n">
        <v>0</v>
      </c>
      <c r="J999" t="n">
        <v>0</v>
      </c>
      <c r="K999" t="n">
        <v>0</v>
      </c>
      <c r="L999" t="n">
        <v>0</v>
      </c>
      <c r="M999" t="n">
        <v>0</v>
      </c>
      <c r="N999" t="n">
        <v>0</v>
      </c>
      <c r="O999" t="n">
        <v>0</v>
      </c>
      <c r="P999" t="n">
        <v>0</v>
      </c>
      <c r="Q999" t="n">
        <v>0</v>
      </c>
      <c r="R999" s="2" t="inlineStr"/>
    </row>
    <row r="1000" ht="15" customHeight="1">
      <c r="A1000" t="inlineStr">
        <is>
          <t>A 53663-2022</t>
        </is>
      </c>
      <c r="B1000" s="1" t="n">
        <v>44879</v>
      </c>
      <c r="C1000" s="1" t="n">
        <v>45967</v>
      </c>
      <c r="D1000" t="inlineStr">
        <is>
          <t>VÄSTERNORRLANDS LÄN</t>
        </is>
      </c>
      <c r="E1000" t="inlineStr">
        <is>
          <t>ÅNGE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52121-2025</t>
        </is>
      </c>
      <c r="B1001" s="1" t="n">
        <v>45952.71921296296</v>
      </c>
      <c r="C1001" s="1" t="n">
        <v>45967</v>
      </c>
      <c r="D1001" t="inlineStr">
        <is>
          <t>VÄSTERNORRLANDS LÄN</t>
        </is>
      </c>
      <c r="E1001" t="inlineStr">
        <is>
          <t>ÅNGE</t>
        </is>
      </c>
      <c r="F1001" t="inlineStr">
        <is>
          <t>SCA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49711-2024</t>
        </is>
      </c>
      <c r="B1002" s="1" t="n">
        <v>45596.69891203703</v>
      </c>
      <c r="C1002" s="1" t="n">
        <v>45967</v>
      </c>
      <c r="D1002" t="inlineStr">
        <is>
          <t>VÄSTERNORRLANDS LÄN</t>
        </is>
      </c>
      <c r="E1002" t="inlineStr">
        <is>
          <t>ÅNGE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24357-2025</t>
        </is>
      </c>
      <c r="B1003" s="1" t="n">
        <v>45797.59467592592</v>
      </c>
      <c r="C1003" s="1" t="n">
        <v>45967</v>
      </c>
      <c r="D1003" t="inlineStr">
        <is>
          <t>VÄSTERNORRLANDS LÄN</t>
        </is>
      </c>
      <c r="E1003" t="inlineStr">
        <is>
          <t>ÅNGE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24207-2025</t>
        </is>
      </c>
      <c r="B1004" s="1" t="n">
        <v>45797.34439814815</v>
      </c>
      <c r="C1004" s="1" t="n">
        <v>45967</v>
      </c>
      <c r="D1004" t="inlineStr">
        <is>
          <t>VÄSTERNORRLANDS LÄN</t>
        </is>
      </c>
      <c r="E1004" t="inlineStr">
        <is>
          <t>ÅNGE</t>
        </is>
      </c>
      <c r="F1004" t="inlineStr">
        <is>
          <t>SCA</t>
        </is>
      </c>
      <c r="G1004" t="n">
        <v>10.3</v>
      </c>
      <c r="H1004" t="n">
        <v>0</v>
      </c>
      <c r="I1004" t="n">
        <v>0</v>
      </c>
      <c r="J1004" t="n">
        <v>0</v>
      </c>
      <c r="K1004" t="n">
        <v>0</v>
      </c>
      <c r="L1004" t="n">
        <v>0</v>
      </c>
      <c r="M1004" t="n">
        <v>0</v>
      </c>
      <c r="N1004" t="n">
        <v>0</v>
      </c>
      <c r="O1004" t="n">
        <v>0</v>
      </c>
      <c r="P1004" t="n">
        <v>0</v>
      </c>
      <c r="Q1004" t="n">
        <v>0</v>
      </c>
      <c r="R1004" s="2" t="inlineStr"/>
    </row>
    <row r="1005" ht="15" customHeight="1">
      <c r="A1005" t="inlineStr">
        <is>
          <t>A 50235-2021</t>
        </is>
      </c>
      <c r="B1005" s="1" t="n">
        <v>44457</v>
      </c>
      <c r="C1005" s="1" t="n">
        <v>45967</v>
      </c>
      <c r="D1005" t="inlineStr">
        <is>
          <t>VÄSTERNORRLANDS LÄN</t>
        </is>
      </c>
      <c r="E1005" t="inlineStr">
        <is>
          <t>ÅNGE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24293-2023</t>
        </is>
      </c>
      <c r="B1006" s="1" t="n">
        <v>45079.92756944444</v>
      </c>
      <c r="C1006" s="1" t="n">
        <v>45967</v>
      </c>
      <c r="D1006" t="inlineStr">
        <is>
          <t>VÄSTERNORRLANDS LÄN</t>
        </is>
      </c>
      <c r="E1006" t="inlineStr">
        <is>
          <t>ÅNGE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43077-2025</t>
        </is>
      </c>
      <c r="B1007" s="1" t="n">
        <v>45909.6046412037</v>
      </c>
      <c r="C1007" s="1" t="n">
        <v>45967</v>
      </c>
      <c r="D1007" t="inlineStr">
        <is>
          <t>VÄSTERNORRLANDS LÄN</t>
        </is>
      </c>
      <c r="E1007" t="inlineStr">
        <is>
          <t>ÅNGE</t>
        </is>
      </c>
      <c r="F1007" t="inlineStr">
        <is>
          <t>Kyrkan</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24292-2025</t>
        </is>
      </c>
      <c r="B1008" s="1" t="n">
        <v>45797.46657407407</v>
      </c>
      <c r="C1008" s="1" t="n">
        <v>45967</v>
      </c>
      <c r="D1008" t="inlineStr">
        <is>
          <t>VÄSTERNORRLANDS LÄN</t>
        </is>
      </c>
      <c r="E1008" t="inlineStr">
        <is>
          <t>ÅNGE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25779-2023</t>
        </is>
      </c>
      <c r="B1009" s="1" t="n">
        <v>45090.47439814815</v>
      </c>
      <c r="C1009" s="1" t="n">
        <v>45967</v>
      </c>
      <c r="D1009" t="inlineStr">
        <is>
          <t>VÄSTERNORRLANDS LÄN</t>
        </is>
      </c>
      <c r="E1009" t="inlineStr">
        <is>
          <t>ÅNGE</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9211-2023</t>
        </is>
      </c>
      <c r="B1010" s="1" t="n">
        <v>44980</v>
      </c>
      <c r="C1010" s="1" t="n">
        <v>45967</v>
      </c>
      <c r="D1010" t="inlineStr">
        <is>
          <t>VÄSTERNORRLANDS LÄN</t>
        </is>
      </c>
      <c r="E1010" t="inlineStr">
        <is>
          <t>ÅNGE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47950-2024</t>
        </is>
      </c>
      <c r="B1011" s="1" t="n">
        <v>45589.36511574074</v>
      </c>
      <c r="C1011" s="1" t="n">
        <v>45967</v>
      </c>
      <c r="D1011" t="inlineStr">
        <is>
          <t>VÄSTERNORRLANDS LÄN</t>
        </is>
      </c>
      <c r="E1011" t="inlineStr">
        <is>
          <t>ÅNGE</t>
        </is>
      </c>
      <c r="F1011" t="inlineStr">
        <is>
          <t>SCA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8627-2023</t>
        </is>
      </c>
      <c r="B1012" s="1" t="n">
        <v>44977</v>
      </c>
      <c r="C1012" s="1" t="n">
        <v>45967</v>
      </c>
      <c r="D1012" t="inlineStr">
        <is>
          <t>VÄSTERNORRLANDS LÄN</t>
        </is>
      </c>
      <c r="E1012" t="inlineStr">
        <is>
          <t>ÅNGE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11299-2023</t>
        </is>
      </c>
      <c r="B1013" s="1" t="n">
        <v>44993.01074074074</v>
      </c>
      <c r="C1013" s="1" t="n">
        <v>45967</v>
      </c>
      <c r="D1013" t="inlineStr">
        <is>
          <t>VÄSTERNORRLANDS LÄN</t>
        </is>
      </c>
      <c r="E1013" t="inlineStr">
        <is>
          <t>ÅNGE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11309-2023</t>
        </is>
      </c>
      <c r="B1014" s="1" t="n">
        <v>44993.0118287037</v>
      </c>
      <c r="C1014" s="1" t="n">
        <v>45967</v>
      </c>
      <c r="D1014" t="inlineStr">
        <is>
          <t>VÄSTERNORRLANDS LÄN</t>
        </is>
      </c>
      <c r="E1014" t="inlineStr">
        <is>
          <t>ÅNGE</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4142-2024</t>
        </is>
      </c>
      <c r="B1015" s="1" t="n">
        <v>45323</v>
      </c>
      <c r="C1015" s="1" t="n">
        <v>45967</v>
      </c>
      <c r="D1015" t="inlineStr">
        <is>
          <t>VÄSTERNORRLANDS LÄN</t>
        </is>
      </c>
      <c r="E1015" t="inlineStr">
        <is>
          <t>ÅNGE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27853-2024</t>
        </is>
      </c>
      <c r="B1016" s="1" t="n">
        <v>45475</v>
      </c>
      <c r="C1016" s="1" t="n">
        <v>45967</v>
      </c>
      <c r="D1016" t="inlineStr">
        <is>
          <t>VÄSTERNORRLANDS LÄN</t>
        </is>
      </c>
      <c r="E1016" t="inlineStr">
        <is>
          <t>ÅNGE</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27260-2023</t>
        </is>
      </c>
      <c r="B1017" s="1" t="n">
        <v>45092</v>
      </c>
      <c r="C1017" s="1" t="n">
        <v>45967</v>
      </c>
      <c r="D1017" t="inlineStr">
        <is>
          <t>VÄSTERNORRLANDS LÄN</t>
        </is>
      </c>
      <c r="E1017" t="inlineStr">
        <is>
          <t>ÅNGE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62834-2021</t>
        </is>
      </c>
      <c r="B1018" s="1" t="n">
        <v>44503</v>
      </c>
      <c r="C1018" s="1" t="n">
        <v>45967</v>
      </c>
      <c r="D1018" t="inlineStr">
        <is>
          <t>VÄSTERNORRLANDS LÄN</t>
        </is>
      </c>
      <c r="E1018" t="inlineStr">
        <is>
          <t>ÅNGE</t>
        </is>
      </c>
      <c r="F1018" t="inlineStr">
        <is>
          <t>Övriga statliga verk och myndigheter</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10557-2023</t>
        </is>
      </c>
      <c r="B1019" s="1" t="n">
        <v>44987</v>
      </c>
      <c r="C1019" s="1" t="n">
        <v>45967</v>
      </c>
      <c r="D1019" t="inlineStr">
        <is>
          <t>VÄSTERNORRLANDS LÄN</t>
        </is>
      </c>
      <c r="E1019" t="inlineStr">
        <is>
          <t>ÅNGE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16934-2025</t>
        </is>
      </c>
      <c r="B1020" s="1" t="n">
        <v>45755.40671296296</v>
      </c>
      <c r="C1020" s="1" t="n">
        <v>45967</v>
      </c>
      <c r="D1020" t="inlineStr">
        <is>
          <t>VÄSTERNORRLANDS LÄN</t>
        </is>
      </c>
      <c r="E1020" t="inlineStr">
        <is>
          <t>ÅNGE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10781-2024</t>
        </is>
      </c>
      <c r="B1021" s="1" t="n">
        <v>45369.59635416666</v>
      </c>
      <c r="C1021" s="1" t="n">
        <v>45967</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56434-2021</t>
        </is>
      </c>
      <c r="B1022" s="1" t="n">
        <v>44477</v>
      </c>
      <c r="C1022" s="1" t="n">
        <v>45967</v>
      </c>
      <c r="D1022" t="inlineStr">
        <is>
          <t>VÄSTERNORRLANDS LÄN</t>
        </is>
      </c>
      <c r="E1022" t="inlineStr">
        <is>
          <t>ÅNGE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8418-2023</t>
        </is>
      </c>
      <c r="B1023" s="1" t="n">
        <v>44971</v>
      </c>
      <c r="C1023" s="1" t="n">
        <v>45967</v>
      </c>
      <c r="D1023" t="inlineStr">
        <is>
          <t>VÄSTERNORRLANDS LÄN</t>
        </is>
      </c>
      <c r="E1023" t="inlineStr">
        <is>
          <t>ÅNGE</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4006-2022</t>
        </is>
      </c>
      <c r="B1024" s="1" t="n">
        <v>44587.92019675926</v>
      </c>
      <c r="C1024" s="1" t="n">
        <v>45967</v>
      </c>
      <c r="D1024" t="inlineStr">
        <is>
          <t>VÄSTERNORRLANDS LÄN</t>
        </is>
      </c>
      <c r="E1024" t="inlineStr">
        <is>
          <t>ÅNGE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54946-2021</t>
        </is>
      </c>
      <c r="B1025" s="1" t="n">
        <v>44474.46466435185</v>
      </c>
      <c r="C1025" s="1" t="n">
        <v>45967</v>
      </c>
      <c r="D1025" t="inlineStr">
        <is>
          <t>VÄSTERNORRLANDS LÄN</t>
        </is>
      </c>
      <c r="E1025" t="inlineStr">
        <is>
          <t>ÅNGE</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57109-2023</t>
        </is>
      </c>
      <c r="B1026" s="1" t="n">
        <v>45239</v>
      </c>
      <c r="C1026" s="1" t="n">
        <v>45967</v>
      </c>
      <c r="D1026" t="inlineStr">
        <is>
          <t>VÄSTERNORRLANDS LÄN</t>
        </is>
      </c>
      <c r="E1026" t="inlineStr">
        <is>
          <t>ÅNGE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24627-2025</t>
        </is>
      </c>
      <c r="B1027" s="1" t="n">
        <v>45798.59471064815</v>
      </c>
      <c r="C1027" s="1" t="n">
        <v>45967</v>
      </c>
      <c r="D1027" t="inlineStr">
        <is>
          <t>VÄSTERNORRLANDS LÄN</t>
        </is>
      </c>
      <c r="E1027" t="inlineStr">
        <is>
          <t>ÅNGE</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24209-2025</t>
        </is>
      </c>
      <c r="B1028" s="1" t="n">
        <v>45797.3446875</v>
      </c>
      <c r="C1028" s="1" t="n">
        <v>45967</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24232-2025</t>
        </is>
      </c>
      <c r="B1029" s="1" t="n">
        <v>45797.37846064815</v>
      </c>
      <c r="C1029" s="1" t="n">
        <v>45967</v>
      </c>
      <c r="D1029" t="inlineStr">
        <is>
          <t>VÄSTERNORRLANDS LÄN</t>
        </is>
      </c>
      <c r="E1029" t="inlineStr">
        <is>
          <t>ÅNGE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42346-2023</t>
        </is>
      </c>
      <c r="B1030" s="1" t="n">
        <v>45180</v>
      </c>
      <c r="C1030" s="1" t="n">
        <v>45967</v>
      </c>
      <c r="D1030" t="inlineStr">
        <is>
          <t>VÄSTERNORRLANDS LÄN</t>
        </is>
      </c>
      <c r="E1030" t="inlineStr">
        <is>
          <t>ÅNGE</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16563-2025</t>
        </is>
      </c>
      <c r="B1031" s="1" t="n">
        <v>45752.34430555555</v>
      </c>
      <c r="C1031" s="1" t="n">
        <v>45967</v>
      </c>
      <c r="D1031" t="inlineStr">
        <is>
          <t>VÄSTERNORRLANDS LÄN</t>
        </is>
      </c>
      <c r="E1031" t="inlineStr">
        <is>
          <t>ÅNGE</t>
        </is>
      </c>
      <c r="F1031" t="inlineStr">
        <is>
          <t>SCA</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43385-2025</t>
        </is>
      </c>
      <c r="B1032" s="1" t="n">
        <v>45911.36508101852</v>
      </c>
      <c r="C1032" s="1" t="n">
        <v>45967</v>
      </c>
      <c r="D1032" t="inlineStr">
        <is>
          <t>VÄSTERNORRLANDS LÄN</t>
        </is>
      </c>
      <c r="E1032" t="inlineStr">
        <is>
          <t>ÅNGE</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43707-2025</t>
        </is>
      </c>
      <c r="B1033" s="1" t="n">
        <v>45912.40668981482</v>
      </c>
      <c r="C1033" s="1" t="n">
        <v>45967</v>
      </c>
      <c r="D1033" t="inlineStr">
        <is>
          <t>VÄSTERNORRLANDS LÄN</t>
        </is>
      </c>
      <c r="E1033" t="inlineStr">
        <is>
          <t>ÅNGE</t>
        </is>
      </c>
      <c r="F1033" t="inlineStr">
        <is>
          <t>SCA</t>
        </is>
      </c>
      <c r="G1033" t="n">
        <v>12.5</v>
      </c>
      <c r="H1033" t="n">
        <v>0</v>
      </c>
      <c r="I1033" t="n">
        <v>0</v>
      </c>
      <c r="J1033" t="n">
        <v>0</v>
      </c>
      <c r="K1033" t="n">
        <v>0</v>
      </c>
      <c r="L1033" t="n">
        <v>0</v>
      </c>
      <c r="M1033" t="n">
        <v>0</v>
      </c>
      <c r="N1033" t="n">
        <v>0</v>
      </c>
      <c r="O1033" t="n">
        <v>0</v>
      </c>
      <c r="P1033" t="n">
        <v>0</v>
      </c>
      <c r="Q1033" t="n">
        <v>0</v>
      </c>
      <c r="R1033" s="2" t="inlineStr"/>
      <c r="U1033">
        <f>HYPERLINK("https://klasma.github.io/Logging_2260/knärot/A 43707-2025 karta knärot.png", "A 43707-2025")</f>
        <v/>
      </c>
      <c r="V1033">
        <f>HYPERLINK("https://klasma.github.io/Logging_2260/klagomål/A 43707-2025 FSC-klagomål.docx", "A 43707-2025")</f>
        <v/>
      </c>
      <c r="W1033">
        <f>HYPERLINK("https://klasma.github.io/Logging_2260/klagomålsmail/A 43707-2025 FSC-klagomål mail.docx", "A 43707-2025")</f>
        <v/>
      </c>
      <c r="X1033">
        <f>HYPERLINK("https://klasma.github.io/Logging_2260/tillsyn/A 43707-2025 tillsynsbegäran.docx", "A 43707-2025")</f>
        <v/>
      </c>
      <c r="Y1033">
        <f>HYPERLINK("https://klasma.github.io/Logging_2260/tillsynsmail/A 43707-2025 tillsynsbegäran mail.docx", "A 43707-2025")</f>
        <v/>
      </c>
    </row>
    <row r="1034" ht="15" customHeight="1">
      <c r="A1034" t="inlineStr">
        <is>
          <t>A 15368-2024</t>
        </is>
      </c>
      <c r="B1034" s="1" t="n">
        <v>45400.92284722222</v>
      </c>
      <c r="C1034" s="1" t="n">
        <v>45967</v>
      </c>
      <c r="D1034" t="inlineStr">
        <is>
          <t>VÄSTERNORRLANDS LÄN</t>
        </is>
      </c>
      <c r="E1034" t="inlineStr">
        <is>
          <t>ÅNGE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43415-2025</t>
        </is>
      </c>
      <c r="B1035" s="1" t="n">
        <v>45911.40662037037</v>
      </c>
      <c r="C1035" s="1" t="n">
        <v>45967</v>
      </c>
      <c r="D1035" t="inlineStr">
        <is>
          <t>VÄSTERNORRLANDS LÄN</t>
        </is>
      </c>
      <c r="E1035" t="inlineStr">
        <is>
          <t>ÅNGE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45967</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25340-2025</t>
        </is>
      </c>
      <c r="B1037" s="1" t="n">
        <v>45800.60074074074</v>
      </c>
      <c r="C1037" s="1" t="n">
        <v>45967</v>
      </c>
      <c r="D1037" t="inlineStr">
        <is>
          <t>VÄSTERNORRLANDS LÄN</t>
        </is>
      </c>
      <c r="E1037" t="inlineStr">
        <is>
          <t>ÅNGE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25273-2025</t>
        </is>
      </c>
      <c r="B1038" s="1" t="n">
        <v>45800.55253472222</v>
      </c>
      <c r="C1038" s="1" t="n">
        <v>45967</v>
      </c>
      <c r="D1038" t="inlineStr">
        <is>
          <t>VÄSTERNORRLANDS LÄN</t>
        </is>
      </c>
      <c r="E1038" t="inlineStr">
        <is>
          <t>ÅNGE</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48725-2024</t>
        </is>
      </c>
      <c r="B1039" s="1" t="n">
        <v>45593.55793981482</v>
      </c>
      <c r="C1039" s="1" t="n">
        <v>45967</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52283-2025</t>
        </is>
      </c>
      <c r="B1040" s="1" t="n">
        <v>45953.57346064815</v>
      </c>
      <c r="C1040" s="1" t="n">
        <v>45967</v>
      </c>
      <c r="D1040" t="inlineStr">
        <is>
          <t>VÄSTERNORRLANDS LÄN</t>
        </is>
      </c>
      <c r="E1040" t="inlineStr">
        <is>
          <t>ÅNGE</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52335-2025</t>
        </is>
      </c>
      <c r="B1041" s="1" t="n">
        <v>45953.68591435185</v>
      </c>
      <c r="C1041" s="1" t="n">
        <v>45967</v>
      </c>
      <c r="D1041" t="inlineStr">
        <is>
          <t>VÄSTERNORRLANDS LÄN</t>
        </is>
      </c>
      <c r="E1041" t="inlineStr">
        <is>
          <t>ÅNGE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25352-2025</t>
        </is>
      </c>
      <c r="B1042" s="1" t="n">
        <v>45800.61552083334</v>
      </c>
      <c r="C1042" s="1" t="n">
        <v>45967</v>
      </c>
      <c r="D1042" t="inlineStr">
        <is>
          <t>VÄSTERNORRLANDS LÄN</t>
        </is>
      </c>
      <c r="E1042" t="inlineStr">
        <is>
          <t>ÅNGE</t>
        </is>
      </c>
      <c r="F1042" t="inlineStr">
        <is>
          <t>SCA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52306-2025</t>
        </is>
      </c>
      <c r="B1043" s="1" t="n">
        <v>45953.63600694444</v>
      </c>
      <c r="C1043" s="1" t="n">
        <v>45967</v>
      </c>
      <c r="D1043" t="inlineStr">
        <is>
          <t>VÄSTERNORRLANDS LÄN</t>
        </is>
      </c>
      <c r="E1043" t="inlineStr">
        <is>
          <t>ÅNGE</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52685-2024</t>
        </is>
      </c>
      <c r="B1044" s="1" t="n">
        <v>45610</v>
      </c>
      <c r="C1044" s="1" t="n">
        <v>45967</v>
      </c>
      <c r="D1044" t="inlineStr">
        <is>
          <t>VÄSTERNORRLANDS LÄN</t>
        </is>
      </c>
      <c r="E1044" t="inlineStr">
        <is>
          <t>ÅNGE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52411-2025</t>
        </is>
      </c>
      <c r="B1045" s="1" t="n">
        <v>45954.36518518518</v>
      </c>
      <c r="C1045" s="1" t="n">
        <v>45967</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55664-2023</t>
        </is>
      </c>
      <c r="B1046" s="1" t="n">
        <v>45238.96748842593</v>
      </c>
      <c r="C1046" s="1" t="n">
        <v>45967</v>
      </c>
      <c r="D1046" t="inlineStr">
        <is>
          <t>VÄSTERNORRLANDS LÄN</t>
        </is>
      </c>
      <c r="E1046" t="inlineStr">
        <is>
          <t>ÅNGE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25017-2025</t>
        </is>
      </c>
      <c r="B1047" s="1" t="n">
        <v>45799.63791666667</v>
      </c>
      <c r="C1047" s="1" t="n">
        <v>45967</v>
      </c>
      <c r="D1047" t="inlineStr">
        <is>
          <t>VÄSTERNORRLANDS LÄN</t>
        </is>
      </c>
      <c r="E1047" t="inlineStr">
        <is>
          <t>ÅNGE</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48988-2021</t>
        </is>
      </c>
      <c r="B1048" s="1" t="n">
        <v>44453.43</v>
      </c>
      <c r="C1048" s="1" t="n">
        <v>45967</v>
      </c>
      <c r="D1048" t="inlineStr">
        <is>
          <t>VÄSTERNORRLANDS LÄN</t>
        </is>
      </c>
      <c r="E1048" t="inlineStr">
        <is>
          <t>ÅNGE</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1886-2024</t>
        </is>
      </c>
      <c r="B1049" s="1" t="n">
        <v>45307.96335648148</v>
      </c>
      <c r="C1049" s="1" t="n">
        <v>45967</v>
      </c>
      <c r="D1049" t="inlineStr">
        <is>
          <t>VÄSTERNORRLANDS LÄN</t>
        </is>
      </c>
      <c r="E1049" t="inlineStr">
        <is>
          <t>ÅNGE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58275-2022</t>
        </is>
      </c>
      <c r="B1050" s="1" t="n">
        <v>44901.47865740741</v>
      </c>
      <c r="C1050" s="1" t="n">
        <v>45967</v>
      </c>
      <c r="D1050" t="inlineStr">
        <is>
          <t>VÄSTERNORRLANDS LÄN</t>
        </is>
      </c>
      <c r="E1050" t="inlineStr">
        <is>
          <t>ÅNGE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44979-2023</t>
        </is>
      </c>
      <c r="B1051" s="1" t="n">
        <v>45190.95752314815</v>
      </c>
      <c r="C1051" s="1" t="n">
        <v>45967</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25241-2025</t>
        </is>
      </c>
      <c r="B1052" s="1" t="n">
        <v>45800.49053240741</v>
      </c>
      <c r="C1052" s="1" t="n">
        <v>45967</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25274-2025</t>
        </is>
      </c>
      <c r="B1053" s="1" t="n">
        <v>45800.55276620371</v>
      </c>
      <c r="C1053" s="1" t="n">
        <v>45967</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17923-2025</t>
        </is>
      </c>
      <c r="B1054" s="1" t="n">
        <v>45759.34415509259</v>
      </c>
      <c r="C1054" s="1" t="n">
        <v>45967</v>
      </c>
      <c r="D1054" t="inlineStr">
        <is>
          <t>VÄSTERNORRLANDS LÄN</t>
        </is>
      </c>
      <c r="E1054" t="inlineStr">
        <is>
          <t>ÅNGE</t>
        </is>
      </c>
      <c r="F1054" t="inlineStr">
        <is>
          <t>SCA</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43389-2025</t>
        </is>
      </c>
      <c r="B1055" s="1" t="n">
        <v>45911.36560185185</v>
      </c>
      <c r="C1055" s="1" t="n">
        <v>45967</v>
      </c>
      <c r="D1055" t="inlineStr">
        <is>
          <t>VÄSTERNORRLANDS LÄN</t>
        </is>
      </c>
      <c r="E1055" t="inlineStr">
        <is>
          <t>ÅNGE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43546-2025</t>
        </is>
      </c>
      <c r="B1056" s="1" t="n">
        <v>45911.6153125</v>
      </c>
      <c r="C1056" s="1" t="n">
        <v>45967</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25332-2025</t>
        </is>
      </c>
      <c r="B1057" s="1" t="n">
        <v>45800.59418981482</v>
      </c>
      <c r="C1057" s="1" t="n">
        <v>45967</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24852-2025</t>
        </is>
      </c>
      <c r="B1058" s="1" t="n">
        <v>45799.46975694445</v>
      </c>
      <c r="C1058" s="1" t="n">
        <v>45967</v>
      </c>
      <c r="D1058" t="inlineStr">
        <is>
          <t>VÄSTERNORRLANDS LÄN</t>
        </is>
      </c>
      <c r="E1058" t="inlineStr">
        <is>
          <t>ÅNGE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29063-2023</t>
        </is>
      </c>
      <c r="B1059" s="1" t="n">
        <v>45104.94068287037</v>
      </c>
      <c r="C1059" s="1" t="n">
        <v>45967</v>
      </c>
      <c r="D1059" t="inlineStr">
        <is>
          <t>VÄSTERNORRLANDS LÄN</t>
        </is>
      </c>
      <c r="E1059" t="inlineStr">
        <is>
          <t>ÅNGE</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24847-2025</t>
        </is>
      </c>
      <c r="B1060" s="1" t="n">
        <v>45799.46907407408</v>
      </c>
      <c r="C1060" s="1" t="n">
        <v>45967</v>
      </c>
      <c r="D1060" t="inlineStr">
        <is>
          <t>VÄSTERNORRLANDS LÄN</t>
        </is>
      </c>
      <c r="E1060" t="inlineStr">
        <is>
          <t>ÅNGE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25067-2025</t>
        </is>
      </c>
      <c r="B1061" s="1" t="n">
        <v>45799.71908564815</v>
      </c>
      <c r="C1061" s="1" t="n">
        <v>45967</v>
      </c>
      <c r="D1061" t="inlineStr">
        <is>
          <t>VÄSTERNORRLANDS LÄN</t>
        </is>
      </c>
      <c r="E1061" t="inlineStr">
        <is>
          <t>ÅNGE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52392-2025</t>
        </is>
      </c>
      <c r="B1062" s="1" t="n">
        <v>45954.34424768519</v>
      </c>
      <c r="C1062" s="1" t="n">
        <v>45967</v>
      </c>
      <c r="D1062" t="inlineStr">
        <is>
          <t>VÄSTERNORRLANDS LÄN</t>
        </is>
      </c>
      <c r="E1062" t="inlineStr">
        <is>
          <t>ÅNGE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43386-2025</t>
        </is>
      </c>
      <c r="B1063" s="1" t="n">
        <v>45911.36520833334</v>
      </c>
      <c r="C1063" s="1" t="n">
        <v>45967</v>
      </c>
      <c r="D1063" t="inlineStr">
        <is>
          <t>VÄSTERNORRLANDS LÄN</t>
        </is>
      </c>
      <c r="E1063" t="inlineStr">
        <is>
          <t>ÅNGE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51609-2023</t>
        </is>
      </c>
      <c r="B1064" s="1" t="n">
        <v>45215</v>
      </c>
      <c r="C1064" s="1" t="n">
        <v>45967</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53970-2021</t>
        </is>
      </c>
      <c r="B1065" s="1" t="n">
        <v>44469</v>
      </c>
      <c r="C1065" s="1" t="n">
        <v>45967</v>
      </c>
      <c r="D1065" t="inlineStr">
        <is>
          <t>VÄSTERNORRLANDS LÄN</t>
        </is>
      </c>
      <c r="E1065" t="inlineStr">
        <is>
          <t>ÅNGE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25532-2025</t>
        </is>
      </c>
      <c r="B1066" s="1" t="n">
        <v>45803.4065162037</v>
      </c>
      <c r="C1066" s="1" t="n">
        <v>45967</v>
      </c>
      <c r="D1066" t="inlineStr">
        <is>
          <t>VÄSTERNORRLANDS LÄN</t>
        </is>
      </c>
      <c r="E1066" t="inlineStr">
        <is>
          <t>ÅNGE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25810-2025</t>
        </is>
      </c>
      <c r="B1067" s="1" t="n">
        <v>45804.42083333333</v>
      </c>
      <c r="C1067" s="1" t="n">
        <v>45967</v>
      </c>
      <c r="D1067" t="inlineStr">
        <is>
          <t>VÄSTERNORRLANDS LÄN</t>
        </is>
      </c>
      <c r="E1067" t="inlineStr">
        <is>
          <t>ÅNGE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31863-2024</t>
        </is>
      </c>
      <c r="B1068" s="1" t="n">
        <v>45509.74121527778</v>
      </c>
      <c r="C1068" s="1" t="n">
        <v>45967</v>
      </c>
      <c r="D1068" t="inlineStr">
        <is>
          <t>VÄSTERNORRLANDS LÄN</t>
        </is>
      </c>
      <c r="E1068" t="inlineStr">
        <is>
          <t>ÅNGE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53651-2023</t>
        </is>
      </c>
      <c r="B1069" s="1" t="n">
        <v>45230.60815972222</v>
      </c>
      <c r="C1069" s="1" t="n">
        <v>45967</v>
      </c>
      <c r="D1069" t="inlineStr">
        <is>
          <t>VÄSTERNORRLANDS LÄN</t>
        </is>
      </c>
      <c r="E1069" t="inlineStr">
        <is>
          <t>ÅNGE</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2415-2024</t>
        </is>
      </c>
      <c r="B1070" s="1" t="n">
        <v>45310</v>
      </c>
      <c r="C1070" s="1" t="n">
        <v>45967</v>
      </c>
      <c r="D1070" t="inlineStr">
        <is>
          <t>VÄSTERNORRLANDS LÄN</t>
        </is>
      </c>
      <c r="E1070" t="inlineStr">
        <is>
          <t>ÅNGE</t>
        </is>
      </c>
      <c r="F1070" t="inlineStr">
        <is>
          <t>Kyrkan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36877-2024</t>
        </is>
      </c>
      <c r="B1071" s="1" t="n">
        <v>45538.59418981482</v>
      </c>
      <c r="C1071" s="1" t="n">
        <v>45967</v>
      </c>
      <c r="D1071" t="inlineStr">
        <is>
          <t>VÄSTERNORRLANDS LÄN</t>
        </is>
      </c>
      <c r="E1071" t="inlineStr">
        <is>
          <t>ÅNGE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25499-2025</t>
        </is>
      </c>
      <c r="B1072" s="1" t="n">
        <v>45803.344375</v>
      </c>
      <c r="C1072" s="1" t="n">
        <v>45967</v>
      </c>
      <c r="D1072" t="inlineStr">
        <is>
          <t>VÄSTERNORRLANDS LÄN</t>
        </is>
      </c>
      <c r="E1072" t="inlineStr">
        <is>
          <t>ÅNGE</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25772-2025</t>
        </is>
      </c>
      <c r="B1073" s="1" t="n">
        <v>45804.34520833333</v>
      </c>
      <c r="C1073" s="1" t="n">
        <v>45967</v>
      </c>
      <c r="D1073" t="inlineStr">
        <is>
          <t>VÄSTERNORRLANDS LÄN</t>
        </is>
      </c>
      <c r="E1073" t="inlineStr">
        <is>
          <t>ÅNGE</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6686-2024</t>
        </is>
      </c>
      <c r="B1074" s="1" t="n">
        <v>45341</v>
      </c>
      <c r="C1074" s="1" t="n">
        <v>45967</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30682-2024</t>
        </is>
      </c>
      <c r="B1075" s="1" t="n">
        <v>45495.95109953704</v>
      </c>
      <c r="C1075" s="1" t="n">
        <v>45967</v>
      </c>
      <c r="D1075" t="inlineStr">
        <is>
          <t>VÄSTERNORRLANDS LÄN</t>
        </is>
      </c>
      <c r="E1075" t="inlineStr">
        <is>
          <t>ÅNGE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51054-2024</t>
        </is>
      </c>
      <c r="B1076" s="1" t="n">
        <v>45603</v>
      </c>
      <c r="C1076" s="1" t="n">
        <v>45967</v>
      </c>
      <c r="D1076" t="inlineStr">
        <is>
          <t>VÄSTERNORRLANDS LÄN</t>
        </is>
      </c>
      <c r="E1076" t="inlineStr">
        <is>
          <t>ÅNGE</t>
        </is>
      </c>
      <c r="F1076" t="inlineStr">
        <is>
          <t>SCA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30753-2024</t>
        </is>
      </c>
      <c r="B1077" s="1" t="n">
        <v>45496</v>
      </c>
      <c r="C1077" s="1" t="n">
        <v>45967</v>
      </c>
      <c r="D1077" t="inlineStr">
        <is>
          <t>VÄSTERNORRLANDS LÄN</t>
        </is>
      </c>
      <c r="E1077" t="inlineStr">
        <is>
          <t>ÅNGE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30754-2024</t>
        </is>
      </c>
      <c r="B1078" s="1" t="n">
        <v>45496</v>
      </c>
      <c r="C1078" s="1" t="n">
        <v>45967</v>
      </c>
      <c r="D1078" t="inlineStr">
        <is>
          <t>VÄSTERNORRLANDS LÄN</t>
        </is>
      </c>
      <c r="E1078" t="inlineStr">
        <is>
          <t>ÅNGE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38960-2021</t>
        </is>
      </c>
      <c r="B1079" s="1" t="n">
        <v>44411</v>
      </c>
      <c r="C1079" s="1" t="n">
        <v>45967</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52858-2025</t>
        </is>
      </c>
      <c r="B1080" s="1" t="n">
        <v>45957.50284722223</v>
      </c>
      <c r="C1080" s="1" t="n">
        <v>45967</v>
      </c>
      <c r="D1080" t="inlineStr">
        <is>
          <t>VÄSTERNORRLANDS LÄN</t>
        </is>
      </c>
      <c r="E1080" t="inlineStr">
        <is>
          <t>ÅNGE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15863-2022</t>
        </is>
      </c>
      <c r="B1081" s="1" t="n">
        <v>44664</v>
      </c>
      <c r="C1081" s="1" t="n">
        <v>45967</v>
      </c>
      <c r="D1081" t="inlineStr">
        <is>
          <t>VÄSTERNORRLANDS LÄN</t>
        </is>
      </c>
      <c r="E1081" t="inlineStr">
        <is>
          <t>ÅNGE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35581-2024</t>
        </is>
      </c>
      <c r="B1082" s="1" t="n">
        <v>45531</v>
      </c>
      <c r="C1082" s="1" t="n">
        <v>45967</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65633-2021</t>
        </is>
      </c>
      <c r="B1083" s="1" t="n">
        <v>44516.56181712963</v>
      </c>
      <c r="C1083" s="1" t="n">
        <v>45967</v>
      </c>
      <c r="D1083" t="inlineStr">
        <is>
          <t>VÄSTERNORRLANDS LÄN</t>
        </is>
      </c>
      <c r="E1083" t="inlineStr">
        <is>
          <t>ÅNGE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26193-2025</t>
        </is>
      </c>
      <c r="B1084" s="1" t="n">
        <v>45805.48922453704</v>
      </c>
      <c r="C1084" s="1" t="n">
        <v>45967</v>
      </c>
      <c r="D1084" t="inlineStr">
        <is>
          <t>VÄSTERNORRLANDS LÄN</t>
        </is>
      </c>
      <c r="E1084" t="inlineStr">
        <is>
          <t>ÅNGE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26388-2025</t>
        </is>
      </c>
      <c r="B1085" s="1" t="n">
        <v>45806.51069444444</v>
      </c>
      <c r="C1085" s="1" t="n">
        <v>45967</v>
      </c>
      <c r="D1085" t="inlineStr">
        <is>
          <t>VÄSTERNORRLANDS LÄN</t>
        </is>
      </c>
      <c r="E1085" t="inlineStr">
        <is>
          <t>ÅNGE</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26365-2025</t>
        </is>
      </c>
      <c r="B1086" s="1" t="n">
        <v>45806.34412037037</v>
      </c>
      <c r="C1086" s="1" t="n">
        <v>45967</v>
      </c>
      <c r="D1086" t="inlineStr">
        <is>
          <t>VÄSTERNORRLANDS LÄN</t>
        </is>
      </c>
      <c r="E1086" t="inlineStr">
        <is>
          <t>ÅNGE</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41507-2024</t>
        </is>
      </c>
      <c r="B1087" s="1" t="n">
        <v>45560</v>
      </c>
      <c r="C1087" s="1" t="n">
        <v>45967</v>
      </c>
      <c r="D1087" t="inlineStr">
        <is>
          <t>VÄSTERNORRLANDS LÄN</t>
        </is>
      </c>
      <c r="E1087" t="inlineStr">
        <is>
          <t>ÅNGE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1582-2025</t>
        </is>
      </c>
      <c r="B1088" s="1" t="n">
        <v>45670</v>
      </c>
      <c r="C1088" s="1" t="n">
        <v>45967</v>
      </c>
      <c r="D1088" t="inlineStr">
        <is>
          <t>VÄSTERNORRLANDS LÄN</t>
        </is>
      </c>
      <c r="E1088" t="inlineStr">
        <is>
          <t>ÅNGE</t>
        </is>
      </c>
      <c r="G1088" t="n">
        <v>7.3</v>
      </c>
      <c r="H1088" t="n">
        <v>0</v>
      </c>
      <c r="I1088" t="n">
        <v>0</v>
      </c>
      <c r="J1088" t="n">
        <v>0</v>
      </c>
      <c r="K1088" t="n">
        <v>0</v>
      </c>
      <c r="L1088" t="n">
        <v>0</v>
      </c>
      <c r="M1088" t="n">
        <v>0</v>
      </c>
      <c r="N1088" t="n">
        <v>0</v>
      </c>
      <c r="O1088" t="n">
        <v>0</v>
      </c>
      <c r="P1088" t="n">
        <v>0</v>
      </c>
      <c r="Q1088" t="n">
        <v>0</v>
      </c>
      <c r="R1088" s="2" t="inlineStr"/>
      <c r="U1088">
        <f>HYPERLINK("https://klasma.github.io/Logging_2260/knärot/A 1582-2025 karta knärot.png", "A 1582-2025")</f>
        <v/>
      </c>
      <c r="V1088">
        <f>HYPERLINK("https://klasma.github.io/Logging_2260/klagomål/A 1582-2025 FSC-klagomål.docx", "A 1582-2025")</f>
        <v/>
      </c>
      <c r="W1088">
        <f>HYPERLINK("https://klasma.github.io/Logging_2260/klagomålsmail/A 1582-2025 FSC-klagomål mail.docx", "A 1582-2025")</f>
        <v/>
      </c>
      <c r="X1088">
        <f>HYPERLINK("https://klasma.github.io/Logging_2260/tillsyn/A 1582-2025 tillsynsbegäran.docx", "A 1582-2025")</f>
        <v/>
      </c>
      <c r="Y1088">
        <f>HYPERLINK("https://klasma.github.io/Logging_2260/tillsynsmail/A 1582-2025 tillsynsbegäran mail.docx", "A 1582-2025")</f>
        <v/>
      </c>
    </row>
    <row r="1089" ht="15" customHeight="1">
      <c r="A1089" t="inlineStr">
        <is>
          <t>A 6487-2021</t>
        </is>
      </c>
      <c r="B1089" s="1" t="n">
        <v>44235</v>
      </c>
      <c r="C1089" s="1" t="n">
        <v>45967</v>
      </c>
      <c r="D1089" t="inlineStr">
        <is>
          <t>VÄSTERNORRLANDS LÄN</t>
        </is>
      </c>
      <c r="E1089" t="inlineStr">
        <is>
          <t>ÅNGE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17749-2025</t>
        </is>
      </c>
      <c r="B1090" s="1" t="n">
        <v>45758.48380787037</v>
      </c>
      <c r="C1090" s="1" t="n">
        <v>45967</v>
      </c>
      <c r="D1090" t="inlineStr">
        <is>
          <t>VÄSTERNORRLANDS LÄN</t>
        </is>
      </c>
      <c r="E1090" t="inlineStr">
        <is>
          <t>ÅNGE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26389-2025</t>
        </is>
      </c>
      <c r="B1091" s="1" t="n">
        <v>45806.51078703703</v>
      </c>
      <c r="C1091" s="1" t="n">
        <v>45967</v>
      </c>
      <c r="D1091" t="inlineStr">
        <is>
          <t>VÄSTERNORRLANDS LÄN</t>
        </is>
      </c>
      <c r="E1091" t="inlineStr">
        <is>
          <t>ÅNGE</t>
        </is>
      </c>
      <c r="F1091" t="inlineStr">
        <is>
          <t>SCA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21262-2025</t>
        </is>
      </c>
      <c r="B1092" s="1" t="n">
        <v>45779</v>
      </c>
      <c r="C1092" s="1" t="n">
        <v>45967</v>
      </c>
      <c r="D1092" t="inlineStr">
        <is>
          <t>VÄSTERNORRLANDS LÄN</t>
        </is>
      </c>
      <c r="E1092" t="inlineStr">
        <is>
          <t>ÅNGE</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26366-2025</t>
        </is>
      </c>
      <c r="B1093" s="1" t="n">
        <v>45806.34424768519</v>
      </c>
      <c r="C1093" s="1" t="n">
        <v>45967</v>
      </c>
      <c r="D1093" t="inlineStr">
        <is>
          <t>VÄSTERNORRLANDS LÄN</t>
        </is>
      </c>
      <c r="E1093" t="inlineStr">
        <is>
          <t>ÅNGE</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42044-2024</t>
        </is>
      </c>
      <c r="B1094" s="1" t="n">
        <v>45561</v>
      </c>
      <c r="C1094" s="1" t="n">
        <v>45967</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3256-2024</t>
        </is>
      </c>
      <c r="B1095" s="1" t="n">
        <v>45316</v>
      </c>
      <c r="C1095" s="1" t="n">
        <v>45967</v>
      </c>
      <c r="D1095" t="inlineStr">
        <is>
          <t>VÄSTERNORRLANDS LÄN</t>
        </is>
      </c>
      <c r="E1095" t="inlineStr">
        <is>
          <t>ÅNGE</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54908-2021</t>
        </is>
      </c>
      <c r="B1096" s="1" t="n">
        <v>44474.39769675926</v>
      </c>
      <c r="C1096" s="1" t="n">
        <v>45967</v>
      </c>
      <c r="D1096" t="inlineStr">
        <is>
          <t>VÄSTERNORRLANDS LÄN</t>
        </is>
      </c>
      <c r="E1096" t="inlineStr">
        <is>
          <t>ÅNGE</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2451-2024</t>
        </is>
      </c>
      <c r="B1097" s="1" t="n">
        <v>45312.58627314815</v>
      </c>
      <c r="C1097" s="1" t="n">
        <v>45967</v>
      </c>
      <c r="D1097" t="inlineStr">
        <is>
          <t>VÄSTERNORRLANDS LÄN</t>
        </is>
      </c>
      <c r="E1097" t="inlineStr">
        <is>
          <t>ÅNGE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26655-2025</t>
        </is>
      </c>
      <c r="B1098" s="1" t="n">
        <v>45810.39047453704</v>
      </c>
      <c r="C1098" s="1" t="n">
        <v>45967</v>
      </c>
      <c r="D1098" t="inlineStr">
        <is>
          <t>VÄSTERNORRLANDS LÄN</t>
        </is>
      </c>
      <c r="E1098" t="inlineStr">
        <is>
          <t>ÅNGE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27951-2021</t>
        </is>
      </c>
      <c r="B1099" s="1" t="n">
        <v>44354</v>
      </c>
      <c r="C1099" s="1" t="n">
        <v>45967</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22990-2024</t>
        </is>
      </c>
      <c r="B1100" s="1" t="n">
        <v>45449.94548611111</v>
      </c>
      <c r="C1100" s="1" t="n">
        <v>45967</v>
      </c>
      <c r="D1100" t="inlineStr">
        <is>
          <t>VÄSTERNORRLANDS LÄN</t>
        </is>
      </c>
      <c r="E1100" t="inlineStr">
        <is>
          <t>ÅNGE</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14751-2025</t>
        </is>
      </c>
      <c r="B1101" s="1" t="n">
        <v>45742.65863425926</v>
      </c>
      <c r="C1101" s="1" t="n">
        <v>45967</v>
      </c>
      <c r="D1101" t="inlineStr">
        <is>
          <t>VÄSTERNORRLANDS LÄN</t>
        </is>
      </c>
      <c r="E1101" t="inlineStr">
        <is>
          <t>ÅNGE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10339-2025</t>
        </is>
      </c>
      <c r="B1102" s="1" t="n">
        <v>45720</v>
      </c>
      <c r="C1102" s="1" t="n">
        <v>45967</v>
      </c>
      <c r="D1102" t="inlineStr">
        <is>
          <t>VÄSTERNORRLANDS LÄN</t>
        </is>
      </c>
      <c r="E1102" t="inlineStr">
        <is>
          <t>ÅNGE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25973-2022</t>
        </is>
      </c>
      <c r="B1103" s="1" t="n">
        <v>44734</v>
      </c>
      <c r="C1103" s="1" t="n">
        <v>45967</v>
      </c>
      <c r="D1103" t="inlineStr">
        <is>
          <t>VÄSTERNORRLANDS LÄN</t>
        </is>
      </c>
      <c r="E1103" t="inlineStr">
        <is>
          <t>ÅNGE</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41083-2024</t>
        </is>
      </c>
      <c r="B1104" s="1" t="n">
        <v>45559.40684027778</v>
      </c>
      <c r="C1104" s="1" t="n">
        <v>45967</v>
      </c>
      <c r="D1104" t="inlineStr">
        <is>
          <t>VÄSTERNORRLANDS LÄN</t>
        </is>
      </c>
      <c r="E1104" t="inlineStr">
        <is>
          <t>ÅNGE</t>
        </is>
      </c>
      <c r="F1104" t="inlineStr">
        <is>
          <t>SCA</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41766-2024</t>
        </is>
      </c>
      <c r="B1105" s="1" t="n">
        <v>45561.34594907407</v>
      </c>
      <c r="C1105" s="1" t="n">
        <v>45967</v>
      </c>
      <c r="D1105" t="inlineStr">
        <is>
          <t>VÄSTERNORRLANDS LÄN</t>
        </is>
      </c>
      <c r="E1105" t="inlineStr">
        <is>
          <t>ÅNGE</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18067-2025</t>
        </is>
      </c>
      <c r="B1106" s="1" t="n">
        <v>45761.49016203704</v>
      </c>
      <c r="C1106" s="1" t="n">
        <v>45967</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51024-2024</t>
        </is>
      </c>
      <c r="B1107" s="1" t="n">
        <v>45603.4141087963</v>
      </c>
      <c r="C1107" s="1" t="n">
        <v>45967</v>
      </c>
      <c r="D1107" t="inlineStr">
        <is>
          <t>VÄSTERNORRLANDS LÄN</t>
        </is>
      </c>
      <c r="E1107" t="inlineStr">
        <is>
          <t>ÅNGE</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39589-2022</t>
        </is>
      </c>
      <c r="B1108" s="1" t="n">
        <v>44818</v>
      </c>
      <c r="C1108" s="1" t="n">
        <v>45967</v>
      </c>
      <c r="D1108" t="inlineStr">
        <is>
          <t>VÄSTERNORRLANDS LÄN</t>
        </is>
      </c>
      <c r="E1108" t="inlineStr">
        <is>
          <t>ÅNGE</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1095-2023</t>
        </is>
      </c>
      <c r="B1109" s="1" t="n">
        <v>44929</v>
      </c>
      <c r="C1109" s="1" t="n">
        <v>45967</v>
      </c>
      <c r="D1109" t="inlineStr">
        <is>
          <t>VÄSTERNORRLANDS LÄN</t>
        </is>
      </c>
      <c r="E1109" t="inlineStr">
        <is>
          <t>ÅNGE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64121-2021</t>
        </is>
      </c>
      <c r="B1110" s="1" t="n">
        <v>44510.4730787037</v>
      </c>
      <c r="C1110" s="1" t="n">
        <v>45967</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42881-2024</t>
        </is>
      </c>
      <c r="B1111" s="1" t="n">
        <v>45566.70916666667</v>
      </c>
      <c r="C1111" s="1" t="n">
        <v>45967</v>
      </c>
      <c r="D1111" t="inlineStr">
        <is>
          <t>VÄSTERNORRLANDS LÄN</t>
        </is>
      </c>
      <c r="E1111" t="inlineStr">
        <is>
          <t>ÅNGE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25320-2023</t>
        </is>
      </c>
      <c r="B1112" s="1" t="n">
        <v>45086.93929398148</v>
      </c>
      <c r="C1112" s="1" t="n">
        <v>45967</v>
      </c>
      <c r="D1112" t="inlineStr">
        <is>
          <t>VÄSTERNORRLANDS LÄN</t>
        </is>
      </c>
      <c r="E1112" t="inlineStr">
        <is>
          <t>ÅNGE</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24541-2023</t>
        </is>
      </c>
      <c r="B1113" s="1" t="n">
        <v>45082.94135416667</v>
      </c>
      <c r="C1113" s="1" t="n">
        <v>45967</v>
      </c>
      <c r="D1113" t="inlineStr">
        <is>
          <t>VÄSTERNORRLANDS LÄN</t>
        </is>
      </c>
      <c r="E1113" t="inlineStr">
        <is>
          <t>ÅNGE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50651-2021</t>
        </is>
      </c>
      <c r="B1114" s="1" t="n">
        <v>44459</v>
      </c>
      <c r="C1114" s="1" t="n">
        <v>45967</v>
      </c>
      <c r="D1114" t="inlineStr">
        <is>
          <t>VÄSTERNORRLANDS LÄN</t>
        </is>
      </c>
      <c r="E1114" t="inlineStr">
        <is>
          <t>ÅNGE</t>
        </is>
      </c>
      <c r="G1114" t="n">
        <v>20.6</v>
      </c>
      <c r="H1114" t="n">
        <v>0</v>
      </c>
      <c r="I1114" t="n">
        <v>0</v>
      </c>
      <c r="J1114" t="n">
        <v>0</v>
      </c>
      <c r="K1114" t="n">
        <v>0</v>
      </c>
      <c r="L1114" t="n">
        <v>0</v>
      </c>
      <c r="M1114" t="n">
        <v>0</v>
      </c>
      <c r="N1114" t="n">
        <v>0</v>
      </c>
      <c r="O1114" t="n">
        <v>0</v>
      </c>
      <c r="P1114" t="n">
        <v>0</v>
      </c>
      <c r="Q1114" t="n">
        <v>0</v>
      </c>
      <c r="R1114" s="2" t="inlineStr"/>
    </row>
    <row r="1115" ht="15" customHeight="1">
      <c r="A1115" t="inlineStr">
        <is>
          <t>A 22752-2023</t>
        </is>
      </c>
      <c r="B1115" s="1" t="n">
        <v>45071.94104166667</v>
      </c>
      <c r="C1115" s="1" t="n">
        <v>45967</v>
      </c>
      <c r="D1115" t="inlineStr">
        <is>
          <t>VÄSTERNORRLANDS LÄN</t>
        </is>
      </c>
      <c r="E1115" t="inlineStr">
        <is>
          <t>ÅNGE</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18542-2022</t>
        </is>
      </c>
      <c r="B1116" s="1" t="n">
        <v>44686</v>
      </c>
      <c r="C1116" s="1" t="n">
        <v>45967</v>
      </c>
      <c r="D1116" t="inlineStr">
        <is>
          <t>VÄSTERNORRLANDS LÄN</t>
        </is>
      </c>
      <c r="E1116" t="inlineStr">
        <is>
          <t>ÅNGE</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60779-2024</t>
        </is>
      </c>
      <c r="B1117" s="1" t="n">
        <v>45644</v>
      </c>
      <c r="C1117" s="1" t="n">
        <v>45967</v>
      </c>
      <c r="D1117" t="inlineStr">
        <is>
          <t>VÄSTERNORRLANDS LÄN</t>
        </is>
      </c>
      <c r="E1117" t="inlineStr">
        <is>
          <t>ÅNGE</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44600-2024</t>
        </is>
      </c>
      <c r="B1118" s="1" t="n">
        <v>45574.51113425926</v>
      </c>
      <c r="C1118" s="1" t="n">
        <v>45967</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53033-2025</t>
        </is>
      </c>
      <c r="B1119" s="1" t="n">
        <v>45958.34479166667</v>
      </c>
      <c r="C1119" s="1" t="n">
        <v>45967</v>
      </c>
      <c r="D1119" t="inlineStr">
        <is>
          <t>VÄSTERNORRLANDS LÄN</t>
        </is>
      </c>
      <c r="E1119" t="inlineStr">
        <is>
          <t>ÅNGE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28428-2023</t>
        </is>
      </c>
      <c r="B1120" s="1" t="n">
        <v>45102</v>
      </c>
      <c r="C1120" s="1" t="n">
        <v>45967</v>
      </c>
      <c r="D1120" t="inlineStr">
        <is>
          <t>VÄSTERNORRLANDS LÄN</t>
        </is>
      </c>
      <c r="E1120" t="inlineStr">
        <is>
          <t>ÅNGE</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43366-2024</t>
        </is>
      </c>
      <c r="B1121" s="1" t="n">
        <v>45568</v>
      </c>
      <c r="C1121" s="1" t="n">
        <v>45967</v>
      </c>
      <c r="D1121" t="inlineStr">
        <is>
          <t>VÄSTERNORRLANDS LÄN</t>
        </is>
      </c>
      <c r="E1121" t="inlineStr">
        <is>
          <t>ÅNGE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26013-2024</t>
        </is>
      </c>
      <c r="B1122" s="1" t="n">
        <v>45467</v>
      </c>
      <c r="C1122" s="1" t="n">
        <v>45967</v>
      </c>
      <c r="D1122" t="inlineStr">
        <is>
          <t>VÄSTERNORRLANDS LÄN</t>
        </is>
      </c>
      <c r="E1122" t="inlineStr">
        <is>
          <t>ÅNGE</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25377-2024</t>
        </is>
      </c>
      <c r="B1123" s="1" t="n">
        <v>45462.96211805556</v>
      </c>
      <c r="C1123" s="1" t="n">
        <v>45967</v>
      </c>
      <c r="D1123" t="inlineStr">
        <is>
          <t>VÄSTERNORRLANDS LÄN</t>
        </is>
      </c>
      <c r="E1123" t="inlineStr">
        <is>
          <t>ÅNGE</t>
        </is>
      </c>
      <c r="F1123" t="inlineStr">
        <is>
          <t>SCA</t>
        </is>
      </c>
      <c r="G1123" t="n">
        <v>20.7</v>
      </c>
      <c r="H1123" t="n">
        <v>0</v>
      </c>
      <c r="I1123" t="n">
        <v>0</v>
      </c>
      <c r="J1123" t="n">
        <v>0</v>
      </c>
      <c r="K1123" t="n">
        <v>0</v>
      </c>
      <c r="L1123" t="n">
        <v>0</v>
      </c>
      <c r="M1123" t="n">
        <v>0</v>
      </c>
      <c r="N1123" t="n">
        <v>0</v>
      </c>
      <c r="O1123" t="n">
        <v>0</v>
      </c>
      <c r="P1123" t="n">
        <v>0</v>
      </c>
      <c r="Q1123" t="n">
        <v>0</v>
      </c>
      <c r="R1123" s="2" t="inlineStr"/>
    </row>
    <row r="1124" ht="15" customHeight="1">
      <c r="A1124" t="inlineStr">
        <is>
          <t>A 26608-2025</t>
        </is>
      </c>
      <c r="B1124" s="1" t="n">
        <v>45809.98600694445</v>
      </c>
      <c r="C1124" s="1" t="n">
        <v>45967</v>
      </c>
      <c r="D1124" t="inlineStr">
        <is>
          <t>VÄSTERNORRLANDS LÄN</t>
        </is>
      </c>
      <c r="E1124" t="inlineStr">
        <is>
          <t>ÅNGE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56956-2022</t>
        </is>
      </c>
      <c r="B1125" s="1" t="n">
        <v>44894</v>
      </c>
      <c r="C1125" s="1" t="n">
        <v>45967</v>
      </c>
      <c r="D1125" t="inlineStr">
        <is>
          <t>VÄSTERNORRLANDS LÄN</t>
        </is>
      </c>
      <c r="E1125" t="inlineStr">
        <is>
          <t>ÅNGE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34491-2023</t>
        </is>
      </c>
      <c r="B1126" s="1" t="n">
        <v>45139.94775462963</v>
      </c>
      <c r="C1126" s="1" t="n">
        <v>45967</v>
      </c>
      <c r="D1126" t="inlineStr">
        <is>
          <t>VÄSTERNORRLANDS LÄN</t>
        </is>
      </c>
      <c r="E1126" t="inlineStr">
        <is>
          <t>ÅNGE</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10089-2023</t>
        </is>
      </c>
      <c r="B1127" s="1" t="n">
        <v>44985</v>
      </c>
      <c r="C1127" s="1" t="n">
        <v>45967</v>
      </c>
      <c r="D1127" t="inlineStr">
        <is>
          <t>VÄSTERNORRLANDS LÄN</t>
        </is>
      </c>
      <c r="E1127" t="inlineStr">
        <is>
          <t>ÅNGE</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10090-2023</t>
        </is>
      </c>
      <c r="B1128" s="1" t="n">
        <v>44985.94511574074</v>
      </c>
      <c r="C1128" s="1" t="n">
        <v>45967</v>
      </c>
      <c r="D1128" t="inlineStr">
        <is>
          <t>VÄSTERNORRLANDS LÄN</t>
        </is>
      </c>
      <c r="E1128" t="inlineStr">
        <is>
          <t>ÅNGE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39005-2024</t>
        </is>
      </c>
      <c r="B1129" s="1" t="n">
        <v>45548.42743055556</v>
      </c>
      <c r="C1129" s="1" t="n">
        <v>45967</v>
      </c>
      <c r="D1129" t="inlineStr">
        <is>
          <t>VÄSTERNORRLANDS LÄN</t>
        </is>
      </c>
      <c r="E1129" t="inlineStr">
        <is>
          <t>ÅNGE</t>
        </is>
      </c>
      <c r="F1129" t="inlineStr">
        <is>
          <t>SCA</t>
        </is>
      </c>
      <c r="G1129" t="n">
        <v>2.6</v>
      </c>
      <c r="H1129" t="n">
        <v>0</v>
      </c>
      <c r="I1129" t="n">
        <v>0</v>
      </c>
      <c r="J1129" t="n">
        <v>0</v>
      </c>
      <c r="K1129" t="n">
        <v>0</v>
      </c>
      <c r="L1129" t="n">
        <v>0</v>
      </c>
      <c r="M1129" t="n">
        <v>0</v>
      </c>
      <c r="N1129" t="n">
        <v>0</v>
      </c>
      <c r="O1129" t="n">
        <v>0</v>
      </c>
      <c r="P1129" t="n">
        <v>0</v>
      </c>
      <c r="Q1129" t="n">
        <v>0</v>
      </c>
      <c r="R1129" s="2" t="inlineStr"/>
      <c r="U1129">
        <f>HYPERLINK("https://klasma.github.io/Logging_2260/knärot/A 39005-2024 karta knärot.png", "A 39005-2024")</f>
        <v/>
      </c>
      <c r="V1129">
        <f>HYPERLINK("https://klasma.github.io/Logging_2260/klagomål/A 39005-2024 FSC-klagomål.docx", "A 39005-2024")</f>
        <v/>
      </c>
      <c r="W1129">
        <f>HYPERLINK("https://klasma.github.io/Logging_2260/klagomålsmail/A 39005-2024 FSC-klagomål mail.docx", "A 39005-2024")</f>
        <v/>
      </c>
      <c r="X1129">
        <f>HYPERLINK("https://klasma.github.io/Logging_2260/tillsyn/A 39005-2024 tillsynsbegäran.docx", "A 39005-2024")</f>
        <v/>
      </c>
      <c r="Y1129">
        <f>HYPERLINK("https://klasma.github.io/Logging_2260/tillsynsmail/A 39005-2024 tillsynsbegäran mail.docx", "A 39005-2024")</f>
        <v/>
      </c>
    </row>
    <row r="1130" ht="15" customHeight="1">
      <c r="A1130" t="inlineStr">
        <is>
          <t>A 53012-2025</t>
        </is>
      </c>
      <c r="B1130" s="1" t="n">
        <v>45957.80320601852</v>
      </c>
      <c r="C1130" s="1" t="n">
        <v>45967</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42242-2023</t>
        </is>
      </c>
      <c r="B1131" s="1" t="n">
        <v>45180.35025462963</v>
      </c>
      <c r="C1131" s="1" t="n">
        <v>45967</v>
      </c>
      <c r="D1131" t="inlineStr">
        <is>
          <t>VÄSTERNORRLANDS LÄN</t>
        </is>
      </c>
      <c r="E1131" t="inlineStr">
        <is>
          <t>ÅNGE</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51059-2024</t>
        </is>
      </c>
      <c r="B1132" s="1" t="n">
        <v>45603</v>
      </c>
      <c r="C1132" s="1" t="n">
        <v>45967</v>
      </c>
      <c r="D1132" t="inlineStr">
        <is>
          <t>VÄSTERNORRLANDS LÄN</t>
        </is>
      </c>
      <c r="E1132" t="inlineStr">
        <is>
          <t>ÅNGE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53013-2025</t>
        </is>
      </c>
      <c r="B1133" s="1" t="n">
        <v>45957.81732638889</v>
      </c>
      <c r="C1133" s="1" t="n">
        <v>45967</v>
      </c>
      <c r="D1133" t="inlineStr">
        <is>
          <t>VÄSTERNORRLANDS LÄN</t>
        </is>
      </c>
      <c r="E1133" t="inlineStr">
        <is>
          <t>ÅNGE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57593-2022</t>
        </is>
      </c>
      <c r="B1134" s="1" t="n">
        <v>44896.97847222222</v>
      </c>
      <c r="C1134" s="1" t="n">
        <v>45967</v>
      </c>
      <c r="D1134" t="inlineStr">
        <is>
          <t>VÄSTERNORRLANDS LÄN</t>
        </is>
      </c>
      <c r="E1134" t="inlineStr">
        <is>
          <t>ÅNGE</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57596-2022</t>
        </is>
      </c>
      <c r="B1135" s="1" t="n">
        <v>44896.97871527778</v>
      </c>
      <c r="C1135" s="1" t="n">
        <v>45967</v>
      </c>
      <c r="D1135" t="inlineStr">
        <is>
          <t>VÄSTERNORRLANDS LÄN</t>
        </is>
      </c>
      <c r="E1135" t="inlineStr">
        <is>
          <t>ÅNGE</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53221-2025</t>
        </is>
      </c>
      <c r="B1136" s="1" t="n">
        <v>45958.60331018519</v>
      </c>
      <c r="C1136" s="1" t="n">
        <v>45967</v>
      </c>
      <c r="D1136" t="inlineStr">
        <is>
          <t>VÄSTERNORRLANDS LÄN</t>
        </is>
      </c>
      <c r="E1136" t="inlineStr">
        <is>
          <t>ÅNGE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52642-2025</t>
        </is>
      </c>
      <c r="B1137" s="1" t="n">
        <v>45955.34576388889</v>
      </c>
      <c r="C1137" s="1" t="n">
        <v>45967</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41222-2024</t>
        </is>
      </c>
      <c r="B1138" s="1" t="n">
        <v>45559.55306712963</v>
      </c>
      <c r="C1138" s="1" t="n">
        <v>45967</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13091-2024</t>
        </is>
      </c>
      <c r="B1139" s="1" t="n">
        <v>45385</v>
      </c>
      <c r="C1139" s="1" t="n">
        <v>45967</v>
      </c>
      <c r="D1139" t="inlineStr">
        <is>
          <t>VÄSTERNORRLANDS LÄN</t>
        </is>
      </c>
      <c r="E1139" t="inlineStr">
        <is>
          <t>ÅNGE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3624-2024</t>
        </is>
      </c>
      <c r="B1140" s="1" t="n">
        <v>45320.95305555555</v>
      </c>
      <c r="C1140" s="1" t="n">
        <v>45967</v>
      </c>
      <c r="D1140" t="inlineStr">
        <is>
          <t>VÄSTERNORRLANDS LÄN</t>
        </is>
      </c>
      <c r="E1140" t="inlineStr">
        <is>
          <t>ÅNGE</t>
        </is>
      </c>
      <c r="F1140" t="inlineStr">
        <is>
          <t>SCA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1127-2023</t>
        </is>
      </c>
      <c r="B1141" s="1" t="n">
        <v>44929</v>
      </c>
      <c r="C1141" s="1" t="n">
        <v>45967</v>
      </c>
      <c r="D1141" t="inlineStr">
        <is>
          <t>VÄSTERNORRLANDS LÄN</t>
        </is>
      </c>
      <c r="E1141" t="inlineStr">
        <is>
          <t>ÅNGE</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53856-2024</t>
        </is>
      </c>
      <c r="B1142" s="1" t="n">
        <v>45615</v>
      </c>
      <c r="C1142" s="1" t="n">
        <v>45967</v>
      </c>
      <c r="D1142" t="inlineStr">
        <is>
          <t>VÄSTERNORRLANDS LÄN</t>
        </is>
      </c>
      <c r="E1142" t="inlineStr">
        <is>
          <t>ÅNGE</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4883-2023</t>
        </is>
      </c>
      <c r="B1143" s="1" t="n">
        <v>44957</v>
      </c>
      <c r="C1143" s="1" t="n">
        <v>45967</v>
      </c>
      <c r="D1143" t="inlineStr">
        <is>
          <t>VÄSTERNORRLANDS LÄN</t>
        </is>
      </c>
      <c r="E1143" t="inlineStr">
        <is>
          <t>ÅNGE</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44165-2025</t>
        </is>
      </c>
      <c r="B1144" s="1" t="n">
        <v>45915.59840277778</v>
      </c>
      <c r="C1144" s="1" t="n">
        <v>45967</v>
      </c>
      <c r="D1144" t="inlineStr">
        <is>
          <t>VÄSTERNORRLANDS LÄN</t>
        </is>
      </c>
      <c r="E1144" t="inlineStr">
        <is>
          <t>ÅNGE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8755-2022</t>
        </is>
      </c>
      <c r="B1145" s="1" t="n">
        <v>44614</v>
      </c>
      <c r="C1145" s="1" t="n">
        <v>45967</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41781-2024</t>
        </is>
      </c>
      <c r="B1146" s="1" t="n">
        <v>45561.34938657407</v>
      </c>
      <c r="C1146" s="1" t="n">
        <v>45967</v>
      </c>
      <c r="D1146" t="inlineStr">
        <is>
          <t>VÄSTERNORRLANDS LÄN</t>
        </is>
      </c>
      <c r="E1146" t="inlineStr">
        <is>
          <t>ÅNGE</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58469-2023</t>
        </is>
      </c>
      <c r="B1147" s="1" t="n">
        <v>45250</v>
      </c>
      <c r="C1147" s="1" t="n">
        <v>45967</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30747-2024</t>
        </is>
      </c>
      <c r="B1148" s="1" t="n">
        <v>45496</v>
      </c>
      <c r="C1148" s="1" t="n">
        <v>45967</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42090-2024</t>
        </is>
      </c>
      <c r="B1149" s="1" t="n">
        <v>45562</v>
      </c>
      <c r="C1149" s="1" t="n">
        <v>45967</v>
      </c>
      <c r="D1149" t="inlineStr">
        <is>
          <t>VÄSTERNORRLANDS LÄN</t>
        </is>
      </c>
      <c r="E1149" t="inlineStr">
        <is>
          <t>ÅNGE</t>
        </is>
      </c>
      <c r="F1149" t="inlineStr">
        <is>
          <t>SCA</t>
        </is>
      </c>
      <c r="G1149" t="n">
        <v>20.2</v>
      </c>
      <c r="H1149" t="n">
        <v>0</v>
      </c>
      <c r="I1149" t="n">
        <v>0</v>
      </c>
      <c r="J1149" t="n">
        <v>0</v>
      </c>
      <c r="K1149" t="n">
        <v>0</v>
      </c>
      <c r="L1149" t="n">
        <v>0</v>
      </c>
      <c r="M1149" t="n">
        <v>0</v>
      </c>
      <c r="N1149" t="n">
        <v>0</v>
      </c>
      <c r="O1149" t="n">
        <v>0</v>
      </c>
      <c r="P1149" t="n">
        <v>0</v>
      </c>
      <c r="Q1149" t="n">
        <v>0</v>
      </c>
      <c r="R1149" s="2" t="inlineStr"/>
    </row>
    <row r="1150" ht="15" customHeight="1">
      <c r="A1150" t="inlineStr">
        <is>
          <t>A 42098-2024</t>
        </is>
      </c>
      <c r="B1150" s="1" t="n">
        <v>45562.34532407407</v>
      </c>
      <c r="C1150" s="1" t="n">
        <v>45967</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55324-2023</t>
        </is>
      </c>
      <c r="B1151" s="1" t="n">
        <v>45237.9734837963</v>
      </c>
      <c r="C1151" s="1" t="n">
        <v>45967</v>
      </c>
      <c r="D1151" t="inlineStr">
        <is>
          <t>VÄSTERNORRLANDS LÄN</t>
        </is>
      </c>
      <c r="E1151" t="inlineStr">
        <is>
          <t>ÅNGE</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58929-2024</t>
        </is>
      </c>
      <c r="B1152" s="1" t="n">
        <v>45636.51090277778</v>
      </c>
      <c r="C1152" s="1" t="n">
        <v>45967</v>
      </c>
      <c r="D1152" t="inlineStr">
        <is>
          <t>VÄSTERNORRLANDS LÄN</t>
        </is>
      </c>
      <c r="E1152" t="inlineStr">
        <is>
          <t>ÅNGE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4361-2024</t>
        </is>
      </c>
      <c r="B1153" s="1" t="n">
        <v>45325.65047453704</v>
      </c>
      <c r="C1153" s="1" t="n">
        <v>45967</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65229-2021</t>
        </is>
      </c>
      <c r="B1154" s="1" t="n">
        <v>44515</v>
      </c>
      <c r="C1154" s="1" t="n">
        <v>45967</v>
      </c>
      <c r="D1154" t="inlineStr">
        <is>
          <t>VÄSTERNORRLANDS LÄN</t>
        </is>
      </c>
      <c r="E1154" t="inlineStr">
        <is>
          <t>ÅNGE</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53381-2025</t>
        </is>
      </c>
      <c r="B1155" s="1" t="n">
        <v>45959.53690972222</v>
      </c>
      <c r="C1155" s="1" t="n">
        <v>45967</v>
      </c>
      <c r="D1155" t="inlineStr">
        <is>
          <t>VÄSTERNORRLANDS LÄN</t>
        </is>
      </c>
      <c r="E1155" t="inlineStr">
        <is>
          <t>ÅNGE</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32069-2023</t>
        </is>
      </c>
      <c r="B1156" s="1" t="n">
        <v>45107</v>
      </c>
      <c r="C1156" s="1" t="n">
        <v>45967</v>
      </c>
      <c r="D1156" t="inlineStr">
        <is>
          <t>VÄSTERNORRLANDS LÄN</t>
        </is>
      </c>
      <c r="E1156" t="inlineStr">
        <is>
          <t>ÅNGE</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19829-2025</t>
        </is>
      </c>
      <c r="B1157" s="1" t="n">
        <v>45771.46944444445</v>
      </c>
      <c r="C1157" s="1" t="n">
        <v>45967</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46254-2023</t>
        </is>
      </c>
      <c r="B1158" s="1" t="n">
        <v>45196</v>
      </c>
      <c r="C1158" s="1" t="n">
        <v>45967</v>
      </c>
      <c r="D1158" t="inlineStr">
        <is>
          <t>VÄSTERNORRLANDS LÄN</t>
        </is>
      </c>
      <c r="E1158" t="inlineStr">
        <is>
          <t>ÅNGE</t>
        </is>
      </c>
      <c r="F1158" t="inlineStr">
        <is>
          <t>SCA</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46262-2023</t>
        </is>
      </c>
      <c r="B1159" s="1" t="n">
        <v>45196.93855324074</v>
      </c>
      <c r="C1159" s="1" t="n">
        <v>45967</v>
      </c>
      <c r="D1159" t="inlineStr">
        <is>
          <t>VÄSTERNORRLANDS LÄN</t>
        </is>
      </c>
      <c r="E1159" t="inlineStr">
        <is>
          <t>ÅNGE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53713-2025</t>
        </is>
      </c>
      <c r="B1160" s="1" t="n">
        <v>45960.61568287037</v>
      </c>
      <c r="C1160" s="1" t="n">
        <v>45967</v>
      </c>
      <c r="D1160" t="inlineStr">
        <is>
          <t>VÄSTERNORRLANDS LÄN</t>
        </is>
      </c>
      <c r="E1160" t="inlineStr">
        <is>
          <t>ÅNGE</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45027-2023</t>
        </is>
      </c>
      <c r="B1161" s="1" t="n">
        <v>45190.96303240741</v>
      </c>
      <c r="C1161" s="1" t="n">
        <v>45967</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21409-2022</t>
        </is>
      </c>
      <c r="B1162" s="1" t="n">
        <v>44705.9406712963</v>
      </c>
      <c r="C1162" s="1" t="n">
        <v>45967</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46015-2024</t>
        </is>
      </c>
      <c r="B1163" s="1" t="n">
        <v>45580.67760416667</v>
      </c>
      <c r="C1163" s="1" t="n">
        <v>45967</v>
      </c>
      <c r="D1163" t="inlineStr">
        <is>
          <t>VÄSTERNORRLANDS LÄN</t>
        </is>
      </c>
      <c r="E1163" t="inlineStr">
        <is>
          <t>ÅNGE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55380-2024</t>
        </is>
      </c>
      <c r="B1164" s="1" t="n">
        <v>45622.28810185185</v>
      </c>
      <c r="C1164" s="1" t="n">
        <v>45967</v>
      </c>
      <c r="D1164" t="inlineStr">
        <is>
          <t>VÄSTERNORRLANDS LÄN</t>
        </is>
      </c>
      <c r="E1164" t="inlineStr">
        <is>
          <t>ÅNGE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41302-2024</t>
        </is>
      </c>
      <c r="B1165" s="1" t="n">
        <v>45559.62077546296</v>
      </c>
      <c r="C1165" s="1" t="n">
        <v>45967</v>
      </c>
      <c r="D1165" t="inlineStr">
        <is>
          <t>VÄSTERNORRLANDS LÄN</t>
        </is>
      </c>
      <c r="E1165" t="inlineStr">
        <is>
          <t>ÅNGE</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16576-2023</t>
        </is>
      </c>
      <c r="B1166" s="1" t="n">
        <v>45029.94251157407</v>
      </c>
      <c r="C1166" s="1" t="n">
        <v>45967</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44919-2025</t>
        </is>
      </c>
      <c r="B1167" s="1" t="n">
        <v>45918.55246527777</v>
      </c>
      <c r="C1167" s="1" t="n">
        <v>45967</v>
      </c>
      <c r="D1167" t="inlineStr">
        <is>
          <t>VÄSTERNORRLANDS LÄN</t>
        </is>
      </c>
      <c r="E1167" t="inlineStr">
        <is>
          <t>ÅNGE</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44935-2025</t>
        </is>
      </c>
      <c r="B1168" s="1" t="n">
        <v>45918.57392361111</v>
      </c>
      <c r="C1168" s="1" t="n">
        <v>45967</v>
      </c>
      <c r="D1168" t="inlineStr">
        <is>
          <t>VÄSTERNORRLANDS LÄN</t>
        </is>
      </c>
      <c r="E1168" t="inlineStr">
        <is>
          <t>ÅNGE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22678-2024</t>
        </is>
      </c>
      <c r="B1169" s="1" t="n">
        <v>45447.94533564815</v>
      </c>
      <c r="C1169" s="1" t="n">
        <v>45967</v>
      </c>
      <c r="D1169" t="inlineStr">
        <is>
          <t>VÄSTERNORRLANDS LÄN</t>
        </is>
      </c>
      <c r="E1169" t="inlineStr">
        <is>
          <t>ÅNGE</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10084-2023</t>
        </is>
      </c>
      <c r="B1170" s="1" t="n">
        <v>44985.94465277778</v>
      </c>
      <c r="C1170" s="1" t="n">
        <v>45967</v>
      </c>
      <c r="D1170" t="inlineStr">
        <is>
          <t>VÄSTERNORRLANDS LÄN</t>
        </is>
      </c>
      <c r="E1170" t="inlineStr">
        <is>
          <t>ÅNGE</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37503-2023</t>
        </is>
      </c>
      <c r="B1171" s="1" t="n">
        <v>45157.5796875</v>
      </c>
      <c r="C1171" s="1" t="n">
        <v>45967</v>
      </c>
      <c r="D1171" t="inlineStr">
        <is>
          <t>VÄSTERNORRLANDS LÄN</t>
        </is>
      </c>
      <c r="E1171" t="inlineStr">
        <is>
          <t>ÅNGE</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3323-2023</t>
        </is>
      </c>
      <c r="B1172" s="1" t="n">
        <v>44945</v>
      </c>
      <c r="C1172" s="1" t="n">
        <v>45967</v>
      </c>
      <c r="D1172" t="inlineStr">
        <is>
          <t>VÄSTERNORRLANDS LÄN</t>
        </is>
      </c>
      <c r="E1172" t="inlineStr">
        <is>
          <t>ÅNGE</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34629-2025</t>
        </is>
      </c>
      <c r="B1173" s="1" t="n">
        <v>45847.93006944445</v>
      </c>
      <c r="C1173" s="1" t="n">
        <v>45967</v>
      </c>
      <c r="D1173" t="inlineStr">
        <is>
          <t>VÄSTERNORRLANDS LÄN</t>
        </is>
      </c>
      <c r="E1173" t="inlineStr">
        <is>
          <t>ÅNGE</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39991-2023</t>
        </is>
      </c>
      <c r="B1174" s="1" t="n">
        <v>45168.6043287037</v>
      </c>
      <c r="C1174" s="1" t="n">
        <v>45967</v>
      </c>
      <c r="D1174" t="inlineStr">
        <is>
          <t>VÄSTERNORRLANDS LÄN</t>
        </is>
      </c>
      <c r="E1174" t="inlineStr">
        <is>
          <t>ÅNGE</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15167-2025</t>
        </is>
      </c>
      <c r="B1175" s="1" t="n">
        <v>45744.49009259259</v>
      </c>
      <c r="C1175" s="1" t="n">
        <v>45967</v>
      </c>
      <c r="D1175" t="inlineStr">
        <is>
          <t>VÄSTERNORRLANDS LÄN</t>
        </is>
      </c>
      <c r="E1175" t="inlineStr">
        <is>
          <t>ÅNGE</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30556-2023</t>
        </is>
      </c>
      <c r="B1176" s="1" t="n">
        <v>45111.87935185185</v>
      </c>
      <c r="C1176" s="1" t="n">
        <v>45967</v>
      </c>
      <c r="D1176" t="inlineStr">
        <is>
          <t>VÄSTERNORRLANDS LÄN</t>
        </is>
      </c>
      <c r="E1176" t="inlineStr">
        <is>
          <t>ÅNGE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24552-2023</t>
        </is>
      </c>
      <c r="B1177" s="1" t="n">
        <v>45082.94226851852</v>
      </c>
      <c r="C1177" s="1" t="n">
        <v>45967</v>
      </c>
      <c r="D1177" t="inlineStr">
        <is>
          <t>VÄSTERNORRLANDS LÄN</t>
        </is>
      </c>
      <c r="E1177" t="inlineStr">
        <is>
          <t>ÅNGE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51377-2024</t>
        </is>
      </c>
      <c r="B1178" s="1" t="n">
        <v>45604.38142361111</v>
      </c>
      <c r="C1178" s="1" t="n">
        <v>45967</v>
      </c>
      <c r="D1178" t="inlineStr">
        <is>
          <t>VÄSTERNORRLANDS LÄN</t>
        </is>
      </c>
      <c r="E1178" t="inlineStr">
        <is>
          <t>ÅNGE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53509-2025</t>
        </is>
      </c>
      <c r="B1179" s="1" t="n">
        <v>45960.34506944445</v>
      </c>
      <c r="C1179" s="1" t="n">
        <v>45967</v>
      </c>
      <c r="D1179" t="inlineStr">
        <is>
          <t>VÄSTERNORRLANDS LÄN</t>
        </is>
      </c>
      <c r="E1179" t="inlineStr">
        <is>
          <t>ÅNGE</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60860-2022</t>
        </is>
      </c>
      <c r="B1180" s="1" t="n">
        <v>44914</v>
      </c>
      <c r="C1180" s="1" t="n">
        <v>45967</v>
      </c>
      <c r="D1180" t="inlineStr">
        <is>
          <t>VÄSTERNORRLANDS LÄN</t>
        </is>
      </c>
      <c r="E1180" t="inlineStr">
        <is>
          <t>ÅNGE</t>
        </is>
      </c>
      <c r="F1180" t="inlineStr">
        <is>
          <t>Holmen skog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5393-2025</t>
        </is>
      </c>
      <c r="B1181" s="1" t="n">
        <v>45692.63574074074</v>
      </c>
      <c r="C1181" s="1" t="n">
        <v>45967</v>
      </c>
      <c r="D1181" t="inlineStr">
        <is>
          <t>VÄSTERNORRLANDS LÄN</t>
        </is>
      </c>
      <c r="E1181" t="inlineStr">
        <is>
          <t>ÅNGE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34971-2023</t>
        </is>
      </c>
      <c r="B1182" s="1" t="n">
        <v>45142.61635416667</v>
      </c>
      <c r="C1182" s="1" t="n">
        <v>45967</v>
      </c>
      <c r="D1182" t="inlineStr">
        <is>
          <t>VÄSTERNORRLANDS LÄN</t>
        </is>
      </c>
      <c r="E1182" t="inlineStr">
        <is>
          <t>ÅNGE</t>
        </is>
      </c>
      <c r="F1182" t="inlineStr">
        <is>
          <t>Sveaskog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36790-2023</t>
        </is>
      </c>
      <c r="B1183" s="1" t="n">
        <v>45154.36418981481</v>
      </c>
      <c r="C1183" s="1" t="n">
        <v>45967</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57286-2022</t>
        </is>
      </c>
      <c r="B1184" s="1" t="n">
        <v>44895.94991898148</v>
      </c>
      <c r="C1184" s="1" t="n">
        <v>45967</v>
      </c>
      <c r="D1184" t="inlineStr">
        <is>
          <t>VÄSTERNORRLANDS LÄN</t>
        </is>
      </c>
      <c r="E1184" t="inlineStr">
        <is>
          <t>ÅNGE</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9480-2022</t>
        </is>
      </c>
      <c r="B1185" s="1" t="n">
        <v>44616</v>
      </c>
      <c r="C1185" s="1" t="n">
        <v>45967</v>
      </c>
      <c r="D1185" t="inlineStr">
        <is>
          <t>VÄSTERNORRLANDS LÄN</t>
        </is>
      </c>
      <c r="E1185" t="inlineStr">
        <is>
          <t>ÅNGE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45029.94224537037</v>
      </c>
      <c r="C1186" s="1" t="n">
        <v>45967</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45403-2025</t>
        </is>
      </c>
      <c r="B1187" s="1" t="n">
        <v>45922.42803240741</v>
      </c>
      <c r="C1187" s="1" t="n">
        <v>45967</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45404-2025</t>
        </is>
      </c>
      <c r="B1188" s="1" t="n">
        <v>45922.42820601852</v>
      </c>
      <c r="C1188" s="1" t="n">
        <v>45967</v>
      </c>
      <c r="D1188" t="inlineStr">
        <is>
          <t>VÄSTERNORRLANDS LÄN</t>
        </is>
      </c>
      <c r="E1188" t="inlineStr">
        <is>
          <t>ÅNGE</t>
        </is>
      </c>
      <c r="F1188" t="inlineStr">
        <is>
          <t>SCA</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18617-2024</t>
        </is>
      </c>
      <c r="B1189" s="1" t="n">
        <v>45425</v>
      </c>
      <c r="C1189" s="1" t="n">
        <v>45967</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16365-2023</t>
        </is>
      </c>
      <c r="B1190" s="1" t="n">
        <v>45028</v>
      </c>
      <c r="C1190" s="1" t="n">
        <v>45967</v>
      </c>
      <c r="D1190" t="inlineStr">
        <is>
          <t>VÄSTERNORRLANDS LÄN</t>
        </is>
      </c>
      <c r="E1190" t="inlineStr">
        <is>
          <t>ÅNGE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26734-2025</t>
        </is>
      </c>
      <c r="B1191" s="1" t="n">
        <v>45810.51087962963</v>
      </c>
      <c r="C1191" s="1" t="n">
        <v>45967</v>
      </c>
      <c r="D1191" t="inlineStr">
        <is>
          <t>VÄSTERNORRLANDS LÄN</t>
        </is>
      </c>
      <c r="E1191" t="inlineStr">
        <is>
          <t>ÅNGE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24063-2023</t>
        </is>
      </c>
      <c r="B1192" s="1" t="n">
        <v>45078.94140046297</v>
      </c>
      <c r="C1192" s="1" t="n">
        <v>45967</v>
      </c>
      <c r="D1192" t="inlineStr">
        <is>
          <t>VÄSTERNORRLANDS LÄN</t>
        </is>
      </c>
      <c r="E1192" t="inlineStr">
        <is>
          <t>ÅNGE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53985-2025</t>
        </is>
      </c>
      <c r="B1193" s="1" t="n">
        <v>45961.57366898148</v>
      </c>
      <c r="C1193" s="1" t="n">
        <v>45967</v>
      </c>
      <c r="D1193" t="inlineStr">
        <is>
          <t>VÄSTERNORRLANDS LÄN</t>
        </is>
      </c>
      <c r="E1193" t="inlineStr">
        <is>
          <t>ÅNGE</t>
        </is>
      </c>
      <c r="F1193" t="inlineStr">
        <is>
          <t>SCA</t>
        </is>
      </c>
      <c r="G1193" t="n">
        <v>14.2</v>
      </c>
      <c r="H1193" t="n">
        <v>0</v>
      </c>
      <c r="I1193" t="n">
        <v>0</v>
      </c>
      <c r="J1193" t="n">
        <v>0</v>
      </c>
      <c r="K1193" t="n">
        <v>0</v>
      </c>
      <c r="L1193" t="n">
        <v>0</v>
      </c>
      <c r="M1193" t="n">
        <v>0</v>
      </c>
      <c r="N1193" t="n">
        <v>0</v>
      </c>
      <c r="O1193" t="n">
        <v>0</v>
      </c>
      <c r="P1193" t="n">
        <v>0</v>
      </c>
      <c r="Q1193" t="n">
        <v>0</v>
      </c>
      <c r="R1193" s="2" t="inlineStr"/>
    </row>
    <row r="1194" ht="15" customHeight="1">
      <c r="A1194" t="inlineStr">
        <is>
          <t>A 53999-2025</t>
        </is>
      </c>
      <c r="B1194" s="1" t="n">
        <v>45961</v>
      </c>
      <c r="C1194" s="1" t="n">
        <v>45967</v>
      </c>
      <c r="D1194" t="inlineStr">
        <is>
          <t>VÄSTERNORRLANDS LÄN</t>
        </is>
      </c>
      <c r="E1194" t="inlineStr">
        <is>
          <t>ÅNGE</t>
        </is>
      </c>
      <c r="F1194" t="inlineStr">
        <is>
          <t>SCA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8868-2023</t>
        </is>
      </c>
      <c r="B1195" s="1" t="n">
        <v>44978</v>
      </c>
      <c r="C1195" s="1" t="n">
        <v>45967</v>
      </c>
      <c r="D1195" t="inlineStr">
        <is>
          <t>VÄSTERNORRLANDS LÄN</t>
        </is>
      </c>
      <c r="E1195" t="inlineStr">
        <is>
          <t>ÅNGE</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10917-2024</t>
        </is>
      </c>
      <c r="B1196" s="1" t="n">
        <v>45370</v>
      </c>
      <c r="C1196" s="1" t="n">
        <v>45967</v>
      </c>
      <c r="D1196" t="inlineStr">
        <is>
          <t>VÄSTERNORRLANDS LÄN</t>
        </is>
      </c>
      <c r="E1196" t="inlineStr">
        <is>
          <t>ÅNGE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54197-2025</t>
        </is>
      </c>
      <c r="B1197" s="1" t="n">
        <v>45964.57431712963</v>
      </c>
      <c r="C1197" s="1" t="n">
        <v>45967</v>
      </c>
      <c r="D1197" t="inlineStr">
        <is>
          <t>VÄSTERNORRLANDS LÄN</t>
        </is>
      </c>
      <c r="E1197" t="inlineStr">
        <is>
          <t>ÅNGE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43775-2022</t>
        </is>
      </c>
      <c r="B1198" s="1" t="n">
        <v>44837.95053240741</v>
      </c>
      <c r="C1198" s="1" t="n">
        <v>45967</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45401-2025</t>
        </is>
      </c>
      <c r="B1199" s="1" t="n">
        <v>45922.42767361111</v>
      </c>
      <c r="C1199" s="1" t="n">
        <v>45967</v>
      </c>
      <c r="D1199" t="inlineStr">
        <is>
          <t>VÄSTERNORRLANDS LÄN</t>
        </is>
      </c>
      <c r="E1199" t="inlineStr">
        <is>
          <t>ÅNGE</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27023-2025</t>
        </is>
      </c>
      <c r="B1200" s="1" t="n">
        <v>45811.57342592593</v>
      </c>
      <c r="C1200" s="1" t="n">
        <v>45967</v>
      </c>
      <c r="D1200" t="inlineStr">
        <is>
          <t>VÄSTERNORRLANDS LÄN</t>
        </is>
      </c>
      <c r="E1200" t="inlineStr">
        <is>
          <t>ÅNGE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27306-2024</t>
        </is>
      </c>
      <c r="B1201" s="1" t="n">
        <v>45471.94454861111</v>
      </c>
      <c r="C1201" s="1" t="n">
        <v>45967</v>
      </c>
      <c r="D1201" t="inlineStr">
        <is>
          <t>VÄSTERNORRLANDS LÄN</t>
        </is>
      </c>
      <c r="E1201" t="inlineStr">
        <is>
          <t>ÅNGE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11396-2024</t>
        </is>
      </c>
      <c r="B1202" s="1" t="n">
        <v>45372</v>
      </c>
      <c r="C1202" s="1" t="n">
        <v>45967</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27164-2025</t>
        </is>
      </c>
      <c r="B1203" s="1" t="n">
        <v>45812.34430555555</v>
      </c>
      <c r="C1203" s="1" t="n">
        <v>45967</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25680-2023</t>
        </is>
      </c>
      <c r="B1204" s="1" t="n">
        <v>45089</v>
      </c>
      <c r="C1204" s="1" t="n">
        <v>45967</v>
      </c>
      <c r="D1204" t="inlineStr">
        <is>
          <t>VÄSTERNORRLANDS LÄN</t>
        </is>
      </c>
      <c r="E1204" t="inlineStr">
        <is>
          <t>ÅNGE</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59818-2024</t>
        </is>
      </c>
      <c r="B1205" s="1" t="n">
        <v>45639.63572916666</v>
      </c>
      <c r="C1205" s="1" t="n">
        <v>45967</v>
      </c>
      <c r="D1205" t="inlineStr">
        <is>
          <t>VÄSTERNORRLANDS LÄN</t>
        </is>
      </c>
      <c r="E1205" t="inlineStr">
        <is>
          <t>ÅNGE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26901-2025</t>
        </is>
      </c>
      <c r="B1206" s="1" t="n">
        <v>45811.34457175926</v>
      </c>
      <c r="C1206" s="1" t="n">
        <v>45967</v>
      </c>
      <c r="D1206" t="inlineStr">
        <is>
          <t>VÄSTERNORRLANDS LÄN</t>
        </is>
      </c>
      <c r="E1206" t="inlineStr">
        <is>
          <t>ÅNGE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53984-2025</t>
        </is>
      </c>
      <c r="B1207" s="1" t="n">
        <v>45961.5734837963</v>
      </c>
      <c r="C1207" s="1" t="n">
        <v>45967</v>
      </c>
      <c r="D1207" t="inlineStr">
        <is>
          <t>VÄSTERNORRLANDS LÄN</t>
        </is>
      </c>
      <c r="E1207" t="inlineStr">
        <is>
          <t>ÅNGE</t>
        </is>
      </c>
      <c r="F1207" t="inlineStr">
        <is>
          <t>SCA</t>
        </is>
      </c>
      <c r="G1207" t="n">
        <v>14.8</v>
      </c>
      <c r="H1207" t="n">
        <v>0</v>
      </c>
      <c r="I1207" t="n">
        <v>0</v>
      </c>
      <c r="J1207" t="n">
        <v>0</v>
      </c>
      <c r="K1207" t="n">
        <v>0</v>
      </c>
      <c r="L1207" t="n">
        <v>0</v>
      </c>
      <c r="M1207" t="n">
        <v>0</v>
      </c>
      <c r="N1207" t="n">
        <v>0</v>
      </c>
      <c r="O1207" t="n">
        <v>0</v>
      </c>
      <c r="P1207" t="n">
        <v>0</v>
      </c>
      <c r="Q1207" t="n">
        <v>0</v>
      </c>
      <c r="R1207" s="2" t="inlineStr"/>
    </row>
    <row r="1208" ht="15" customHeight="1">
      <c r="A1208" t="inlineStr">
        <is>
          <t>A 33750-2024</t>
        </is>
      </c>
      <c r="B1208" s="1" t="n">
        <v>45520.56475694444</v>
      </c>
      <c r="C1208" s="1" t="n">
        <v>45967</v>
      </c>
      <c r="D1208" t="inlineStr">
        <is>
          <t>VÄSTERNORRLANDS LÄN</t>
        </is>
      </c>
      <c r="E1208" t="inlineStr">
        <is>
          <t>ÅNGE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1769-2023</t>
        </is>
      </c>
      <c r="B1209" s="1" t="n">
        <v>44938.58025462963</v>
      </c>
      <c r="C1209" s="1" t="n">
        <v>45967</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1775-2023</t>
        </is>
      </c>
      <c r="B1210" s="1" t="n">
        <v>44938</v>
      </c>
      <c r="C1210" s="1" t="n">
        <v>45967</v>
      </c>
      <c r="D1210" t="inlineStr">
        <is>
          <t>VÄSTERNORRLANDS LÄN</t>
        </is>
      </c>
      <c r="E1210" t="inlineStr">
        <is>
          <t>ÅNGE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10878-2024</t>
        </is>
      </c>
      <c r="B1211" s="1" t="n">
        <v>45370</v>
      </c>
      <c r="C1211" s="1" t="n">
        <v>45967</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19066-2024</t>
        </is>
      </c>
      <c r="B1212" s="1" t="n">
        <v>45427</v>
      </c>
      <c r="C1212" s="1" t="n">
        <v>45967</v>
      </c>
      <c r="D1212" t="inlineStr">
        <is>
          <t>VÄSTERNORRLANDS LÄN</t>
        </is>
      </c>
      <c r="E1212" t="inlineStr">
        <is>
          <t>ÅNGE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27165-2025</t>
        </is>
      </c>
      <c r="B1213" s="1" t="n">
        <v>45812.34440972222</v>
      </c>
      <c r="C1213" s="1" t="n">
        <v>45967</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3629-2023</t>
        </is>
      </c>
      <c r="B1214" s="1" t="n">
        <v>44950</v>
      </c>
      <c r="C1214" s="1" t="n">
        <v>45967</v>
      </c>
      <c r="D1214" t="inlineStr">
        <is>
          <t>VÄSTERNORRLANDS LÄN</t>
        </is>
      </c>
      <c r="E1214" t="inlineStr">
        <is>
          <t>ÅNGE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3631-2023</t>
        </is>
      </c>
      <c r="B1215" s="1" t="n">
        <v>44950</v>
      </c>
      <c r="C1215" s="1" t="n">
        <v>45967</v>
      </c>
      <c r="D1215" t="inlineStr">
        <is>
          <t>VÄSTERNORRLANDS LÄN</t>
        </is>
      </c>
      <c r="E1215" t="inlineStr">
        <is>
          <t>ÅNGE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31177-2024</t>
        </is>
      </c>
      <c r="B1216" s="1" t="n">
        <v>45503</v>
      </c>
      <c r="C1216" s="1" t="n">
        <v>45967</v>
      </c>
      <c r="D1216" t="inlineStr">
        <is>
          <t>VÄSTERNORRLANDS LÄN</t>
        </is>
      </c>
      <c r="E1216" t="inlineStr">
        <is>
          <t>ÅNGE</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50179-2024</t>
        </is>
      </c>
      <c r="B1217" s="1" t="n">
        <v>45600</v>
      </c>
      <c r="C1217" s="1" t="n">
        <v>45967</v>
      </c>
      <c r="D1217" t="inlineStr">
        <is>
          <t>VÄSTERNORRLANDS LÄN</t>
        </is>
      </c>
      <c r="E1217" t="inlineStr">
        <is>
          <t>ÅNGE</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2140-2023</t>
        </is>
      </c>
      <c r="B1218" s="1" t="n">
        <v>44940</v>
      </c>
      <c r="C1218" s="1" t="n">
        <v>45967</v>
      </c>
      <c r="D1218" t="inlineStr">
        <is>
          <t>VÄSTERNORRLANDS LÄN</t>
        </is>
      </c>
      <c r="E1218" t="inlineStr">
        <is>
          <t>ÅNGE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30347-2024</t>
        </is>
      </c>
      <c r="B1219" s="1" t="n">
        <v>45490.95515046296</v>
      </c>
      <c r="C1219" s="1" t="n">
        <v>45967</v>
      </c>
      <c r="D1219" t="inlineStr">
        <is>
          <t>VÄSTERNORRLANDS LÄN</t>
        </is>
      </c>
      <c r="E1219" t="inlineStr">
        <is>
          <t>ÅNGE</t>
        </is>
      </c>
      <c r="F1219" t="inlineStr">
        <is>
          <t>SCA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5931-2025</t>
        </is>
      </c>
      <c r="B1220" s="1" t="n">
        <v>45695.44827546296</v>
      </c>
      <c r="C1220" s="1" t="n">
        <v>45967</v>
      </c>
      <c r="D1220" t="inlineStr">
        <is>
          <t>VÄSTERNORRLANDS LÄN</t>
        </is>
      </c>
      <c r="E1220" t="inlineStr">
        <is>
          <t>ÅNGE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54705-2025</t>
        </is>
      </c>
      <c r="B1221" s="1" t="n">
        <v>45966.4853125</v>
      </c>
      <c r="C1221" s="1" t="n">
        <v>45967</v>
      </c>
      <c r="D1221" t="inlineStr">
        <is>
          <t>VÄSTERNORRLANDS LÄN</t>
        </is>
      </c>
      <c r="E1221" t="inlineStr">
        <is>
          <t>ÅNGE</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55177-2024</t>
        </is>
      </c>
      <c r="B1222" s="1" t="n">
        <v>45621.53179398148</v>
      </c>
      <c r="C1222" s="1" t="n">
        <v>45967</v>
      </c>
      <c r="D1222" t="inlineStr">
        <is>
          <t>VÄSTERNORRLANDS LÄN</t>
        </is>
      </c>
      <c r="E1222" t="inlineStr">
        <is>
          <t>ÅNGE</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54819-2025</t>
        </is>
      </c>
      <c r="B1223" s="1" t="n">
        <v>45966.65709490741</v>
      </c>
      <c r="C1223" s="1" t="n">
        <v>45967</v>
      </c>
      <c r="D1223" t="inlineStr">
        <is>
          <t>VÄSTERNORRLANDS LÄN</t>
        </is>
      </c>
      <c r="E1223" t="inlineStr">
        <is>
          <t>ÅNGE</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45875-2025</t>
        </is>
      </c>
      <c r="B1224" s="1" t="n">
        <v>45923.65690972222</v>
      </c>
      <c r="C1224" s="1" t="n">
        <v>45967</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43096-2023</t>
        </is>
      </c>
      <c r="B1225" s="1" t="n">
        <v>45182</v>
      </c>
      <c r="C1225" s="1" t="n">
        <v>45967</v>
      </c>
      <c r="D1225" t="inlineStr">
        <is>
          <t>VÄSTERNORRLANDS LÄN</t>
        </is>
      </c>
      <c r="E1225" t="inlineStr">
        <is>
          <t>ÅNGE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54713-2025</t>
        </is>
      </c>
      <c r="B1226" s="1" t="n">
        <v>45966.50446759259</v>
      </c>
      <c r="C1226" s="1" t="n">
        <v>45967</v>
      </c>
      <c r="D1226" t="inlineStr">
        <is>
          <t>VÄSTERNORRLANDS LÄN</t>
        </is>
      </c>
      <c r="E1226" t="inlineStr">
        <is>
          <t>ÅNGE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3322-2025</t>
        </is>
      </c>
      <c r="B1227" s="1" t="n">
        <v>45679.6989699074</v>
      </c>
      <c r="C1227" s="1" t="n">
        <v>45967</v>
      </c>
      <c r="D1227" t="inlineStr">
        <is>
          <t>VÄSTERNORRLANDS LÄN</t>
        </is>
      </c>
      <c r="E1227" t="inlineStr">
        <is>
          <t>ÅNGE</t>
        </is>
      </c>
      <c r="F1227" t="inlineStr">
        <is>
          <t>SCA</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3327-2025</t>
        </is>
      </c>
      <c r="B1228" s="1" t="n">
        <v>45679.69967592593</v>
      </c>
      <c r="C1228" s="1" t="n">
        <v>45967</v>
      </c>
      <c r="D1228" t="inlineStr">
        <is>
          <t>VÄSTERNORRLANDS LÄN</t>
        </is>
      </c>
      <c r="E1228" t="inlineStr">
        <is>
          <t>ÅNGE</t>
        </is>
      </c>
      <c r="F1228" t="inlineStr">
        <is>
          <t>SCA</t>
        </is>
      </c>
      <c r="G1228" t="n">
        <v>12.9</v>
      </c>
      <c r="H1228" t="n">
        <v>0</v>
      </c>
      <c r="I1228" t="n">
        <v>0</v>
      </c>
      <c r="J1228" t="n">
        <v>0</v>
      </c>
      <c r="K1228" t="n">
        <v>0</v>
      </c>
      <c r="L1228" t="n">
        <v>0</v>
      </c>
      <c r="M1228" t="n">
        <v>0</v>
      </c>
      <c r="N1228" t="n">
        <v>0</v>
      </c>
      <c r="O1228" t="n">
        <v>0</v>
      </c>
      <c r="P1228" t="n">
        <v>0</v>
      </c>
      <c r="Q1228" t="n">
        <v>0</v>
      </c>
      <c r="R1228" s="2" t="inlineStr"/>
    </row>
    <row r="1229" ht="15" customHeight="1">
      <c r="A1229" t="inlineStr">
        <is>
          <t>A 45660-2025</t>
        </is>
      </c>
      <c r="B1229" s="1" t="n">
        <v>45923.34494212963</v>
      </c>
      <c r="C1229" s="1" t="n">
        <v>45967</v>
      </c>
      <c r="D1229" t="inlineStr">
        <is>
          <t>VÄSTERNORRLANDS LÄN</t>
        </is>
      </c>
      <c r="E1229" t="inlineStr">
        <is>
          <t>ÅNGE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54627-2025</t>
        </is>
      </c>
      <c r="B1230" s="1" t="n">
        <v>45966.34565972222</v>
      </c>
      <c r="C1230" s="1" t="n">
        <v>45967</v>
      </c>
      <c r="D1230" t="inlineStr">
        <is>
          <t>VÄSTERNORRLANDS LÄN</t>
        </is>
      </c>
      <c r="E1230" t="inlineStr">
        <is>
          <t>ÅNGE</t>
        </is>
      </c>
      <c r="F1230" t="inlineStr">
        <is>
          <t>SCA</t>
        </is>
      </c>
      <c r="G1230" t="n">
        <v>18.5</v>
      </c>
      <c r="H1230" t="n">
        <v>0</v>
      </c>
      <c r="I1230" t="n">
        <v>0</v>
      </c>
      <c r="J1230" t="n">
        <v>0</v>
      </c>
      <c r="K1230" t="n">
        <v>0</v>
      </c>
      <c r="L1230" t="n">
        <v>0</v>
      </c>
      <c r="M1230" t="n">
        <v>0</v>
      </c>
      <c r="N1230" t="n">
        <v>0</v>
      </c>
      <c r="O1230" t="n">
        <v>0</v>
      </c>
      <c r="P1230" t="n">
        <v>0</v>
      </c>
      <c r="Q1230" t="n">
        <v>0</v>
      </c>
      <c r="R1230" s="2" t="inlineStr"/>
    </row>
    <row r="1231" ht="15" customHeight="1">
      <c r="A1231" t="inlineStr">
        <is>
          <t>A 3947-2025</t>
        </is>
      </c>
      <c r="B1231" s="1" t="n">
        <v>45684.49001157407</v>
      </c>
      <c r="C1231" s="1" t="n">
        <v>45967</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46111-2025</t>
        </is>
      </c>
      <c r="B1232" s="1" t="n">
        <v>45924.56684027778</v>
      </c>
      <c r="C1232" s="1" t="n">
        <v>45967</v>
      </c>
      <c r="D1232" t="inlineStr">
        <is>
          <t>VÄSTERNORRLANDS LÄN</t>
        </is>
      </c>
      <c r="E1232" t="inlineStr">
        <is>
          <t>ÅNGE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27545-2025</t>
        </is>
      </c>
      <c r="B1233" s="1" t="n">
        <v>45813.46942129629</v>
      </c>
      <c r="C1233" s="1" t="n">
        <v>45967</v>
      </c>
      <c r="D1233" t="inlineStr">
        <is>
          <t>VÄSTERNORRLANDS LÄN</t>
        </is>
      </c>
      <c r="E1233" t="inlineStr">
        <is>
          <t>ÅNGE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15603-2024</t>
        </is>
      </c>
      <c r="B1234" s="1" t="n">
        <v>45401.92501157407</v>
      </c>
      <c r="C1234" s="1" t="n">
        <v>45967</v>
      </c>
      <c r="D1234" t="inlineStr">
        <is>
          <t>VÄSTERNORRLANDS LÄN</t>
        </is>
      </c>
      <c r="E1234" t="inlineStr">
        <is>
          <t>ÅNGE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46109-2025</t>
        </is>
      </c>
      <c r="B1235" s="1" t="n">
        <v>45924.5596412037</v>
      </c>
      <c r="C1235" s="1" t="n">
        <v>45967</v>
      </c>
      <c r="D1235" t="inlineStr">
        <is>
          <t>VÄSTERNORRLANDS LÄN</t>
        </is>
      </c>
      <c r="E1235" t="inlineStr">
        <is>
          <t>ÅNGE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27572-2025</t>
        </is>
      </c>
      <c r="B1236" s="1" t="n">
        <v>45813.49049768518</v>
      </c>
      <c r="C1236" s="1" t="n">
        <v>45967</v>
      </c>
      <c r="D1236" t="inlineStr">
        <is>
          <t>VÄSTERNORRLANDS LÄN</t>
        </is>
      </c>
      <c r="E1236" t="inlineStr">
        <is>
          <t>ÅNGE</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27606-2025</t>
        </is>
      </c>
      <c r="B1237" s="1" t="n">
        <v>45813.53200231482</v>
      </c>
      <c r="C1237" s="1" t="n">
        <v>45967</v>
      </c>
      <c r="D1237" t="inlineStr">
        <is>
          <t>VÄSTERNORRLANDS LÄN</t>
        </is>
      </c>
      <c r="E1237" t="inlineStr">
        <is>
          <t>ÅNGE</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54702-2025</t>
        </is>
      </c>
      <c r="B1238" s="1" t="n">
        <v>45966.4828587963</v>
      </c>
      <c r="C1238" s="1" t="n">
        <v>45967</v>
      </c>
      <c r="D1238" t="inlineStr">
        <is>
          <t>VÄSTERNORRLANDS LÄN</t>
        </is>
      </c>
      <c r="E1238" t="inlineStr">
        <is>
          <t>ÅNGE</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52804-2024</t>
        </is>
      </c>
      <c r="B1239" s="1" t="n">
        <v>45610.57322916666</v>
      </c>
      <c r="C1239" s="1" t="n">
        <v>45967</v>
      </c>
      <c r="D1239" t="inlineStr">
        <is>
          <t>VÄSTERNORRLANDS LÄN</t>
        </is>
      </c>
      <c r="E1239" t="inlineStr">
        <is>
          <t>ÅNGE</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21151-2024</t>
        </is>
      </c>
      <c r="B1240" s="1" t="n">
        <v>45440</v>
      </c>
      <c r="C1240" s="1" t="n">
        <v>45967</v>
      </c>
      <c r="D1240" t="inlineStr">
        <is>
          <t>VÄSTERNORRLANDS LÄN</t>
        </is>
      </c>
      <c r="E1240" t="inlineStr">
        <is>
          <t>ÅNGE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13706-2023</t>
        </is>
      </c>
      <c r="B1241" s="1" t="n">
        <v>45006</v>
      </c>
      <c r="C1241" s="1" t="n">
        <v>45967</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27639-2025</t>
        </is>
      </c>
      <c r="B1242" s="1" t="n">
        <v>45813</v>
      </c>
      <c r="C1242" s="1" t="n">
        <v>45967</v>
      </c>
      <c r="D1242" t="inlineStr">
        <is>
          <t>VÄSTERNORRLANDS LÄN</t>
        </is>
      </c>
      <c r="E1242" t="inlineStr">
        <is>
          <t>ÅNGE</t>
        </is>
      </c>
      <c r="G1242" t="n">
        <v>22.9</v>
      </c>
      <c r="H1242" t="n">
        <v>0</v>
      </c>
      <c r="I1242" t="n">
        <v>0</v>
      </c>
      <c r="J1242" t="n">
        <v>0</v>
      </c>
      <c r="K1242" t="n">
        <v>0</v>
      </c>
      <c r="L1242" t="n">
        <v>0</v>
      </c>
      <c r="M1242" t="n">
        <v>0</v>
      </c>
      <c r="N1242" t="n">
        <v>0</v>
      </c>
      <c r="O1242" t="n">
        <v>0</v>
      </c>
      <c r="P1242" t="n">
        <v>0</v>
      </c>
      <c r="Q1242" t="n">
        <v>0</v>
      </c>
      <c r="R1242" s="2" t="inlineStr"/>
    </row>
    <row r="1243" ht="15" customHeight="1">
      <c r="A1243" t="inlineStr">
        <is>
          <t>A 54357-2025</t>
        </is>
      </c>
      <c r="B1243" s="1" t="n">
        <v>45965.3858912037</v>
      </c>
      <c r="C1243" s="1" t="n">
        <v>45967</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54710-2025</t>
        </is>
      </c>
      <c r="B1244" s="1" t="n">
        <v>45966.49515046296</v>
      </c>
      <c r="C1244" s="1" t="n">
        <v>45967</v>
      </c>
      <c r="D1244" t="inlineStr">
        <is>
          <t>VÄSTERNORRLANDS LÄN</t>
        </is>
      </c>
      <c r="E1244" t="inlineStr">
        <is>
          <t>ÅNGE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6462-2024</t>
        </is>
      </c>
      <c r="B1245" s="1" t="n">
        <v>45338</v>
      </c>
      <c r="C1245" s="1" t="n">
        <v>45967</v>
      </c>
      <c r="D1245" t="inlineStr">
        <is>
          <t>VÄSTERNORRLANDS LÄN</t>
        </is>
      </c>
      <c r="E1245" t="inlineStr">
        <is>
          <t>ÅNGE</t>
        </is>
      </c>
      <c r="F1245" t="inlineStr">
        <is>
          <t>Kyrkan</t>
        </is>
      </c>
      <c r="G1245" t="n">
        <v>9.199999999999999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54680-2025</t>
        </is>
      </c>
      <c r="B1246" s="1" t="n">
        <v>45966.42751157407</v>
      </c>
      <c r="C1246" s="1" t="n">
        <v>45967</v>
      </c>
      <c r="D1246" t="inlineStr">
        <is>
          <t>VÄSTERNORRLANDS LÄN</t>
        </is>
      </c>
      <c r="E1246" t="inlineStr">
        <is>
          <t>ÅNGE</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54346-2025</t>
        </is>
      </c>
      <c r="B1247" s="1" t="n">
        <v>45965.36525462963</v>
      </c>
      <c r="C1247" s="1" t="n">
        <v>45967</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54707-2025</t>
        </is>
      </c>
      <c r="B1248" s="1" t="n">
        <v>45966.48894675926</v>
      </c>
      <c r="C1248" s="1" t="n">
        <v>45967</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45659-2025</t>
        </is>
      </c>
      <c r="B1249" s="1" t="n">
        <v>45923.34471064815</v>
      </c>
      <c r="C1249" s="1" t="n">
        <v>45967</v>
      </c>
      <c r="D1249" t="inlineStr">
        <is>
          <t>VÄSTERNORRLANDS LÄN</t>
        </is>
      </c>
      <c r="E1249" t="inlineStr">
        <is>
          <t>ÅNGE</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26490-2024</t>
        </is>
      </c>
      <c r="B1250" s="1" t="n">
        <v>45469</v>
      </c>
      <c r="C1250" s="1" t="n">
        <v>45967</v>
      </c>
      <c r="D1250" t="inlineStr">
        <is>
          <t>VÄSTERNORRLANDS LÄN</t>
        </is>
      </c>
      <c r="E1250" t="inlineStr">
        <is>
          <t>ÅNGE</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45970-2025</t>
        </is>
      </c>
      <c r="B1251" s="1" t="n">
        <v>45924.36519675926</v>
      </c>
      <c r="C1251" s="1" t="n">
        <v>45967</v>
      </c>
      <c r="D1251" t="inlineStr">
        <is>
          <t>VÄSTERNORRLANDS LÄN</t>
        </is>
      </c>
      <c r="E1251" t="inlineStr">
        <is>
          <t>ÅNGE</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33747-2024</t>
        </is>
      </c>
      <c r="B1252" s="1" t="n">
        <v>45520</v>
      </c>
      <c r="C1252" s="1" t="n">
        <v>45967</v>
      </c>
      <c r="D1252" t="inlineStr">
        <is>
          <t>VÄSTERNORRLANDS LÄN</t>
        </is>
      </c>
      <c r="E1252" t="inlineStr">
        <is>
          <t>ÅNGE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34754-2024</t>
        </is>
      </c>
      <c r="B1253" s="1" t="n">
        <v>45526</v>
      </c>
      <c r="C1253" s="1" t="n">
        <v>45967</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45967</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28070-2025</t>
        </is>
      </c>
      <c r="B1255" s="1" t="n">
        <v>45817.67739583334</v>
      </c>
      <c r="C1255" s="1" t="n">
        <v>45967</v>
      </c>
      <c r="D1255" t="inlineStr">
        <is>
          <t>VÄSTERNORRLANDS LÄN</t>
        </is>
      </c>
      <c r="E1255" t="inlineStr">
        <is>
          <t>ÅNGE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54715-2025</t>
        </is>
      </c>
      <c r="B1256" s="1" t="n">
        <v>45966.50961805556</v>
      </c>
      <c r="C1256" s="1" t="n">
        <v>45967</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4071-2025</t>
        </is>
      </c>
      <c r="B1257" s="1" t="n">
        <v>45684.63579861111</v>
      </c>
      <c r="C1257" s="1" t="n">
        <v>45967</v>
      </c>
      <c r="D1257" t="inlineStr">
        <is>
          <t>VÄSTERNORRLANDS LÄN</t>
        </is>
      </c>
      <c r="E1257" t="inlineStr">
        <is>
          <t>ÅNGE</t>
        </is>
      </c>
      <c r="F1257" t="inlineStr">
        <is>
          <t>SCA</t>
        </is>
      </c>
      <c r="G1257" t="n">
        <v>13.7</v>
      </c>
      <c r="H1257" t="n">
        <v>0</v>
      </c>
      <c r="I1257" t="n">
        <v>0</v>
      </c>
      <c r="J1257" t="n">
        <v>0</v>
      </c>
      <c r="K1257" t="n">
        <v>0</v>
      </c>
      <c r="L1257" t="n">
        <v>0</v>
      </c>
      <c r="M1257" t="n">
        <v>0</v>
      </c>
      <c r="N1257" t="n">
        <v>0</v>
      </c>
      <c r="O1257" t="n">
        <v>0</v>
      </c>
      <c r="P1257" t="n">
        <v>0</v>
      </c>
      <c r="Q1257" t="n">
        <v>0</v>
      </c>
      <c r="R1257" s="2" t="inlineStr"/>
    </row>
    <row r="1258" ht="15" customHeight="1">
      <c r="A1258" t="inlineStr">
        <is>
          <t>A 6619-2025</t>
        </is>
      </c>
      <c r="B1258" s="1" t="n">
        <v>45700.36541666667</v>
      </c>
      <c r="C1258" s="1" t="n">
        <v>45967</v>
      </c>
      <c r="D1258" t="inlineStr">
        <is>
          <t>VÄSTERNORRLANDS LÄN</t>
        </is>
      </c>
      <c r="E1258" t="inlineStr">
        <is>
          <t>ÅNGE</t>
        </is>
      </c>
      <c r="F1258" t="inlineStr">
        <is>
          <t>SCA</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8070-2022</t>
        </is>
      </c>
      <c r="B1259" s="1" t="n">
        <v>44609.48665509259</v>
      </c>
      <c r="C1259" s="1" t="n">
        <v>45967</v>
      </c>
      <c r="D1259" t="inlineStr">
        <is>
          <t>VÄSTERNORRLANDS LÄN</t>
        </is>
      </c>
      <c r="E1259" t="inlineStr">
        <is>
          <t>ÅNGE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28085-2025</t>
        </is>
      </c>
      <c r="B1260" s="1" t="n">
        <v>45817.71924768519</v>
      </c>
      <c r="C1260" s="1" t="n">
        <v>45967</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28143-2025</t>
        </is>
      </c>
      <c r="B1261" s="1" t="n">
        <v>45818.34546296296</v>
      </c>
      <c r="C1261" s="1" t="n">
        <v>45967</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28404-2025</t>
        </is>
      </c>
      <c r="B1262" s="1" t="n">
        <v>45819.34532407407</v>
      </c>
      <c r="C1262" s="1" t="n">
        <v>45967</v>
      </c>
      <c r="D1262" t="inlineStr">
        <is>
          <t>VÄSTERNORRLANDS LÄN</t>
        </is>
      </c>
      <c r="E1262" t="inlineStr">
        <is>
          <t>ÅNGE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28896-2025</t>
        </is>
      </c>
      <c r="B1263" s="1" t="n">
        <v>45820.63584490741</v>
      </c>
      <c r="C1263" s="1" t="n">
        <v>45967</v>
      </c>
      <c r="D1263" t="inlineStr">
        <is>
          <t>VÄSTERNORRLANDS LÄN</t>
        </is>
      </c>
      <c r="E1263" t="inlineStr">
        <is>
          <t>ÅNGE</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14097-2022</t>
        </is>
      </c>
      <c r="B1264" s="1" t="n">
        <v>44651</v>
      </c>
      <c r="C1264" s="1" t="n">
        <v>45967</v>
      </c>
      <c r="D1264" t="inlineStr">
        <is>
          <t>VÄSTERNORRLANDS LÄN</t>
        </is>
      </c>
      <c r="E1264" t="inlineStr">
        <is>
          <t>ÅNGE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29667-2024</t>
        </is>
      </c>
      <c r="B1265" s="1" t="n">
        <v>45484.94041666666</v>
      </c>
      <c r="C1265" s="1" t="n">
        <v>45967</v>
      </c>
      <c r="D1265" t="inlineStr">
        <is>
          <t>VÄSTERNORRLANDS LÄN</t>
        </is>
      </c>
      <c r="E1265" t="inlineStr">
        <is>
          <t>ÅNGE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39975-2023</t>
        </is>
      </c>
      <c r="B1266" s="1" t="n">
        <v>45168.58844907407</v>
      </c>
      <c r="C1266" s="1" t="n">
        <v>45967</v>
      </c>
      <c r="D1266" t="inlineStr">
        <is>
          <t>VÄSTERNORRLANDS LÄN</t>
        </is>
      </c>
      <c r="E1266" t="inlineStr">
        <is>
          <t>ÅNGE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32776-2022</t>
        </is>
      </c>
      <c r="B1267" s="1" t="n">
        <v>44783.94607638889</v>
      </c>
      <c r="C1267" s="1" t="n">
        <v>45967</v>
      </c>
      <c r="D1267" t="inlineStr">
        <is>
          <t>VÄSTERNORRLANDS LÄN</t>
        </is>
      </c>
      <c r="E1267" t="inlineStr">
        <is>
          <t>ÅNGE</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11032-2025</t>
        </is>
      </c>
      <c r="B1268" s="1" t="n">
        <v>45723.47601851852</v>
      </c>
      <c r="C1268" s="1" t="n">
        <v>45967</v>
      </c>
      <c r="D1268" t="inlineStr">
        <is>
          <t>VÄSTERNORRLANDS LÄN</t>
        </is>
      </c>
      <c r="E1268" t="inlineStr">
        <is>
          <t>ÅNGE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28819-2025</t>
        </is>
      </c>
      <c r="B1269" s="1" t="n">
        <v>45820.53758101852</v>
      </c>
      <c r="C1269" s="1" t="n">
        <v>45967</v>
      </c>
      <c r="D1269" t="inlineStr">
        <is>
          <t>VÄSTERNORRLANDS LÄN</t>
        </is>
      </c>
      <c r="E1269" t="inlineStr">
        <is>
          <t>ÅNGE</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56874-2024</t>
        </is>
      </c>
      <c r="B1270" s="1" t="n">
        <v>45628</v>
      </c>
      <c r="C1270" s="1" t="n">
        <v>45967</v>
      </c>
      <c r="D1270" t="inlineStr">
        <is>
          <t>VÄSTERNORRLANDS LÄN</t>
        </is>
      </c>
      <c r="E1270" t="inlineStr">
        <is>
          <t>ÅNGE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28845-2025</t>
        </is>
      </c>
      <c r="B1271" s="1" t="n">
        <v>45820.57324074074</v>
      </c>
      <c r="C1271" s="1" t="n">
        <v>45967</v>
      </c>
      <c r="D1271" t="inlineStr">
        <is>
          <t>VÄSTERNORRLANDS LÄN</t>
        </is>
      </c>
      <c r="E1271" t="inlineStr">
        <is>
          <t>ÅNGE</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28814-2025</t>
        </is>
      </c>
      <c r="B1272" s="1" t="n">
        <v>45820.52846064815</v>
      </c>
      <c r="C1272" s="1" t="n">
        <v>45967</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28717-2025</t>
        </is>
      </c>
      <c r="B1273" s="1" t="n">
        <v>45820</v>
      </c>
      <c r="C1273" s="1" t="n">
        <v>45967</v>
      </c>
      <c r="D1273" t="inlineStr">
        <is>
          <t>VÄSTERNORRLANDS LÄN</t>
        </is>
      </c>
      <c r="E1273" t="inlineStr">
        <is>
          <t>ÅNGE</t>
        </is>
      </c>
      <c r="F1273" t="inlineStr">
        <is>
          <t>SCA</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16657-2025</t>
        </is>
      </c>
      <c r="B1274" s="1" t="n">
        <v>45754.40700231482</v>
      </c>
      <c r="C1274" s="1" t="n">
        <v>45967</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6608-2025</t>
        </is>
      </c>
      <c r="B1275" s="1" t="n">
        <v>45700.34415509259</v>
      </c>
      <c r="C1275" s="1" t="n">
        <v>45967</v>
      </c>
      <c r="D1275" t="inlineStr">
        <is>
          <t>VÄSTERNORRLANDS LÄN</t>
        </is>
      </c>
      <c r="E1275" t="inlineStr">
        <is>
          <t>ÅNGE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29350-2025</t>
        </is>
      </c>
      <c r="B1276" s="1" t="n">
        <v>45824.53206018519</v>
      </c>
      <c r="C1276" s="1" t="n">
        <v>45967</v>
      </c>
      <c r="D1276" t="inlineStr">
        <is>
          <t>VÄSTERNORRLANDS LÄN</t>
        </is>
      </c>
      <c r="E1276" t="inlineStr">
        <is>
          <t>ÅNGE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51871-2024</t>
        </is>
      </c>
      <c r="B1277" s="1" t="n">
        <v>45607</v>
      </c>
      <c r="C1277" s="1" t="n">
        <v>45967</v>
      </c>
      <c r="D1277" t="inlineStr">
        <is>
          <t>VÄSTERNORRLANDS LÄN</t>
        </is>
      </c>
      <c r="E1277" t="inlineStr">
        <is>
          <t>ÅNGE</t>
        </is>
      </c>
      <c r="F1277" t="inlineStr">
        <is>
          <t>SCA</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19065-2025</t>
        </is>
      </c>
      <c r="B1278" s="1" t="n">
        <v>45765</v>
      </c>
      <c r="C1278" s="1" t="n">
        <v>45967</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29153-2025</t>
        </is>
      </c>
      <c r="B1279" s="1" t="n">
        <v>45821.63574074074</v>
      </c>
      <c r="C1279" s="1" t="n">
        <v>45967</v>
      </c>
      <c r="D1279" t="inlineStr">
        <is>
          <t>VÄSTERNORRLANDS LÄN</t>
        </is>
      </c>
      <c r="E1279" t="inlineStr">
        <is>
          <t>ÅNGE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36290-2023</t>
        </is>
      </c>
      <c r="B1280" s="1" t="n">
        <v>45152.35467592593</v>
      </c>
      <c r="C1280" s="1" t="n">
        <v>45967</v>
      </c>
      <c r="D1280" t="inlineStr">
        <is>
          <t>VÄSTERNORRLANDS LÄN</t>
        </is>
      </c>
      <c r="E1280" t="inlineStr">
        <is>
          <t>ÅNGE</t>
        </is>
      </c>
      <c r="F1280" t="inlineStr">
        <is>
          <t>Övriga Aktiebolag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48369-2024</t>
        </is>
      </c>
      <c r="B1281" s="1" t="n">
        <v>45590.57960648148</v>
      </c>
      <c r="C1281" s="1" t="n">
        <v>45967</v>
      </c>
      <c r="D1281" t="inlineStr">
        <is>
          <t>VÄSTERNORRLANDS LÄN</t>
        </is>
      </c>
      <c r="E1281" t="inlineStr">
        <is>
          <t>ÅNGE</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1714-2025</t>
        </is>
      </c>
      <c r="B1282" s="1" t="n">
        <v>45671.32474537037</v>
      </c>
      <c r="C1282" s="1" t="n">
        <v>45967</v>
      </c>
      <c r="D1282" t="inlineStr">
        <is>
          <t>VÄSTERNORRLANDS LÄN</t>
        </is>
      </c>
      <c r="E1282" t="inlineStr">
        <is>
          <t>ÅNGE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29862-2025</t>
        </is>
      </c>
      <c r="B1283" s="1" t="n">
        <v>45826.3465625</v>
      </c>
      <c r="C1283" s="1" t="n">
        <v>45967</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29882-2025</t>
        </is>
      </c>
      <c r="B1284" s="1" t="n">
        <v>45826.36548611111</v>
      </c>
      <c r="C1284" s="1" t="n">
        <v>45967</v>
      </c>
      <c r="D1284" t="inlineStr">
        <is>
          <t>VÄSTERNORRLANDS LÄN</t>
        </is>
      </c>
      <c r="E1284" t="inlineStr">
        <is>
          <t>ÅNGE</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11529-2023</t>
        </is>
      </c>
      <c r="B1285" s="1" t="n">
        <v>44993</v>
      </c>
      <c r="C1285" s="1" t="n">
        <v>45967</v>
      </c>
      <c r="D1285" t="inlineStr">
        <is>
          <t>VÄSTERNORRLANDS LÄN</t>
        </is>
      </c>
      <c r="E1285" t="inlineStr">
        <is>
          <t>ÅNGE</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31182-2024</t>
        </is>
      </c>
      <c r="B1286" s="1" t="n">
        <v>45503</v>
      </c>
      <c r="C1286" s="1" t="n">
        <v>45967</v>
      </c>
      <c r="D1286" t="inlineStr">
        <is>
          <t>VÄSTERNORRLANDS LÄN</t>
        </is>
      </c>
      <c r="E1286" t="inlineStr">
        <is>
          <t>ÅNGE</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29916-2025</t>
        </is>
      </c>
      <c r="B1287" s="1" t="n">
        <v>45826.41822916667</v>
      </c>
      <c r="C1287" s="1" t="n">
        <v>45967</v>
      </c>
      <c r="D1287" t="inlineStr">
        <is>
          <t>VÄSTERNORRLANDS LÄN</t>
        </is>
      </c>
      <c r="E1287" t="inlineStr">
        <is>
          <t>ÅNGE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29560-2025</t>
        </is>
      </c>
      <c r="B1288" s="1" t="n">
        <v>45825.36497685185</v>
      </c>
      <c r="C1288" s="1" t="n">
        <v>45967</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29786-2025</t>
        </is>
      </c>
      <c r="B1289" s="1" t="n">
        <v>45825.65663194445</v>
      </c>
      <c r="C1289" s="1" t="n">
        <v>45967</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41758-2024</t>
        </is>
      </c>
      <c r="B1290" s="1" t="n">
        <v>45561.34478009259</v>
      </c>
      <c r="C1290" s="1" t="n">
        <v>45967</v>
      </c>
      <c r="D1290" t="inlineStr">
        <is>
          <t>VÄSTERNORRLANDS LÄN</t>
        </is>
      </c>
      <c r="E1290" t="inlineStr">
        <is>
          <t>ÅNGE</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5433-2024</t>
        </is>
      </c>
      <c r="B1291" s="1" t="n">
        <v>45331</v>
      </c>
      <c r="C1291" s="1" t="n">
        <v>45967</v>
      </c>
      <c r="D1291" t="inlineStr">
        <is>
          <t>VÄSTERNORRLANDS LÄN</t>
        </is>
      </c>
      <c r="E1291" t="inlineStr">
        <is>
          <t>ÅNGE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19926-2025</t>
        </is>
      </c>
      <c r="B1292" s="1" t="n">
        <v>45771.6357175926</v>
      </c>
      <c r="C1292" s="1" t="n">
        <v>45967</v>
      </c>
      <c r="D1292" t="inlineStr">
        <is>
          <t>VÄSTERNORRLANDS LÄN</t>
        </is>
      </c>
      <c r="E1292" t="inlineStr">
        <is>
          <t>ÅNGE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30475-2025</t>
        </is>
      </c>
      <c r="B1293" s="1" t="n">
        <v>45828.34444444445</v>
      </c>
      <c r="C1293" s="1" t="n">
        <v>45967</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51055-2023</t>
        </is>
      </c>
      <c r="B1294" s="1" t="n">
        <v>45218</v>
      </c>
      <c r="C1294" s="1" t="n">
        <v>45967</v>
      </c>
      <c r="D1294" t="inlineStr">
        <is>
          <t>VÄSTERNORRLANDS LÄN</t>
        </is>
      </c>
      <c r="E1294" t="inlineStr">
        <is>
          <t>ÅNGE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6684-2024</t>
        </is>
      </c>
      <c r="B1295" s="1" t="n">
        <v>45341.92555555556</v>
      </c>
      <c r="C1295" s="1" t="n">
        <v>45967</v>
      </c>
      <c r="D1295" t="inlineStr">
        <is>
          <t>VÄSTERNORRLANDS LÄN</t>
        </is>
      </c>
      <c r="E1295" t="inlineStr">
        <is>
          <t>ÅNGE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113-2025</t>
        </is>
      </c>
      <c r="B1296" s="1" t="n">
        <v>45659.5106712963</v>
      </c>
      <c r="C1296" s="1" t="n">
        <v>45967</v>
      </c>
      <c r="D1296" t="inlineStr">
        <is>
          <t>VÄSTERNORRLANDS LÄN</t>
        </is>
      </c>
      <c r="E1296" t="inlineStr">
        <is>
          <t>ÅNGE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1403-2025</t>
        </is>
      </c>
      <c r="B1297" s="1" t="n">
        <v>45667.70548611111</v>
      </c>
      <c r="C1297" s="1" t="n">
        <v>45967</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39619-2024</t>
        </is>
      </c>
      <c r="B1298" s="1" t="n">
        <v>45552</v>
      </c>
      <c r="C1298" s="1" t="n">
        <v>45967</v>
      </c>
      <c r="D1298" t="inlineStr">
        <is>
          <t>VÄSTERNORRLANDS LÄN</t>
        </is>
      </c>
      <c r="E1298" t="inlineStr">
        <is>
          <t>ÅNGE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30875-2025</t>
        </is>
      </c>
      <c r="B1299" s="1" t="n">
        <v>45832.34447916667</v>
      </c>
      <c r="C1299" s="1" t="n">
        <v>45967</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31211-2025</t>
        </is>
      </c>
      <c r="B1300" s="1" t="n">
        <v>45832.71938657408</v>
      </c>
      <c r="C1300" s="1" t="n">
        <v>45967</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30618-2025</t>
        </is>
      </c>
      <c r="B1301" s="1" t="n">
        <v>45831.46909722222</v>
      </c>
      <c r="C1301" s="1" t="n">
        <v>45967</v>
      </c>
      <c r="D1301" t="inlineStr">
        <is>
          <t>VÄSTERNORRLANDS LÄN</t>
        </is>
      </c>
      <c r="E1301" t="inlineStr">
        <is>
          <t>ÅNGE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31188-2025</t>
        </is>
      </c>
      <c r="B1302" s="1" t="n">
        <v>45832.67842592593</v>
      </c>
      <c r="C1302" s="1" t="n">
        <v>45967</v>
      </c>
      <c r="D1302" t="inlineStr">
        <is>
          <t>VÄSTERNORRLANDS LÄN</t>
        </is>
      </c>
      <c r="E1302" t="inlineStr">
        <is>
          <t>ÅNGE</t>
        </is>
      </c>
      <c r="F1302" t="inlineStr">
        <is>
          <t>SCA</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31042-2025</t>
        </is>
      </c>
      <c r="B1303" s="1" t="n">
        <v>45832.55267361111</v>
      </c>
      <c r="C1303" s="1" t="n">
        <v>45967</v>
      </c>
      <c r="D1303" t="inlineStr">
        <is>
          <t>VÄSTERNORRLANDS LÄN</t>
        </is>
      </c>
      <c r="E1303" t="inlineStr">
        <is>
          <t>ÅNGE</t>
        </is>
      </c>
      <c r="F1303" t="inlineStr">
        <is>
          <t>SCA</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31135-2025</t>
        </is>
      </c>
      <c r="B1304" s="1" t="n">
        <v>45832.63581018519</v>
      </c>
      <c r="C1304" s="1" t="n">
        <v>45967</v>
      </c>
      <c r="D1304" t="inlineStr">
        <is>
          <t>VÄSTERNORRLANDS LÄN</t>
        </is>
      </c>
      <c r="E1304" t="inlineStr">
        <is>
          <t>ÅNGE</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30892-2025</t>
        </is>
      </c>
      <c r="B1305" s="1" t="n">
        <v>45832.34663194444</v>
      </c>
      <c r="C1305" s="1" t="n">
        <v>45967</v>
      </c>
      <c r="D1305" t="inlineStr">
        <is>
          <t>VÄSTERNORRLANDS LÄN</t>
        </is>
      </c>
      <c r="E1305" t="inlineStr">
        <is>
          <t>ÅNGE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58774-2023</t>
        </is>
      </c>
      <c r="B1306" s="1" t="n">
        <v>45251</v>
      </c>
      <c r="C1306" s="1" t="n">
        <v>45967</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4359-2025</t>
        </is>
      </c>
      <c r="B1307" s="1" t="n">
        <v>45686.33072916666</v>
      </c>
      <c r="C1307" s="1" t="n">
        <v>45967</v>
      </c>
      <c r="D1307" t="inlineStr">
        <is>
          <t>VÄSTERNORRLANDS LÄN</t>
        </is>
      </c>
      <c r="E1307" t="inlineStr">
        <is>
          <t>ÅNGE</t>
        </is>
      </c>
      <c r="F1307" t="inlineStr">
        <is>
          <t>Holmen skog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30598-2025</t>
        </is>
      </c>
      <c r="B1308" s="1" t="n">
        <v>45831.44834490741</v>
      </c>
      <c r="C1308" s="1" t="n">
        <v>45967</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11399-2025</t>
        </is>
      </c>
      <c r="B1309" s="1" t="n">
        <v>45726.57364583333</v>
      </c>
      <c r="C1309" s="1" t="n">
        <v>45967</v>
      </c>
      <c r="D1309" t="inlineStr">
        <is>
          <t>VÄSTERNORRLANDS LÄN</t>
        </is>
      </c>
      <c r="E1309" t="inlineStr">
        <is>
          <t>ÅNGE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31041-2025</t>
        </is>
      </c>
      <c r="B1310" s="1" t="n">
        <v>45832.55247685185</v>
      </c>
      <c r="C1310" s="1" t="n">
        <v>45967</v>
      </c>
      <c r="D1310" t="inlineStr">
        <is>
          <t>VÄSTERNORRLANDS LÄN</t>
        </is>
      </c>
      <c r="E1310" t="inlineStr">
        <is>
          <t>ÅNGE</t>
        </is>
      </c>
      <c r="F1310" t="inlineStr">
        <is>
          <t>SCA</t>
        </is>
      </c>
      <c r="G1310" t="n">
        <v>15.1</v>
      </c>
      <c r="H1310" t="n">
        <v>0</v>
      </c>
      <c r="I1310" t="n">
        <v>0</v>
      </c>
      <c r="J1310" t="n">
        <v>0</v>
      </c>
      <c r="K1310" t="n">
        <v>0</v>
      </c>
      <c r="L1310" t="n">
        <v>0</v>
      </c>
      <c r="M1310" t="n">
        <v>0</v>
      </c>
      <c r="N1310" t="n">
        <v>0</v>
      </c>
      <c r="O1310" t="n">
        <v>0</v>
      </c>
      <c r="P1310" t="n">
        <v>0</v>
      </c>
      <c r="Q1310" t="n">
        <v>0</v>
      </c>
      <c r="R1310" s="2" t="inlineStr"/>
    </row>
    <row r="1311" ht="15" customHeight="1">
      <c r="A1311" t="inlineStr">
        <is>
          <t>A 31139-2025</t>
        </is>
      </c>
      <c r="B1311" s="1" t="n">
        <v>45832.63633101852</v>
      </c>
      <c r="C1311" s="1" t="n">
        <v>45967</v>
      </c>
      <c r="D1311" t="inlineStr">
        <is>
          <t>VÄSTERNORRLANDS LÄN</t>
        </is>
      </c>
      <c r="E1311" t="inlineStr">
        <is>
          <t>ÅNGE</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30877-2025</t>
        </is>
      </c>
      <c r="B1312" s="1" t="n">
        <v>45832.34478009259</v>
      </c>
      <c r="C1312" s="1" t="n">
        <v>45967</v>
      </c>
      <c r="D1312" t="inlineStr">
        <is>
          <t>VÄSTERNORRLANDS LÄN</t>
        </is>
      </c>
      <c r="E1312" t="inlineStr">
        <is>
          <t>ÅNGE</t>
        </is>
      </c>
      <c r="F1312" t="inlineStr">
        <is>
          <t>SCA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30888-2025</t>
        </is>
      </c>
      <c r="B1313" s="1" t="n">
        <v>45832.34606481482</v>
      </c>
      <c r="C1313" s="1" t="n">
        <v>45967</v>
      </c>
      <c r="D1313" t="inlineStr">
        <is>
          <t>VÄSTERNORRLANDS LÄN</t>
        </is>
      </c>
      <c r="E1313" t="inlineStr">
        <is>
          <t>ÅNGE</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15822-2025</t>
        </is>
      </c>
      <c r="B1314" s="1" t="n">
        <v>45748.70172453704</v>
      </c>
      <c r="C1314" s="1" t="n">
        <v>45967</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57591-2022</t>
        </is>
      </c>
      <c r="B1315" s="1" t="n">
        <v>44896.97834490741</v>
      </c>
      <c r="C1315" s="1" t="n">
        <v>45967</v>
      </c>
      <c r="D1315" t="inlineStr">
        <is>
          <t>VÄSTERNORRLANDS LÄN</t>
        </is>
      </c>
      <c r="E1315" t="inlineStr">
        <is>
          <t>ÅNGE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31275-2025</t>
        </is>
      </c>
      <c r="B1316" s="1" t="n">
        <v>45833.34459490741</v>
      </c>
      <c r="C1316" s="1" t="n">
        <v>45967</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17044-2023</t>
        </is>
      </c>
      <c r="B1317" s="1" t="n">
        <v>45034</v>
      </c>
      <c r="C1317" s="1" t="n">
        <v>45967</v>
      </c>
      <c r="D1317" t="inlineStr">
        <is>
          <t>VÄSTERNORRLANDS LÄN</t>
        </is>
      </c>
      <c r="E1317" t="inlineStr">
        <is>
          <t>ÅNGE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31452-2025</t>
        </is>
      </c>
      <c r="B1318" s="1" t="n">
        <v>45833.53179398148</v>
      </c>
      <c r="C1318" s="1" t="n">
        <v>45967</v>
      </c>
      <c r="D1318" t="inlineStr">
        <is>
          <t>VÄSTERNORRLANDS LÄN</t>
        </is>
      </c>
      <c r="E1318" t="inlineStr">
        <is>
          <t>ÅNGE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31544-2025</t>
        </is>
      </c>
      <c r="B1319" s="1" t="n">
        <v>45833.63597222222</v>
      </c>
      <c r="C1319" s="1" t="n">
        <v>45967</v>
      </c>
      <c r="D1319" t="inlineStr">
        <is>
          <t>VÄSTERNORRLANDS LÄN</t>
        </is>
      </c>
      <c r="E1319" t="inlineStr">
        <is>
          <t>ÅNGE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31646-2025</t>
        </is>
      </c>
      <c r="B1320" s="1" t="n">
        <v>45834.34563657407</v>
      </c>
      <c r="C1320" s="1" t="n">
        <v>45967</v>
      </c>
      <c r="D1320" t="inlineStr">
        <is>
          <t>VÄSTERNORRLANDS LÄN</t>
        </is>
      </c>
      <c r="E1320" t="inlineStr">
        <is>
          <t>ÅNGE</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31484-2025</t>
        </is>
      </c>
      <c r="B1321" s="1" t="n">
        <v>45833.57418981481</v>
      </c>
      <c r="C1321" s="1" t="n">
        <v>45967</v>
      </c>
      <c r="D1321" t="inlineStr">
        <is>
          <t>VÄSTERNORRLANDS LÄN</t>
        </is>
      </c>
      <c r="E1321" t="inlineStr">
        <is>
          <t>ÅNGE</t>
        </is>
      </c>
      <c r="F1321" t="inlineStr">
        <is>
          <t>SCA</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31642-2025</t>
        </is>
      </c>
      <c r="B1322" s="1" t="n">
        <v>45834.34474537037</v>
      </c>
      <c r="C1322" s="1" t="n">
        <v>45967</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60812-2024</t>
        </is>
      </c>
      <c r="B1323" s="1" t="n">
        <v>45644</v>
      </c>
      <c r="C1323" s="1" t="n">
        <v>45967</v>
      </c>
      <c r="D1323" t="inlineStr">
        <is>
          <t>VÄSTERNORRLANDS LÄN</t>
        </is>
      </c>
      <c r="E1323" t="inlineStr">
        <is>
          <t>ÅNGE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31666-2025</t>
        </is>
      </c>
      <c r="B1324" s="1" t="n">
        <v>45834.36519675926</v>
      </c>
      <c r="C1324" s="1" t="n">
        <v>45967</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58943-2022</t>
        </is>
      </c>
      <c r="B1325" s="1" t="n">
        <v>44903.64400462963</v>
      </c>
      <c r="C1325" s="1" t="n">
        <v>45967</v>
      </c>
      <c r="D1325" t="inlineStr">
        <is>
          <t>VÄSTERNORRLANDS LÄN</t>
        </is>
      </c>
      <c r="E1325" t="inlineStr">
        <is>
          <t>ÅNGE</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1103-2023</t>
        </is>
      </c>
      <c r="B1326" s="1" t="n">
        <v>44929</v>
      </c>
      <c r="C1326" s="1" t="n">
        <v>45967</v>
      </c>
      <c r="D1326" t="inlineStr">
        <is>
          <t>VÄSTERNORRLANDS LÄN</t>
        </is>
      </c>
      <c r="E1326" t="inlineStr">
        <is>
          <t>ÅNGE</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32025-2025</t>
        </is>
      </c>
      <c r="B1327" s="1" t="n">
        <v>45835.40721064815</v>
      </c>
      <c r="C1327" s="1" t="n">
        <v>45967</v>
      </c>
      <c r="D1327" t="inlineStr">
        <is>
          <t>VÄSTERNORRLANDS LÄN</t>
        </is>
      </c>
      <c r="E1327" t="inlineStr">
        <is>
          <t>ÅNGE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26092-2025</t>
        </is>
      </c>
      <c r="B1328" s="1" t="n">
        <v>45805</v>
      </c>
      <c r="C1328" s="1" t="n">
        <v>45967</v>
      </c>
      <c r="D1328" t="inlineStr">
        <is>
          <t>VÄSTERNORRLANDS LÄN</t>
        </is>
      </c>
      <c r="E1328" t="inlineStr">
        <is>
          <t>ÅNGE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57526-2024</t>
        </is>
      </c>
      <c r="B1329" s="1" t="n">
        <v>45630</v>
      </c>
      <c r="C1329" s="1" t="n">
        <v>45967</v>
      </c>
      <c r="D1329" t="inlineStr">
        <is>
          <t>VÄSTERNORRLANDS LÄN</t>
        </is>
      </c>
      <c r="E1329" t="inlineStr">
        <is>
          <t>ÅNGE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32024-2025</t>
        </is>
      </c>
      <c r="B1330" s="1" t="n">
        <v>45835.40706018519</v>
      </c>
      <c r="C1330" s="1" t="n">
        <v>45967</v>
      </c>
      <c r="D1330" t="inlineStr">
        <is>
          <t>VÄSTERNORRLANDS LÄN</t>
        </is>
      </c>
      <c r="E1330" t="inlineStr">
        <is>
          <t>ÅNGE</t>
        </is>
      </c>
      <c r="F1330" t="inlineStr">
        <is>
          <t>SCA</t>
        </is>
      </c>
      <c r="G1330" t="n">
        <v>12.3</v>
      </c>
      <c r="H1330" t="n">
        <v>0</v>
      </c>
      <c r="I1330" t="n">
        <v>0</v>
      </c>
      <c r="J1330" t="n">
        <v>0</v>
      </c>
      <c r="K1330" t="n">
        <v>0</v>
      </c>
      <c r="L1330" t="n">
        <v>0</v>
      </c>
      <c r="M1330" t="n">
        <v>0</v>
      </c>
      <c r="N1330" t="n">
        <v>0</v>
      </c>
      <c r="O1330" t="n">
        <v>0</v>
      </c>
      <c r="P1330" t="n">
        <v>0</v>
      </c>
      <c r="Q1330" t="n">
        <v>0</v>
      </c>
      <c r="R1330" s="2" t="inlineStr"/>
    </row>
    <row r="1331" ht="15" customHeight="1">
      <c r="A1331" t="inlineStr">
        <is>
          <t>A 18456-2024</t>
        </is>
      </c>
      <c r="B1331" s="1" t="n">
        <v>45425.46831018518</v>
      </c>
      <c r="C1331" s="1" t="n">
        <v>45967</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32847-2025</t>
        </is>
      </c>
      <c r="B1332" s="1" t="n">
        <v>45839.57354166666</v>
      </c>
      <c r="C1332" s="1" t="n">
        <v>45967</v>
      </c>
      <c r="D1332" t="inlineStr">
        <is>
          <t>VÄSTERNORRLANDS LÄN</t>
        </is>
      </c>
      <c r="E1332" t="inlineStr">
        <is>
          <t>ÅNGE</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44180-2023</t>
        </is>
      </c>
      <c r="B1333" s="1" t="n">
        <v>45183</v>
      </c>
      <c r="C1333" s="1" t="n">
        <v>45967</v>
      </c>
      <c r="D1333" t="inlineStr">
        <is>
          <t>VÄSTERNORRLANDS LÄN</t>
        </is>
      </c>
      <c r="E1333" t="inlineStr">
        <is>
          <t>ÅNGE</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5197-2025</t>
        </is>
      </c>
      <c r="B1334" s="1" t="n">
        <v>45691.65701388889</v>
      </c>
      <c r="C1334" s="1" t="n">
        <v>45967</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5246-2025</t>
        </is>
      </c>
      <c r="B1335" s="1" t="n">
        <v>45692.34427083333</v>
      </c>
      <c r="C1335" s="1" t="n">
        <v>45967</v>
      </c>
      <c r="D1335" t="inlineStr">
        <is>
          <t>VÄSTERNORRLANDS LÄN</t>
        </is>
      </c>
      <c r="E1335" t="inlineStr">
        <is>
          <t>ÅNGE</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41829-2021</t>
        </is>
      </c>
      <c r="B1336" s="1" t="n">
        <v>44425.92202546296</v>
      </c>
      <c r="C1336" s="1" t="n">
        <v>45967</v>
      </c>
      <c r="D1336" t="inlineStr">
        <is>
          <t>VÄSTERNORRLANDS LÄN</t>
        </is>
      </c>
      <c r="E1336" t="inlineStr">
        <is>
          <t>ÅNGE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33782-2025</t>
        </is>
      </c>
      <c r="B1337" s="1" t="n">
        <v>45842.40678240741</v>
      </c>
      <c r="C1337" s="1" t="n">
        <v>45967</v>
      </c>
      <c r="D1337" t="inlineStr">
        <is>
          <t>VÄSTERNORRLANDS LÄN</t>
        </is>
      </c>
      <c r="E1337" t="inlineStr">
        <is>
          <t>ÅNGE</t>
        </is>
      </c>
      <c r="F1337" t="inlineStr">
        <is>
          <t>SCA</t>
        </is>
      </c>
      <c r="G1337" t="n">
        <v>8.4</v>
      </c>
      <c r="H1337" t="n">
        <v>0</v>
      </c>
      <c r="I1337" t="n">
        <v>0</v>
      </c>
      <c r="J1337" t="n">
        <v>0</v>
      </c>
      <c r="K1337" t="n">
        <v>0</v>
      </c>
      <c r="L1337" t="n">
        <v>0</v>
      </c>
      <c r="M1337" t="n">
        <v>0</v>
      </c>
      <c r="N1337" t="n">
        <v>0</v>
      </c>
      <c r="O1337" t="n">
        <v>0</v>
      </c>
      <c r="P1337" t="n">
        <v>0</v>
      </c>
      <c r="Q1337" t="n">
        <v>0</v>
      </c>
      <c r="R1337" s="2" t="inlineStr"/>
    </row>
    <row r="1338" ht="15" customHeight="1">
      <c r="A1338" t="inlineStr">
        <is>
          <t>A 50612-2024</t>
        </is>
      </c>
      <c r="B1338" s="1" t="n">
        <v>45601</v>
      </c>
      <c r="C1338" s="1" t="n">
        <v>45967</v>
      </c>
      <c r="D1338" t="inlineStr">
        <is>
          <t>VÄSTERNORRLANDS LÄN</t>
        </is>
      </c>
      <c r="E1338" t="inlineStr">
        <is>
          <t>ÅNGE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13491-2023</t>
        </is>
      </c>
      <c r="B1339" s="1" t="n">
        <v>45005.93929398148</v>
      </c>
      <c r="C1339" s="1" t="n">
        <v>45967</v>
      </c>
      <c r="D1339" t="inlineStr">
        <is>
          <t>VÄSTERNORRLANDS LÄN</t>
        </is>
      </c>
      <c r="E1339" t="inlineStr">
        <is>
          <t>ÅNGE</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33717-2025</t>
        </is>
      </c>
      <c r="B1340" s="1" t="n">
        <v>45841.89357638889</v>
      </c>
      <c r="C1340" s="1" t="n">
        <v>45967</v>
      </c>
      <c r="D1340" t="inlineStr">
        <is>
          <t>VÄSTERNORRLANDS LÄN</t>
        </is>
      </c>
      <c r="E1340" t="inlineStr">
        <is>
          <t>ÅNGE</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33738-2025</t>
        </is>
      </c>
      <c r="B1341" s="1" t="n">
        <v>45842.33795138889</v>
      </c>
      <c r="C1341" s="1" t="n">
        <v>45967</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47243-2024</t>
        </is>
      </c>
      <c r="B1342" s="1" t="n">
        <v>45586.6987962963</v>
      </c>
      <c r="C1342" s="1" t="n">
        <v>45967</v>
      </c>
      <c r="D1342" t="inlineStr">
        <is>
          <t>VÄSTERNORRLANDS LÄN</t>
        </is>
      </c>
      <c r="E1342" t="inlineStr">
        <is>
          <t>ÅNGE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37540-2024</t>
        </is>
      </c>
      <c r="B1343" s="1" t="n">
        <v>45541.42111111111</v>
      </c>
      <c r="C1343" s="1" t="n">
        <v>45967</v>
      </c>
      <c r="D1343" t="inlineStr">
        <is>
          <t>VÄSTERNORRLANDS LÄN</t>
        </is>
      </c>
      <c r="E1343" t="inlineStr">
        <is>
          <t>ÅNGE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42948-2024</t>
        </is>
      </c>
      <c r="B1344" s="1" t="n">
        <v>45567.36628472222</v>
      </c>
      <c r="C1344" s="1" t="n">
        <v>45967</v>
      </c>
      <c r="D1344" t="inlineStr">
        <is>
          <t>VÄSTERNORRLANDS LÄN</t>
        </is>
      </c>
      <c r="E1344" t="inlineStr">
        <is>
          <t>ÅNGE</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34019-2025</t>
        </is>
      </c>
      <c r="B1345" s="1" t="n">
        <v>45845.34416666667</v>
      </c>
      <c r="C1345" s="1" t="n">
        <v>45967</v>
      </c>
      <c r="D1345" t="inlineStr">
        <is>
          <t>VÄSTERNORRLANDS LÄN</t>
        </is>
      </c>
      <c r="E1345" t="inlineStr">
        <is>
          <t>ÅNGE</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34031-2025</t>
        </is>
      </c>
      <c r="B1346" s="1" t="n">
        <v>45845.36508101852</v>
      </c>
      <c r="C1346" s="1" t="n">
        <v>45967</v>
      </c>
      <c r="D1346" t="inlineStr">
        <is>
          <t>VÄSTERNORRLANDS LÄN</t>
        </is>
      </c>
      <c r="E1346" t="inlineStr">
        <is>
          <t>ÅNGE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54585-2024</t>
        </is>
      </c>
      <c r="B1347" s="1" t="n">
        <v>45617.65762731482</v>
      </c>
      <c r="C1347" s="1" t="n">
        <v>45967</v>
      </c>
      <c r="D1347" t="inlineStr">
        <is>
          <t>VÄSTERNORRLANDS LÄN</t>
        </is>
      </c>
      <c r="E1347" t="inlineStr">
        <is>
          <t>ÅNGE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15404-2025</t>
        </is>
      </c>
      <c r="B1348" s="1" t="n">
        <v>45747.44665509259</v>
      </c>
      <c r="C1348" s="1" t="n">
        <v>45967</v>
      </c>
      <c r="D1348" t="inlineStr">
        <is>
          <t>VÄSTERNORRLANDS LÄN</t>
        </is>
      </c>
      <c r="E1348" t="inlineStr">
        <is>
          <t>ÅNGE</t>
        </is>
      </c>
      <c r="G1348" t="n">
        <v>11.8</v>
      </c>
      <c r="H1348" t="n">
        <v>0</v>
      </c>
      <c r="I1348" t="n">
        <v>0</v>
      </c>
      <c r="J1348" t="n">
        <v>0</v>
      </c>
      <c r="K1348" t="n">
        <v>0</v>
      </c>
      <c r="L1348" t="n">
        <v>0</v>
      </c>
      <c r="M1348" t="n">
        <v>0</v>
      </c>
      <c r="N1348" t="n">
        <v>0</v>
      </c>
      <c r="O1348" t="n">
        <v>0</v>
      </c>
      <c r="P1348" t="n">
        <v>0</v>
      </c>
      <c r="Q1348" t="n">
        <v>0</v>
      </c>
      <c r="R1348" s="2" t="inlineStr"/>
    </row>
    <row r="1349" ht="15" customHeight="1">
      <c r="A1349" t="inlineStr">
        <is>
          <t>A 17703-2025</t>
        </is>
      </c>
      <c r="B1349" s="1" t="n">
        <v>45758.4275462963</v>
      </c>
      <c r="C1349" s="1" t="n">
        <v>45967</v>
      </c>
      <c r="D1349" t="inlineStr">
        <is>
          <t>VÄSTERNORRLANDS LÄN</t>
        </is>
      </c>
      <c r="E1349" t="inlineStr">
        <is>
          <t>ÅNGE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34785-2025</t>
        </is>
      </c>
      <c r="B1350" s="1" t="n">
        <v>45848.67771990741</v>
      </c>
      <c r="C1350" s="1" t="n">
        <v>45967</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34591-2025</t>
        </is>
      </c>
      <c r="B1351" s="1" t="n">
        <v>45847.62920138889</v>
      </c>
      <c r="C1351" s="1" t="n">
        <v>45967</v>
      </c>
      <c r="D1351" t="inlineStr">
        <is>
          <t>VÄSTERNORRLANDS LÄN</t>
        </is>
      </c>
      <c r="E1351" t="inlineStr">
        <is>
          <t>ÅNGE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34593-2025</t>
        </is>
      </c>
      <c r="B1352" s="1" t="n">
        <v>45847.6316087963</v>
      </c>
      <c r="C1352" s="1" t="n">
        <v>45967</v>
      </c>
      <c r="D1352" t="inlineStr">
        <is>
          <t>VÄSTERNORRLANDS LÄN</t>
        </is>
      </c>
      <c r="E1352" t="inlineStr">
        <is>
          <t>ÅNGE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35143-2025</t>
        </is>
      </c>
      <c r="B1353" s="1" t="n">
        <v>45852.65660879629</v>
      </c>
      <c r="C1353" s="1" t="n">
        <v>45967</v>
      </c>
      <c r="D1353" t="inlineStr">
        <is>
          <t>VÄSTERNORRLANDS LÄN</t>
        </is>
      </c>
      <c r="E1353" t="inlineStr">
        <is>
          <t>ÅNGE</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35061-2025</t>
        </is>
      </c>
      <c r="B1354" s="1" t="n">
        <v>45852</v>
      </c>
      <c r="C1354" s="1" t="n">
        <v>45967</v>
      </c>
      <c r="D1354" t="inlineStr">
        <is>
          <t>VÄSTERNORRLANDS LÄN</t>
        </is>
      </c>
      <c r="E1354" t="inlineStr">
        <is>
          <t>ÅNGE</t>
        </is>
      </c>
      <c r="F1354" t="inlineStr">
        <is>
          <t>SCA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35503-2025</t>
        </is>
      </c>
      <c r="B1355" s="1" t="n">
        <v>45856</v>
      </c>
      <c r="C1355" s="1" t="n">
        <v>45967</v>
      </c>
      <c r="D1355" t="inlineStr">
        <is>
          <t>VÄSTERNORRLANDS LÄN</t>
        </is>
      </c>
      <c r="E1355" t="inlineStr">
        <is>
          <t>ÅNGE</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35540-2025</t>
        </is>
      </c>
      <c r="B1356" s="1" t="n">
        <v>45856.46912037037</v>
      </c>
      <c r="C1356" s="1" t="n">
        <v>45967</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35548-2025</t>
        </is>
      </c>
      <c r="B1357" s="1" t="n">
        <v>45856.48995370371</v>
      </c>
      <c r="C1357" s="1" t="n">
        <v>45967</v>
      </c>
      <c r="D1357" t="inlineStr">
        <is>
          <t>VÄSTERNORRLANDS LÄN</t>
        </is>
      </c>
      <c r="E1357" t="inlineStr">
        <is>
          <t>ÅNGE</t>
        </is>
      </c>
      <c r="F1357" t="inlineStr">
        <is>
          <t>SCA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35575-2025</t>
        </is>
      </c>
      <c r="B1358" s="1" t="n">
        <v>45856.63591435185</v>
      </c>
      <c r="C1358" s="1" t="n">
        <v>45967</v>
      </c>
      <c r="D1358" t="inlineStr">
        <is>
          <t>VÄSTERNORRLANDS LÄN</t>
        </is>
      </c>
      <c r="E1358" t="inlineStr">
        <is>
          <t>ÅNGE</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35497-2025</t>
        </is>
      </c>
      <c r="B1359" s="1" t="n">
        <v>45856.29752314815</v>
      </c>
      <c r="C1359" s="1" t="n">
        <v>45967</v>
      </c>
      <c r="D1359" t="inlineStr">
        <is>
          <t>VÄSTERNORRLANDS LÄN</t>
        </is>
      </c>
      <c r="E1359" t="inlineStr">
        <is>
          <t>ÅNGE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35432-2025</t>
        </is>
      </c>
      <c r="B1360" s="1" t="n">
        <v>45855.44831018519</v>
      </c>
      <c r="C1360" s="1" t="n">
        <v>45967</v>
      </c>
      <c r="D1360" t="inlineStr">
        <is>
          <t>VÄSTERNORRLANDS LÄN</t>
        </is>
      </c>
      <c r="E1360" t="inlineStr">
        <is>
          <t>ÅNGE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35577-2025</t>
        </is>
      </c>
      <c r="B1361" s="1" t="n">
        <v>45856.67762731481</v>
      </c>
      <c r="C1361" s="1" t="n">
        <v>45967</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35690-2025</t>
        </is>
      </c>
      <c r="B1362" s="1" t="n">
        <v>45860.34421296296</v>
      </c>
      <c r="C1362" s="1" t="n">
        <v>45967</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35781-2025</t>
        </is>
      </c>
      <c r="B1363" s="1" t="n">
        <v>45860.70613425926</v>
      </c>
      <c r="C1363" s="1" t="n">
        <v>45967</v>
      </c>
      <c r="D1363" t="inlineStr">
        <is>
          <t>VÄSTERNORRLANDS LÄN</t>
        </is>
      </c>
      <c r="E1363" t="inlineStr">
        <is>
          <t>ÅNGE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35766-2025</t>
        </is>
      </c>
      <c r="B1364" s="1" t="n">
        <v>45860.63077546296</v>
      </c>
      <c r="C1364" s="1" t="n">
        <v>45967</v>
      </c>
      <c r="D1364" t="inlineStr">
        <is>
          <t>VÄSTERNORRLANDS LÄN</t>
        </is>
      </c>
      <c r="E1364" t="inlineStr">
        <is>
          <t>ÅNGE</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35826-2025</t>
        </is>
      </c>
      <c r="B1365" s="1" t="n">
        <v>45861.48997685185</v>
      </c>
      <c r="C1365" s="1" t="n">
        <v>45967</v>
      </c>
      <c r="D1365" t="inlineStr">
        <is>
          <t>VÄSTERNORRLANDS LÄN</t>
        </is>
      </c>
      <c r="E1365" t="inlineStr">
        <is>
          <t>ÅNGE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35838-2025</t>
        </is>
      </c>
      <c r="B1366" s="1" t="n">
        <v>45861.53829861111</v>
      </c>
      <c r="C1366" s="1" t="n">
        <v>45967</v>
      </c>
      <c r="D1366" t="inlineStr">
        <is>
          <t>VÄSTERNORRLANDS LÄN</t>
        </is>
      </c>
      <c r="E1366" t="inlineStr">
        <is>
          <t>ÅNGE</t>
        </is>
      </c>
      <c r="F1366" t="inlineStr">
        <is>
          <t>Sveaskog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35827-2025</t>
        </is>
      </c>
      <c r="B1367" s="1" t="n">
        <v>45861.49017361111</v>
      </c>
      <c r="C1367" s="1" t="n">
        <v>45967</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30683-2024</t>
        </is>
      </c>
      <c r="B1368" s="1" t="n">
        <v>45495</v>
      </c>
      <c r="C1368" s="1" t="n">
        <v>45967</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36205-2025</t>
        </is>
      </c>
      <c r="B1369" s="1" t="n">
        <v>45867.44855324074</v>
      </c>
      <c r="C1369" s="1" t="n">
        <v>45967</v>
      </c>
      <c r="D1369" t="inlineStr">
        <is>
          <t>VÄSTERNORRLANDS LÄN</t>
        </is>
      </c>
      <c r="E1369" t="inlineStr">
        <is>
          <t>ÅNGE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36240-2025</t>
        </is>
      </c>
      <c r="B1370" s="1" t="n">
        <v>45867.55298611111</v>
      </c>
      <c r="C1370" s="1" t="n">
        <v>45967</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36210-2025</t>
        </is>
      </c>
      <c r="B1371" s="1" t="n">
        <v>45867.46930555555</v>
      </c>
      <c r="C1371" s="1" t="n">
        <v>45967</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36236-2025</t>
        </is>
      </c>
      <c r="B1372" s="1" t="n">
        <v>45867.55245370371</v>
      </c>
      <c r="C1372" s="1" t="n">
        <v>45967</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36248-2025</t>
        </is>
      </c>
      <c r="B1373" s="1" t="n">
        <v>45867.57326388889</v>
      </c>
      <c r="C1373" s="1" t="n">
        <v>45967</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36237-2025</t>
        </is>
      </c>
      <c r="B1374" s="1" t="n">
        <v>45867.55263888889</v>
      </c>
      <c r="C1374" s="1" t="n">
        <v>45967</v>
      </c>
      <c r="D1374" t="inlineStr">
        <is>
          <t>VÄSTERNORRLANDS LÄN</t>
        </is>
      </c>
      <c r="E1374" t="inlineStr">
        <is>
          <t>ÅNGE</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36193-2025</t>
        </is>
      </c>
      <c r="B1375" s="1" t="n">
        <v>45867.42741898148</v>
      </c>
      <c r="C1375" s="1" t="n">
        <v>45967</v>
      </c>
      <c r="D1375" t="inlineStr">
        <is>
          <t>VÄSTERNORRLANDS LÄN</t>
        </is>
      </c>
      <c r="E1375" t="inlineStr">
        <is>
          <t>ÅNGE</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36336-2025</t>
        </is>
      </c>
      <c r="B1376" s="1" t="n">
        <v>45868.44751157407</v>
      </c>
      <c r="C1376" s="1" t="n">
        <v>45967</v>
      </c>
      <c r="D1376" t="inlineStr">
        <is>
          <t>VÄSTERNORRLANDS LÄN</t>
        </is>
      </c>
      <c r="E1376" t="inlineStr">
        <is>
          <t>ÅNGE</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36457-2025</t>
        </is>
      </c>
      <c r="B1377" s="1" t="n">
        <v>45869.44842592593</v>
      </c>
      <c r="C1377" s="1" t="n">
        <v>45967</v>
      </c>
      <c r="D1377" t="inlineStr">
        <is>
          <t>VÄSTERNORRLANDS LÄN</t>
        </is>
      </c>
      <c r="E1377" t="inlineStr">
        <is>
          <t>ÅNGE</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36456-2025</t>
        </is>
      </c>
      <c r="B1378" s="1" t="n">
        <v>45869.44827546296</v>
      </c>
      <c r="C1378" s="1" t="n">
        <v>45967</v>
      </c>
      <c r="D1378" t="inlineStr">
        <is>
          <t>VÄSTERNORRLANDS LÄN</t>
        </is>
      </c>
      <c r="E1378" t="inlineStr">
        <is>
          <t>ÅNGE</t>
        </is>
      </c>
      <c r="F1378" t="inlineStr">
        <is>
          <t>SCA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36491-2025</t>
        </is>
      </c>
      <c r="B1379" s="1" t="n">
        <v>45869.53173611111</v>
      </c>
      <c r="C1379" s="1" t="n">
        <v>45967</v>
      </c>
      <c r="D1379" t="inlineStr">
        <is>
          <t>VÄSTERNORRLANDS LÄN</t>
        </is>
      </c>
      <c r="E1379" t="inlineStr">
        <is>
          <t>ÅNGE</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36873-2025</t>
        </is>
      </c>
      <c r="B1380" s="1" t="n">
        <v>45874.42935185185</v>
      </c>
      <c r="C1380" s="1" t="n">
        <v>45967</v>
      </c>
      <c r="D1380" t="inlineStr">
        <is>
          <t>VÄSTERNORRLANDS LÄN</t>
        </is>
      </c>
      <c r="E1380" t="inlineStr">
        <is>
          <t>ÅNGE</t>
        </is>
      </c>
      <c r="F1380" t="inlineStr">
        <is>
          <t>SCA</t>
        </is>
      </c>
      <c r="G1380" t="n">
        <v>16.9</v>
      </c>
      <c r="H1380" t="n">
        <v>0</v>
      </c>
      <c r="I1380" t="n">
        <v>0</v>
      </c>
      <c r="J1380" t="n">
        <v>0</v>
      </c>
      <c r="K1380" t="n">
        <v>0</v>
      </c>
      <c r="L1380" t="n">
        <v>0</v>
      </c>
      <c r="M1380" t="n">
        <v>0</v>
      </c>
      <c r="N1380" t="n">
        <v>0</v>
      </c>
      <c r="O1380" t="n">
        <v>0</v>
      </c>
      <c r="P1380" t="n">
        <v>0</v>
      </c>
      <c r="Q1380" t="n">
        <v>0</v>
      </c>
      <c r="R1380" s="2" t="inlineStr"/>
    </row>
    <row r="1381" ht="15" customHeight="1">
      <c r="A1381" t="inlineStr">
        <is>
          <t>A 36740-2025</t>
        </is>
      </c>
      <c r="B1381" s="1" t="n">
        <v>45873.53237268519</v>
      </c>
      <c r="C1381" s="1" t="n">
        <v>45967</v>
      </c>
      <c r="D1381" t="inlineStr">
        <is>
          <t>VÄSTERNORRLANDS LÄN</t>
        </is>
      </c>
      <c r="E1381" t="inlineStr">
        <is>
          <t>ÅNGE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36249-2025</t>
        </is>
      </c>
      <c r="B1382" s="1" t="n">
        <v>45867</v>
      </c>
      <c r="C1382" s="1" t="n">
        <v>45967</v>
      </c>
      <c r="D1382" t="inlineStr">
        <is>
          <t>VÄSTERNORRLANDS LÄN</t>
        </is>
      </c>
      <c r="E1382" t="inlineStr">
        <is>
          <t>ÅNGE</t>
        </is>
      </c>
      <c r="F1382" t="inlineStr">
        <is>
          <t>SCA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36723-2025</t>
        </is>
      </c>
      <c r="B1383" s="1" t="n">
        <v>45873.47770833333</v>
      </c>
      <c r="C1383" s="1" t="n">
        <v>45967</v>
      </c>
      <c r="D1383" t="inlineStr">
        <is>
          <t>VÄSTERNORRLANDS LÄN</t>
        </is>
      </c>
      <c r="E1383" t="inlineStr">
        <is>
          <t>ÅNGE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36674-2025</t>
        </is>
      </c>
      <c r="B1384" s="1" t="n">
        <v>45873.3930787037</v>
      </c>
      <c r="C1384" s="1" t="n">
        <v>45967</v>
      </c>
      <c r="D1384" t="inlineStr">
        <is>
          <t>VÄSTERNORRLANDS LÄN</t>
        </is>
      </c>
      <c r="E1384" t="inlineStr">
        <is>
          <t>ÅNGE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58613-2023</t>
        </is>
      </c>
      <c r="B1385" s="1" t="n">
        <v>45251.50709490741</v>
      </c>
      <c r="C1385" s="1" t="n">
        <v>45967</v>
      </c>
      <c r="D1385" t="inlineStr">
        <is>
          <t>VÄSTERNORRLANDS LÄN</t>
        </is>
      </c>
      <c r="E1385" t="inlineStr">
        <is>
          <t>ÅNGE</t>
        </is>
      </c>
      <c r="F1385" t="inlineStr">
        <is>
          <t>Övriga Aktiebolag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37045-2025</t>
        </is>
      </c>
      <c r="B1386" s="1" t="n">
        <v>45875.34451388889</v>
      </c>
      <c r="C1386" s="1" t="n">
        <v>45967</v>
      </c>
      <c r="D1386" t="inlineStr">
        <is>
          <t>VÄSTERNORRLANDS LÄN</t>
        </is>
      </c>
      <c r="E1386" t="inlineStr">
        <is>
          <t>ÅNGE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37047-2025</t>
        </is>
      </c>
      <c r="B1387" s="1" t="n">
        <v>45875.34489583333</v>
      </c>
      <c r="C1387" s="1" t="n">
        <v>45967</v>
      </c>
      <c r="D1387" t="inlineStr">
        <is>
          <t>VÄSTERNORRLANDS LÄN</t>
        </is>
      </c>
      <c r="E1387" t="inlineStr">
        <is>
          <t>ÅNGE</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37275-2025</t>
        </is>
      </c>
      <c r="B1388" s="1" t="n">
        <v>45876.49003472222</v>
      </c>
      <c r="C1388" s="1" t="n">
        <v>45967</v>
      </c>
      <c r="D1388" t="inlineStr">
        <is>
          <t>VÄSTERNORRLANDS LÄN</t>
        </is>
      </c>
      <c r="E1388" t="inlineStr">
        <is>
          <t>ÅNGE</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37303-2025</t>
        </is>
      </c>
      <c r="B1389" s="1" t="n">
        <v>45876.59445601852</v>
      </c>
      <c r="C1389" s="1" t="n">
        <v>45967</v>
      </c>
      <c r="D1389" t="inlineStr">
        <is>
          <t>VÄSTERNORRLANDS LÄN</t>
        </is>
      </c>
      <c r="E1389" t="inlineStr">
        <is>
          <t>ÅNGE</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37233-2025</t>
        </is>
      </c>
      <c r="B1390" s="1" t="n">
        <v>45876.34474537037</v>
      </c>
      <c r="C1390" s="1" t="n">
        <v>45967</v>
      </c>
      <c r="D1390" t="inlineStr">
        <is>
          <t>VÄSTERNORRLANDS LÄN</t>
        </is>
      </c>
      <c r="E1390" t="inlineStr">
        <is>
          <t>ÅNGE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37108-2025</t>
        </is>
      </c>
      <c r="B1391" s="1" t="n">
        <v>45875</v>
      </c>
      <c r="C1391" s="1" t="n">
        <v>45967</v>
      </c>
      <c r="D1391" t="inlineStr">
        <is>
          <t>VÄSTERNORRLANDS LÄN</t>
        </is>
      </c>
      <c r="E1391" t="inlineStr">
        <is>
          <t>ÅNGE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37177-2025</t>
        </is>
      </c>
      <c r="B1392" s="1" t="n">
        <v>45875.61539351852</v>
      </c>
      <c r="C1392" s="1" t="n">
        <v>45967</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37371-2025</t>
        </is>
      </c>
      <c r="B1393" s="1" t="n">
        <v>45877.34472222222</v>
      </c>
      <c r="C1393" s="1" t="n">
        <v>45967</v>
      </c>
      <c r="D1393" t="inlineStr">
        <is>
          <t>VÄSTERNORRLANDS LÄN</t>
        </is>
      </c>
      <c r="E1393" t="inlineStr">
        <is>
          <t>ÅNGE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37384-2025</t>
        </is>
      </c>
      <c r="B1394" s="1" t="n">
        <v>45877.3859837963</v>
      </c>
      <c r="C1394" s="1" t="n">
        <v>45967</v>
      </c>
      <c r="D1394" t="inlineStr">
        <is>
          <t>VÄSTERNORRLANDS LÄN</t>
        </is>
      </c>
      <c r="E1394" t="inlineStr">
        <is>
          <t>ÅNGE</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37663-2025</t>
        </is>
      </c>
      <c r="B1395" s="1" t="n">
        <v>45880.51079861111</v>
      </c>
      <c r="C1395" s="1" t="n">
        <v>45967</v>
      </c>
      <c r="D1395" t="inlineStr">
        <is>
          <t>VÄSTERNORRLANDS LÄN</t>
        </is>
      </c>
      <c r="E1395" t="inlineStr">
        <is>
          <t>ÅNGE</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37723-2025</t>
        </is>
      </c>
      <c r="B1396" s="1" t="n">
        <v>45880.61528935185</v>
      </c>
      <c r="C1396" s="1" t="n">
        <v>45967</v>
      </c>
      <c r="D1396" t="inlineStr">
        <is>
          <t>VÄSTERNORRLANDS LÄN</t>
        </is>
      </c>
      <c r="E1396" t="inlineStr">
        <is>
          <t>ÅNGE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37383-2025</t>
        </is>
      </c>
      <c r="B1397" s="1" t="n">
        <v>45877.38581018519</v>
      </c>
      <c r="C1397" s="1" t="n">
        <v>45967</v>
      </c>
      <c r="D1397" t="inlineStr">
        <is>
          <t>VÄSTERNORRLANDS LÄN</t>
        </is>
      </c>
      <c r="E1397" t="inlineStr">
        <is>
          <t>ÅNGE</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37719-2025</t>
        </is>
      </c>
      <c r="B1398" s="1" t="n">
        <v>45880.61505787037</v>
      </c>
      <c r="C1398" s="1" t="n">
        <v>45967</v>
      </c>
      <c r="D1398" t="inlineStr">
        <is>
          <t>VÄSTERNORRLANDS LÄN</t>
        </is>
      </c>
      <c r="E1398" t="inlineStr">
        <is>
          <t>ÅNGE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20110-2023</t>
        </is>
      </c>
      <c r="B1399" s="1" t="n">
        <v>45051</v>
      </c>
      <c r="C1399" s="1" t="n">
        <v>45967</v>
      </c>
      <c r="D1399" t="inlineStr">
        <is>
          <t>VÄSTERNORRLANDS LÄN</t>
        </is>
      </c>
      <c r="E1399" t="inlineStr">
        <is>
          <t>ÅNGE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34726-2024</t>
        </is>
      </c>
      <c r="B1400" s="1" t="n">
        <v>45526.5733912037</v>
      </c>
      <c r="C1400" s="1" t="n">
        <v>45967</v>
      </c>
      <c r="D1400" t="inlineStr">
        <is>
          <t>VÄSTERNORRLANDS LÄN</t>
        </is>
      </c>
      <c r="E1400" t="inlineStr">
        <is>
          <t>ÅNGE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38078-2025</t>
        </is>
      </c>
      <c r="B1401" s="1" t="n">
        <v>45882.46918981482</v>
      </c>
      <c r="C1401" s="1" t="n">
        <v>45967</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37919-2025</t>
        </is>
      </c>
      <c r="B1402" s="1" t="n">
        <v>45881.57478009259</v>
      </c>
      <c r="C1402" s="1" t="n">
        <v>45967</v>
      </c>
      <c r="D1402" t="inlineStr">
        <is>
          <t>VÄSTERNORRLANDS LÄN</t>
        </is>
      </c>
      <c r="E1402" t="inlineStr">
        <is>
          <t>ÅNGE</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37802-2025</t>
        </is>
      </c>
      <c r="B1403" s="1" t="n">
        <v>45881.34447916667</v>
      </c>
      <c r="C1403" s="1" t="n">
        <v>45967</v>
      </c>
      <c r="D1403" t="inlineStr">
        <is>
          <t>VÄSTERNORRLANDS LÄN</t>
        </is>
      </c>
      <c r="E1403" t="inlineStr">
        <is>
          <t>ÅNGE</t>
        </is>
      </c>
      <c r="F1403" t="inlineStr">
        <is>
          <t>SCA</t>
        </is>
      </c>
      <c r="G1403" t="n">
        <v>4.2</v>
      </c>
      <c r="H1403" t="n">
        <v>0</v>
      </c>
      <c r="I1403" t="n">
        <v>0</v>
      </c>
      <c r="J1403" t="n">
        <v>0</v>
      </c>
      <c r="K1403" t="n">
        <v>0</v>
      </c>
      <c r="L1403" t="n">
        <v>0</v>
      </c>
      <c r="M1403" t="n">
        <v>0</v>
      </c>
      <c r="N1403" t="n">
        <v>0</v>
      </c>
      <c r="O1403" t="n">
        <v>0</v>
      </c>
      <c r="P1403" t="n">
        <v>0</v>
      </c>
      <c r="Q1403" t="n">
        <v>0</v>
      </c>
      <c r="R1403" s="2" t="inlineStr"/>
    </row>
    <row r="1404">
      <c r="A1404" t="inlineStr">
        <is>
          <t>A 46419-2025</t>
        </is>
      </c>
      <c r="B1404" s="1" t="n">
        <v>45925.5949537037</v>
      </c>
      <c r="C1404" s="1" t="n">
        <v>45967</v>
      </c>
      <c r="D1404" t="inlineStr">
        <is>
          <t>VÄSTERNORRLANDS LÄN</t>
        </is>
      </c>
      <c r="E1404" t="inlineStr">
        <is>
          <t>ÅNGE</t>
        </is>
      </c>
      <c r="F1404" t="inlineStr">
        <is>
          <t>SCA</t>
        </is>
      </c>
      <c r="G1404" t="n">
        <v>4.4</v>
      </c>
      <c r="H1404" t="n">
        <v>0</v>
      </c>
      <c r="I1404" t="n">
        <v>0</v>
      </c>
      <c r="J1404" t="n">
        <v>0</v>
      </c>
      <c r="K1404" t="n">
        <v>0</v>
      </c>
      <c r="L1404" t="n">
        <v>0</v>
      </c>
      <c r="M1404" t="n">
        <v>0</v>
      </c>
      <c r="N1404" t="n">
        <v>0</v>
      </c>
      <c r="O1404" t="n">
        <v>0</v>
      </c>
      <c r="P1404" t="n">
        <v>0</v>
      </c>
      <c r="Q1404" t="n">
        <v>0</v>
      </c>
      <c r="R1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2025-11-06T10:19:27Z</dcterms:created>
  <dcterms:modified xmlns:dcterms="http://purl.org/dc/terms/" xmlns:xsi="http://www.w3.org/2001/XMLSchema-instance" xsi:type="dcterms:W3CDTF">2025-11-06T10:19:28Z</dcterms:modified>
</cp:coreProperties>
</file>