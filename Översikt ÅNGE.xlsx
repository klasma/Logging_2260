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45571</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45571</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45571</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45571</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45571</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45571</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45571</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45571</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45571</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45571</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45571</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45571</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45571</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45571</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45571</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45571</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45571</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45571</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45571</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45571</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45571</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45571</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45571</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45571</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45571</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45571</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45571</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45571</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45571</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45571</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45571</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45571</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45571</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45571</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45571</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45571</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45571</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45571</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45571</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45571</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45571</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45571</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45571</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45571</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45571</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45571</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45571</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45571</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45571</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45571</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45571</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45571</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45571</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45571</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45571</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45571</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45571</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45571</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45571</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45571</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45571</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45571</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45571</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45571</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45571</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45571</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45571</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45571</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45571</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45571</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45571</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45571</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45571</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45571</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45571</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45571</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45571</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45571</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45571</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45571</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45571</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45571</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45571</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45571</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45571</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45571</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45571</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45571</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45571</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45571</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45571</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45571</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45571</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45571</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45571</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45571</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45571</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45571</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45571</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45571</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45571</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45571</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45571</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45571</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45571</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45571</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45571</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45571</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45571</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45571</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45571</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45571</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45571</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45571</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45571</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45571</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45571</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45571</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45571</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45571</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45571</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45571</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45571</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45571</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45571</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45571</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45571</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45571</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45571</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45571</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45571</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45571</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45571</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45571</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45571</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45571</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45571</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45571</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45571</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45571</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39179-2024</t>
        </is>
      </c>
      <c r="B150" s="1" t="n">
        <v>45548</v>
      </c>
      <c r="C150" s="1" t="n">
        <v>45571</v>
      </c>
      <c r="D150" t="inlineStr">
        <is>
          <t>VÄSTERNORRLANDS LÄN</t>
        </is>
      </c>
      <c r="E150" t="inlineStr">
        <is>
          <t>ÅNGE</t>
        </is>
      </c>
      <c r="F150" t="inlineStr">
        <is>
          <t>SCA</t>
        </is>
      </c>
      <c r="G150" t="n">
        <v>4.2</v>
      </c>
      <c r="H150" t="n">
        <v>1</v>
      </c>
      <c r="I150" t="n">
        <v>2</v>
      </c>
      <c r="J150" t="n">
        <v>1</v>
      </c>
      <c r="K150" t="n">
        <v>0</v>
      </c>
      <c r="L150" t="n">
        <v>0</v>
      </c>
      <c r="M150" t="n">
        <v>0</v>
      </c>
      <c r="N150" t="n">
        <v>0</v>
      </c>
      <c r="O150" t="n">
        <v>1</v>
      </c>
      <c r="P150" t="n">
        <v>0</v>
      </c>
      <c r="Q150" t="n">
        <v>3</v>
      </c>
      <c r="R150" s="2" t="inlineStr">
        <is>
          <t>Rosenticka
Fjällig taggsvamp s.str.
Spindelblomster</t>
        </is>
      </c>
      <c r="S150">
        <f>HYPERLINK("https://klasma.github.io/Logging_2260/artfynd/A 39179-2024 artfynd.xlsx", "A 39179-2024")</f>
        <v/>
      </c>
      <c r="T150">
        <f>HYPERLINK("https://klasma.github.io/Logging_2260/kartor/A 39179-2024 karta.png", "A 39179-2024")</f>
        <v/>
      </c>
      <c r="V150">
        <f>HYPERLINK("https://klasma.github.io/Logging_2260/klagomål/A 39179-2024 FSC-klagomål.docx", "A 39179-2024")</f>
        <v/>
      </c>
      <c r="W150">
        <f>HYPERLINK("https://klasma.github.io/Logging_2260/klagomålsmail/A 39179-2024 FSC-klagomål mail.docx", "A 39179-2024")</f>
        <v/>
      </c>
      <c r="X150">
        <f>HYPERLINK("https://klasma.github.io/Logging_2260/tillsyn/A 39179-2024 tillsynsbegäran.docx", "A 39179-2024")</f>
        <v/>
      </c>
      <c r="Y150">
        <f>HYPERLINK("https://klasma.github.io/Logging_2260/tillsynsmail/A 39179-2024 tillsynsbegäran mail.docx", "A 39179-2024")</f>
        <v/>
      </c>
    </row>
    <row r="151" ht="15" customHeight="1">
      <c r="A151" t="inlineStr">
        <is>
          <t>A 39182-2024</t>
        </is>
      </c>
      <c r="B151" s="1" t="n">
        <v>45548</v>
      </c>
      <c r="C151" s="1" t="n">
        <v>45571</v>
      </c>
      <c r="D151" t="inlineStr">
        <is>
          <t>VÄSTERNORRLANDS LÄN</t>
        </is>
      </c>
      <c r="E151" t="inlineStr">
        <is>
          <t>ÅNGE</t>
        </is>
      </c>
      <c r="F151" t="inlineStr">
        <is>
          <t>SCA</t>
        </is>
      </c>
      <c r="G151" t="n">
        <v>9.4</v>
      </c>
      <c r="H151" t="n">
        <v>0</v>
      </c>
      <c r="I151" t="n">
        <v>0</v>
      </c>
      <c r="J151" t="n">
        <v>3</v>
      </c>
      <c r="K151" t="n">
        <v>0</v>
      </c>
      <c r="L151" t="n">
        <v>0</v>
      </c>
      <c r="M151" t="n">
        <v>0</v>
      </c>
      <c r="N151" t="n">
        <v>0</v>
      </c>
      <c r="O151" t="n">
        <v>3</v>
      </c>
      <c r="P151" t="n">
        <v>0</v>
      </c>
      <c r="Q151" t="n">
        <v>3</v>
      </c>
      <c r="R151" s="2" t="inlineStr">
        <is>
          <t>Garnlav
Gul taggsvamp
Vedtrappmossa</t>
        </is>
      </c>
      <c r="S151">
        <f>HYPERLINK("https://klasma.github.io/Logging_2260/artfynd/A 39182-2024 artfynd.xlsx", "A 39182-2024")</f>
        <v/>
      </c>
      <c r="T151">
        <f>HYPERLINK("https://klasma.github.io/Logging_2260/kartor/A 39182-2024 karta.png", "A 39182-2024")</f>
        <v/>
      </c>
      <c r="V151">
        <f>HYPERLINK("https://klasma.github.io/Logging_2260/klagomål/A 39182-2024 FSC-klagomål.docx", "A 39182-2024")</f>
        <v/>
      </c>
      <c r="W151">
        <f>HYPERLINK("https://klasma.github.io/Logging_2260/klagomålsmail/A 39182-2024 FSC-klagomål mail.docx", "A 39182-2024")</f>
        <v/>
      </c>
      <c r="X151">
        <f>HYPERLINK("https://klasma.github.io/Logging_2260/tillsyn/A 39182-2024 tillsynsbegäran.docx", "A 39182-2024")</f>
        <v/>
      </c>
      <c r="Y151">
        <f>HYPERLINK("https://klasma.github.io/Logging_2260/tillsynsmail/A 39182-2024 tillsynsbegäran mail.docx", "A 39182-2024")</f>
        <v/>
      </c>
    </row>
    <row r="152" ht="15" customHeight="1">
      <c r="A152" t="inlineStr">
        <is>
          <t>A 39181-2024</t>
        </is>
      </c>
      <c r="B152" s="1" t="n">
        <v>45548</v>
      </c>
      <c r="C152" s="1" t="n">
        <v>45571</v>
      </c>
      <c r="D152" t="inlineStr">
        <is>
          <t>VÄSTERNORRLANDS LÄN</t>
        </is>
      </c>
      <c r="E152" t="inlineStr">
        <is>
          <t>ÅNGE</t>
        </is>
      </c>
      <c r="F152" t="inlineStr">
        <is>
          <t>SCA</t>
        </is>
      </c>
      <c r="G152" t="n">
        <v>21.1</v>
      </c>
      <c r="H152" t="n">
        <v>1</v>
      </c>
      <c r="I152" t="n">
        <v>1</v>
      </c>
      <c r="J152" t="n">
        <v>1</v>
      </c>
      <c r="K152" t="n">
        <v>1</v>
      </c>
      <c r="L152" t="n">
        <v>0</v>
      </c>
      <c r="M152" t="n">
        <v>0</v>
      </c>
      <c r="N152" t="n">
        <v>0</v>
      </c>
      <c r="O152" t="n">
        <v>2</v>
      </c>
      <c r="P152" t="n">
        <v>1</v>
      </c>
      <c r="Q152" t="n">
        <v>3</v>
      </c>
      <c r="R152" s="2" t="inlineStr">
        <is>
          <t>Knärot
Granticka
Kransrams</t>
        </is>
      </c>
      <c r="S152">
        <f>HYPERLINK("https://klasma.github.io/Logging_2260/artfynd/A 39181-2024 artfynd.xlsx", "A 39181-2024")</f>
        <v/>
      </c>
      <c r="T152">
        <f>HYPERLINK("https://klasma.github.io/Logging_2260/kartor/A 39181-2024 karta.png", "A 39181-2024")</f>
        <v/>
      </c>
      <c r="U152">
        <f>HYPERLINK("https://klasma.github.io/Logging_2260/knärot/A 39181-2024 karta knärot.png", "A 39181-2024")</f>
        <v/>
      </c>
      <c r="V152">
        <f>HYPERLINK("https://klasma.github.io/Logging_2260/klagomål/A 39181-2024 FSC-klagomål.docx", "A 39181-2024")</f>
        <v/>
      </c>
      <c r="W152">
        <f>HYPERLINK("https://klasma.github.io/Logging_2260/klagomålsmail/A 39181-2024 FSC-klagomål mail.docx", "A 39181-2024")</f>
        <v/>
      </c>
      <c r="X152">
        <f>HYPERLINK("https://klasma.github.io/Logging_2260/tillsyn/A 39181-2024 tillsynsbegäran.docx", "A 39181-2024")</f>
        <v/>
      </c>
      <c r="Y152">
        <f>HYPERLINK("https://klasma.github.io/Logging_2260/tillsynsmail/A 39181-2024 tillsynsbegäran mail.docx", "A 39181-2024")</f>
        <v/>
      </c>
    </row>
    <row r="153" ht="15" customHeight="1">
      <c r="A153" t="inlineStr">
        <is>
          <t>A 39708-2024</t>
        </is>
      </c>
      <c r="B153" s="1" t="n">
        <v>45552</v>
      </c>
      <c r="C153" s="1" t="n">
        <v>45571</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45571</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45571</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45571</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45571</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45571</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45571</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45571</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45571</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45571</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45571</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45571</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45571</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45571</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45571</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45571</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45571</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45571</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45571</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45571</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45571</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45571</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45571</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45571</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45571</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45571</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45571</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45571</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45571</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45571</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45571</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45571</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45571</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45571</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45571</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45571</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45571</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45571</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45571</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45571</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45571</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45571</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45571</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45571</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45571</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45571</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45571</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45571</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45571</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45571</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45571</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45571</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45571</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45571</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45571</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45571</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45571</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45571</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45571</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45571</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45571</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45571</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45571</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45571</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45571</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45571</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45571</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45571</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45571</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45571</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45571</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45571</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45571</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45571</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45571</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45571</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45571</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45571</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45571</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45571</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45571</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45571</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45571</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45571</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45571</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45571</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45571</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45571</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45571</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45571</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45571</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45571</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45571</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45571</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45571</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45571</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45571</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45571</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45571</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45571</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45571</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45571</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45571</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45571</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45571</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45571</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45571</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45571</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45571</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38603-2024</t>
        </is>
      </c>
      <c r="B262" s="1" t="n">
        <v>45546</v>
      </c>
      <c r="C262" s="1" t="n">
        <v>45571</v>
      </c>
      <c r="D262" t="inlineStr">
        <is>
          <t>VÄSTERNORRLANDS LÄN</t>
        </is>
      </c>
      <c r="E262" t="inlineStr">
        <is>
          <t>ÅNGE</t>
        </is>
      </c>
      <c r="F262" t="inlineStr">
        <is>
          <t>SCA</t>
        </is>
      </c>
      <c r="G262" t="n">
        <v>5.6</v>
      </c>
      <c r="H262" t="n">
        <v>0</v>
      </c>
      <c r="I262" t="n">
        <v>0</v>
      </c>
      <c r="J262" t="n">
        <v>0</v>
      </c>
      <c r="K262" t="n">
        <v>1</v>
      </c>
      <c r="L262" t="n">
        <v>0</v>
      </c>
      <c r="M262" t="n">
        <v>0</v>
      </c>
      <c r="N262" t="n">
        <v>0</v>
      </c>
      <c r="O262" t="n">
        <v>1</v>
      </c>
      <c r="P262" t="n">
        <v>1</v>
      </c>
      <c r="Q262" t="n">
        <v>1</v>
      </c>
      <c r="R262" s="2" t="inlineStr">
        <is>
          <t>Rynkskinn</t>
        </is>
      </c>
      <c r="S262">
        <f>HYPERLINK("https://klasma.github.io/Logging_2260/artfynd/A 38603-2024 artfynd.xlsx", "A 38603-2024")</f>
        <v/>
      </c>
      <c r="T262">
        <f>HYPERLINK("https://klasma.github.io/Logging_2260/kartor/A 38603-2024 karta.png", "A 38603-2024")</f>
        <v/>
      </c>
      <c r="V262">
        <f>HYPERLINK("https://klasma.github.io/Logging_2260/klagomål/A 38603-2024 FSC-klagomål.docx", "A 38603-2024")</f>
        <v/>
      </c>
      <c r="W262">
        <f>HYPERLINK("https://klasma.github.io/Logging_2260/klagomålsmail/A 38603-2024 FSC-klagomål mail.docx", "A 38603-2024")</f>
        <v/>
      </c>
      <c r="X262">
        <f>HYPERLINK("https://klasma.github.io/Logging_2260/tillsyn/A 38603-2024 tillsynsbegäran.docx", "A 38603-2024")</f>
        <v/>
      </c>
      <c r="Y262">
        <f>HYPERLINK("https://klasma.github.io/Logging_2260/tillsynsmail/A 38603-2024 tillsynsbegäran mail.docx", "A 38603-2024")</f>
        <v/>
      </c>
    </row>
    <row r="263" ht="15" customHeight="1">
      <c r="A263" t="inlineStr">
        <is>
          <t>A 38606-2024</t>
        </is>
      </c>
      <c r="B263" s="1" t="n">
        <v>45546</v>
      </c>
      <c r="C263" s="1" t="n">
        <v>45571</v>
      </c>
      <c r="D263" t="inlineStr">
        <is>
          <t>VÄSTERNORRLANDS LÄN</t>
        </is>
      </c>
      <c r="E263" t="inlineStr">
        <is>
          <t>ÅNGE</t>
        </is>
      </c>
      <c r="F263" t="inlineStr">
        <is>
          <t>SCA</t>
        </is>
      </c>
      <c r="G263" t="n">
        <v>2.4</v>
      </c>
      <c r="H263" t="n">
        <v>0</v>
      </c>
      <c r="I263" t="n">
        <v>0</v>
      </c>
      <c r="J263" t="n">
        <v>1</v>
      </c>
      <c r="K263" t="n">
        <v>0</v>
      </c>
      <c r="L263" t="n">
        <v>0</v>
      </c>
      <c r="M263" t="n">
        <v>0</v>
      </c>
      <c r="N263" t="n">
        <v>0</v>
      </c>
      <c r="O263" t="n">
        <v>1</v>
      </c>
      <c r="P263" t="n">
        <v>0</v>
      </c>
      <c r="Q263" t="n">
        <v>1</v>
      </c>
      <c r="R263" s="2" t="inlineStr">
        <is>
          <t>Ullticka</t>
        </is>
      </c>
      <c r="S263">
        <f>HYPERLINK("https://klasma.github.io/Logging_2260/artfynd/A 38606-2024 artfynd.xlsx", "A 38606-2024")</f>
        <v/>
      </c>
      <c r="T263">
        <f>HYPERLINK("https://klasma.github.io/Logging_2260/kartor/A 38606-2024 karta.png", "A 38606-2024")</f>
        <v/>
      </c>
      <c r="V263">
        <f>HYPERLINK("https://klasma.github.io/Logging_2260/klagomål/A 38606-2024 FSC-klagomål.docx", "A 38606-2024")</f>
        <v/>
      </c>
      <c r="W263">
        <f>HYPERLINK("https://klasma.github.io/Logging_2260/klagomålsmail/A 38606-2024 FSC-klagomål mail.docx", "A 38606-2024")</f>
        <v/>
      </c>
      <c r="X263">
        <f>HYPERLINK("https://klasma.github.io/Logging_2260/tillsyn/A 38606-2024 tillsynsbegäran.docx", "A 38606-2024")</f>
        <v/>
      </c>
      <c r="Y263">
        <f>HYPERLINK("https://klasma.github.io/Logging_2260/tillsynsmail/A 38606-2024 tillsynsbegäran mail.docx", "A 38606-2024")</f>
        <v/>
      </c>
    </row>
    <row r="264" ht="15" customHeight="1">
      <c r="A264" t="inlineStr">
        <is>
          <t>A 39180-2024</t>
        </is>
      </c>
      <c r="B264" s="1" t="n">
        <v>45548</v>
      </c>
      <c r="C264" s="1" t="n">
        <v>45571</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39638-2024</t>
        </is>
      </c>
      <c r="B265" s="1" t="n">
        <v>45552</v>
      </c>
      <c r="C265" s="1" t="n">
        <v>45571</v>
      </c>
      <c r="D265" t="inlineStr">
        <is>
          <t>VÄSTERNORRLANDS LÄN</t>
        </is>
      </c>
      <c r="E265" t="inlineStr">
        <is>
          <t>ÅNGE</t>
        </is>
      </c>
      <c r="G265" t="n">
        <v>3</v>
      </c>
      <c r="H265" t="n">
        <v>1</v>
      </c>
      <c r="I265" t="n">
        <v>0</v>
      </c>
      <c r="J265" t="n">
        <v>0</v>
      </c>
      <c r="K265" t="n">
        <v>0</v>
      </c>
      <c r="L265" t="n">
        <v>0</v>
      </c>
      <c r="M265" t="n">
        <v>0</v>
      </c>
      <c r="N265" t="n">
        <v>0</v>
      </c>
      <c r="O265" t="n">
        <v>0</v>
      </c>
      <c r="P265" t="n">
        <v>0</v>
      </c>
      <c r="Q265" t="n">
        <v>1</v>
      </c>
      <c r="R265" s="2" t="inlineStr">
        <is>
          <t>Tjäder</t>
        </is>
      </c>
      <c r="S265">
        <f>HYPERLINK("https://klasma.github.io/Logging_2260/artfynd/A 39638-2024 artfynd.xlsx", "A 39638-2024")</f>
        <v/>
      </c>
      <c r="T265">
        <f>HYPERLINK("https://klasma.github.io/Logging_2260/kartor/A 39638-2024 karta.png", "A 39638-2024")</f>
        <v/>
      </c>
      <c r="V265">
        <f>HYPERLINK("https://klasma.github.io/Logging_2260/klagomål/A 39638-2024 FSC-klagomål.docx", "A 39638-2024")</f>
        <v/>
      </c>
      <c r="W265">
        <f>HYPERLINK("https://klasma.github.io/Logging_2260/klagomålsmail/A 39638-2024 FSC-klagomål mail.docx", "A 39638-2024")</f>
        <v/>
      </c>
      <c r="X265">
        <f>HYPERLINK("https://klasma.github.io/Logging_2260/tillsyn/A 39638-2024 tillsynsbegäran.docx", "A 39638-2024")</f>
        <v/>
      </c>
      <c r="Y265">
        <f>HYPERLINK("https://klasma.github.io/Logging_2260/tillsynsmail/A 39638-2024 tillsynsbegäran mail.docx", "A 39638-2024")</f>
        <v/>
      </c>
      <c r="Z265">
        <f>HYPERLINK("https://klasma.github.io/Logging_2260/fåglar/A 39638-2024 prioriterade fågelarter.docx", "A 39638-2024")</f>
        <v/>
      </c>
    </row>
    <row r="266" ht="15" customHeight="1">
      <c r="A266" t="inlineStr">
        <is>
          <t>A 39688-2024</t>
        </is>
      </c>
      <c r="B266" s="1" t="n">
        <v>45552</v>
      </c>
      <c r="C266" s="1" t="n">
        <v>45571</v>
      </c>
      <c r="D266" t="inlineStr">
        <is>
          <t>VÄSTERNORRLANDS LÄN</t>
        </is>
      </c>
      <c r="E266" t="inlineStr">
        <is>
          <t>ÅNGE</t>
        </is>
      </c>
      <c r="G266" t="n">
        <v>5.7</v>
      </c>
      <c r="H266" t="n">
        <v>1</v>
      </c>
      <c r="I266" t="n">
        <v>0</v>
      </c>
      <c r="J266" t="n">
        <v>0</v>
      </c>
      <c r="K266" t="n">
        <v>0</v>
      </c>
      <c r="L266" t="n">
        <v>0</v>
      </c>
      <c r="M266" t="n">
        <v>0</v>
      </c>
      <c r="N266" t="n">
        <v>0</v>
      </c>
      <c r="O266" t="n">
        <v>0</v>
      </c>
      <c r="P266" t="n">
        <v>0</v>
      </c>
      <c r="Q266" t="n">
        <v>1</v>
      </c>
      <c r="R266" s="2" t="inlineStr">
        <is>
          <t>Revlummer</t>
        </is>
      </c>
      <c r="S266">
        <f>HYPERLINK("https://klasma.github.io/Logging_2260/artfynd/A 39688-2024 artfynd.xlsx", "A 39688-2024")</f>
        <v/>
      </c>
      <c r="T266">
        <f>HYPERLINK("https://klasma.github.io/Logging_2260/kartor/A 39688-2024 karta.png", "A 39688-2024")</f>
        <v/>
      </c>
      <c r="V266">
        <f>HYPERLINK("https://klasma.github.io/Logging_2260/klagomål/A 39688-2024 FSC-klagomål.docx", "A 39688-2024")</f>
        <v/>
      </c>
      <c r="W266">
        <f>HYPERLINK("https://klasma.github.io/Logging_2260/klagomålsmail/A 39688-2024 FSC-klagomål mail.docx", "A 39688-2024")</f>
        <v/>
      </c>
      <c r="X266">
        <f>HYPERLINK("https://klasma.github.io/Logging_2260/tillsyn/A 39688-2024 tillsynsbegäran.docx", "A 39688-2024")</f>
        <v/>
      </c>
      <c r="Y266">
        <f>HYPERLINK("https://klasma.github.io/Logging_2260/tillsynsmail/A 39688-2024 tillsynsbegäran mail.docx", "A 39688-2024")</f>
        <v/>
      </c>
    </row>
    <row r="267" ht="15" customHeight="1">
      <c r="A267" t="inlineStr">
        <is>
          <t>A 40110-2024</t>
        </is>
      </c>
      <c r="B267" s="1" t="n">
        <v>45554</v>
      </c>
      <c r="C267" s="1" t="n">
        <v>45571</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45571</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45571</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45571</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45571</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45571</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45571</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45571</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45571</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45571</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45571</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45571</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45571</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45571</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45571</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45571</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45571</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45571</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45571</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45571</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45571</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45571</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45571</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45571</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45571</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45571</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45571</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45571</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45571</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45571</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45571</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45571</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45571</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45571</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45571</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45571</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45571</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45571</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45571</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45571</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45571</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45571</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45571</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45571</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45571</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45571</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45571</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45571</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45571</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45571</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45571</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45571</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45571</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45571</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45571</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45571</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45571</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45571</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45571</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45571</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45571</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45571</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45571</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45571</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45571</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45571</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45571</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45571</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45571</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45571</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45571</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45571</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45571</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45571</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45571</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45571</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45571</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45571</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45571</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45571</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45571</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45571</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45571</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45571</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45571</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45571</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45571</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45571</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45571</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45571</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45571</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45571</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45571</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45571</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45571</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45571</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45571</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45571</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45571</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45571</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45571</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45571</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45571</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45571</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45571</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45571</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45571</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45571</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45571</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45571</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45571</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45571</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45571</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45571</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45571</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45571</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45571</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45571</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45571</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45571</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45571</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45571</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45571</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45571</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45571</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45571</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45571</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45571</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45571</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45571</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45571</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45571</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45571</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45571</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45571</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45571</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45571</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45571</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45571</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45571</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45571</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45571</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45571</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45571</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45571</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45571</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45571</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45571</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45571</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45571</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45571</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45571</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45571</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45571</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45571</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45571</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45571</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45571</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45571</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45571</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45571</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45571</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45571</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45571</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45571</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45571</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45571</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45571</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45571</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45571</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45571</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45571</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45571</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45571</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45571</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45571</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45571</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45571</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45571</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45571</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45571</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45571</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45571</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45571</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45571</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45571</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45571</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45571</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45571</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45571</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45571</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45571</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45571</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45571</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45571</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45571</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45571</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45571</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45571</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45571</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45571</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45571</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45571</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45571</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45571</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45571</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45571</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45571</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45571</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45571</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45571</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45571</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45571</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45571</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45571</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45571</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45571</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45571</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45571</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45571</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45571</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45571</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45571</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45571</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45571</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45571</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45571</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45571</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45571</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45571</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45571</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45571</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45571</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45571</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45571</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45571</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45571</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45571</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45571</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45571</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45571</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45571</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45571</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45571</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45571</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45571</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45571</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45571</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45571</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45571</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45571</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45571</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45571</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45571</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45571</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45571</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45571</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45571</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45571</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45571</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45571</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45571</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45571</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45571</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45571</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45571</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45571</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45571</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45571</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45571</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45571</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45571</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45571</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45571</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45571</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45571</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45571</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45571</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45571</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45571</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45571</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45571</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45571</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45571</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45571</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45571</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45571</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45571</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45571</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45571</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45571</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45571</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45571</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45571</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45571</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45571</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45571</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45571</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45571</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45571</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45571</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45571</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45571</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45571</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45571</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45571</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45571</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45571</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45571</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45571</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45571</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45571</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45571</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45571</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45571</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45571</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45571</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45571</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45571</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45571</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45571</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45571</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45571</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45571</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45571</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45571</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45571</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45571</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45571</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45571</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45571</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45571</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45571</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45571</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45571</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45571</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45571</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45571</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45571</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45571</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45571</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45571</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45571</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45571</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45571</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45571</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45571</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45571</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45571</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45571</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45571</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45571</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45571</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45571</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45571</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45571</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45571</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45571</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45571</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45571</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45571</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45571</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45571</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45571</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45571</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45571</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45571</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45571</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45571</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45571</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45571</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45571</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45571</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45571</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45571</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45571</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45571</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45571</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45571</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45571</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45571</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45571</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45571</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45571</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45571</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45571</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45571</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45571</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45571</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45571</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45571</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45571</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45571</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45571</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45571</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45571</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45571</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45571</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45571</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45571</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45571</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45571</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45571</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45571</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45571</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45571</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45571</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45571</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45571</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45571</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45571</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45571</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45571</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45571</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45571</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45571</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45571</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45571</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45571</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45571</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45571</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45571</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45571</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45571</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45571</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45571</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45571</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45571</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45571</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45571</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45571</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45571</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45571</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45571</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45571</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45571</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45571</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45571</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45571</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45571</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45571</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45571</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45571</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45571</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45571</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45571</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45571</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45571</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45571</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45571</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45571</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45571</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45571</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45571</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45571</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45571</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45571</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45571</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45571</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45571</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45571</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45571</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45571</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45571</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45571</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45571</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45571</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45571</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45571</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45571</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45571</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45571</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45571</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45571</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45571</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45571</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45571</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45571</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45571</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45571</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45571</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45571</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45571</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45571</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45571</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45571</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45571</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45571</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45571</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45571</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45571</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45571</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45571</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45571</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45571</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45571</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45571</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45571</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45571</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45571</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45571</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45571</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45571</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45571</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45571</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45571</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45571</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45571</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45571</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45571</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45571</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45571</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45571</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45571</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45571</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45571</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45571</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45571</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45571</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45571</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45571</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45571</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45571</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45571</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45571</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45571</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45571</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45571</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45571</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45571</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45571</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45571</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45571</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45571</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45571</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45571</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45571</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45571</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45571</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45571</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45571</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45571</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45571</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45571</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45571</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45571</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45571</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45571</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45571</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45571</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45571</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45571</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45571</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45571</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45571</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45571</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45571</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45571</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45571</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45571</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45571</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45571</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45571</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45571</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45571</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45571</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45571</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45571</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45571</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45571</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45571</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45571</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45571</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45571</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45571</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45571</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45571</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45571</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45571</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45571</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45571</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45571</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45571</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45571</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45571</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45571</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45571</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45571</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45571</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45571</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45571</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45571</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45571</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45571</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45571</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45571</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45571</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45571</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45571</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45571</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45571</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45571</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45571</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45571</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45571</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45571</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45571</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45571</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45571</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45571</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45571</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45571</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45571</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45571</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45571</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45571</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45571</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45571</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45571</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45571</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45571</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45571</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45571</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45571</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45571</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45571</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45571</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45571</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45571</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45571</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45571</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45571</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45571</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45571</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45571</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45571</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45571</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45571</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45571</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45571</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45571</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45571</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45571</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45571</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45571</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45571</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45571</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45571</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45571</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45571</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45571</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45571</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45571</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45571</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45571</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45571</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45571</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45571</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45571</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45571</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45571</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45571</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45571</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45571</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45571</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45571</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45571</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45571</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45571</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45571</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45571</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45571</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45571</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45571</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45571</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45571</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45571</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45571</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45571</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45571</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45571</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45571</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45571</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45571</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45571</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45571</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45571</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45571</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45571</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45571</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45571</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45571</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45571</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45571</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45571</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45571</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45571</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45571</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45571</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45571</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45571</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45571</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45571</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45571</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45571</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45571</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45571</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45571</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45571</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45571</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45571</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45571</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45571</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45571</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45571</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45571</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45571</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45571</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45571</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45571</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45571</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45571</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45571</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45571</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45571</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45571</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45571</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45571</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45571</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45571</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45571</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45571</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45571</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45571</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45571</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45571</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45571</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45571</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45571</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45571</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45571</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45571</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45571</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45571</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45571</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45571</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45571</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45571</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45571</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45571</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45571</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45571</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45571</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45571</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45571</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45571</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45571</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45571</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45571</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45571</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45571</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45571</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45571</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45571</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45571</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45571</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45571</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45571</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45571</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45571</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45571</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45571</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45571</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45571</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45571</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45571</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45571</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45571</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45571</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45571</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45571</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45571</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45571</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45571</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45571</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45571</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45571</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45571</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45571</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45571</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45571</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45571</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45571</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45571</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45571</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45571</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45571</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45571</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45571</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45571</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45571</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45571</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45571</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45571</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45571</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45571</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45571</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45571</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45571</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45571</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45571</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45571</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45571</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45571</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45571</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45571</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45571</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45571</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45571</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45571</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45571</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45571</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45571</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45571</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45571</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45571</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45571</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45571</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45571</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45571</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45571</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45571</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45571</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45571</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45571</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45571</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45571</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45571</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45571</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45571</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45571</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45571</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45571</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45571</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45571</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45571</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45571</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45571</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45571</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45571</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45571</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45571</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45571</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45571</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45571</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45571</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45571</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45571</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45571</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45571</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45571</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45571</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45571</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45571</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45571</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45571</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45571</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45571</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45571</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45571</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45571</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45571</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45571</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45571</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45571</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45571</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45571</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45571</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45571</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45571</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45571</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45571</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45571</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45571</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45571</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45571</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45571</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45571</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45571</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45571</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45571</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45571</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45571</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45571</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45571</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45571</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45571</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45571</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45571</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45571</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45571</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45571</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45571</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45571</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45571</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45571</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45571</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45571</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45571</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45571</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45571</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45571</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45571</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45571</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45571</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45571</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45571</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45571</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45571</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45571</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45571</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45571</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45571</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45571</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45571</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45571</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45571</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45571</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45571</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45571</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45571</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45571</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45571</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45571</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45571</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45571</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45571</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45571</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45571</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45571</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45571</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45571</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45571</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45571</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45571</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45571</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45571</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45571</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45571</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45571</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45571</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45571</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45571</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45571</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45571</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45571</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45571</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45571</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45571</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45571</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45571</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45571</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45571</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45571</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45571</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45571</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45571</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45571</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45571</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45571</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45571</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45571</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45571</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45571</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45571</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45571</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45571</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45571</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45571</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45571</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45571</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45571</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45571</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45571</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45571</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45571</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45571</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45571</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45571</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45571</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45571</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45571</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45571</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45571</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45571</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45571</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45571</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45571</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45571</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45571</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45571</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45571</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45571</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45571</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45571</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45571</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45571</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45571</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45571</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45571</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45571</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45571</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45571</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45571</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45571</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45571</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45571</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45571</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45571</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45571</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45571</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45571</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45571</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45571</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45571</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45571</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45571</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45571</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45571</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45571</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45571</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45571</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45571</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45571</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45571</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45571</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45571</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45571</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45571</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45571</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45571</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45571</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45571</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45571</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45571</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45571</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45571</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45571</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45571</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45571</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45571</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45571</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45571</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45571</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45571</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45571</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45571</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45571</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45571</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45571</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45571</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45571</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45571</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45571</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45571</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45571</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45571</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45571</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45571</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45571</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45571</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45571</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45571</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45571</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45571</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45571</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45571</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45571</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45571</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45571</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45571</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45571</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45571</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45571</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45571</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45571</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45571</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45571</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45571</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45571</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45571</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45571</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45571</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45571</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45571</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45571</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45571</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45571</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45571</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45571</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45571</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45571</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45571</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45571</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45571</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45571</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45571</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45571</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45571</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45571</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45571</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45571</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45571</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45571</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45571</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45571</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45571</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45571</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45571</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45571</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45571</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45571</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45571</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45571</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45571</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45571</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45571</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45571</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45571</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45571</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45571</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45571</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45571</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45571</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45571</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45571</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45571</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45571</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45571</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45571</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45571</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45571</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45571</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45571</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45571</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45571</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45571</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45571</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45571</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45571</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45571</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45571</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45571</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45571</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45571</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45571</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45571</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45571</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45571</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45571</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45571</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45571</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45571</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45571</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45571</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45571</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45571</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45571</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45571</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45571</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45571</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45571</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45571</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45571</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45571</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45571</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45571</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45571</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45571</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45571</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45571</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45571</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45571</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45571</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45571</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45571</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45571</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45571</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45571</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45571</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45571</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45571</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45571</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45571</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45571</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45571</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45571</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45571</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45571</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45571</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45571</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45571</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45571</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45571</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45571</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45571</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45571</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45571</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45571</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45571</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45571</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45571</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45571</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45571</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45571</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45571</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45571</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45571</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45571</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45571</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45571</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45571</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45571</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45571</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45571</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45571</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45571</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45571</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45571</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45571</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45571</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45571</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45571</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45571</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45571</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45571</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45571</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45571</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45571</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45571</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45571</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45571</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45571</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45571</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45571</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45571</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45571</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45571</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45571</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45571</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45571</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45571</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45571</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45571</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45571</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45571</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45571</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45571</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45571</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45571</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45571</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45571</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45571</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45571</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45571</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45571</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45571</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45571</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45571</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45571</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45571</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45571</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45571</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45571</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45571</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45571</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45571</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45571</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45571</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45571</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45571</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45571</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45571</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45571</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45571</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45571</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45571</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45571</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45571</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45571</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45571</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45571</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45571</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45571</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45571</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45571</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45571</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45571</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45571</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45571</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45571</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45571</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45571</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45571</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45571</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45571</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45571</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45571</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45571</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45571</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45571</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45571</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45571</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45571</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45571</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45571</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45571</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45571</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45571</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45571</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45571</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45571</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45571</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45571</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45571</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45571</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45571</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45571</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45571</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45571</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45571</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45571</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45571</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45571</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45571</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45571</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45571</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45571</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45571</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45571</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45571</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45571</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45571</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45571</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45571</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45571</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45571</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45571</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45571</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45571</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45571</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45571</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45571</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45571</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45571</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45571</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45571</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45571</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45571</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45571</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45571</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45571</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45571</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45571</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45571</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45571</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45571</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45571</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45571</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45571</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45571</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45571</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45571</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45571</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45571</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45571</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45571</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45571</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45571</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45571</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45571</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45571</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45571</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45571</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45571</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45571</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45571</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45571</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45571</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45571</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45571</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45571</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45571</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45571</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45571</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45571</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45571</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45571</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45571</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45571</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45571</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45571</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45571</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45571</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45571</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45571</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45571</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45571</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45571</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45571</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45571</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45571</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45571</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45571</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45571</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45571</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45571</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45571</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45571</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45571</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45571</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45571</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45571</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45571</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45571</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45571</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45571</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45571</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45571</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45571</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45571</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45571</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45571</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45571</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45571</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45571</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45571</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45571</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45571</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45571</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45571</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45571</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45571</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45571</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45571</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45571</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45571</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45571</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45571</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45571</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45571</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45571</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45571</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45571</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45571</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45571</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45571</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45571</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45571</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45571</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45571</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45571</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45571</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45571</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45571</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45571</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45571</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45571</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45571</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45571</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45571</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45571</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45571</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45571</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45571</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45571</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45571</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45571</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45571</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45571</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45571</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45571</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45571</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45571</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45571</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45571</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45571</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45571</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45571</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45571</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45571</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45571</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45571</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45571</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45571</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45571</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45571</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45571</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45571</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45571</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45571</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45571</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45571</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45571</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45571</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45571</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45571</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45571</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45571</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45571</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45571</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45571</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45571</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45571</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45571</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45571</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45571</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45571</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45571</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45571</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45571</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45571</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45571</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45571</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45571</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45571</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45571</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45571</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45571</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45571</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45571</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45571</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45571</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45571</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45571</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45571</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45571</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45571</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45571</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45571</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45571</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45571</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45571</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45571</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45571</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45571</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45571</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45571</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45571</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45571</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45571</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45571</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45571</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45571</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45571</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45571</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45571</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45571</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45571</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45571</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45571</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45571</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45571</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45571</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45571</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45571</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45571</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45571</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45571</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45571</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45571</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45571</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45571</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45571</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45571</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45571</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45571</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45571</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45571</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45571</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45571</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45571</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45571</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45571</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45571</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45571</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45571</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45571</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45571</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45571</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45571</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45571</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45571</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45571</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45571</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45571</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45571</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45571</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45571</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45571</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45571</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45571</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45571</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45571</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45571</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45571</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45571</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45571</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45571</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45571</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45571</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45571</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45571</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45571</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45571</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45571</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45571</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45571</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45571</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45571</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45571</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45571</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45571</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45571</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45571</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45571</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45571</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45571</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45571</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45571</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45571</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45571</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45571</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45571</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45571</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45571</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45571</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45571</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45571</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45571</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45571</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45571</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45571</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45571</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45571</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45571</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45571</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45571</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45571</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45571</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45571</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45571</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45571</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45571</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45571</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45571</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45571</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45571</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45571</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45571</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45571</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45571</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45571</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45571</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45571</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45571</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45571</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45571</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45571</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45571</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45571</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45571</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45571</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45571</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45571</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45571</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45571</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45571</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45571</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45571</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45571</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45571</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45571</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45571</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45571</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45571</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45571</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45571</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45571</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45571</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45571</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45571</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45571</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45571</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45571</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45571</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45571</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45571</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45571</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45571</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45571</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45571</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45571</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45571</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45571</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45571</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45571</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45571</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45571</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45571</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45571</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45571</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45571</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45571</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45571</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45571</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45571</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45571</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45571</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45571</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45571</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45571</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45571</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45571</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45571</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45571</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45571</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45571</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45571</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45571</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45571</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45571</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45571</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45571</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45571</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45571</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45571</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45571</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45571</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45571</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45571</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45571</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45571</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45571</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45571</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45571</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45571</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45571</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45571</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45571</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45571</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45571</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45571</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45571</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45571</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45571</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45571</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45571</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45571</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45571</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45571</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37009-2024</t>
        </is>
      </c>
      <c r="B2028" s="1" t="n">
        <v>45539</v>
      </c>
      <c r="C2028" s="1" t="n">
        <v>45571</v>
      </c>
      <c r="D2028" t="inlineStr">
        <is>
          <t>VÄSTERNORRLANDS LÄN</t>
        </is>
      </c>
      <c r="E2028" t="inlineStr">
        <is>
          <t>ÅNGE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45571</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37010-2024</t>
        </is>
      </c>
      <c r="B2030" s="1" t="n">
        <v>45539</v>
      </c>
      <c r="C2030" s="1" t="n">
        <v>45571</v>
      </c>
      <c r="D2030" t="inlineStr">
        <is>
          <t>VÄSTERNORRLANDS LÄN</t>
        </is>
      </c>
      <c r="E2030" t="inlineStr">
        <is>
          <t>ÅNGE</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45571</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37540-2024</t>
        </is>
      </c>
      <c r="B2032" s="1" t="n">
        <v>45541</v>
      </c>
      <c r="C2032" s="1" t="n">
        <v>45571</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37577-2024</t>
        </is>
      </c>
      <c r="B2033" s="1" t="n">
        <v>45541</v>
      </c>
      <c r="C2033" s="1" t="n">
        <v>45571</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37992-2024</t>
        </is>
      </c>
      <c r="B2034" s="1" t="n">
        <v>45544</v>
      </c>
      <c r="C2034" s="1" t="n">
        <v>45571</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37991-2024</t>
        </is>
      </c>
      <c r="B2035" s="1" t="n">
        <v>45544</v>
      </c>
      <c r="C2035" s="1" t="n">
        <v>45571</v>
      </c>
      <c r="D2035" t="inlineStr">
        <is>
          <t>VÄSTERNORRLANDS LÄN</t>
        </is>
      </c>
      <c r="E2035" t="inlineStr">
        <is>
          <t>ÅNGE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38002-2024</t>
        </is>
      </c>
      <c r="B2036" s="1" t="n">
        <v>45544</v>
      </c>
      <c r="C2036" s="1" t="n">
        <v>45571</v>
      </c>
      <c r="D2036" t="inlineStr">
        <is>
          <t>VÄSTERNORRLANDS LÄN</t>
        </is>
      </c>
      <c r="E2036" t="inlineStr">
        <is>
          <t>ÅNGE</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38099-2024</t>
        </is>
      </c>
      <c r="B2037" s="1" t="n">
        <v>45545</v>
      </c>
      <c r="C2037" s="1" t="n">
        <v>45571</v>
      </c>
      <c r="D2037" t="inlineStr">
        <is>
          <t>VÄSTERNORRLANDS LÄN</t>
        </is>
      </c>
      <c r="E2037" t="inlineStr">
        <is>
          <t>ÅNGE</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38272-2024</t>
        </is>
      </c>
      <c r="B2038" s="1" t="n">
        <v>45545</v>
      </c>
      <c r="C2038" s="1" t="n">
        <v>45571</v>
      </c>
      <c r="D2038" t="inlineStr">
        <is>
          <t>VÄSTERNORRLANDS LÄN</t>
        </is>
      </c>
      <c r="E2038" t="inlineStr">
        <is>
          <t>ÅNGE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38246-2024</t>
        </is>
      </c>
      <c r="B2039" s="1" t="n">
        <v>45545</v>
      </c>
      <c r="C2039" s="1" t="n">
        <v>45571</v>
      </c>
      <c r="D2039" t="inlineStr">
        <is>
          <t>VÄSTERNORRLANDS LÄN</t>
        </is>
      </c>
      <c r="E2039" t="inlineStr">
        <is>
          <t>ÅNGE</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38262-2024</t>
        </is>
      </c>
      <c r="B2040" s="1" t="n">
        <v>45545</v>
      </c>
      <c r="C2040" s="1" t="n">
        <v>45571</v>
      </c>
      <c r="D2040" t="inlineStr">
        <is>
          <t>VÄSTERNORRLANDS LÄN</t>
        </is>
      </c>
      <c r="E2040" t="inlineStr">
        <is>
          <t>ÅNGE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38403-2024</t>
        </is>
      </c>
      <c r="B2041" s="1" t="n">
        <v>45546</v>
      </c>
      <c r="C2041" s="1" t="n">
        <v>45571</v>
      </c>
      <c r="D2041" t="inlineStr">
        <is>
          <t>VÄSTERNORRLANDS LÄN</t>
        </is>
      </c>
      <c r="E2041" t="inlineStr">
        <is>
          <t>ÅNGE</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38510-2024</t>
        </is>
      </c>
      <c r="B2042" s="1" t="n">
        <v>45546</v>
      </c>
      <c r="C2042" s="1" t="n">
        <v>45571</v>
      </c>
      <c r="D2042" t="inlineStr">
        <is>
          <t>VÄSTERNORRLANDS LÄN</t>
        </is>
      </c>
      <c r="E2042" t="inlineStr">
        <is>
          <t>ÅNGE</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38604-2024</t>
        </is>
      </c>
      <c r="B2043" s="1" t="n">
        <v>45546</v>
      </c>
      <c r="C2043" s="1" t="n">
        <v>45571</v>
      </c>
      <c r="D2043" t="inlineStr">
        <is>
          <t>VÄSTERNORRLANDS LÄN</t>
        </is>
      </c>
      <c r="E2043" t="inlineStr">
        <is>
          <t>ÅNGE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38607-2024</t>
        </is>
      </c>
      <c r="B2044" s="1" t="n">
        <v>45546</v>
      </c>
      <c r="C2044" s="1" t="n">
        <v>45571</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c r="U2044">
        <f>HYPERLINK("https://klasma.github.io/Logging_2260/knärot/A 38607-2024 karta knärot.png", "A 38607-2024")</f>
        <v/>
      </c>
      <c r="V2044">
        <f>HYPERLINK("https://klasma.github.io/Logging_2260/klagomål/A 38607-2024 FSC-klagomål.docx", "A 38607-2024")</f>
        <v/>
      </c>
      <c r="W2044">
        <f>HYPERLINK("https://klasma.github.io/Logging_2260/klagomålsmail/A 38607-2024 FSC-klagomål mail.docx", "A 38607-2024")</f>
        <v/>
      </c>
      <c r="X2044">
        <f>HYPERLINK("https://klasma.github.io/Logging_2260/tillsyn/A 38607-2024 tillsynsbegäran.docx", "A 38607-2024")</f>
        <v/>
      </c>
      <c r="Y2044">
        <f>HYPERLINK("https://klasma.github.io/Logging_2260/tillsynsmail/A 38607-2024 tillsynsbegäran mail.docx", "A 38607-2024")</f>
        <v/>
      </c>
    </row>
    <row r="2045" ht="15" customHeight="1">
      <c r="A2045" t="inlineStr">
        <is>
          <t>A 38688-2024</t>
        </is>
      </c>
      <c r="B2045" s="1" t="n">
        <v>45547</v>
      </c>
      <c r="C2045" s="1" t="n">
        <v>45571</v>
      </c>
      <c r="D2045" t="inlineStr">
        <is>
          <t>VÄSTERNORRLANDS LÄN</t>
        </is>
      </c>
      <c r="E2045" t="inlineStr">
        <is>
          <t>ÅNGE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38800-2024</t>
        </is>
      </c>
      <c r="B2046" s="1" t="n">
        <v>45547</v>
      </c>
      <c r="C2046" s="1" t="n">
        <v>45571</v>
      </c>
      <c r="D2046" t="inlineStr">
        <is>
          <t>VÄSTERNORRLANDS LÄN</t>
        </is>
      </c>
      <c r="E2046" t="inlineStr">
        <is>
          <t>ÅNGE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39005-2024</t>
        </is>
      </c>
      <c r="B2047" s="1" t="n">
        <v>45548</v>
      </c>
      <c r="C2047" s="1" t="n">
        <v>45571</v>
      </c>
      <c r="D2047" t="inlineStr">
        <is>
          <t>VÄSTERNORRLANDS LÄN</t>
        </is>
      </c>
      <c r="E2047" t="inlineStr">
        <is>
          <t>ÅNGE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39021-2024</t>
        </is>
      </c>
      <c r="B2048" s="1" t="n">
        <v>45548</v>
      </c>
      <c r="C2048" s="1" t="n">
        <v>45571</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45571</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39174-2024</t>
        </is>
      </c>
      <c r="B2050" s="1" t="n">
        <v>45548</v>
      </c>
      <c r="C2050" s="1" t="n">
        <v>45571</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39178-2024</t>
        </is>
      </c>
      <c r="B2051" s="1" t="n">
        <v>45548</v>
      </c>
      <c r="C2051" s="1" t="n">
        <v>45571</v>
      </c>
      <c r="D2051" t="inlineStr">
        <is>
          <t>VÄSTERNORRLANDS LÄN</t>
        </is>
      </c>
      <c r="E2051" t="inlineStr">
        <is>
          <t>ÅNGE</t>
        </is>
      </c>
      <c r="F2051" t="inlineStr">
        <is>
          <t>SCA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39119-2024</t>
        </is>
      </c>
      <c r="B2052" s="1" t="n">
        <v>45548</v>
      </c>
      <c r="C2052" s="1" t="n">
        <v>45571</v>
      </c>
      <c r="D2052" t="inlineStr">
        <is>
          <t>VÄSTERNORRLANDS LÄN</t>
        </is>
      </c>
      <c r="E2052" t="inlineStr">
        <is>
          <t>ÅNGE</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39603-2024</t>
        </is>
      </c>
      <c r="B2053" s="1" t="n">
        <v>45552</v>
      </c>
      <c r="C2053" s="1" t="n">
        <v>45571</v>
      </c>
      <c r="D2053" t="inlineStr">
        <is>
          <t>VÄSTERNORRLANDS LÄN</t>
        </is>
      </c>
      <c r="E2053" t="inlineStr">
        <is>
          <t>ÅNGE</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39619-2024</t>
        </is>
      </c>
      <c r="B2054" s="1" t="n">
        <v>45552</v>
      </c>
      <c r="C2054" s="1" t="n">
        <v>45571</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39682-2024</t>
        </is>
      </c>
      <c r="B2055" s="1" t="n">
        <v>45552</v>
      </c>
      <c r="C2055" s="1" t="n">
        <v>45571</v>
      </c>
      <c r="D2055" t="inlineStr">
        <is>
          <t>VÄSTERNORRLANDS LÄN</t>
        </is>
      </c>
      <c r="E2055" t="inlineStr">
        <is>
          <t>ÅNGE</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39707-2024</t>
        </is>
      </c>
      <c r="B2056" s="1" t="n">
        <v>45552</v>
      </c>
      <c r="C2056" s="1" t="n">
        <v>45571</v>
      </c>
      <c r="D2056" t="inlineStr">
        <is>
          <t>VÄSTERNORRLANDS LÄN</t>
        </is>
      </c>
      <c r="E2056" t="inlineStr">
        <is>
          <t>ÅNGE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39764-2024</t>
        </is>
      </c>
      <c r="B2057" s="1" t="n">
        <v>45552</v>
      </c>
      <c r="C2057" s="1" t="n">
        <v>45571</v>
      </c>
      <c r="D2057" t="inlineStr">
        <is>
          <t>VÄSTERNORRLANDS LÄN</t>
        </is>
      </c>
      <c r="E2057" t="inlineStr">
        <is>
          <t>ÅNGE</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45571</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40803-2024</t>
        </is>
      </c>
      <c r="B2059" s="1" t="n">
        <v>45558</v>
      </c>
      <c r="C2059" s="1" t="n">
        <v>45571</v>
      </c>
      <c r="D2059" t="inlineStr">
        <is>
          <t>VÄSTERNORRLANDS LÄN</t>
        </is>
      </c>
      <c r="E2059" t="inlineStr">
        <is>
          <t>ÅNGE</t>
        </is>
      </c>
      <c r="F2059" t="inlineStr">
        <is>
          <t>SCA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40788-2024</t>
        </is>
      </c>
      <c r="B2060" s="1" t="n">
        <v>45558</v>
      </c>
      <c r="C2060" s="1" t="n">
        <v>45571</v>
      </c>
      <c r="D2060" t="inlineStr">
        <is>
          <t>VÄSTERNORRLANDS LÄN</t>
        </is>
      </c>
      <c r="E2060" t="inlineStr">
        <is>
          <t>ÅNGE</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40802-2024</t>
        </is>
      </c>
      <c r="B2061" s="1" t="n">
        <v>45558</v>
      </c>
      <c r="C2061" s="1" t="n">
        <v>45571</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45571</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41284-2024</t>
        </is>
      </c>
      <c r="B2063" s="1" t="n">
        <v>45559</v>
      </c>
      <c r="C2063" s="1" t="n">
        <v>45571</v>
      </c>
      <c r="D2063" t="inlineStr">
        <is>
          <t>VÄSTERNORRLANDS LÄN</t>
        </is>
      </c>
      <c r="E2063" t="inlineStr">
        <is>
          <t>ÅNGE</t>
        </is>
      </c>
      <c r="F2063" t="inlineStr">
        <is>
          <t>SCA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41302-2024</t>
        </is>
      </c>
      <c r="B2064" s="1" t="n">
        <v>45559</v>
      </c>
      <c r="C2064" s="1" t="n">
        <v>45571</v>
      </c>
      <c r="D2064" t="inlineStr">
        <is>
          <t>VÄSTERNORRLANDS LÄN</t>
        </is>
      </c>
      <c r="E2064" t="inlineStr">
        <is>
          <t>ÅNGE</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45571</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45571</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41222-2024</t>
        </is>
      </c>
      <c r="B2067" s="1" t="n">
        <v>45559</v>
      </c>
      <c r="C2067" s="1" t="n">
        <v>45571</v>
      </c>
      <c r="D2067" t="inlineStr">
        <is>
          <t>VÄSTERNORRLANDS LÄN</t>
        </is>
      </c>
      <c r="E2067" t="inlineStr">
        <is>
          <t>ÅNGE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41355-2024</t>
        </is>
      </c>
      <c r="B2068" s="1" t="n">
        <v>45559</v>
      </c>
      <c r="C2068" s="1" t="n">
        <v>45571</v>
      </c>
      <c r="D2068" t="inlineStr">
        <is>
          <t>VÄSTERNORRLANDS LÄN</t>
        </is>
      </c>
      <c r="E2068" t="inlineStr">
        <is>
          <t>ÅNGE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41507-2024</t>
        </is>
      </c>
      <c r="B2069" s="1" t="n">
        <v>45560</v>
      </c>
      <c r="C2069" s="1" t="n">
        <v>45571</v>
      </c>
      <c r="D2069" t="inlineStr">
        <is>
          <t>VÄSTERNORRLANDS LÄN</t>
        </is>
      </c>
      <c r="E2069" t="inlineStr">
        <is>
          <t>ÅNGE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41575-2024</t>
        </is>
      </c>
      <c r="B2070" s="1" t="n">
        <v>45560</v>
      </c>
      <c r="C2070" s="1" t="n">
        <v>45571</v>
      </c>
      <c r="D2070" t="inlineStr">
        <is>
          <t>VÄSTERNORRLANDS LÄN</t>
        </is>
      </c>
      <c r="E2070" t="inlineStr">
        <is>
          <t>ÅNGE</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41586-2024</t>
        </is>
      </c>
      <c r="B2071" s="1" t="n">
        <v>45560</v>
      </c>
      <c r="C2071" s="1" t="n">
        <v>45571</v>
      </c>
      <c r="D2071" t="inlineStr">
        <is>
          <t>VÄSTERNORRLANDS LÄN</t>
        </is>
      </c>
      <c r="E2071" t="inlineStr">
        <is>
          <t>ÅNGE</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41564-2024</t>
        </is>
      </c>
      <c r="B2072" s="1" t="n">
        <v>45560</v>
      </c>
      <c r="C2072" s="1" t="n">
        <v>45571</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41781-2024</t>
        </is>
      </c>
      <c r="B2073" s="1" t="n">
        <v>45561</v>
      </c>
      <c r="C2073" s="1" t="n">
        <v>45571</v>
      </c>
      <c r="D2073" t="inlineStr">
        <is>
          <t>VÄSTERNORRLANDS LÄN</t>
        </is>
      </c>
      <c r="E2073" t="inlineStr">
        <is>
          <t>ÅNGE</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41758-2024</t>
        </is>
      </c>
      <c r="B2074" s="1" t="n">
        <v>45561</v>
      </c>
      <c r="C2074" s="1" t="n">
        <v>45571</v>
      </c>
      <c r="D2074" t="inlineStr">
        <is>
          <t>VÄSTERNORRLANDS LÄN</t>
        </is>
      </c>
      <c r="E2074" t="inlineStr">
        <is>
          <t>ÅNGE</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41766-2024</t>
        </is>
      </c>
      <c r="B2075" s="1" t="n">
        <v>45561</v>
      </c>
      <c r="C2075" s="1" t="n">
        <v>45571</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41764-2024</t>
        </is>
      </c>
      <c r="B2076" s="1" t="n">
        <v>45561</v>
      </c>
      <c r="C2076" s="1" t="n">
        <v>45571</v>
      </c>
      <c r="D2076" t="inlineStr">
        <is>
          <t>VÄSTERNORRLANDS LÄN</t>
        </is>
      </c>
      <c r="E2076" t="inlineStr">
        <is>
          <t>ÅNGE</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42004-2024</t>
        </is>
      </c>
      <c r="B2077" s="1" t="n">
        <v>45561</v>
      </c>
      <c r="C2077" s="1" t="n">
        <v>45571</v>
      </c>
      <c r="D2077" t="inlineStr">
        <is>
          <t>VÄSTERNORRLANDS LÄN</t>
        </is>
      </c>
      <c r="E2077" t="inlineStr">
        <is>
          <t>ÅNGE</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42040-2024</t>
        </is>
      </c>
      <c r="B2078" s="1" t="n">
        <v>45561</v>
      </c>
      <c r="C2078" s="1" t="n">
        <v>45571</v>
      </c>
      <c r="D2078" t="inlineStr">
        <is>
          <t>VÄSTERNORRLANDS LÄN</t>
        </is>
      </c>
      <c r="E2078" t="inlineStr">
        <is>
          <t>ÅNGE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42044-2024</t>
        </is>
      </c>
      <c r="B2079" s="1" t="n">
        <v>45561</v>
      </c>
      <c r="C2079" s="1" t="n">
        <v>45571</v>
      </c>
      <c r="D2079" t="inlineStr">
        <is>
          <t>VÄSTERNORRLANDS LÄN</t>
        </is>
      </c>
      <c r="E2079" t="inlineStr">
        <is>
          <t>ÅNGE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45571</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42046-2024</t>
        </is>
      </c>
      <c r="B2081" s="1" t="n">
        <v>45561</v>
      </c>
      <c r="C2081" s="1" t="n">
        <v>45571</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45571</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45571</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45571</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45571</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45571</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45571</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42953-2024</t>
        </is>
      </c>
      <c r="B2088" s="1" t="n">
        <v>45567</v>
      </c>
      <c r="C2088" s="1" t="n">
        <v>45571</v>
      </c>
      <c r="D2088" t="inlineStr">
        <is>
          <t>VÄSTERNORRLANDS LÄN</t>
        </is>
      </c>
      <c r="E2088" t="inlineStr">
        <is>
          <t>ÅNGE</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42969-2024</t>
        </is>
      </c>
      <c r="B2089" s="1" t="n">
        <v>45567</v>
      </c>
      <c r="C2089" s="1" t="n">
        <v>45571</v>
      </c>
      <c r="D2089" t="inlineStr">
        <is>
          <t>VÄSTERNORRLANDS LÄN</t>
        </is>
      </c>
      <c r="E2089" t="inlineStr">
        <is>
          <t>ÅNGE</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42958-2024</t>
        </is>
      </c>
      <c r="B2090" s="1" t="n">
        <v>45567</v>
      </c>
      <c r="C2090" s="1" t="n">
        <v>45571</v>
      </c>
      <c r="D2090" t="inlineStr">
        <is>
          <t>VÄSTERNORRLANDS LÄN</t>
        </is>
      </c>
      <c r="E2090" t="inlineStr">
        <is>
          <t>ÅNGE</t>
        </is>
      </c>
      <c r="F2090" t="inlineStr">
        <is>
          <t>SCA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42999-2024</t>
        </is>
      </c>
      <c r="B2091" s="1" t="n">
        <v>45567</v>
      </c>
      <c r="C2091" s="1" t="n">
        <v>45571</v>
      </c>
      <c r="D2091" t="inlineStr">
        <is>
          <t>VÄSTERNORRLANDS LÄN</t>
        </is>
      </c>
      <c r="E2091" t="inlineStr">
        <is>
          <t>ÅNGE</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43145-2024</t>
        </is>
      </c>
      <c r="B2092" s="1" t="n">
        <v>45567</v>
      </c>
      <c r="C2092" s="1" t="n">
        <v>45571</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42948-2024</t>
        </is>
      </c>
      <c r="B2093" s="1" t="n">
        <v>45567</v>
      </c>
      <c r="C2093" s="1" t="n">
        <v>45571</v>
      </c>
      <c r="D2093" t="inlineStr">
        <is>
          <t>VÄSTERNORRLANDS LÄN</t>
        </is>
      </c>
      <c r="E2093" t="inlineStr">
        <is>
          <t>ÅNGE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43184-2024</t>
        </is>
      </c>
      <c r="B2094" s="1" t="n">
        <v>45567</v>
      </c>
      <c r="C2094" s="1" t="n">
        <v>45571</v>
      </c>
      <c r="D2094" t="inlineStr">
        <is>
          <t>VÄSTERNORRLANDS LÄN</t>
        </is>
      </c>
      <c r="E2094" t="inlineStr">
        <is>
          <t>ÅNGE</t>
        </is>
      </c>
      <c r="G2094" t="n">
        <v>15.3</v>
      </c>
      <c r="H2094" t="n">
        <v>0</v>
      </c>
      <c r="I2094" t="n">
        <v>0</v>
      </c>
      <c r="J2094" t="n">
        <v>0</v>
      </c>
      <c r="K2094" t="n">
        <v>0</v>
      </c>
      <c r="L2094" t="n">
        <v>0</v>
      </c>
      <c r="M2094" t="n">
        <v>0</v>
      </c>
      <c r="N2094" t="n">
        <v>0</v>
      </c>
      <c r="O2094" t="n">
        <v>0</v>
      </c>
      <c r="P2094" t="n">
        <v>0</v>
      </c>
      <c r="Q2094" t="n">
        <v>0</v>
      </c>
      <c r="R2094" s="2" t="inlineStr"/>
    </row>
    <row r="2095" ht="15" customHeight="1">
      <c r="A2095" t="inlineStr">
        <is>
          <t>A 42968-2024</t>
        </is>
      </c>
      <c r="B2095" s="1" t="n">
        <v>45567</v>
      </c>
      <c r="C2095" s="1" t="n">
        <v>45571</v>
      </c>
      <c r="D2095" t="inlineStr">
        <is>
          <t>VÄSTERNORRLANDS LÄN</t>
        </is>
      </c>
      <c r="E2095" t="inlineStr">
        <is>
          <t>ÅNGE</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43139-2024</t>
        </is>
      </c>
      <c r="B2096" s="1" t="n">
        <v>45567</v>
      </c>
      <c r="C2096" s="1" t="n">
        <v>45571</v>
      </c>
      <c r="D2096" t="inlineStr">
        <is>
          <t>VÄSTERNORRLANDS LÄN</t>
        </is>
      </c>
      <c r="E2096" t="inlineStr">
        <is>
          <t>ÅNGE</t>
        </is>
      </c>
      <c r="G2096" t="n">
        <v>11.1</v>
      </c>
      <c r="H2096" t="n">
        <v>0</v>
      </c>
      <c r="I2096" t="n">
        <v>0</v>
      </c>
      <c r="J2096" t="n">
        <v>0</v>
      </c>
      <c r="K2096" t="n">
        <v>0</v>
      </c>
      <c r="L2096" t="n">
        <v>0</v>
      </c>
      <c r="M2096" t="n">
        <v>0</v>
      </c>
      <c r="N2096" t="n">
        <v>0</v>
      </c>
      <c r="O2096" t="n">
        <v>0</v>
      </c>
      <c r="P2096" t="n">
        <v>0</v>
      </c>
      <c r="Q2096" t="n">
        <v>0</v>
      </c>
      <c r="R2096" s="2" t="inlineStr"/>
    </row>
    <row r="2097" ht="15" customHeight="1">
      <c r="A2097" t="inlineStr">
        <is>
          <t>A 43190-2024</t>
        </is>
      </c>
      <c r="B2097" s="1" t="n">
        <v>45567</v>
      </c>
      <c r="C2097" s="1" t="n">
        <v>45571</v>
      </c>
      <c r="D2097" t="inlineStr">
        <is>
          <t>VÄSTERNORRLANDS LÄN</t>
        </is>
      </c>
      <c r="E2097" t="inlineStr">
        <is>
          <t>ÅNGE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43366-2024</t>
        </is>
      </c>
      <c r="B2098" s="1" t="n">
        <v>45568</v>
      </c>
      <c r="C2098" s="1" t="n">
        <v>45571</v>
      </c>
      <c r="D2098" t="inlineStr">
        <is>
          <t>VÄSTERNORRLANDS LÄN</t>
        </is>
      </c>
      <c r="E2098" t="inlineStr">
        <is>
          <t>ÅNGE</t>
        </is>
      </c>
      <c r="G2098" t="n">
        <v>1.6</v>
      </c>
      <c r="H2098" t="n">
        <v>0</v>
      </c>
      <c r="I2098" t="n">
        <v>0</v>
      </c>
      <c r="J2098" t="n">
        <v>0</v>
      </c>
      <c r="K2098" t="n">
        <v>0</v>
      </c>
      <c r="L2098" t="n">
        <v>0</v>
      </c>
      <c r="M2098" t="n">
        <v>0</v>
      </c>
      <c r="N2098" t="n">
        <v>0</v>
      </c>
      <c r="O2098" t="n">
        <v>0</v>
      </c>
      <c r="P2098" t="n">
        <v>0</v>
      </c>
      <c r="Q2098" t="n">
        <v>0</v>
      </c>
      <c r="R2098" s="2" t="inlineStr"/>
    </row>
    <row r="2099">
      <c r="A2099" t="inlineStr">
        <is>
          <t>A 43343-2024</t>
        </is>
      </c>
      <c r="B2099" s="1" t="n">
        <v>45568</v>
      </c>
      <c r="C2099" s="1" t="n">
        <v>45571</v>
      </c>
      <c r="D2099" t="inlineStr">
        <is>
          <t>VÄSTERNORRLANDS LÄN</t>
        </is>
      </c>
      <c r="E2099" t="inlineStr">
        <is>
          <t>ÅNGE</t>
        </is>
      </c>
      <c r="G2099" t="n">
        <v>1.5</v>
      </c>
      <c r="H2099" t="n">
        <v>0</v>
      </c>
      <c r="I2099" t="n">
        <v>0</v>
      </c>
      <c r="J2099" t="n">
        <v>0</v>
      </c>
      <c r="K2099" t="n">
        <v>0</v>
      </c>
      <c r="L2099" t="n">
        <v>0</v>
      </c>
      <c r="M2099" t="n">
        <v>0</v>
      </c>
      <c r="N2099" t="n">
        <v>0</v>
      </c>
      <c r="O2099" t="n">
        <v>0</v>
      </c>
      <c r="P2099" t="n">
        <v>0</v>
      </c>
      <c r="Q2099" t="n">
        <v>0</v>
      </c>
      <c r="R2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2024-10-06T11:59:43Z</dcterms:created>
  <dcterms:modified xmlns:dcterms="http://purl.org/dc/terms/" xmlns:xsi="http://www.w3.org/2001/XMLSchema-instance" xsi:type="dcterms:W3CDTF">2024-10-06T11:59:45Z</dcterms:modified>
</cp:coreProperties>
</file>