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46061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46061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46061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46061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46061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46061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46061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46061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46061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46061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46061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46061</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46061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46061</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46061</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46061</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46061</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46061</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46061</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46061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46061</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46061</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46061</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46061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46061</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46061</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46061</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46061</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46061</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46061</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46061</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46061</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46061</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46061</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46061</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46061</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46061</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46061</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46061</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46061</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46061</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46061</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46061</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46061</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46061</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46061</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46061</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46061</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46061</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46061</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46061</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46061</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46061</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46061</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46061</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46061</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46061</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46061</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46061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46061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46061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46061</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46061</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46061</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46061</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46061</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39570-2025</t>
        </is>
      </c>
      <c r="B70" s="1" t="n">
        <v>45890.49009259259</v>
      </c>
      <c r="C70" s="1" t="n">
        <v>46061</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31509-2024</t>
        </is>
      </c>
      <c r="B71" s="1" t="n">
        <v>45505</v>
      </c>
      <c r="C71" s="1" t="n">
        <v>46061</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45402-2025</t>
        </is>
      </c>
      <c r="B72" s="1" t="n">
        <v>45922.4278587963</v>
      </c>
      <c r="C72" s="1" t="n">
        <v>46061</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46061</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46061</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46061</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4130-2023</t>
        </is>
      </c>
      <c r="B76" s="1" t="n">
        <v>44952</v>
      </c>
      <c r="C76" s="1" t="n">
        <v>46061</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26363-2023</t>
        </is>
      </c>
      <c r="B77" s="1" t="n">
        <v>45091</v>
      </c>
      <c r="C77" s="1" t="n">
        <v>46061</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46061</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34694-2023</t>
        </is>
      </c>
      <c r="B79" s="1" t="n">
        <v>45140.96324074074</v>
      </c>
      <c r="C79" s="1" t="n">
        <v>46061</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46061</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46061</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46061</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43520-2025</t>
        </is>
      </c>
      <c r="B83" s="1" t="n">
        <v>45911.57364583333</v>
      </c>
      <c r="C83" s="1" t="n">
        <v>46061</v>
      </c>
      <c r="D83" t="inlineStr">
        <is>
          <t>VÄSTERNORRLANDS LÄN</t>
        </is>
      </c>
      <c r="E83" t="inlineStr">
        <is>
          <t>ÅNGE</t>
        </is>
      </c>
      <c r="F83" t="inlineStr">
        <is>
          <t>SCA</t>
        </is>
      </c>
      <c r="G83" t="n">
        <v>2.5</v>
      </c>
      <c r="H83" t="n">
        <v>0</v>
      </c>
      <c r="I83" t="n">
        <v>2</v>
      </c>
      <c r="J83" t="n">
        <v>3</v>
      </c>
      <c r="K83" t="n">
        <v>0</v>
      </c>
      <c r="L83" t="n">
        <v>0</v>
      </c>
      <c r="M83" t="n">
        <v>0</v>
      </c>
      <c r="N83" t="n">
        <v>0</v>
      </c>
      <c r="O83" t="n">
        <v>3</v>
      </c>
      <c r="P83" t="n">
        <v>0</v>
      </c>
      <c r="Q83" t="n">
        <v>5</v>
      </c>
      <c r="R83" s="2" t="inlineStr">
        <is>
          <t>Garnlav
Lunglav
Vedtrappmossa
Bårdlav
Stuplav</t>
        </is>
      </c>
      <c r="S83">
        <f>HYPERLINK("https://klasma.github.io/Logging_2260/artfynd/A 43520-2025 artfynd.xlsx", "A 43520-2025")</f>
        <v/>
      </c>
      <c r="T83">
        <f>HYPERLINK("https://klasma.github.io/Logging_2260/kartor/A 43520-2025 karta.png", "A 43520-2025")</f>
        <v/>
      </c>
      <c r="V83">
        <f>HYPERLINK("https://klasma.github.io/Logging_2260/klagomål/A 43520-2025 FSC-klagomål.docx", "A 43520-2025")</f>
        <v/>
      </c>
      <c r="W83">
        <f>HYPERLINK("https://klasma.github.io/Logging_2260/klagomålsmail/A 43520-2025 FSC-klagomål mail.docx", "A 43520-2025")</f>
        <v/>
      </c>
      <c r="X83">
        <f>HYPERLINK("https://klasma.github.io/Logging_2260/tillsyn/A 43520-2025 tillsynsbegäran.docx", "A 43520-2025")</f>
        <v/>
      </c>
      <c r="Y83">
        <f>HYPERLINK("https://klasma.github.io/Logging_2260/tillsynsmail/A 43520-2025 tillsynsbegäran mail.docx", "A 43520-2025")</f>
        <v/>
      </c>
    </row>
    <row r="84" ht="15" customHeight="1">
      <c r="A84" t="inlineStr">
        <is>
          <t>A 51065-2024</t>
        </is>
      </c>
      <c r="B84" s="1" t="n">
        <v>45603</v>
      </c>
      <c r="C84" s="1" t="n">
        <v>46061</v>
      </c>
      <c r="D84" t="inlineStr">
        <is>
          <t>VÄSTERNORRLANDS LÄN</t>
        </is>
      </c>
      <c r="E84" t="inlineStr">
        <is>
          <t>ÅNGE</t>
        </is>
      </c>
      <c r="F84" t="inlineStr">
        <is>
          <t>SCA</t>
        </is>
      </c>
      <c r="G84" t="n">
        <v>4.1</v>
      </c>
      <c r="H84" t="n">
        <v>2</v>
      </c>
      <c r="I84" t="n">
        <v>0</v>
      </c>
      <c r="J84" t="n">
        <v>4</v>
      </c>
      <c r="K84" t="n">
        <v>1</v>
      </c>
      <c r="L84" t="n">
        <v>0</v>
      </c>
      <c r="M84" t="n">
        <v>0</v>
      </c>
      <c r="N84" t="n">
        <v>0</v>
      </c>
      <c r="O84" t="n">
        <v>5</v>
      </c>
      <c r="P84" t="n">
        <v>1</v>
      </c>
      <c r="Q84" t="n">
        <v>5</v>
      </c>
      <c r="R84" s="2" t="inlineStr">
        <is>
          <t>Knärot
Garnlav
Granticka
Järpe
Lunglav</t>
        </is>
      </c>
      <c r="S84">
        <f>HYPERLINK("https://klasma.github.io/Logging_2260/artfynd/A 51065-2024 artfynd.xlsx", "A 51065-2024")</f>
        <v/>
      </c>
      <c r="T84">
        <f>HYPERLINK("https://klasma.github.io/Logging_2260/kartor/A 51065-2024 karta.png", "A 51065-2024")</f>
        <v/>
      </c>
      <c r="U84">
        <f>HYPERLINK("https://klasma.github.io/Logging_2260/knärot/A 51065-2024 karta knärot.png", "A 51065-2024")</f>
        <v/>
      </c>
      <c r="V84">
        <f>HYPERLINK("https://klasma.github.io/Logging_2260/klagomål/A 51065-2024 FSC-klagomål.docx", "A 51065-2024")</f>
        <v/>
      </c>
      <c r="W84">
        <f>HYPERLINK("https://klasma.github.io/Logging_2260/klagomålsmail/A 51065-2024 FSC-klagomål mail.docx", "A 51065-2024")</f>
        <v/>
      </c>
      <c r="X84">
        <f>HYPERLINK("https://klasma.github.io/Logging_2260/tillsyn/A 51065-2024 tillsynsbegäran.docx", "A 51065-2024")</f>
        <v/>
      </c>
      <c r="Y84">
        <f>HYPERLINK("https://klasma.github.io/Logging_2260/tillsynsmail/A 51065-2024 tillsynsbegäran mail.docx", "A 51065-2024")</f>
        <v/>
      </c>
      <c r="Z84">
        <f>HYPERLINK("https://klasma.github.io/Logging_2260/fåglar/A 51065-2024 prioriterade fågelarter.docx", "A 51065-2024")</f>
        <v/>
      </c>
    </row>
    <row r="85" ht="15" customHeight="1">
      <c r="A85" t="inlineStr">
        <is>
          <t>A 46375-2025</t>
        </is>
      </c>
      <c r="B85" s="1" t="n">
        <v>45925.51097222222</v>
      </c>
      <c r="C85" s="1" t="n">
        <v>46061</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26958-2024</t>
        </is>
      </c>
      <c r="B86" s="1" t="n">
        <v>45470</v>
      </c>
      <c r="C86" s="1" t="n">
        <v>46061</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47102-2025</t>
        </is>
      </c>
      <c r="B87" s="1" t="n">
        <v>45929</v>
      </c>
      <c r="C87" s="1" t="n">
        <v>46061</v>
      </c>
      <c r="D87" t="inlineStr">
        <is>
          <t>VÄSTERNORRLANDS LÄN</t>
        </is>
      </c>
      <c r="E87" t="inlineStr">
        <is>
          <t>ÅNGE</t>
        </is>
      </c>
      <c r="G87" t="n">
        <v>1.3</v>
      </c>
      <c r="H87" t="n">
        <v>1</v>
      </c>
      <c r="I87" t="n">
        <v>1</v>
      </c>
      <c r="J87" t="n">
        <v>3</v>
      </c>
      <c r="K87" t="n">
        <v>1</v>
      </c>
      <c r="L87" t="n">
        <v>0</v>
      </c>
      <c r="M87" t="n">
        <v>0</v>
      </c>
      <c r="N87" t="n">
        <v>0</v>
      </c>
      <c r="O87" t="n">
        <v>4</v>
      </c>
      <c r="P87" t="n">
        <v>1</v>
      </c>
      <c r="Q87" t="n">
        <v>5</v>
      </c>
      <c r="R87" s="2" t="inlineStr">
        <is>
          <t>Knärot
Garnlav
Rosenticka
Ullticka
Dropptaggsvamp</t>
        </is>
      </c>
      <c r="S87">
        <f>HYPERLINK("https://klasma.github.io/Logging_2260/artfynd/A 47102-2025 artfynd.xlsx", "A 47102-2025")</f>
        <v/>
      </c>
      <c r="T87">
        <f>HYPERLINK("https://klasma.github.io/Logging_2260/kartor/A 47102-2025 karta.png", "A 47102-2025")</f>
        <v/>
      </c>
      <c r="U87">
        <f>HYPERLINK("https://klasma.github.io/Logging_2260/knärot/A 47102-2025 karta knärot.png", "A 47102-2025")</f>
        <v/>
      </c>
      <c r="V87">
        <f>HYPERLINK("https://klasma.github.io/Logging_2260/klagomål/A 47102-2025 FSC-klagomål.docx", "A 47102-2025")</f>
        <v/>
      </c>
      <c r="W87">
        <f>HYPERLINK("https://klasma.github.io/Logging_2260/klagomålsmail/A 47102-2025 FSC-klagomål mail.docx", "A 47102-2025")</f>
        <v/>
      </c>
      <c r="X87">
        <f>HYPERLINK("https://klasma.github.io/Logging_2260/tillsyn/A 47102-2025 tillsynsbegäran.docx", "A 47102-2025")</f>
        <v/>
      </c>
      <c r="Y87">
        <f>HYPERLINK("https://klasma.github.io/Logging_2260/tillsynsmail/A 47102-2025 tillsynsbegäran mail.docx", "A 47102-2025")</f>
        <v/>
      </c>
    </row>
    <row r="88" ht="15" customHeight="1">
      <c r="A88" t="inlineStr">
        <is>
          <t>A 52601-2025</t>
        </is>
      </c>
      <c r="B88" s="1" t="n">
        <v>45954</v>
      </c>
      <c r="C88" s="1" t="n">
        <v>46061</v>
      </c>
      <c r="D88" t="inlineStr">
        <is>
          <t>VÄSTERNORRLANDS LÄN</t>
        </is>
      </c>
      <c r="E88" t="inlineStr">
        <is>
          <t>ÅNGE</t>
        </is>
      </c>
      <c r="F88" t="inlineStr">
        <is>
          <t>SCA</t>
        </is>
      </c>
      <c r="G88" t="n">
        <v>3.1</v>
      </c>
      <c r="H88" t="n">
        <v>4</v>
      </c>
      <c r="I88" t="n">
        <v>4</v>
      </c>
      <c r="J88" t="n">
        <v>0</v>
      </c>
      <c r="K88" t="n">
        <v>1</v>
      </c>
      <c r="L88" t="n">
        <v>0</v>
      </c>
      <c r="M88" t="n">
        <v>0</v>
      </c>
      <c r="N88" t="n">
        <v>0</v>
      </c>
      <c r="O88" t="n">
        <v>1</v>
      </c>
      <c r="P88" t="n">
        <v>1</v>
      </c>
      <c r="Q88" t="n">
        <v>5</v>
      </c>
      <c r="R88" s="2" t="inlineStr">
        <is>
          <t>Knärot
Bågpraktmossa
Korallrot
Spindelblomster
Tvåblad</t>
        </is>
      </c>
      <c r="S88">
        <f>HYPERLINK("https://klasma.github.io/Logging_2260/artfynd/A 52601-2025 artfynd.xlsx", "A 52601-2025")</f>
        <v/>
      </c>
      <c r="T88">
        <f>HYPERLINK("https://klasma.github.io/Logging_2260/kartor/A 52601-2025 karta.png", "A 52601-2025")</f>
        <v/>
      </c>
      <c r="U88">
        <f>HYPERLINK("https://klasma.github.io/Logging_2260/knärot/A 52601-2025 karta knärot.png", "A 52601-2025")</f>
        <v/>
      </c>
      <c r="V88">
        <f>HYPERLINK("https://klasma.github.io/Logging_2260/klagomål/A 52601-2025 FSC-klagomål.docx", "A 52601-2025")</f>
        <v/>
      </c>
      <c r="W88">
        <f>HYPERLINK("https://klasma.github.io/Logging_2260/klagomålsmail/A 52601-2025 FSC-klagomål mail.docx", "A 52601-2025")</f>
        <v/>
      </c>
      <c r="X88">
        <f>HYPERLINK("https://klasma.github.io/Logging_2260/tillsyn/A 52601-2025 tillsynsbegäran.docx", "A 52601-2025")</f>
        <v/>
      </c>
      <c r="Y88">
        <f>HYPERLINK("https://klasma.github.io/Logging_2260/tillsynsmail/A 52601-2025 tillsynsbegäran mail.docx", "A 52601-2025")</f>
        <v/>
      </c>
    </row>
    <row r="89" ht="15" customHeight="1">
      <c r="A89" t="inlineStr">
        <is>
          <t>A 38322-2025</t>
        </is>
      </c>
      <c r="B89" s="1" t="n">
        <v>45883.49003472222</v>
      </c>
      <c r="C89" s="1" t="n">
        <v>46061</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46061</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59971-2025</t>
        </is>
      </c>
      <c r="B91" s="1" t="n">
        <v>45993.49002314815</v>
      </c>
      <c r="C91" s="1" t="n">
        <v>46061</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59971-2025 artfynd.xlsx", "A 59971-2025")</f>
        <v/>
      </c>
      <c r="T91">
        <f>HYPERLINK("https://klasma.github.io/Logging_2260/kartor/A 59971-2025 karta.png", "A 59971-2025")</f>
        <v/>
      </c>
      <c r="V91">
        <f>HYPERLINK("https://klasma.github.io/Logging_2260/klagomål/A 59971-2025 FSC-klagomål.docx", "A 59971-2025")</f>
        <v/>
      </c>
      <c r="W91">
        <f>HYPERLINK("https://klasma.github.io/Logging_2260/klagomålsmail/A 59971-2025 FSC-klagomål mail.docx", "A 59971-2025")</f>
        <v/>
      </c>
      <c r="X91">
        <f>HYPERLINK("https://klasma.github.io/Logging_2260/tillsyn/A 59971-2025 tillsynsbegäran.docx", "A 59971-2025")</f>
        <v/>
      </c>
      <c r="Y91">
        <f>HYPERLINK("https://klasma.github.io/Logging_2260/tillsynsmail/A 59971-2025 tillsynsbegäran mail.docx", "A 59971-2025")</f>
        <v/>
      </c>
      <c r="Z91">
        <f>HYPERLINK("https://klasma.github.io/Logging_2260/fåglar/A 59971-2025 prioriterade fågelarter.docx", "A 59971-2025")</f>
        <v/>
      </c>
    </row>
    <row r="92" ht="15" customHeight="1">
      <c r="A92" t="inlineStr">
        <is>
          <t>A 27914-2024</t>
        </is>
      </c>
      <c r="B92" s="1" t="n">
        <v>45475</v>
      </c>
      <c r="C92" s="1" t="n">
        <v>46061</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46061</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32911-2024</t>
        </is>
      </c>
      <c r="B94" s="1" t="n">
        <v>45516</v>
      </c>
      <c r="C94" s="1" t="n">
        <v>46061</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2451-2024</t>
        </is>
      </c>
      <c r="B95" s="1" t="n">
        <v>45312.58627314815</v>
      </c>
      <c r="C95" s="1" t="n">
        <v>46061</v>
      </c>
      <c r="D95" t="inlineStr">
        <is>
          <t>VÄSTERNORRLANDS LÄN</t>
        </is>
      </c>
      <c r="E95" t="inlineStr">
        <is>
          <t>ÅNGE</t>
        </is>
      </c>
      <c r="G95" t="n">
        <v>3.5</v>
      </c>
      <c r="H95" t="n">
        <v>0</v>
      </c>
      <c r="I95" t="n">
        <v>1</v>
      </c>
      <c r="J95" t="n">
        <v>4</v>
      </c>
      <c r="K95" t="n">
        <v>0</v>
      </c>
      <c r="L95" t="n">
        <v>0</v>
      </c>
      <c r="M95" t="n">
        <v>0</v>
      </c>
      <c r="N95" t="n">
        <v>0</v>
      </c>
      <c r="O95" t="n">
        <v>4</v>
      </c>
      <c r="P95" t="n">
        <v>0</v>
      </c>
      <c r="Q95" t="n">
        <v>5</v>
      </c>
      <c r="R95" s="2" t="inlineStr">
        <is>
          <t>Garnlav
Mörk kolflarnlav
Rosenticka
Ullticka
Dropptaggsvamp</t>
        </is>
      </c>
      <c r="S95">
        <f>HYPERLINK("https://klasma.github.io/Logging_2260/artfynd/A 2451-2024 artfynd.xlsx", "A 2451-2024")</f>
        <v/>
      </c>
      <c r="T95">
        <f>HYPERLINK("https://klasma.github.io/Logging_2260/kartor/A 2451-2024 karta.png", "A 2451-2024")</f>
        <v/>
      </c>
      <c r="V95">
        <f>HYPERLINK("https://klasma.github.io/Logging_2260/klagomål/A 2451-2024 FSC-klagomål.docx", "A 2451-2024")</f>
        <v/>
      </c>
      <c r="W95">
        <f>HYPERLINK("https://klasma.github.io/Logging_2260/klagomålsmail/A 2451-2024 FSC-klagomål mail.docx", "A 2451-2024")</f>
        <v/>
      </c>
      <c r="X95">
        <f>HYPERLINK("https://klasma.github.io/Logging_2260/tillsyn/A 2451-2024 tillsynsbegäran.docx", "A 2451-2024")</f>
        <v/>
      </c>
      <c r="Y95">
        <f>HYPERLINK("https://klasma.github.io/Logging_2260/tillsynsmail/A 2451-2024 tillsynsbegäran mail.docx", "A 2451-2024")</f>
        <v/>
      </c>
    </row>
    <row r="96" ht="15" customHeight="1">
      <c r="A96" t="inlineStr">
        <is>
          <t>A 23601-2025</t>
        </is>
      </c>
      <c r="B96" s="1" t="n">
        <v>45792</v>
      </c>
      <c r="C96" s="1" t="n">
        <v>46061</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24796-2024</t>
        </is>
      </c>
      <c r="B97" s="1" t="n">
        <v>45460</v>
      </c>
      <c r="C97" s="1" t="n">
        <v>46061</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46061</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46061</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26953-2024</t>
        </is>
      </c>
      <c r="B100" s="1" t="n">
        <v>45470</v>
      </c>
      <c r="C100" s="1" t="n">
        <v>46061</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54095-2025</t>
        </is>
      </c>
      <c r="B101" s="1" t="n">
        <v>45964.40685185185</v>
      </c>
      <c r="C101" s="1" t="n">
        <v>46061</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38713-2025</t>
        </is>
      </c>
      <c r="B102" s="1" t="n">
        <v>45886.34479166667</v>
      </c>
      <c r="C102" s="1" t="n">
        <v>46061</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44558-2024</t>
        </is>
      </c>
      <c r="B103" s="1" t="n">
        <v>45574.47001157407</v>
      </c>
      <c r="C103" s="1" t="n">
        <v>46061</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61007-2025</t>
        </is>
      </c>
      <c r="B104" s="1" t="n">
        <v>45998</v>
      </c>
      <c r="C104" s="1" t="n">
        <v>46061</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57299-2022</t>
        </is>
      </c>
      <c r="B105" s="1" t="n">
        <v>44895.95090277777</v>
      </c>
      <c r="C105" s="1" t="n">
        <v>46061</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46061</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61487-2025</t>
        </is>
      </c>
      <c r="B107" s="1" t="n">
        <v>46001.63628472222</v>
      </c>
      <c r="C107" s="1" t="n">
        <v>46061</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39176-2024</t>
        </is>
      </c>
      <c r="B108" s="1" t="n">
        <v>45548</v>
      </c>
      <c r="C108" s="1" t="n">
        <v>46061</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46061</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46061</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46061</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46061</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46061</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39179-2024</t>
        </is>
      </c>
      <c r="B114" s="1" t="n">
        <v>45548.65703703704</v>
      </c>
      <c r="C114" s="1" t="n">
        <v>46061</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22996-2023</t>
        </is>
      </c>
      <c r="B115" s="1" t="n">
        <v>45072</v>
      </c>
      <c r="C115" s="1" t="n">
        <v>46061</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38664-2025</t>
        </is>
      </c>
      <c r="B116" s="1" t="n">
        <v>45884.61503472222</v>
      </c>
      <c r="C116" s="1" t="n">
        <v>46061</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26679-2025</t>
        </is>
      </c>
      <c r="B117" s="1" t="n">
        <v>45810</v>
      </c>
      <c r="C117" s="1" t="n">
        <v>46061</v>
      </c>
      <c r="D117" t="inlineStr">
        <is>
          <t>VÄSTERNORRLANDS LÄN</t>
        </is>
      </c>
      <c r="E117" t="inlineStr">
        <is>
          <t>ÅNGE</t>
        </is>
      </c>
      <c r="F117" t="inlineStr">
        <is>
          <t>SCA</t>
        </is>
      </c>
      <c r="G117" t="n">
        <v>5.9</v>
      </c>
      <c r="H117" t="n">
        <v>0</v>
      </c>
      <c r="I117" t="n">
        <v>1</v>
      </c>
      <c r="J117" t="n">
        <v>2</v>
      </c>
      <c r="K117" t="n">
        <v>0</v>
      </c>
      <c r="L117" t="n">
        <v>0</v>
      </c>
      <c r="M117" t="n">
        <v>0</v>
      </c>
      <c r="N117" t="n">
        <v>0</v>
      </c>
      <c r="O117" t="n">
        <v>2</v>
      </c>
      <c r="P117" t="n">
        <v>0</v>
      </c>
      <c r="Q117" t="n">
        <v>3</v>
      </c>
      <c r="R117" s="2" t="inlineStr">
        <is>
          <t>Garnlav
Lunglav
Rödgul trumpetsvamp</t>
        </is>
      </c>
      <c r="S117">
        <f>HYPERLINK("https://klasma.github.io/Logging_2260/artfynd/A 26679-2025 artfynd.xlsx", "A 26679-2025")</f>
        <v/>
      </c>
      <c r="T117">
        <f>HYPERLINK("https://klasma.github.io/Logging_2260/kartor/A 26679-2025 karta.png", "A 26679-2025")</f>
        <v/>
      </c>
      <c r="V117">
        <f>HYPERLINK("https://klasma.github.io/Logging_2260/klagomål/A 26679-2025 FSC-klagomål.docx", "A 26679-2025")</f>
        <v/>
      </c>
      <c r="W117">
        <f>HYPERLINK("https://klasma.github.io/Logging_2260/klagomålsmail/A 26679-2025 FSC-klagomål mail.docx", "A 26679-2025")</f>
        <v/>
      </c>
      <c r="X117">
        <f>HYPERLINK("https://klasma.github.io/Logging_2260/tillsyn/A 26679-2025 tillsynsbegäran.docx", "A 26679-2025")</f>
        <v/>
      </c>
      <c r="Y117">
        <f>HYPERLINK("https://klasma.github.io/Logging_2260/tillsynsmail/A 26679-2025 tillsynsbegäran mail.docx", "A 26679-2025")</f>
        <v/>
      </c>
    </row>
    <row r="118" ht="15" customHeight="1">
      <c r="A118" t="inlineStr">
        <is>
          <t>A 39029-2025</t>
        </is>
      </c>
      <c r="B118" s="1" t="n">
        <v>45888.40684027778</v>
      </c>
      <c r="C118" s="1" t="n">
        <v>46061</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16307-2025</t>
        </is>
      </c>
      <c r="B119" s="1" t="n">
        <v>45751.34686342593</v>
      </c>
      <c r="C119" s="1" t="n">
        <v>46061</v>
      </c>
      <c r="D119" t="inlineStr">
        <is>
          <t>VÄSTERNORRLANDS LÄN</t>
        </is>
      </c>
      <c r="E119" t="inlineStr">
        <is>
          <t>ÅNGE</t>
        </is>
      </c>
      <c r="F119" t="inlineStr">
        <is>
          <t>SCA</t>
        </is>
      </c>
      <c r="G119" t="n">
        <v>12.3</v>
      </c>
      <c r="H119" t="n">
        <v>1</v>
      </c>
      <c r="I119" t="n">
        <v>2</v>
      </c>
      <c r="J119" t="n">
        <v>0</v>
      </c>
      <c r="K119" t="n">
        <v>0</v>
      </c>
      <c r="L119" t="n">
        <v>0</v>
      </c>
      <c r="M119" t="n">
        <v>0</v>
      </c>
      <c r="N119" t="n">
        <v>0</v>
      </c>
      <c r="O119" t="n">
        <v>0</v>
      </c>
      <c r="P119" t="n">
        <v>0</v>
      </c>
      <c r="Q119" t="n">
        <v>3</v>
      </c>
      <c r="R119" s="2" t="inlineStr">
        <is>
          <t>Stor aspticka
Vårärt
Blåsippa</t>
        </is>
      </c>
      <c r="S119">
        <f>HYPERLINK("https://klasma.github.io/Logging_2260/artfynd/A 16307-2025 artfynd.xlsx", "A 16307-2025")</f>
        <v/>
      </c>
      <c r="T119">
        <f>HYPERLINK("https://klasma.github.io/Logging_2260/kartor/A 16307-2025 karta.png", "A 16307-2025")</f>
        <v/>
      </c>
      <c r="V119">
        <f>HYPERLINK("https://klasma.github.io/Logging_2260/klagomål/A 16307-2025 FSC-klagomål.docx", "A 16307-2025")</f>
        <v/>
      </c>
      <c r="W119">
        <f>HYPERLINK("https://klasma.github.io/Logging_2260/klagomålsmail/A 16307-2025 FSC-klagomål mail.docx", "A 16307-2025")</f>
        <v/>
      </c>
      <c r="X119">
        <f>HYPERLINK("https://klasma.github.io/Logging_2260/tillsyn/A 16307-2025 tillsynsbegäran.docx", "A 16307-2025")</f>
        <v/>
      </c>
      <c r="Y119">
        <f>HYPERLINK("https://klasma.github.io/Logging_2260/tillsynsmail/A 16307-2025 tillsynsbegäran mail.docx", "A 16307-2025")</f>
        <v/>
      </c>
    </row>
    <row r="120" ht="15" customHeight="1">
      <c r="A120" t="inlineStr">
        <is>
          <t>A 41868-2025</t>
        </is>
      </c>
      <c r="B120" s="1" t="n">
        <v>45903.34429398148</v>
      </c>
      <c r="C120" s="1" t="n">
        <v>46061</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43319-2025</t>
        </is>
      </c>
      <c r="B121" s="1" t="n">
        <v>45910.65681712963</v>
      </c>
      <c r="C121" s="1" t="n">
        <v>46061</v>
      </c>
      <c r="D121" t="inlineStr">
        <is>
          <t>VÄSTERNORRLANDS LÄN</t>
        </is>
      </c>
      <c r="E121" t="inlineStr">
        <is>
          <t>ÅNGE</t>
        </is>
      </c>
      <c r="F121" t="inlineStr">
        <is>
          <t>SCA</t>
        </is>
      </c>
      <c r="G121" t="n">
        <v>6.6</v>
      </c>
      <c r="H121" t="n">
        <v>0</v>
      </c>
      <c r="I121" t="n">
        <v>1</v>
      </c>
      <c r="J121" t="n">
        <v>2</v>
      </c>
      <c r="K121" t="n">
        <v>0</v>
      </c>
      <c r="L121" t="n">
        <v>0</v>
      </c>
      <c r="M121" t="n">
        <v>0</v>
      </c>
      <c r="N121" t="n">
        <v>0</v>
      </c>
      <c r="O121" t="n">
        <v>2</v>
      </c>
      <c r="P121" t="n">
        <v>0</v>
      </c>
      <c r="Q121" t="n">
        <v>3</v>
      </c>
      <c r="R121" s="2" t="inlineStr">
        <is>
          <t>Ullticka
Violettgrå tagellav
Korallblylav</t>
        </is>
      </c>
      <c r="S121">
        <f>HYPERLINK("https://klasma.github.io/Logging_2260/artfynd/A 43319-2025 artfynd.xlsx", "A 43319-2025")</f>
        <v/>
      </c>
      <c r="T121">
        <f>HYPERLINK("https://klasma.github.io/Logging_2260/kartor/A 43319-2025 karta.png", "A 43319-2025")</f>
        <v/>
      </c>
      <c r="V121">
        <f>HYPERLINK("https://klasma.github.io/Logging_2260/klagomål/A 43319-2025 FSC-klagomål.docx", "A 43319-2025")</f>
        <v/>
      </c>
      <c r="W121">
        <f>HYPERLINK("https://klasma.github.io/Logging_2260/klagomålsmail/A 43319-2025 FSC-klagomål mail.docx", "A 43319-2025")</f>
        <v/>
      </c>
      <c r="X121">
        <f>HYPERLINK("https://klasma.github.io/Logging_2260/tillsyn/A 43319-2025 tillsynsbegäran.docx", "A 43319-2025")</f>
        <v/>
      </c>
      <c r="Y121">
        <f>HYPERLINK("https://klasma.github.io/Logging_2260/tillsynsmail/A 43319-2025 tillsynsbegäran mail.docx", "A 43319-2025")</f>
        <v/>
      </c>
    </row>
    <row r="122" ht="15" customHeight="1">
      <c r="A122" t="inlineStr">
        <is>
          <t>A 47617-2024</t>
        </is>
      </c>
      <c r="B122" s="1" t="n">
        <v>45588.32125</v>
      </c>
      <c r="C122" s="1" t="n">
        <v>46061</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43880-2025</t>
        </is>
      </c>
      <c r="B123" s="1" t="n">
        <v>45912</v>
      </c>
      <c r="C123" s="1" t="n">
        <v>46061</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31212-2025</t>
        </is>
      </c>
      <c r="B124" s="1" t="n">
        <v>45832.71978009259</v>
      </c>
      <c r="C124" s="1" t="n">
        <v>46061</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46417-2025</t>
        </is>
      </c>
      <c r="B125" s="1" t="n">
        <v>45925.59454861111</v>
      </c>
      <c r="C125" s="1" t="n">
        <v>46061</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49530-2025</t>
        </is>
      </c>
      <c r="B126" s="1" t="n">
        <v>45939.40700231482</v>
      </c>
      <c r="C126" s="1" t="n">
        <v>46061</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33806-2025</t>
        </is>
      </c>
      <c r="B127" s="1" t="n">
        <v>45842.44865740741</v>
      </c>
      <c r="C127" s="1" t="n">
        <v>46061</v>
      </c>
      <c r="D127" t="inlineStr">
        <is>
          <t>VÄSTERNORRLANDS LÄN</t>
        </is>
      </c>
      <c r="E127" t="inlineStr">
        <is>
          <t>ÅNGE</t>
        </is>
      </c>
      <c r="F127" t="inlineStr">
        <is>
          <t>SCA</t>
        </is>
      </c>
      <c r="G127" t="n">
        <v>24.6</v>
      </c>
      <c r="H127" t="n">
        <v>3</v>
      </c>
      <c r="I127" t="n">
        <v>1</v>
      </c>
      <c r="J127" t="n">
        <v>0</v>
      </c>
      <c r="K127" t="n">
        <v>1</v>
      </c>
      <c r="L127" t="n">
        <v>0</v>
      </c>
      <c r="M127" t="n">
        <v>0</v>
      </c>
      <c r="N127" t="n">
        <v>0</v>
      </c>
      <c r="O127" t="n">
        <v>1</v>
      </c>
      <c r="P127" t="n">
        <v>1</v>
      </c>
      <c r="Q127" t="n">
        <v>3</v>
      </c>
      <c r="R127" s="2" t="inlineStr">
        <is>
          <t>Knärot
Grönkulla
Nattviol</t>
        </is>
      </c>
      <c r="S127">
        <f>HYPERLINK("https://klasma.github.io/Logging_2260/artfynd/A 33806-2025 artfynd.xlsx", "A 33806-2025")</f>
        <v/>
      </c>
      <c r="T127">
        <f>HYPERLINK("https://klasma.github.io/Logging_2260/kartor/A 33806-2025 karta.png", "A 33806-2025")</f>
        <v/>
      </c>
      <c r="U127">
        <f>HYPERLINK("https://klasma.github.io/Logging_2260/knärot/A 33806-2025 karta knärot.png", "A 33806-2025")</f>
        <v/>
      </c>
      <c r="V127">
        <f>HYPERLINK("https://klasma.github.io/Logging_2260/klagomål/A 33806-2025 FSC-klagomål.docx", "A 33806-2025")</f>
        <v/>
      </c>
      <c r="W127">
        <f>HYPERLINK("https://klasma.github.io/Logging_2260/klagomålsmail/A 33806-2025 FSC-klagomål mail.docx", "A 33806-2025")</f>
        <v/>
      </c>
      <c r="X127">
        <f>HYPERLINK("https://klasma.github.io/Logging_2260/tillsyn/A 33806-2025 tillsynsbegäran.docx", "A 33806-2025")</f>
        <v/>
      </c>
      <c r="Y127">
        <f>HYPERLINK("https://klasma.github.io/Logging_2260/tillsynsmail/A 33806-2025 tillsynsbegäran mail.docx", "A 33806-2025")</f>
        <v/>
      </c>
    </row>
    <row r="128" ht="15" customHeight="1">
      <c r="A128" t="inlineStr">
        <is>
          <t>A 50259-2025</t>
        </is>
      </c>
      <c r="B128" s="1" t="n">
        <v>45944.34498842592</v>
      </c>
      <c r="C128" s="1" t="n">
        <v>46061</v>
      </c>
      <c r="D128" t="inlineStr">
        <is>
          <t>VÄSTERNORRLANDS LÄN</t>
        </is>
      </c>
      <c r="E128" t="inlineStr">
        <is>
          <t>ÅNGE</t>
        </is>
      </c>
      <c r="F128" t="inlineStr">
        <is>
          <t>SCA</t>
        </is>
      </c>
      <c r="G128" t="n">
        <v>1.7</v>
      </c>
      <c r="H128" t="n">
        <v>1</v>
      </c>
      <c r="I128" t="n">
        <v>1</v>
      </c>
      <c r="J128" t="n">
        <v>1</v>
      </c>
      <c r="K128" t="n">
        <v>0</v>
      </c>
      <c r="L128" t="n">
        <v>0</v>
      </c>
      <c r="M128" t="n">
        <v>0</v>
      </c>
      <c r="N128" t="n">
        <v>0</v>
      </c>
      <c r="O128" t="n">
        <v>1</v>
      </c>
      <c r="P128" t="n">
        <v>0</v>
      </c>
      <c r="Q128" t="n">
        <v>3</v>
      </c>
      <c r="R128" s="2" t="inlineStr">
        <is>
          <t>Lunglav
Bollvitmossa
Fläcknycklar</t>
        </is>
      </c>
      <c r="S128">
        <f>HYPERLINK("https://klasma.github.io/Logging_2260/artfynd/A 50259-2025 artfynd.xlsx", "A 50259-2025")</f>
        <v/>
      </c>
      <c r="T128">
        <f>HYPERLINK("https://klasma.github.io/Logging_2260/kartor/A 50259-2025 karta.png", "A 50259-2025")</f>
        <v/>
      </c>
      <c r="V128">
        <f>HYPERLINK("https://klasma.github.io/Logging_2260/klagomål/A 50259-2025 FSC-klagomål.docx", "A 50259-2025")</f>
        <v/>
      </c>
      <c r="W128">
        <f>HYPERLINK("https://klasma.github.io/Logging_2260/klagomålsmail/A 50259-2025 FSC-klagomål mail.docx", "A 50259-2025")</f>
        <v/>
      </c>
      <c r="X128">
        <f>HYPERLINK("https://klasma.github.io/Logging_2260/tillsyn/A 50259-2025 tillsynsbegäran.docx", "A 50259-2025")</f>
        <v/>
      </c>
      <c r="Y128">
        <f>HYPERLINK("https://klasma.github.io/Logging_2260/tillsynsmail/A 50259-2025 tillsynsbegäran mail.docx", "A 50259-2025")</f>
        <v/>
      </c>
    </row>
    <row r="129" ht="15" customHeight="1">
      <c r="A129" t="inlineStr">
        <is>
          <t>A 7533-2023</t>
        </is>
      </c>
      <c r="B129" s="1" t="n">
        <v>44971</v>
      </c>
      <c r="C129" s="1" t="n">
        <v>46061</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37184-2025</t>
        </is>
      </c>
      <c r="B130" s="1" t="n">
        <v>45875.63591435185</v>
      </c>
      <c r="C130" s="1" t="n">
        <v>46061</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53710-2025</t>
        </is>
      </c>
      <c r="B131" s="1" t="n">
        <v>45960.6153125</v>
      </c>
      <c r="C131" s="1" t="n">
        <v>46061</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38238-2025</t>
        </is>
      </c>
      <c r="B132" s="1" t="n">
        <v>45883.36497685185</v>
      </c>
      <c r="C132" s="1" t="n">
        <v>46061</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39708-2024</t>
        </is>
      </c>
      <c r="B133" s="1" t="n">
        <v>45552.59408564815</v>
      </c>
      <c r="C133" s="1" t="n">
        <v>46061</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63330-2025</t>
        </is>
      </c>
      <c r="B134" s="1" t="n">
        <v>46010</v>
      </c>
      <c r="C134" s="1" t="n">
        <v>46061</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45122-2021</t>
        </is>
      </c>
      <c r="B135" s="1" t="n">
        <v>44439</v>
      </c>
      <c r="C135" s="1" t="n">
        <v>46061</v>
      </c>
      <c r="D135" t="inlineStr">
        <is>
          <t>VÄSTERNORRLANDS LÄN</t>
        </is>
      </c>
      <c r="E135" t="inlineStr">
        <is>
          <t>ÅNGE</t>
        </is>
      </c>
      <c r="G135" t="n">
        <v>20.3</v>
      </c>
      <c r="H135" t="n">
        <v>0</v>
      </c>
      <c r="I135" t="n">
        <v>2</v>
      </c>
      <c r="J135" t="n">
        <v>1</v>
      </c>
      <c r="K135" t="n">
        <v>0</v>
      </c>
      <c r="L135" t="n">
        <v>0</v>
      </c>
      <c r="M135" t="n">
        <v>0</v>
      </c>
      <c r="N135" t="n">
        <v>0</v>
      </c>
      <c r="O135" t="n">
        <v>1</v>
      </c>
      <c r="P135" t="n">
        <v>0</v>
      </c>
      <c r="Q135" t="n">
        <v>3</v>
      </c>
      <c r="R135" s="2" t="inlineStr">
        <is>
          <t>Reliktbock
Cixidia
Skinnlav</t>
        </is>
      </c>
      <c r="S135">
        <f>HYPERLINK("https://klasma.github.io/Logging_2260/artfynd/A 45122-2021 artfynd.xlsx", "A 45122-2021")</f>
        <v/>
      </c>
      <c r="T135">
        <f>HYPERLINK("https://klasma.github.io/Logging_2260/kartor/A 45122-2021 karta.png", "A 45122-2021")</f>
        <v/>
      </c>
      <c r="V135">
        <f>HYPERLINK("https://klasma.github.io/Logging_2260/klagomål/A 45122-2021 FSC-klagomål.docx", "A 45122-2021")</f>
        <v/>
      </c>
      <c r="W135">
        <f>HYPERLINK("https://klasma.github.io/Logging_2260/klagomålsmail/A 45122-2021 FSC-klagomål mail.docx", "A 45122-2021")</f>
        <v/>
      </c>
      <c r="X135">
        <f>HYPERLINK("https://klasma.github.io/Logging_2260/tillsyn/A 45122-2021 tillsynsbegäran.docx", "A 45122-2021")</f>
        <v/>
      </c>
      <c r="Y135">
        <f>HYPERLINK("https://klasma.github.io/Logging_2260/tillsynsmail/A 45122-2021 tillsynsbegäran mail.docx", "A 45122-2021")</f>
        <v/>
      </c>
    </row>
    <row r="136" ht="15" customHeight="1">
      <c r="A136" t="inlineStr">
        <is>
          <t>A 29691-2024</t>
        </is>
      </c>
      <c r="B136" s="1" t="n">
        <v>45484.9446875</v>
      </c>
      <c r="C136" s="1" t="n">
        <v>46061</v>
      </c>
      <c r="D136" t="inlineStr">
        <is>
          <t>VÄSTERNORRLANDS LÄN</t>
        </is>
      </c>
      <c r="E136" t="inlineStr">
        <is>
          <t>ÅNGE</t>
        </is>
      </c>
      <c r="F136" t="inlineStr">
        <is>
          <t>SCA</t>
        </is>
      </c>
      <c r="G136" t="n">
        <v>6.8</v>
      </c>
      <c r="H136" t="n">
        <v>0</v>
      </c>
      <c r="I136" t="n">
        <v>1</v>
      </c>
      <c r="J136" t="n">
        <v>2</v>
      </c>
      <c r="K136" t="n">
        <v>0</v>
      </c>
      <c r="L136" t="n">
        <v>0</v>
      </c>
      <c r="M136" t="n">
        <v>0</v>
      </c>
      <c r="N136" t="n">
        <v>0</v>
      </c>
      <c r="O136" t="n">
        <v>2</v>
      </c>
      <c r="P136" t="n">
        <v>0</v>
      </c>
      <c r="Q136" t="n">
        <v>3</v>
      </c>
      <c r="R136" s="2" t="inlineStr">
        <is>
          <t>Lunglav
Rosenticka
Vedticka</t>
        </is>
      </c>
      <c r="S136">
        <f>HYPERLINK("https://klasma.github.io/Logging_2260/artfynd/A 29691-2024 artfynd.xlsx", "A 29691-2024")</f>
        <v/>
      </c>
      <c r="T136">
        <f>HYPERLINK("https://klasma.github.io/Logging_2260/kartor/A 29691-2024 karta.png", "A 29691-2024")</f>
        <v/>
      </c>
      <c r="V136">
        <f>HYPERLINK("https://klasma.github.io/Logging_2260/klagomål/A 29691-2024 FSC-klagomål.docx", "A 29691-2024")</f>
        <v/>
      </c>
      <c r="W136">
        <f>HYPERLINK("https://klasma.github.io/Logging_2260/klagomålsmail/A 29691-2024 FSC-klagomål mail.docx", "A 29691-2024")</f>
        <v/>
      </c>
      <c r="X136">
        <f>HYPERLINK("https://klasma.github.io/Logging_2260/tillsyn/A 29691-2024 tillsynsbegäran.docx", "A 29691-2024")</f>
        <v/>
      </c>
      <c r="Y136">
        <f>HYPERLINK("https://klasma.github.io/Logging_2260/tillsynsmail/A 29691-2024 tillsynsbegäran mail.docx", "A 29691-2024")</f>
        <v/>
      </c>
    </row>
    <row r="137" ht="15" customHeight="1">
      <c r="A137" t="inlineStr">
        <is>
          <t>A 39181-2024</t>
        </is>
      </c>
      <c r="B137" s="1" t="n">
        <v>45548</v>
      </c>
      <c r="C137" s="1" t="n">
        <v>46061</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24795-2024</t>
        </is>
      </c>
      <c r="B138" s="1" t="n">
        <v>45460.95252314815</v>
      </c>
      <c r="C138" s="1" t="n">
        <v>46061</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28274-2023</t>
        </is>
      </c>
      <c r="B139" s="1" t="n">
        <v>45099</v>
      </c>
      <c r="C139" s="1" t="n">
        <v>46061</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21267-2025</t>
        </is>
      </c>
      <c r="B140" s="1" t="n">
        <v>45779</v>
      </c>
      <c r="C140" s="1" t="n">
        <v>46061</v>
      </c>
      <c r="D140" t="inlineStr">
        <is>
          <t>VÄSTERNORRLANDS LÄN</t>
        </is>
      </c>
      <c r="E140" t="inlineStr">
        <is>
          <t>ÅNGE</t>
        </is>
      </c>
      <c r="F140" t="inlineStr">
        <is>
          <t>Sveaskog</t>
        </is>
      </c>
      <c r="G140" t="n">
        <v>3.7</v>
      </c>
      <c r="H140" t="n">
        <v>2</v>
      </c>
      <c r="I140" t="n">
        <v>2</v>
      </c>
      <c r="J140" t="n">
        <v>1</v>
      </c>
      <c r="K140" t="n">
        <v>0</v>
      </c>
      <c r="L140" t="n">
        <v>0</v>
      </c>
      <c r="M140" t="n">
        <v>0</v>
      </c>
      <c r="N140" t="n">
        <v>0</v>
      </c>
      <c r="O140" t="n">
        <v>1</v>
      </c>
      <c r="P140" t="n">
        <v>0</v>
      </c>
      <c r="Q140" t="n">
        <v>3</v>
      </c>
      <c r="R140" s="2" t="inlineStr">
        <is>
          <t>Lunglav
Korallrot
Spindelblomster</t>
        </is>
      </c>
      <c r="S140">
        <f>HYPERLINK("https://klasma.github.io/Logging_2260/artfynd/A 21267-2025 artfynd.xlsx", "A 21267-2025")</f>
        <v/>
      </c>
      <c r="T140">
        <f>HYPERLINK("https://klasma.github.io/Logging_2260/kartor/A 21267-2025 karta.png", "A 21267-2025")</f>
        <v/>
      </c>
      <c r="V140">
        <f>HYPERLINK("https://klasma.github.io/Logging_2260/klagomål/A 21267-2025 FSC-klagomål.docx", "A 21267-2025")</f>
        <v/>
      </c>
      <c r="W140">
        <f>HYPERLINK("https://klasma.github.io/Logging_2260/klagomålsmail/A 21267-2025 FSC-klagomål mail.docx", "A 21267-2025")</f>
        <v/>
      </c>
      <c r="X140">
        <f>HYPERLINK("https://klasma.github.io/Logging_2260/tillsyn/A 21267-2025 tillsynsbegäran.docx", "A 21267-2025")</f>
        <v/>
      </c>
      <c r="Y140">
        <f>HYPERLINK("https://klasma.github.io/Logging_2260/tillsynsmail/A 21267-2025 tillsynsbegäran mail.docx", "A 21267-2025")</f>
        <v/>
      </c>
    </row>
    <row r="141" ht="15" customHeight="1">
      <c r="A141" t="inlineStr">
        <is>
          <t>A 23754-2025</t>
        </is>
      </c>
      <c r="B141" s="1" t="n">
        <v>45793.45782407407</v>
      </c>
      <c r="C141" s="1" t="n">
        <v>46061</v>
      </c>
      <c r="D141" t="inlineStr">
        <is>
          <t>VÄSTERNORRLANDS LÄN</t>
        </is>
      </c>
      <c r="E141" t="inlineStr">
        <is>
          <t>ÅNGE</t>
        </is>
      </c>
      <c r="F141" t="inlineStr">
        <is>
          <t>Sveaskog</t>
        </is>
      </c>
      <c r="G141" t="n">
        <v>4.3</v>
      </c>
      <c r="H141" t="n">
        <v>3</v>
      </c>
      <c r="I141" t="n">
        <v>0</v>
      </c>
      <c r="J141" t="n">
        <v>1</v>
      </c>
      <c r="K141" t="n">
        <v>0</v>
      </c>
      <c r="L141" t="n">
        <v>0</v>
      </c>
      <c r="M141" t="n">
        <v>0</v>
      </c>
      <c r="N141" t="n">
        <v>0</v>
      </c>
      <c r="O141" t="n">
        <v>1</v>
      </c>
      <c r="P141" t="n">
        <v>0</v>
      </c>
      <c r="Q141" t="n">
        <v>3</v>
      </c>
      <c r="R141" s="2" t="inlineStr">
        <is>
          <t>Spillkråka
Tjäder
Blåsippa</t>
        </is>
      </c>
      <c r="S141">
        <f>HYPERLINK("https://klasma.github.io/Logging_2260/artfynd/A 23754-2025 artfynd.xlsx", "A 23754-2025")</f>
        <v/>
      </c>
      <c r="T141">
        <f>HYPERLINK("https://klasma.github.io/Logging_2260/kartor/A 23754-2025 karta.png", "A 23754-2025")</f>
        <v/>
      </c>
      <c r="U141">
        <f>HYPERLINK("https://klasma.github.io/Logging_2260/knärot/A 23754-2025 karta knärot.png", "A 23754-2025")</f>
        <v/>
      </c>
      <c r="V141">
        <f>HYPERLINK("https://klasma.github.io/Logging_2260/klagomål/A 23754-2025 FSC-klagomål.docx", "A 23754-2025")</f>
        <v/>
      </c>
      <c r="W141">
        <f>HYPERLINK("https://klasma.github.io/Logging_2260/klagomålsmail/A 23754-2025 FSC-klagomål mail.docx", "A 23754-2025")</f>
        <v/>
      </c>
      <c r="X141">
        <f>HYPERLINK("https://klasma.github.io/Logging_2260/tillsyn/A 23754-2025 tillsynsbegäran.docx", "A 23754-2025")</f>
        <v/>
      </c>
      <c r="Y141">
        <f>HYPERLINK("https://klasma.github.io/Logging_2260/tillsynsmail/A 23754-2025 tillsynsbegäran mail.docx", "A 23754-2025")</f>
        <v/>
      </c>
      <c r="Z141">
        <f>HYPERLINK("https://klasma.github.io/Logging_2260/fåglar/A 23754-2025 prioriterade fågelarter.docx", "A 23754-2025")</f>
        <v/>
      </c>
    </row>
    <row r="142" ht="15" customHeight="1">
      <c r="A142" t="inlineStr">
        <is>
          <t>A 23759-2025</t>
        </is>
      </c>
      <c r="B142" s="1" t="n">
        <v>45793.46409722222</v>
      </c>
      <c r="C142" s="1" t="n">
        <v>46061</v>
      </c>
      <c r="D142" t="inlineStr">
        <is>
          <t>VÄSTERNORRLANDS LÄN</t>
        </is>
      </c>
      <c r="E142" t="inlineStr">
        <is>
          <t>ÅNGE</t>
        </is>
      </c>
      <c r="F142" t="inlineStr">
        <is>
          <t>Sveaskog</t>
        </is>
      </c>
      <c r="G142" t="n">
        <v>5.2</v>
      </c>
      <c r="H142" t="n">
        <v>0</v>
      </c>
      <c r="I142" t="n">
        <v>1</v>
      </c>
      <c r="J142" t="n">
        <v>2</v>
      </c>
      <c r="K142" t="n">
        <v>0</v>
      </c>
      <c r="L142" t="n">
        <v>0</v>
      </c>
      <c r="M142" t="n">
        <v>0</v>
      </c>
      <c r="N142" t="n">
        <v>0</v>
      </c>
      <c r="O142" t="n">
        <v>2</v>
      </c>
      <c r="P142" t="n">
        <v>0</v>
      </c>
      <c r="Q142" t="n">
        <v>3</v>
      </c>
      <c r="R142" s="2" t="inlineStr">
        <is>
          <t>Lunglav
Skrovellav
Korallblylav</t>
        </is>
      </c>
      <c r="S142">
        <f>HYPERLINK("https://klasma.github.io/Logging_2260/artfynd/A 23759-2025 artfynd.xlsx", "A 23759-2025")</f>
        <v/>
      </c>
      <c r="T142">
        <f>HYPERLINK("https://klasma.github.io/Logging_2260/kartor/A 23759-2025 karta.png", "A 23759-2025")</f>
        <v/>
      </c>
      <c r="V142">
        <f>HYPERLINK("https://klasma.github.io/Logging_2260/klagomål/A 23759-2025 FSC-klagomål.docx", "A 23759-2025")</f>
        <v/>
      </c>
      <c r="W142">
        <f>HYPERLINK("https://klasma.github.io/Logging_2260/klagomålsmail/A 23759-2025 FSC-klagomål mail.docx", "A 23759-2025")</f>
        <v/>
      </c>
      <c r="X142">
        <f>HYPERLINK("https://klasma.github.io/Logging_2260/tillsyn/A 23759-2025 tillsynsbegäran.docx", "A 23759-2025")</f>
        <v/>
      </c>
      <c r="Y142">
        <f>HYPERLINK("https://klasma.github.io/Logging_2260/tillsynsmail/A 23759-2025 tillsynsbegäran mail.docx", "A 23759-2025")</f>
        <v/>
      </c>
    </row>
    <row r="143" ht="15" customHeight="1">
      <c r="A143" t="inlineStr">
        <is>
          <t>A 36635-2021</t>
        </is>
      </c>
      <c r="B143" s="1" t="n">
        <v>44391</v>
      </c>
      <c r="C143" s="1" t="n">
        <v>46061</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46061</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47798-2022</t>
        </is>
      </c>
      <c r="B145" s="1" t="n">
        <v>44854.95365740741</v>
      </c>
      <c r="C145" s="1" t="n">
        <v>46061</v>
      </c>
      <c r="D145" t="inlineStr">
        <is>
          <t>VÄSTERNORRLANDS LÄN</t>
        </is>
      </c>
      <c r="E145" t="inlineStr">
        <is>
          <t>ÅNGE</t>
        </is>
      </c>
      <c r="F145" t="inlineStr">
        <is>
          <t>SCA</t>
        </is>
      </c>
      <c r="G145" t="n">
        <v>8.300000000000001</v>
      </c>
      <c r="H145" t="n">
        <v>0</v>
      </c>
      <c r="I145" t="n">
        <v>1</v>
      </c>
      <c r="J145" t="n">
        <v>1</v>
      </c>
      <c r="K145" t="n">
        <v>0</v>
      </c>
      <c r="L145" t="n">
        <v>0</v>
      </c>
      <c r="M145" t="n">
        <v>0</v>
      </c>
      <c r="N145" t="n">
        <v>0</v>
      </c>
      <c r="O145" t="n">
        <v>1</v>
      </c>
      <c r="P145" t="n">
        <v>0</v>
      </c>
      <c r="Q145" t="n">
        <v>2</v>
      </c>
      <c r="R145" s="2" t="inlineStr">
        <is>
          <t>Lunglav
Kransrams</t>
        </is>
      </c>
      <c r="S145">
        <f>HYPERLINK("https://klasma.github.io/Logging_2260/artfynd/A 47798-2022 artfynd.xlsx", "A 47798-2022")</f>
        <v/>
      </c>
      <c r="T145">
        <f>HYPERLINK("https://klasma.github.io/Logging_2260/kartor/A 47798-2022 karta.png", "A 47798-2022")</f>
        <v/>
      </c>
      <c r="V145">
        <f>HYPERLINK("https://klasma.github.io/Logging_2260/klagomål/A 47798-2022 FSC-klagomål.docx", "A 47798-2022")</f>
        <v/>
      </c>
      <c r="W145">
        <f>HYPERLINK("https://klasma.github.io/Logging_2260/klagomålsmail/A 47798-2022 FSC-klagomål mail.docx", "A 47798-2022")</f>
        <v/>
      </c>
      <c r="X145">
        <f>HYPERLINK("https://klasma.github.io/Logging_2260/tillsyn/A 47798-2022 tillsynsbegäran.docx", "A 47798-2022")</f>
        <v/>
      </c>
      <c r="Y145">
        <f>HYPERLINK("https://klasma.github.io/Logging_2260/tillsynsmail/A 47798-2022 tillsynsbegäran mail.docx", "A 47798-2022")</f>
        <v/>
      </c>
    </row>
    <row r="146" ht="15" customHeight="1">
      <c r="A146" t="inlineStr">
        <is>
          <t>A 48152-2022</t>
        </is>
      </c>
      <c r="B146" s="1" t="n">
        <v>44853</v>
      </c>
      <c r="C146" s="1" t="n">
        <v>46061</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46061</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46061</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46061</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55591-2021</t>
        </is>
      </c>
      <c r="B150" s="1" t="n">
        <v>44475</v>
      </c>
      <c r="C150" s="1" t="n">
        <v>46061</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18081-2025</t>
        </is>
      </c>
      <c r="B151" s="1" t="n">
        <v>45761.51086805556</v>
      </c>
      <c r="C151" s="1" t="n">
        <v>46061</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46061</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62861-2021</t>
        </is>
      </c>
      <c r="B153" s="1" t="n">
        <v>44503</v>
      </c>
      <c r="C153" s="1" t="n">
        <v>46061</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25034-2024</t>
        </is>
      </c>
      <c r="B154" s="1" t="n">
        <v>45461.96458333333</v>
      </c>
      <c r="C154" s="1" t="n">
        <v>46061</v>
      </c>
      <c r="D154" t="inlineStr">
        <is>
          <t>VÄSTERNORRLANDS LÄN</t>
        </is>
      </c>
      <c r="E154" t="inlineStr">
        <is>
          <t>ÅNGE</t>
        </is>
      </c>
      <c r="F154" t="inlineStr">
        <is>
          <t>SCA</t>
        </is>
      </c>
      <c r="G154" t="n">
        <v>3.3</v>
      </c>
      <c r="H154" t="n">
        <v>0</v>
      </c>
      <c r="I154" t="n">
        <v>0</v>
      </c>
      <c r="J154" t="n">
        <v>2</v>
      </c>
      <c r="K154" t="n">
        <v>0</v>
      </c>
      <c r="L154" t="n">
        <v>0</v>
      </c>
      <c r="M154" t="n">
        <v>0</v>
      </c>
      <c r="N154" t="n">
        <v>0</v>
      </c>
      <c r="O154" t="n">
        <v>2</v>
      </c>
      <c r="P154" t="n">
        <v>0</v>
      </c>
      <c r="Q154" t="n">
        <v>2</v>
      </c>
      <c r="R154" s="2" t="inlineStr">
        <is>
          <t>Rosenticka
Ullticka</t>
        </is>
      </c>
      <c r="S154">
        <f>HYPERLINK("https://klasma.github.io/Logging_2260/artfynd/A 25034-2024 artfynd.xlsx", "A 25034-2024")</f>
        <v/>
      </c>
      <c r="T154">
        <f>HYPERLINK("https://klasma.github.io/Logging_2260/kartor/A 25034-2024 karta.png", "A 25034-2024")</f>
        <v/>
      </c>
      <c r="V154">
        <f>HYPERLINK("https://klasma.github.io/Logging_2260/klagomål/A 25034-2024 FSC-klagomål.docx", "A 25034-2024")</f>
        <v/>
      </c>
      <c r="W154">
        <f>HYPERLINK("https://klasma.github.io/Logging_2260/klagomålsmail/A 25034-2024 FSC-klagomål mail.docx", "A 25034-2024")</f>
        <v/>
      </c>
      <c r="X154">
        <f>HYPERLINK("https://klasma.github.io/Logging_2260/tillsyn/A 25034-2024 tillsynsbegäran.docx", "A 25034-2024")</f>
        <v/>
      </c>
      <c r="Y154">
        <f>HYPERLINK("https://klasma.github.io/Logging_2260/tillsynsmail/A 25034-2024 tillsynsbegäran mail.docx", "A 25034-2024")</f>
        <v/>
      </c>
    </row>
    <row r="155" ht="15" customHeight="1">
      <c r="A155" t="inlineStr">
        <is>
          <t>A 48374-2024</t>
        </is>
      </c>
      <c r="B155" s="1" t="n">
        <v>45590.58028935185</v>
      </c>
      <c r="C155" s="1" t="n">
        <v>46061</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26906-2025</t>
        </is>
      </c>
      <c r="B156" s="1" t="n">
        <v>45811.34552083333</v>
      </c>
      <c r="C156" s="1" t="n">
        <v>46061</v>
      </c>
      <c r="D156" t="inlineStr">
        <is>
          <t>VÄSTERNORRLANDS LÄN</t>
        </is>
      </c>
      <c r="E156" t="inlineStr">
        <is>
          <t>ÅNGE</t>
        </is>
      </c>
      <c r="F156" t="inlineStr">
        <is>
          <t>SCA</t>
        </is>
      </c>
      <c r="G156" t="n">
        <v>7</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26906-2025 artfynd.xlsx", "A 26906-2025")</f>
        <v/>
      </c>
      <c r="T156">
        <f>HYPERLINK("https://klasma.github.io/Logging_2260/kartor/A 26906-2025 karta.png", "A 26906-2025")</f>
        <v/>
      </c>
      <c r="V156">
        <f>HYPERLINK("https://klasma.github.io/Logging_2260/klagomål/A 26906-2025 FSC-klagomål.docx", "A 26906-2025")</f>
        <v/>
      </c>
      <c r="W156">
        <f>HYPERLINK("https://klasma.github.io/Logging_2260/klagomålsmail/A 26906-2025 FSC-klagomål mail.docx", "A 26906-2025")</f>
        <v/>
      </c>
      <c r="X156">
        <f>HYPERLINK("https://klasma.github.io/Logging_2260/tillsyn/A 26906-2025 tillsynsbegäran.docx", "A 26906-2025")</f>
        <v/>
      </c>
      <c r="Y156">
        <f>HYPERLINK("https://klasma.github.io/Logging_2260/tillsynsmail/A 26906-2025 tillsynsbegäran mail.docx", "A 26906-2025")</f>
        <v/>
      </c>
    </row>
    <row r="157" ht="15" customHeight="1">
      <c r="A157" t="inlineStr">
        <is>
          <t>A 55178-2024</t>
        </is>
      </c>
      <c r="B157" s="1" t="n">
        <v>45621</v>
      </c>
      <c r="C157" s="1" t="n">
        <v>46061</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42864-2025</t>
        </is>
      </c>
      <c r="B158" s="1" t="n">
        <v>45908</v>
      </c>
      <c r="C158" s="1" t="n">
        <v>46061</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Mörk kolflarnlav
Vedflamlav</t>
        </is>
      </c>
      <c r="S158">
        <f>HYPERLINK("https://klasma.github.io/Logging_2260/artfynd/A 42864-2025 artfynd.xlsx", "A 42864-2025")</f>
        <v/>
      </c>
      <c r="T158">
        <f>HYPERLINK("https://klasma.github.io/Logging_2260/kartor/A 42864-2025 karta.png", "A 42864-2025")</f>
        <v/>
      </c>
      <c r="V158">
        <f>HYPERLINK("https://klasma.github.io/Logging_2260/klagomål/A 42864-2025 FSC-klagomål.docx", "A 42864-2025")</f>
        <v/>
      </c>
      <c r="W158">
        <f>HYPERLINK("https://klasma.github.io/Logging_2260/klagomålsmail/A 42864-2025 FSC-klagomål mail.docx", "A 42864-2025")</f>
        <v/>
      </c>
      <c r="X158">
        <f>HYPERLINK("https://klasma.github.io/Logging_2260/tillsyn/A 42864-2025 tillsynsbegäran.docx", "A 42864-2025")</f>
        <v/>
      </c>
      <c r="Y158">
        <f>HYPERLINK("https://klasma.github.io/Logging_2260/tillsynsmail/A 42864-2025 tillsynsbegäran mail.docx", "A 42864-2025")</f>
        <v/>
      </c>
    </row>
    <row r="159" ht="15" customHeight="1">
      <c r="A159" t="inlineStr">
        <is>
          <t>A 49871-2024</t>
        </is>
      </c>
      <c r="B159" s="1" t="n">
        <v>45597.4903125</v>
      </c>
      <c r="C159" s="1" t="n">
        <v>46061</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43721-2025</t>
        </is>
      </c>
      <c r="B160" s="1" t="n">
        <v>45912.42800925926</v>
      </c>
      <c r="C160" s="1" t="n">
        <v>46061</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26020-2024</t>
        </is>
      </c>
      <c r="B161" s="1" t="n">
        <v>45467.9603125</v>
      </c>
      <c r="C161" s="1" t="n">
        <v>46061</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8324-2025</t>
        </is>
      </c>
      <c r="B162" s="1" t="n">
        <v>45708.63621527778</v>
      </c>
      <c r="C162" s="1" t="n">
        <v>46061</v>
      </c>
      <c r="D162" t="inlineStr">
        <is>
          <t>VÄSTERNORRLANDS LÄN</t>
        </is>
      </c>
      <c r="E162" t="inlineStr">
        <is>
          <t>ÅNGE</t>
        </is>
      </c>
      <c r="F162" t="inlineStr">
        <is>
          <t>SCA</t>
        </is>
      </c>
      <c r="G162" t="n">
        <v>7.8</v>
      </c>
      <c r="H162" t="n">
        <v>0</v>
      </c>
      <c r="I162" t="n">
        <v>1</v>
      </c>
      <c r="J162" t="n">
        <v>1</v>
      </c>
      <c r="K162" t="n">
        <v>0</v>
      </c>
      <c r="L162" t="n">
        <v>0</v>
      </c>
      <c r="M162" t="n">
        <v>0</v>
      </c>
      <c r="N162" t="n">
        <v>0</v>
      </c>
      <c r="O162" t="n">
        <v>1</v>
      </c>
      <c r="P162" t="n">
        <v>0</v>
      </c>
      <c r="Q162" t="n">
        <v>2</v>
      </c>
      <c r="R162" s="2" t="inlineStr">
        <is>
          <t>Vitgrynig nållav
Bollvitmossa</t>
        </is>
      </c>
      <c r="S162">
        <f>HYPERLINK("https://klasma.github.io/Logging_2260/artfynd/A 8324-2025 artfynd.xlsx", "A 8324-2025")</f>
        <v/>
      </c>
      <c r="T162">
        <f>HYPERLINK("https://klasma.github.io/Logging_2260/kartor/A 8324-2025 karta.png", "A 8324-2025")</f>
        <v/>
      </c>
      <c r="V162">
        <f>HYPERLINK("https://klasma.github.io/Logging_2260/klagomål/A 8324-2025 FSC-klagomål.docx", "A 8324-2025")</f>
        <v/>
      </c>
      <c r="W162">
        <f>HYPERLINK("https://klasma.github.io/Logging_2260/klagomålsmail/A 8324-2025 FSC-klagomål mail.docx", "A 8324-2025")</f>
        <v/>
      </c>
      <c r="X162">
        <f>HYPERLINK("https://klasma.github.io/Logging_2260/tillsyn/A 8324-2025 tillsynsbegäran.docx", "A 8324-2025")</f>
        <v/>
      </c>
      <c r="Y162">
        <f>HYPERLINK("https://klasma.github.io/Logging_2260/tillsynsmail/A 8324-2025 tillsynsbegäran mail.docx", "A 8324-2025")</f>
        <v/>
      </c>
    </row>
    <row r="163" ht="15" customHeight="1">
      <c r="A163" t="inlineStr">
        <is>
          <t>A 36414-2025</t>
        </is>
      </c>
      <c r="B163" s="1" t="n">
        <v>45868.69246527777</v>
      </c>
      <c r="C163" s="1" t="n">
        <v>46061</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37800-2025</t>
        </is>
      </c>
      <c r="B164" s="1" t="n">
        <v>45881.34420138889</v>
      </c>
      <c r="C164" s="1" t="n">
        <v>46061</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46061</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54625-2025</t>
        </is>
      </c>
      <c r="B166" s="1" t="n">
        <v>45966.34552083333</v>
      </c>
      <c r="C166" s="1" t="n">
        <v>46061</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48695-2024</t>
        </is>
      </c>
      <c r="B167" s="1" t="n">
        <v>45593.5109837963</v>
      </c>
      <c r="C167" s="1" t="n">
        <v>46061</v>
      </c>
      <c r="D167" t="inlineStr">
        <is>
          <t>VÄSTERNORRLANDS LÄN</t>
        </is>
      </c>
      <c r="E167" t="inlineStr">
        <is>
          <t>ÅNGE</t>
        </is>
      </c>
      <c r="F167" t="inlineStr">
        <is>
          <t>SCA</t>
        </is>
      </c>
      <c r="G167" t="n">
        <v>1.2</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48695-2024 artfynd.xlsx", "A 48695-2024")</f>
        <v/>
      </c>
      <c r="T167">
        <f>HYPERLINK("https://klasma.github.io/Logging_2260/kartor/A 48695-2024 karta.png", "A 48695-2024")</f>
        <v/>
      </c>
      <c r="V167">
        <f>HYPERLINK("https://klasma.github.io/Logging_2260/klagomål/A 48695-2024 FSC-klagomål.docx", "A 48695-2024")</f>
        <v/>
      </c>
      <c r="W167">
        <f>HYPERLINK("https://klasma.github.io/Logging_2260/klagomålsmail/A 48695-2024 FSC-klagomål mail.docx", "A 48695-2024")</f>
        <v/>
      </c>
      <c r="X167">
        <f>HYPERLINK("https://klasma.github.io/Logging_2260/tillsyn/A 48695-2024 tillsynsbegäran.docx", "A 48695-2024")</f>
        <v/>
      </c>
      <c r="Y167">
        <f>HYPERLINK("https://klasma.github.io/Logging_2260/tillsynsmail/A 48695-2024 tillsynsbegäran mail.docx", "A 48695-2024")</f>
        <v/>
      </c>
    </row>
    <row r="168" ht="15" customHeight="1">
      <c r="A168" t="inlineStr">
        <is>
          <t>A 4873-2025</t>
        </is>
      </c>
      <c r="B168" s="1" t="n">
        <v>45688.67633101852</v>
      </c>
      <c r="C168" s="1" t="n">
        <v>46061</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57089-2024</t>
        </is>
      </c>
      <c r="B169" s="1" t="n">
        <v>45629.35665509259</v>
      </c>
      <c r="C169" s="1" t="n">
        <v>46061</v>
      </c>
      <c r="D169" t="inlineStr">
        <is>
          <t>VÄSTERNORRLANDS LÄN</t>
        </is>
      </c>
      <c r="E169" t="inlineStr">
        <is>
          <t>ÅNGE</t>
        </is>
      </c>
      <c r="F169" t="inlineStr">
        <is>
          <t>SCA</t>
        </is>
      </c>
      <c r="G169" t="n">
        <v>1.5</v>
      </c>
      <c r="H169" t="n">
        <v>0</v>
      </c>
      <c r="I169" t="n">
        <v>0</v>
      </c>
      <c r="J169" t="n">
        <v>2</v>
      </c>
      <c r="K169" t="n">
        <v>0</v>
      </c>
      <c r="L169" t="n">
        <v>0</v>
      </c>
      <c r="M169" t="n">
        <v>0</v>
      </c>
      <c r="N169" t="n">
        <v>0</v>
      </c>
      <c r="O169" t="n">
        <v>2</v>
      </c>
      <c r="P169" t="n">
        <v>0</v>
      </c>
      <c r="Q169" t="n">
        <v>2</v>
      </c>
      <c r="R169" s="2" t="inlineStr">
        <is>
          <t>Lunglav
Ullticka</t>
        </is>
      </c>
      <c r="S169">
        <f>HYPERLINK("https://klasma.github.io/Logging_2260/artfynd/A 57089-2024 artfynd.xlsx", "A 57089-2024")</f>
        <v/>
      </c>
      <c r="T169">
        <f>HYPERLINK("https://klasma.github.io/Logging_2260/kartor/A 57089-2024 karta.png", "A 57089-2024")</f>
        <v/>
      </c>
      <c r="V169">
        <f>HYPERLINK("https://klasma.github.io/Logging_2260/klagomål/A 57089-2024 FSC-klagomål.docx", "A 57089-2024")</f>
        <v/>
      </c>
      <c r="W169">
        <f>HYPERLINK("https://klasma.github.io/Logging_2260/klagomålsmail/A 57089-2024 FSC-klagomål mail.docx", "A 57089-2024")</f>
        <v/>
      </c>
      <c r="X169">
        <f>HYPERLINK("https://klasma.github.io/Logging_2260/tillsyn/A 57089-2024 tillsynsbegäran.docx", "A 57089-2024")</f>
        <v/>
      </c>
      <c r="Y169">
        <f>HYPERLINK("https://klasma.github.io/Logging_2260/tillsynsmail/A 57089-2024 tillsynsbegäran mail.docx", "A 57089-2024")</f>
        <v/>
      </c>
    </row>
    <row r="170" ht="15" customHeight="1">
      <c r="A170" t="inlineStr">
        <is>
          <t>A 5638-2026</t>
        </is>
      </c>
      <c r="B170" s="1" t="n">
        <v>46051</v>
      </c>
      <c r="C170" s="1" t="n">
        <v>46061</v>
      </c>
      <c r="D170" t="inlineStr">
        <is>
          <t>VÄSTERNORRLANDS LÄN</t>
        </is>
      </c>
      <c r="E170" t="inlineStr">
        <is>
          <t>ÅNGE</t>
        </is>
      </c>
      <c r="G170" t="n">
        <v>0.9</v>
      </c>
      <c r="H170" t="n">
        <v>1</v>
      </c>
      <c r="I170" t="n">
        <v>0</v>
      </c>
      <c r="J170" t="n">
        <v>0</v>
      </c>
      <c r="K170" t="n">
        <v>0</v>
      </c>
      <c r="L170" t="n">
        <v>2</v>
      </c>
      <c r="M170" t="n">
        <v>0</v>
      </c>
      <c r="N170" t="n">
        <v>0</v>
      </c>
      <c r="O170" t="n">
        <v>2</v>
      </c>
      <c r="P170" t="n">
        <v>2</v>
      </c>
      <c r="Q170" t="n">
        <v>2</v>
      </c>
      <c r="R170" s="2" t="inlineStr">
        <is>
          <t>Mikroskapania
Timmerskapania</t>
        </is>
      </c>
      <c r="S170">
        <f>HYPERLINK("https://klasma.github.io/Logging_2260/artfynd/A 5638-2026 artfynd.xlsx", "A 5638-2026")</f>
        <v/>
      </c>
      <c r="T170">
        <f>HYPERLINK("https://klasma.github.io/Logging_2260/kartor/A 5638-2026 karta.png", "A 5638-2026")</f>
        <v/>
      </c>
      <c r="V170">
        <f>HYPERLINK("https://klasma.github.io/Logging_2260/klagomål/A 5638-2026 FSC-klagomål.docx", "A 5638-2026")</f>
        <v/>
      </c>
      <c r="W170">
        <f>HYPERLINK("https://klasma.github.io/Logging_2260/klagomålsmail/A 5638-2026 FSC-klagomål mail.docx", "A 5638-2026")</f>
        <v/>
      </c>
      <c r="X170">
        <f>HYPERLINK("https://klasma.github.io/Logging_2260/tillsyn/A 5638-2026 tillsynsbegäran.docx", "A 5638-2026")</f>
        <v/>
      </c>
      <c r="Y170">
        <f>HYPERLINK("https://klasma.github.io/Logging_2260/tillsynsmail/A 5638-2026 tillsynsbegäran mail.docx", "A 5638-2026")</f>
        <v/>
      </c>
    </row>
    <row r="171" ht="15" customHeight="1">
      <c r="A171" t="inlineStr">
        <is>
          <t>A 47719-2024</t>
        </is>
      </c>
      <c r="B171" s="1" t="n">
        <v>45588.48996527777</v>
      </c>
      <c r="C171" s="1" t="n">
        <v>46061</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29325-2023</t>
        </is>
      </c>
      <c r="B172" s="1" t="n">
        <v>45105</v>
      </c>
      <c r="C172" s="1" t="n">
        <v>46061</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57594-2022</t>
        </is>
      </c>
      <c r="B173" s="1" t="n">
        <v>44896.97854166666</v>
      </c>
      <c r="C173" s="1" t="n">
        <v>46061</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4093-2025</t>
        </is>
      </c>
      <c r="B174" s="1" t="n">
        <v>45684.67762731481</v>
      </c>
      <c r="C174" s="1" t="n">
        <v>46061</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31493-2024</t>
        </is>
      </c>
      <c r="B175" s="1" t="n">
        <v>45505</v>
      </c>
      <c r="C175" s="1" t="n">
        <v>46061</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165-2025</t>
        </is>
      </c>
      <c r="B176" s="1" t="n">
        <v>45659</v>
      </c>
      <c r="C176" s="1" t="n">
        <v>46061</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17861-2023</t>
        </is>
      </c>
      <c r="B177" s="1" t="n">
        <v>45037.94171296297</v>
      </c>
      <c r="C177" s="1" t="n">
        <v>46061</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32659-2024</t>
        </is>
      </c>
      <c r="B178" s="1" t="n">
        <v>45513</v>
      </c>
      <c r="C178" s="1" t="n">
        <v>46061</v>
      </c>
      <c r="D178" t="inlineStr">
        <is>
          <t>VÄSTERNORRLANDS LÄN</t>
        </is>
      </c>
      <c r="E178" t="inlineStr">
        <is>
          <t>ÅNGE</t>
        </is>
      </c>
      <c r="F178" t="inlineStr">
        <is>
          <t>SCA</t>
        </is>
      </c>
      <c r="G178" t="n">
        <v>6.9</v>
      </c>
      <c r="H178" t="n">
        <v>0</v>
      </c>
      <c r="I178" t="n">
        <v>0</v>
      </c>
      <c r="J178" t="n">
        <v>2</v>
      </c>
      <c r="K178" t="n">
        <v>0</v>
      </c>
      <c r="L178" t="n">
        <v>0</v>
      </c>
      <c r="M178" t="n">
        <v>0</v>
      </c>
      <c r="N178" t="n">
        <v>0</v>
      </c>
      <c r="O178" t="n">
        <v>2</v>
      </c>
      <c r="P178" t="n">
        <v>0</v>
      </c>
      <c r="Q178" t="n">
        <v>2</v>
      </c>
      <c r="R178" s="2" t="inlineStr">
        <is>
          <t>Lunglav
Stjärntagging</t>
        </is>
      </c>
      <c r="S178">
        <f>HYPERLINK("https://klasma.github.io/Logging_2260/artfynd/A 32659-2024 artfynd.xlsx", "A 32659-2024")</f>
        <v/>
      </c>
      <c r="T178">
        <f>HYPERLINK("https://klasma.github.io/Logging_2260/kartor/A 32659-2024 karta.png", "A 32659-2024")</f>
        <v/>
      </c>
      <c r="V178">
        <f>HYPERLINK("https://klasma.github.io/Logging_2260/klagomål/A 32659-2024 FSC-klagomål.docx", "A 32659-2024")</f>
        <v/>
      </c>
      <c r="W178">
        <f>HYPERLINK("https://klasma.github.io/Logging_2260/klagomålsmail/A 32659-2024 FSC-klagomål mail.docx", "A 32659-2024")</f>
        <v/>
      </c>
      <c r="X178">
        <f>HYPERLINK("https://klasma.github.io/Logging_2260/tillsyn/A 32659-2024 tillsynsbegäran.docx", "A 32659-2024")</f>
        <v/>
      </c>
      <c r="Y178">
        <f>HYPERLINK("https://klasma.github.io/Logging_2260/tillsynsmail/A 32659-2024 tillsynsbegäran mail.docx", "A 32659-2024")</f>
        <v/>
      </c>
    </row>
    <row r="179" ht="15" customHeight="1">
      <c r="A179" t="inlineStr">
        <is>
          <t>A 21453-2025</t>
        </is>
      </c>
      <c r="B179" s="1" t="n">
        <v>45782.55311342593</v>
      </c>
      <c r="C179" s="1" t="n">
        <v>46061</v>
      </c>
      <c r="D179" t="inlineStr">
        <is>
          <t>VÄSTERNORRLANDS LÄN</t>
        </is>
      </c>
      <c r="E179" t="inlineStr">
        <is>
          <t>ÅNGE</t>
        </is>
      </c>
      <c r="F179" t="inlineStr">
        <is>
          <t>SCA</t>
        </is>
      </c>
      <c r="G179" t="n">
        <v>1</v>
      </c>
      <c r="H179" t="n">
        <v>0</v>
      </c>
      <c r="I179" t="n">
        <v>2</v>
      </c>
      <c r="J179" t="n">
        <v>0</v>
      </c>
      <c r="K179" t="n">
        <v>0</v>
      </c>
      <c r="L179" t="n">
        <v>0</v>
      </c>
      <c r="M179" t="n">
        <v>0</v>
      </c>
      <c r="N179" t="n">
        <v>0</v>
      </c>
      <c r="O179" t="n">
        <v>0</v>
      </c>
      <c r="P179" t="n">
        <v>0</v>
      </c>
      <c r="Q179" t="n">
        <v>2</v>
      </c>
      <c r="R179" s="2" t="inlineStr">
        <is>
          <t>Svart trolldruva
Tibast</t>
        </is>
      </c>
      <c r="S179">
        <f>HYPERLINK("https://klasma.github.io/Logging_2260/artfynd/A 21453-2025 artfynd.xlsx", "A 21453-2025")</f>
        <v/>
      </c>
      <c r="T179">
        <f>HYPERLINK("https://klasma.github.io/Logging_2260/kartor/A 21453-2025 karta.png", "A 21453-2025")</f>
        <v/>
      </c>
      <c r="V179">
        <f>HYPERLINK("https://klasma.github.io/Logging_2260/klagomål/A 21453-2025 FSC-klagomål.docx", "A 21453-2025")</f>
        <v/>
      </c>
      <c r="W179">
        <f>HYPERLINK("https://klasma.github.io/Logging_2260/klagomålsmail/A 21453-2025 FSC-klagomål mail.docx", "A 21453-2025")</f>
        <v/>
      </c>
      <c r="X179">
        <f>HYPERLINK("https://klasma.github.io/Logging_2260/tillsyn/A 21453-2025 tillsynsbegäran.docx", "A 21453-2025")</f>
        <v/>
      </c>
      <c r="Y179">
        <f>HYPERLINK("https://klasma.github.io/Logging_2260/tillsynsmail/A 21453-2025 tillsynsbegäran mail.docx", "A 21453-2025")</f>
        <v/>
      </c>
    </row>
    <row r="180" ht="15" customHeight="1">
      <c r="A180" t="inlineStr">
        <is>
          <t>A 24176-2025</t>
        </is>
      </c>
      <c r="B180" s="1" t="n">
        <v>45796.69832175926</v>
      </c>
      <c r="C180" s="1" t="n">
        <v>46061</v>
      </c>
      <c r="D180" t="inlineStr">
        <is>
          <t>VÄSTERNORRLANDS LÄN</t>
        </is>
      </c>
      <c r="E180" t="inlineStr">
        <is>
          <t>ÅNGE</t>
        </is>
      </c>
      <c r="F180" t="inlineStr">
        <is>
          <t>SCA</t>
        </is>
      </c>
      <c r="G180" t="n">
        <v>3.9</v>
      </c>
      <c r="H180" t="n">
        <v>0</v>
      </c>
      <c r="I180" t="n">
        <v>1</v>
      </c>
      <c r="J180" t="n">
        <v>1</v>
      </c>
      <c r="K180" t="n">
        <v>0</v>
      </c>
      <c r="L180" t="n">
        <v>0</v>
      </c>
      <c r="M180" t="n">
        <v>0</v>
      </c>
      <c r="N180" t="n">
        <v>0</v>
      </c>
      <c r="O180" t="n">
        <v>1</v>
      </c>
      <c r="P180" t="n">
        <v>0</v>
      </c>
      <c r="Q180" t="n">
        <v>2</v>
      </c>
      <c r="R180" s="2" t="inlineStr">
        <is>
          <t>Vitgrynig nållav
Vedticka</t>
        </is>
      </c>
      <c r="S180">
        <f>HYPERLINK("https://klasma.github.io/Logging_2260/artfynd/A 24176-2025 artfynd.xlsx", "A 24176-2025")</f>
        <v/>
      </c>
      <c r="T180">
        <f>HYPERLINK("https://klasma.github.io/Logging_2260/kartor/A 24176-2025 karta.png", "A 24176-2025")</f>
        <v/>
      </c>
      <c r="V180">
        <f>HYPERLINK("https://klasma.github.io/Logging_2260/klagomål/A 24176-2025 FSC-klagomål.docx", "A 24176-2025")</f>
        <v/>
      </c>
      <c r="W180">
        <f>HYPERLINK("https://klasma.github.io/Logging_2260/klagomålsmail/A 24176-2025 FSC-klagomål mail.docx", "A 24176-2025")</f>
        <v/>
      </c>
      <c r="X180">
        <f>HYPERLINK("https://klasma.github.io/Logging_2260/tillsyn/A 24176-2025 tillsynsbegäran.docx", "A 24176-2025")</f>
        <v/>
      </c>
      <c r="Y180">
        <f>HYPERLINK("https://klasma.github.io/Logging_2260/tillsynsmail/A 24176-2025 tillsynsbegäran mail.docx", "A 24176-2025")</f>
        <v/>
      </c>
    </row>
    <row r="181" ht="15" customHeight="1">
      <c r="A181" t="inlineStr">
        <is>
          <t>A 20367-2022</t>
        </is>
      </c>
      <c r="B181" s="1" t="n">
        <v>44699</v>
      </c>
      <c r="C181" s="1" t="n">
        <v>46061</v>
      </c>
      <c r="D181" t="inlineStr">
        <is>
          <t>VÄSTERNORRLANDS LÄN</t>
        </is>
      </c>
      <c r="E181" t="inlineStr">
        <is>
          <t>ÅNGE</t>
        </is>
      </c>
      <c r="G181" t="n">
        <v>9.6</v>
      </c>
      <c r="H181" t="n">
        <v>1</v>
      </c>
      <c r="I181" t="n">
        <v>0</v>
      </c>
      <c r="J181" t="n">
        <v>0</v>
      </c>
      <c r="K181" t="n">
        <v>0</v>
      </c>
      <c r="L181" t="n">
        <v>0</v>
      </c>
      <c r="M181" t="n">
        <v>0</v>
      </c>
      <c r="N181" t="n">
        <v>0</v>
      </c>
      <c r="O181" t="n">
        <v>0</v>
      </c>
      <c r="P181" t="n">
        <v>0</v>
      </c>
      <c r="Q181" t="n">
        <v>1</v>
      </c>
      <c r="R181" s="2" t="inlineStr">
        <is>
          <t>Fläcknycklar</t>
        </is>
      </c>
      <c r="S181">
        <f>HYPERLINK("https://klasma.github.io/Logging_2260/artfynd/A 20367-2022 artfynd.xlsx", "A 20367-2022")</f>
        <v/>
      </c>
      <c r="T181">
        <f>HYPERLINK("https://klasma.github.io/Logging_2260/kartor/A 20367-2022 karta.png", "A 20367-2022")</f>
        <v/>
      </c>
      <c r="V181">
        <f>HYPERLINK("https://klasma.github.io/Logging_2260/klagomål/A 20367-2022 FSC-klagomål.docx", "A 20367-2022")</f>
        <v/>
      </c>
      <c r="W181">
        <f>HYPERLINK("https://klasma.github.io/Logging_2260/klagomålsmail/A 20367-2022 FSC-klagomål mail.docx", "A 20367-2022")</f>
        <v/>
      </c>
      <c r="X181">
        <f>HYPERLINK("https://klasma.github.io/Logging_2260/tillsyn/A 20367-2022 tillsynsbegäran.docx", "A 20367-2022")</f>
        <v/>
      </c>
      <c r="Y181">
        <f>HYPERLINK("https://klasma.github.io/Logging_2260/tillsynsmail/A 20367-2022 tillsynsbegäran mail.docx", "A 20367-2022")</f>
        <v/>
      </c>
    </row>
    <row r="182" ht="15" customHeight="1">
      <c r="A182" t="inlineStr">
        <is>
          <t>A 31136-2022</t>
        </is>
      </c>
      <c r="B182" s="1" t="n">
        <v>44770.40920138889</v>
      </c>
      <c r="C182" s="1" t="n">
        <v>46061</v>
      </c>
      <c r="D182" t="inlineStr">
        <is>
          <t>VÄSTERNORRLANDS LÄN</t>
        </is>
      </c>
      <c r="E182" t="inlineStr">
        <is>
          <t>ÅNGE</t>
        </is>
      </c>
      <c r="F182" t="inlineStr">
        <is>
          <t>Övriga Aktiebolag</t>
        </is>
      </c>
      <c r="G182" t="n">
        <v>4.4</v>
      </c>
      <c r="H182" t="n">
        <v>1</v>
      </c>
      <c r="I182" t="n">
        <v>0</v>
      </c>
      <c r="J182" t="n">
        <v>0</v>
      </c>
      <c r="K182" t="n">
        <v>0</v>
      </c>
      <c r="L182" t="n">
        <v>0</v>
      </c>
      <c r="M182" t="n">
        <v>0</v>
      </c>
      <c r="N182" t="n">
        <v>0</v>
      </c>
      <c r="O182" t="n">
        <v>0</v>
      </c>
      <c r="P182" t="n">
        <v>0</v>
      </c>
      <c r="Q182" t="n">
        <v>1</v>
      </c>
      <c r="R182" s="2" t="inlineStr">
        <is>
          <t>Tjäder</t>
        </is>
      </c>
      <c r="S182">
        <f>HYPERLINK("https://klasma.github.io/Logging_2260/artfynd/A 31136-2022 artfynd.xlsx", "A 31136-2022")</f>
        <v/>
      </c>
      <c r="T182">
        <f>HYPERLINK("https://klasma.github.io/Logging_2260/kartor/A 31136-2022 karta.png", "A 31136-2022")</f>
        <v/>
      </c>
      <c r="V182">
        <f>HYPERLINK("https://klasma.github.io/Logging_2260/klagomål/A 31136-2022 FSC-klagomål.docx", "A 31136-2022")</f>
        <v/>
      </c>
      <c r="W182">
        <f>HYPERLINK("https://klasma.github.io/Logging_2260/klagomålsmail/A 31136-2022 FSC-klagomål mail.docx", "A 31136-2022")</f>
        <v/>
      </c>
      <c r="X182">
        <f>HYPERLINK("https://klasma.github.io/Logging_2260/tillsyn/A 31136-2022 tillsynsbegäran.docx", "A 31136-2022")</f>
        <v/>
      </c>
      <c r="Y182">
        <f>HYPERLINK("https://klasma.github.io/Logging_2260/tillsynsmail/A 31136-2022 tillsynsbegäran mail.docx", "A 31136-2022")</f>
        <v/>
      </c>
      <c r="Z182">
        <f>HYPERLINK("https://klasma.github.io/Logging_2260/fåglar/A 31136-2022 prioriterade fågelarter.docx", "A 31136-2022")</f>
        <v/>
      </c>
    </row>
    <row r="183" ht="15" customHeight="1">
      <c r="A183" t="inlineStr">
        <is>
          <t>A 61479-2021</t>
        </is>
      </c>
      <c r="B183" s="1" t="n">
        <v>44500</v>
      </c>
      <c r="C183" s="1" t="n">
        <v>46061</v>
      </c>
      <c r="D183" t="inlineStr">
        <is>
          <t>VÄSTERNORRLANDS LÄN</t>
        </is>
      </c>
      <c r="E183" t="inlineStr">
        <is>
          <t>ÅNGE</t>
        </is>
      </c>
      <c r="F183" t="inlineStr">
        <is>
          <t>SCA</t>
        </is>
      </c>
      <c r="G183" t="n">
        <v>7.2</v>
      </c>
      <c r="H183" t="n">
        <v>1</v>
      </c>
      <c r="I183" t="n">
        <v>0</v>
      </c>
      <c r="J183" t="n">
        <v>0</v>
      </c>
      <c r="K183" t="n">
        <v>1</v>
      </c>
      <c r="L183" t="n">
        <v>0</v>
      </c>
      <c r="M183" t="n">
        <v>0</v>
      </c>
      <c r="N183" t="n">
        <v>0</v>
      </c>
      <c r="O183" t="n">
        <v>1</v>
      </c>
      <c r="P183" t="n">
        <v>1</v>
      </c>
      <c r="Q183" t="n">
        <v>1</v>
      </c>
      <c r="R183" s="2" t="inlineStr">
        <is>
          <t>Knärot</t>
        </is>
      </c>
      <c r="S183">
        <f>HYPERLINK("https://klasma.github.io/Logging_2260/artfynd/A 61479-2021 artfynd.xlsx", "A 61479-2021")</f>
        <v/>
      </c>
      <c r="T183">
        <f>HYPERLINK("https://klasma.github.io/Logging_2260/kartor/A 61479-2021 karta.png", "A 61479-2021")</f>
        <v/>
      </c>
      <c r="U183">
        <f>HYPERLINK("https://klasma.github.io/Logging_2260/knärot/A 61479-2021 karta knärot.png", "A 61479-2021")</f>
        <v/>
      </c>
      <c r="V183">
        <f>HYPERLINK("https://klasma.github.io/Logging_2260/klagomål/A 61479-2021 FSC-klagomål.docx", "A 61479-2021")</f>
        <v/>
      </c>
      <c r="W183">
        <f>HYPERLINK("https://klasma.github.io/Logging_2260/klagomålsmail/A 61479-2021 FSC-klagomål mail.docx", "A 61479-2021")</f>
        <v/>
      </c>
      <c r="X183">
        <f>HYPERLINK("https://klasma.github.io/Logging_2260/tillsyn/A 61479-2021 tillsynsbegäran.docx", "A 61479-2021")</f>
        <v/>
      </c>
      <c r="Y183">
        <f>HYPERLINK("https://klasma.github.io/Logging_2260/tillsynsmail/A 61479-2021 tillsynsbegäran mail.docx", "A 61479-2021")</f>
        <v/>
      </c>
    </row>
    <row r="184" ht="15" customHeight="1">
      <c r="A184" t="inlineStr">
        <is>
          <t>A 31578-2021</t>
        </is>
      </c>
      <c r="B184" s="1" t="n">
        <v>44369</v>
      </c>
      <c r="C184" s="1" t="n">
        <v>46061</v>
      </c>
      <c r="D184" t="inlineStr">
        <is>
          <t>VÄSTERNORRLANDS LÄN</t>
        </is>
      </c>
      <c r="E184" t="inlineStr">
        <is>
          <t>ÅNGE</t>
        </is>
      </c>
      <c r="G184" t="n">
        <v>25.8</v>
      </c>
      <c r="H184" t="n">
        <v>1</v>
      </c>
      <c r="I184" t="n">
        <v>0</v>
      </c>
      <c r="J184" t="n">
        <v>0</v>
      </c>
      <c r="K184" t="n">
        <v>1</v>
      </c>
      <c r="L184" t="n">
        <v>0</v>
      </c>
      <c r="M184" t="n">
        <v>0</v>
      </c>
      <c r="N184" t="n">
        <v>0</v>
      </c>
      <c r="O184" t="n">
        <v>1</v>
      </c>
      <c r="P184" t="n">
        <v>1</v>
      </c>
      <c r="Q184" t="n">
        <v>1</v>
      </c>
      <c r="R184" s="2" t="inlineStr">
        <is>
          <t>Knärot</t>
        </is>
      </c>
      <c r="S184">
        <f>HYPERLINK("https://klasma.github.io/Logging_2260/artfynd/A 31578-2021 artfynd.xlsx", "A 31578-2021")</f>
        <v/>
      </c>
      <c r="T184">
        <f>HYPERLINK("https://klasma.github.io/Logging_2260/kartor/A 31578-2021 karta.png", "A 31578-2021")</f>
        <v/>
      </c>
      <c r="U184">
        <f>HYPERLINK("https://klasma.github.io/Logging_2260/knärot/A 31578-2021 karta knärot.png", "A 31578-2021")</f>
        <v/>
      </c>
      <c r="V184">
        <f>HYPERLINK("https://klasma.github.io/Logging_2260/klagomål/A 31578-2021 FSC-klagomål.docx", "A 31578-2021")</f>
        <v/>
      </c>
      <c r="W184">
        <f>HYPERLINK("https://klasma.github.io/Logging_2260/klagomålsmail/A 31578-2021 FSC-klagomål mail.docx", "A 31578-2021")</f>
        <v/>
      </c>
      <c r="X184">
        <f>HYPERLINK("https://klasma.github.io/Logging_2260/tillsyn/A 31578-2021 tillsynsbegäran.docx", "A 31578-2021")</f>
        <v/>
      </c>
      <c r="Y184">
        <f>HYPERLINK("https://klasma.github.io/Logging_2260/tillsynsmail/A 31578-2021 tillsynsbegäran mail.docx", "A 31578-2021")</f>
        <v/>
      </c>
    </row>
    <row r="185" ht="15" customHeight="1">
      <c r="A185" t="inlineStr">
        <is>
          <t>A 35018-2021</t>
        </is>
      </c>
      <c r="B185" s="1" t="n">
        <v>44383.69549768518</v>
      </c>
      <c r="C185" s="1" t="n">
        <v>46061</v>
      </c>
      <c r="D185" t="inlineStr">
        <is>
          <t>VÄSTERNORRLANDS LÄN</t>
        </is>
      </c>
      <c r="E185" t="inlineStr">
        <is>
          <t>ÅNGE</t>
        </is>
      </c>
      <c r="F185" t="inlineStr">
        <is>
          <t>Sveaskog</t>
        </is>
      </c>
      <c r="G185" t="n">
        <v>9.5</v>
      </c>
      <c r="H185" t="n">
        <v>1</v>
      </c>
      <c r="I185" t="n">
        <v>0</v>
      </c>
      <c r="J185" t="n">
        <v>1</v>
      </c>
      <c r="K185" t="n">
        <v>0</v>
      </c>
      <c r="L185" t="n">
        <v>0</v>
      </c>
      <c r="M185" t="n">
        <v>0</v>
      </c>
      <c r="N185" t="n">
        <v>0</v>
      </c>
      <c r="O185" t="n">
        <v>1</v>
      </c>
      <c r="P185" t="n">
        <v>0</v>
      </c>
      <c r="Q185" t="n">
        <v>1</v>
      </c>
      <c r="R185" s="2" t="inlineStr">
        <is>
          <t>Utter</t>
        </is>
      </c>
      <c r="S185">
        <f>HYPERLINK("https://klasma.github.io/Logging_2260/artfynd/A 35018-2021 artfynd.xlsx", "A 35018-2021")</f>
        <v/>
      </c>
      <c r="T185">
        <f>HYPERLINK("https://klasma.github.io/Logging_2260/kartor/A 35018-2021 karta.png", "A 35018-2021")</f>
        <v/>
      </c>
      <c r="V185">
        <f>HYPERLINK("https://klasma.github.io/Logging_2260/klagomål/A 35018-2021 FSC-klagomål.docx", "A 35018-2021")</f>
        <v/>
      </c>
      <c r="W185">
        <f>HYPERLINK("https://klasma.github.io/Logging_2260/klagomålsmail/A 35018-2021 FSC-klagomål mail.docx", "A 35018-2021")</f>
        <v/>
      </c>
      <c r="X185">
        <f>HYPERLINK("https://klasma.github.io/Logging_2260/tillsyn/A 35018-2021 tillsynsbegäran.docx", "A 35018-2021")</f>
        <v/>
      </c>
      <c r="Y185">
        <f>HYPERLINK("https://klasma.github.io/Logging_2260/tillsynsmail/A 35018-2021 tillsynsbegäran mail.docx", "A 35018-2021")</f>
        <v/>
      </c>
    </row>
    <row r="186" ht="15" customHeight="1">
      <c r="A186" t="inlineStr">
        <is>
          <t>A 32457-2024</t>
        </is>
      </c>
      <c r="B186" s="1" t="n">
        <v>45512</v>
      </c>
      <c r="C186" s="1" t="n">
        <v>46061</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71366-2021</t>
        </is>
      </c>
      <c r="B187" s="1" t="n">
        <v>44539</v>
      </c>
      <c r="C187" s="1" t="n">
        <v>46061</v>
      </c>
      <c r="D187" t="inlineStr">
        <is>
          <t>VÄSTERNORRLANDS LÄN</t>
        </is>
      </c>
      <c r="E187" t="inlineStr">
        <is>
          <t>ÅNGE</t>
        </is>
      </c>
      <c r="F187" t="inlineStr">
        <is>
          <t>SCA</t>
        </is>
      </c>
      <c r="G187" t="n">
        <v>2.3</v>
      </c>
      <c r="H187" t="n">
        <v>1</v>
      </c>
      <c r="I187" t="n">
        <v>0</v>
      </c>
      <c r="J187" t="n">
        <v>0</v>
      </c>
      <c r="K187" t="n">
        <v>1</v>
      </c>
      <c r="L187" t="n">
        <v>0</v>
      </c>
      <c r="M187" t="n">
        <v>0</v>
      </c>
      <c r="N187" t="n">
        <v>0</v>
      </c>
      <c r="O187" t="n">
        <v>1</v>
      </c>
      <c r="P187" t="n">
        <v>1</v>
      </c>
      <c r="Q187" t="n">
        <v>1</v>
      </c>
      <c r="R187" s="2" t="inlineStr">
        <is>
          <t>Knärot</t>
        </is>
      </c>
      <c r="S187">
        <f>HYPERLINK("https://klasma.github.io/Logging_2260/artfynd/A 71366-2021 artfynd.xlsx", "A 71366-2021")</f>
        <v/>
      </c>
      <c r="T187">
        <f>HYPERLINK("https://klasma.github.io/Logging_2260/kartor/A 71366-2021 karta.png", "A 71366-2021")</f>
        <v/>
      </c>
      <c r="U187">
        <f>HYPERLINK("https://klasma.github.io/Logging_2260/knärot/A 71366-2021 karta knärot.png", "A 71366-2021")</f>
        <v/>
      </c>
      <c r="V187">
        <f>HYPERLINK("https://klasma.github.io/Logging_2260/klagomål/A 71366-2021 FSC-klagomål.docx", "A 71366-2021")</f>
        <v/>
      </c>
      <c r="W187">
        <f>HYPERLINK("https://klasma.github.io/Logging_2260/klagomålsmail/A 71366-2021 FSC-klagomål mail.docx", "A 71366-2021")</f>
        <v/>
      </c>
      <c r="X187">
        <f>HYPERLINK("https://klasma.github.io/Logging_2260/tillsyn/A 71366-2021 tillsynsbegäran.docx", "A 71366-2021")</f>
        <v/>
      </c>
      <c r="Y187">
        <f>HYPERLINK("https://klasma.github.io/Logging_2260/tillsynsmail/A 71366-2021 tillsynsbegäran mail.docx", "A 71366-2021")</f>
        <v/>
      </c>
    </row>
    <row r="188" ht="15" customHeight="1">
      <c r="A188" t="inlineStr">
        <is>
          <t>A 30774-2024</t>
        </is>
      </c>
      <c r="B188" s="1" t="n">
        <v>45496.949375</v>
      </c>
      <c r="C188" s="1" t="n">
        <v>46061</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39933-2022</t>
        </is>
      </c>
      <c r="B189" s="1" t="n">
        <v>44819</v>
      </c>
      <c r="C189" s="1" t="n">
        <v>46061</v>
      </c>
      <c r="D189" t="inlineStr">
        <is>
          <t>VÄSTERNORRLANDS LÄN</t>
        </is>
      </c>
      <c r="E189" t="inlineStr">
        <is>
          <t>ÅNGE</t>
        </is>
      </c>
      <c r="F189" t="inlineStr">
        <is>
          <t>SCA</t>
        </is>
      </c>
      <c r="G189" t="n">
        <v>13.8</v>
      </c>
      <c r="H189" t="n">
        <v>1</v>
      </c>
      <c r="I189" t="n">
        <v>0</v>
      </c>
      <c r="J189" t="n">
        <v>0</v>
      </c>
      <c r="K189" t="n">
        <v>1</v>
      </c>
      <c r="L189" t="n">
        <v>0</v>
      </c>
      <c r="M189" t="n">
        <v>0</v>
      </c>
      <c r="N189" t="n">
        <v>0</v>
      </c>
      <c r="O189" t="n">
        <v>1</v>
      </c>
      <c r="P189" t="n">
        <v>1</v>
      </c>
      <c r="Q189" t="n">
        <v>1</v>
      </c>
      <c r="R189" s="2" t="inlineStr">
        <is>
          <t>Knärot</t>
        </is>
      </c>
      <c r="S189">
        <f>HYPERLINK("https://klasma.github.io/Logging_2260/artfynd/A 39933-2022 artfynd.xlsx", "A 39933-2022")</f>
        <v/>
      </c>
      <c r="T189">
        <f>HYPERLINK("https://klasma.github.io/Logging_2260/kartor/A 39933-2022 karta.png", "A 39933-2022")</f>
        <v/>
      </c>
      <c r="U189">
        <f>HYPERLINK("https://klasma.github.io/Logging_2260/knärot/A 39933-2022 karta knärot.png", "A 39933-2022")</f>
        <v/>
      </c>
      <c r="V189">
        <f>HYPERLINK("https://klasma.github.io/Logging_2260/klagomål/A 39933-2022 FSC-klagomål.docx", "A 39933-2022")</f>
        <v/>
      </c>
      <c r="W189">
        <f>HYPERLINK("https://klasma.github.io/Logging_2260/klagomålsmail/A 39933-2022 FSC-klagomål mail.docx", "A 39933-2022")</f>
        <v/>
      </c>
      <c r="X189">
        <f>HYPERLINK("https://klasma.github.io/Logging_2260/tillsyn/A 39933-2022 tillsynsbegäran.docx", "A 39933-2022")</f>
        <v/>
      </c>
      <c r="Y189">
        <f>HYPERLINK("https://klasma.github.io/Logging_2260/tillsynsmail/A 39933-2022 tillsynsbegäran mail.docx", "A 39933-2022")</f>
        <v/>
      </c>
    </row>
    <row r="190" ht="15" customHeight="1">
      <c r="A190" t="inlineStr">
        <is>
          <t>A 25332-2025</t>
        </is>
      </c>
      <c r="B190" s="1" t="n">
        <v>45800.59418981482</v>
      </c>
      <c r="C190" s="1" t="n">
        <v>46061</v>
      </c>
      <c r="D190" t="inlineStr">
        <is>
          <t>VÄSTERNORRLANDS LÄN</t>
        </is>
      </c>
      <c r="E190" t="inlineStr">
        <is>
          <t>ÅNGE</t>
        </is>
      </c>
      <c r="F190" t="inlineStr">
        <is>
          <t>SCA</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HYPERLINK("https://klasma.github.io/Logging_2260/artfynd/A 25332-2025 artfynd.xlsx", "A 25332-2025")</f>
        <v/>
      </c>
      <c r="T190">
        <f>HYPERLINK("https://klasma.github.io/Logging_2260/kartor/A 25332-2025 karta.png", "A 25332-2025")</f>
        <v/>
      </c>
      <c r="V190">
        <f>HYPERLINK("https://klasma.github.io/Logging_2260/klagomål/A 25332-2025 FSC-klagomål.docx", "A 25332-2025")</f>
        <v/>
      </c>
      <c r="W190">
        <f>HYPERLINK("https://klasma.github.io/Logging_2260/klagomålsmail/A 25332-2025 FSC-klagomål mail.docx", "A 25332-2025")</f>
        <v/>
      </c>
      <c r="X190">
        <f>HYPERLINK("https://klasma.github.io/Logging_2260/tillsyn/A 25332-2025 tillsynsbegäran.docx", "A 25332-2025")</f>
        <v/>
      </c>
      <c r="Y190">
        <f>HYPERLINK("https://klasma.github.io/Logging_2260/tillsynsmail/A 25332-2025 tillsynsbegäran mail.docx", "A 25332-2025")</f>
        <v/>
      </c>
    </row>
    <row r="191" ht="15" customHeight="1">
      <c r="A191" t="inlineStr">
        <is>
          <t>A 54386-2024</t>
        </is>
      </c>
      <c r="B191" s="1" t="n">
        <v>45617.44822916666</v>
      </c>
      <c r="C191" s="1" t="n">
        <v>46061</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38606-2024</t>
        </is>
      </c>
      <c r="B192" s="1" t="n">
        <v>45546.67804398148</v>
      </c>
      <c r="C192" s="1" t="n">
        <v>46061</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42524-2025</t>
        </is>
      </c>
      <c r="B193" s="1" t="n">
        <v>45905.55262731481</v>
      </c>
      <c r="C193" s="1" t="n">
        <v>46061</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43590-2025</t>
        </is>
      </c>
      <c r="B194" s="1" t="n">
        <v>45911.65665509259</v>
      </c>
      <c r="C194" s="1" t="n">
        <v>46061</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27025-2025</t>
        </is>
      </c>
      <c r="B195" s="1" t="n">
        <v>45811</v>
      </c>
      <c r="C195" s="1" t="n">
        <v>46061</v>
      </c>
      <c r="D195" t="inlineStr">
        <is>
          <t>VÄSTERNORRLANDS LÄN</t>
        </is>
      </c>
      <c r="E195" t="inlineStr">
        <is>
          <t>ÅNGE</t>
        </is>
      </c>
      <c r="G195" t="n">
        <v>25.5</v>
      </c>
      <c r="H195" t="n">
        <v>0</v>
      </c>
      <c r="I195" t="n">
        <v>0</v>
      </c>
      <c r="J195" t="n">
        <v>1</v>
      </c>
      <c r="K195" t="n">
        <v>0</v>
      </c>
      <c r="L195" t="n">
        <v>0</v>
      </c>
      <c r="M195" t="n">
        <v>0</v>
      </c>
      <c r="N195" t="n">
        <v>0</v>
      </c>
      <c r="O195" t="n">
        <v>1</v>
      </c>
      <c r="P195" t="n">
        <v>0</v>
      </c>
      <c r="Q195" t="n">
        <v>1</v>
      </c>
      <c r="R195" s="2" t="inlineStr">
        <is>
          <t>Garnlav</t>
        </is>
      </c>
      <c r="S195">
        <f>HYPERLINK("https://klasma.github.io/Logging_2260/artfynd/A 27025-2025 artfynd.xlsx", "A 27025-2025")</f>
        <v/>
      </c>
      <c r="T195">
        <f>HYPERLINK("https://klasma.github.io/Logging_2260/kartor/A 27025-2025 karta.png", "A 27025-2025")</f>
        <v/>
      </c>
      <c r="U195">
        <f>HYPERLINK("https://klasma.github.io/Logging_2260/knärot/A 27025-2025 karta knärot.png", "A 27025-2025")</f>
        <v/>
      </c>
      <c r="V195">
        <f>HYPERLINK("https://klasma.github.io/Logging_2260/klagomål/A 27025-2025 FSC-klagomål.docx", "A 27025-2025")</f>
        <v/>
      </c>
      <c r="W195">
        <f>HYPERLINK("https://klasma.github.io/Logging_2260/klagomålsmail/A 27025-2025 FSC-klagomål mail.docx", "A 27025-2025")</f>
        <v/>
      </c>
      <c r="X195">
        <f>HYPERLINK("https://klasma.github.io/Logging_2260/tillsyn/A 27025-2025 tillsynsbegäran.docx", "A 27025-2025")</f>
        <v/>
      </c>
      <c r="Y195">
        <f>HYPERLINK("https://klasma.github.io/Logging_2260/tillsynsmail/A 27025-2025 tillsynsbegäran mail.docx", "A 27025-2025")</f>
        <v/>
      </c>
    </row>
    <row r="196" ht="15" customHeight="1">
      <c r="A196" t="inlineStr">
        <is>
          <t>A 46094-2025</t>
        </is>
      </c>
      <c r="B196" s="1" t="n">
        <v>45924</v>
      </c>
      <c r="C196" s="1" t="n">
        <v>46061</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64510-2023</t>
        </is>
      </c>
      <c r="B197" s="1" t="n">
        <v>45281</v>
      </c>
      <c r="C197" s="1" t="n">
        <v>46061</v>
      </c>
      <c r="D197" t="inlineStr">
        <is>
          <t>VÄSTERNORRLANDS LÄN</t>
        </is>
      </c>
      <c r="E197" t="inlineStr">
        <is>
          <t>ÅNGE</t>
        </is>
      </c>
      <c r="G197" t="n">
        <v>3.7</v>
      </c>
      <c r="H197" t="n">
        <v>0</v>
      </c>
      <c r="I197" t="n">
        <v>1</v>
      </c>
      <c r="J197" t="n">
        <v>0</v>
      </c>
      <c r="K197" t="n">
        <v>0</v>
      </c>
      <c r="L197" t="n">
        <v>0</v>
      </c>
      <c r="M197" t="n">
        <v>0</v>
      </c>
      <c r="N197" t="n">
        <v>0</v>
      </c>
      <c r="O197" t="n">
        <v>0</v>
      </c>
      <c r="P197" t="n">
        <v>0</v>
      </c>
      <c r="Q197" t="n">
        <v>1</v>
      </c>
      <c r="R197" s="2" t="inlineStr">
        <is>
          <t>Dropptaggsvamp</t>
        </is>
      </c>
      <c r="S197">
        <f>HYPERLINK("https://klasma.github.io/Logging_2260/artfynd/A 64510-2023 artfynd.xlsx", "A 64510-2023")</f>
        <v/>
      </c>
      <c r="T197">
        <f>HYPERLINK("https://klasma.github.io/Logging_2260/kartor/A 64510-2023 karta.png", "A 64510-2023")</f>
        <v/>
      </c>
      <c r="V197">
        <f>HYPERLINK("https://klasma.github.io/Logging_2260/klagomål/A 64510-2023 FSC-klagomål.docx", "A 64510-2023")</f>
        <v/>
      </c>
      <c r="W197">
        <f>HYPERLINK("https://klasma.github.io/Logging_2260/klagomålsmail/A 64510-2023 FSC-klagomål mail.docx", "A 64510-2023")</f>
        <v/>
      </c>
      <c r="X197">
        <f>HYPERLINK("https://klasma.github.io/Logging_2260/tillsyn/A 64510-2023 tillsynsbegäran.docx", "A 64510-2023")</f>
        <v/>
      </c>
      <c r="Y197">
        <f>HYPERLINK("https://klasma.github.io/Logging_2260/tillsynsmail/A 64510-2023 tillsynsbegäran mail.docx", "A 64510-2023")</f>
        <v/>
      </c>
    </row>
    <row r="198" ht="15" customHeight="1">
      <c r="A198" t="inlineStr">
        <is>
          <t>A 24798-2024</t>
        </is>
      </c>
      <c r="B198" s="1" t="n">
        <v>45460.95277777778</v>
      </c>
      <c r="C198" s="1" t="n">
        <v>46061</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Lunglav</t>
        </is>
      </c>
      <c r="S198">
        <f>HYPERLINK("https://klasma.github.io/Logging_2260/artfynd/A 24798-2024 artfynd.xlsx", "A 24798-2024")</f>
        <v/>
      </c>
      <c r="T198">
        <f>HYPERLINK("https://klasma.github.io/Logging_2260/kartor/A 24798-2024 karta.png", "A 24798-2024")</f>
        <v/>
      </c>
      <c r="V198">
        <f>HYPERLINK("https://klasma.github.io/Logging_2260/klagomål/A 24798-2024 FSC-klagomål.docx", "A 24798-2024")</f>
        <v/>
      </c>
      <c r="W198">
        <f>HYPERLINK("https://klasma.github.io/Logging_2260/klagomålsmail/A 24798-2024 FSC-klagomål mail.docx", "A 24798-2024")</f>
        <v/>
      </c>
      <c r="X198">
        <f>HYPERLINK("https://klasma.github.io/Logging_2260/tillsyn/A 24798-2024 tillsynsbegäran.docx", "A 24798-2024")</f>
        <v/>
      </c>
      <c r="Y198">
        <f>HYPERLINK("https://klasma.github.io/Logging_2260/tillsynsmail/A 24798-2024 tillsynsbegäran mail.docx", "A 24798-2024")</f>
        <v/>
      </c>
    </row>
    <row r="199" ht="15" customHeight="1">
      <c r="A199" t="inlineStr">
        <is>
          <t>A 24799-2024</t>
        </is>
      </c>
      <c r="B199" s="1" t="n">
        <v>45460</v>
      </c>
      <c r="C199" s="1" t="n">
        <v>46061</v>
      </c>
      <c r="D199" t="inlineStr">
        <is>
          <t>VÄSTERNORRLANDS LÄN</t>
        </is>
      </c>
      <c r="E199" t="inlineStr">
        <is>
          <t>ÅNGE</t>
        </is>
      </c>
      <c r="F199" t="inlineStr">
        <is>
          <t>SCA</t>
        </is>
      </c>
      <c r="G199" t="n">
        <v>2.8</v>
      </c>
      <c r="H199" t="n">
        <v>1</v>
      </c>
      <c r="I199" t="n">
        <v>0</v>
      </c>
      <c r="J199" t="n">
        <v>0</v>
      </c>
      <c r="K199" t="n">
        <v>1</v>
      </c>
      <c r="L199" t="n">
        <v>0</v>
      </c>
      <c r="M199" t="n">
        <v>0</v>
      </c>
      <c r="N199" t="n">
        <v>0</v>
      </c>
      <c r="O199" t="n">
        <v>1</v>
      </c>
      <c r="P199" t="n">
        <v>1</v>
      </c>
      <c r="Q199" t="n">
        <v>1</v>
      </c>
      <c r="R199" s="2" t="inlineStr">
        <is>
          <t>Doftticka</t>
        </is>
      </c>
      <c r="S199">
        <f>HYPERLINK("https://klasma.github.io/Logging_2260/artfynd/A 24799-2024 artfynd.xlsx", "A 24799-2024")</f>
        <v/>
      </c>
      <c r="T199">
        <f>HYPERLINK("https://klasma.github.io/Logging_2260/kartor/A 24799-2024 karta.png", "A 24799-2024")</f>
        <v/>
      </c>
      <c r="V199">
        <f>HYPERLINK("https://klasma.github.io/Logging_2260/klagomål/A 24799-2024 FSC-klagomål.docx", "A 24799-2024")</f>
        <v/>
      </c>
      <c r="W199">
        <f>HYPERLINK("https://klasma.github.io/Logging_2260/klagomålsmail/A 24799-2024 FSC-klagomål mail.docx", "A 24799-2024")</f>
        <v/>
      </c>
      <c r="X199">
        <f>HYPERLINK("https://klasma.github.io/Logging_2260/tillsyn/A 24799-2024 tillsynsbegäran.docx", "A 24799-2024")</f>
        <v/>
      </c>
      <c r="Y199">
        <f>HYPERLINK("https://klasma.github.io/Logging_2260/tillsynsmail/A 24799-2024 tillsynsbegäran mail.docx", "A 24799-2024")</f>
        <v/>
      </c>
    </row>
    <row r="200" ht="15" customHeight="1">
      <c r="A200" t="inlineStr">
        <is>
          <t>A 27308-2024</t>
        </is>
      </c>
      <c r="B200" s="1" t="n">
        <v>45471</v>
      </c>
      <c r="C200" s="1" t="n">
        <v>46061</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47857-2025</t>
        </is>
      </c>
      <c r="B201" s="1" t="n">
        <v>45932.4068287037</v>
      </c>
      <c r="C201" s="1" t="n">
        <v>46061</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48237-2025</t>
        </is>
      </c>
      <c r="B202" s="1" t="n">
        <v>45933</v>
      </c>
      <c r="C202" s="1" t="n">
        <v>46061</v>
      </c>
      <c r="D202" t="inlineStr">
        <is>
          <t>VÄSTERNORRLANDS LÄN</t>
        </is>
      </c>
      <c r="E202" t="inlineStr">
        <is>
          <t>ÅNGE</t>
        </is>
      </c>
      <c r="F202" t="inlineStr">
        <is>
          <t>SCA</t>
        </is>
      </c>
      <c r="G202" t="n">
        <v>1.9</v>
      </c>
      <c r="H202" t="n">
        <v>1</v>
      </c>
      <c r="I202" t="n">
        <v>0</v>
      </c>
      <c r="J202" t="n">
        <v>0</v>
      </c>
      <c r="K202" t="n">
        <v>1</v>
      </c>
      <c r="L202" t="n">
        <v>0</v>
      </c>
      <c r="M202" t="n">
        <v>0</v>
      </c>
      <c r="N202" t="n">
        <v>0</v>
      </c>
      <c r="O202" t="n">
        <v>1</v>
      </c>
      <c r="P202" t="n">
        <v>1</v>
      </c>
      <c r="Q202" t="n">
        <v>1</v>
      </c>
      <c r="R202" s="2" t="inlineStr">
        <is>
          <t>Knärot</t>
        </is>
      </c>
      <c r="S202">
        <f>HYPERLINK("https://klasma.github.io/Logging_2260/artfynd/A 48237-2025 artfynd.xlsx", "A 48237-2025")</f>
        <v/>
      </c>
      <c r="T202">
        <f>HYPERLINK("https://klasma.github.io/Logging_2260/kartor/A 48237-2025 karta.png", "A 48237-2025")</f>
        <v/>
      </c>
      <c r="U202">
        <f>HYPERLINK("https://klasma.github.io/Logging_2260/knärot/A 48237-2025 karta knärot.png", "A 48237-2025")</f>
        <v/>
      </c>
      <c r="V202">
        <f>HYPERLINK("https://klasma.github.io/Logging_2260/klagomål/A 48237-2025 FSC-klagomål.docx", "A 48237-2025")</f>
        <v/>
      </c>
      <c r="W202">
        <f>HYPERLINK("https://klasma.github.io/Logging_2260/klagomålsmail/A 48237-2025 FSC-klagomål mail.docx", "A 48237-2025")</f>
        <v/>
      </c>
      <c r="X202">
        <f>HYPERLINK("https://klasma.github.io/Logging_2260/tillsyn/A 48237-2025 tillsynsbegäran.docx", "A 48237-2025")</f>
        <v/>
      </c>
      <c r="Y202">
        <f>HYPERLINK("https://klasma.github.io/Logging_2260/tillsynsmail/A 48237-2025 tillsynsbegäran mail.docx", "A 48237-2025")</f>
        <v/>
      </c>
    </row>
    <row r="203" ht="15" customHeight="1">
      <c r="A203" t="inlineStr">
        <is>
          <t>A 38603-2024</t>
        </is>
      </c>
      <c r="B203" s="1" t="n">
        <v>45546</v>
      </c>
      <c r="C203" s="1" t="n">
        <v>46061</v>
      </c>
      <c r="D203" t="inlineStr">
        <is>
          <t>VÄSTERNORRLANDS LÄN</t>
        </is>
      </c>
      <c r="E203" t="inlineStr">
        <is>
          <t>ÅNGE</t>
        </is>
      </c>
      <c r="F203" t="inlineStr">
        <is>
          <t>SCA</t>
        </is>
      </c>
      <c r="G203" t="n">
        <v>5.6</v>
      </c>
      <c r="H203" t="n">
        <v>0</v>
      </c>
      <c r="I203" t="n">
        <v>0</v>
      </c>
      <c r="J203" t="n">
        <v>0</v>
      </c>
      <c r="K203" t="n">
        <v>1</v>
      </c>
      <c r="L203" t="n">
        <v>0</v>
      </c>
      <c r="M203" t="n">
        <v>0</v>
      </c>
      <c r="N203" t="n">
        <v>0</v>
      </c>
      <c r="O203" t="n">
        <v>1</v>
      </c>
      <c r="P203" t="n">
        <v>1</v>
      </c>
      <c r="Q203" t="n">
        <v>1</v>
      </c>
      <c r="R203" s="2" t="inlineStr">
        <is>
          <t>Rynkskinn</t>
        </is>
      </c>
      <c r="S203">
        <f>HYPERLINK("https://klasma.github.io/Logging_2260/artfynd/A 38603-2024 artfynd.xlsx", "A 38603-2024")</f>
        <v/>
      </c>
      <c r="T203">
        <f>HYPERLINK("https://klasma.github.io/Logging_2260/kartor/A 38603-2024 karta.png", "A 38603-2024")</f>
        <v/>
      </c>
      <c r="V203">
        <f>HYPERLINK("https://klasma.github.io/Logging_2260/klagomål/A 38603-2024 FSC-klagomål.docx", "A 38603-2024")</f>
        <v/>
      </c>
      <c r="W203">
        <f>HYPERLINK("https://klasma.github.io/Logging_2260/klagomålsmail/A 38603-2024 FSC-klagomål mail.docx", "A 38603-2024")</f>
        <v/>
      </c>
      <c r="X203">
        <f>HYPERLINK("https://klasma.github.io/Logging_2260/tillsyn/A 38603-2024 tillsynsbegäran.docx", "A 38603-2024")</f>
        <v/>
      </c>
      <c r="Y203">
        <f>HYPERLINK("https://klasma.github.io/Logging_2260/tillsynsmail/A 38603-2024 tillsynsbegäran mail.docx", "A 38603-2024")</f>
        <v/>
      </c>
    </row>
    <row r="204" ht="15" customHeight="1">
      <c r="A204" t="inlineStr">
        <is>
          <t>A 34696-2024</t>
        </is>
      </c>
      <c r="B204" s="1" t="n">
        <v>45526</v>
      </c>
      <c r="C204" s="1" t="n">
        <v>46061</v>
      </c>
      <c r="D204" t="inlineStr">
        <is>
          <t>VÄSTERNORRLANDS LÄN</t>
        </is>
      </c>
      <c r="E204" t="inlineStr">
        <is>
          <t>ÅNGE</t>
        </is>
      </c>
      <c r="G204" t="n">
        <v>3.6</v>
      </c>
      <c r="H204" t="n">
        <v>1</v>
      </c>
      <c r="I204" t="n">
        <v>0</v>
      </c>
      <c r="J204" t="n">
        <v>0</v>
      </c>
      <c r="K204" t="n">
        <v>0</v>
      </c>
      <c r="L204" t="n">
        <v>0</v>
      </c>
      <c r="M204" t="n">
        <v>0</v>
      </c>
      <c r="N204" t="n">
        <v>0</v>
      </c>
      <c r="O204" t="n">
        <v>0</v>
      </c>
      <c r="P204" t="n">
        <v>0</v>
      </c>
      <c r="Q204" t="n">
        <v>1</v>
      </c>
      <c r="R204" s="2" t="inlineStr">
        <is>
          <t>Revlummer</t>
        </is>
      </c>
      <c r="S204">
        <f>HYPERLINK("https://klasma.github.io/Logging_2260/artfynd/A 34696-2024 artfynd.xlsx", "A 34696-2024")</f>
        <v/>
      </c>
      <c r="T204">
        <f>HYPERLINK("https://klasma.github.io/Logging_2260/kartor/A 34696-2024 karta.png", "A 34696-2024")</f>
        <v/>
      </c>
      <c r="V204">
        <f>HYPERLINK("https://klasma.github.io/Logging_2260/klagomål/A 34696-2024 FSC-klagomål.docx", "A 34696-2024")</f>
        <v/>
      </c>
      <c r="W204">
        <f>HYPERLINK("https://klasma.github.io/Logging_2260/klagomålsmail/A 34696-2024 FSC-klagomål mail.docx", "A 34696-2024")</f>
        <v/>
      </c>
      <c r="X204">
        <f>HYPERLINK("https://klasma.github.io/Logging_2260/tillsyn/A 34696-2024 tillsynsbegäran.docx", "A 34696-2024")</f>
        <v/>
      </c>
      <c r="Y204">
        <f>HYPERLINK("https://klasma.github.io/Logging_2260/tillsynsmail/A 34696-2024 tillsynsbegäran mail.docx", "A 34696-2024")</f>
        <v/>
      </c>
    </row>
    <row r="205" ht="15" customHeight="1">
      <c r="A205" t="inlineStr">
        <is>
          <t>A 29327-2023</t>
        </is>
      </c>
      <c r="B205" s="1" t="n">
        <v>45105.94349537037</v>
      </c>
      <c r="C205" s="1" t="n">
        <v>46061</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31878-2024</t>
        </is>
      </c>
      <c r="B206" s="1" t="n">
        <v>45509</v>
      </c>
      <c r="C206" s="1" t="n">
        <v>46061</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25705-2024</t>
        </is>
      </c>
      <c r="B207" s="1" t="n">
        <v>45463.9428587963</v>
      </c>
      <c r="C207" s="1" t="n">
        <v>46061</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35648-2025</t>
        </is>
      </c>
      <c r="B208" s="1" t="n">
        <v>45859.51670138889</v>
      </c>
      <c r="C208" s="1" t="n">
        <v>46061</v>
      </c>
      <c r="D208" t="inlineStr">
        <is>
          <t>VÄSTERNORRLANDS LÄN</t>
        </is>
      </c>
      <c r="E208" t="inlineStr">
        <is>
          <t>ÅNGE</t>
        </is>
      </c>
      <c r="F208" t="inlineStr">
        <is>
          <t>Sveaskog</t>
        </is>
      </c>
      <c r="G208" t="n">
        <v>9.1</v>
      </c>
      <c r="H208" t="n">
        <v>0</v>
      </c>
      <c r="I208" t="n">
        <v>0</v>
      </c>
      <c r="J208" t="n">
        <v>1</v>
      </c>
      <c r="K208" t="n">
        <v>0</v>
      </c>
      <c r="L208" t="n">
        <v>0</v>
      </c>
      <c r="M208" t="n">
        <v>0</v>
      </c>
      <c r="N208" t="n">
        <v>0</v>
      </c>
      <c r="O208" t="n">
        <v>1</v>
      </c>
      <c r="P208" t="n">
        <v>0</v>
      </c>
      <c r="Q208" t="n">
        <v>1</v>
      </c>
      <c r="R208" s="2" t="inlineStr">
        <is>
          <t>Lunglav</t>
        </is>
      </c>
      <c r="S208">
        <f>HYPERLINK("https://klasma.github.io/Logging_2260/artfynd/A 35648-2025 artfynd.xlsx", "A 35648-2025")</f>
        <v/>
      </c>
      <c r="T208">
        <f>HYPERLINK("https://klasma.github.io/Logging_2260/kartor/A 35648-2025 karta.png", "A 35648-2025")</f>
        <v/>
      </c>
      <c r="V208">
        <f>HYPERLINK("https://klasma.github.io/Logging_2260/klagomål/A 35648-2025 FSC-klagomål.docx", "A 35648-2025")</f>
        <v/>
      </c>
      <c r="W208">
        <f>HYPERLINK("https://klasma.github.io/Logging_2260/klagomålsmail/A 35648-2025 FSC-klagomål mail.docx", "A 35648-2025")</f>
        <v/>
      </c>
      <c r="X208">
        <f>HYPERLINK("https://klasma.github.io/Logging_2260/tillsyn/A 35648-2025 tillsynsbegäran.docx", "A 35648-2025")</f>
        <v/>
      </c>
      <c r="Y208">
        <f>HYPERLINK("https://klasma.github.io/Logging_2260/tillsynsmail/A 35648-2025 tillsynsbegäran mail.docx", "A 35648-2025")</f>
        <v/>
      </c>
    </row>
    <row r="209" ht="15" customHeight="1">
      <c r="A209" t="inlineStr">
        <is>
          <t>A 35839-2025</t>
        </is>
      </c>
      <c r="B209" s="1" t="n">
        <v>45861.53943287037</v>
      </c>
      <c r="C209" s="1" t="n">
        <v>46061</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20192-2025</t>
        </is>
      </c>
      <c r="B210" s="1" t="n">
        <v>45772.60177083333</v>
      </c>
      <c r="C210" s="1" t="n">
        <v>46061</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39638-2024</t>
        </is>
      </c>
      <c r="B211" s="1" t="n">
        <v>45552</v>
      </c>
      <c r="C211" s="1" t="n">
        <v>46061</v>
      </c>
      <c r="D211" t="inlineStr">
        <is>
          <t>VÄSTERNORRLANDS LÄN</t>
        </is>
      </c>
      <c r="E211" t="inlineStr">
        <is>
          <t>ÅNGE</t>
        </is>
      </c>
      <c r="G211" t="n">
        <v>3</v>
      </c>
      <c r="H211" t="n">
        <v>1</v>
      </c>
      <c r="I211" t="n">
        <v>0</v>
      </c>
      <c r="J211" t="n">
        <v>0</v>
      </c>
      <c r="K211" t="n">
        <v>0</v>
      </c>
      <c r="L211" t="n">
        <v>0</v>
      </c>
      <c r="M211" t="n">
        <v>0</v>
      </c>
      <c r="N211" t="n">
        <v>0</v>
      </c>
      <c r="O211" t="n">
        <v>0</v>
      </c>
      <c r="P211" t="n">
        <v>0</v>
      </c>
      <c r="Q211" t="n">
        <v>1</v>
      </c>
      <c r="R211" s="2" t="inlineStr">
        <is>
          <t>Tjäder</t>
        </is>
      </c>
      <c r="S211">
        <f>HYPERLINK("https://klasma.github.io/Logging_2260/artfynd/A 39638-2024 artfynd.xlsx", "A 39638-2024")</f>
        <v/>
      </c>
      <c r="T211">
        <f>HYPERLINK("https://klasma.github.io/Logging_2260/kartor/A 39638-2024 karta.png", "A 39638-2024")</f>
        <v/>
      </c>
      <c r="V211">
        <f>HYPERLINK("https://klasma.github.io/Logging_2260/klagomål/A 39638-2024 FSC-klagomål.docx", "A 39638-2024")</f>
        <v/>
      </c>
      <c r="W211">
        <f>HYPERLINK("https://klasma.github.io/Logging_2260/klagomålsmail/A 39638-2024 FSC-klagomål mail.docx", "A 39638-2024")</f>
        <v/>
      </c>
      <c r="X211">
        <f>HYPERLINK("https://klasma.github.io/Logging_2260/tillsyn/A 39638-2024 tillsynsbegäran.docx", "A 39638-2024")</f>
        <v/>
      </c>
      <c r="Y211">
        <f>HYPERLINK("https://klasma.github.io/Logging_2260/tillsynsmail/A 39638-2024 tillsynsbegäran mail.docx", "A 39638-2024")</f>
        <v/>
      </c>
      <c r="Z211">
        <f>HYPERLINK("https://klasma.github.io/Logging_2260/fåglar/A 39638-2024 prioriterade fågelarter.docx", "A 39638-2024")</f>
        <v/>
      </c>
    </row>
    <row r="212" ht="15" customHeight="1">
      <c r="A212" t="inlineStr">
        <is>
          <t>A 57272-2024</t>
        </is>
      </c>
      <c r="B212" s="1" t="n">
        <v>45629.57380787037</v>
      </c>
      <c r="C212" s="1" t="n">
        <v>46061</v>
      </c>
      <c r="D212" t="inlineStr">
        <is>
          <t>VÄSTERNORRLANDS LÄN</t>
        </is>
      </c>
      <c r="E212" t="inlineStr">
        <is>
          <t>ÅNGE</t>
        </is>
      </c>
      <c r="F212" t="inlineStr">
        <is>
          <t>SCA</t>
        </is>
      </c>
      <c r="G212" t="n">
        <v>5.4</v>
      </c>
      <c r="H212" t="n">
        <v>0</v>
      </c>
      <c r="I212" t="n">
        <v>0</v>
      </c>
      <c r="J212" t="n">
        <v>1</v>
      </c>
      <c r="K212" t="n">
        <v>0</v>
      </c>
      <c r="L212" t="n">
        <v>0</v>
      </c>
      <c r="M212" t="n">
        <v>0</v>
      </c>
      <c r="N212" t="n">
        <v>0</v>
      </c>
      <c r="O212" t="n">
        <v>1</v>
      </c>
      <c r="P212" t="n">
        <v>0</v>
      </c>
      <c r="Q212" t="n">
        <v>1</v>
      </c>
      <c r="R212" s="2" t="inlineStr">
        <is>
          <t>Orange taggsvamp</t>
        </is>
      </c>
      <c r="S212">
        <f>HYPERLINK("https://klasma.github.io/Logging_2260/artfynd/A 57272-2024 artfynd.xlsx", "A 57272-2024")</f>
        <v/>
      </c>
      <c r="T212">
        <f>HYPERLINK("https://klasma.github.io/Logging_2260/kartor/A 57272-2024 karta.png", "A 57272-2024")</f>
        <v/>
      </c>
      <c r="V212">
        <f>HYPERLINK("https://klasma.github.io/Logging_2260/klagomål/A 57272-2024 FSC-klagomål.docx", "A 57272-2024")</f>
        <v/>
      </c>
      <c r="W212">
        <f>HYPERLINK("https://klasma.github.io/Logging_2260/klagomålsmail/A 57272-2024 FSC-klagomål mail.docx", "A 57272-2024")</f>
        <v/>
      </c>
      <c r="X212">
        <f>HYPERLINK("https://klasma.github.io/Logging_2260/tillsyn/A 57272-2024 tillsynsbegäran.docx", "A 57272-2024")</f>
        <v/>
      </c>
      <c r="Y212">
        <f>HYPERLINK("https://klasma.github.io/Logging_2260/tillsynsmail/A 57272-2024 tillsynsbegäran mail.docx", "A 57272-2024")</f>
        <v/>
      </c>
    </row>
    <row r="213" ht="15" customHeight="1">
      <c r="A213" t="inlineStr">
        <is>
          <t>A 37432-2025</t>
        </is>
      </c>
      <c r="B213" s="1" t="n">
        <v>45877.51106481482</v>
      </c>
      <c r="C213" s="1" t="n">
        <v>46061</v>
      </c>
      <c r="D213" t="inlineStr">
        <is>
          <t>VÄSTERNORRLANDS LÄN</t>
        </is>
      </c>
      <c r="E213" t="inlineStr">
        <is>
          <t>ÅNGE</t>
        </is>
      </c>
      <c r="F213" t="inlineStr">
        <is>
          <t>SCA</t>
        </is>
      </c>
      <c r="G213" t="n">
        <v>1.2</v>
      </c>
      <c r="H213" t="n">
        <v>1</v>
      </c>
      <c r="I213" t="n">
        <v>1</v>
      </c>
      <c r="J213" t="n">
        <v>0</v>
      </c>
      <c r="K213" t="n">
        <v>0</v>
      </c>
      <c r="L213" t="n">
        <v>0</v>
      </c>
      <c r="M213" t="n">
        <v>0</v>
      </c>
      <c r="N213" t="n">
        <v>0</v>
      </c>
      <c r="O213" t="n">
        <v>0</v>
      </c>
      <c r="P213" t="n">
        <v>0</v>
      </c>
      <c r="Q213" t="n">
        <v>1</v>
      </c>
      <c r="R213" s="2" t="inlineStr">
        <is>
          <t>Spindelblomster</t>
        </is>
      </c>
      <c r="S213">
        <f>HYPERLINK("https://klasma.github.io/Logging_2260/artfynd/A 37432-2025 artfynd.xlsx", "A 37432-2025")</f>
        <v/>
      </c>
      <c r="T213">
        <f>HYPERLINK("https://klasma.github.io/Logging_2260/kartor/A 37432-2025 karta.png", "A 37432-2025")</f>
        <v/>
      </c>
      <c r="V213">
        <f>HYPERLINK("https://klasma.github.io/Logging_2260/klagomål/A 37432-2025 FSC-klagomål.docx", "A 37432-2025")</f>
        <v/>
      </c>
      <c r="W213">
        <f>HYPERLINK("https://klasma.github.io/Logging_2260/klagomålsmail/A 37432-2025 FSC-klagomål mail.docx", "A 37432-2025")</f>
        <v/>
      </c>
      <c r="X213">
        <f>HYPERLINK("https://klasma.github.io/Logging_2260/tillsyn/A 37432-2025 tillsynsbegäran.docx", "A 37432-2025")</f>
        <v/>
      </c>
      <c r="Y213">
        <f>HYPERLINK("https://klasma.github.io/Logging_2260/tillsynsmail/A 37432-2025 tillsynsbegäran mail.docx", "A 37432-2025")</f>
        <v/>
      </c>
    </row>
    <row r="214" ht="15" customHeight="1">
      <c r="A214" t="inlineStr">
        <is>
          <t>A 53683-2025</t>
        </is>
      </c>
      <c r="B214" s="1" t="n">
        <v>45960</v>
      </c>
      <c r="C214" s="1" t="n">
        <v>46061</v>
      </c>
      <c r="D214" t="inlineStr">
        <is>
          <t>VÄSTERNORRLANDS LÄN</t>
        </is>
      </c>
      <c r="E214" t="inlineStr">
        <is>
          <t>ÅNGE</t>
        </is>
      </c>
      <c r="F214" t="inlineStr">
        <is>
          <t>SCA</t>
        </is>
      </c>
      <c r="G214" t="n">
        <v>3.6</v>
      </c>
      <c r="H214" t="n">
        <v>0</v>
      </c>
      <c r="I214" t="n">
        <v>1</v>
      </c>
      <c r="J214" t="n">
        <v>0</v>
      </c>
      <c r="K214" t="n">
        <v>0</v>
      </c>
      <c r="L214" t="n">
        <v>0</v>
      </c>
      <c r="M214" t="n">
        <v>0</v>
      </c>
      <c r="N214" t="n">
        <v>0</v>
      </c>
      <c r="O214" t="n">
        <v>0</v>
      </c>
      <c r="P214" t="n">
        <v>0</v>
      </c>
      <c r="Q214" t="n">
        <v>1</v>
      </c>
      <c r="R214" s="2" t="inlineStr">
        <is>
          <t>Ögonpyrola</t>
        </is>
      </c>
      <c r="S214">
        <f>HYPERLINK("https://klasma.github.io/Logging_2260/artfynd/A 53683-2025 artfynd.xlsx", "A 53683-2025")</f>
        <v/>
      </c>
      <c r="T214">
        <f>HYPERLINK("https://klasma.github.io/Logging_2260/kartor/A 53683-2025 karta.png", "A 53683-2025")</f>
        <v/>
      </c>
      <c r="U214">
        <f>HYPERLINK("https://klasma.github.io/Logging_2260/knärot/A 53683-2025 karta knärot.png", "A 53683-2025")</f>
        <v/>
      </c>
      <c r="V214">
        <f>HYPERLINK("https://klasma.github.io/Logging_2260/klagomål/A 53683-2025 FSC-klagomål.docx", "A 53683-2025")</f>
        <v/>
      </c>
      <c r="W214">
        <f>HYPERLINK("https://klasma.github.io/Logging_2260/klagomålsmail/A 53683-2025 FSC-klagomål mail.docx", "A 53683-2025")</f>
        <v/>
      </c>
      <c r="X214">
        <f>HYPERLINK("https://klasma.github.io/Logging_2260/tillsyn/A 53683-2025 tillsynsbegäran.docx", "A 53683-2025")</f>
        <v/>
      </c>
      <c r="Y214">
        <f>HYPERLINK("https://klasma.github.io/Logging_2260/tillsynsmail/A 53683-2025 tillsynsbegäran mail.docx", "A 53683-2025")</f>
        <v/>
      </c>
    </row>
    <row r="215" ht="15" customHeight="1">
      <c r="A215" t="inlineStr">
        <is>
          <t>A 1449-2025</t>
        </is>
      </c>
      <c r="B215" s="1" t="n">
        <v>45670.27537037037</v>
      </c>
      <c r="C215" s="1" t="n">
        <v>46061</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50651-2021</t>
        </is>
      </c>
      <c r="B216" s="1" t="n">
        <v>44459</v>
      </c>
      <c r="C216" s="1" t="n">
        <v>46061</v>
      </c>
      <c r="D216" t="inlineStr">
        <is>
          <t>VÄSTERNORRLANDS LÄN</t>
        </is>
      </c>
      <c r="E216" t="inlineStr">
        <is>
          <t>ÅNGE</t>
        </is>
      </c>
      <c r="G216" t="n">
        <v>20.6</v>
      </c>
      <c r="H216" t="n">
        <v>0</v>
      </c>
      <c r="I216" t="n">
        <v>0</v>
      </c>
      <c r="J216" t="n">
        <v>1</v>
      </c>
      <c r="K216" t="n">
        <v>0</v>
      </c>
      <c r="L216" t="n">
        <v>0</v>
      </c>
      <c r="M216" t="n">
        <v>0</v>
      </c>
      <c r="N216" t="n">
        <v>0</v>
      </c>
      <c r="O216" t="n">
        <v>1</v>
      </c>
      <c r="P216" t="n">
        <v>0</v>
      </c>
      <c r="Q216" t="n">
        <v>1</v>
      </c>
      <c r="R216" s="2" t="inlineStr">
        <is>
          <t>Garnlav</t>
        </is>
      </c>
      <c r="S216">
        <f>HYPERLINK("https://klasma.github.io/Logging_2260/artfynd/A 50651-2021 artfynd.xlsx", "A 50651-2021")</f>
        <v/>
      </c>
      <c r="T216">
        <f>HYPERLINK("https://klasma.github.io/Logging_2260/kartor/A 50651-2021 karta.png", "A 50651-2021")</f>
        <v/>
      </c>
      <c r="V216">
        <f>HYPERLINK("https://klasma.github.io/Logging_2260/klagomål/A 50651-2021 FSC-klagomål.docx", "A 50651-2021")</f>
        <v/>
      </c>
      <c r="W216">
        <f>HYPERLINK("https://klasma.github.io/Logging_2260/klagomålsmail/A 50651-2021 FSC-klagomål mail.docx", "A 50651-2021")</f>
        <v/>
      </c>
      <c r="X216">
        <f>HYPERLINK("https://klasma.github.io/Logging_2260/tillsyn/A 50651-2021 tillsynsbegäran.docx", "A 50651-2021")</f>
        <v/>
      </c>
      <c r="Y216">
        <f>HYPERLINK("https://klasma.github.io/Logging_2260/tillsynsmail/A 50651-2021 tillsynsbegäran mail.docx", "A 50651-2021")</f>
        <v/>
      </c>
    </row>
    <row r="217" ht="15" customHeight="1">
      <c r="A217" t="inlineStr">
        <is>
          <t>A 4351-2024</t>
        </is>
      </c>
      <c r="B217" s="1" t="n">
        <v>45324</v>
      </c>
      <c r="C217" s="1" t="n">
        <v>46061</v>
      </c>
      <c r="D217" t="inlineStr">
        <is>
          <t>VÄSTERNORRLANDS LÄN</t>
        </is>
      </c>
      <c r="E217" t="inlineStr">
        <is>
          <t>ÅNGE</t>
        </is>
      </c>
      <c r="F217" t="inlineStr">
        <is>
          <t>SCA</t>
        </is>
      </c>
      <c r="G217" t="n">
        <v>0.5</v>
      </c>
      <c r="H217" t="n">
        <v>0</v>
      </c>
      <c r="I217" t="n">
        <v>0</v>
      </c>
      <c r="J217" t="n">
        <v>1</v>
      </c>
      <c r="K217" t="n">
        <v>0</v>
      </c>
      <c r="L217" t="n">
        <v>0</v>
      </c>
      <c r="M217" t="n">
        <v>0</v>
      </c>
      <c r="N217" t="n">
        <v>0</v>
      </c>
      <c r="O217" t="n">
        <v>1</v>
      </c>
      <c r="P217" t="n">
        <v>0</v>
      </c>
      <c r="Q217" t="n">
        <v>1</v>
      </c>
      <c r="R217" s="2" t="inlineStr">
        <is>
          <t>Garnlav</t>
        </is>
      </c>
      <c r="S217">
        <f>HYPERLINK("https://klasma.github.io/Logging_2260/artfynd/A 4351-2024 artfynd.xlsx", "A 4351-2024")</f>
        <v/>
      </c>
      <c r="T217">
        <f>HYPERLINK("https://klasma.github.io/Logging_2260/kartor/A 4351-2024 karta.png", "A 4351-2024")</f>
        <v/>
      </c>
      <c r="V217">
        <f>HYPERLINK("https://klasma.github.io/Logging_2260/klagomål/A 4351-2024 FSC-klagomål.docx", "A 4351-2024")</f>
        <v/>
      </c>
      <c r="W217">
        <f>HYPERLINK("https://klasma.github.io/Logging_2260/klagomålsmail/A 4351-2024 FSC-klagomål mail.docx", "A 4351-2024")</f>
        <v/>
      </c>
      <c r="X217">
        <f>HYPERLINK("https://klasma.github.io/Logging_2260/tillsyn/A 4351-2024 tillsynsbegäran.docx", "A 4351-2024")</f>
        <v/>
      </c>
      <c r="Y217">
        <f>HYPERLINK("https://klasma.github.io/Logging_2260/tillsynsmail/A 4351-2024 tillsynsbegäran mail.docx", "A 4351-2024")</f>
        <v/>
      </c>
    </row>
    <row r="218" ht="15" customHeight="1">
      <c r="A218" t="inlineStr">
        <is>
          <t>A 40214-2024</t>
        </is>
      </c>
      <c r="B218" s="1" t="n">
        <v>45554.59460648148</v>
      </c>
      <c r="C218" s="1" t="n">
        <v>46061</v>
      </c>
      <c r="D218" t="inlineStr">
        <is>
          <t>VÄSTERNORRLANDS LÄN</t>
        </is>
      </c>
      <c r="E218" t="inlineStr">
        <is>
          <t>ÅNGE</t>
        </is>
      </c>
      <c r="F218" t="inlineStr">
        <is>
          <t>SCA</t>
        </is>
      </c>
      <c r="G218" t="n">
        <v>7.7</v>
      </c>
      <c r="H218" t="n">
        <v>0</v>
      </c>
      <c r="I218" t="n">
        <v>0</v>
      </c>
      <c r="J218" t="n">
        <v>1</v>
      </c>
      <c r="K218" t="n">
        <v>0</v>
      </c>
      <c r="L218" t="n">
        <v>0</v>
      </c>
      <c r="M218" t="n">
        <v>0</v>
      </c>
      <c r="N218" t="n">
        <v>0</v>
      </c>
      <c r="O218" t="n">
        <v>1</v>
      </c>
      <c r="P218" t="n">
        <v>0</v>
      </c>
      <c r="Q218" t="n">
        <v>1</v>
      </c>
      <c r="R218" s="2" t="inlineStr">
        <is>
          <t>Lunglav</t>
        </is>
      </c>
      <c r="S218">
        <f>HYPERLINK("https://klasma.github.io/Logging_2260/artfynd/A 40214-2024 artfynd.xlsx", "A 40214-2024")</f>
        <v/>
      </c>
      <c r="T218">
        <f>HYPERLINK("https://klasma.github.io/Logging_2260/kartor/A 40214-2024 karta.png", "A 40214-2024")</f>
        <v/>
      </c>
      <c r="V218">
        <f>HYPERLINK("https://klasma.github.io/Logging_2260/klagomål/A 40214-2024 FSC-klagomål.docx", "A 40214-2024")</f>
        <v/>
      </c>
      <c r="W218">
        <f>HYPERLINK("https://klasma.github.io/Logging_2260/klagomålsmail/A 40214-2024 FSC-klagomål mail.docx", "A 40214-2024")</f>
        <v/>
      </c>
      <c r="X218">
        <f>HYPERLINK("https://klasma.github.io/Logging_2260/tillsyn/A 40214-2024 tillsynsbegäran.docx", "A 40214-2024")</f>
        <v/>
      </c>
      <c r="Y218">
        <f>HYPERLINK("https://klasma.github.io/Logging_2260/tillsynsmail/A 40214-2024 tillsynsbegäran mail.docx", "A 40214-2024")</f>
        <v/>
      </c>
    </row>
    <row r="219" ht="15" customHeight="1">
      <c r="A219" t="inlineStr">
        <is>
          <t>A 329-2026</t>
        </is>
      </c>
      <c r="B219" s="1" t="n">
        <v>46027.59431712963</v>
      </c>
      <c r="C219" s="1" t="n">
        <v>46061</v>
      </c>
      <c r="D219" t="inlineStr">
        <is>
          <t>VÄSTERNORRLANDS LÄN</t>
        </is>
      </c>
      <c r="E219" t="inlineStr">
        <is>
          <t>ÅNGE</t>
        </is>
      </c>
      <c r="F219" t="inlineStr">
        <is>
          <t>SCA</t>
        </is>
      </c>
      <c r="G219" t="n">
        <v>3.3</v>
      </c>
      <c r="H219" t="n">
        <v>1</v>
      </c>
      <c r="I219" t="n">
        <v>0</v>
      </c>
      <c r="J219" t="n">
        <v>0</v>
      </c>
      <c r="K219" t="n">
        <v>0</v>
      </c>
      <c r="L219" t="n">
        <v>0</v>
      </c>
      <c r="M219" t="n">
        <v>0</v>
      </c>
      <c r="N219" t="n">
        <v>0</v>
      </c>
      <c r="O219" t="n">
        <v>0</v>
      </c>
      <c r="P219" t="n">
        <v>0</v>
      </c>
      <c r="Q219" t="n">
        <v>1</v>
      </c>
      <c r="R219" s="2" t="inlineStr">
        <is>
          <t>Revlummer</t>
        </is>
      </c>
      <c r="S219">
        <f>HYPERLINK("https://klasma.github.io/Logging_2260/artfynd/A 329-2026 artfynd.xlsx", "A 329-2026")</f>
        <v/>
      </c>
      <c r="T219">
        <f>HYPERLINK("https://klasma.github.io/Logging_2260/kartor/A 329-2026 karta.png", "A 329-2026")</f>
        <v/>
      </c>
      <c r="V219">
        <f>HYPERLINK("https://klasma.github.io/Logging_2260/klagomål/A 329-2026 FSC-klagomål.docx", "A 329-2026")</f>
        <v/>
      </c>
      <c r="W219">
        <f>HYPERLINK("https://klasma.github.io/Logging_2260/klagomålsmail/A 329-2026 FSC-klagomål mail.docx", "A 329-2026")</f>
        <v/>
      </c>
      <c r="X219">
        <f>HYPERLINK("https://klasma.github.io/Logging_2260/tillsyn/A 329-2026 tillsynsbegäran.docx", "A 329-2026")</f>
        <v/>
      </c>
      <c r="Y219">
        <f>HYPERLINK("https://klasma.github.io/Logging_2260/tillsynsmail/A 329-2026 tillsynsbegäran mail.docx", "A 329-2026")</f>
        <v/>
      </c>
    </row>
    <row r="220" ht="15" customHeight="1">
      <c r="A220" t="inlineStr">
        <is>
          <t>A 58534-2025</t>
        </is>
      </c>
      <c r="B220" s="1" t="n">
        <v>45985.80396990741</v>
      </c>
      <c r="C220" s="1" t="n">
        <v>46061</v>
      </c>
      <c r="D220" t="inlineStr">
        <is>
          <t>VÄSTERNORRLANDS LÄN</t>
        </is>
      </c>
      <c r="E220" t="inlineStr">
        <is>
          <t>ÅNGE</t>
        </is>
      </c>
      <c r="F220" t="inlineStr">
        <is>
          <t>Holmen skog AB</t>
        </is>
      </c>
      <c r="G220" t="n">
        <v>2.2</v>
      </c>
      <c r="H220" t="n">
        <v>0</v>
      </c>
      <c r="I220" t="n">
        <v>0</v>
      </c>
      <c r="J220" t="n">
        <v>1</v>
      </c>
      <c r="K220" t="n">
        <v>0</v>
      </c>
      <c r="L220" t="n">
        <v>0</v>
      </c>
      <c r="M220" t="n">
        <v>0</v>
      </c>
      <c r="N220" t="n">
        <v>0</v>
      </c>
      <c r="O220" t="n">
        <v>1</v>
      </c>
      <c r="P220" t="n">
        <v>0</v>
      </c>
      <c r="Q220" t="n">
        <v>1</v>
      </c>
      <c r="R220" s="2" t="inlineStr">
        <is>
          <t>Ullticka</t>
        </is>
      </c>
      <c r="S220">
        <f>HYPERLINK("https://klasma.github.io/Logging_2260/artfynd/A 58534-2025 artfynd.xlsx", "A 58534-2025")</f>
        <v/>
      </c>
      <c r="T220">
        <f>HYPERLINK("https://klasma.github.io/Logging_2260/kartor/A 58534-2025 karta.png", "A 58534-2025")</f>
        <v/>
      </c>
      <c r="V220">
        <f>HYPERLINK("https://klasma.github.io/Logging_2260/klagomål/A 58534-2025 FSC-klagomål.docx", "A 58534-2025")</f>
        <v/>
      </c>
      <c r="W220">
        <f>HYPERLINK("https://klasma.github.io/Logging_2260/klagomålsmail/A 58534-2025 FSC-klagomål mail.docx", "A 58534-2025")</f>
        <v/>
      </c>
      <c r="X220">
        <f>HYPERLINK("https://klasma.github.io/Logging_2260/tillsyn/A 58534-2025 tillsynsbegäran.docx", "A 58534-2025")</f>
        <v/>
      </c>
      <c r="Y220">
        <f>HYPERLINK("https://klasma.github.io/Logging_2260/tillsynsmail/A 58534-2025 tillsynsbegäran mail.docx", "A 58534-2025")</f>
        <v/>
      </c>
    </row>
    <row r="221" ht="15" customHeight="1">
      <c r="A221" t="inlineStr">
        <is>
          <t>A 52424-2023</t>
        </is>
      </c>
      <c r="B221" s="1" t="n">
        <v>45217</v>
      </c>
      <c r="C221" s="1" t="n">
        <v>46061</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61076-2025</t>
        </is>
      </c>
      <c r="B222" s="1" t="n">
        <v>46000.39689814814</v>
      </c>
      <c r="C222" s="1" t="n">
        <v>46061</v>
      </c>
      <c r="D222" t="inlineStr">
        <is>
          <t>VÄSTERNORRLANDS LÄN</t>
        </is>
      </c>
      <c r="E222" t="inlineStr">
        <is>
          <t>ÅNGE</t>
        </is>
      </c>
      <c r="F222" t="inlineStr">
        <is>
          <t>Holmen skog AB</t>
        </is>
      </c>
      <c r="G222" t="n">
        <v>2.7</v>
      </c>
      <c r="H222" t="n">
        <v>0</v>
      </c>
      <c r="I222" t="n">
        <v>1</v>
      </c>
      <c r="J222" t="n">
        <v>0</v>
      </c>
      <c r="K222" t="n">
        <v>0</v>
      </c>
      <c r="L222" t="n">
        <v>0</v>
      </c>
      <c r="M222" t="n">
        <v>0</v>
      </c>
      <c r="N222" t="n">
        <v>0</v>
      </c>
      <c r="O222" t="n">
        <v>0</v>
      </c>
      <c r="P222" t="n">
        <v>0</v>
      </c>
      <c r="Q222" t="n">
        <v>1</v>
      </c>
      <c r="R222" s="2" t="inlineStr">
        <is>
          <t>Stor aspticka</t>
        </is>
      </c>
      <c r="S222">
        <f>HYPERLINK("https://klasma.github.io/Logging_2260/artfynd/A 61076-2025 artfynd.xlsx", "A 61076-2025")</f>
        <v/>
      </c>
      <c r="T222">
        <f>HYPERLINK("https://klasma.github.io/Logging_2260/kartor/A 61076-2025 karta.png", "A 61076-2025")</f>
        <v/>
      </c>
      <c r="V222">
        <f>HYPERLINK("https://klasma.github.io/Logging_2260/klagomål/A 61076-2025 FSC-klagomål.docx", "A 61076-2025")</f>
        <v/>
      </c>
      <c r="W222">
        <f>HYPERLINK("https://klasma.github.io/Logging_2260/klagomålsmail/A 61076-2025 FSC-klagomål mail.docx", "A 61076-2025")</f>
        <v/>
      </c>
      <c r="X222">
        <f>HYPERLINK("https://klasma.github.io/Logging_2260/tillsyn/A 61076-2025 tillsynsbegäran.docx", "A 61076-2025")</f>
        <v/>
      </c>
      <c r="Y222">
        <f>HYPERLINK("https://klasma.github.io/Logging_2260/tillsynsmail/A 61076-2025 tillsynsbegäran mail.docx", "A 61076-2025")</f>
        <v/>
      </c>
    </row>
    <row r="223" ht="15" customHeight="1">
      <c r="A223" t="inlineStr">
        <is>
          <t>A 31544-2024</t>
        </is>
      </c>
      <c r="B223" s="1" t="n">
        <v>45505</v>
      </c>
      <c r="C223" s="1" t="n">
        <v>46061</v>
      </c>
      <c r="D223" t="inlineStr">
        <is>
          <t>VÄSTERNORRLANDS LÄN</t>
        </is>
      </c>
      <c r="E223" t="inlineStr">
        <is>
          <t>ÅNGE</t>
        </is>
      </c>
      <c r="F223" t="inlineStr">
        <is>
          <t>SCA</t>
        </is>
      </c>
      <c r="G223" t="n">
        <v>3.5</v>
      </c>
      <c r="H223" t="n">
        <v>0</v>
      </c>
      <c r="I223" t="n">
        <v>0</v>
      </c>
      <c r="J223" t="n">
        <v>1</v>
      </c>
      <c r="K223" t="n">
        <v>0</v>
      </c>
      <c r="L223" t="n">
        <v>0</v>
      </c>
      <c r="M223" t="n">
        <v>0</v>
      </c>
      <c r="N223" t="n">
        <v>0</v>
      </c>
      <c r="O223" t="n">
        <v>1</v>
      </c>
      <c r="P223" t="n">
        <v>0</v>
      </c>
      <c r="Q223" t="n">
        <v>1</v>
      </c>
      <c r="R223" s="2" t="inlineStr">
        <is>
          <t>Granticka</t>
        </is>
      </c>
      <c r="S223">
        <f>HYPERLINK("https://klasma.github.io/Logging_2260/artfynd/A 31544-2024 artfynd.xlsx", "A 31544-2024")</f>
        <v/>
      </c>
      <c r="T223">
        <f>HYPERLINK("https://klasma.github.io/Logging_2260/kartor/A 31544-2024 karta.png", "A 31544-2024")</f>
        <v/>
      </c>
      <c r="V223">
        <f>HYPERLINK("https://klasma.github.io/Logging_2260/klagomål/A 31544-2024 FSC-klagomål.docx", "A 31544-2024")</f>
        <v/>
      </c>
      <c r="W223">
        <f>HYPERLINK("https://klasma.github.io/Logging_2260/klagomålsmail/A 31544-2024 FSC-klagomål mail.docx", "A 31544-2024")</f>
        <v/>
      </c>
      <c r="X223">
        <f>HYPERLINK("https://klasma.github.io/Logging_2260/tillsyn/A 31544-2024 tillsynsbegäran.docx", "A 31544-2024")</f>
        <v/>
      </c>
      <c r="Y223">
        <f>HYPERLINK("https://klasma.github.io/Logging_2260/tillsynsmail/A 31544-2024 tillsynsbegäran mail.docx", "A 31544-2024")</f>
        <v/>
      </c>
    </row>
    <row r="224" ht="15" customHeight="1">
      <c r="A224" t="inlineStr">
        <is>
          <t>A 56091-2024</t>
        </is>
      </c>
      <c r="B224" s="1" t="n">
        <v>45624.40678240741</v>
      </c>
      <c r="C224" s="1" t="n">
        <v>46061</v>
      </c>
      <c r="D224" t="inlineStr">
        <is>
          <t>VÄSTERNORRLANDS LÄN</t>
        </is>
      </c>
      <c r="E224" t="inlineStr">
        <is>
          <t>ÅNGE</t>
        </is>
      </c>
      <c r="F224" t="inlineStr">
        <is>
          <t>SCA</t>
        </is>
      </c>
      <c r="G224" t="n">
        <v>2.5</v>
      </c>
      <c r="H224" t="n">
        <v>0</v>
      </c>
      <c r="I224" t="n">
        <v>0</v>
      </c>
      <c r="J224" t="n">
        <v>1</v>
      </c>
      <c r="K224" t="n">
        <v>0</v>
      </c>
      <c r="L224" t="n">
        <v>0</v>
      </c>
      <c r="M224" t="n">
        <v>0</v>
      </c>
      <c r="N224" t="n">
        <v>0</v>
      </c>
      <c r="O224" t="n">
        <v>1</v>
      </c>
      <c r="P224" t="n">
        <v>0</v>
      </c>
      <c r="Q224" t="n">
        <v>1</v>
      </c>
      <c r="R224" s="2" t="inlineStr">
        <is>
          <t>Mörk kolflarnlav</t>
        </is>
      </c>
      <c r="S224">
        <f>HYPERLINK("https://klasma.github.io/Logging_2260/artfynd/A 56091-2024 artfynd.xlsx", "A 56091-2024")</f>
        <v/>
      </c>
      <c r="T224">
        <f>HYPERLINK("https://klasma.github.io/Logging_2260/kartor/A 56091-2024 karta.png", "A 56091-2024")</f>
        <v/>
      </c>
      <c r="V224">
        <f>HYPERLINK("https://klasma.github.io/Logging_2260/klagomål/A 56091-2024 FSC-klagomål.docx", "A 56091-2024")</f>
        <v/>
      </c>
      <c r="W224">
        <f>HYPERLINK("https://klasma.github.io/Logging_2260/klagomålsmail/A 56091-2024 FSC-klagomål mail.docx", "A 56091-2024")</f>
        <v/>
      </c>
      <c r="X224">
        <f>HYPERLINK("https://klasma.github.io/Logging_2260/tillsyn/A 56091-2024 tillsynsbegäran.docx", "A 56091-2024")</f>
        <v/>
      </c>
      <c r="Y224">
        <f>HYPERLINK("https://klasma.github.io/Logging_2260/tillsynsmail/A 56091-2024 tillsynsbegäran mail.docx", "A 56091-2024")</f>
        <v/>
      </c>
    </row>
    <row r="225" ht="15" customHeight="1">
      <c r="A225" t="inlineStr">
        <is>
          <t>A 13934-2024</t>
        </is>
      </c>
      <c r="B225" s="1" t="n">
        <v>45391</v>
      </c>
      <c r="C225" s="1" t="n">
        <v>46061</v>
      </c>
      <c r="D225" t="inlineStr">
        <is>
          <t>VÄSTERNORRLANDS LÄN</t>
        </is>
      </c>
      <c r="E225" t="inlineStr">
        <is>
          <t>ÅNGE</t>
        </is>
      </c>
      <c r="F225" t="inlineStr">
        <is>
          <t>SCA</t>
        </is>
      </c>
      <c r="G225" t="n">
        <v>5.8</v>
      </c>
      <c r="H225" t="n">
        <v>0</v>
      </c>
      <c r="I225" t="n">
        <v>0</v>
      </c>
      <c r="J225" t="n">
        <v>1</v>
      </c>
      <c r="K225" t="n">
        <v>0</v>
      </c>
      <c r="L225" t="n">
        <v>0</v>
      </c>
      <c r="M225" t="n">
        <v>0</v>
      </c>
      <c r="N225" t="n">
        <v>0</v>
      </c>
      <c r="O225" t="n">
        <v>1</v>
      </c>
      <c r="P225" t="n">
        <v>0</v>
      </c>
      <c r="Q225" t="n">
        <v>1</v>
      </c>
      <c r="R225" s="2" t="inlineStr">
        <is>
          <t>Ullticka</t>
        </is>
      </c>
      <c r="S225">
        <f>HYPERLINK("https://klasma.github.io/Logging_2260/artfynd/A 13934-2024 artfynd.xlsx", "A 13934-2024")</f>
        <v/>
      </c>
      <c r="T225">
        <f>HYPERLINK("https://klasma.github.io/Logging_2260/kartor/A 13934-2024 karta.png", "A 13934-2024")</f>
        <v/>
      </c>
      <c r="V225">
        <f>HYPERLINK("https://klasma.github.io/Logging_2260/klagomål/A 13934-2024 FSC-klagomål.docx", "A 13934-2024")</f>
        <v/>
      </c>
      <c r="W225">
        <f>HYPERLINK("https://klasma.github.io/Logging_2260/klagomålsmail/A 13934-2024 FSC-klagomål mail.docx", "A 13934-2024")</f>
        <v/>
      </c>
      <c r="X225">
        <f>HYPERLINK("https://klasma.github.io/Logging_2260/tillsyn/A 13934-2024 tillsynsbegäran.docx", "A 13934-2024")</f>
        <v/>
      </c>
      <c r="Y225">
        <f>HYPERLINK("https://klasma.github.io/Logging_2260/tillsynsmail/A 13934-2024 tillsynsbegäran mail.docx", "A 13934-2024")</f>
        <v/>
      </c>
    </row>
    <row r="226" ht="15" customHeight="1">
      <c r="A226" t="inlineStr">
        <is>
          <t>A 43171-2024</t>
        </is>
      </c>
      <c r="B226" s="1" t="n">
        <v>45567</v>
      </c>
      <c r="C226" s="1" t="n">
        <v>46061</v>
      </c>
      <c r="D226" t="inlineStr">
        <is>
          <t>VÄSTERNORRLANDS LÄN</t>
        </is>
      </c>
      <c r="E226" t="inlineStr">
        <is>
          <t>ÅNGE</t>
        </is>
      </c>
      <c r="F226" t="inlineStr">
        <is>
          <t>SCA</t>
        </is>
      </c>
      <c r="G226" t="n">
        <v>3.4</v>
      </c>
      <c r="H226" t="n">
        <v>0</v>
      </c>
      <c r="I226" t="n">
        <v>0</v>
      </c>
      <c r="J226" t="n">
        <v>1</v>
      </c>
      <c r="K226" t="n">
        <v>0</v>
      </c>
      <c r="L226" t="n">
        <v>0</v>
      </c>
      <c r="M226" t="n">
        <v>0</v>
      </c>
      <c r="N226" t="n">
        <v>0</v>
      </c>
      <c r="O226" t="n">
        <v>1</v>
      </c>
      <c r="P226" t="n">
        <v>0</v>
      </c>
      <c r="Q226" t="n">
        <v>1</v>
      </c>
      <c r="R226" s="2" t="inlineStr">
        <is>
          <t>Rosenticka</t>
        </is>
      </c>
      <c r="S226">
        <f>HYPERLINK("https://klasma.github.io/Logging_2260/artfynd/A 43171-2024 artfynd.xlsx", "A 43171-2024")</f>
        <v/>
      </c>
      <c r="T226">
        <f>HYPERLINK("https://klasma.github.io/Logging_2260/kartor/A 43171-2024 karta.png", "A 43171-2024")</f>
        <v/>
      </c>
      <c r="V226">
        <f>HYPERLINK("https://klasma.github.io/Logging_2260/klagomål/A 43171-2024 FSC-klagomål.docx", "A 43171-2024")</f>
        <v/>
      </c>
      <c r="W226">
        <f>HYPERLINK("https://klasma.github.io/Logging_2260/klagomålsmail/A 43171-2024 FSC-klagomål mail.docx", "A 43171-2024")</f>
        <v/>
      </c>
      <c r="X226">
        <f>HYPERLINK("https://klasma.github.io/Logging_2260/tillsyn/A 43171-2024 tillsynsbegäran.docx", "A 43171-2024")</f>
        <v/>
      </c>
      <c r="Y226">
        <f>HYPERLINK("https://klasma.github.io/Logging_2260/tillsynsmail/A 43171-2024 tillsynsbegäran mail.docx", "A 43171-2024")</f>
        <v/>
      </c>
    </row>
    <row r="227" ht="15" customHeight="1">
      <c r="A227" t="inlineStr">
        <is>
          <t>A 55015-2023</t>
        </is>
      </c>
      <c r="B227" s="1" t="n">
        <v>45237.32185185186</v>
      </c>
      <c r="C227" s="1" t="n">
        <v>46061</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41493-2021</t>
        </is>
      </c>
      <c r="B228" s="1" t="n">
        <v>44424</v>
      </c>
      <c r="C228" s="1" t="n">
        <v>46061</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31510-2024</t>
        </is>
      </c>
      <c r="B229" s="1" t="n">
        <v>45505</v>
      </c>
      <c r="C229" s="1" t="n">
        <v>46061</v>
      </c>
      <c r="D229" t="inlineStr">
        <is>
          <t>VÄSTERNORRLANDS LÄN</t>
        </is>
      </c>
      <c r="E229" t="inlineStr">
        <is>
          <t>ÅNGE</t>
        </is>
      </c>
      <c r="F229" t="inlineStr">
        <is>
          <t>SCA</t>
        </is>
      </c>
      <c r="G229" t="n">
        <v>6</v>
      </c>
      <c r="H229" t="n">
        <v>1</v>
      </c>
      <c r="I229" t="n">
        <v>0</v>
      </c>
      <c r="J229" t="n">
        <v>0</v>
      </c>
      <c r="K229" t="n">
        <v>1</v>
      </c>
      <c r="L229" t="n">
        <v>0</v>
      </c>
      <c r="M229" t="n">
        <v>0</v>
      </c>
      <c r="N229" t="n">
        <v>0</v>
      </c>
      <c r="O229" t="n">
        <v>1</v>
      </c>
      <c r="P229" t="n">
        <v>1</v>
      </c>
      <c r="Q229" t="n">
        <v>1</v>
      </c>
      <c r="R229" s="2" t="inlineStr">
        <is>
          <t>Doftticka</t>
        </is>
      </c>
      <c r="S229">
        <f>HYPERLINK("https://klasma.github.io/Logging_2260/artfynd/A 31510-2024 artfynd.xlsx", "A 31510-2024")</f>
        <v/>
      </c>
      <c r="T229">
        <f>HYPERLINK("https://klasma.github.io/Logging_2260/kartor/A 31510-2024 karta.png", "A 31510-2024")</f>
        <v/>
      </c>
      <c r="V229">
        <f>HYPERLINK("https://klasma.github.io/Logging_2260/klagomål/A 31510-2024 FSC-klagomål.docx", "A 31510-2024")</f>
        <v/>
      </c>
      <c r="W229">
        <f>HYPERLINK("https://klasma.github.io/Logging_2260/klagomålsmail/A 31510-2024 FSC-klagomål mail.docx", "A 31510-2024")</f>
        <v/>
      </c>
      <c r="X229">
        <f>HYPERLINK("https://klasma.github.io/Logging_2260/tillsyn/A 31510-2024 tillsynsbegäran.docx", "A 31510-2024")</f>
        <v/>
      </c>
      <c r="Y229">
        <f>HYPERLINK("https://klasma.github.io/Logging_2260/tillsynsmail/A 31510-2024 tillsynsbegäran mail.docx", "A 31510-2024")</f>
        <v/>
      </c>
    </row>
    <row r="230" ht="15" customHeight="1">
      <c r="A230" t="inlineStr">
        <is>
          <t>A 37914-2024</t>
        </is>
      </c>
      <c r="B230" s="1" t="n">
        <v>45544</v>
      </c>
      <c r="C230" s="1" t="n">
        <v>46061</v>
      </c>
      <c r="D230" t="inlineStr">
        <is>
          <t>VÄSTERNORRLANDS LÄN</t>
        </is>
      </c>
      <c r="E230" t="inlineStr">
        <is>
          <t>ÅNGE</t>
        </is>
      </c>
      <c r="F230" t="inlineStr">
        <is>
          <t>SCA</t>
        </is>
      </c>
      <c r="G230" t="n">
        <v>9</v>
      </c>
      <c r="H230" t="n">
        <v>0</v>
      </c>
      <c r="I230" t="n">
        <v>0</v>
      </c>
      <c r="J230" t="n">
        <v>1</v>
      </c>
      <c r="K230" t="n">
        <v>0</v>
      </c>
      <c r="L230" t="n">
        <v>0</v>
      </c>
      <c r="M230" t="n">
        <v>0</v>
      </c>
      <c r="N230" t="n">
        <v>0</v>
      </c>
      <c r="O230" t="n">
        <v>1</v>
      </c>
      <c r="P230" t="n">
        <v>0</v>
      </c>
      <c r="Q230" t="n">
        <v>1</v>
      </c>
      <c r="R230" s="2" t="inlineStr">
        <is>
          <t>Granticka</t>
        </is>
      </c>
      <c r="S230">
        <f>HYPERLINK("https://klasma.github.io/Logging_2260/artfynd/A 37914-2024 artfynd.xlsx", "A 37914-2024")</f>
        <v/>
      </c>
      <c r="T230">
        <f>HYPERLINK("https://klasma.github.io/Logging_2260/kartor/A 37914-2024 karta.png", "A 37914-2024")</f>
        <v/>
      </c>
      <c r="V230">
        <f>HYPERLINK("https://klasma.github.io/Logging_2260/klagomål/A 37914-2024 FSC-klagomål.docx", "A 37914-2024")</f>
        <v/>
      </c>
      <c r="W230">
        <f>HYPERLINK("https://klasma.github.io/Logging_2260/klagomålsmail/A 37914-2024 FSC-klagomål mail.docx", "A 37914-2024")</f>
        <v/>
      </c>
      <c r="X230">
        <f>HYPERLINK("https://klasma.github.io/Logging_2260/tillsyn/A 37914-2024 tillsynsbegäran.docx", "A 37914-2024")</f>
        <v/>
      </c>
      <c r="Y230">
        <f>HYPERLINK("https://klasma.github.io/Logging_2260/tillsynsmail/A 37914-2024 tillsynsbegäran mail.docx", "A 37914-2024")</f>
        <v/>
      </c>
    </row>
    <row r="231" ht="15" customHeight="1">
      <c r="A231" t="inlineStr">
        <is>
          <t>A 54751-2021</t>
        </is>
      </c>
      <c r="B231" s="1" t="n">
        <v>44473</v>
      </c>
      <c r="C231" s="1" t="n">
        <v>46061</v>
      </c>
      <c r="D231" t="inlineStr">
        <is>
          <t>VÄSTERNORRLANDS LÄN</t>
        </is>
      </c>
      <c r="E231" t="inlineStr">
        <is>
          <t>ÅNGE</t>
        </is>
      </c>
      <c r="G231" t="n">
        <v>6.5</v>
      </c>
      <c r="H231" t="n">
        <v>0</v>
      </c>
      <c r="I231" t="n">
        <v>0</v>
      </c>
      <c r="J231" t="n">
        <v>0</v>
      </c>
      <c r="K231" t="n">
        <v>1</v>
      </c>
      <c r="L231" t="n">
        <v>0</v>
      </c>
      <c r="M231" t="n">
        <v>0</v>
      </c>
      <c r="N231" t="n">
        <v>0</v>
      </c>
      <c r="O231" t="n">
        <v>1</v>
      </c>
      <c r="P231" t="n">
        <v>1</v>
      </c>
      <c r="Q231" t="n">
        <v>1</v>
      </c>
      <c r="R231" s="2" t="inlineStr">
        <is>
          <t>Gräddporing</t>
        </is>
      </c>
      <c r="S231">
        <f>HYPERLINK("https://klasma.github.io/Logging_2260/artfynd/A 54751-2021 artfynd.xlsx", "A 54751-2021")</f>
        <v/>
      </c>
      <c r="T231">
        <f>HYPERLINK("https://klasma.github.io/Logging_2260/kartor/A 54751-2021 karta.png", "A 54751-2021")</f>
        <v/>
      </c>
      <c r="V231">
        <f>HYPERLINK("https://klasma.github.io/Logging_2260/klagomål/A 54751-2021 FSC-klagomål.docx", "A 54751-2021")</f>
        <v/>
      </c>
      <c r="W231">
        <f>HYPERLINK("https://klasma.github.io/Logging_2260/klagomålsmail/A 54751-2021 FSC-klagomål mail.docx", "A 54751-2021")</f>
        <v/>
      </c>
      <c r="X231">
        <f>HYPERLINK("https://klasma.github.io/Logging_2260/tillsyn/A 54751-2021 tillsynsbegäran.docx", "A 54751-2021")</f>
        <v/>
      </c>
      <c r="Y231">
        <f>HYPERLINK("https://klasma.github.io/Logging_2260/tillsynsmail/A 54751-2021 tillsynsbegäran mail.docx", "A 54751-2021")</f>
        <v/>
      </c>
    </row>
    <row r="232" ht="15" customHeight="1">
      <c r="A232" t="inlineStr">
        <is>
          <t>A 39180-2024</t>
        </is>
      </c>
      <c r="B232" s="1" t="n">
        <v>45548.6571412037</v>
      </c>
      <c r="C232" s="1" t="n">
        <v>46061</v>
      </c>
      <c r="D232" t="inlineStr">
        <is>
          <t>VÄSTERNORRLANDS LÄN</t>
        </is>
      </c>
      <c r="E232" t="inlineStr">
        <is>
          <t>ÅNGE</t>
        </is>
      </c>
      <c r="F232" t="inlineStr">
        <is>
          <t>SCA</t>
        </is>
      </c>
      <c r="G232" t="n">
        <v>8.699999999999999</v>
      </c>
      <c r="H232" t="n">
        <v>0</v>
      </c>
      <c r="I232" t="n">
        <v>0</v>
      </c>
      <c r="J232" t="n">
        <v>1</v>
      </c>
      <c r="K232" t="n">
        <v>0</v>
      </c>
      <c r="L232" t="n">
        <v>0</v>
      </c>
      <c r="M232" t="n">
        <v>0</v>
      </c>
      <c r="N232" t="n">
        <v>0</v>
      </c>
      <c r="O232" t="n">
        <v>1</v>
      </c>
      <c r="P232" t="n">
        <v>0</v>
      </c>
      <c r="Q232" t="n">
        <v>1</v>
      </c>
      <c r="R232" s="2" t="inlineStr">
        <is>
          <t>Lunglav</t>
        </is>
      </c>
      <c r="S232">
        <f>HYPERLINK("https://klasma.github.io/Logging_2260/artfynd/A 39180-2024 artfynd.xlsx", "A 39180-2024")</f>
        <v/>
      </c>
      <c r="T232">
        <f>HYPERLINK("https://klasma.github.io/Logging_2260/kartor/A 39180-2024 karta.png", "A 39180-2024")</f>
        <v/>
      </c>
      <c r="V232">
        <f>HYPERLINK("https://klasma.github.io/Logging_2260/klagomål/A 39180-2024 FSC-klagomål.docx", "A 39180-2024")</f>
        <v/>
      </c>
      <c r="W232">
        <f>HYPERLINK("https://klasma.github.io/Logging_2260/klagomålsmail/A 39180-2024 FSC-klagomål mail.docx", "A 39180-2024")</f>
        <v/>
      </c>
      <c r="X232">
        <f>HYPERLINK("https://klasma.github.io/Logging_2260/tillsyn/A 39180-2024 tillsynsbegäran.docx", "A 39180-2024")</f>
        <v/>
      </c>
      <c r="Y232">
        <f>HYPERLINK("https://klasma.github.io/Logging_2260/tillsynsmail/A 39180-2024 tillsynsbegäran mail.docx", "A 39180-2024")</f>
        <v/>
      </c>
    </row>
    <row r="233" ht="15" customHeight="1">
      <c r="A233" t="inlineStr">
        <is>
          <t>A 23490-2025</t>
        </is>
      </c>
      <c r="B233" s="1" t="n">
        <v>45792.46907407408</v>
      </c>
      <c r="C233" s="1" t="n">
        <v>46061</v>
      </c>
      <c r="D233" t="inlineStr">
        <is>
          <t>VÄSTERNORRLANDS LÄN</t>
        </is>
      </c>
      <c r="E233" t="inlineStr">
        <is>
          <t>ÅNGE</t>
        </is>
      </c>
      <c r="F233" t="inlineStr">
        <is>
          <t>SCA</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HYPERLINK("https://klasma.github.io/Logging_2260/artfynd/A 23490-2025 artfynd.xlsx", "A 23490-2025")</f>
        <v/>
      </c>
      <c r="T233">
        <f>HYPERLINK("https://klasma.github.io/Logging_2260/kartor/A 23490-2025 karta.png", "A 23490-2025")</f>
        <v/>
      </c>
      <c r="V233">
        <f>HYPERLINK("https://klasma.github.io/Logging_2260/klagomål/A 23490-2025 FSC-klagomål.docx", "A 23490-2025")</f>
        <v/>
      </c>
      <c r="W233">
        <f>HYPERLINK("https://klasma.github.io/Logging_2260/klagomålsmail/A 23490-2025 FSC-klagomål mail.docx", "A 23490-2025")</f>
        <v/>
      </c>
      <c r="X233">
        <f>HYPERLINK("https://klasma.github.io/Logging_2260/tillsyn/A 23490-2025 tillsynsbegäran.docx", "A 23490-2025")</f>
        <v/>
      </c>
      <c r="Y233">
        <f>HYPERLINK("https://klasma.github.io/Logging_2260/tillsynsmail/A 23490-2025 tillsynsbegäran mail.docx", "A 23490-2025")</f>
        <v/>
      </c>
    </row>
    <row r="234" ht="15" customHeight="1">
      <c r="A234" t="inlineStr">
        <is>
          <t>A 8057-2021</t>
        </is>
      </c>
      <c r="B234" s="1" t="n">
        <v>44238</v>
      </c>
      <c r="C234" s="1" t="n">
        <v>46061</v>
      </c>
      <c r="D234" t="inlineStr">
        <is>
          <t>VÄSTERNORRLANDS LÄN</t>
        </is>
      </c>
      <c r="E234" t="inlineStr">
        <is>
          <t>ÅNGE</t>
        </is>
      </c>
      <c r="G234" t="n">
        <v>1.2</v>
      </c>
      <c r="H234" t="n">
        <v>0</v>
      </c>
      <c r="I234" t="n">
        <v>0</v>
      </c>
      <c r="J234" t="n">
        <v>0</v>
      </c>
      <c r="K234" t="n">
        <v>0</v>
      </c>
      <c r="L234" t="n">
        <v>0</v>
      </c>
      <c r="M234" t="n">
        <v>0</v>
      </c>
      <c r="N234" t="n">
        <v>0</v>
      </c>
      <c r="O234" t="n">
        <v>0</v>
      </c>
      <c r="P234" t="n">
        <v>0</v>
      </c>
      <c r="Q234" t="n">
        <v>0</v>
      </c>
      <c r="R234" s="2" t="inlineStr"/>
    </row>
    <row r="235" ht="15" customHeight="1">
      <c r="A235" t="inlineStr">
        <is>
          <t>A 20354-2021</t>
        </is>
      </c>
      <c r="B235" s="1" t="n">
        <v>44312</v>
      </c>
      <c r="C235" s="1" t="n">
        <v>46061</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46061</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46061</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46061</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5381-2022</t>
        </is>
      </c>
      <c r="B239" s="1" t="n">
        <v>44594.9337037037</v>
      </c>
      <c r="C239" s="1" t="n">
        <v>46061</v>
      </c>
      <c r="D239" t="inlineStr">
        <is>
          <t>VÄSTERNORRLANDS LÄN</t>
        </is>
      </c>
      <c r="E239" t="inlineStr">
        <is>
          <t>ÅNGE</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38432-2021</t>
        </is>
      </c>
      <c r="B240" s="1" t="n">
        <v>44406</v>
      </c>
      <c r="C240" s="1" t="n">
        <v>46061</v>
      </c>
      <c r="D240" t="inlineStr">
        <is>
          <t>VÄSTERNORRLANDS LÄN</t>
        </is>
      </c>
      <c r="E240" t="inlineStr">
        <is>
          <t>ÅNGE</t>
        </is>
      </c>
      <c r="G240" t="n">
        <v>0.4</v>
      </c>
      <c r="H240" t="n">
        <v>0</v>
      </c>
      <c r="I240" t="n">
        <v>0</v>
      </c>
      <c r="J240" t="n">
        <v>0</v>
      </c>
      <c r="K240" t="n">
        <v>0</v>
      </c>
      <c r="L240" t="n">
        <v>0</v>
      </c>
      <c r="M240" t="n">
        <v>0</v>
      </c>
      <c r="N240" t="n">
        <v>0</v>
      </c>
      <c r="O240" t="n">
        <v>0</v>
      </c>
      <c r="P240" t="n">
        <v>0</v>
      </c>
      <c r="Q240" t="n">
        <v>0</v>
      </c>
      <c r="R240" s="2" t="inlineStr"/>
    </row>
    <row r="241" ht="15" customHeight="1">
      <c r="A241" t="inlineStr">
        <is>
          <t>A 48876-2021</t>
        </is>
      </c>
      <c r="B241" s="1" t="n">
        <v>44452</v>
      </c>
      <c r="C241" s="1" t="n">
        <v>46061</v>
      </c>
      <c r="D241" t="inlineStr">
        <is>
          <t>VÄSTERNORRLANDS LÄN</t>
        </is>
      </c>
      <c r="E241" t="inlineStr">
        <is>
          <t>ÅNGE</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46061</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46061</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46061</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46061</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46061</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46061</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46061</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46061</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46061</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46061</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46061</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46061</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46061</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46061</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46061</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46061</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46061</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46061</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46061</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46061</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46061</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6677-2022</t>
        </is>
      </c>
      <c r="B263" s="1" t="n">
        <v>44602.39258101852</v>
      </c>
      <c r="C263" s="1" t="n">
        <v>46061</v>
      </c>
      <c r="D263" t="inlineStr">
        <is>
          <t>VÄSTERNORRLANDS LÄN</t>
        </is>
      </c>
      <c r="E263" t="inlineStr">
        <is>
          <t>ÅNGE</t>
        </is>
      </c>
      <c r="G263" t="n">
        <v>2.7</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46061</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46061</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19970-2021</t>
        </is>
      </c>
      <c r="B266" s="1" t="n">
        <v>44313</v>
      </c>
      <c r="C266" s="1" t="n">
        <v>46061</v>
      </c>
      <c r="D266" t="inlineStr">
        <is>
          <t>VÄSTERNORRLANDS LÄN</t>
        </is>
      </c>
      <c r="E266" t="inlineStr">
        <is>
          <t>ÅNGE</t>
        </is>
      </c>
      <c r="F266" t="inlineStr">
        <is>
          <t>Holmen skog AB</t>
        </is>
      </c>
      <c r="G266" t="n">
        <v>0.4</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46061</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46061</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46061</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46061</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46061</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46061</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46061</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46061</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46061</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46061</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46061</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46061</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46061</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46061</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46061</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46061</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46061</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46061</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46061</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46061</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46061</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46061</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46061</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46061</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46061</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46061</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46061</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46061</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46061</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46061</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46061</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46061</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46061</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46061</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46061</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46061</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46061</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46061</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46061</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46061</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46061</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46061</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46061</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46061</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46061</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46061</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46061</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46061</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46061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46061</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46061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46061</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46061</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46061</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46061</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46061</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46061</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46061</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46061</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46061</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46061</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46061</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46061</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46061</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46061</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46061</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46061</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46061</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46061</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46061</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46061</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46061</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37621-2021</t>
        </is>
      </c>
      <c r="B339" s="1" t="n">
        <v>44399</v>
      </c>
      <c r="C339" s="1" t="n">
        <v>46061</v>
      </c>
      <c r="D339" t="inlineStr">
        <is>
          <t>VÄSTERNORRLANDS LÄN</t>
        </is>
      </c>
      <c r="E339" t="inlineStr">
        <is>
          <t>ÅNGE</t>
        </is>
      </c>
      <c r="G339" t="n">
        <v>2.5</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46061</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46061</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46061</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46061</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46061</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46061</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46061</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46061</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46061</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46061</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46061</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46061</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46061</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46061</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46061</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46061</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46061</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46061</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46061</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46061</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46061</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46061</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46061</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46061</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46061</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46061</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46061</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46061</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46061</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46061</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46061</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46061</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46061</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46061</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46061</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46061</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46061</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46061</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46061</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46061</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46061</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46061</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5552-2022</t>
        </is>
      </c>
      <c r="B382" s="1" t="n">
        <v>44595.62966435185</v>
      </c>
      <c r="C382" s="1" t="n">
        <v>46061</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46061</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46061</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46061</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46061</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46061</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46061</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46061</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46061</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46061</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46061</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46061</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46061</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19829-2025</t>
        </is>
      </c>
      <c r="B395" s="1" t="n">
        <v>45771.46944444445</v>
      </c>
      <c r="C395" s="1" t="n">
        <v>46061</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16362-2023</t>
        </is>
      </c>
      <c r="B396" s="1" t="n">
        <v>45028.9250462963</v>
      </c>
      <c r="C396" s="1" t="n">
        <v>46061</v>
      </c>
      <c r="D396" t="inlineStr">
        <is>
          <t>VÄSTERNORRLANDS LÄN</t>
        </is>
      </c>
      <c r="E396" t="inlineStr">
        <is>
          <t>ÅNGE</t>
        </is>
      </c>
      <c r="G396" t="n">
        <v>4.8</v>
      </c>
      <c r="H396" t="n">
        <v>0</v>
      </c>
      <c r="I396" t="n">
        <v>0</v>
      </c>
      <c r="J396" t="n">
        <v>0</v>
      </c>
      <c r="K396" t="n">
        <v>0</v>
      </c>
      <c r="L396" t="n">
        <v>0</v>
      </c>
      <c r="M396" t="n">
        <v>0</v>
      </c>
      <c r="N396" t="n">
        <v>0</v>
      </c>
      <c r="O396" t="n">
        <v>0</v>
      </c>
      <c r="P396" t="n">
        <v>0</v>
      </c>
      <c r="Q396" t="n">
        <v>0</v>
      </c>
      <c r="R396" s="2" t="inlineStr"/>
    </row>
    <row r="397" ht="15" customHeight="1">
      <c r="A397" t="inlineStr">
        <is>
          <t>A 39973-2023</t>
        </is>
      </c>
      <c r="B397" s="1" t="n">
        <v>45168.5858912037</v>
      </c>
      <c r="C397" s="1" t="n">
        <v>46061</v>
      </c>
      <c r="D397" t="inlineStr">
        <is>
          <t>VÄSTERNORRLANDS LÄN</t>
        </is>
      </c>
      <c r="E397" t="inlineStr">
        <is>
          <t>ÅNGE</t>
        </is>
      </c>
      <c r="G397" t="n">
        <v>3.6</v>
      </c>
      <c r="H397" t="n">
        <v>0</v>
      </c>
      <c r="I397" t="n">
        <v>0</v>
      </c>
      <c r="J397" t="n">
        <v>0</v>
      </c>
      <c r="K397" t="n">
        <v>0</v>
      </c>
      <c r="L397" t="n">
        <v>0</v>
      </c>
      <c r="M397" t="n">
        <v>0</v>
      </c>
      <c r="N397" t="n">
        <v>0</v>
      </c>
      <c r="O397" t="n">
        <v>0</v>
      </c>
      <c r="P397" t="n">
        <v>0</v>
      </c>
      <c r="Q397" t="n">
        <v>0</v>
      </c>
      <c r="R397" s="2" t="inlineStr"/>
    </row>
    <row r="398" ht="15" customHeight="1">
      <c r="A398" t="inlineStr">
        <is>
          <t>A 33747-2024</t>
        </is>
      </c>
      <c r="B398" s="1" t="n">
        <v>45520</v>
      </c>
      <c r="C398" s="1" t="n">
        <v>46061</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17009-2023</t>
        </is>
      </c>
      <c r="B399" s="1" t="n">
        <v>45033.9455787037</v>
      </c>
      <c r="C399" s="1" t="n">
        <v>46061</v>
      </c>
      <c r="D399" t="inlineStr">
        <is>
          <t>VÄSTERNORRLANDS LÄN</t>
        </is>
      </c>
      <c r="E399" t="inlineStr">
        <is>
          <t>ÅNGE</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46061</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24324-2022</t>
        </is>
      </c>
      <c r="B401" s="1" t="n">
        <v>44725.945</v>
      </c>
      <c r="C401" s="1" t="n">
        <v>46061</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24325-2022</t>
        </is>
      </c>
      <c r="B402" s="1" t="n">
        <v>44725.94506944445</v>
      </c>
      <c r="C402" s="1" t="n">
        <v>46061</v>
      </c>
      <c r="D402" t="inlineStr">
        <is>
          <t>VÄSTERNORRLANDS LÄN</t>
        </is>
      </c>
      <c r="E402" t="inlineStr">
        <is>
          <t>ÅNGE</t>
        </is>
      </c>
      <c r="G402" t="n">
        <v>1.6</v>
      </c>
      <c r="H402" t="n">
        <v>0</v>
      </c>
      <c r="I402" t="n">
        <v>0</v>
      </c>
      <c r="J402" t="n">
        <v>0</v>
      </c>
      <c r="K402" t="n">
        <v>0</v>
      </c>
      <c r="L402" t="n">
        <v>0</v>
      </c>
      <c r="M402" t="n">
        <v>0</v>
      </c>
      <c r="N402" t="n">
        <v>0</v>
      </c>
      <c r="O402" t="n">
        <v>0</v>
      </c>
      <c r="P402" t="n">
        <v>0</v>
      </c>
      <c r="Q402" t="n">
        <v>0</v>
      </c>
      <c r="R402" s="2" t="inlineStr"/>
    </row>
    <row r="403" ht="15" customHeight="1">
      <c r="A403" t="inlineStr">
        <is>
          <t>A 11529-2023</t>
        </is>
      </c>
      <c r="B403" s="1" t="n">
        <v>44993</v>
      </c>
      <c r="C403" s="1" t="n">
        <v>46061</v>
      </c>
      <c r="D403" t="inlineStr">
        <is>
          <t>VÄSTERNORRLANDS LÄN</t>
        </is>
      </c>
      <c r="E403" t="inlineStr">
        <is>
          <t>ÅNGE</t>
        </is>
      </c>
      <c r="G403" t="n">
        <v>8.9</v>
      </c>
      <c r="H403" t="n">
        <v>0</v>
      </c>
      <c r="I403" t="n">
        <v>0</v>
      </c>
      <c r="J403" t="n">
        <v>0</v>
      </c>
      <c r="K403" t="n">
        <v>0</v>
      </c>
      <c r="L403" t="n">
        <v>0</v>
      </c>
      <c r="M403" t="n">
        <v>0</v>
      </c>
      <c r="N403" t="n">
        <v>0</v>
      </c>
      <c r="O403" t="n">
        <v>0</v>
      </c>
      <c r="P403" t="n">
        <v>0</v>
      </c>
      <c r="Q403" t="n">
        <v>0</v>
      </c>
      <c r="R403" s="2" t="inlineStr"/>
    </row>
    <row r="404" ht="15" customHeight="1">
      <c r="A404" t="inlineStr">
        <is>
          <t>A 54946-2021</t>
        </is>
      </c>
      <c r="B404" s="1" t="n">
        <v>44474.46466435185</v>
      </c>
      <c r="C404" s="1" t="n">
        <v>46061</v>
      </c>
      <c r="D404" t="inlineStr">
        <is>
          <t>VÄSTERNORRLANDS LÄN</t>
        </is>
      </c>
      <c r="E404" t="inlineStr">
        <is>
          <t>ÅNGE</t>
        </is>
      </c>
      <c r="G404" t="n">
        <v>5.4</v>
      </c>
      <c r="H404" t="n">
        <v>0</v>
      </c>
      <c r="I404" t="n">
        <v>0</v>
      </c>
      <c r="J404" t="n">
        <v>0</v>
      </c>
      <c r="K404" t="n">
        <v>0</v>
      </c>
      <c r="L404" t="n">
        <v>0</v>
      </c>
      <c r="M404" t="n">
        <v>0</v>
      </c>
      <c r="N404" t="n">
        <v>0</v>
      </c>
      <c r="O404" t="n">
        <v>0</v>
      </c>
      <c r="P404" t="n">
        <v>0</v>
      </c>
      <c r="Q404" t="n">
        <v>0</v>
      </c>
      <c r="R404" s="2" t="inlineStr"/>
    </row>
    <row r="405" ht="15" customHeight="1">
      <c r="A405" t="inlineStr">
        <is>
          <t>A 38960-2021</t>
        </is>
      </c>
      <c r="B405" s="1" t="n">
        <v>44411</v>
      </c>
      <c r="C405" s="1" t="n">
        <v>46061</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27002-2023</t>
        </is>
      </c>
      <c r="B406" s="1" t="n">
        <v>45093</v>
      </c>
      <c r="C406" s="1" t="n">
        <v>46061</v>
      </c>
      <c r="D406" t="inlineStr">
        <is>
          <t>VÄSTERNORRLANDS LÄN</t>
        </is>
      </c>
      <c r="E406" t="inlineStr">
        <is>
          <t>ÅNGE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46061</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24231-2024</t>
        </is>
      </c>
      <c r="B408" s="1" t="n">
        <v>45457.34393518518</v>
      </c>
      <c r="C408" s="1" t="n">
        <v>46061</v>
      </c>
      <c r="D408" t="inlineStr">
        <is>
          <t>VÄSTERNORRLANDS LÄN</t>
        </is>
      </c>
      <c r="E408" t="inlineStr">
        <is>
          <t>ÅNGE</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36290-2023</t>
        </is>
      </c>
      <c r="B409" s="1" t="n">
        <v>45152.35467592593</v>
      </c>
      <c r="C409" s="1" t="n">
        <v>46061</v>
      </c>
      <c r="D409" t="inlineStr">
        <is>
          <t>VÄSTERNORRLANDS LÄN</t>
        </is>
      </c>
      <c r="E409" t="inlineStr">
        <is>
          <t>ÅNGE</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46061</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30273-2023</t>
        </is>
      </c>
      <c r="B411" s="1" t="n">
        <v>45099</v>
      </c>
      <c r="C411" s="1" t="n">
        <v>46061</v>
      </c>
      <c r="D411" t="inlineStr">
        <is>
          <t>VÄSTERNORRLANDS LÄN</t>
        </is>
      </c>
      <c r="E411" t="inlineStr">
        <is>
          <t>ÅNGE</t>
        </is>
      </c>
      <c r="G411" t="n">
        <v>3.9</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46061</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46061</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46061</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23035-2024</t>
        </is>
      </c>
      <c r="B415" s="1" t="n">
        <v>45450.39016203704</v>
      </c>
      <c r="C415" s="1" t="n">
        <v>46061</v>
      </c>
      <c r="D415" t="inlineStr">
        <is>
          <t>VÄSTERNORRLANDS LÄN</t>
        </is>
      </c>
      <c r="E415" t="inlineStr">
        <is>
          <t>ÅNGE</t>
        </is>
      </c>
      <c r="G415" t="n">
        <v>12.1</v>
      </c>
      <c r="H415" t="n">
        <v>0</v>
      </c>
      <c r="I415" t="n">
        <v>0</v>
      </c>
      <c r="J415" t="n">
        <v>0</v>
      </c>
      <c r="K415" t="n">
        <v>0</v>
      </c>
      <c r="L415" t="n">
        <v>0</v>
      </c>
      <c r="M415" t="n">
        <v>0</v>
      </c>
      <c r="N415" t="n">
        <v>0</v>
      </c>
      <c r="O415" t="n">
        <v>0</v>
      </c>
      <c r="P415" t="n">
        <v>0</v>
      </c>
      <c r="Q415" t="n">
        <v>0</v>
      </c>
      <c r="R415" s="2" t="inlineStr"/>
    </row>
    <row r="416" ht="15" customHeight="1">
      <c r="A416" t="inlineStr">
        <is>
          <t>A 34959-2023</t>
        </is>
      </c>
      <c r="B416" s="1" t="n">
        <v>45142</v>
      </c>
      <c r="C416" s="1" t="n">
        <v>46061</v>
      </c>
      <c r="D416" t="inlineStr">
        <is>
          <t>VÄSTERNORRLANDS LÄN</t>
        </is>
      </c>
      <c r="E416" t="inlineStr">
        <is>
          <t>ÅNGE</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46061</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8406-2023</t>
        </is>
      </c>
      <c r="B418" s="1" t="n">
        <v>44971</v>
      </c>
      <c r="C418" s="1" t="n">
        <v>46061</v>
      </c>
      <c r="D418" t="inlineStr">
        <is>
          <t>VÄSTERNORRLANDS LÄN</t>
        </is>
      </c>
      <c r="E418" t="inlineStr">
        <is>
          <t>ÅNGE</t>
        </is>
      </c>
      <c r="G418" t="n">
        <v>1.2</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46061</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61577-2023</t>
        </is>
      </c>
      <c r="B420" s="1" t="n">
        <v>45265.47366898148</v>
      </c>
      <c r="C420" s="1" t="n">
        <v>46061</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42857-2022</t>
        </is>
      </c>
      <c r="B421" s="1" t="n">
        <v>44832</v>
      </c>
      <c r="C421" s="1" t="n">
        <v>46061</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17670-2023</t>
        </is>
      </c>
      <c r="B422" s="1" t="n">
        <v>45036</v>
      </c>
      <c r="C422" s="1" t="n">
        <v>46061</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57109-2023</t>
        </is>
      </c>
      <c r="B423" s="1" t="n">
        <v>45239</v>
      </c>
      <c r="C423" s="1" t="n">
        <v>46061</v>
      </c>
      <c r="D423" t="inlineStr">
        <is>
          <t>VÄSTERNORRLANDS LÄN</t>
        </is>
      </c>
      <c r="E423" t="inlineStr">
        <is>
          <t>ÅNGE</t>
        </is>
      </c>
      <c r="G423" t="n">
        <v>7</v>
      </c>
      <c r="H423" t="n">
        <v>0</v>
      </c>
      <c r="I423" t="n">
        <v>0</v>
      </c>
      <c r="J423" t="n">
        <v>0</v>
      </c>
      <c r="K423" t="n">
        <v>0</v>
      </c>
      <c r="L423" t="n">
        <v>0</v>
      </c>
      <c r="M423" t="n">
        <v>0</v>
      </c>
      <c r="N423" t="n">
        <v>0</v>
      </c>
      <c r="O423" t="n">
        <v>0</v>
      </c>
      <c r="P423" t="n">
        <v>0</v>
      </c>
      <c r="Q423" t="n">
        <v>0</v>
      </c>
      <c r="R423" s="2" t="inlineStr"/>
    </row>
    <row r="424" ht="15" customHeight="1">
      <c r="A424" t="inlineStr">
        <is>
          <t>A 51024-2024</t>
        </is>
      </c>
      <c r="B424" s="1" t="n">
        <v>45603.4141087963</v>
      </c>
      <c r="C424" s="1" t="n">
        <v>46061</v>
      </c>
      <c r="D424" t="inlineStr">
        <is>
          <t>VÄSTERNORRLANDS LÄN</t>
        </is>
      </c>
      <c r="E424" t="inlineStr">
        <is>
          <t>ÅNGE</t>
        </is>
      </c>
      <c r="G424" t="n">
        <v>8.9</v>
      </c>
      <c r="H424" t="n">
        <v>0</v>
      </c>
      <c r="I424" t="n">
        <v>0</v>
      </c>
      <c r="J424" t="n">
        <v>0</v>
      </c>
      <c r="K424" t="n">
        <v>0</v>
      </c>
      <c r="L424" t="n">
        <v>0</v>
      </c>
      <c r="M424" t="n">
        <v>0</v>
      </c>
      <c r="N424" t="n">
        <v>0</v>
      </c>
      <c r="O424" t="n">
        <v>0</v>
      </c>
      <c r="P424" t="n">
        <v>0</v>
      </c>
      <c r="Q424" t="n">
        <v>0</v>
      </c>
      <c r="R424" s="2" t="inlineStr"/>
    </row>
    <row r="425" ht="15" customHeight="1">
      <c r="A425" t="inlineStr">
        <is>
          <t>A 31325-2022</t>
        </is>
      </c>
      <c r="B425" s="1" t="n">
        <v>44774.41421296296</v>
      </c>
      <c r="C425" s="1" t="n">
        <v>46061</v>
      </c>
      <c r="D425" t="inlineStr">
        <is>
          <t>VÄSTERNORRLANDS LÄN</t>
        </is>
      </c>
      <c r="E425" t="inlineStr">
        <is>
          <t>ÅNGE</t>
        </is>
      </c>
      <c r="G425" t="n">
        <v>6.3</v>
      </c>
      <c r="H425" t="n">
        <v>0</v>
      </c>
      <c r="I425" t="n">
        <v>0</v>
      </c>
      <c r="J425" t="n">
        <v>0</v>
      </c>
      <c r="K425" t="n">
        <v>0</v>
      </c>
      <c r="L425" t="n">
        <v>0</v>
      </c>
      <c r="M425" t="n">
        <v>0</v>
      </c>
      <c r="N425" t="n">
        <v>0</v>
      </c>
      <c r="O425" t="n">
        <v>0</v>
      </c>
      <c r="P425" t="n">
        <v>0</v>
      </c>
      <c r="Q425" t="n">
        <v>0</v>
      </c>
      <c r="R425" s="2" t="inlineStr"/>
    </row>
    <row r="426" ht="15" customHeight="1">
      <c r="A426" t="inlineStr">
        <is>
          <t>A 54456-2024</t>
        </is>
      </c>
      <c r="B426" s="1" t="n">
        <v>45617.53160879629</v>
      </c>
      <c r="C426" s="1" t="n">
        <v>46061</v>
      </c>
      <c r="D426" t="inlineStr">
        <is>
          <t>VÄSTERNORRLANDS LÄN</t>
        </is>
      </c>
      <c r="E426" t="inlineStr">
        <is>
          <t>ÅNGE</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6-2025</t>
        </is>
      </c>
      <c r="B427" s="1" t="n">
        <v>45658.50759259259</v>
      </c>
      <c r="C427" s="1" t="n">
        <v>46061</v>
      </c>
      <c r="D427" t="inlineStr">
        <is>
          <t>VÄSTERNORRLANDS LÄN</t>
        </is>
      </c>
      <c r="E427" t="inlineStr">
        <is>
          <t>ÅNGE</t>
        </is>
      </c>
      <c r="G427" t="n">
        <v>4.3</v>
      </c>
      <c r="H427" t="n">
        <v>0</v>
      </c>
      <c r="I427" t="n">
        <v>0</v>
      </c>
      <c r="J427" t="n">
        <v>0</v>
      </c>
      <c r="K427" t="n">
        <v>0</v>
      </c>
      <c r="L427" t="n">
        <v>0</v>
      </c>
      <c r="M427" t="n">
        <v>0</v>
      </c>
      <c r="N427" t="n">
        <v>0</v>
      </c>
      <c r="O427" t="n">
        <v>0</v>
      </c>
      <c r="P427" t="n">
        <v>0</v>
      </c>
      <c r="Q427" t="n">
        <v>0</v>
      </c>
      <c r="R427" s="2" t="inlineStr"/>
    </row>
    <row r="428" ht="15" customHeight="1">
      <c r="A428" t="inlineStr">
        <is>
          <t>A 22411-2023</t>
        </is>
      </c>
      <c r="B428" s="1" t="n">
        <v>45070</v>
      </c>
      <c r="C428" s="1" t="n">
        <v>46061</v>
      </c>
      <c r="D428" t="inlineStr">
        <is>
          <t>VÄSTERNORRLANDS LÄN</t>
        </is>
      </c>
      <c r="E428" t="inlineStr">
        <is>
          <t>ÅNGE</t>
        </is>
      </c>
      <c r="G428" t="n">
        <v>2.8</v>
      </c>
      <c r="H428" t="n">
        <v>0</v>
      </c>
      <c r="I428" t="n">
        <v>0</v>
      </c>
      <c r="J428" t="n">
        <v>0</v>
      </c>
      <c r="K428" t="n">
        <v>0</v>
      </c>
      <c r="L428" t="n">
        <v>0</v>
      </c>
      <c r="M428" t="n">
        <v>0</v>
      </c>
      <c r="N428" t="n">
        <v>0</v>
      </c>
      <c r="O428" t="n">
        <v>0</v>
      </c>
      <c r="P428" t="n">
        <v>0</v>
      </c>
      <c r="Q428" t="n">
        <v>0</v>
      </c>
      <c r="R428" s="2" t="inlineStr"/>
    </row>
    <row r="429" ht="15" customHeight="1">
      <c r="A429" t="inlineStr">
        <is>
          <t>A 24232-2024</t>
        </is>
      </c>
      <c r="B429" s="1" t="n">
        <v>45457.34686342593</v>
      </c>
      <c r="C429" s="1" t="n">
        <v>46061</v>
      </c>
      <c r="D429" t="inlineStr">
        <is>
          <t>VÄSTERNORRLANDS LÄN</t>
        </is>
      </c>
      <c r="E429" t="inlineStr">
        <is>
          <t>ÅNGE</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15778-2025</t>
        </is>
      </c>
      <c r="B430" s="1" t="n">
        <v>45748.60030092593</v>
      </c>
      <c r="C430" s="1" t="n">
        <v>46061</v>
      </c>
      <c r="D430" t="inlineStr">
        <is>
          <t>VÄSTERNORRLANDS LÄN</t>
        </is>
      </c>
      <c r="E430" t="inlineStr">
        <is>
          <t>ÅNGE</t>
        </is>
      </c>
      <c r="F430" t="inlineStr">
        <is>
          <t>SCA</t>
        </is>
      </c>
      <c r="G430" t="n">
        <v>13.6</v>
      </c>
      <c r="H430" t="n">
        <v>0</v>
      </c>
      <c r="I430" t="n">
        <v>0</v>
      </c>
      <c r="J430" t="n">
        <v>0</v>
      </c>
      <c r="K430" t="n">
        <v>0</v>
      </c>
      <c r="L430" t="n">
        <v>0</v>
      </c>
      <c r="M430" t="n">
        <v>0</v>
      </c>
      <c r="N430" t="n">
        <v>0</v>
      </c>
      <c r="O430" t="n">
        <v>0</v>
      </c>
      <c r="P430" t="n">
        <v>0</v>
      </c>
      <c r="Q430" t="n">
        <v>0</v>
      </c>
      <c r="R430" s="2" t="inlineStr"/>
    </row>
    <row r="431" ht="15" customHeight="1">
      <c r="A431" t="inlineStr">
        <is>
          <t>A 9382-2025</t>
        </is>
      </c>
      <c r="B431" s="1" t="n">
        <v>45715.34425925926</v>
      </c>
      <c r="C431" s="1" t="n">
        <v>46061</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16606-2023</t>
        </is>
      </c>
      <c r="B432" s="1" t="n">
        <v>45030.3990625</v>
      </c>
      <c r="C432" s="1" t="n">
        <v>46061</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56434-2021</t>
        </is>
      </c>
      <c r="B433" s="1" t="n">
        <v>44477</v>
      </c>
      <c r="C433" s="1" t="n">
        <v>46061</v>
      </c>
      <c r="D433" t="inlineStr">
        <is>
          <t>VÄSTERNORRLANDS LÄN</t>
        </is>
      </c>
      <c r="E433" t="inlineStr">
        <is>
          <t>ÅNGE</t>
        </is>
      </c>
      <c r="G433" t="n">
        <v>2.7</v>
      </c>
      <c r="H433" t="n">
        <v>0</v>
      </c>
      <c r="I433" t="n">
        <v>0</v>
      </c>
      <c r="J433" t="n">
        <v>0</v>
      </c>
      <c r="K433" t="n">
        <v>0</v>
      </c>
      <c r="L433" t="n">
        <v>0</v>
      </c>
      <c r="M433" t="n">
        <v>0</v>
      </c>
      <c r="N433" t="n">
        <v>0</v>
      </c>
      <c r="O433" t="n">
        <v>0</v>
      </c>
      <c r="P433" t="n">
        <v>0</v>
      </c>
      <c r="Q433" t="n">
        <v>0</v>
      </c>
      <c r="R433" s="2" t="inlineStr"/>
    </row>
    <row r="434" ht="15" customHeight="1">
      <c r="A434" t="inlineStr">
        <is>
          <t>A 60368-2024</t>
        </is>
      </c>
      <c r="B434" s="1" t="n">
        <v>45643</v>
      </c>
      <c r="C434" s="1" t="n">
        <v>46061</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46061</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18067-2025</t>
        </is>
      </c>
      <c r="B436" s="1" t="n">
        <v>45761.49016203704</v>
      </c>
      <c r="C436" s="1" t="n">
        <v>46061</v>
      </c>
      <c r="D436" t="inlineStr">
        <is>
          <t>VÄSTERNORRLANDS LÄN</t>
        </is>
      </c>
      <c r="E436" t="inlineStr">
        <is>
          <t>ÅNGE</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11396-2024</t>
        </is>
      </c>
      <c r="B437" s="1" t="n">
        <v>45372</v>
      </c>
      <c r="C437" s="1" t="n">
        <v>46061</v>
      </c>
      <c r="D437" t="inlineStr">
        <is>
          <t>VÄSTERNORRLANDS LÄN</t>
        </is>
      </c>
      <c r="E437" t="inlineStr">
        <is>
          <t>ÅNGE</t>
        </is>
      </c>
      <c r="G437" t="n">
        <v>2.2</v>
      </c>
      <c r="H437" t="n">
        <v>0</v>
      </c>
      <c r="I437" t="n">
        <v>0</v>
      </c>
      <c r="J437" t="n">
        <v>0</v>
      </c>
      <c r="K437" t="n">
        <v>0</v>
      </c>
      <c r="L437" t="n">
        <v>0</v>
      </c>
      <c r="M437" t="n">
        <v>0</v>
      </c>
      <c r="N437" t="n">
        <v>0</v>
      </c>
      <c r="O437" t="n">
        <v>0</v>
      </c>
      <c r="P437" t="n">
        <v>0</v>
      </c>
      <c r="Q437" t="n">
        <v>0</v>
      </c>
      <c r="R437" s="2" t="inlineStr"/>
    </row>
    <row r="438" ht="15" customHeight="1">
      <c r="A438" t="inlineStr">
        <is>
          <t>A 46775-2024</t>
        </is>
      </c>
      <c r="B438" s="1" t="n">
        <v>45583.49711805556</v>
      </c>
      <c r="C438" s="1" t="n">
        <v>46061</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46780-2024</t>
        </is>
      </c>
      <c r="B439" s="1" t="n">
        <v>45583.51076388889</v>
      </c>
      <c r="C439" s="1" t="n">
        <v>46061</v>
      </c>
      <c r="D439" t="inlineStr">
        <is>
          <t>VÄSTERNORRLANDS LÄN</t>
        </is>
      </c>
      <c r="E439" t="inlineStr">
        <is>
          <t>ÅNGE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29462-2024</t>
        </is>
      </c>
      <c r="B440" s="1" t="n">
        <v>45483.96979166667</v>
      </c>
      <c r="C440" s="1" t="n">
        <v>46061</v>
      </c>
      <c r="D440" t="inlineStr">
        <is>
          <t>VÄSTERNORRLANDS LÄN</t>
        </is>
      </c>
      <c r="E440" t="inlineStr">
        <is>
          <t>ÅNGE</t>
        </is>
      </c>
      <c r="F440" t="inlineStr">
        <is>
          <t>SCA</t>
        </is>
      </c>
      <c r="G440" t="n">
        <v>8.4</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46061</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46061</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34861-2024</t>
        </is>
      </c>
      <c r="B443" s="1" t="n">
        <v>45527.339375</v>
      </c>
      <c r="C443" s="1" t="n">
        <v>46061</v>
      </c>
      <c r="D443" t="inlineStr">
        <is>
          <t>VÄSTERNORRLANDS LÄN</t>
        </is>
      </c>
      <c r="E443" t="inlineStr">
        <is>
          <t>ÅNGE</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41355-2024</t>
        </is>
      </c>
      <c r="B444" s="1" t="n">
        <v>45559.69833333333</v>
      </c>
      <c r="C444" s="1" t="n">
        <v>46061</v>
      </c>
      <c r="D444" t="inlineStr">
        <is>
          <t>VÄSTERNORRLANDS LÄN</t>
        </is>
      </c>
      <c r="E444" t="inlineStr">
        <is>
          <t>ÅNGE</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55177-2024</t>
        </is>
      </c>
      <c r="B445" s="1" t="n">
        <v>45621.53179398148</v>
      </c>
      <c r="C445" s="1" t="n">
        <v>46061</v>
      </c>
      <c r="D445" t="inlineStr">
        <is>
          <t>VÄSTERNORRLANDS LÄN</t>
        </is>
      </c>
      <c r="E445" t="inlineStr">
        <is>
          <t>ÅNGE</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732-2023</t>
        </is>
      </c>
      <c r="B446" s="1" t="n">
        <v>44931.29981481482</v>
      </c>
      <c r="C446" s="1" t="n">
        <v>46061</v>
      </c>
      <c r="D446" t="inlineStr">
        <is>
          <t>VÄSTERNORRLANDS LÄN</t>
        </is>
      </c>
      <c r="E446" t="inlineStr">
        <is>
          <t>ÅNGE</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33305-2024</t>
        </is>
      </c>
      <c r="B447" s="1" t="n">
        <v>45518</v>
      </c>
      <c r="C447" s="1" t="n">
        <v>46061</v>
      </c>
      <c r="D447" t="inlineStr">
        <is>
          <t>VÄSTERNORRLANDS LÄN</t>
        </is>
      </c>
      <c r="E447" t="inlineStr">
        <is>
          <t>ÅNGE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33306-2024</t>
        </is>
      </c>
      <c r="B448" s="1" t="n">
        <v>45518</v>
      </c>
      <c r="C448" s="1" t="n">
        <v>46061</v>
      </c>
      <c r="D448" t="inlineStr">
        <is>
          <t>VÄSTERNORRLANDS LÄN</t>
        </is>
      </c>
      <c r="E448" t="inlineStr">
        <is>
          <t>ÅNGE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58943-2022</t>
        </is>
      </c>
      <c r="B449" s="1" t="n">
        <v>44903.64400462963</v>
      </c>
      <c r="C449" s="1" t="n">
        <v>46061</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46061</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61461-2023</t>
        </is>
      </c>
      <c r="B451" s="1" t="n">
        <v>45264.9261574074</v>
      </c>
      <c r="C451" s="1" t="n">
        <v>46061</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39005-2024</t>
        </is>
      </c>
      <c r="B452" s="1" t="n">
        <v>45548.42743055556</v>
      </c>
      <c r="C452" s="1" t="n">
        <v>46061</v>
      </c>
      <c r="D452" t="inlineStr">
        <is>
          <t>VÄSTERNORRLANDS LÄN</t>
        </is>
      </c>
      <c r="E452" t="inlineStr">
        <is>
          <t>ÅNGE</t>
        </is>
      </c>
      <c r="F452" t="inlineStr">
        <is>
          <t>SCA</t>
        </is>
      </c>
      <c r="G452" t="n">
        <v>2.6</v>
      </c>
      <c r="H452" t="n">
        <v>0</v>
      </c>
      <c r="I452" t="n">
        <v>0</v>
      </c>
      <c r="J452" t="n">
        <v>0</v>
      </c>
      <c r="K452" t="n">
        <v>0</v>
      </c>
      <c r="L452" t="n">
        <v>0</v>
      </c>
      <c r="M452" t="n">
        <v>0</v>
      </c>
      <c r="N452" t="n">
        <v>0</v>
      </c>
      <c r="O452" t="n">
        <v>0</v>
      </c>
      <c r="P452" t="n">
        <v>0</v>
      </c>
      <c r="Q452" t="n">
        <v>0</v>
      </c>
      <c r="R452" s="2" t="inlineStr"/>
      <c r="U452">
        <f>HYPERLINK("https://klasma.github.io/Logging_2260/knärot/A 39005-2024 karta knärot.png", "A 39005-2024")</f>
        <v/>
      </c>
      <c r="V452">
        <f>HYPERLINK("https://klasma.github.io/Logging_2260/klagomål/A 39005-2024 FSC-klagomål.docx", "A 39005-2024")</f>
        <v/>
      </c>
      <c r="W452">
        <f>HYPERLINK("https://klasma.github.io/Logging_2260/klagomålsmail/A 39005-2024 FSC-klagomål mail.docx", "A 39005-2024")</f>
        <v/>
      </c>
      <c r="X452">
        <f>HYPERLINK("https://klasma.github.io/Logging_2260/tillsyn/A 39005-2024 tillsynsbegäran.docx", "A 39005-2024")</f>
        <v/>
      </c>
      <c r="Y452">
        <f>HYPERLINK("https://klasma.github.io/Logging_2260/tillsynsmail/A 39005-2024 tillsynsbegäran mail.docx", "A 39005-2024")</f>
        <v/>
      </c>
    </row>
    <row r="453" ht="15" customHeight="1">
      <c r="A453" t="inlineStr">
        <is>
          <t>A 25903-2022</t>
        </is>
      </c>
      <c r="B453" s="1" t="n">
        <v>44733</v>
      </c>
      <c r="C453" s="1" t="n">
        <v>46061</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1103-2023</t>
        </is>
      </c>
      <c r="B454" s="1" t="n">
        <v>44929</v>
      </c>
      <c r="C454" s="1" t="n">
        <v>46061</v>
      </c>
      <c r="D454" t="inlineStr">
        <is>
          <t>VÄSTERNORRLANDS LÄN</t>
        </is>
      </c>
      <c r="E454" t="inlineStr">
        <is>
          <t>ÅNGE</t>
        </is>
      </c>
      <c r="G454" t="n">
        <v>7.3</v>
      </c>
      <c r="H454" t="n">
        <v>0</v>
      </c>
      <c r="I454" t="n">
        <v>0</v>
      </c>
      <c r="J454" t="n">
        <v>0</v>
      </c>
      <c r="K454" t="n">
        <v>0</v>
      </c>
      <c r="L454" t="n">
        <v>0</v>
      </c>
      <c r="M454" t="n">
        <v>0</v>
      </c>
      <c r="N454" t="n">
        <v>0</v>
      </c>
      <c r="O454" t="n">
        <v>0</v>
      </c>
      <c r="P454" t="n">
        <v>0</v>
      </c>
      <c r="Q454" t="n">
        <v>0</v>
      </c>
      <c r="R454" s="2" t="inlineStr"/>
    </row>
    <row r="455" ht="15" customHeight="1">
      <c r="A455" t="inlineStr">
        <is>
          <t>A 10558-2023</t>
        </is>
      </c>
      <c r="B455" s="1" t="n">
        <v>44987.94438657408</v>
      </c>
      <c r="C455" s="1" t="n">
        <v>46061</v>
      </c>
      <c r="D455" t="inlineStr">
        <is>
          <t>VÄSTERNORRLANDS LÄN</t>
        </is>
      </c>
      <c r="E455" t="inlineStr">
        <is>
          <t>ÅNGE</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57593-2022</t>
        </is>
      </c>
      <c r="B456" s="1" t="n">
        <v>44896.97847222222</v>
      </c>
      <c r="C456" s="1" t="n">
        <v>46061</v>
      </c>
      <c r="D456" t="inlineStr">
        <is>
          <t>VÄSTERNORRLANDS LÄN</t>
        </is>
      </c>
      <c r="E456" t="inlineStr">
        <is>
          <t>ÅNGE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57596-2022</t>
        </is>
      </c>
      <c r="B457" s="1" t="n">
        <v>44896.97871527778</v>
      </c>
      <c r="C457" s="1" t="n">
        <v>46061</v>
      </c>
      <c r="D457" t="inlineStr">
        <is>
          <t>VÄSTERNORRLANDS LÄN</t>
        </is>
      </c>
      <c r="E457" t="inlineStr">
        <is>
          <t>ÅNGE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57598-2022</t>
        </is>
      </c>
      <c r="B458" s="1" t="n">
        <v>44896</v>
      </c>
      <c r="C458" s="1" t="n">
        <v>46061</v>
      </c>
      <c r="D458" t="inlineStr">
        <is>
          <t>VÄSTERNORRLANDS LÄN</t>
        </is>
      </c>
      <c r="E458" t="inlineStr">
        <is>
          <t>ÅNGE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44158-2024</t>
        </is>
      </c>
      <c r="B459" s="1" t="n">
        <v>45572</v>
      </c>
      <c r="C459" s="1" t="n">
        <v>46061</v>
      </c>
      <c r="D459" t="inlineStr">
        <is>
          <t>VÄSTERNORRLANDS LÄN</t>
        </is>
      </c>
      <c r="E459" t="inlineStr">
        <is>
          <t>ÅNGE</t>
        </is>
      </c>
      <c r="G459" t="n">
        <v>2.6</v>
      </c>
      <c r="H459" t="n">
        <v>0</v>
      </c>
      <c r="I459" t="n">
        <v>0</v>
      </c>
      <c r="J459" t="n">
        <v>0</v>
      </c>
      <c r="K459" t="n">
        <v>0</v>
      </c>
      <c r="L459" t="n">
        <v>0</v>
      </c>
      <c r="M459" t="n">
        <v>0</v>
      </c>
      <c r="N459" t="n">
        <v>0</v>
      </c>
      <c r="O459" t="n">
        <v>0</v>
      </c>
      <c r="P459" t="n">
        <v>0</v>
      </c>
      <c r="Q459" t="n">
        <v>0</v>
      </c>
      <c r="R459" s="2" t="inlineStr"/>
    </row>
    <row r="460" ht="15" customHeight="1">
      <c r="A460" t="inlineStr">
        <is>
          <t>A 27951-2021</t>
        </is>
      </c>
      <c r="B460" s="1" t="n">
        <v>44354</v>
      </c>
      <c r="C460" s="1" t="n">
        <v>46061</v>
      </c>
      <c r="D460" t="inlineStr">
        <is>
          <t>VÄSTERNORRLANDS LÄN</t>
        </is>
      </c>
      <c r="E460" t="inlineStr">
        <is>
          <t>ÅNGE</t>
        </is>
      </c>
      <c r="G460" t="n">
        <v>3</v>
      </c>
      <c r="H460" t="n">
        <v>0</v>
      </c>
      <c r="I460" t="n">
        <v>0</v>
      </c>
      <c r="J460" t="n">
        <v>0</v>
      </c>
      <c r="K460" t="n">
        <v>0</v>
      </c>
      <c r="L460" t="n">
        <v>0</v>
      </c>
      <c r="M460" t="n">
        <v>0</v>
      </c>
      <c r="N460" t="n">
        <v>0</v>
      </c>
      <c r="O460" t="n">
        <v>0</v>
      </c>
      <c r="P460" t="n">
        <v>0</v>
      </c>
      <c r="Q460" t="n">
        <v>0</v>
      </c>
      <c r="R460" s="2" t="inlineStr"/>
    </row>
    <row r="461" ht="15" customHeight="1">
      <c r="A461" t="inlineStr">
        <is>
          <t>A 24458-2025</t>
        </is>
      </c>
      <c r="B461" s="1" t="n">
        <v>45798.34476851852</v>
      </c>
      <c r="C461" s="1" t="n">
        <v>46061</v>
      </c>
      <c r="D461" t="inlineStr">
        <is>
          <t>VÄSTERNORRLANDS LÄN</t>
        </is>
      </c>
      <c r="E461" t="inlineStr">
        <is>
          <t>ÅNGE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2140-2023</t>
        </is>
      </c>
      <c r="B462" s="1" t="n">
        <v>44940</v>
      </c>
      <c r="C462" s="1" t="n">
        <v>46061</v>
      </c>
      <c r="D462" t="inlineStr">
        <is>
          <t>VÄSTERNORRLANDS LÄN</t>
        </is>
      </c>
      <c r="E462" t="inlineStr">
        <is>
          <t>ÅNGE</t>
        </is>
      </c>
      <c r="G462" t="n">
        <v>2.9</v>
      </c>
      <c r="H462" t="n">
        <v>0</v>
      </c>
      <c r="I462" t="n">
        <v>0</v>
      </c>
      <c r="J462" t="n">
        <v>0</v>
      </c>
      <c r="K462" t="n">
        <v>0</v>
      </c>
      <c r="L462" t="n">
        <v>0</v>
      </c>
      <c r="M462" t="n">
        <v>0</v>
      </c>
      <c r="N462" t="n">
        <v>0</v>
      </c>
      <c r="O462" t="n">
        <v>0</v>
      </c>
      <c r="P462" t="n">
        <v>0</v>
      </c>
      <c r="Q462" t="n">
        <v>0</v>
      </c>
      <c r="R462" s="2" t="inlineStr"/>
    </row>
    <row r="463" ht="15" customHeight="1">
      <c r="A463" t="inlineStr">
        <is>
          <t>A 41829-2021</t>
        </is>
      </c>
      <c r="B463" s="1" t="n">
        <v>44425.92202546296</v>
      </c>
      <c r="C463" s="1" t="n">
        <v>46061</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24627-2025</t>
        </is>
      </c>
      <c r="B464" s="1" t="n">
        <v>45798.59471064815</v>
      </c>
      <c r="C464" s="1" t="n">
        <v>46061</v>
      </c>
      <c r="D464" t="inlineStr">
        <is>
          <t>VÄSTERNORRLANDS LÄN</t>
        </is>
      </c>
      <c r="E464" t="inlineStr">
        <is>
          <t>ÅNGE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47488-2023</t>
        </is>
      </c>
      <c r="B465" s="1" t="n">
        <v>45202.94168981481</v>
      </c>
      <c r="C465" s="1" t="n">
        <v>46061</v>
      </c>
      <c r="D465" t="inlineStr">
        <is>
          <t>VÄSTERNORRLANDS LÄN</t>
        </is>
      </c>
      <c r="E465" t="inlineStr">
        <is>
          <t>ÅNGE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34754-2024</t>
        </is>
      </c>
      <c r="B466" s="1" t="n">
        <v>45526</v>
      </c>
      <c r="C466" s="1" t="n">
        <v>46061</v>
      </c>
      <c r="D466" t="inlineStr">
        <is>
          <t>VÄSTERNORRLANDS LÄN</t>
        </is>
      </c>
      <c r="E466" t="inlineStr">
        <is>
          <t>ÅNGE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38693-2025</t>
        </is>
      </c>
      <c r="B467" s="1" t="n">
        <v>45884.69829861111</v>
      </c>
      <c r="C467" s="1" t="n">
        <v>46061</v>
      </c>
      <c r="D467" t="inlineStr">
        <is>
          <t>VÄSTERNORRLANDS LÄN</t>
        </is>
      </c>
      <c r="E467" t="inlineStr">
        <is>
          <t>ÅNGE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38703-2025</t>
        </is>
      </c>
      <c r="B468" s="1" t="n">
        <v>45885.34440972222</v>
      </c>
      <c r="C468" s="1" t="n">
        <v>46061</v>
      </c>
      <c r="D468" t="inlineStr">
        <is>
          <t>VÄSTERNORRLANDS LÄN</t>
        </is>
      </c>
      <c r="E468" t="inlineStr">
        <is>
          <t>ÅNGE</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38711-2025</t>
        </is>
      </c>
      <c r="B469" s="1" t="n">
        <v>45886.34450231482</v>
      </c>
      <c r="C469" s="1" t="n">
        <v>46061</v>
      </c>
      <c r="D469" t="inlineStr">
        <is>
          <t>VÄSTERNORRLANDS LÄN</t>
        </is>
      </c>
      <c r="E469" t="inlineStr">
        <is>
          <t>ÅNGE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38715-2025</t>
        </is>
      </c>
      <c r="B470" s="1" t="n">
        <v>45886.34501157407</v>
      </c>
      <c r="C470" s="1" t="n">
        <v>46061</v>
      </c>
      <c r="D470" t="inlineStr">
        <is>
          <t>VÄSTERNORRLANDS LÄN</t>
        </is>
      </c>
      <c r="E470" t="inlineStr">
        <is>
          <t>ÅNGE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3362-2023</t>
        </is>
      </c>
      <c r="B471" s="1" t="n">
        <v>44945</v>
      </c>
      <c r="C471" s="1" t="n">
        <v>46061</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59600-2024</t>
        </is>
      </c>
      <c r="B472" s="1" t="n">
        <v>45638.71763888889</v>
      </c>
      <c r="C472" s="1" t="n">
        <v>46061</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27853-2024</t>
        </is>
      </c>
      <c r="B473" s="1" t="n">
        <v>45475</v>
      </c>
      <c r="C473" s="1" t="n">
        <v>46061</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52685-2024</t>
        </is>
      </c>
      <c r="B474" s="1" t="n">
        <v>45610</v>
      </c>
      <c r="C474" s="1" t="n">
        <v>46061</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24847-2025</t>
        </is>
      </c>
      <c r="B475" s="1" t="n">
        <v>45799.46907407408</v>
      </c>
      <c r="C475" s="1" t="n">
        <v>46061</v>
      </c>
      <c r="D475" t="inlineStr">
        <is>
          <t>VÄSTERNORRLANDS LÄN</t>
        </is>
      </c>
      <c r="E475" t="inlineStr">
        <is>
          <t>ÅNGE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25017-2025</t>
        </is>
      </c>
      <c r="B476" s="1" t="n">
        <v>45799.63791666667</v>
      </c>
      <c r="C476" s="1" t="n">
        <v>46061</v>
      </c>
      <c r="D476" t="inlineStr">
        <is>
          <t>VÄSTERNORRLANDS LÄN</t>
        </is>
      </c>
      <c r="E476" t="inlineStr">
        <is>
          <t>ÅNGE</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36466-2024</t>
        </is>
      </c>
      <c r="B477" s="1" t="n">
        <v>45537.35872685185</v>
      </c>
      <c r="C477" s="1" t="n">
        <v>46061</v>
      </c>
      <c r="D477" t="inlineStr">
        <is>
          <t>VÄSTERNORRLANDS LÄN</t>
        </is>
      </c>
      <c r="E477" t="inlineStr">
        <is>
          <t>ÅNGE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30054-2024</t>
        </is>
      </c>
      <c r="B478" s="1" t="n">
        <v>45488.94758101852</v>
      </c>
      <c r="C478" s="1" t="n">
        <v>46061</v>
      </c>
      <c r="D478" t="inlineStr">
        <is>
          <t>VÄSTERNORRLANDS LÄN</t>
        </is>
      </c>
      <c r="E478" t="inlineStr">
        <is>
          <t>ÅNGE</t>
        </is>
      </c>
      <c r="F478" t="inlineStr">
        <is>
          <t>SCA</t>
        </is>
      </c>
      <c r="G478" t="n">
        <v>11.7</v>
      </c>
      <c r="H478" t="n">
        <v>0</v>
      </c>
      <c r="I478" t="n">
        <v>0</v>
      </c>
      <c r="J478" t="n">
        <v>0</v>
      </c>
      <c r="K478" t="n">
        <v>0</v>
      </c>
      <c r="L478" t="n">
        <v>0</v>
      </c>
      <c r="M478" t="n">
        <v>0</v>
      </c>
      <c r="N478" t="n">
        <v>0</v>
      </c>
      <c r="O478" t="n">
        <v>0</v>
      </c>
      <c r="P478" t="n">
        <v>0</v>
      </c>
      <c r="Q478" t="n">
        <v>0</v>
      </c>
      <c r="R478" s="2" t="inlineStr"/>
    </row>
    <row r="479" ht="15" customHeight="1">
      <c r="A479" t="inlineStr">
        <is>
          <t>A 54720-2024</t>
        </is>
      </c>
      <c r="B479" s="1" t="n">
        <v>45618.43715277778</v>
      </c>
      <c r="C479" s="1" t="n">
        <v>46061</v>
      </c>
      <c r="D479" t="inlineStr">
        <is>
          <t>VÄSTERNORRLANDS LÄN</t>
        </is>
      </c>
      <c r="E479" t="inlineStr">
        <is>
          <t>ÅNGE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35650-2024</t>
        </is>
      </c>
      <c r="B480" s="1" t="n">
        <v>45532.34123842593</v>
      </c>
      <c r="C480" s="1" t="n">
        <v>46061</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24852-2025</t>
        </is>
      </c>
      <c r="B481" s="1" t="n">
        <v>45799.46975694445</v>
      </c>
      <c r="C481" s="1" t="n">
        <v>46061</v>
      </c>
      <c r="D481" t="inlineStr">
        <is>
          <t>VÄSTERNORRLANDS LÄN</t>
        </is>
      </c>
      <c r="E481" t="inlineStr">
        <is>
          <t>ÅNGE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43622-2023</t>
        </is>
      </c>
      <c r="B482" s="1" t="n">
        <v>45184.70777777778</v>
      </c>
      <c r="C482" s="1" t="n">
        <v>46061</v>
      </c>
      <c r="D482" t="inlineStr">
        <is>
          <t>VÄSTERNORRLANDS LÄN</t>
        </is>
      </c>
      <c r="E482" t="inlineStr">
        <is>
          <t>ÅNGE</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19709-2025</t>
        </is>
      </c>
      <c r="B483" s="1" t="n">
        <v>45771.34263888889</v>
      </c>
      <c r="C483" s="1" t="n">
        <v>46061</v>
      </c>
      <c r="D483" t="inlineStr">
        <is>
          <t>VÄSTERNORRLANDS LÄN</t>
        </is>
      </c>
      <c r="E483" t="inlineStr">
        <is>
          <t>ÅNGE</t>
        </is>
      </c>
      <c r="G483" t="n">
        <v>3.8</v>
      </c>
      <c r="H483" t="n">
        <v>0</v>
      </c>
      <c r="I483" t="n">
        <v>0</v>
      </c>
      <c r="J483" t="n">
        <v>0</v>
      </c>
      <c r="K483" t="n">
        <v>0</v>
      </c>
      <c r="L483" t="n">
        <v>0</v>
      </c>
      <c r="M483" t="n">
        <v>0</v>
      </c>
      <c r="N483" t="n">
        <v>0</v>
      </c>
      <c r="O483" t="n">
        <v>0</v>
      </c>
      <c r="P483" t="n">
        <v>0</v>
      </c>
      <c r="Q483" t="n">
        <v>0</v>
      </c>
      <c r="R483" s="2" t="inlineStr"/>
    </row>
    <row r="484" ht="15" customHeight="1">
      <c r="A484" t="inlineStr">
        <is>
          <t>A 25067-2025</t>
        </is>
      </c>
      <c r="B484" s="1" t="n">
        <v>45799.71908564815</v>
      </c>
      <c r="C484" s="1" t="n">
        <v>46061</v>
      </c>
      <c r="D484" t="inlineStr">
        <is>
          <t>VÄSTERNORRLANDS LÄN</t>
        </is>
      </c>
      <c r="E484" t="inlineStr">
        <is>
          <t>ÅNGE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29390-2021</t>
        </is>
      </c>
      <c r="B485" s="1" t="n">
        <v>44361</v>
      </c>
      <c r="C485" s="1" t="n">
        <v>46061</v>
      </c>
      <c r="D485" t="inlineStr">
        <is>
          <t>VÄSTERNORRLANDS LÄN</t>
        </is>
      </c>
      <c r="E485" t="inlineStr">
        <is>
          <t>ÅNGE</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36877-2024</t>
        </is>
      </c>
      <c r="B486" s="1" t="n">
        <v>45538.59418981482</v>
      </c>
      <c r="C486" s="1" t="n">
        <v>46061</v>
      </c>
      <c r="D486" t="inlineStr">
        <is>
          <t>VÄSTERNORRLANDS LÄN</t>
        </is>
      </c>
      <c r="E486" t="inlineStr">
        <is>
          <t>ÅNGE</t>
        </is>
      </c>
      <c r="G486" t="n">
        <v>3.3</v>
      </c>
      <c r="H486" t="n">
        <v>0</v>
      </c>
      <c r="I486" t="n">
        <v>0</v>
      </c>
      <c r="J486" t="n">
        <v>0</v>
      </c>
      <c r="K486" t="n">
        <v>0</v>
      </c>
      <c r="L486" t="n">
        <v>0</v>
      </c>
      <c r="M486" t="n">
        <v>0</v>
      </c>
      <c r="N486" t="n">
        <v>0</v>
      </c>
      <c r="O486" t="n">
        <v>0</v>
      </c>
      <c r="P486" t="n">
        <v>0</v>
      </c>
      <c r="Q486" t="n">
        <v>0</v>
      </c>
      <c r="R486" s="2" t="inlineStr"/>
    </row>
    <row r="487" ht="15" customHeight="1">
      <c r="A487" t="inlineStr">
        <is>
          <t>A 11531-2023</t>
        </is>
      </c>
      <c r="B487" s="1" t="n">
        <v>44993.77038194444</v>
      </c>
      <c r="C487" s="1" t="n">
        <v>46061</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11532-2023</t>
        </is>
      </c>
      <c r="B488" s="1" t="n">
        <v>44993.77212962963</v>
      </c>
      <c r="C488" s="1" t="n">
        <v>46061</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25352-2025</t>
        </is>
      </c>
      <c r="B489" s="1" t="n">
        <v>45800.61552083334</v>
      </c>
      <c r="C489" s="1" t="n">
        <v>46061</v>
      </c>
      <c r="D489" t="inlineStr">
        <is>
          <t>VÄSTERNORRLANDS LÄN</t>
        </is>
      </c>
      <c r="E489" t="inlineStr">
        <is>
          <t>ÅNGE</t>
        </is>
      </c>
      <c r="F489" t="inlineStr">
        <is>
          <t>SCA</t>
        </is>
      </c>
      <c r="G489" t="n">
        <v>6.3</v>
      </c>
      <c r="H489" t="n">
        <v>0</v>
      </c>
      <c r="I489" t="n">
        <v>0</v>
      </c>
      <c r="J489" t="n">
        <v>0</v>
      </c>
      <c r="K489" t="n">
        <v>0</v>
      </c>
      <c r="L489" t="n">
        <v>0</v>
      </c>
      <c r="M489" t="n">
        <v>0</v>
      </c>
      <c r="N489" t="n">
        <v>0</v>
      </c>
      <c r="O489" t="n">
        <v>0</v>
      </c>
      <c r="P489" t="n">
        <v>0</v>
      </c>
      <c r="Q489" t="n">
        <v>0</v>
      </c>
      <c r="R489" s="2" t="inlineStr"/>
    </row>
    <row r="490" ht="15" customHeight="1">
      <c r="A490" t="inlineStr">
        <is>
          <t>A 45459-2022</t>
        </is>
      </c>
      <c r="B490" s="1" t="n">
        <v>44845</v>
      </c>
      <c r="C490" s="1" t="n">
        <v>46061</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41758-2024</t>
        </is>
      </c>
      <c r="B491" s="1" t="n">
        <v>45561.34478009259</v>
      </c>
      <c r="C491" s="1" t="n">
        <v>46061</v>
      </c>
      <c r="D491" t="inlineStr">
        <is>
          <t>VÄSTERNORRLANDS LÄN</t>
        </is>
      </c>
      <c r="E491" t="inlineStr">
        <is>
          <t>ÅNGE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9759-2024</t>
        </is>
      </c>
      <c r="B492" s="1" t="n">
        <v>45362</v>
      </c>
      <c r="C492" s="1" t="n">
        <v>46061</v>
      </c>
      <c r="D492" t="inlineStr">
        <is>
          <t>VÄSTERNORRLANDS LÄN</t>
        </is>
      </c>
      <c r="E492" t="inlineStr">
        <is>
          <t>ÅNGE</t>
        </is>
      </c>
      <c r="G492" t="n">
        <v>2.5</v>
      </c>
      <c r="H492" t="n">
        <v>0</v>
      </c>
      <c r="I492" t="n">
        <v>0</v>
      </c>
      <c r="J492" t="n">
        <v>0</v>
      </c>
      <c r="K492" t="n">
        <v>0</v>
      </c>
      <c r="L492" t="n">
        <v>0</v>
      </c>
      <c r="M492" t="n">
        <v>0</v>
      </c>
      <c r="N492" t="n">
        <v>0</v>
      </c>
      <c r="O492" t="n">
        <v>0</v>
      </c>
      <c r="P492" t="n">
        <v>0</v>
      </c>
      <c r="Q492" t="n">
        <v>0</v>
      </c>
      <c r="R492" s="2" t="inlineStr"/>
    </row>
    <row r="493" ht="15" customHeight="1">
      <c r="A493" t="inlineStr">
        <is>
          <t>A 55328-2023</t>
        </is>
      </c>
      <c r="B493" s="1" t="n">
        <v>45237</v>
      </c>
      <c r="C493" s="1" t="n">
        <v>46061</v>
      </c>
      <c r="D493" t="inlineStr">
        <is>
          <t>VÄSTERNORRLANDS LÄN</t>
        </is>
      </c>
      <c r="E493" t="inlineStr">
        <is>
          <t>ÅNGE</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53651-2023</t>
        </is>
      </c>
      <c r="B494" s="1" t="n">
        <v>45230.60815972222</v>
      </c>
      <c r="C494" s="1" t="n">
        <v>46061</v>
      </c>
      <c r="D494" t="inlineStr">
        <is>
          <t>VÄSTERNORRLANDS LÄN</t>
        </is>
      </c>
      <c r="E494" t="inlineStr">
        <is>
          <t>ÅNGE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5369-2022</t>
        </is>
      </c>
      <c r="B495" s="1" t="n">
        <v>44594.92113425926</v>
      </c>
      <c r="C495" s="1" t="n">
        <v>46061</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213-2024</t>
        </is>
      </c>
      <c r="B496" s="1" t="n">
        <v>45293</v>
      </c>
      <c r="C496" s="1" t="n">
        <v>46061</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38686-2025</t>
        </is>
      </c>
      <c r="B497" s="1" t="n">
        <v>45884.65658564815</v>
      </c>
      <c r="C497" s="1" t="n">
        <v>46061</v>
      </c>
      <c r="D497" t="inlineStr">
        <is>
          <t>VÄSTERNORRLANDS LÄN</t>
        </is>
      </c>
      <c r="E497" t="inlineStr">
        <is>
          <t>ÅNGE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25340-2025</t>
        </is>
      </c>
      <c r="B498" s="1" t="n">
        <v>45800.60074074074</v>
      </c>
      <c r="C498" s="1" t="n">
        <v>46061</v>
      </c>
      <c r="D498" t="inlineStr">
        <is>
          <t>VÄSTERNORRLANDS LÄN</t>
        </is>
      </c>
      <c r="E498" t="inlineStr">
        <is>
          <t>ÅNGE</t>
        </is>
      </c>
      <c r="G498" t="n">
        <v>2.7</v>
      </c>
      <c r="H498" t="n">
        <v>0</v>
      </c>
      <c r="I498" t="n">
        <v>0</v>
      </c>
      <c r="J498" t="n">
        <v>0</v>
      </c>
      <c r="K498" t="n">
        <v>0</v>
      </c>
      <c r="L498" t="n">
        <v>0</v>
      </c>
      <c r="M498" t="n">
        <v>0</v>
      </c>
      <c r="N498" t="n">
        <v>0</v>
      </c>
      <c r="O498" t="n">
        <v>0</v>
      </c>
      <c r="P498" t="n">
        <v>0</v>
      </c>
      <c r="Q498" t="n">
        <v>0</v>
      </c>
      <c r="R498" s="2" t="inlineStr"/>
    </row>
    <row r="499" ht="15" customHeight="1">
      <c r="A499" t="inlineStr">
        <is>
          <t>A 25532-2025</t>
        </is>
      </c>
      <c r="B499" s="1" t="n">
        <v>45803.4065162037</v>
      </c>
      <c r="C499" s="1" t="n">
        <v>46061</v>
      </c>
      <c r="D499" t="inlineStr">
        <is>
          <t>VÄSTERNORRLANDS LÄN</t>
        </is>
      </c>
      <c r="E499" t="inlineStr">
        <is>
          <t>ÅNGE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25499-2025</t>
        </is>
      </c>
      <c r="B500" s="1" t="n">
        <v>45803.344375</v>
      </c>
      <c r="C500" s="1" t="n">
        <v>46061</v>
      </c>
      <c r="D500" t="inlineStr">
        <is>
          <t>VÄSTERNORRLANDS LÄN</t>
        </is>
      </c>
      <c r="E500" t="inlineStr">
        <is>
          <t>ÅNGE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25274-2025</t>
        </is>
      </c>
      <c r="B501" s="1" t="n">
        <v>45800.55276620371</v>
      </c>
      <c r="C501" s="1" t="n">
        <v>46061</v>
      </c>
      <c r="D501" t="inlineStr">
        <is>
          <t>VÄSTERNORRLANDS LÄN</t>
        </is>
      </c>
      <c r="E501" t="inlineStr">
        <is>
          <t>ÅNGE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4872-2025</t>
        </is>
      </c>
      <c r="B502" s="1" t="n">
        <v>45688.67619212963</v>
      </c>
      <c r="C502" s="1" t="n">
        <v>46061</v>
      </c>
      <c r="D502" t="inlineStr">
        <is>
          <t>VÄSTERNORRLANDS LÄN</t>
        </is>
      </c>
      <c r="E502" t="inlineStr">
        <is>
          <t>ÅNGE</t>
        </is>
      </c>
      <c r="F502" t="inlineStr">
        <is>
          <t>SCA</t>
        </is>
      </c>
      <c r="G502" t="n">
        <v>31.3</v>
      </c>
      <c r="H502" t="n">
        <v>0</v>
      </c>
      <c r="I502" t="n">
        <v>0</v>
      </c>
      <c r="J502" t="n">
        <v>0</v>
      </c>
      <c r="K502" t="n">
        <v>0</v>
      </c>
      <c r="L502" t="n">
        <v>0</v>
      </c>
      <c r="M502" t="n">
        <v>0</v>
      </c>
      <c r="N502" t="n">
        <v>0</v>
      </c>
      <c r="O502" t="n">
        <v>0</v>
      </c>
      <c r="P502" t="n">
        <v>0</v>
      </c>
      <c r="Q502" t="n">
        <v>0</v>
      </c>
      <c r="R502" s="2" t="inlineStr"/>
      <c r="U502">
        <f>HYPERLINK("https://klasma.github.io/Logging_2260/knärot/A 4872-2025 karta knärot.png", "A 4872-2025")</f>
        <v/>
      </c>
      <c r="V502">
        <f>HYPERLINK("https://klasma.github.io/Logging_2260/klagomål/A 4872-2025 FSC-klagomål.docx", "A 4872-2025")</f>
        <v/>
      </c>
      <c r="W502">
        <f>HYPERLINK("https://klasma.github.io/Logging_2260/klagomålsmail/A 4872-2025 FSC-klagomål mail.docx", "A 4872-2025")</f>
        <v/>
      </c>
      <c r="X502">
        <f>HYPERLINK("https://klasma.github.io/Logging_2260/tillsyn/A 4872-2025 tillsynsbegäran.docx", "A 4872-2025")</f>
        <v/>
      </c>
      <c r="Y502">
        <f>HYPERLINK("https://klasma.github.io/Logging_2260/tillsynsmail/A 4872-2025 tillsynsbegäran mail.docx", "A 4872-2025")</f>
        <v/>
      </c>
    </row>
    <row r="503" ht="15" customHeight="1">
      <c r="A503" t="inlineStr">
        <is>
          <t>A 25241-2025</t>
        </is>
      </c>
      <c r="B503" s="1" t="n">
        <v>45800.49053240741</v>
      </c>
      <c r="C503" s="1" t="n">
        <v>46061</v>
      </c>
      <c r="D503" t="inlineStr">
        <is>
          <t>VÄSTERNORRLANDS LÄN</t>
        </is>
      </c>
      <c r="E503" t="inlineStr">
        <is>
          <t>ÅNGE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35426-2024</t>
        </is>
      </c>
      <c r="B504" s="1" t="n">
        <v>45531</v>
      </c>
      <c r="C504" s="1" t="n">
        <v>46061</v>
      </c>
      <c r="D504" t="inlineStr">
        <is>
          <t>VÄSTERNORRLANDS LÄN</t>
        </is>
      </c>
      <c r="E504" t="inlineStr">
        <is>
          <t>ÅNGE</t>
        </is>
      </c>
      <c r="F504" t="inlineStr">
        <is>
          <t>SCA</t>
        </is>
      </c>
      <c r="G504" t="n">
        <v>10.9</v>
      </c>
      <c r="H504" t="n">
        <v>0</v>
      </c>
      <c r="I504" t="n">
        <v>0</v>
      </c>
      <c r="J504" t="n">
        <v>0</v>
      </c>
      <c r="K504" t="n">
        <v>0</v>
      </c>
      <c r="L504" t="n">
        <v>0</v>
      </c>
      <c r="M504" t="n">
        <v>0</v>
      </c>
      <c r="N504" t="n">
        <v>0</v>
      </c>
      <c r="O504" t="n">
        <v>0</v>
      </c>
      <c r="P504" t="n">
        <v>0</v>
      </c>
      <c r="Q504" t="n">
        <v>0</v>
      </c>
      <c r="R504" s="2" t="inlineStr"/>
    </row>
    <row r="505" ht="15" customHeight="1">
      <c r="A505" t="inlineStr">
        <is>
          <t>A 35488-2024</t>
        </is>
      </c>
      <c r="B505" s="1" t="n">
        <v>45531</v>
      </c>
      <c r="C505" s="1" t="n">
        <v>46061</v>
      </c>
      <c r="D505" t="inlineStr">
        <is>
          <t>VÄSTERNORRLANDS LÄN</t>
        </is>
      </c>
      <c r="E505" t="inlineStr">
        <is>
          <t>ÅNGE</t>
        </is>
      </c>
      <c r="G505" t="n">
        <v>2.4</v>
      </c>
      <c r="H505" t="n">
        <v>0</v>
      </c>
      <c r="I505" t="n">
        <v>0</v>
      </c>
      <c r="J505" t="n">
        <v>0</v>
      </c>
      <c r="K505" t="n">
        <v>0</v>
      </c>
      <c r="L505" t="n">
        <v>0</v>
      </c>
      <c r="M505" t="n">
        <v>0</v>
      </c>
      <c r="N505" t="n">
        <v>0</v>
      </c>
      <c r="O505" t="n">
        <v>0</v>
      </c>
      <c r="P505" t="n">
        <v>0</v>
      </c>
      <c r="Q505" t="n">
        <v>0</v>
      </c>
      <c r="R505" s="2" t="inlineStr"/>
    </row>
    <row r="506" ht="15" customHeight="1">
      <c r="A506" t="inlineStr">
        <is>
          <t>A 3347-2024</t>
        </is>
      </c>
      <c r="B506" s="1" t="n">
        <v>45317</v>
      </c>
      <c r="C506" s="1" t="n">
        <v>46061</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31563-2024</t>
        </is>
      </c>
      <c r="B507" s="1" t="n">
        <v>45505</v>
      </c>
      <c r="C507" s="1" t="n">
        <v>46061</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31863-2024</t>
        </is>
      </c>
      <c r="B508" s="1" t="n">
        <v>45509.74121527778</v>
      </c>
      <c r="C508" s="1" t="n">
        <v>46061</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25273-2025</t>
        </is>
      </c>
      <c r="B509" s="1" t="n">
        <v>45800.55253472222</v>
      </c>
      <c r="C509" s="1" t="n">
        <v>46061</v>
      </c>
      <c r="D509" t="inlineStr">
        <is>
          <t>VÄSTERNORRLANDS LÄN</t>
        </is>
      </c>
      <c r="E509" t="inlineStr">
        <is>
          <t>ÅNGE</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25772-2025</t>
        </is>
      </c>
      <c r="B510" s="1" t="n">
        <v>45804.34520833333</v>
      </c>
      <c r="C510" s="1" t="n">
        <v>46061</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21262-2025</t>
        </is>
      </c>
      <c r="B511" s="1" t="n">
        <v>45779</v>
      </c>
      <c r="C511" s="1" t="n">
        <v>46061</v>
      </c>
      <c r="D511" t="inlineStr">
        <is>
          <t>VÄSTERNORRLANDS LÄN</t>
        </is>
      </c>
      <c r="E511" t="inlineStr">
        <is>
          <t>ÅNGE</t>
        </is>
      </c>
      <c r="F511" t="inlineStr">
        <is>
          <t>Sveaskog</t>
        </is>
      </c>
      <c r="G511" t="n">
        <v>9</v>
      </c>
      <c r="H511" t="n">
        <v>0</v>
      </c>
      <c r="I511" t="n">
        <v>0</v>
      </c>
      <c r="J511" t="n">
        <v>0</v>
      </c>
      <c r="K511" t="n">
        <v>0</v>
      </c>
      <c r="L511" t="n">
        <v>0</v>
      </c>
      <c r="M511" t="n">
        <v>0</v>
      </c>
      <c r="N511" t="n">
        <v>0</v>
      </c>
      <c r="O511" t="n">
        <v>0</v>
      </c>
      <c r="P511" t="n">
        <v>0</v>
      </c>
      <c r="Q511" t="n">
        <v>0</v>
      </c>
      <c r="R511" s="2" t="inlineStr"/>
    </row>
    <row r="512" ht="15" customHeight="1">
      <c r="A512" t="inlineStr">
        <is>
          <t>A 15863-2022</t>
        </is>
      </c>
      <c r="B512" s="1" t="n">
        <v>44664</v>
      </c>
      <c r="C512" s="1" t="n">
        <v>46061</v>
      </c>
      <c r="D512" t="inlineStr">
        <is>
          <t>VÄSTERNORRLANDS LÄN</t>
        </is>
      </c>
      <c r="E512" t="inlineStr">
        <is>
          <t>ÅNGE</t>
        </is>
      </c>
      <c r="G512" t="n">
        <v>3.6</v>
      </c>
      <c r="H512" t="n">
        <v>0</v>
      </c>
      <c r="I512" t="n">
        <v>0</v>
      </c>
      <c r="J512" t="n">
        <v>0</v>
      </c>
      <c r="K512" t="n">
        <v>0</v>
      </c>
      <c r="L512" t="n">
        <v>0</v>
      </c>
      <c r="M512" t="n">
        <v>0</v>
      </c>
      <c r="N512" t="n">
        <v>0</v>
      </c>
      <c r="O512" t="n">
        <v>0</v>
      </c>
      <c r="P512" t="n">
        <v>0</v>
      </c>
      <c r="Q512" t="n">
        <v>0</v>
      </c>
      <c r="R512" s="2" t="inlineStr"/>
    </row>
    <row r="513" ht="15" customHeight="1">
      <c r="A513" t="inlineStr">
        <is>
          <t>A 25810-2025</t>
        </is>
      </c>
      <c r="B513" s="1" t="n">
        <v>45804.42083333333</v>
      </c>
      <c r="C513" s="1" t="n">
        <v>46061</v>
      </c>
      <c r="D513" t="inlineStr">
        <is>
          <t>VÄSTERNORRLANDS LÄN</t>
        </is>
      </c>
      <c r="E513" t="inlineStr">
        <is>
          <t>ÅNGE</t>
        </is>
      </c>
      <c r="G513" t="n">
        <v>6.2</v>
      </c>
      <c r="H513" t="n">
        <v>0</v>
      </c>
      <c r="I513" t="n">
        <v>0</v>
      </c>
      <c r="J513" t="n">
        <v>0</v>
      </c>
      <c r="K513" t="n">
        <v>0</v>
      </c>
      <c r="L513" t="n">
        <v>0</v>
      </c>
      <c r="M513" t="n">
        <v>0</v>
      </c>
      <c r="N513" t="n">
        <v>0</v>
      </c>
      <c r="O513" t="n">
        <v>0</v>
      </c>
      <c r="P513" t="n">
        <v>0</v>
      </c>
      <c r="Q513" t="n">
        <v>0</v>
      </c>
      <c r="R513" s="2" t="inlineStr"/>
    </row>
    <row r="514" ht="15" customHeight="1">
      <c r="A514" t="inlineStr">
        <is>
          <t>A 741-2024</t>
        </is>
      </c>
      <c r="B514" s="1" t="n">
        <v>45300.46591435185</v>
      </c>
      <c r="C514" s="1" t="n">
        <v>46061</v>
      </c>
      <c r="D514" t="inlineStr">
        <is>
          <t>VÄSTERNORRLANDS LÄN</t>
        </is>
      </c>
      <c r="E514" t="inlineStr">
        <is>
          <t>ÅNGE</t>
        </is>
      </c>
      <c r="G514" t="n">
        <v>8</v>
      </c>
      <c r="H514" t="n">
        <v>0</v>
      </c>
      <c r="I514" t="n">
        <v>0</v>
      </c>
      <c r="J514" t="n">
        <v>0</v>
      </c>
      <c r="K514" t="n">
        <v>0</v>
      </c>
      <c r="L514" t="n">
        <v>0</v>
      </c>
      <c r="M514" t="n">
        <v>0</v>
      </c>
      <c r="N514" t="n">
        <v>0</v>
      </c>
      <c r="O514" t="n">
        <v>0</v>
      </c>
      <c r="P514" t="n">
        <v>0</v>
      </c>
      <c r="Q514" t="n">
        <v>0</v>
      </c>
      <c r="R514" s="2" t="inlineStr"/>
    </row>
    <row r="515" ht="15" customHeight="1">
      <c r="A515" t="inlineStr">
        <is>
          <t>A 48369-2024</t>
        </is>
      </c>
      <c r="B515" s="1" t="n">
        <v>45590.57960648148</v>
      </c>
      <c r="C515" s="1" t="n">
        <v>46061</v>
      </c>
      <c r="D515" t="inlineStr">
        <is>
          <t>VÄSTERNORRLANDS LÄN</t>
        </is>
      </c>
      <c r="E515" t="inlineStr">
        <is>
          <t>ÅNGE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16524-2025</t>
        </is>
      </c>
      <c r="B516" s="1" t="n">
        <v>45751.64310185185</v>
      </c>
      <c r="C516" s="1" t="n">
        <v>46061</v>
      </c>
      <c r="D516" t="inlineStr">
        <is>
          <t>VÄSTERNORRLANDS LÄN</t>
        </is>
      </c>
      <c r="E516" t="inlineStr">
        <is>
          <t>ÅNGE</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52683-2024</t>
        </is>
      </c>
      <c r="B517" s="1" t="n">
        <v>45610</v>
      </c>
      <c r="C517" s="1" t="n">
        <v>46061</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40790-2023</t>
        </is>
      </c>
      <c r="B518" s="1" t="n">
        <v>45170.95814814815</v>
      </c>
      <c r="C518" s="1" t="n">
        <v>46061</v>
      </c>
      <c r="D518" t="inlineStr">
        <is>
          <t>VÄSTERNORRLANDS LÄN</t>
        </is>
      </c>
      <c r="E518" t="inlineStr">
        <is>
          <t>ÅNGE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38002-2024</t>
        </is>
      </c>
      <c r="B519" s="1" t="n">
        <v>45544.61484953704</v>
      </c>
      <c r="C519" s="1" t="n">
        <v>46061</v>
      </c>
      <c r="D519" t="inlineStr">
        <is>
          <t>VÄSTERNORRLANDS LÄN</t>
        </is>
      </c>
      <c r="E519" t="inlineStr">
        <is>
          <t>ÅNGE</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26193-2025</t>
        </is>
      </c>
      <c r="B520" s="1" t="n">
        <v>45805.48922453704</v>
      </c>
      <c r="C520" s="1" t="n">
        <v>46061</v>
      </c>
      <c r="D520" t="inlineStr">
        <is>
          <t>VÄSTERNORRLANDS LÄN</t>
        </is>
      </c>
      <c r="E520" t="inlineStr">
        <is>
          <t>ÅNGE</t>
        </is>
      </c>
      <c r="G520" t="n">
        <v>2.3</v>
      </c>
      <c r="H520" t="n">
        <v>0</v>
      </c>
      <c r="I520" t="n">
        <v>0</v>
      </c>
      <c r="J520" t="n">
        <v>0</v>
      </c>
      <c r="K520" t="n">
        <v>0</v>
      </c>
      <c r="L520" t="n">
        <v>0</v>
      </c>
      <c r="M520" t="n">
        <v>0</v>
      </c>
      <c r="N520" t="n">
        <v>0</v>
      </c>
      <c r="O520" t="n">
        <v>0</v>
      </c>
      <c r="P520" t="n">
        <v>0</v>
      </c>
      <c r="Q520" t="n">
        <v>0</v>
      </c>
      <c r="R520" s="2" t="inlineStr"/>
    </row>
    <row r="521" ht="15" customHeight="1">
      <c r="A521" t="inlineStr">
        <is>
          <t>A 60514-2024</t>
        </is>
      </c>
      <c r="B521" s="1" t="n">
        <v>45643.67474537037</v>
      </c>
      <c r="C521" s="1" t="n">
        <v>46061</v>
      </c>
      <c r="D521" t="inlineStr">
        <is>
          <t>VÄSTERNORRLANDS LÄN</t>
        </is>
      </c>
      <c r="E521" t="inlineStr">
        <is>
          <t>ÅNGE</t>
        </is>
      </c>
      <c r="G521" t="n">
        <v>2.4</v>
      </c>
      <c r="H521" t="n">
        <v>0</v>
      </c>
      <c r="I521" t="n">
        <v>0</v>
      </c>
      <c r="J521" t="n">
        <v>0</v>
      </c>
      <c r="K521" t="n">
        <v>0</v>
      </c>
      <c r="L521" t="n">
        <v>0</v>
      </c>
      <c r="M521" t="n">
        <v>0</v>
      </c>
      <c r="N521" t="n">
        <v>0</v>
      </c>
      <c r="O521" t="n">
        <v>0</v>
      </c>
      <c r="P521" t="n">
        <v>0</v>
      </c>
      <c r="Q521" t="n">
        <v>0</v>
      </c>
      <c r="R521" s="2" t="inlineStr"/>
    </row>
    <row r="522" ht="15" customHeight="1">
      <c r="A522" t="inlineStr">
        <is>
          <t>A 6684-2024</t>
        </is>
      </c>
      <c r="B522" s="1" t="n">
        <v>45341.92555555556</v>
      </c>
      <c r="C522" s="1" t="n">
        <v>46061</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6691-2024</t>
        </is>
      </c>
      <c r="B523" s="1" t="n">
        <v>45341</v>
      </c>
      <c r="C523" s="1" t="n">
        <v>46061</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26365-2025</t>
        </is>
      </c>
      <c r="B524" s="1" t="n">
        <v>45806.34412037037</v>
      </c>
      <c r="C524" s="1" t="n">
        <v>46061</v>
      </c>
      <c r="D524" t="inlineStr">
        <is>
          <t>VÄSTERNORRLANDS LÄN</t>
        </is>
      </c>
      <c r="E524" t="inlineStr">
        <is>
          <t>ÅNGE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26389-2025</t>
        </is>
      </c>
      <c r="B525" s="1" t="n">
        <v>45806.51078703703</v>
      </c>
      <c r="C525" s="1" t="n">
        <v>46061</v>
      </c>
      <c r="D525" t="inlineStr">
        <is>
          <t>VÄSTERNORRLANDS LÄN</t>
        </is>
      </c>
      <c r="E525" t="inlineStr">
        <is>
          <t>ÅNGE</t>
        </is>
      </c>
      <c r="F525" t="inlineStr">
        <is>
          <t>SCA</t>
        </is>
      </c>
      <c r="G525" t="n">
        <v>11.9</v>
      </c>
      <c r="H525" t="n">
        <v>0</v>
      </c>
      <c r="I525" t="n">
        <v>0</v>
      </c>
      <c r="J525" t="n">
        <v>0</v>
      </c>
      <c r="K525" t="n">
        <v>0</v>
      </c>
      <c r="L525" t="n">
        <v>0</v>
      </c>
      <c r="M525" t="n">
        <v>0</v>
      </c>
      <c r="N525" t="n">
        <v>0</v>
      </c>
      <c r="O525" t="n">
        <v>0</v>
      </c>
      <c r="P525" t="n">
        <v>0</v>
      </c>
      <c r="Q525" t="n">
        <v>0</v>
      </c>
      <c r="R525" s="2" t="inlineStr"/>
    </row>
    <row r="526" ht="15" customHeight="1">
      <c r="A526" t="inlineStr">
        <is>
          <t>A 26388-2025</t>
        </is>
      </c>
      <c r="B526" s="1" t="n">
        <v>45806.51069444444</v>
      </c>
      <c r="C526" s="1" t="n">
        <v>46061</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26366-2025</t>
        </is>
      </c>
      <c r="B527" s="1" t="n">
        <v>45806.34424768519</v>
      </c>
      <c r="C527" s="1" t="n">
        <v>46061</v>
      </c>
      <c r="D527" t="inlineStr">
        <is>
          <t>VÄSTERNORRLANDS LÄN</t>
        </is>
      </c>
      <c r="E527" t="inlineStr">
        <is>
          <t>ÅNGE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26734-2025</t>
        </is>
      </c>
      <c r="B528" s="1" t="n">
        <v>45810.51087962963</v>
      </c>
      <c r="C528" s="1" t="n">
        <v>46061</v>
      </c>
      <c r="D528" t="inlineStr">
        <is>
          <t>VÄSTERNORRLANDS LÄN</t>
        </is>
      </c>
      <c r="E528" t="inlineStr">
        <is>
          <t>ÅNGE</t>
        </is>
      </c>
      <c r="G528" t="n">
        <v>1.5</v>
      </c>
      <c r="H528" t="n">
        <v>0</v>
      </c>
      <c r="I528" t="n">
        <v>0</v>
      </c>
      <c r="J528" t="n">
        <v>0</v>
      </c>
      <c r="K528" t="n">
        <v>0</v>
      </c>
      <c r="L528" t="n">
        <v>0</v>
      </c>
      <c r="M528" t="n">
        <v>0</v>
      </c>
      <c r="N528" t="n">
        <v>0</v>
      </c>
      <c r="O528" t="n">
        <v>0</v>
      </c>
      <c r="P528" t="n">
        <v>0</v>
      </c>
      <c r="Q528" t="n">
        <v>0</v>
      </c>
      <c r="R528" s="2" t="inlineStr"/>
    </row>
    <row r="529" ht="15" customHeight="1">
      <c r="A529" t="inlineStr">
        <is>
          <t>A 39434-2025</t>
        </is>
      </c>
      <c r="B529" s="1" t="n">
        <v>45889.67811342593</v>
      </c>
      <c r="C529" s="1" t="n">
        <v>46061</v>
      </c>
      <c r="D529" t="inlineStr">
        <is>
          <t>VÄSTERNORRLANDS LÄN</t>
        </is>
      </c>
      <c r="E529" t="inlineStr">
        <is>
          <t>ÅNGE</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39444-2025</t>
        </is>
      </c>
      <c r="B530" s="1" t="n">
        <v>45889.69826388889</v>
      </c>
      <c r="C530" s="1" t="n">
        <v>46061</v>
      </c>
      <c r="D530" t="inlineStr">
        <is>
          <t>VÄSTERNORRLANDS LÄN</t>
        </is>
      </c>
      <c r="E530" t="inlineStr">
        <is>
          <t>ÅNGE</t>
        </is>
      </c>
      <c r="F530" t="inlineStr">
        <is>
          <t>SCA</t>
        </is>
      </c>
      <c r="G530" t="n">
        <v>7.9</v>
      </c>
      <c r="H530" t="n">
        <v>0</v>
      </c>
      <c r="I530" t="n">
        <v>0</v>
      </c>
      <c r="J530" t="n">
        <v>0</v>
      </c>
      <c r="K530" t="n">
        <v>0</v>
      </c>
      <c r="L530" t="n">
        <v>0</v>
      </c>
      <c r="M530" t="n">
        <v>0</v>
      </c>
      <c r="N530" t="n">
        <v>0</v>
      </c>
      <c r="O530" t="n">
        <v>0</v>
      </c>
      <c r="P530" t="n">
        <v>0</v>
      </c>
      <c r="Q530" t="n">
        <v>0</v>
      </c>
      <c r="R530" s="2" t="inlineStr"/>
    </row>
    <row r="531" ht="15" customHeight="1">
      <c r="A531" t="inlineStr">
        <is>
          <t>A 26901-2025</t>
        </is>
      </c>
      <c r="B531" s="1" t="n">
        <v>45811.34457175926</v>
      </c>
      <c r="C531" s="1" t="n">
        <v>46061</v>
      </c>
      <c r="D531" t="inlineStr">
        <is>
          <t>VÄSTERNORRLANDS LÄN</t>
        </is>
      </c>
      <c r="E531" t="inlineStr">
        <is>
          <t>ÅNGE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56874-2024</t>
        </is>
      </c>
      <c r="B532" s="1" t="n">
        <v>45628</v>
      </c>
      <c r="C532" s="1" t="n">
        <v>46061</v>
      </c>
      <c r="D532" t="inlineStr">
        <is>
          <t>VÄSTERNORRLANDS LÄN</t>
        </is>
      </c>
      <c r="E532" t="inlineStr">
        <is>
          <t>ÅNGE</t>
        </is>
      </c>
      <c r="G532" t="n">
        <v>1.1</v>
      </c>
      <c r="H532" t="n">
        <v>0</v>
      </c>
      <c r="I532" t="n">
        <v>0</v>
      </c>
      <c r="J532" t="n">
        <v>0</v>
      </c>
      <c r="K532" t="n">
        <v>0</v>
      </c>
      <c r="L532" t="n">
        <v>0</v>
      </c>
      <c r="M532" t="n">
        <v>0</v>
      </c>
      <c r="N532" t="n">
        <v>0</v>
      </c>
      <c r="O532" t="n">
        <v>0</v>
      </c>
      <c r="P532" t="n">
        <v>0</v>
      </c>
      <c r="Q532" t="n">
        <v>0</v>
      </c>
      <c r="R532" s="2" t="inlineStr"/>
    </row>
    <row r="533" ht="15" customHeight="1">
      <c r="A533" t="inlineStr">
        <is>
          <t>A 58087-2024</t>
        </is>
      </c>
      <c r="B533" s="1" t="n">
        <v>45632.34502314815</v>
      </c>
      <c r="C533" s="1" t="n">
        <v>46061</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26655-2025</t>
        </is>
      </c>
      <c r="B534" s="1" t="n">
        <v>45810.39047453704</v>
      </c>
      <c r="C534" s="1" t="n">
        <v>46061</v>
      </c>
      <c r="D534" t="inlineStr">
        <is>
          <t>VÄSTERNORRLANDS LÄN</t>
        </is>
      </c>
      <c r="E534" t="inlineStr">
        <is>
          <t>ÅNGE</t>
        </is>
      </c>
      <c r="G534" t="n">
        <v>0.6</v>
      </c>
      <c r="H534" t="n">
        <v>0</v>
      </c>
      <c r="I534" t="n">
        <v>0</v>
      </c>
      <c r="J534" t="n">
        <v>0</v>
      </c>
      <c r="K534" t="n">
        <v>0</v>
      </c>
      <c r="L534" t="n">
        <v>0</v>
      </c>
      <c r="M534" t="n">
        <v>0</v>
      </c>
      <c r="N534" t="n">
        <v>0</v>
      </c>
      <c r="O534" t="n">
        <v>0</v>
      </c>
      <c r="P534" t="n">
        <v>0</v>
      </c>
      <c r="Q534" t="n">
        <v>0</v>
      </c>
      <c r="R534" s="2" t="inlineStr"/>
    </row>
    <row r="535" ht="15" customHeight="1">
      <c r="A535" t="inlineStr">
        <is>
          <t>A 5931-2025</t>
        </is>
      </c>
      <c r="B535" s="1" t="n">
        <v>45695.44827546296</v>
      </c>
      <c r="C535" s="1" t="n">
        <v>46061</v>
      </c>
      <c r="D535" t="inlineStr">
        <is>
          <t>VÄSTERNORRLANDS LÄN</t>
        </is>
      </c>
      <c r="E535" t="inlineStr">
        <is>
          <t>ÅNGE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21200-2024</t>
        </is>
      </c>
      <c r="B536" s="1" t="n">
        <v>45440</v>
      </c>
      <c r="C536" s="1" t="n">
        <v>46061</v>
      </c>
      <c r="D536" t="inlineStr">
        <is>
          <t>VÄSTERNORRLANDS LÄN</t>
        </is>
      </c>
      <c r="E536" t="inlineStr">
        <is>
          <t>ÅNGE</t>
        </is>
      </c>
      <c r="G536" t="n">
        <v>1.1</v>
      </c>
      <c r="H536" t="n">
        <v>0</v>
      </c>
      <c r="I536" t="n">
        <v>0</v>
      </c>
      <c r="J536" t="n">
        <v>0</v>
      </c>
      <c r="K536" t="n">
        <v>0</v>
      </c>
      <c r="L536" t="n">
        <v>0</v>
      </c>
      <c r="M536" t="n">
        <v>0</v>
      </c>
      <c r="N536" t="n">
        <v>0</v>
      </c>
      <c r="O536" t="n">
        <v>0</v>
      </c>
      <c r="P536" t="n">
        <v>0</v>
      </c>
      <c r="Q536" t="n">
        <v>0</v>
      </c>
      <c r="R536" s="2" t="inlineStr"/>
    </row>
    <row r="537" ht="15" customHeight="1">
      <c r="A537" t="inlineStr">
        <is>
          <t>A 10017-2025</t>
        </is>
      </c>
      <c r="B537" s="1" t="n">
        <v>45719.46957175926</v>
      </c>
      <c r="C537" s="1" t="n">
        <v>46061</v>
      </c>
      <c r="D537" t="inlineStr">
        <is>
          <t>VÄSTERNORRLANDS LÄN</t>
        </is>
      </c>
      <c r="E537" t="inlineStr">
        <is>
          <t>ÅNGE</t>
        </is>
      </c>
      <c r="F537" t="inlineStr">
        <is>
          <t>SCA</t>
        </is>
      </c>
      <c r="G537" t="n">
        <v>9.9</v>
      </c>
      <c r="H537" t="n">
        <v>0</v>
      </c>
      <c r="I537" t="n">
        <v>0</v>
      </c>
      <c r="J537" t="n">
        <v>0</v>
      </c>
      <c r="K537" t="n">
        <v>0</v>
      </c>
      <c r="L537" t="n">
        <v>0</v>
      </c>
      <c r="M537" t="n">
        <v>0</v>
      </c>
      <c r="N537" t="n">
        <v>0</v>
      </c>
      <c r="O537" t="n">
        <v>0</v>
      </c>
      <c r="P537" t="n">
        <v>0</v>
      </c>
      <c r="Q537" t="n">
        <v>0</v>
      </c>
      <c r="R537" s="2" t="inlineStr"/>
    </row>
    <row r="538" ht="15" customHeight="1">
      <c r="A538" t="inlineStr">
        <is>
          <t>A 26608-2025</t>
        </is>
      </c>
      <c r="B538" s="1" t="n">
        <v>45809.98600694445</v>
      </c>
      <c r="C538" s="1" t="n">
        <v>46061</v>
      </c>
      <c r="D538" t="inlineStr">
        <is>
          <t>VÄSTERNORRLANDS LÄN</t>
        </is>
      </c>
      <c r="E538" t="inlineStr">
        <is>
          <t>ÅNGE</t>
        </is>
      </c>
      <c r="G538" t="n">
        <v>4.5</v>
      </c>
      <c r="H538" t="n">
        <v>0</v>
      </c>
      <c r="I538" t="n">
        <v>0</v>
      </c>
      <c r="J538" t="n">
        <v>0</v>
      </c>
      <c r="K538" t="n">
        <v>0</v>
      </c>
      <c r="L538" t="n">
        <v>0</v>
      </c>
      <c r="M538" t="n">
        <v>0</v>
      </c>
      <c r="N538" t="n">
        <v>0</v>
      </c>
      <c r="O538" t="n">
        <v>0</v>
      </c>
      <c r="P538" t="n">
        <v>0</v>
      </c>
      <c r="Q538" t="n">
        <v>0</v>
      </c>
      <c r="R538" s="2" t="inlineStr"/>
    </row>
    <row r="539" ht="15" customHeight="1">
      <c r="A539" t="inlineStr">
        <is>
          <t>A 1127-2023</t>
        </is>
      </c>
      <c r="B539" s="1" t="n">
        <v>44929</v>
      </c>
      <c r="C539" s="1" t="n">
        <v>46061</v>
      </c>
      <c r="D539" t="inlineStr">
        <is>
          <t>VÄSTERNORRLANDS LÄN</t>
        </is>
      </c>
      <c r="E539" t="inlineStr">
        <is>
          <t>ÅNGE</t>
        </is>
      </c>
      <c r="G539" t="n">
        <v>10.5</v>
      </c>
      <c r="H539" t="n">
        <v>0</v>
      </c>
      <c r="I539" t="n">
        <v>0</v>
      </c>
      <c r="J539" t="n">
        <v>0</v>
      </c>
      <c r="K539" t="n">
        <v>0</v>
      </c>
      <c r="L539" t="n">
        <v>0</v>
      </c>
      <c r="M539" t="n">
        <v>0</v>
      </c>
      <c r="N539" t="n">
        <v>0</v>
      </c>
      <c r="O539" t="n">
        <v>0</v>
      </c>
      <c r="P539" t="n">
        <v>0</v>
      </c>
      <c r="Q539" t="n">
        <v>0</v>
      </c>
      <c r="R539" s="2" t="inlineStr"/>
    </row>
    <row r="540" ht="15" customHeight="1">
      <c r="A540" t="inlineStr">
        <is>
          <t>A 32051-2025</t>
        </is>
      </c>
      <c r="B540" s="1" t="n">
        <v>45835.44185185185</v>
      </c>
      <c r="C540" s="1" t="n">
        <v>46061</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27023-2025</t>
        </is>
      </c>
      <c r="B541" s="1" t="n">
        <v>45811.57342592593</v>
      </c>
      <c r="C541" s="1" t="n">
        <v>46061</v>
      </c>
      <c r="D541" t="inlineStr">
        <is>
          <t>VÄSTERNORRLANDS LÄN</t>
        </is>
      </c>
      <c r="E541" t="inlineStr">
        <is>
          <t>ÅNGE</t>
        </is>
      </c>
      <c r="G541" t="n">
        <v>0.3</v>
      </c>
      <c r="H541" t="n">
        <v>0</v>
      </c>
      <c r="I541" t="n">
        <v>0</v>
      </c>
      <c r="J541" t="n">
        <v>0</v>
      </c>
      <c r="K541" t="n">
        <v>0</v>
      </c>
      <c r="L541" t="n">
        <v>0</v>
      </c>
      <c r="M541" t="n">
        <v>0</v>
      </c>
      <c r="N541" t="n">
        <v>0</v>
      </c>
      <c r="O541" t="n">
        <v>0</v>
      </c>
      <c r="P541" t="n">
        <v>0</v>
      </c>
      <c r="Q541" t="n">
        <v>0</v>
      </c>
      <c r="R541" s="2" t="inlineStr"/>
    </row>
    <row r="542" ht="15" customHeight="1">
      <c r="A542" t="inlineStr">
        <is>
          <t>A 22755-2023</t>
        </is>
      </c>
      <c r="B542" s="1" t="n">
        <v>45071.94127314815</v>
      </c>
      <c r="C542" s="1" t="n">
        <v>46061</v>
      </c>
      <c r="D542" t="inlineStr">
        <is>
          <t>VÄSTERNORRLANDS LÄN</t>
        </is>
      </c>
      <c r="E542" t="inlineStr">
        <is>
          <t>ÅNGE</t>
        </is>
      </c>
      <c r="F542" t="inlineStr">
        <is>
          <t>SCA</t>
        </is>
      </c>
      <c r="G542" t="n">
        <v>12.6</v>
      </c>
      <c r="H542" t="n">
        <v>0</v>
      </c>
      <c r="I542" t="n">
        <v>0</v>
      </c>
      <c r="J542" t="n">
        <v>0</v>
      </c>
      <c r="K542" t="n">
        <v>0</v>
      </c>
      <c r="L542" t="n">
        <v>0</v>
      </c>
      <c r="M542" t="n">
        <v>0</v>
      </c>
      <c r="N542" t="n">
        <v>0</v>
      </c>
      <c r="O542" t="n">
        <v>0</v>
      </c>
      <c r="P542" t="n">
        <v>0</v>
      </c>
      <c r="Q542" t="n">
        <v>0</v>
      </c>
      <c r="R542" s="2" t="inlineStr"/>
    </row>
    <row r="543" ht="15" customHeight="1">
      <c r="A543" t="inlineStr">
        <is>
          <t>A 36790-2023</t>
        </is>
      </c>
      <c r="B543" s="1" t="n">
        <v>45154.36418981481</v>
      </c>
      <c r="C543" s="1" t="n">
        <v>46061</v>
      </c>
      <c r="D543" t="inlineStr">
        <is>
          <t>VÄSTERNORRLANDS LÄN</t>
        </is>
      </c>
      <c r="E543" t="inlineStr">
        <is>
          <t>ÅNGE</t>
        </is>
      </c>
      <c r="G543" t="n">
        <v>1.4</v>
      </c>
      <c r="H543" t="n">
        <v>0</v>
      </c>
      <c r="I543" t="n">
        <v>0</v>
      </c>
      <c r="J543" t="n">
        <v>0</v>
      </c>
      <c r="K543" t="n">
        <v>0</v>
      </c>
      <c r="L543" t="n">
        <v>0</v>
      </c>
      <c r="M543" t="n">
        <v>0</v>
      </c>
      <c r="N543" t="n">
        <v>0</v>
      </c>
      <c r="O543" t="n">
        <v>0</v>
      </c>
      <c r="P543" t="n">
        <v>0</v>
      </c>
      <c r="Q543" t="n">
        <v>0</v>
      </c>
      <c r="R543" s="2" t="inlineStr"/>
    </row>
    <row r="544" ht="15" customHeight="1">
      <c r="A544" t="inlineStr">
        <is>
          <t>A 42242-2023</t>
        </is>
      </c>
      <c r="B544" s="1" t="n">
        <v>45180.35025462963</v>
      </c>
      <c r="C544" s="1" t="n">
        <v>46061</v>
      </c>
      <c r="D544" t="inlineStr">
        <is>
          <t>VÄSTERNORRLANDS LÄN</t>
        </is>
      </c>
      <c r="E544" t="inlineStr">
        <is>
          <t>ÅNGE</t>
        </is>
      </c>
      <c r="G544" t="n">
        <v>5.7</v>
      </c>
      <c r="H544" t="n">
        <v>0</v>
      </c>
      <c r="I544" t="n">
        <v>0</v>
      </c>
      <c r="J544" t="n">
        <v>0</v>
      </c>
      <c r="K544" t="n">
        <v>0</v>
      </c>
      <c r="L544" t="n">
        <v>0</v>
      </c>
      <c r="M544" t="n">
        <v>0</v>
      </c>
      <c r="N544" t="n">
        <v>0</v>
      </c>
      <c r="O544" t="n">
        <v>0</v>
      </c>
      <c r="P544" t="n">
        <v>0</v>
      </c>
      <c r="Q544" t="n">
        <v>0</v>
      </c>
      <c r="R544" s="2" t="inlineStr"/>
    </row>
    <row r="545" ht="15" customHeight="1">
      <c r="A545" t="inlineStr">
        <is>
          <t>A 4727-2023</t>
        </is>
      </c>
      <c r="B545" s="1" t="n">
        <v>44953</v>
      </c>
      <c r="C545" s="1" t="n">
        <v>46061</v>
      </c>
      <c r="D545" t="inlineStr">
        <is>
          <t>VÄSTERNORRLANDS LÄN</t>
        </is>
      </c>
      <c r="E545" t="inlineStr">
        <is>
          <t>ÅNGE</t>
        </is>
      </c>
      <c r="G545" t="n">
        <v>0.4</v>
      </c>
      <c r="H545" t="n">
        <v>0</v>
      </c>
      <c r="I545" t="n">
        <v>0</v>
      </c>
      <c r="J545" t="n">
        <v>0</v>
      </c>
      <c r="K545" t="n">
        <v>0</v>
      </c>
      <c r="L545" t="n">
        <v>0</v>
      </c>
      <c r="M545" t="n">
        <v>0</v>
      </c>
      <c r="N545" t="n">
        <v>0</v>
      </c>
      <c r="O545" t="n">
        <v>0</v>
      </c>
      <c r="P545" t="n">
        <v>0</v>
      </c>
      <c r="Q545" t="n">
        <v>0</v>
      </c>
      <c r="R545" s="2" t="inlineStr"/>
    </row>
    <row r="546" ht="15" customHeight="1">
      <c r="A546" t="inlineStr">
        <is>
          <t>A 25973-2022</t>
        </is>
      </c>
      <c r="B546" s="1" t="n">
        <v>44734</v>
      </c>
      <c r="C546" s="1" t="n">
        <v>46061</v>
      </c>
      <c r="D546" t="inlineStr">
        <is>
          <t>VÄSTERNORRLANDS LÄN</t>
        </is>
      </c>
      <c r="E546" t="inlineStr">
        <is>
          <t>ÅNGE</t>
        </is>
      </c>
      <c r="G546" t="n">
        <v>4.1</v>
      </c>
      <c r="H546" t="n">
        <v>0</v>
      </c>
      <c r="I546" t="n">
        <v>0</v>
      </c>
      <c r="J546" t="n">
        <v>0</v>
      </c>
      <c r="K546" t="n">
        <v>0</v>
      </c>
      <c r="L546" t="n">
        <v>0</v>
      </c>
      <c r="M546" t="n">
        <v>0</v>
      </c>
      <c r="N546" t="n">
        <v>0</v>
      </c>
      <c r="O546" t="n">
        <v>0</v>
      </c>
      <c r="P546" t="n">
        <v>0</v>
      </c>
      <c r="Q546" t="n">
        <v>0</v>
      </c>
      <c r="R546" s="2" t="inlineStr"/>
    </row>
    <row r="547" ht="15" customHeight="1">
      <c r="A547" t="inlineStr">
        <is>
          <t>A 27164-2025</t>
        </is>
      </c>
      <c r="B547" s="1" t="n">
        <v>45812.34430555555</v>
      </c>
      <c r="C547" s="1" t="n">
        <v>46061</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39768-2025</t>
        </is>
      </c>
      <c r="B548" s="1" t="n">
        <v>45891.44842592593</v>
      </c>
      <c r="C548" s="1" t="n">
        <v>46061</v>
      </c>
      <c r="D548" t="inlineStr">
        <is>
          <t>VÄSTERNORRLANDS LÄN</t>
        </is>
      </c>
      <c r="E548" t="inlineStr">
        <is>
          <t>ÅNGE</t>
        </is>
      </c>
      <c r="G548" t="n">
        <v>10.4</v>
      </c>
      <c r="H548" t="n">
        <v>0</v>
      </c>
      <c r="I548" t="n">
        <v>0</v>
      </c>
      <c r="J548" t="n">
        <v>0</v>
      </c>
      <c r="K548" t="n">
        <v>0</v>
      </c>
      <c r="L548" t="n">
        <v>0</v>
      </c>
      <c r="M548" t="n">
        <v>0</v>
      </c>
      <c r="N548" t="n">
        <v>0</v>
      </c>
      <c r="O548" t="n">
        <v>0</v>
      </c>
      <c r="P548" t="n">
        <v>0</v>
      </c>
      <c r="Q548" t="n">
        <v>0</v>
      </c>
      <c r="R548" s="2" t="inlineStr"/>
    </row>
    <row r="549" ht="15" customHeight="1">
      <c r="A549" t="inlineStr">
        <is>
          <t>A 27606-2025</t>
        </is>
      </c>
      <c r="B549" s="1" t="n">
        <v>45813.53200231482</v>
      </c>
      <c r="C549" s="1" t="n">
        <v>46061</v>
      </c>
      <c r="D549" t="inlineStr">
        <is>
          <t>VÄSTERNORRLANDS LÄN</t>
        </is>
      </c>
      <c r="E549" t="inlineStr">
        <is>
          <t>ÅNGE</t>
        </is>
      </c>
      <c r="F549" t="inlineStr">
        <is>
          <t>SCA</t>
        </is>
      </c>
      <c r="G549" t="n">
        <v>6.3</v>
      </c>
      <c r="H549" t="n">
        <v>0</v>
      </c>
      <c r="I549" t="n">
        <v>0</v>
      </c>
      <c r="J549" t="n">
        <v>0</v>
      </c>
      <c r="K549" t="n">
        <v>0</v>
      </c>
      <c r="L549" t="n">
        <v>0</v>
      </c>
      <c r="M549" t="n">
        <v>0</v>
      </c>
      <c r="N549" t="n">
        <v>0</v>
      </c>
      <c r="O549" t="n">
        <v>0</v>
      </c>
      <c r="P549" t="n">
        <v>0</v>
      </c>
      <c r="Q549" t="n">
        <v>0</v>
      </c>
      <c r="R549" s="2" t="inlineStr"/>
    </row>
    <row r="550" ht="15" customHeight="1">
      <c r="A550" t="inlineStr">
        <is>
          <t>A 42881-2023</t>
        </is>
      </c>
      <c r="B550" s="1" t="n">
        <v>45182.45256944445</v>
      </c>
      <c r="C550" s="1" t="n">
        <v>46061</v>
      </c>
      <c r="D550" t="inlineStr">
        <is>
          <t>VÄSTERNORRLANDS LÄN</t>
        </is>
      </c>
      <c r="E550" t="inlineStr">
        <is>
          <t>ÅNGE</t>
        </is>
      </c>
      <c r="G550" t="n">
        <v>3.9</v>
      </c>
      <c r="H550" t="n">
        <v>0</v>
      </c>
      <c r="I550" t="n">
        <v>0</v>
      </c>
      <c r="J550" t="n">
        <v>0</v>
      </c>
      <c r="K550" t="n">
        <v>0</v>
      </c>
      <c r="L550" t="n">
        <v>0</v>
      </c>
      <c r="M550" t="n">
        <v>0</v>
      </c>
      <c r="N550" t="n">
        <v>0</v>
      </c>
      <c r="O550" t="n">
        <v>0</v>
      </c>
      <c r="P550" t="n">
        <v>0</v>
      </c>
      <c r="Q550" t="n">
        <v>0</v>
      </c>
      <c r="R550" s="2" t="inlineStr"/>
    </row>
    <row r="551" ht="15" customHeight="1">
      <c r="A551" t="inlineStr">
        <is>
          <t>A 39729-2025</t>
        </is>
      </c>
      <c r="B551" s="1" t="n">
        <v>45891</v>
      </c>
      <c r="C551" s="1" t="n">
        <v>46061</v>
      </c>
      <c r="D551" t="inlineStr">
        <is>
          <t>VÄSTERNORRLANDS LÄN</t>
        </is>
      </c>
      <c r="E551" t="inlineStr">
        <is>
          <t>ÅNGE</t>
        </is>
      </c>
      <c r="G551" t="n">
        <v>2.3</v>
      </c>
      <c r="H551" t="n">
        <v>0</v>
      </c>
      <c r="I551" t="n">
        <v>0</v>
      </c>
      <c r="J551" t="n">
        <v>0</v>
      </c>
      <c r="K551" t="n">
        <v>0</v>
      </c>
      <c r="L551" t="n">
        <v>0</v>
      </c>
      <c r="M551" t="n">
        <v>0</v>
      </c>
      <c r="N551" t="n">
        <v>0</v>
      </c>
      <c r="O551" t="n">
        <v>0</v>
      </c>
      <c r="P551" t="n">
        <v>0</v>
      </c>
      <c r="Q551" t="n">
        <v>0</v>
      </c>
      <c r="R551" s="2" t="inlineStr"/>
    </row>
    <row r="552" ht="15" customHeight="1">
      <c r="A552" t="inlineStr">
        <is>
          <t>A 33750-2024</t>
        </is>
      </c>
      <c r="B552" s="1" t="n">
        <v>45520.56475694444</v>
      </c>
      <c r="C552" s="1" t="n">
        <v>46061</v>
      </c>
      <c r="D552" t="inlineStr">
        <is>
          <t>VÄSTERNORRLANDS LÄN</t>
        </is>
      </c>
      <c r="E552" t="inlineStr">
        <is>
          <t>ÅNGE</t>
        </is>
      </c>
      <c r="G552" t="n">
        <v>1.3</v>
      </c>
      <c r="H552" t="n">
        <v>0</v>
      </c>
      <c r="I552" t="n">
        <v>0</v>
      </c>
      <c r="J552" t="n">
        <v>0</v>
      </c>
      <c r="K552" t="n">
        <v>0</v>
      </c>
      <c r="L552" t="n">
        <v>0</v>
      </c>
      <c r="M552" t="n">
        <v>0</v>
      </c>
      <c r="N552" t="n">
        <v>0</v>
      </c>
      <c r="O552" t="n">
        <v>0</v>
      </c>
      <c r="P552" t="n">
        <v>0</v>
      </c>
      <c r="Q552" t="n">
        <v>0</v>
      </c>
      <c r="R552" s="2" t="inlineStr"/>
    </row>
    <row r="553" ht="15" customHeight="1">
      <c r="A553" t="inlineStr">
        <is>
          <t>A 30474-2024</t>
        </is>
      </c>
      <c r="B553" s="1" t="n">
        <v>45491</v>
      </c>
      <c r="C553" s="1" t="n">
        <v>46061</v>
      </c>
      <c r="D553" t="inlineStr">
        <is>
          <t>VÄSTERNORRLANDS LÄN</t>
        </is>
      </c>
      <c r="E553" t="inlineStr">
        <is>
          <t>ÅNGE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30475-2024</t>
        </is>
      </c>
      <c r="B554" s="1" t="n">
        <v>45491</v>
      </c>
      <c r="C554" s="1" t="n">
        <v>46061</v>
      </c>
      <c r="D554" t="inlineStr">
        <is>
          <t>VÄSTERNORRLANDS LÄN</t>
        </is>
      </c>
      <c r="E554" t="inlineStr">
        <is>
          <t>ÅNGE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47243-2024</t>
        </is>
      </c>
      <c r="B555" s="1" t="n">
        <v>45586.6987962963</v>
      </c>
      <c r="C555" s="1" t="n">
        <v>46061</v>
      </c>
      <c r="D555" t="inlineStr">
        <is>
          <t>VÄSTERNORRLANDS LÄN</t>
        </is>
      </c>
      <c r="E555" t="inlineStr">
        <is>
          <t>ÅNGE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27639-2025</t>
        </is>
      </c>
      <c r="B556" s="1" t="n">
        <v>45813</v>
      </c>
      <c r="C556" s="1" t="n">
        <v>46061</v>
      </c>
      <c r="D556" t="inlineStr">
        <is>
          <t>VÄSTERNORRLANDS LÄN</t>
        </is>
      </c>
      <c r="E556" t="inlineStr">
        <is>
          <t>ÅNGE</t>
        </is>
      </c>
      <c r="G556" t="n">
        <v>22.9</v>
      </c>
      <c r="H556" t="n">
        <v>0</v>
      </c>
      <c r="I556" t="n">
        <v>0</v>
      </c>
      <c r="J556" t="n">
        <v>0</v>
      </c>
      <c r="K556" t="n">
        <v>0</v>
      </c>
      <c r="L556" t="n">
        <v>0</v>
      </c>
      <c r="M556" t="n">
        <v>0</v>
      </c>
      <c r="N556" t="n">
        <v>0</v>
      </c>
      <c r="O556" t="n">
        <v>0</v>
      </c>
      <c r="P556" t="n">
        <v>0</v>
      </c>
      <c r="Q556" t="n">
        <v>0</v>
      </c>
      <c r="R556" s="2" t="inlineStr"/>
    </row>
    <row r="557" ht="15" customHeight="1">
      <c r="A557" t="inlineStr">
        <is>
          <t>A 27572-2025</t>
        </is>
      </c>
      <c r="B557" s="1" t="n">
        <v>45813.49049768518</v>
      </c>
      <c r="C557" s="1" t="n">
        <v>46061</v>
      </c>
      <c r="D557" t="inlineStr">
        <is>
          <t>VÄSTERNORRLANDS LÄN</t>
        </is>
      </c>
      <c r="E557" t="inlineStr">
        <is>
          <t>ÅNGE</t>
        </is>
      </c>
      <c r="F557" t="inlineStr">
        <is>
          <t>SCA</t>
        </is>
      </c>
      <c r="G557" t="n">
        <v>14.3</v>
      </c>
      <c r="H557" t="n">
        <v>0</v>
      </c>
      <c r="I557" t="n">
        <v>0</v>
      </c>
      <c r="J557" t="n">
        <v>0</v>
      </c>
      <c r="K557" t="n">
        <v>0</v>
      </c>
      <c r="L557" t="n">
        <v>0</v>
      </c>
      <c r="M557" t="n">
        <v>0</v>
      </c>
      <c r="N557" t="n">
        <v>0</v>
      </c>
      <c r="O557" t="n">
        <v>0</v>
      </c>
      <c r="P557" t="n">
        <v>0</v>
      </c>
      <c r="Q557" t="n">
        <v>0</v>
      </c>
      <c r="R557" s="2" t="inlineStr"/>
    </row>
    <row r="558" ht="15" customHeight="1">
      <c r="A558" t="inlineStr">
        <is>
          <t>A 27165-2025</t>
        </is>
      </c>
      <c r="B558" s="1" t="n">
        <v>45812.34440972222</v>
      </c>
      <c r="C558" s="1" t="n">
        <v>46061</v>
      </c>
      <c r="D558" t="inlineStr">
        <is>
          <t>VÄSTERNORRLANDS LÄN</t>
        </is>
      </c>
      <c r="E558" t="inlineStr">
        <is>
          <t>ÅNGE</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27545-2025</t>
        </is>
      </c>
      <c r="B559" s="1" t="n">
        <v>45813.46942129629</v>
      </c>
      <c r="C559" s="1" t="n">
        <v>46061</v>
      </c>
      <c r="D559" t="inlineStr">
        <is>
          <t>VÄSTERNORRLANDS LÄN</t>
        </is>
      </c>
      <c r="E559" t="inlineStr">
        <is>
          <t>ÅNGE</t>
        </is>
      </c>
      <c r="F559" t="inlineStr">
        <is>
          <t>SCA</t>
        </is>
      </c>
      <c r="G559" t="n">
        <v>14.3</v>
      </c>
      <c r="H559" t="n">
        <v>0</v>
      </c>
      <c r="I559" t="n">
        <v>0</v>
      </c>
      <c r="J559" t="n">
        <v>0</v>
      </c>
      <c r="K559" t="n">
        <v>0</v>
      </c>
      <c r="L559" t="n">
        <v>0</v>
      </c>
      <c r="M559" t="n">
        <v>0</v>
      </c>
      <c r="N559" t="n">
        <v>0</v>
      </c>
      <c r="O559" t="n">
        <v>0</v>
      </c>
      <c r="P559" t="n">
        <v>0</v>
      </c>
      <c r="Q559" t="n">
        <v>0</v>
      </c>
      <c r="R559" s="2" t="inlineStr"/>
    </row>
    <row r="560" ht="15" customHeight="1">
      <c r="A560" t="inlineStr">
        <is>
          <t>A 42043-2024</t>
        </is>
      </c>
      <c r="B560" s="1" t="n">
        <v>45561</v>
      </c>
      <c r="C560" s="1" t="n">
        <v>46061</v>
      </c>
      <c r="D560" t="inlineStr">
        <is>
          <t>VÄSTERNORRLANDS LÄN</t>
        </is>
      </c>
      <c r="E560" t="inlineStr">
        <is>
          <t>ÅNGE</t>
        </is>
      </c>
      <c r="G560" t="n">
        <v>3.1</v>
      </c>
      <c r="H560" t="n">
        <v>0</v>
      </c>
      <c r="I560" t="n">
        <v>0</v>
      </c>
      <c r="J560" t="n">
        <v>0</v>
      </c>
      <c r="K560" t="n">
        <v>0</v>
      </c>
      <c r="L560" t="n">
        <v>0</v>
      </c>
      <c r="M560" t="n">
        <v>0</v>
      </c>
      <c r="N560" t="n">
        <v>0</v>
      </c>
      <c r="O560" t="n">
        <v>0</v>
      </c>
      <c r="P560" t="n">
        <v>0</v>
      </c>
      <c r="Q560" t="n">
        <v>0</v>
      </c>
      <c r="R560" s="2" t="inlineStr"/>
    </row>
    <row r="561" ht="15" customHeight="1">
      <c r="A561" t="inlineStr">
        <is>
          <t>A 42046-2024</t>
        </is>
      </c>
      <c r="B561" s="1" t="n">
        <v>45561.83422453704</v>
      </c>
      <c r="C561" s="1" t="n">
        <v>46061</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16450-2025</t>
        </is>
      </c>
      <c r="B562" s="1" t="n">
        <v>45751.51081018519</v>
      </c>
      <c r="C562" s="1" t="n">
        <v>46061</v>
      </c>
      <c r="D562" t="inlineStr">
        <is>
          <t>VÄSTERNORRLANDS LÄN</t>
        </is>
      </c>
      <c r="E562" t="inlineStr">
        <is>
          <t>ÅNGE</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55664-2023</t>
        </is>
      </c>
      <c r="B563" s="1" t="n">
        <v>45238.96748842593</v>
      </c>
      <c r="C563" s="1" t="n">
        <v>46061</v>
      </c>
      <c r="D563" t="inlineStr">
        <is>
          <t>VÄSTERNORRLANDS LÄN</t>
        </is>
      </c>
      <c r="E563" t="inlineStr">
        <is>
          <t>ÅNGE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57595-2022</t>
        </is>
      </c>
      <c r="B564" s="1" t="n">
        <v>44896.97862268519</v>
      </c>
      <c r="C564" s="1" t="n">
        <v>46061</v>
      </c>
      <c r="D564" t="inlineStr">
        <is>
          <t>VÄSTERNORRLANDS LÄN</t>
        </is>
      </c>
      <c r="E564" t="inlineStr">
        <is>
          <t>ÅNGE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30747-2024</t>
        </is>
      </c>
      <c r="B565" s="1" t="n">
        <v>45496</v>
      </c>
      <c r="C565" s="1" t="n">
        <v>46061</v>
      </c>
      <c r="D565" t="inlineStr">
        <is>
          <t>VÄSTERNORRLANDS LÄN</t>
        </is>
      </c>
      <c r="E565" t="inlineStr">
        <is>
          <t>ÅNGE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33720-2025</t>
        </is>
      </c>
      <c r="B566" s="1" t="n">
        <v>45841.90605324074</v>
      </c>
      <c r="C566" s="1" t="n">
        <v>46061</v>
      </c>
      <c r="D566" t="inlineStr">
        <is>
          <t>VÄSTERNORRLANDS LÄN</t>
        </is>
      </c>
      <c r="E566" t="inlineStr">
        <is>
          <t>ÅNGE</t>
        </is>
      </c>
      <c r="G566" t="n">
        <v>6.4</v>
      </c>
      <c r="H566" t="n">
        <v>0</v>
      </c>
      <c r="I566" t="n">
        <v>0</v>
      </c>
      <c r="J566" t="n">
        <v>0</v>
      </c>
      <c r="K566" t="n">
        <v>0</v>
      </c>
      <c r="L566" t="n">
        <v>0</v>
      </c>
      <c r="M566" t="n">
        <v>0</v>
      </c>
      <c r="N566" t="n">
        <v>0</v>
      </c>
      <c r="O566" t="n">
        <v>0</v>
      </c>
      <c r="P566" t="n">
        <v>0</v>
      </c>
      <c r="Q566" t="n">
        <v>0</v>
      </c>
      <c r="R566" s="2" t="inlineStr"/>
    </row>
    <row r="567" ht="15" customHeight="1">
      <c r="A567" t="inlineStr">
        <is>
          <t>A 28085-2025</t>
        </is>
      </c>
      <c r="B567" s="1" t="n">
        <v>45817.71924768519</v>
      </c>
      <c r="C567" s="1" t="n">
        <v>46061</v>
      </c>
      <c r="D567" t="inlineStr">
        <is>
          <t>VÄSTERNORRLANDS LÄN</t>
        </is>
      </c>
      <c r="E567" t="inlineStr">
        <is>
          <t>ÅNGE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58939-2021</t>
        </is>
      </c>
      <c r="B568" s="1" t="n">
        <v>44489</v>
      </c>
      <c r="C568" s="1" t="n">
        <v>46061</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28070-2025</t>
        </is>
      </c>
      <c r="B569" s="1" t="n">
        <v>45817.67739583334</v>
      </c>
      <c r="C569" s="1" t="n">
        <v>46061</v>
      </c>
      <c r="D569" t="inlineStr">
        <is>
          <t>VÄSTERNORRLANDS LÄN</t>
        </is>
      </c>
      <c r="E569" t="inlineStr">
        <is>
          <t>ÅNGE</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35578-2025</t>
        </is>
      </c>
      <c r="B570" s="1" t="n">
        <v>45856.67797453704</v>
      </c>
      <c r="C570" s="1" t="n">
        <v>46061</v>
      </c>
      <c r="D570" t="inlineStr">
        <is>
          <t>VÄSTERNORRLANDS LÄN</t>
        </is>
      </c>
      <c r="E570" t="inlineStr">
        <is>
          <t>ÅNGE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58639-2023</t>
        </is>
      </c>
      <c r="B571" s="1" t="n">
        <v>45251</v>
      </c>
      <c r="C571" s="1" t="n">
        <v>46061</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44635-2024</t>
        </is>
      </c>
      <c r="B572" s="1" t="n">
        <v>45574.51488425926</v>
      </c>
      <c r="C572" s="1" t="n">
        <v>46061</v>
      </c>
      <c r="D572" t="inlineStr">
        <is>
          <t>VÄSTERNORRLANDS LÄN</t>
        </is>
      </c>
      <c r="E572" t="inlineStr">
        <is>
          <t>ÅNGE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40818-2025</t>
        </is>
      </c>
      <c r="B573" s="1" t="n">
        <v>45897.48881944444</v>
      </c>
      <c r="C573" s="1" t="n">
        <v>46061</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40830-2025</t>
        </is>
      </c>
      <c r="B574" s="1" t="n">
        <v>45897.51079861111</v>
      </c>
      <c r="C574" s="1" t="n">
        <v>46061</v>
      </c>
      <c r="D574" t="inlineStr">
        <is>
          <t>VÄSTERNORRLANDS LÄN</t>
        </is>
      </c>
      <c r="E574" t="inlineStr">
        <is>
          <t>ÅNGE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40872-2025</t>
        </is>
      </c>
      <c r="B575" s="1" t="n">
        <v>45897.574375</v>
      </c>
      <c r="C575" s="1" t="n">
        <v>46061</v>
      </c>
      <c r="D575" t="inlineStr">
        <is>
          <t>VÄSTERNORRLANDS LÄN</t>
        </is>
      </c>
      <c r="E575" t="inlineStr">
        <is>
          <t>ÅNGE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43066-2022</t>
        </is>
      </c>
      <c r="B576" s="1" t="n">
        <v>44833</v>
      </c>
      <c r="C576" s="1" t="n">
        <v>46061</v>
      </c>
      <c r="D576" t="inlineStr">
        <is>
          <t>VÄSTERNORRLANDS LÄN</t>
        </is>
      </c>
      <c r="E576" t="inlineStr">
        <is>
          <t>ÅNGE</t>
        </is>
      </c>
      <c r="G576" t="n">
        <v>1.2</v>
      </c>
      <c r="H576" t="n">
        <v>0</v>
      </c>
      <c r="I576" t="n">
        <v>0</v>
      </c>
      <c r="J576" t="n">
        <v>0</v>
      </c>
      <c r="K576" t="n">
        <v>0</v>
      </c>
      <c r="L576" t="n">
        <v>0</v>
      </c>
      <c r="M576" t="n">
        <v>0</v>
      </c>
      <c r="N576" t="n">
        <v>0</v>
      </c>
      <c r="O576" t="n">
        <v>0</v>
      </c>
      <c r="P576" t="n">
        <v>0</v>
      </c>
      <c r="Q576" t="n">
        <v>0</v>
      </c>
      <c r="R576" s="2" t="inlineStr"/>
    </row>
    <row r="577" ht="15" customHeight="1">
      <c r="A577" t="inlineStr">
        <is>
          <t>A 40665-2025</t>
        </is>
      </c>
      <c r="B577" s="1" t="n">
        <v>45896.65663194445</v>
      </c>
      <c r="C577" s="1" t="n">
        <v>46061</v>
      </c>
      <c r="D577" t="inlineStr">
        <is>
          <t>VÄSTERNORRLANDS LÄN</t>
        </is>
      </c>
      <c r="E577" t="inlineStr">
        <is>
          <t>ÅNGE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40898-2025</t>
        </is>
      </c>
      <c r="B578" s="1" t="n">
        <v>45897.61503472222</v>
      </c>
      <c r="C578" s="1" t="n">
        <v>46061</v>
      </c>
      <c r="D578" t="inlineStr">
        <is>
          <t>VÄSTERNORRLANDS LÄN</t>
        </is>
      </c>
      <c r="E578" t="inlineStr">
        <is>
          <t>ÅNGE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40899-2025</t>
        </is>
      </c>
      <c r="B579" s="1" t="n">
        <v>45897.61528935185</v>
      </c>
      <c r="C579" s="1" t="n">
        <v>46061</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41179-2025</t>
        </is>
      </c>
      <c r="B580" s="1" t="n">
        <v>45898.55277777778</v>
      </c>
      <c r="C580" s="1" t="n">
        <v>46061</v>
      </c>
      <c r="D580" t="inlineStr">
        <is>
          <t>VÄSTERNORRLANDS LÄN</t>
        </is>
      </c>
      <c r="E580" t="inlineStr">
        <is>
          <t>ÅNGE</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41173-2025</t>
        </is>
      </c>
      <c r="B581" s="1" t="n">
        <v>45898</v>
      </c>
      <c r="C581" s="1" t="n">
        <v>46061</v>
      </c>
      <c r="D581" t="inlineStr">
        <is>
          <t>VÄSTERNORRLANDS LÄN</t>
        </is>
      </c>
      <c r="E581" t="inlineStr">
        <is>
          <t>ÅNGE</t>
        </is>
      </c>
      <c r="G581" t="n">
        <v>3.6</v>
      </c>
      <c r="H581" t="n">
        <v>0</v>
      </c>
      <c r="I581" t="n">
        <v>0</v>
      </c>
      <c r="J581" t="n">
        <v>0</v>
      </c>
      <c r="K581" t="n">
        <v>0</v>
      </c>
      <c r="L581" t="n">
        <v>0</v>
      </c>
      <c r="M581" t="n">
        <v>0</v>
      </c>
      <c r="N581" t="n">
        <v>0</v>
      </c>
      <c r="O581" t="n">
        <v>0</v>
      </c>
      <c r="P581" t="n">
        <v>0</v>
      </c>
      <c r="Q581" t="n">
        <v>0</v>
      </c>
      <c r="R581" s="2" t="inlineStr"/>
    </row>
    <row r="582" ht="15" customHeight="1">
      <c r="A582" t="inlineStr">
        <is>
          <t>A 54346-2023</t>
        </is>
      </c>
      <c r="B582" s="1" t="n">
        <v>45232.96087962963</v>
      </c>
      <c r="C582" s="1" t="n">
        <v>46061</v>
      </c>
      <c r="D582" t="inlineStr">
        <is>
          <t>VÄSTERNORRLANDS LÄN</t>
        </is>
      </c>
      <c r="E582" t="inlineStr">
        <is>
          <t>ÅNGE</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41355-2025</t>
        </is>
      </c>
      <c r="B583" s="1" t="n">
        <v>45900.34425925926</v>
      </c>
      <c r="C583" s="1" t="n">
        <v>46061</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63530-2023</t>
        </is>
      </c>
      <c r="B584" s="1" t="n">
        <v>45274</v>
      </c>
      <c r="C584" s="1" t="n">
        <v>46061</v>
      </c>
      <c r="D584" t="inlineStr">
        <is>
          <t>VÄSTERNORRLANDS LÄN</t>
        </is>
      </c>
      <c r="E584" t="inlineStr">
        <is>
          <t>ÅNGE</t>
        </is>
      </c>
      <c r="G584" t="n">
        <v>1.1</v>
      </c>
      <c r="H584" t="n">
        <v>0</v>
      </c>
      <c r="I584" t="n">
        <v>0</v>
      </c>
      <c r="J584" t="n">
        <v>0</v>
      </c>
      <c r="K584" t="n">
        <v>0</v>
      </c>
      <c r="L584" t="n">
        <v>0</v>
      </c>
      <c r="M584" t="n">
        <v>0</v>
      </c>
      <c r="N584" t="n">
        <v>0</v>
      </c>
      <c r="O584" t="n">
        <v>0</v>
      </c>
      <c r="P584" t="n">
        <v>0</v>
      </c>
      <c r="Q584" t="n">
        <v>0</v>
      </c>
      <c r="R584" s="2" t="inlineStr"/>
    </row>
    <row r="585" ht="15" customHeight="1">
      <c r="A585" t="inlineStr">
        <is>
          <t>A 3249-2024</t>
        </is>
      </c>
      <c r="B585" s="1" t="n">
        <v>45316</v>
      </c>
      <c r="C585" s="1" t="n">
        <v>46061</v>
      </c>
      <c r="D585" t="inlineStr">
        <is>
          <t>VÄSTERNORRLANDS LÄN</t>
        </is>
      </c>
      <c r="E585" t="inlineStr">
        <is>
          <t>ÅNGE</t>
        </is>
      </c>
      <c r="G585" t="n">
        <v>0.3</v>
      </c>
      <c r="H585" t="n">
        <v>0</v>
      </c>
      <c r="I585" t="n">
        <v>0</v>
      </c>
      <c r="J585" t="n">
        <v>0</v>
      </c>
      <c r="K585" t="n">
        <v>0</v>
      </c>
      <c r="L585" t="n">
        <v>0</v>
      </c>
      <c r="M585" t="n">
        <v>0</v>
      </c>
      <c r="N585" t="n">
        <v>0</v>
      </c>
      <c r="O585" t="n">
        <v>0</v>
      </c>
      <c r="P585" t="n">
        <v>0</v>
      </c>
      <c r="Q585" t="n">
        <v>0</v>
      </c>
      <c r="R585" s="2" t="inlineStr"/>
    </row>
    <row r="586" ht="15" customHeight="1">
      <c r="A586" t="inlineStr">
        <is>
          <t>A 58275-2022</t>
        </is>
      </c>
      <c r="B586" s="1" t="n">
        <v>44901.47865740741</v>
      </c>
      <c r="C586" s="1" t="n">
        <v>46061</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42948-2024</t>
        </is>
      </c>
      <c r="B587" s="1" t="n">
        <v>45567.36628472222</v>
      </c>
      <c r="C587" s="1" t="n">
        <v>46061</v>
      </c>
      <c r="D587" t="inlineStr">
        <is>
          <t>VÄSTERNORRLANDS LÄN</t>
        </is>
      </c>
      <c r="E587" t="inlineStr">
        <is>
          <t>ÅNGE</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42953-2024</t>
        </is>
      </c>
      <c r="B588" s="1" t="n">
        <v>45567</v>
      </c>
      <c r="C588" s="1" t="n">
        <v>46061</v>
      </c>
      <c r="D588" t="inlineStr">
        <is>
          <t>VÄSTERNORRLANDS LÄN</t>
        </is>
      </c>
      <c r="E588" t="inlineStr">
        <is>
          <t>ÅNGE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42968-2024</t>
        </is>
      </c>
      <c r="B589" s="1" t="n">
        <v>45567</v>
      </c>
      <c r="C589" s="1" t="n">
        <v>46061</v>
      </c>
      <c r="D589" t="inlineStr">
        <is>
          <t>VÄSTERNORRLANDS LÄN</t>
        </is>
      </c>
      <c r="E589" t="inlineStr">
        <is>
          <t>ÅNGE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28143-2025</t>
        </is>
      </c>
      <c r="B590" s="1" t="n">
        <v>45818.34546296296</v>
      </c>
      <c r="C590" s="1" t="n">
        <v>46061</v>
      </c>
      <c r="D590" t="inlineStr">
        <is>
          <t>VÄSTERNORRLANDS LÄN</t>
        </is>
      </c>
      <c r="E590" t="inlineStr">
        <is>
          <t>ÅNGE</t>
        </is>
      </c>
      <c r="F590" t="inlineStr">
        <is>
          <t>SCA</t>
        </is>
      </c>
      <c r="G590" t="n">
        <v>6.8</v>
      </c>
      <c r="H590" t="n">
        <v>0</v>
      </c>
      <c r="I590" t="n">
        <v>0</v>
      </c>
      <c r="J590" t="n">
        <v>0</v>
      </c>
      <c r="K590" t="n">
        <v>0</v>
      </c>
      <c r="L590" t="n">
        <v>0</v>
      </c>
      <c r="M590" t="n">
        <v>0</v>
      </c>
      <c r="N590" t="n">
        <v>0</v>
      </c>
      <c r="O590" t="n">
        <v>0</v>
      </c>
      <c r="P590" t="n">
        <v>0</v>
      </c>
      <c r="Q590" t="n">
        <v>0</v>
      </c>
      <c r="R590" s="2" t="inlineStr"/>
    </row>
    <row r="591" ht="15" customHeight="1">
      <c r="A591" t="inlineStr">
        <is>
          <t>A 28404-2025</t>
        </is>
      </c>
      <c r="B591" s="1" t="n">
        <v>45819.34532407407</v>
      </c>
      <c r="C591" s="1" t="n">
        <v>46061</v>
      </c>
      <c r="D591" t="inlineStr">
        <is>
          <t>VÄSTERNORRLANDS LÄN</t>
        </is>
      </c>
      <c r="E591" t="inlineStr">
        <is>
          <t>ÅNGE</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14673-2025</t>
        </is>
      </c>
      <c r="B592" s="1" t="n">
        <v>45742.55309027778</v>
      </c>
      <c r="C592" s="1" t="n">
        <v>46061</v>
      </c>
      <c r="D592" t="inlineStr">
        <is>
          <t>VÄSTERNORRLANDS LÄN</t>
        </is>
      </c>
      <c r="E592" t="inlineStr">
        <is>
          <t>ÅNGE</t>
        </is>
      </c>
      <c r="G592" t="n">
        <v>2.5</v>
      </c>
      <c r="H592" t="n">
        <v>0</v>
      </c>
      <c r="I592" t="n">
        <v>0</v>
      </c>
      <c r="J592" t="n">
        <v>0</v>
      </c>
      <c r="K592" t="n">
        <v>0</v>
      </c>
      <c r="L592" t="n">
        <v>0</v>
      </c>
      <c r="M592" t="n">
        <v>0</v>
      </c>
      <c r="N592" t="n">
        <v>0</v>
      </c>
      <c r="O592" t="n">
        <v>0</v>
      </c>
      <c r="P592" t="n">
        <v>0</v>
      </c>
      <c r="Q592" t="n">
        <v>0</v>
      </c>
      <c r="R592" s="2" t="inlineStr"/>
    </row>
    <row r="593" ht="15" customHeight="1">
      <c r="A593" t="inlineStr">
        <is>
          <t>A 16191-2023</t>
        </is>
      </c>
      <c r="B593" s="1" t="n">
        <v>45027.94111111111</v>
      </c>
      <c r="C593" s="1" t="n">
        <v>46061</v>
      </c>
      <c r="D593" t="inlineStr">
        <is>
          <t>VÄSTERNORRLANDS LÄN</t>
        </is>
      </c>
      <c r="E593" t="inlineStr">
        <is>
          <t>ÅNGE</t>
        </is>
      </c>
      <c r="F593" t="inlineStr">
        <is>
          <t>SCA</t>
        </is>
      </c>
      <c r="G593" t="n">
        <v>6.8</v>
      </c>
      <c r="H593" t="n">
        <v>0</v>
      </c>
      <c r="I593" t="n">
        <v>0</v>
      </c>
      <c r="J593" t="n">
        <v>0</v>
      </c>
      <c r="K593" t="n">
        <v>0</v>
      </c>
      <c r="L593" t="n">
        <v>0</v>
      </c>
      <c r="M593" t="n">
        <v>0</v>
      </c>
      <c r="N593" t="n">
        <v>0</v>
      </c>
      <c r="O593" t="n">
        <v>0</v>
      </c>
      <c r="P593" t="n">
        <v>0</v>
      </c>
      <c r="Q593" t="n">
        <v>0</v>
      </c>
      <c r="R593" s="2" t="inlineStr"/>
    </row>
    <row r="594" ht="15" customHeight="1">
      <c r="A594" t="inlineStr">
        <is>
          <t>A 29153-2025</t>
        </is>
      </c>
      <c r="B594" s="1" t="n">
        <v>45821.63574074074</v>
      </c>
      <c r="C594" s="1" t="n">
        <v>46061</v>
      </c>
      <c r="D594" t="inlineStr">
        <is>
          <t>VÄSTERNORRLANDS LÄN</t>
        </is>
      </c>
      <c r="E594" t="inlineStr">
        <is>
          <t>ÅNGE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28896-2025</t>
        </is>
      </c>
      <c r="B595" s="1" t="n">
        <v>45820.63584490741</v>
      </c>
      <c r="C595" s="1" t="n">
        <v>46061</v>
      </c>
      <c r="D595" t="inlineStr">
        <is>
          <t>VÄSTERNORRLANDS LÄN</t>
        </is>
      </c>
      <c r="E595" t="inlineStr">
        <is>
          <t>ÅNGE</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41872-2025</t>
        </is>
      </c>
      <c r="B596" s="1" t="n">
        <v>45903.34497685185</v>
      </c>
      <c r="C596" s="1" t="n">
        <v>46061</v>
      </c>
      <c r="D596" t="inlineStr">
        <is>
          <t>VÄSTERNORRLANDS LÄN</t>
        </is>
      </c>
      <c r="E596" t="inlineStr">
        <is>
          <t>ÅNGE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28814-2025</t>
        </is>
      </c>
      <c r="B597" s="1" t="n">
        <v>45820.52846064815</v>
      </c>
      <c r="C597" s="1" t="n">
        <v>46061</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35498-2022</t>
        </is>
      </c>
      <c r="B598" s="1" t="n">
        <v>44798.94810185185</v>
      </c>
      <c r="C598" s="1" t="n">
        <v>46061</v>
      </c>
      <c r="D598" t="inlineStr">
        <is>
          <t>VÄSTERNORRLANDS LÄN</t>
        </is>
      </c>
      <c r="E598" t="inlineStr">
        <is>
          <t>ÅNGE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41870-2025</t>
        </is>
      </c>
      <c r="B599" s="1" t="n">
        <v>45903.3446412037</v>
      </c>
      <c r="C599" s="1" t="n">
        <v>46061</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28717-2025</t>
        </is>
      </c>
      <c r="B600" s="1" t="n">
        <v>45820</v>
      </c>
      <c r="C600" s="1" t="n">
        <v>46061</v>
      </c>
      <c r="D600" t="inlineStr">
        <is>
          <t>VÄSTERNORRLANDS LÄN</t>
        </is>
      </c>
      <c r="E600" t="inlineStr">
        <is>
          <t>ÅNGE</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2299-2025</t>
        </is>
      </c>
      <c r="B601" s="1" t="n">
        <v>45673.59516203704</v>
      </c>
      <c r="C601" s="1" t="n">
        <v>46061</v>
      </c>
      <c r="D601" t="inlineStr">
        <is>
          <t>VÄSTERNORRLANDS LÄN</t>
        </is>
      </c>
      <c r="E601" t="inlineStr">
        <is>
          <t>ÅNGE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31457-2024</t>
        </is>
      </c>
      <c r="B602" s="1" t="n">
        <v>45505</v>
      </c>
      <c r="C602" s="1" t="n">
        <v>46061</v>
      </c>
      <c r="D602" t="inlineStr">
        <is>
          <t>VÄSTERNORRLANDS LÄN</t>
        </is>
      </c>
      <c r="E602" t="inlineStr">
        <is>
          <t>ÅNGE</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28819-2025</t>
        </is>
      </c>
      <c r="B603" s="1" t="n">
        <v>45820.53758101852</v>
      </c>
      <c r="C603" s="1" t="n">
        <v>46061</v>
      </c>
      <c r="D603" t="inlineStr">
        <is>
          <t>VÄSTERNORRLANDS LÄN</t>
        </is>
      </c>
      <c r="E603" t="inlineStr">
        <is>
          <t>ÅNGE</t>
        </is>
      </c>
      <c r="G603" t="n">
        <v>2.9</v>
      </c>
      <c r="H603" t="n">
        <v>0</v>
      </c>
      <c r="I603" t="n">
        <v>0</v>
      </c>
      <c r="J603" t="n">
        <v>0</v>
      </c>
      <c r="K603" t="n">
        <v>0</v>
      </c>
      <c r="L603" t="n">
        <v>0</v>
      </c>
      <c r="M603" t="n">
        <v>0</v>
      </c>
      <c r="N603" t="n">
        <v>0</v>
      </c>
      <c r="O603" t="n">
        <v>0</v>
      </c>
      <c r="P603" t="n">
        <v>0</v>
      </c>
      <c r="Q603" t="n">
        <v>0</v>
      </c>
      <c r="R603" s="2" t="inlineStr"/>
    </row>
    <row r="604" ht="15" customHeight="1">
      <c r="A604" t="inlineStr">
        <is>
          <t>A 28845-2025</t>
        </is>
      </c>
      <c r="B604" s="1" t="n">
        <v>45820.57324074074</v>
      </c>
      <c r="C604" s="1" t="n">
        <v>46061</v>
      </c>
      <c r="D604" t="inlineStr">
        <is>
          <t>VÄSTERNORRLANDS LÄN</t>
        </is>
      </c>
      <c r="E604" t="inlineStr">
        <is>
          <t>ÅNGE</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5035-2025</t>
        </is>
      </c>
      <c r="B605" s="1" t="n">
        <v>45691</v>
      </c>
      <c r="C605" s="1" t="n">
        <v>46061</v>
      </c>
      <c r="D605" t="inlineStr">
        <is>
          <t>VÄSTERNORRLANDS LÄN</t>
        </is>
      </c>
      <c r="E605" t="inlineStr">
        <is>
          <t>ÅNGE</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54771-2023</t>
        </is>
      </c>
      <c r="B606" s="1" t="n">
        <v>45229</v>
      </c>
      <c r="C606" s="1" t="n">
        <v>46061</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21456-2025</t>
        </is>
      </c>
      <c r="B607" s="1" t="n">
        <v>45782.55342592593</v>
      </c>
      <c r="C607" s="1" t="n">
        <v>46061</v>
      </c>
      <c r="D607" t="inlineStr">
        <is>
          <t>VÄSTERNORRLANDS LÄN</t>
        </is>
      </c>
      <c r="E607" t="inlineStr">
        <is>
          <t>ÅNGE</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42589-2025</t>
        </is>
      </c>
      <c r="B608" s="1" t="n">
        <v>45905.63585648148</v>
      </c>
      <c r="C608" s="1" t="n">
        <v>46061</v>
      </c>
      <c r="D608" t="inlineStr">
        <is>
          <t>VÄSTERNORRLANDS LÄN</t>
        </is>
      </c>
      <c r="E608" t="inlineStr">
        <is>
          <t>ÅNGE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46061</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26011-2024</t>
        </is>
      </c>
      <c r="B610" s="1" t="n">
        <v>45467.95828703704</v>
      </c>
      <c r="C610" s="1" t="n">
        <v>46061</v>
      </c>
      <c r="D610" t="inlineStr">
        <is>
          <t>VÄSTERNORRLANDS LÄN</t>
        </is>
      </c>
      <c r="E610" t="inlineStr">
        <is>
          <t>ÅNGE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26014-2024</t>
        </is>
      </c>
      <c r="B611" s="1" t="n">
        <v>45467.95862268518</v>
      </c>
      <c r="C611" s="1" t="n">
        <v>46061</v>
      </c>
      <c r="D611" t="inlineStr">
        <is>
          <t>VÄSTERNORRLANDS LÄN</t>
        </is>
      </c>
      <c r="E611" t="inlineStr">
        <is>
          <t>ÅNGE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3629-2023</t>
        </is>
      </c>
      <c r="B612" s="1" t="n">
        <v>44950</v>
      </c>
      <c r="C612" s="1" t="n">
        <v>46061</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3631-2023</t>
        </is>
      </c>
      <c r="B613" s="1" t="n">
        <v>44950</v>
      </c>
      <c r="C613" s="1" t="n">
        <v>46061</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29786-2025</t>
        </is>
      </c>
      <c r="B614" s="1" t="n">
        <v>45825.65663194445</v>
      </c>
      <c r="C614" s="1" t="n">
        <v>46061</v>
      </c>
      <c r="D614" t="inlineStr">
        <is>
          <t>VÄSTERNORRLANDS LÄN</t>
        </is>
      </c>
      <c r="E614" t="inlineStr">
        <is>
          <t>ÅNGE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17703-2025</t>
        </is>
      </c>
      <c r="B615" s="1" t="n">
        <v>45758.4275462963</v>
      </c>
      <c r="C615" s="1" t="n">
        <v>46061</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28779-2023</t>
        </is>
      </c>
      <c r="B616" s="1" t="n">
        <v>45104.34314814815</v>
      </c>
      <c r="C616" s="1" t="n">
        <v>46061</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29350-2025</t>
        </is>
      </c>
      <c r="B617" s="1" t="n">
        <v>45824.53206018519</v>
      </c>
      <c r="C617" s="1" t="n">
        <v>46061</v>
      </c>
      <c r="D617" t="inlineStr">
        <is>
          <t>VÄSTERNORRLANDS LÄN</t>
        </is>
      </c>
      <c r="E617" t="inlineStr">
        <is>
          <t>ÅNGE</t>
        </is>
      </c>
      <c r="G617" t="n">
        <v>8.6</v>
      </c>
      <c r="H617" t="n">
        <v>0</v>
      </c>
      <c r="I617" t="n">
        <v>0</v>
      </c>
      <c r="J617" t="n">
        <v>0</v>
      </c>
      <c r="K617" t="n">
        <v>0</v>
      </c>
      <c r="L617" t="n">
        <v>0</v>
      </c>
      <c r="M617" t="n">
        <v>0</v>
      </c>
      <c r="N617" t="n">
        <v>0</v>
      </c>
      <c r="O617" t="n">
        <v>0</v>
      </c>
      <c r="P617" t="n">
        <v>0</v>
      </c>
      <c r="Q617" t="n">
        <v>0</v>
      </c>
      <c r="R617" s="2" t="inlineStr"/>
    </row>
    <row r="618" ht="15" customHeight="1">
      <c r="A618" t="inlineStr">
        <is>
          <t>A 25311-2023</t>
        </is>
      </c>
      <c r="B618" s="1" t="n">
        <v>45086.93869212963</v>
      </c>
      <c r="C618" s="1" t="n">
        <v>46061</v>
      </c>
      <c r="D618" t="inlineStr">
        <is>
          <t>VÄSTERNORRLANDS LÄN</t>
        </is>
      </c>
      <c r="E618" t="inlineStr">
        <is>
          <t>ÅNGE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42786-2025</t>
        </is>
      </c>
      <c r="B619" s="1" t="n">
        <v>45908.51097222222</v>
      </c>
      <c r="C619" s="1" t="n">
        <v>46061</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42863-2025</t>
        </is>
      </c>
      <c r="B620" s="1" t="n">
        <v>45908.61527777778</v>
      </c>
      <c r="C620" s="1" t="n">
        <v>46061</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42785-2025</t>
        </is>
      </c>
      <c r="B621" s="1" t="n">
        <v>45908.51083333333</v>
      </c>
      <c r="C621" s="1" t="n">
        <v>46061</v>
      </c>
      <c r="D621" t="inlineStr">
        <is>
          <t>VÄSTERNORRLANDS LÄN</t>
        </is>
      </c>
      <c r="E621" t="inlineStr">
        <is>
          <t>ÅNGE</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42889-2025</t>
        </is>
      </c>
      <c r="B622" s="1" t="n">
        <v>45908.65546296296</v>
      </c>
      <c r="C622" s="1" t="n">
        <v>46061</v>
      </c>
      <c r="D622" t="inlineStr">
        <is>
          <t>VÄSTERNORRLANDS LÄN</t>
        </is>
      </c>
      <c r="E622" t="inlineStr">
        <is>
          <t>ÅNGE</t>
        </is>
      </c>
      <c r="G622" t="n">
        <v>11.9</v>
      </c>
      <c r="H622" t="n">
        <v>0</v>
      </c>
      <c r="I622" t="n">
        <v>0</v>
      </c>
      <c r="J622" t="n">
        <v>0</v>
      </c>
      <c r="K622" t="n">
        <v>0</v>
      </c>
      <c r="L622" t="n">
        <v>0</v>
      </c>
      <c r="M622" t="n">
        <v>0</v>
      </c>
      <c r="N622" t="n">
        <v>0</v>
      </c>
      <c r="O622" t="n">
        <v>0</v>
      </c>
      <c r="P622" t="n">
        <v>0</v>
      </c>
      <c r="Q622" t="n">
        <v>0</v>
      </c>
      <c r="R622" s="2" t="inlineStr"/>
    </row>
    <row r="623" ht="15" customHeight="1">
      <c r="A623" t="inlineStr">
        <is>
          <t>A 42764-2025</t>
        </is>
      </c>
      <c r="B623" s="1" t="n">
        <v>45908.46943287037</v>
      </c>
      <c r="C623" s="1" t="n">
        <v>46061</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28873-2024</t>
        </is>
      </c>
      <c r="B624" s="1" t="n">
        <v>45478.94766203704</v>
      </c>
      <c r="C624" s="1" t="n">
        <v>46061</v>
      </c>
      <c r="D624" t="inlineStr">
        <is>
          <t>VÄSTERNORRLANDS LÄN</t>
        </is>
      </c>
      <c r="E624" t="inlineStr">
        <is>
          <t>ÅNGE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42731-2025</t>
        </is>
      </c>
      <c r="B625" s="1" t="n">
        <v>45908.40686342592</v>
      </c>
      <c r="C625" s="1" t="n">
        <v>46061</v>
      </c>
      <c r="D625" t="inlineStr">
        <is>
          <t>VÄSTERNORRLANDS LÄN</t>
        </is>
      </c>
      <c r="E625" t="inlineStr">
        <is>
          <t>ÅNGE</t>
        </is>
      </c>
      <c r="G625" t="n">
        <v>14.1</v>
      </c>
      <c r="H625" t="n">
        <v>0</v>
      </c>
      <c r="I625" t="n">
        <v>0</v>
      </c>
      <c r="J625" t="n">
        <v>0</v>
      </c>
      <c r="K625" t="n">
        <v>0</v>
      </c>
      <c r="L625" t="n">
        <v>0</v>
      </c>
      <c r="M625" t="n">
        <v>0</v>
      </c>
      <c r="N625" t="n">
        <v>0</v>
      </c>
      <c r="O625" t="n">
        <v>0</v>
      </c>
      <c r="P625" t="n">
        <v>0</v>
      </c>
      <c r="Q625" t="n">
        <v>0</v>
      </c>
      <c r="R625" s="2" t="inlineStr"/>
    </row>
    <row r="626" ht="15" customHeight="1">
      <c r="A626" t="inlineStr">
        <is>
          <t>A 43077-2025</t>
        </is>
      </c>
      <c r="B626" s="1" t="n">
        <v>45909.6046412037</v>
      </c>
      <c r="C626" s="1" t="n">
        <v>46061</v>
      </c>
      <c r="D626" t="inlineStr">
        <is>
          <t>VÄSTERNORRLANDS LÄN</t>
        </is>
      </c>
      <c r="E626" t="inlineStr">
        <is>
          <t>ÅNGE</t>
        </is>
      </c>
      <c r="F626" t="inlineStr">
        <is>
          <t>Kyrkan</t>
        </is>
      </c>
      <c r="G626" t="n">
        <v>7.6</v>
      </c>
      <c r="H626" t="n">
        <v>0</v>
      </c>
      <c r="I626" t="n">
        <v>0</v>
      </c>
      <c r="J626" t="n">
        <v>0</v>
      </c>
      <c r="K626" t="n">
        <v>0</v>
      </c>
      <c r="L626" t="n">
        <v>0</v>
      </c>
      <c r="M626" t="n">
        <v>0</v>
      </c>
      <c r="N626" t="n">
        <v>0</v>
      </c>
      <c r="O626" t="n">
        <v>0</v>
      </c>
      <c r="P626" t="n">
        <v>0</v>
      </c>
      <c r="Q626" t="n">
        <v>0</v>
      </c>
      <c r="R626" s="2" t="inlineStr"/>
    </row>
    <row r="627" ht="15" customHeight="1">
      <c r="A627" t="inlineStr">
        <is>
          <t>A 27682-2023</t>
        </is>
      </c>
      <c r="B627" s="1" t="n">
        <v>45097.93758101852</v>
      </c>
      <c r="C627" s="1" t="n">
        <v>46061</v>
      </c>
      <c r="D627" t="inlineStr">
        <is>
          <t>VÄSTERNORRLANDS LÄN</t>
        </is>
      </c>
      <c r="E627" t="inlineStr">
        <is>
          <t>ÅNGE</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42880-2025</t>
        </is>
      </c>
      <c r="B628" s="1" t="n">
        <v>45908.63599537037</v>
      </c>
      <c r="C628" s="1" t="n">
        <v>46061</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53858-2024</t>
        </is>
      </c>
      <c r="B629" s="1" t="n">
        <v>45615</v>
      </c>
      <c r="C629" s="1" t="n">
        <v>46061</v>
      </c>
      <c r="D629" t="inlineStr">
        <is>
          <t>VÄSTERNORRLANDS LÄN</t>
        </is>
      </c>
      <c r="E629" t="inlineStr">
        <is>
          <t>ÅNGE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50612-2024</t>
        </is>
      </c>
      <c r="B630" s="1" t="n">
        <v>45601</v>
      </c>
      <c r="C630" s="1" t="n">
        <v>46061</v>
      </c>
      <c r="D630" t="inlineStr">
        <is>
          <t>VÄSTERNORRLANDS LÄN</t>
        </is>
      </c>
      <c r="E630" t="inlineStr">
        <is>
          <t>ÅNGE</t>
        </is>
      </c>
      <c r="G630" t="n">
        <v>1.9</v>
      </c>
      <c r="H630" t="n">
        <v>0</v>
      </c>
      <c r="I630" t="n">
        <v>0</v>
      </c>
      <c r="J630" t="n">
        <v>0</v>
      </c>
      <c r="K630" t="n">
        <v>0</v>
      </c>
      <c r="L630" t="n">
        <v>0</v>
      </c>
      <c r="M630" t="n">
        <v>0</v>
      </c>
      <c r="N630" t="n">
        <v>0</v>
      </c>
      <c r="O630" t="n">
        <v>0</v>
      </c>
      <c r="P630" t="n">
        <v>0</v>
      </c>
      <c r="Q630" t="n">
        <v>0</v>
      </c>
      <c r="R630" s="2" t="inlineStr"/>
    </row>
    <row r="631" ht="15" customHeight="1">
      <c r="A631" t="inlineStr">
        <is>
          <t>A 3-2025</t>
        </is>
      </c>
      <c r="B631" s="1" t="n">
        <v>45658.49819444444</v>
      </c>
      <c r="C631" s="1" t="n">
        <v>46061</v>
      </c>
      <c r="D631" t="inlineStr">
        <is>
          <t>VÄSTERNORRLANDS LÄN</t>
        </is>
      </c>
      <c r="E631" t="inlineStr">
        <is>
          <t>ÅNGE</t>
        </is>
      </c>
      <c r="G631" t="n">
        <v>2</v>
      </c>
      <c r="H631" t="n">
        <v>0</v>
      </c>
      <c r="I631" t="n">
        <v>0</v>
      </c>
      <c r="J631" t="n">
        <v>0</v>
      </c>
      <c r="K631" t="n">
        <v>0</v>
      </c>
      <c r="L631" t="n">
        <v>0</v>
      </c>
      <c r="M631" t="n">
        <v>0</v>
      </c>
      <c r="N631" t="n">
        <v>0</v>
      </c>
      <c r="O631" t="n">
        <v>0</v>
      </c>
      <c r="P631" t="n">
        <v>0</v>
      </c>
      <c r="Q631" t="n">
        <v>0</v>
      </c>
      <c r="R631" s="2" t="inlineStr"/>
    </row>
    <row r="632" ht="15" customHeight="1">
      <c r="A632" t="inlineStr">
        <is>
          <t>A 43091-2025</t>
        </is>
      </c>
      <c r="B632" s="1" t="n">
        <v>45909.62511574074</v>
      </c>
      <c r="C632" s="1" t="n">
        <v>46061</v>
      </c>
      <c r="D632" t="inlineStr">
        <is>
          <t>VÄSTERNORRLANDS LÄN</t>
        </is>
      </c>
      <c r="E632" t="inlineStr">
        <is>
          <t>ÅNGE</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42730-2025</t>
        </is>
      </c>
      <c r="B633" s="1" t="n">
        <v>45908.40666666667</v>
      </c>
      <c r="C633" s="1" t="n">
        <v>46061</v>
      </c>
      <c r="D633" t="inlineStr">
        <is>
          <t>VÄSTERNORRLANDS LÄN</t>
        </is>
      </c>
      <c r="E633" t="inlineStr">
        <is>
          <t>ÅNGE</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43237-2025</t>
        </is>
      </c>
      <c r="B634" s="1" t="n">
        <v>45910.51670138889</v>
      </c>
      <c r="C634" s="1" t="n">
        <v>46061</v>
      </c>
      <c r="D634" t="inlineStr">
        <is>
          <t>VÄSTERNORRLANDS LÄN</t>
        </is>
      </c>
      <c r="E634" t="inlineStr">
        <is>
          <t>ÅNGE</t>
        </is>
      </c>
      <c r="G634" t="n">
        <v>0.7</v>
      </c>
      <c r="H634" t="n">
        <v>0</v>
      </c>
      <c r="I634" t="n">
        <v>0</v>
      </c>
      <c r="J634" t="n">
        <v>0</v>
      </c>
      <c r="K634" t="n">
        <v>0</v>
      </c>
      <c r="L634" t="n">
        <v>0</v>
      </c>
      <c r="M634" t="n">
        <v>0</v>
      </c>
      <c r="N634" t="n">
        <v>0</v>
      </c>
      <c r="O634" t="n">
        <v>0</v>
      </c>
      <c r="P634" t="n">
        <v>0</v>
      </c>
      <c r="Q634" t="n">
        <v>0</v>
      </c>
      <c r="R634" s="2" t="inlineStr"/>
    </row>
    <row r="635" ht="15" customHeight="1">
      <c r="A635" t="inlineStr">
        <is>
          <t>A 43250-2025</t>
        </is>
      </c>
      <c r="B635" s="1" t="n">
        <v>45910.5525462963</v>
      </c>
      <c r="C635" s="1" t="n">
        <v>46061</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56699-2023</t>
        </is>
      </c>
      <c r="B636" s="1" t="n">
        <v>45243</v>
      </c>
      <c r="C636" s="1" t="n">
        <v>46061</v>
      </c>
      <c r="D636" t="inlineStr">
        <is>
          <t>VÄSTERNORRLANDS LÄN</t>
        </is>
      </c>
      <c r="E636" t="inlineStr">
        <is>
          <t>ÅNGE</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43252-2025</t>
        </is>
      </c>
      <c r="B637" s="1" t="n">
        <v>45910.55292824074</v>
      </c>
      <c r="C637" s="1" t="n">
        <v>46061</v>
      </c>
      <c r="D637" t="inlineStr">
        <is>
          <t>VÄSTERNORRLANDS LÄN</t>
        </is>
      </c>
      <c r="E637" t="inlineStr">
        <is>
          <t>ÅNGE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43415-2025</t>
        </is>
      </c>
      <c r="B638" s="1" t="n">
        <v>45911.40662037037</v>
      </c>
      <c r="C638" s="1" t="n">
        <v>46061</v>
      </c>
      <c r="D638" t="inlineStr">
        <is>
          <t>VÄSTERNORRLANDS LÄN</t>
        </is>
      </c>
      <c r="E638" t="inlineStr">
        <is>
          <t>ÅNGE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43386-2025</t>
        </is>
      </c>
      <c r="B639" s="1" t="n">
        <v>45911.36520833334</v>
      </c>
      <c r="C639" s="1" t="n">
        <v>46061</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29560-2025</t>
        </is>
      </c>
      <c r="B640" s="1" t="n">
        <v>45825.36497685185</v>
      </c>
      <c r="C640" s="1" t="n">
        <v>46061</v>
      </c>
      <c r="D640" t="inlineStr">
        <is>
          <t>VÄSTERNORRLANDS LÄN</t>
        </is>
      </c>
      <c r="E640" t="inlineStr">
        <is>
          <t>ÅNGE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43385-2025</t>
        </is>
      </c>
      <c r="B641" s="1" t="n">
        <v>45911.36508101852</v>
      </c>
      <c r="C641" s="1" t="n">
        <v>46061</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43546-2025</t>
        </is>
      </c>
      <c r="B642" s="1" t="n">
        <v>45911.6153125</v>
      </c>
      <c r="C642" s="1" t="n">
        <v>46061</v>
      </c>
      <c r="D642" t="inlineStr">
        <is>
          <t>VÄSTERNORRLANDS LÄN</t>
        </is>
      </c>
      <c r="E642" t="inlineStr">
        <is>
          <t>ÅNGE</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43389-2025</t>
        </is>
      </c>
      <c r="B643" s="1" t="n">
        <v>45911.36560185185</v>
      </c>
      <c r="C643" s="1" t="n">
        <v>46061</v>
      </c>
      <c r="D643" t="inlineStr">
        <is>
          <t>VÄSTERNORRLANDS LÄN</t>
        </is>
      </c>
      <c r="E643" t="inlineStr">
        <is>
          <t>ÅNGE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43221-2025</t>
        </is>
      </c>
      <c r="B644" s="1" t="n">
        <v>45910.47981481482</v>
      </c>
      <c r="C644" s="1" t="n">
        <v>46061</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30751-2024</t>
        </is>
      </c>
      <c r="B645" s="1" t="n">
        <v>45496.69339120371</v>
      </c>
      <c r="C645" s="1" t="n">
        <v>46061</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43265-2025</t>
        </is>
      </c>
      <c r="B646" s="1" t="n">
        <v>45910.57377314815</v>
      </c>
      <c r="C646" s="1" t="n">
        <v>46061</v>
      </c>
      <c r="D646" t="inlineStr">
        <is>
          <t>VÄSTERNORRLANDS LÄN</t>
        </is>
      </c>
      <c r="E646" t="inlineStr">
        <is>
          <t>ÅNGE</t>
        </is>
      </c>
      <c r="F646" t="inlineStr">
        <is>
          <t>SCA</t>
        </is>
      </c>
      <c r="G646" t="n">
        <v>7</v>
      </c>
      <c r="H646" t="n">
        <v>0</v>
      </c>
      <c r="I646" t="n">
        <v>0</v>
      </c>
      <c r="J646" t="n">
        <v>0</v>
      </c>
      <c r="K646" t="n">
        <v>0</v>
      </c>
      <c r="L646" t="n">
        <v>0</v>
      </c>
      <c r="M646" t="n">
        <v>0</v>
      </c>
      <c r="N646" t="n">
        <v>0</v>
      </c>
      <c r="O646" t="n">
        <v>0</v>
      </c>
      <c r="P646" t="n">
        <v>0</v>
      </c>
      <c r="Q646" t="n">
        <v>0</v>
      </c>
      <c r="R646" s="2" t="inlineStr"/>
    </row>
    <row r="647" ht="15" customHeight="1">
      <c r="A647" t="inlineStr">
        <is>
          <t>A 55324-2023</t>
        </is>
      </c>
      <c r="B647" s="1" t="n">
        <v>45237.9734837963</v>
      </c>
      <c r="C647" s="1" t="n">
        <v>46061</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53856-2024</t>
        </is>
      </c>
      <c r="B648" s="1" t="n">
        <v>45615</v>
      </c>
      <c r="C648" s="1" t="n">
        <v>46061</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58445-2022</t>
        </is>
      </c>
      <c r="B649" s="1" t="n">
        <v>44901.95453703704</v>
      </c>
      <c r="C649" s="1" t="n">
        <v>46061</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44165-2025</t>
        </is>
      </c>
      <c r="B650" s="1" t="n">
        <v>45915.59840277778</v>
      </c>
      <c r="C650" s="1" t="n">
        <v>46061</v>
      </c>
      <c r="D650" t="inlineStr">
        <is>
          <t>VÄSTERNORRLANDS LÄN</t>
        </is>
      </c>
      <c r="E650" t="inlineStr">
        <is>
          <t>ÅNGE</t>
        </is>
      </c>
      <c r="G650" t="n">
        <v>0.7</v>
      </c>
      <c r="H650" t="n">
        <v>0</v>
      </c>
      <c r="I650" t="n">
        <v>0</v>
      </c>
      <c r="J650" t="n">
        <v>0</v>
      </c>
      <c r="K650" t="n">
        <v>0</v>
      </c>
      <c r="L650" t="n">
        <v>0</v>
      </c>
      <c r="M650" t="n">
        <v>0</v>
      </c>
      <c r="N650" t="n">
        <v>0</v>
      </c>
      <c r="O650" t="n">
        <v>0</v>
      </c>
      <c r="P650" t="n">
        <v>0</v>
      </c>
      <c r="Q650" t="n">
        <v>0</v>
      </c>
      <c r="R650" s="2" t="inlineStr"/>
    </row>
    <row r="651" ht="15" customHeight="1">
      <c r="A651" t="inlineStr">
        <is>
          <t>A 25680-2023</t>
        </is>
      </c>
      <c r="B651" s="1" t="n">
        <v>45089</v>
      </c>
      <c r="C651" s="1" t="n">
        <v>46061</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51059-2024</t>
        </is>
      </c>
      <c r="B652" s="1" t="n">
        <v>45603</v>
      </c>
      <c r="C652" s="1" t="n">
        <v>46061</v>
      </c>
      <c r="D652" t="inlineStr">
        <is>
          <t>VÄSTERNORRLANDS LÄN</t>
        </is>
      </c>
      <c r="E652" t="inlineStr">
        <is>
          <t>ÅNGE</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51054-2024</t>
        </is>
      </c>
      <c r="B653" s="1" t="n">
        <v>45603</v>
      </c>
      <c r="C653" s="1" t="n">
        <v>46061</v>
      </c>
      <c r="D653" t="inlineStr">
        <is>
          <t>VÄSTERNORRLANDS LÄN</t>
        </is>
      </c>
      <c r="E653" t="inlineStr">
        <is>
          <t>ÅNGE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18542-2022</t>
        </is>
      </c>
      <c r="B654" s="1" t="n">
        <v>44686</v>
      </c>
      <c r="C654" s="1" t="n">
        <v>46061</v>
      </c>
      <c r="D654" t="inlineStr">
        <is>
          <t>VÄSTERNORRLANDS LÄN</t>
        </is>
      </c>
      <c r="E654" t="inlineStr">
        <is>
          <t>ÅNGE</t>
        </is>
      </c>
      <c r="G654" t="n">
        <v>0.2</v>
      </c>
      <c r="H654" t="n">
        <v>0</v>
      </c>
      <c r="I654" t="n">
        <v>0</v>
      </c>
      <c r="J654" t="n">
        <v>0</v>
      </c>
      <c r="K654" t="n">
        <v>0</v>
      </c>
      <c r="L654" t="n">
        <v>0</v>
      </c>
      <c r="M654" t="n">
        <v>0</v>
      </c>
      <c r="N654" t="n">
        <v>0</v>
      </c>
      <c r="O654" t="n">
        <v>0</v>
      </c>
      <c r="P654" t="n">
        <v>0</v>
      </c>
      <c r="Q654" t="n">
        <v>0</v>
      </c>
      <c r="R654" s="2" t="inlineStr"/>
    </row>
    <row r="655" ht="15" customHeight="1">
      <c r="A655" t="inlineStr">
        <is>
          <t>A 55007-2022</t>
        </is>
      </c>
      <c r="B655" s="1" t="n">
        <v>44881</v>
      </c>
      <c r="C655" s="1" t="n">
        <v>46061</v>
      </c>
      <c r="D655" t="inlineStr">
        <is>
          <t>VÄSTERNORRLANDS LÄN</t>
        </is>
      </c>
      <c r="E655" t="inlineStr">
        <is>
          <t>ÅNGE</t>
        </is>
      </c>
      <c r="G655" t="n">
        <v>2</v>
      </c>
      <c r="H655" t="n">
        <v>0</v>
      </c>
      <c r="I655" t="n">
        <v>0</v>
      </c>
      <c r="J655" t="n">
        <v>0</v>
      </c>
      <c r="K655" t="n">
        <v>0</v>
      </c>
      <c r="L655" t="n">
        <v>0</v>
      </c>
      <c r="M655" t="n">
        <v>0</v>
      </c>
      <c r="N655" t="n">
        <v>0</v>
      </c>
      <c r="O655" t="n">
        <v>0</v>
      </c>
      <c r="P655" t="n">
        <v>0</v>
      </c>
      <c r="Q655" t="n">
        <v>0</v>
      </c>
      <c r="R655" s="2" t="inlineStr"/>
    </row>
    <row r="656" ht="15" customHeight="1">
      <c r="A656" t="inlineStr">
        <is>
          <t>A 63607-2021</t>
        </is>
      </c>
      <c r="B656" s="1" t="n">
        <v>44508.94650462963</v>
      </c>
      <c r="C656" s="1" t="n">
        <v>46061</v>
      </c>
      <c r="D656" t="inlineStr">
        <is>
          <t>VÄSTERNORRLANDS LÄN</t>
        </is>
      </c>
      <c r="E656" t="inlineStr">
        <is>
          <t>ÅNGE</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43707-2025</t>
        </is>
      </c>
      <c r="B657" s="1" t="n">
        <v>45912.40668981482</v>
      </c>
      <c r="C657" s="1" t="n">
        <v>46061</v>
      </c>
      <c r="D657" t="inlineStr">
        <is>
          <t>VÄSTERNORRLANDS LÄN</t>
        </is>
      </c>
      <c r="E657" t="inlineStr">
        <is>
          <t>ÅNGE</t>
        </is>
      </c>
      <c r="F657" t="inlineStr">
        <is>
          <t>SCA</t>
        </is>
      </c>
      <c r="G657" t="n">
        <v>12.5</v>
      </c>
      <c r="H657" t="n">
        <v>0</v>
      </c>
      <c r="I657" t="n">
        <v>0</v>
      </c>
      <c r="J657" t="n">
        <v>0</v>
      </c>
      <c r="K657" t="n">
        <v>0</v>
      </c>
      <c r="L657" t="n">
        <v>0</v>
      </c>
      <c r="M657" t="n">
        <v>0</v>
      </c>
      <c r="N657" t="n">
        <v>0</v>
      </c>
      <c r="O657" t="n">
        <v>0</v>
      </c>
      <c r="P657" t="n">
        <v>0</v>
      </c>
      <c r="Q657" t="n">
        <v>0</v>
      </c>
      <c r="R657" s="2" t="inlineStr"/>
      <c r="U657">
        <f>HYPERLINK("https://klasma.github.io/Logging_2260/knärot/A 43707-2025 karta knärot.png", "A 43707-2025")</f>
        <v/>
      </c>
      <c r="V657">
        <f>HYPERLINK("https://klasma.github.io/Logging_2260/klagomål/A 43707-2025 FSC-klagomål.docx", "A 43707-2025")</f>
        <v/>
      </c>
      <c r="W657">
        <f>HYPERLINK("https://klasma.github.io/Logging_2260/klagomålsmail/A 43707-2025 FSC-klagomål mail.docx", "A 43707-2025")</f>
        <v/>
      </c>
      <c r="X657">
        <f>HYPERLINK("https://klasma.github.io/Logging_2260/tillsyn/A 43707-2025 tillsynsbegäran.docx", "A 43707-2025")</f>
        <v/>
      </c>
      <c r="Y657">
        <f>HYPERLINK("https://klasma.github.io/Logging_2260/tillsynsmail/A 43707-2025 tillsynsbegäran mail.docx", "A 43707-2025")</f>
        <v/>
      </c>
    </row>
    <row r="658" ht="15" customHeight="1">
      <c r="A658" t="inlineStr">
        <is>
          <t>A 41222-2024</t>
        </is>
      </c>
      <c r="B658" s="1" t="n">
        <v>45559.55306712963</v>
      </c>
      <c r="C658" s="1" t="n">
        <v>46061</v>
      </c>
      <c r="D658" t="inlineStr">
        <is>
          <t>VÄSTERNORRLANDS LÄN</t>
        </is>
      </c>
      <c r="E658" t="inlineStr">
        <is>
          <t>ÅNGE</t>
        </is>
      </c>
      <c r="G658" t="n">
        <v>0.4</v>
      </c>
      <c r="H658" t="n">
        <v>0</v>
      </c>
      <c r="I658" t="n">
        <v>0</v>
      </c>
      <c r="J658" t="n">
        <v>0</v>
      </c>
      <c r="K658" t="n">
        <v>0</v>
      </c>
      <c r="L658" t="n">
        <v>0</v>
      </c>
      <c r="M658" t="n">
        <v>0</v>
      </c>
      <c r="N658" t="n">
        <v>0</v>
      </c>
      <c r="O658" t="n">
        <v>0</v>
      </c>
      <c r="P658" t="n">
        <v>0</v>
      </c>
      <c r="Q658" t="n">
        <v>0</v>
      </c>
      <c r="R658" s="2" t="inlineStr"/>
    </row>
    <row r="659" ht="15" customHeight="1">
      <c r="A659" t="inlineStr">
        <is>
          <t>A 13706-2023</t>
        </is>
      </c>
      <c r="B659" s="1" t="n">
        <v>45006</v>
      </c>
      <c r="C659" s="1" t="n">
        <v>46061</v>
      </c>
      <c r="D659" t="inlineStr">
        <is>
          <t>VÄSTERNORRLANDS LÄN</t>
        </is>
      </c>
      <c r="E659" t="inlineStr">
        <is>
          <t>ÅNGE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29862-2025</t>
        </is>
      </c>
      <c r="B660" s="1" t="n">
        <v>45826.3465625</v>
      </c>
      <c r="C660" s="1" t="n">
        <v>46061</v>
      </c>
      <c r="D660" t="inlineStr">
        <is>
          <t>VÄSTERNORRLANDS LÄN</t>
        </is>
      </c>
      <c r="E660" t="inlineStr">
        <is>
          <t>ÅNGE</t>
        </is>
      </c>
      <c r="G660" t="n">
        <v>0.8</v>
      </c>
      <c r="H660" t="n">
        <v>0</v>
      </c>
      <c r="I660" t="n">
        <v>0</v>
      </c>
      <c r="J660" t="n">
        <v>0</v>
      </c>
      <c r="K660" t="n">
        <v>0</v>
      </c>
      <c r="L660" t="n">
        <v>0</v>
      </c>
      <c r="M660" t="n">
        <v>0</v>
      </c>
      <c r="N660" t="n">
        <v>0</v>
      </c>
      <c r="O660" t="n">
        <v>0</v>
      </c>
      <c r="P660" t="n">
        <v>0</v>
      </c>
      <c r="Q660" t="n">
        <v>0</v>
      </c>
      <c r="R660" s="2" t="inlineStr"/>
    </row>
    <row r="661" ht="15" customHeight="1">
      <c r="A661" t="inlineStr">
        <is>
          <t>A 29882-2025</t>
        </is>
      </c>
      <c r="B661" s="1" t="n">
        <v>45826.36548611111</v>
      </c>
      <c r="C661" s="1" t="n">
        <v>46061</v>
      </c>
      <c r="D661" t="inlineStr">
        <is>
          <t>VÄSTERNORRLANDS LÄN</t>
        </is>
      </c>
      <c r="E661" t="inlineStr">
        <is>
          <t>ÅNGE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29916-2025</t>
        </is>
      </c>
      <c r="B662" s="1" t="n">
        <v>45826.41822916667</v>
      </c>
      <c r="C662" s="1" t="n">
        <v>46061</v>
      </c>
      <c r="D662" t="inlineStr">
        <is>
          <t>VÄSTERNORRLANDS LÄN</t>
        </is>
      </c>
      <c r="E662" t="inlineStr">
        <is>
          <t>ÅNGE</t>
        </is>
      </c>
      <c r="G662" t="n">
        <v>3.4</v>
      </c>
      <c r="H662" t="n">
        <v>0</v>
      </c>
      <c r="I662" t="n">
        <v>0</v>
      </c>
      <c r="J662" t="n">
        <v>0</v>
      </c>
      <c r="K662" t="n">
        <v>0</v>
      </c>
      <c r="L662" t="n">
        <v>0</v>
      </c>
      <c r="M662" t="n">
        <v>0</v>
      </c>
      <c r="N662" t="n">
        <v>0</v>
      </c>
      <c r="O662" t="n">
        <v>0</v>
      </c>
      <c r="P662" t="n">
        <v>0</v>
      </c>
      <c r="Q662" t="n">
        <v>0</v>
      </c>
      <c r="R662" s="2" t="inlineStr"/>
    </row>
    <row r="663" ht="15" customHeight="1">
      <c r="A663" t="inlineStr">
        <is>
          <t>A 36342-2024</t>
        </is>
      </c>
      <c r="B663" s="1" t="n">
        <v>45534.64315972223</v>
      </c>
      <c r="C663" s="1" t="n">
        <v>46061</v>
      </c>
      <c r="D663" t="inlineStr">
        <is>
          <t>VÄSTERNORRLANDS LÄN</t>
        </is>
      </c>
      <c r="E663" t="inlineStr">
        <is>
          <t>ÅNGE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24552-2023</t>
        </is>
      </c>
      <c r="B664" s="1" t="n">
        <v>45082.94226851852</v>
      </c>
      <c r="C664" s="1" t="n">
        <v>46061</v>
      </c>
      <c r="D664" t="inlineStr">
        <is>
          <t>VÄSTERNORRLANDS LÄN</t>
        </is>
      </c>
      <c r="E664" t="inlineStr">
        <is>
          <t>ÅNGE</t>
        </is>
      </c>
      <c r="G664" t="n">
        <v>1.5</v>
      </c>
      <c r="H664" t="n">
        <v>0</v>
      </c>
      <c r="I664" t="n">
        <v>0</v>
      </c>
      <c r="J664" t="n">
        <v>0</v>
      </c>
      <c r="K664" t="n">
        <v>0</v>
      </c>
      <c r="L664" t="n">
        <v>0</v>
      </c>
      <c r="M664" t="n">
        <v>0</v>
      </c>
      <c r="N664" t="n">
        <v>0</v>
      </c>
      <c r="O664" t="n">
        <v>0</v>
      </c>
      <c r="P664" t="n">
        <v>0</v>
      </c>
      <c r="Q664" t="n">
        <v>0</v>
      </c>
      <c r="R664" s="2" t="inlineStr"/>
    </row>
    <row r="665" ht="15" customHeight="1">
      <c r="A665" t="inlineStr">
        <is>
          <t>A 17749-2025</t>
        </is>
      </c>
      <c r="B665" s="1" t="n">
        <v>45758.48380787037</v>
      </c>
      <c r="C665" s="1" t="n">
        <v>46061</v>
      </c>
      <c r="D665" t="inlineStr">
        <is>
          <t>VÄSTERNORRLANDS LÄN</t>
        </is>
      </c>
      <c r="E665" t="inlineStr">
        <is>
          <t>ÅNGE</t>
        </is>
      </c>
      <c r="G665" t="n">
        <v>7.3</v>
      </c>
      <c r="H665" t="n">
        <v>0</v>
      </c>
      <c r="I665" t="n">
        <v>0</v>
      </c>
      <c r="J665" t="n">
        <v>0</v>
      </c>
      <c r="K665" t="n">
        <v>0</v>
      </c>
      <c r="L665" t="n">
        <v>0</v>
      </c>
      <c r="M665" t="n">
        <v>0</v>
      </c>
      <c r="N665" t="n">
        <v>0</v>
      </c>
      <c r="O665" t="n">
        <v>0</v>
      </c>
      <c r="P665" t="n">
        <v>0</v>
      </c>
      <c r="Q665" t="n">
        <v>0</v>
      </c>
      <c r="R665" s="2" t="inlineStr"/>
    </row>
    <row r="666" ht="15" customHeight="1">
      <c r="A666" t="inlineStr">
        <is>
          <t>A 30475-2025</t>
        </is>
      </c>
      <c r="B666" s="1" t="n">
        <v>45828.34444444445</v>
      </c>
      <c r="C666" s="1" t="n">
        <v>46061</v>
      </c>
      <c r="D666" t="inlineStr">
        <is>
          <t>VÄSTERNORRLANDS LÄN</t>
        </is>
      </c>
      <c r="E666" t="inlineStr">
        <is>
          <t>ÅNGE</t>
        </is>
      </c>
      <c r="F666" t="inlineStr">
        <is>
          <t>SCA</t>
        </is>
      </c>
      <c r="G666" t="n">
        <v>5.1</v>
      </c>
      <c r="H666" t="n">
        <v>0</v>
      </c>
      <c r="I666" t="n">
        <v>0</v>
      </c>
      <c r="J666" t="n">
        <v>0</v>
      </c>
      <c r="K666" t="n">
        <v>0</v>
      </c>
      <c r="L666" t="n">
        <v>0</v>
      </c>
      <c r="M666" t="n">
        <v>0</v>
      </c>
      <c r="N666" t="n">
        <v>0</v>
      </c>
      <c r="O666" t="n">
        <v>0</v>
      </c>
      <c r="P666" t="n">
        <v>0</v>
      </c>
      <c r="Q666" t="n">
        <v>0</v>
      </c>
      <c r="R666" s="2" t="inlineStr"/>
    </row>
    <row r="667" ht="15" customHeight="1">
      <c r="A667" t="inlineStr">
        <is>
          <t>A 44919-2025</t>
        </is>
      </c>
      <c r="B667" s="1" t="n">
        <v>45918.55246527777</v>
      </c>
      <c r="C667" s="1" t="n">
        <v>46061</v>
      </c>
      <c r="D667" t="inlineStr">
        <is>
          <t>VÄSTERNORRLANDS LÄN</t>
        </is>
      </c>
      <c r="E667" t="inlineStr">
        <is>
          <t>ÅNGE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44935-2025</t>
        </is>
      </c>
      <c r="B668" s="1" t="n">
        <v>45918.57392361111</v>
      </c>
      <c r="C668" s="1" t="n">
        <v>46061</v>
      </c>
      <c r="D668" t="inlineStr">
        <is>
          <t>VÄSTERNORRLANDS LÄN</t>
        </is>
      </c>
      <c r="E668" t="inlineStr">
        <is>
          <t>ÅNGE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30618-2025</t>
        </is>
      </c>
      <c r="B669" s="1" t="n">
        <v>45831.46909722222</v>
      </c>
      <c r="C669" s="1" t="n">
        <v>46061</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30598-2025</t>
        </is>
      </c>
      <c r="B670" s="1" t="n">
        <v>45831.44834490741</v>
      </c>
      <c r="C670" s="1" t="n">
        <v>46061</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41781-2024</t>
        </is>
      </c>
      <c r="B671" s="1" t="n">
        <v>45561.34938657407</v>
      </c>
      <c r="C671" s="1" t="n">
        <v>46061</v>
      </c>
      <c r="D671" t="inlineStr">
        <is>
          <t>VÄSTERNORRLANDS LÄN</t>
        </is>
      </c>
      <c r="E671" t="inlineStr">
        <is>
          <t>ÅNGE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45403-2025</t>
        </is>
      </c>
      <c r="B672" s="1" t="n">
        <v>45922.42803240741</v>
      </c>
      <c r="C672" s="1" t="n">
        <v>46061</v>
      </c>
      <c r="D672" t="inlineStr">
        <is>
          <t>VÄSTERNORRLANDS LÄN</t>
        </is>
      </c>
      <c r="E672" t="inlineStr">
        <is>
          <t>ÅNGE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3330-2025</t>
        </is>
      </c>
      <c r="B673" s="1" t="n">
        <v>45679.70041666667</v>
      </c>
      <c r="C673" s="1" t="n">
        <v>46061</v>
      </c>
      <c r="D673" t="inlineStr">
        <is>
          <t>VÄSTERNORRLANDS LÄN</t>
        </is>
      </c>
      <c r="E673" t="inlineStr">
        <is>
          <t>ÅNGE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30892-2025</t>
        </is>
      </c>
      <c r="B674" s="1" t="n">
        <v>45832.34663194444</v>
      </c>
      <c r="C674" s="1" t="n">
        <v>46061</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31188-2025</t>
        </is>
      </c>
      <c r="B675" s="1" t="n">
        <v>45832.67842592593</v>
      </c>
      <c r="C675" s="1" t="n">
        <v>46061</v>
      </c>
      <c r="D675" t="inlineStr">
        <is>
          <t>VÄSTERNORRLANDS LÄN</t>
        </is>
      </c>
      <c r="E675" t="inlineStr">
        <is>
          <t>ÅNGE</t>
        </is>
      </c>
      <c r="F675" t="inlineStr">
        <is>
          <t>SCA</t>
        </is>
      </c>
      <c r="G675" t="n">
        <v>14.9</v>
      </c>
      <c r="H675" t="n">
        <v>0</v>
      </c>
      <c r="I675" t="n">
        <v>0</v>
      </c>
      <c r="J675" t="n">
        <v>0</v>
      </c>
      <c r="K675" t="n">
        <v>0</v>
      </c>
      <c r="L675" t="n">
        <v>0</v>
      </c>
      <c r="M675" t="n">
        <v>0</v>
      </c>
      <c r="N675" t="n">
        <v>0</v>
      </c>
      <c r="O675" t="n">
        <v>0</v>
      </c>
      <c r="P675" t="n">
        <v>0</v>
      </c>
      <c r="Q675" t="n">
        <v>0</v>
      </c>
      <c r="R675" s="2" t="inlineStr"/>
    </row>
    <row r="676" ht="15" customHeight="1">
      <c r="A676" t="inlineStr">
        <is>
          <t>A 38272-2024</t>
        </is>
      </c>
      <c r="B676" s="1" t="n">
        <v>45545.60392361111</v>
      </c>
      <c r="C676" s="1" t="n">
        <v>46061</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45401-2025</t>
        </is>
      </c>
      <c r="B677" s="1" t="n">
        <v>45922.42767361111</v>
      </c>
      <c r="C677" s="1" t="n">
        <v>46061</v>
      </c>
      <c r="D677" t="inlineStr">
        <is>
          <t>VÄSTERNORRLANDS LÄN</t>
        </is>
      </c>
      <c r="E677" t="inlineStr">
        <is>
          <t>ÅNGE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45404-2025</t>
        </is>
      </c>
      <c r="B678" s="1" t="n">
        <v>45922.42820601852</v>
      </c>
      <c r="C678" s="1" t="n">
        <v>46061</v>
      </c>
      <c r="D678" t="inlineStr">
        <is>
          <t>VÄSTERNORRLANDS LÄN</t>
        </is>
      </c>
      <c r="E678" t="inlineStr">
        <is>
          <t>ÅNGE</t>
        </is>
      </c>
      <c r="F678" t="inlineStr">
        <is>
          <t>SCA</t>
        </is>
      </c>
      <c r="G678" t="n">
        <v>6.6</v>
      </c>
      <c r="H678" t="n">
        <v>0</v>
      </c>
      <c r="I678" t="n">
        <v>0</v>
      </c>
      <c r="J678" t="n">
        <v>0</v>
      </c>
      <c r="K678" t="n">
        <v>0</v>
      </c>
      <c r="L678" t="n">
        <v>0</v>
      </c>
      <c r="M678" t="n">
        <v>0</v>
      </c>
      <c r="N678" t="n">
        <v>0</v>
      </c>
      <c r="O678" t="n">
        <v>0</v>
      </c>
      <c r="P678" t="n">
        <v>0</v>
      </c>
      <c r="Q678" t="n">
        <v>0</v>
      </c>
      <c r="R678" s="2" t="inlineStr"/>
    </row>
    <row r="679" ht="15" customHeight="1">
      <c r="A679" t="inlineStr">
        <is>
          <t>A 31452-2025</t>
        </is>
      </c>
      <c r="B679" s="1" t="n">
        <v>45833.53179398148</v>
      </c>
      <c r="C679" s="1" t="n">
        <v>46061</v>
      </c>
      <c r="D679" t="inlineStr">
        <is>
          <t>VÄSTERNORRLANDS LÄN</t>
        </is>
      </c>
      <c r="E679" t="inlineStr">
        <is>
          <t>ÅNGE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31544-2025</t>
        </is>
      </c>
      <c r="B680" s="1" t="n">
        <v>45833.63597222222</v>
      </c>
      <c r="C680" s="1" t="n">
        <v>46061</v>
      </c>
      <c r="D680" t="inlineStr">
        <is>
          <t>VÄSTERNORRLANDS LÄN</t>
        </is>
      </c>
      <c r="E680" t="inlineStr">
        <is>
          <t>ÅNGE</t>
        </is>
      </c>
      <c r="G680" t="n">
        <v>2.1</v>
      </c>
      <c r="H680" t="n">
        <v>0</v>
      </c>
      <c r="I680" t="n">
        <v>0</v>
      </c>
      <c r="J680" t="n">
        <v>0</v>
      </c>
      <c r="K680" t="n">
        <v>0</v>
      </c>
      <c r="L680" t="n">
        <v>0</v>
      </c>
      <c r="M680" t="n">
        <v>0</v>
      </c>
      <c r="N680" t="n">
        <v>0</v>
      </c>
      <c r="O680" t="n">
        <v>0</v>
      </c>
      <c r="P680" t="n">
        <v>0</v>
      </c>
      <c r="Q680" t="n">
        <v>0</v>
      </c>
      <c r="R680" s="2" t="inlineStr"/>
    </row>
    <row r="681" ht="15" customHeight="1">
      <c r="A681" t="inlineStr">
        <is>
          <t>A 45660-2025</t>
        </is>
      </c>
      <c r="B681" s="1" t="n">
        <v>45923.34494212963</v>
      </c>
      <c r="C681" s="1" t="n">
        <v>46061</v>
      </c>
      <c r="D681" t="inlineStr">
        <is>
          <t>VÄSTERNORRLANDS LÄN</t>
        </is>
      </c>
      <c r="E681" t="inlineStr">
        <is>
          <t>ÅNGE</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45875-2025</t>
        </is>
      </c>
      <c r="B682" s="1" t="n">
        <v>45923.65690972222</v>
      </c>
      <c r="C682" s="1" t="n">
        <v>46061</v>
      </c>
      <c r="D682" t="inlineStr">
        <is>
          <t>VÄSTERNORRLANDS LÄN</t>
        </is>
      </c>
      <c r="E682" t="inlineStr">
        <is>
          <t>ÅNGE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41831-2021</t>
        </is>
      </c>
      <c r="B683" s="1" t="n">
        <v>44425.92212962963</v>
      </c>
      <c r="C683" s="1" t="n">
        <v>46061</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31042-2025</t>
        </is>
      </c>
      <c r="B684" s="1" t="n">
        <v>45832.55267361111</v>
      </c>
      <c r="C684" s="1" t="n">
        <v>46061</v>
      </c>
      <c r="D684" t="inlineStr">
        <is>
          <t>VÄSTERNORRLANDS LÄN</t>
        </is>
      </c>
      <c r="E684" t="inlineStr">
        <is>
          <t>ÅNGE</t>
        </is>
      </c>
      <c r="F684" t="inlineStr">
        <is>
          <t>SCA</t>
        </is>
      </c>
      <c r="G684" t="n">
        <v>11.8</v>
      </c>
      <c r="H684" t="n">
        <v>0</v>
      </c>
      <c r="I684" t="n">
        <v>0</v>
      </c>
      <c r="J684" t="n">
        <v>0</v>
      </c>
      <c r="K684" t="n">
        <v>0</v>
      </c>
      <c r="L684" t="n">
        <v>0</v>
      </c>
      <c r="M684" t="n">
        <v>0</v>
      </c>
      <c r="N684" t="n">
        <v>0</v>
      </c>
      <c r="O684" t="n">
        <v>0</v>
      </c>
      <c r="P684" t="n">
        <v>0</v>
      </c>
      <c r="Q684" t="n">
        <v>0</v>
      </c>
      <c r="R684" s="2" t="inlineStr"/>
    </row>
    <row r="685" ht="15" customHeight="1">
      <c r="A685" t="inlineStr">
        <is>
          <t>A 45659-2025</t>
        </is>
      </c>
      <c r="B685" s="1" t="n">
        <v>45923.34471064815</v>
      </c>
      <c r="C685" s="1" t="n">
        <v>46061</v>
      </c>
      <c r="D685" t="inlineStr">
        <is>
          <t>VÄSTERNORRLANDS LÄN</t>
        </is>
      </c>
      <c r="E685" t="inlineStr">
        <is>
          <t>ÅNGE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32922-2024</t>
        </is>
      </c>
      <c r="B686" s="1" t="n">
        <v>45516.95263888889</v>
      </c>
      <c r="C686" s="1" t="n">
        <v>46061</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31275-2025</t>
        </is>
      </c>
      <c r="B687" s="1" t="n">
        <v>45833.34459490741</v>
      </c>
      <c r="C687" s="1" t="n">
        <v>46061</v>
      </c>
      <c r="D687" t="inlineStr">
        <is>
          <t>VÄSTERNORRLANDS LÄN</t>
        </is>
      </c>
      <c r="E687" t="inlineStr">
        <is>
          <t>ÅNGE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31135-2025</t>
        </is>
      </c>
      <c r="B688" s="1" t="n">
        <v>45832.63581018519</v>
      </c>
      <c r="C688" s="1" t="n">
        <v>46061</v>
      </c>
      <c r="D688" t="inlineStr">
        <is>
          <t>VÄSTERNORRLANDS LÄN</t>
        </is>
      </c>
      <c r="E688" t="inlineStr">
        <is>
          <t>ÅNGE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46419-2025</t>
        </is>
      </c>
      <c r="B689" s="1" t="n">
        <v>45925.5949537037</v>
      </c>
      <c r="C689" s="1" t="n">
        <v>46061</v>
      </c>
      <c r="D689" t="inlineStr">
        <is>
          <t>VÄSTERNORRLANDS LÄN</t>
        </is>
      </c>
      <c r="E689" t="inlineStr">
        <is>
          <t>ÅNGE</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30888-2025</t>
        </is>
      </c>
      <c r="B690" s="1" t="n">
        <v>45832.34606481482</v>
      </c>
      <c r="C690" s="1" t="n">
        <v>46061</v>
      </c>
      <c r="D690" t="inlineStr">
        <is>
          <t>VÄSTERNORRLANDS LÄN</t>
        </is>
      </c>
      <c r="E690" t="inlineStr">
        <is>
          <t>ÅNGE</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10282-2025</t>
        </is>
      </c>
      <c r="B691" s="1" t="n">
        <v>45720.40659722222</v>
      </c>
      <c r="C691" s="1" t="n">
        <v>46061</v>
      </c>
      <c r="D691" t="inlineStr">
        <is>
          <t>VÄSTERNORRLANDS LÄN</t>
        </is>
      </c>
      <c r="E691" t="inlineStr">
        <is>
          <t>ÅNGE</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30875-2025</t>
        </is>
      </c>
      <c r="B692" s="1" t="n">
        <v>45832.34447916667</v>
      </c>
      <c r="C692" s="1" t="n">
        <v>46061</v>
      </c>
      <c r="D692" t="inlineStr">
        <is>
          <t>VÄSTERNORRLANDS LÄN</t>
        </is>
      </c>
      <c r="E692" t="inlineStr">
        <is>
          <t>ÅNGE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31211-2025</t>
        </is>
      </c>
      <c r="B693" s="1" t="n">
        <v>45832.71938657408</v>
      </c>
      <c r="C693" s="1" t="n">
        <v>46061</v>
      </c>
      <c r="D693" t="inlineStr">
        <is>
          <t>VÄSTERNORRLANDS LÄN</t>
        </is>
      </c>
      <c r="E693" t="inlineStr">
        <is>
          <t>ÅNGE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31484-2025</t>
        </is>
      </c>
      <c r="B694" s="1" t="n">
        <v>45833.57418981481</v>
      </c>
      <c r="C694" s="1" t="n">
        <v>46061</v>
      </c>
      <c r="D694" t="inlineStr">
        <is>
          <t>VÄSTERNORRLANDS LÄN</t>
        </is>
      </c>
      <c r="E694" t="inlineStr">
        <is>
          <t>ÅNGE</t>
        </is>
      </c>
      <c r="F694" t="inlineStr">
        <is>
          <t>SCA</t>
        </is>
      </c>
      <c r="G694" t="n">
        <v>7</v>
      </c>
      <c r="H694" t="n">
        <v>0</v>
      </c>
      <c r="I694" t="n">
        <v>0</v>
      </c>
      <c r="J694" t="n">
        <v>0</v>
      </c>
      <c r="K694" t="n">
        <v>0</v>
      </c>
      <c r="L694" t="n">
        <v>0</v>
      </c>
      <c r="M694" t="n">
        <v>0</v>
      </c>
      <c r="N694" t="n">
        <v>0</v>
      </c>
      <c r="O694" t="n">
        <v>0</v>
      </c>
      <c r="P694" t="n">
        <v>0</v>
      </c>
      <c r="Q694" t="n">
        <v>0</v>
      </c>
      <c r="R694" s="2" t="inlineStr"/>
    </row>
    <row r="695" ht="15" customHeight="1">
      <c r="A695" t="inlineStr">
        <is>
          <t>A 30877-2025</t>
        </is>
      </c>
      <c r="B695" s="1" t="n">
        <v>45832.34478009259</v>
      </c>
      <c r="C695" s="1" t="n">
        <v>46061</v>
      </c>
      <c r="D695" t="inlineStr">
        <is>
          <t>VÄSTERNORRLANDS LÄN</t>
        </is>
      </c>
      <c r="E695" t="inlineStr">
        <is>
          <t>ÅNGE</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31139-2025</t>
        </is>
      </c>
      <c r="B696" s="1" t="n">
        <v>45832.63633101852</v>
      </c>
      <c r="C696" s="1" t="n">
        <v>46061</v>
      </c>
      <c r="D696" t="inlineStr">
        <is>
          <t>VÄSTERNORRLANDS LÄN</t>
        </is>
      </c>
      <c r="E696" t="inlineStr">
        <is>
          <t>ÅNGE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51055-2023</t>
        </is>
      </c>
      <c r="B697" s="1" t="n">
        <v>45218</v>
      </c>
      <c r="C697" s="1" t="n">
        <v>46061</v>
      </c>
      <c r="D697" t="inlineStr">
        <is>
          <t>VÄSTERNORRLANDS LÄN</t>
        </is>
      </c>
      <c r="E697" t="inlineStr">
        <is>
          <t>ÅNGE</t>
        </is>
      </c>
      <c r="G697" t="n">
        <v>1.3</v>
      </c>
      <c r="H697" t="n">
        <v>0</v>
      </c>
      <c r="I697" t="n">
        <v>0</v>
      </c>
      <c r="J697" t="n">
        <v>0</v>
      </c>
      <c r="K697" t="n">
        <v>0</v>
      </c>
      <c r="L697" t="n">
        <v>0</v>
      </c>
      <c r="M697" t="n">
        <v>0</v>
      </c>
      <c r="N697" t="n">
        <v>0</v>
      </c>
      <c r="O697" t="n">
        <v>0</v>
      </c>
      <c r="P697" t="n">
        <v>0</v>
      </c>
      <c r="Q697" t="n">
        <v>0</v>
      </c>
      <c r="R697" s="2" t="inlineStr"/>
    </row>
    <row r="698" ht="15" customHeight="1">
      <c r="A698" t="inlineStr">
        <is>
          <t>A 5455-2023</t>
        </is>
      </c>
      <c r="B698" s="1" t="n">
        <v>44959.93983796296</v>
      </c>
      <c r="C698" s="1" t="n">
        <v>46061</v>
      </c>
      <c r="D698" t="inlineStr">
        <is>
          <t>VÄSTERNORRLANDS LÄN</t>
        </is>
      </c>
      <c r="E698" t="inlineStr">
        <is>
          <t>ÅNGE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46111-2025</t>
        </is>
      </c>
      <c r="B699" s="1" t="n">
        <v>45924.56684027778</v>
      </c>
      <c r="C699" s="1" t="n">
        <v>46061</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31041-2025</t>
        </is>
      </c>
      <c r="B700" s="1" t="n">
        <v>45832.55247685185</v>
      </c>
      <c r="C700" s="1" t="n">
        <v>46061</v>
      </c>
      <c r="D700" t="inlineStr">
        <is>
          <t>VÄSTERNORRLANDS LÄN</t>
        </is>
      </c>
      <c r="E700" t="inlineStr">
        <is>
          <t>ÅNGE</t>
        </is>
      </c>
      <c r="F700" t="inlineStr">
        <is>
          <t>SCA</t>
        </is>
      </c>
      <c r="G700" t="n">
        <v>15.1</v>
      </c>
      <c r="H700" t="n">
        <v>0</v>
      </c>
      <c r="I700" t="n">
        <v>0</v>
      </c>
      <c r="J700" t="n">
        <v>0</v>
      </c>
      <c r="K700" t="n">
        <v>0</v>
      </c>
      <c r="L700" t="n">
        <v>0</v>
      </c>
      <c r="M700" t="n">
        <v>0</v>
      </c>
      <c r="N700" t="n">
        <v>0</v>
      </c>
      <c r="O700" t="n">
        <v>0</v>
      </c>
      <c r="P700" t="n">
        <v>0</v>
      </c>
      <c r="Q700" t="n">
        <v>0</v>
      </c>
      <c r="R700" s="2" t="inlineStr"/>
    </row>
    <row r="701" ht="15" customHeight="1">
      <c r="A701" t="inlineStr">
        <is>
          <t>A 46267-2025</t>
        </is>
      </c>
      <c r="B701" s="1" t="n">
        <v>45925.36578703704</v>
      </c>
      <c r="C701" s="1" t="n">
        <v>46061</v>
      </c>
      <c r="D701" t="inlineStr">
        <is>
          <t>VÄSTERNORRLANDS LÄN</t>
        </is>
      </c>
      <c r="E701" t="inlineStr">
        <is>
          <t>ÅNGE</t>
        </is>
      </c>
      <c r="G701" t="n">
        <v>1.9</v>
      </c>
      <c r="H701" t="n">
        <v>0</v>
      </c>
      <c r="I701" t="n">
        <v>0</v>
      </c>
      <c r="J701" t="n">
        <v>0</v>
      </c>
      <c r="K701" t="n">
        <v>0</v>
      </c>
      <c r="L701" t="n">
        <v>0</v>
      </c>
      <c r="M701" t="n">
        <v>0</v>
      </c>
      <c r="N701" t="n">
        <v>0</v>
      </c>
      <c r="O701" t="n">
        <v>0</v>
      </c>
      <c r="P701" t="n">
        <v>0</v>
      </c>
      <c r="Q701" t="n">
        <v>0</v>
      </c>
      <c r="R701" s="2" t="inlineStr"/>
    </row>
    <row r="702" ht="15" customHeight="1">
      <c r="A702" t="inlineStr">
        <is>
          <t>A 43775-2022</t>
        </is>
      </c>
      <c r="B702" s="1" t="n">
        <v>44837.95053240741</v>
      </c>
      <c r="C702" s="1" t="n">
        <v>46061</v>
      </c>
      <c r="D702" t="inlineStr">
        <is>
          <t>VÄSTERNORRLANDS LÄN</t>
        </is>
      </c>
      <c r="E702" t="inlineStr">
        <is>
          <t>ÅNGE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46416-2025</t>
        </is>
      </c>
      <c r="B703" s="1" t="n">
        <v>45925.594375</v>
      </c>
      <c r="C703" s="1" t="n">
        <v>46061</v>
      </c>
      <c r="D703" t="inlineStr">
        <is>
          <t>VÄSTERNORRLANDS LÄN</t>
        </is>
      </c>
      <c r="E703" t="inlineStr">
        <is>
          <t>ÅNGE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46109-2025</t>
        </is>
      </c>
      <c r="B704" s="1" t="n">
        <v>45924.5596412037</v>
      </c>
      <c r="C704" s="1" t="n">
        <v>46061</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45970-2025</t>
        </is>
      </c>
      <c r="B705" s="1" t="n">
        <v>45924.36519675926</v>
      </c>
      <c r="C705" s="1" t="n">
        <v>46061</v>
      </c>
      <c r="D705" t="inlineStr">
        <is>
          <t>VÄSTERNORRLANDS LÄN</t>
        </is>
      </c>
      <c r="E705" t="inlineStr">
        <is>
          <t>ÅNGE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16915-2024</t>
        </is>
      </c>
      <c r="B706" s="1" t="n">
        <v>45411.65185185185</v>
      </c>
      <c r="C706" s="1" t="n">
        <v>46061</v>
      </c>
      <c r="D706" t="inlineStr">
        <is>
          <t>VÄSTERNORRLANDS LÄN</t>
        </is>
      </c>
      <c r="E706" t="inlineStr">
        <is>
          <t>ÅNGE</t>
        </is>
      </c>
      <c r="G706" t="n">
        <v>2.1</v>
      </c>
      <c r="H706" t="n">
        <v>0</v>
      </c>
      <c r="I706" t="n">
        <v>0</v>
      </c>
      <c r="J706" t="n">
        <v>0</v>
      </c>
      <c r="K706" t="n">
        <v>0</v>
      </c>
      <c r="L706" t="n">
        <v>0</v>
      </c>
      <c r="M706" t="n">
        <v>0</v>
      </c>
      <c r="N706" t="n">
        <v>0</v>
      </c>
      <c r="O706" t="n">
        <v>0</v>
      </c>
      <c r="P706" t="n">
        <v>0</v>
      </c>
      <c r="Q706" t="n">
        <v>0</v>
      </c>
      <c r="R706" s="2" t="inlineStr"/>
    </row>
    <row r="707" ht="15" customHeight="1">
      <c r="A707" t="inlineStr">
        <is>
          <t>A 57560-2023</t>
        </is>
      </c>
      <c r="B707" s="1" t="n">
        <v>45243</v>
      </c>
      <c r="C707" s="1" t="n">
        <v>46061</v>
      </c>
      <c r="D707" t="inlineStr">
        <is>
          <t>VÄSTERNORRLANDS LÄN</t>
        </is>
      </c>
      <c r="E707" t="inlineStr">
        <is>
          <t>ÅNGE</t>
        </is>
      </c>
      <c r="G707" t="n">
        <v>7.4</v>
      </c>
      <c r="H707" t="n">
        <v>0</v>
      </c>
      <c r="I707" t="n">
        <v>0</v>
      </c>
      <c r="J707" t="n">
        <v>0</v>
      </c>
      <c r="K707" t="n">
        <v>0</v>
      </c>
      <c r="L707" t="n">
        <v>0</v>
      </c>
      <c r="M707" t="n">
        <v>0</v>
      </c>
      <c r="N707" t="n">
        <v>0</v>
      </c>
      <c r="O707" t="n">
        <v>0</v>
      </c>
      <c r="P707" t="n">
        <v>0</v>
      </c>
      <c r="Q707" t="n">
        <v>0</v>
      </c>
      <c r="R707" s="2" t="inlineStr"/>
    </row>
    <row r="708" ht="15" customHeight="1">
      <c r="A708" t="inlineStr">
        <is>
          <t>A 57568-2023</t>
        </is>
      </c>
      <c r="B708" s="1" t="n">
        <v>45246.50484953704</v>
      </c>
      <c r="C708" s="1" t="n">
        <v>46061</v>
      </c>
      <c r="D708" t="inlineStr">
        <is>
          <t>VÄSTERNORRLANDS LÄN</t>
        </is>
      </c>
      <c r="E708" t="inlineStr">
        <is>
          <t>ÅNGE</t>
        </is>
      </c>
      <c r="G708" t="n">
        <v>1.7</v>
      </c>
      <c r="H708" t="n">
        <v>0</v>
      </c>
      <c r="I708" t="n">
        <v>0</v>
      </c>
      <c r="J708" t="n">
        <v>0</v>
      </c>
      <c r="K708" t="n">
        <v>0</v>
      </c>
      <c r="L708" t="n">
        <v>0</v>
      </c>
      <c r="M708" t="n">
        <v>0</v>
      </c>
      <c r="N708" t="n">
        <v>0</v>
      </c>
      <c r="O708" t="n">
        <v>0</v>
      </c>
      <c r="P708" t="n">
        <v>0</v>
      </c>
      <c r="Q708" t="n">
        <v>0</v>
      </c>
      <c r="R708" s="2" t="inlineStr"/>
    </row>
    <row r="709" ht="15" customHeight="1">
      <c r="A709" t="inlineStr">
        <is>
          <t>A 16576-2023</t>
        </is>
      </c>
      <c r="B709" s="1" t="n">
        <v>45029.94251157407</v>
      </c>
      <c r="C709" s="1" t="n">
        <v>46061</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46933-2025</t>
        </is>
      </c>
      <c r="B710" s="1" t="n">
        <v>45929.44645833333</v>
      </c>
      <c r="C710" s="1" t="n">
        <v>46061</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46897-2025</t>
        </is>
      </c>
      <c r="B711" s="1" t="n">
        <v>45929.38597222222</v>
      </c>
      <c r="C711" s="1" t="n">
        <v>46061</v>
      </c>
      <c r="D711" t="inlineStr">
        <is>
          <t>VÄSTERNORRLANDS LÄN</t>
        </is>
      </c>
      <c r="E711" t="inlineStr">
        <is>
          <t>ÅNGE</t>
        </is>
      </c>
      <c r="G711" t="n">
        <v>10.6</v>
      </c>
      <c r="H711" t="n">
        <v>0</v>
      </c>
      <c r="I711" t="n">
        <v>0</v>
      </c>
      <c r="J711" t="n">
        <v>0</v>
      </c>
      <c r="K711" t="n">
        <v>0</v>
      </c>
      <c r="L711" t="n">
        <v>0</v>
      </c>
      <c r="M711" t="n">
        <v>0</v>
      </c>
      <c r="N711" t="n">
        <v>0</v>
      </c>
      <c r="O711" t="n">
        <v>0</v>
      </c>
      <c r="P711" t="n">
        <v>0</v>
      </c>
      <c r="Q711" t="n">
        <v>0</v>
      </c>
      <c r="R711" s="2" t="inlineStr"/>
    </row>
    <row r="712" ht="15" customHeight="1">
      <c r="A712" t="inlineStr">
        <is>
          <t>A 4359-2025</t>
        </is>
      </c>
      <c r="B712" s="1" t="n">
        <v>45686.33072916666</v>
      </c>
      <c r="C712" s="1" t="n">
        <v>46061</v>
      </c>
      <c r="D712" t="inlineStr">
        <is>
          <t>VÄSTERNORRLANDS LÄN</t>
        </is>
      </c>
      <c r="E712" t="inlineStr">
        <is>
          <t>ÅNGE</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31646-2025</t>
        </is>
      </c>
      <c r="B713" s="1" t="n">
        <v>45834.34563657407</v>
      </c>
      <c r="C713" s="1" t="n">
        <v>46061</v>
      </c>
      <c r="D713" t="inlineStr">
        <is>
          <t>VÄSTERNORRLANDS LÄN</t>
        </is>
      </c>
      <c r="E713" t="inlineStr">
        <is>
          <t>ÅNGE</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24797-2024</t>
        </is>
      </c>
      <c r="B714" s="1" t="n">
        <v>45460.95269675926</v>
      </c>
      <c r="C714" s="1" t="n">
        <v>46061</v>
      </c>
      <c r="D714" t="inlineStr">
        <is>
          <t>VÄSTERNORRLANDS LÄN</t>
        </is>
      </c>
      <c r="E714" t="inlineStr">
        <is>
          <t>ÅNGE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31642-2025</t>
        </is>
      </c>
      <c r="B715" s="1" t="n">
        <v>45834.34474537037</v>
      </c>
      <c r="C715" s="1" t="n">
        <v>46061</v>
      </c>
      <c r="D715" t="inlineStr">
        <is>
          <t>VÄSTERNORRLANDS LÄN</t>
        </is>
      </c>
      <c r="E715" t="inlineStr">
        <is>
          <t>ÅNGE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32025-2025</t>
        </is>
      </c>
      <c r="B716" s="1" t="n">
        <v>45835.40721064815</v>
      </c>
      <c r="C716" s="1" t="n">
        <v>46061</v>
      </c>
      <c r="D716" t="inlineStr">
        <is>
          <t>VÄSTERNORRLANDS LÄN</t>
        </is>
      </c>
      <c r="E716" t="inlineStr">
        <is>
          <t>ÅNGE</t>
        </is>
      </c>
      <c r="G716" t="n">
        <v>1.6</v>
      </c>
      <c r="H716" t="n">
        <v>0</v>
      </c>
      <c r="I716" t="n">
        <v>0</v>
      </c>
      <c r="J716" t="n">
        <v>0</v>
      </c>
      <c r="K716" t="n">
        <v>0</v>
      </c>
      <c r="L716" t="n">
        <v>0</v>
      </c>
      <c r="M716" t="n">
        <v>0</v>
      </c>
      <c r="N716" t="n">
        <v>0</v>
      </c>
      <c r="O716" t="n">
        <v>0</v>
      </c>
      <c r="P716" t="n">
        <v>0</v>
      </c>
      <c r="Q716" t="n">
        <v>0</v>
      </c>
      <c r="R716" s="2" t="inlineStr"/>
    </row>
    <row r="717" ht="15" customHeight="1">
      <c r="A717" t="inlineStr">
        <is>
          <t>A 32024-2025</t>
        </is>
      </c>
      <c r="B717" s="1" t="n">
        <v>45835.40706018519</v>
      </c>
      <c r="C717" s="1" t="n">
        <v>46061</v>
      </c>
      <c r="D717" t="inlineStr">
        <is>
          <t>VÄSTERNORRLANDS LÄN</t>
        </is>
      </c>
      <c r="E717" t="inlineStr">
        <is>
          <t>ÅNGE</t>
        </is>
      </c>
      <c r="F717" t="inlineStr">
        <is>
          <t>SCA</t>
        </is>
      </c>
      <c r="G717" t="n">
        <v>12.3</v>
      </c>
      <c r="H717" t="n">
        <v>0</v>
      </c>
      <c r="I717" t="n">
        <v>0</v>
      </c>
      <c r="J717" t="n">
        <v>0</v>
      </c>
      <c r="K717" t="n">
        <v>0</v>
      </c>
      <c r="L717" t="n">
        <v>0</v>
      </c>
      <c r="M717" t="n">
        <v>0</v>
      </c>
      <c r="N717" t="n">
        <v>0</v>
      </c>
      <c r="O717" t="n">
        <v>0</v>
      </c>
      <c r="P717" t="n">
        <v>0</v>
      </c>
      <c r="Q717" t="n">
        <v>0</v>
      </c>
      <c r="R717" s="2" t="inlineStr"/>
    </row>
    <row r="718" ht="15" customHeight="1">
      <c r="A718" t="inlineStr">
        <is>
          <t>A 32069-2023</t>
        </is>
      </c>
      <c r="B718" s="1" t="n">
        <v>45107</v>
      </c>
      <c r="C718" s="1" t="n">
        <v>46061</v>
      </c>
      <c r="D718" t="inlineStr">
        <is>
          <t>VÄSTERNORRLANDS LÄN</t>
        </is>
      </c>
      <c r="E718" t="inlineStr">
        <is>
          <t>ÅNGE</t>
        </is>
      </c>
      <c r="G718" t="n">
        <v>4.4</v>
      </c>
      <c r="H718" t="n">
        <v>0</v>
      </c>
      <c r="I718" t="n">
        <v>0</v>
      </c>
      <c r="J718" t="n">
        <v>0</v>
      </c>
      <c r="K718" t="n">
        <v>0</v>
      </c>
      <c r="L718" t="n">
        <v>0</v>
      </c>
      <c r="M718" t="n">
        <v>0</v>
      </c>
      <c r="N718" t="n">
        <v>0</v>
      </c>
      <c r="O718" t="n">
        <v>0</v>
      </c>
      <c r="P718" t="n">
        <v>0</v>
      </c>
      <c r="Q718" t="n">
        <v>0</v>
      </c>
      <c r="R718" s="2" t="inlineStr"/>
    </row>
    <row r="719" ht="15" customHeight="1">
      <c r="A719" t="inlineStr">
        <is>
          <t>A 26092-2025</t>
        </is>
      </c>
      <c r="B719" s="1" t="n">
        <v>45805</v>
      </c>
      <c r="C719" s="1" t="n">
        <v>46061</v>
      </c>
      <c r="D719" t="inlineStr">
        <is>
          <t>VÄSTERNORRLANDS LÄN</t>
        </is>
      </c>
      <c r="E719" t="inlineStr">
        <is>
          <t>ÅNGE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26013-2024</t>
        </is>
      </c>
      <c r="B720" s="1" t="n">
        <v>45467</v>
      </c>
      <c r="C720" s="1" t="n">
        <v>46061</v>
      </c>
      <c r="D720" t="inlineStr">
        <is>
          <t>VÄSTERNORRLANDS LÄN</t>
        </is>
      </c>
      <c r="E720" t="inlineStr">
        <is>
          <t>ÅNGE</t>
        </is>
      </c>
      <c r="F720" t="inlineStr">
        <is>
          <t>SCA</t>
        </is>
      </c>
      <c r="G720" t="n">
        <v>6.8</v>
      </c>
      <c r="H720" t="n">
        <v>0</v>
      </c>
      <c r="I720" t="n">
        <v>0</v>
      </c>
      <c r="J720" t="n">
        <v>0</v>
      </c>
      <c r="K720" t="n">
        <v>0</v>
      </c>
      <c r="L720" t="n">
        <v>0</v>
      </c>
      <c r="M720" t="n">
        <v>0</v>
      </c>
      <c r="N720" t="n">
        <v>0</v>
      </c>
      <c r="O720" t="n">
        <v>0</v>
      </c>
      <c r="P720" t="n">
        <v>0</v>
      </c>
      <c r="Q720" t="n">
        <v>0</v>
      </c>
      <c r="R720" s="2" t="inlineStr"/>
    </row>
    <row r="721" ht="15" customHeight="1">
      <c r="A721" t="inlineStr">
        <is>
          <t>A 46829-2025</t>
        </is>
      </c>
      <c r="B721" s="1" t="n">
        <v>45927.34513888889</v>
      </c>
      <c r="C721" s="1" t="n">
        <v>46061</v>
      </c>
      <c r="D721" t="inlineStr">
        <is>
          <t>VÄSTERNORRLANDS LÄN</t>
        </is>
      </c>
      <c r="E721" t="inlineStr">
        <is>
          <t>ÅNGE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31666-2025</t>
        </is>
      </c>
      <c r="B722" s="1" t="n">
        <v>45834.36519675926</v>
      </c>
      <c r="C722" s="1" t="n">
        <v>46061</v>
      </c>
      <c r="D722" t="inlineStr">
        <is>
          <t>VÄSTERNORRLANDS LÄN</t>
        </is>
      </c>
      <c r="E722" t="inlineStr">
        <is>
          <t>ÅNGE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47118-2025</t>
        </is>
      </c>
      <c r="B723" s="1" t="n">
        <v>45929.67770833334</v>
      </c>
      <c r="C723" s="1" t="n">
        <v>46061</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47305-2025</t>
        </is>
      </c>
      <c r="B724" s="1" t="n">
        <v>45930</v>
      </c>
      <c r="C724" s="1" t="n">
        <v>46061</v>
      </c>
      <c r="D724" t="inlineStr">
        <is>
          <t>VÄSTERNORRLANDS LÄN</t>
        </is>
      </c>
      <c r="E724" t="inlineStr">
        <is>
          <t>ÅNGE</t>
        </is>
      </c>
      <c r="G724" t="n">
        <v>10.9</v>
      </c>
      <c r="H724" t="n">
        <v>0</v>
      </c>
      <c r="I724" t="n">
        <v>0</v>
      </c>
      <c r="J724" t="n">
        <v>0</v>
      </c>
      <c r="K724" t="n">
        <v>0</v>
      </c>
      <c r="L724" t="n">
        <v>0</v>
      </c>
      <c r="M724" t="n">
        <v>0</v>
      </c>
      <c r="N724" t="n">
        <v>0</v>
      </c>
      <c r="O724" t="n">
        <v>0</v>
      </c>
      <c r="P724" t="n">
        <v>0</v>
      </c>
      <c r="Q724" t="n">
        <v>0</v>
      </c>
      <c r="R724" s="2" t="inlineStr"/>
    </row>
    <row r="725" ht="15" customHeight="1">
      <c r="A725" t="inlineStr">
        <is>
          <t>A 47752-2025</t>
        </is>
      </c>
      <c r="B725" s="1" t="n">
        <v>45931.66358796296</v>
      </c>
      <c r="C725" s="1" t="n">
        <v>46061</v>
      </c>
      <c r="D725" t="inlineStr">
        <is>
          <t>VÄSTERNORRLANDS LÄN</t>
        </is>
      </c>
      <c r="E725" t="inlineStr">
        <is>
          <t>ÅNGE</t>
        </is>
      </c>
      <c r="G725" t="n">
        <v>3.9</v>
      </c>
      <c r="H725" t="n">
        <v>0</v>
      </c>
      <c r="I725" t="n">
        <v>0</v>
      </c>
      <c r="J725" t="n">
        <v>0</v>
      </c>
      <c r="K725" t="n">
        <v>0</v>
      </c>
      <c r="L725" t="n">
        <v>0</v>
      </c>
      <c r="M725" t="n">
        <v>0</v>
      </c>
      <c r="N725" t="n">
        <v>0</v>
      </c>
      <c r="O725" t="n">
        <v>0</v>
      </c>
      <c r="P725" t="n">
        <v>0</v>
      </c>
      <c r="Q725" t="n">
        <v>0</v>
      </c>
      <c r="R725" s="2" t="inlineStr"/>
    </row>
    <row r="726" ht="15" customHeight="1">
      <c r="A726" t="inlineStr">
        <is>
          <t>A 16903-2024</t>
        </is>
      </c>
      <c r="B726" s="1" t="n">
        <v>45411.63106481481</v>
      </c>
      <c r="C726" s="1" t="n">
        <v>46061</v>
      </c>
      <c r="D726" t="inlineStr">
        <is>
          <t>VÄSTERNORRLANDS LÄN</t>
        </is>
      </c>
      <c r="E726" t="inlineStr">
        <is>
          <t>ÅNGE</t>
        </is>
      </c>
      <c r="G726" t="n">
        <v>0.5</v>
      </c>
      <c r="H726" t="n">
        <v>0</v>
      </c>
      <c r="I726" t="n">
        <v>0</v>
      </c>
      <c r="J726" t="n">
        <v>0</v>
      </c>
      <c r="K726" t="n">
        <v>0</v>
      </c>
      <c r="L726" t="n">
        <v>0</v>
      </c>
      <c r="M726" t="n">
        <v>0</v>
      </c>
      <c r="N726" t="n">
        <v>0</v>
      </c>
      <c r="O726" t="n">
        <v>0</v>
      </c>
      <c r="P726" t="n">
        <v>0</v>
      </c>
      <c r="Q726" t="n">
        <v>0</v>
      </c>
      <c r="R726" s="2" t="inlineStr"/>
    </row>
    <row r="727" ht="15" customHeight="1">
      <c r="A727" t="inlineStr">
        <is>
          <t>A 47440-2025</t>
        </is>
      </c>
      <c r="B727" s="1" t="n">
        <v>45930.63766203704</v>
      </c>
      <c r="C727" s="1" t="n">
        <v>46061</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32439-2024</t>
        </is>
      </c>
      <c r="B728" s="1" t="n">
        <v>45512</v>
      </c>
      <c r="C728" s="1" t="n">
        <v>46061</v>
      </c>
      <c r="D728" t="inlineStr">
        <is>
          <t>VÄSTERNORRLANDS LÄN</t>
        </is>
      </c>
      <c r="E728" t="inlineStr">
        <is>
          <t>ÅNGE</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47488-2025</t>
        </is>
      </c>
      <c r="B729" s="1" t="n">
        <v>45930.69890046296</v>
      </c>
      <c r="C729" s="1" t="n">
        <v>46061</v>
      </c>
      <c r="D729" t="inlineStr">
        <is>
          <t>VÄSTERNORRLANDS LÄN</t>
        </is>
      </c>
      <c r="E729" t="inlineStr">
        <is>
          <t>ÅNGE</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16572-2023</t>
        </is>
      </c>
      <c r="B730" s="1" t="n">
        <v>45029.94224537037</v>
      </c>
      <c r="C730" s="1" t="n">
        <v>46061</v>
      </c>
      <c r="D730" t="inlineStr">
        <is>
          <t>VÄSTERNORRLANDS LÄN</t>
        </is>
      </c>
      <c r="E730" t="inlineStr">
        <is>
          <t>ÅNGE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47196-2025</t>
        </is>
      </c>
      <c r="B731" s="1" t="n">
        <v>45930.34520833333</v>
      </c>
      <c r="C731" s="1" t="n">
        <v>46061</v>
      </c>
      <c r="D731" t="inlineStr">
        <is>
          <t>VÄSTERNORRLANDS LÄN</t>
        </is>
      </c>
      <c r="E731" t="inlineStr">
        <is>
          <t>ÅNGE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47377-2025</t>
        </is>
      </c>
      <c r="B732" s="1" t="n">
        <v>45930.59469907408</v>
      </c>
      <c r="C732" s="1" t="n">
        <v>46061</v>
      </c>
      <c r="D732" t="inlineStr">
        <is>
          <t>VÄSTERNORRLANDS LÄN</t>
        </is>
      </c>
      <c r="E732" t="inlineStr">
        <is>
          <t>ÅNGE</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48234-2025</t>
        </is>
      </c>
      <c r="B733" s="1" t="n">
        <v>45933.53211805555</v>
      </c>
      <c r="C733" s="1" t="n">
        <v>46061</v>
      </c>
      <c r="D733" t="inlineStr">
        <is>
          <t>VÄSTERNORRLANDS LÄN</t>
        </is>
      </c>
      <c r="E733" t="inlineStr">
        <is>
          <t>ÅNGE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48235-2025</t>
        </is>
      </c>
      <c r="B734" s="1" t="n">
        <v>45933.5321412037</v>
      </c>
      <c r="C734" s="1" t="n">
        <v>46061</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3256-2024</t>
        </is>
      </c>
      <c r="B735" s="1" t="n">
        <v>45316</v>
      </c>
      <c r="C735" s="1" t="n">
        <v>46061</v>
      </c>
      <c r="D735" t="inlineStr">
        <is>
          <t>VÄSTERNORRLANDS LÄN</t>
        </is>
      </c>
      <c r="E735" t="inlineStr">
        <is>
          <t>ÅNGE</t>
        </is>
      </c>
      <c r="G735" t="n">
        <v>3.7</v>
      </c>
      <c r="H735" t="n">
        <v>0</v>
      </c>
      <c r="I735" t="n">
        <v>0</v>
      </c>
      <c r="J735" t="n">
        <v>0</v>
      </c>
      <c r="K735" t="n">
        <v>0</v>
      </c>
      <c r="L735" t="n">
        <v>0</v>
      </c>
      <c r="M735" t="n">
        <v>0</v>
      </c>
      <c r="N735" t="n">
        <v>0</v>
      </c>
      <c r="O735" t="n">
        <v>0</v>
      </c>
      <c r="P735" t="n">
        <v>0</v>
      </c>
      <c r="Q735" t="n">
        <v>0</v>
      </c>
      <c r="R735" s="2" t="inlineStr"/>
    </row>
    <row r="736" ht="15" customHeight="1">
      <c r="A736" t="inlineStr">
        <is>
          <t>A 49487-2024</t>
        </is>
      </c>
      <c r="B736" s="1" t="n">
        <v>45596.35813657408</v>
      </c>
      <c r="C736" s="1" t="n">
        <v>46061</v>
      </c>
      <c r="D736" t="inlineStr">
        <is>
          <t>VÄSTERNORRLANDS LÄN</t>
        </is>
      </c>
      <c r="E736" t="inlineStr">
        <is>
          <t>ÅNGE</t>
        </is>
      </c>
      <c r="G736" t="n">
        <v>4.3</v>
      </c>
      <c r="H736" t="n">
        <v>0</v>
      </c>
      <c r="I736" t="n">
        <v>0</v>
      </c>
      <c r="J736" t="n">
        <v>0</v>
      </c>
      <c r="K736" t="n">
        <v>0</v>
      </c>
      <c r="L736" t="n">
        <v>0</v>
      </c>
      <c r="M736" t="n">
        <v>0</v>
      </c>
      <c r="N736" t="n">
        <v>0</v>
      </c>
      <c r="O736" t="n">
        <v>0</v>
      </c>
      <c r="P736" t="n">
        <v>0</v>
      </c>
      <c r="Q736" t="n">
        <v>0</v>
      </c>
      <c r="R736" s="2" t="inlineStr"/>
    </row>
    <row r="737" ht="15" customHeight="1">
      <c r="A737" t="inlineStr">
        <is>
          <t>A 57287-2022</t>
        </is>
      </c>
      <c r="B737" s="1" t="n">
        <v>44895.95</v>
      </c>
      <c r="C737" s="1" t="n">
        <v>46061</v>
      </c>
      <c r="D737" t="inlineStr">
        <is>
          <t>VÄSTERNORRLANDS LÄN</t>
        </is>
      </c>
      <c r="E737" t="inlineStr">
        <is>
          <t>ÅNGE</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32847-2025</t>
        </is>
      </c>
      <c r="B738" s="1" t="n">
        <v>45839.57354166666</v>
      </c>
      <c r="C738" s="1" t="n">
        <v>46061</v>
      </c>
      <c r="D738" t="inlineStr">
        <is>
          <t>VÄSTERNORRLANDS LÄN</t>
        </is>
      </c>
      <c r="E738" t="inlineStr">
        <is>
          <t>ÅNGE</t>
        </is>
      </c>
      <c r="F738" t="inlineStr">
        <is>
          <t>SCA</t>
        </is>
      </c>
      <c r="G738" t="n">
        <v>9.4</v>
      </c>
      <c r="H738" t="n">
        <v>0</v>
      </c>
      <c r="I738" t="n">
        <v>0</v>
      </c>
      <c r="J738" t="n">
        <v>0</v>
      </c>
      <c r="K738" t="n">
        <v>0</v>
      </c>
      <c r="L738" t="n">
        <v>0</v>
      </c>
      <c r="M738" t="n">
        <v>0</v>
      </c>
      <c r="N738" t="n">
        <v>0</v>
      </c>
      <c r="O738" t="n">
        <v>0</v>
      </c>
      <c r="P738" t="n">
        <v>0</v>
      </c>
      <c r="Q738" t="n">
        <v>0</v>
      </c>
      <c r="R738" s="2" t="inlineStr"/>
    </row>
    <row r="739" ht="15" customHeight="1">
      <c r="A739" t="inlineStr">
        <is>
          <t>A 20576-2021</t>
        </is>
      </c>
      <c r="B739" s="1" t="n">
        <v>44316.3290162037</v>
      </c>
      <c r="C739" s="1" t="n">
        <v>46061</v>
      </c>
      <c r="D739" t="inlineStr">
        <is>
          <t>VÄSTERNORRLANDS LÄN</t>
        </is>
      </c>
      <c r="E739" t="inlineStr">
        <is>
          <t>ÅNGE</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1090-2023</t>
        </is>
      </c>
      <c r="B740" s="1" t="n">
        <v>44929</v>
      </c>
      <c r="C740" s="1" t="n">
        <v>46061</v>
      </c>
      <c r="D740" t="inlineStr">
        <is>
          <t>VÄSTERNORRLANDS LÄN</t>
        </is>
      </c>
      <c r="E740" t="inlineStr">
        <is>
          <t>ÅNGE</t>
        </is>
      </c>
      <c r="G740" t="n">
        <v>0.7</v>
      </c>
      <c r="H740" t="n">
        <v>0</v>
      </c>
      <c r="I740" t="n">
        <v>0</v>
      </c>
      <c r="J740" t="n">
        <v>0</v>
      </c>
      <c r="K740" t="n">
        <v>0</v>
      </c>
      <c r="L740" t="n">
        <v>0</v>
      </c>
      <c r="M740" t="n">
        <v>0</v>
      </c>
      <c r="N740" t="n">
        <v>0</v>
      </c>
      <c r="O740" t="n">
        <v>0</v>
      </c>
      <c r="P740" t="n">
        <v>0</v>
      </c>
      <c r="Q740" t="n">
        <v>0</v>
      </c>
      <c r="R740" s="2" t="inlineStr"/>
    </row>
    <row r="741" ht="15" customHeight="1">
      <c r="A741" t="inlineStr">
        <is>
          <t>A 1116-2023</t>
        </is>
      </c>
      <c r="B741" s="1" t="n">
        <v>44929</v>
      </c>
      <c r="C741" s="1" t="n">
        <v>46061</v>
      </c>
      <c r="D741" t="inlineStr">
        <is>
          <t>VÄSTERNORRLANDS LÄN</t>
        </is>
      </c>
      <c r="E741" t="inlineStr">
        <is>
          <t>ÅNGE</t>
        </is>
      </c>
      <c r="G741" t="n">
        <v>17.2</v>
      </c>
      <c r="H741" t="n">
        <v>0</v>
      </c>
      <c r="I741" t="n">
        <v>0</v>
      </c>
      <c r="J741" t="n">
        <v>0</v>
      </c>
      <c r="K741" t="n">
        <v>0</v>
      </c>
      <c r="L741" t="n">
        <v>0</v>
      </c>
      <c r="M741" t="n">
        <v>0</v>
      </c>
      <c r="N741" t="n">
        <v>0</v>
      </c>
      <c r="O741" t="n">
        <v>0</v>
      </c>
      <c r="P741" t="n">
        <v>0</v>
      </c>
      <c r="Q741" t="n">
        <v>0</v>
      </c>
      <c r="R741" s="2" t="inlineStr"/>
    </row>
    <row r="742" ht="15" customHeight="1">
      <c r="A742" t="inlineStr">
        <is>
          <t>A 51609-2023</t>
        </is>
      </c>
      <c r="B742" s="1" t="n">
        <v>45215</v>
      </c>
      <c r="C742" s="1" t="n">
        <v>46061</v>
      </c>
      <c r="D742" t="inlineStr">
        <is>
          <t>VÄSTERNORRLANDS LÄN</t>
        </is>
      </c>
      <c r="E742" t="inlineStr">
        <is>
          <t>ÅNGE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27661-2024</t>
        </is>
      </c>
      <c r="B743" s="1" t="n">
        <v>45474.95365740741</v>
      </c>
      <c r="C743" s="1" t="n">
        <v>46061</v>
      </c>
      <c r="D743" t="inlineStr">
        <is>
          <t>VÄSTERNORRLANDS LÄN</t>
        </is>
      </c>
      <c r="E743" t="inlineStr">
        <is>
          <t>ÅNGE</t>
        </is>
      </c>
      <c r="F743" t="inlineStr">
        <is>
          <t>SCA</t>
        </is>
      </c>
      <c r="G743" t="n">
        <v>19.1</v>
      </c>
      <c r="H743" t="n">
        <v>0</v>
      </c>
      <c r="I743" t="n">
        <v>0</v>
      </c>
      <c r="J743" t="n">
        <v>0</v>
      </c>
      <c r="K743" t="n">
        <v>0</v>
      </c>
      <c r="L743" t="n">
        <v>0</v>
      </c>
      <c r="M743" t="n">
        <v>0</v>
      </c>
      <c r="N743" t="n">
        <v>0</v>
      </c>
      <c r="O743" t="n">
        <v>0</v>
      </c>
      <c r="P743" t="n">
        <v>0</v>
      </c>
      <c r="Q743" t="n">
        <v>0</v>
      </c>
      <c r="R743" s="2" t="inlineStr"/>
    </row>
    <row r="744" ht="15" customHeight="1">
      <c r="A744" t="inlineStr">
        <is>
          <t>A 27668-2024</t>
        </is>
      </c>
      <c r="B744" s="1" t="n">
        <v>45474.95435185185</v>
      </c>
      <c r="C744" s="1" t="n">
        <v>46061</v>
      </c>
      <c r="D744" t="inlineStr">
        <is>
          <t>VÄSTERNORRLANDS LÄN</t>
        </is>
      </c>
      <c r="E744" t="inlineStr">
        <is>
          <t>ÅNGE</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12021-2022</t>
        </is>
      </c>
      <c r="B745" s="1" t="n">
        <v>44635</v>
      </c>
      <c r="C745" s="1" t="n">
        <v>46061</v>
      </c>
      <c r="D745" t="inlineStr">
        <is>
          <t>VÄSTERNORRLANDS LÄN</t>
        </is>
      </c>
      <c r="E745" t="inlineStr">
        <is>
          <t>ÅNGE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48055-2025</t>
        </is>
      </c>
      <c r="B746" s="1" t="n">
        <v>45932.67922453704</v>
      </c>
      <c r="C746" s="1" t="n">
        <v>46061</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48069-2025</t>
        </is>
      </c>
      <c r="B747" s="1" t="n">
        <v>45932.69865740741</v>
      </c>
      <c r="C747" s="1" t="n">
        <v>46061</v>
      </c>
      <c r="D747" t="inlineStr">
        <is>
          <t>VÄSTERNORRLANDS LÄN</t>
        </is>
      </c>
      <c r="E747" t="inlineStr">
        <is>
          <t>ÅNGE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48679-2025</t>
        </is>
      </c>
      <c r="B748" s="1" t="n">
        <v>45936.59196759259</v>
      </c>
      <c r="C748" s="1" t="n">
        <v>46061</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35399-2024</t>
        </is>
      </c>
      <c r="B749" s="1" t="n">
        <v>45531.40438657408</v>
      </c>
      <c r="C749" s="1" t="n">
        <v>46061</v>
      </c>
      <c r="D749" t="inlineStr">
        <is>
          <t>VÄSTERNORRLANDS LÄN</t>
        </is>
      </c>
      <c r="E749" t="inlineStr">
        <is>
          <t>ÅNGE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49562-2025</t>
        </is>
      </c>
      <c r="B750" s="1" t="n">
        <v>45939.46524305556</v>
      </c>
      <c r="C750" s="1" t="n">
        <v>46061</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49377-2025</t>
        </is>
      </c>
      <c r="B751" s="1" t="n">
        <v>45938.63626157407</v>
      </c>
      <c r="C751" s="1" t="n">
        <v>46061</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34815-2024</t>
        </is>
      </c>
      <c r="B752" s="1" t="n">
        <v>45526.70732638889</v>
      </c>
      <c r="C752" s="1" t="n">
        <v>46061</v>
      </c>
      <c r="D752" t="inlineStr">
        <is>
          <t>VÄSTERNORRLANDS LÄN</t>
        </is>
      </c>
      <c r="E752" t="inlineStr">
        <is>
          <t>ÅNGE</t>
        </is>
      </c>
      <c r="G752" t="n">
        <v>1.3</v>
      </c>
      <c r="H752" t="n">
        <v>0</v>
      </c>
      <c r="I752" t="n">
        <v>0</v>
      </c>
      <c r="J752" t="n">
        <v>0</v>
      </c>
      <c r="K752" t="n">
        <v>0</v>
      </c>
      <c r="L752" t="n">
        <v>0</v>
      </c>
      <c r="M752" t="n">
        <v>0</v>
      </c>
      <c r="N752" t="n">
        <v>0</v>
      </c>
      <c r="O752" t="n">
        <v>0</v>
      </c>
      <c r="P752" t="n">
        <v>0</v>
      </c>
      <c r="Q752" t="n">
        <v>0</v>
      </c>
      <c r="R752" s="2" t="inlineStr"/>
    </row>
    <row r="753" ht="15" customHeight="1">
      <c r="A753" t="inlineStr">
        <is>
          <t>A 49156-2025</t>
        </is>
      </c>
      <c r="B753" s="1" t="n">
        <v>45938.3458912037</v>
      </c>
      <c r="C753" s="1" t="n">
        <v>46061</v>
      </c>
      <c r="D753" t="inlineStr">
        <is>
          <t>VÄSTERNORRLANDS LÄN</t>
        </is>
      </c>
      <c r="E753" t="inlineStr">
        <is>
          <t>ÅNGE</t>
        </is>
      </c>
      <c r="G753" t="n">
        <v>2.3</v>
      </c>
      <c r="H753" t="n">
        <v>0</v>
      </c>
      <c r="I753" t="n">
        <v>0</v>
      </c>
      <c r="J753" t="n">
        <v>0</v>
      </c>
      <c r="K753" t="n">
        <v>0</v>
      </c>
      <c r="L753" t="n">
        <v>0</v>
      </c>
      <c r="M753" t="n">
        <v>0</v>
      </c>
      <c r="N753" t="n">
        <v>0</v>
      </c>
      <c r="O753" t="n">
        <v>0</v>
      </c>
      <c r="P753" t="n">
        <v>0</v>
      </c>
      <c r="Q753" t="n">
        <v>0</v>
      </c>
      <c r="R753" s="2" t="inlineStr"/>
    </row>
    <row r="754" ht="15" customHeight="1">
      <c r="A754" t="inlineStr">
        <is>
          <t>A 3977-2025</t>
        </is>
      </c>
      <c r="B754" s="1" t="n">
        <v>45684</v>
      </c>
      <c r="C754" s="1" t="n">
        <v>46061</v>
      </c>
      <c r="D754" t="inlineStr">
        <is>
          <t>VÄSTERNORRLANDS LÄN</t>
        </is>
      </c>
      <c r="E754" t="inlineStr">
        <is>
          <t>ÅNGE</t>
        </is>
      </c>
      <c r="F754" t="inlineStr">
        <is>
          <t>Holmen skog AB</t>
        </is>
      </c>
      <c r="G754" t="n">
        <v>2.3</v>
      </c>
      <c r="H754" t="n">
        <v>0</v>
      </c>
      <c r="I754" t="n">
        <v>0</v>
      </c>
      <c r="J754" t="n">
        <v>0</v>
      </c>
      <c r="K754" t="n">
        <v>0</v>
      </c>
      <c r="L754" t="n">
        <v>0</v>
      </c>
      <c r="M754" t="n">
        <v>0</v>
      </c>
      <c r="N754" t="n">
        <v>0</v>
      </c>
      <c r="O754" t="n">
        <v>0</v>
      </c>
      <c r="P754" t="n">
        <v>0</v>
      </c>
      <c r="Q754" t="n">
        <v>0</v>
      </c>
      <c r="R754" s="2" t="inlineStr"/>
    </row>
    <row r="755" ht="15" customHeight="1">
      <c r="A755" t="inlineStr">
        <is>
          <t>A 49179-2025</t>
        </is>
      </c>
      <c r="B755" s="1" t="n">
        <v>45938.38579861111</v>
      </c>
      <c r="C755" s="1" t="n">
        <v>46061</v>
      </c>
      <c r="D755" t="inlineStr">
        <is>
          <t>VÄSTERNORRLANDS LÄN</t>
        </is>
      </c>
      <c r="E755" t="inlineStr">
        <is>
          <t>ÅNGE</t>
        </is>
      </c>
      <c r="G755" t="n">
        <v>2.3</v>
      </c>
      <c r="H755" t="n">
        <v>0</v>
      </c>
      <c r="I755" t="n">
        <v>0</v>
      </c>
      <c r="J755" t="n">
        <v>0</v>
      </c>
      <c r="K755" t="n">
        <v>0</v>
      </c>
      <c r="L755" t="n">
        <v>0</v>
      </c>
      <c r="M755" t="n">
        <v>0</v>
      </c>
      <c r="N755" t="n">
        <v>0</v>
      </c>
      <c r="O755" t="n">
        <v>0</v>
      </c>
      <c r="P755" t="n">
        <v>0</v>
      </c>
      <c r="Q755" t="n">
        <v>0</v>
      </c>
      <c r="R755" s="2" t="inlineStr"/>
    </row>
    <row r="756" ht="15" customHeight="1">
      <c r="A756" t="inlineStr">
        <is>
          <t>A 18112-2025</t>
        </is>
      </c>
      <c r="B756" s="1" t="n">
        <v>45761.57350694444</v>
      </c>
      <c r="C756" s="1" t="n">
        <v>46061</v>
      </c>
      <c r="D756" t="inlineStr">
        <is>
          <t>VÄSTERNORRLANDS LÄN</t>
        </is>
      </c>
      <c r="E756" t="inlineStr">
        <is>
          <t>ÅNGE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49603-2025</t>
        </is>
      </c>
      <c r="B757" s="1" t="n">
        <v>45939.5484375</v>
      </c>
      <c r="C757" s="1" t="n">
        <v>46061</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49381-2025</t>
        </is>
      </c>
      <c r="B758" s="1" t="n">
        <v>45938.63694444444</v>
      </c>
      <c r="C758" s="1" t="n">
        <v>46061</v>
      </c>
      <c r="D758" t="inlineStr">
        <is>
          <t>VÄSTERNORRLANDS LÄN</t>
        </is>
      </c>
      <c r="E758" t="inlineStr">
        <is>
          <t>ÅNGE</t>
        </is>
      </c>
      <c r="F758" t="inlineStr">
        <is>
          <t>SCA</t>
        </is>
      </c>
      <c r="G758" t="n">
        <v>20.6</v>
      </c>
      <c r="H758" t="n">
        <v>0</v>
      </c>
      <c r="I758" t="n">
        <v>0</v>
      </c>
      <c r="J758" t="n">
        <v>0</v>
      </c>
      <c r="K758" t="n">
        <v>0</v>
      </c>
      <c r="L758" t="n">
        <v>0</v>
      </c>
      <c r="M758" t="n">
        <v>0</v>
      </c>
      <c r="N758" t="n">
        <v>0</v>
      </c>
      <c r="O758" t="n">
        <v>0</v>
      </c>
      <c r="P758" t="n">
        <v>0</v>
      </c>
      <c r="Q758" t="n">
        <v>0</v>
      </c>
      <c r="R758" s="2" t="inlineStr"/>
    </row>
    <row r="759" ht="15" customHeight="1">
      <c r="A759" t="inlineStr">
        <is>
          <t>A 34031-2025</t>
        </is>
      </c>
      <c r="B759" s="1" t="n">
        <v>45845.36508101852</v>
      </c>
      <c r="C759" s="1" t="n">
        <v>46061</v>
      </c>
      <c r="D759" t="inlineStr">
        <is>
          <t>VÄSTERNORRLANDS LÄN</t>
        </is>
      </c>
      <c r="E759" t="inlineStr">
        <is>
          <t>ÅNGE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49566-2025</t>
        </is>
      </c>
      <c r="B760" s="1" t="n">
        <v>45939.46939814815</v>
      </c>
      <c r="C760" s="1" t="n">
        <v>46061</v>
      </c>
      <c r="D760" t="inlineStr">
        <is>
          <t>VÄSTERNORRLANDS LÄN</t>
        </is>
      </c>
      <c r="E760" t="inlineStr">
        <is>
          <t>ÅNGE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49476-2025</t>
        </is>
      </c>
      <c r="B761" s="1" t="n">
        <v>45939.34506944445</v>
      </c>
      <c r="C761" s="1" t="n">
        <v>46061</v>
      </c>
      <c r="D761" t="inlineStr">
        <is>
          <t>VÄSTERNORRLANDS LÄN</t>
        </is>
      </c>
      <c r="E761" t="inlineStr">
        <is>
          <t>ÅNGE</t>
        </is>
      </c>
      <c r="F761" t="inlineStr">
        <is>
          <t>SCA</t>
        </is>
      </c>
      <c r="G761" t="n">
        <v>11.4</v>
      </c>
      <c r="H761" t="n">
        <v>0</v>
      </c>
      <c r="I761" t="n">
        <v>0</v>
      </c>
      <c r="J761" t="n">
        <v>0</v>
      </c>
      <c r="K761" t="n">
        <v>0</v>
      </c>
      <c r="L761" t="n">
        <v>0</v>
      </c>
      <c r="M761" t="n">
        <v>0</v>
      </c>
      <c r="N761" t="n">
        <v>0</v>
      </c>
      <c r="O761" t="n">
        <v>0</v>
      </c>
      <c r="P761" t="n">
        <v>0</v>
      </c>
      <c r="Q761" t="n">
        <v>0</v>
      </c>
      <c r="R761" s="2" t="inlineStr"/>
    </row>
    <row r="762" ht="15" customHeight="1">
      <c r="A762" t="inlineStr">
        <is>
          <t>A 31864-2024</t>
        </is>
      </c>
      <c r="B762" s="1" t="n">
        <v>45509.74791666667</v>
      </c>
      <c r="C762" s="1" t="n">
        <v>46061</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49600-2025</t>
        </is>
      </c>
      <c r="B763" s="1" t="n">
        <v>45939.54434027777</v>
      </c>
      <c r="C763" s="1" t="n">
        <v>46061</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53512-2023</t>
        </is>
      </c>
      <c r="B764" s="1" t="n">
        <v>45230</v>
      </c>
      <c r="C764" s="1" t="n">
        <v>46061</v>
      </c>
      <c r="D764" t="inlineStr">
        <is>
          <t>VÄSTERNORRLANDS LÄN</t>
        </is>
      </c>
      <c r="E764" t="inlineStr">
        <is>
          <t>ÅNGE</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37558-2023</t>
        </is>
      </c>
      <c r="B765" s="1" t="n">
        <v>45159.34511574074</v>
      </c>
      <c r="C765" s="1" t="n">
        <v>46061</v>
      </c>
      <c r="D765" t="inlineStr">
        <is>
          <t>VÄSTERNORRLANDS LÄN</t>
        </is>
      </c>
      <c r="E765" t="inlineStr">
        <is>
          <t>ÅNGE</t>
        </is>
      </c>
      <c r="F765" t="inlineStr">
        <is>
          <t>Kyrkan</t>
        </is>
      </c>
      <c r="G765" t="n">
        <v>5.6</v>
      </c>
      <c r="H765" t="n">
        <v>0</v>
      </c>
      <c r="I765" t="n">
        <v>0</v>
      </c>
      <c r="J765" t="n">
        <v>0</v>
      </c>
      <c r="K765" t="n">
        <v>0</v>
      </c>
      <c r="L765" t="n">
        <v>0</v>
      </c>
      <c r="M765" t="n">
        <v>0</v>
      </c>
      <c r="N765" t="n">
        <v>0</v>
      </c>
      <c r="O765" t="n">
        <v>0</v>
      </c>
      <c r="P765" t="n">
        <v>0</v>
      </c>
      <c r="Q765" t="n">
        <v>0</v>
      </c>
      <c r="R765" s="2" t="inlineStr"/>
    </row>
    <row r="766" ht="15" customHeight="1">
      <c r="A766" t="inlineStr">
        <is>
          <t>A 50009-2025</t>
        </is>
      </c>
      <c r="B766" s="1" t="n">
        <v>45943.34527777778</v>
      </c>
      <c r="C766" s="1" t="n">
        <v>46061</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33738-2025</t>
        </is>
      </c>
      <c r="B767" s="1" t="n">
        <v>45842.33795138889</v>
      </c>
      <c r="C767" s="1" t="n">
        <v>46061</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58774-2023</t>
        </is>
      </c>
      <c r="B768" s="1" t="n">
        <v>45251</v>
      </c>
      <c r="C768" s="1" t="n">
        <v>46061</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21089-2024</t>
        </is>
      </c>
      <c r="B769" s="1" t="n">
        <v>45439.94987268518</v>
      </c>
      <c r="C769" s="1" t="n">
        <v>46061</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21151-2024</t>
        </is>
      </c>
      <c r="B770" s="1" t="n">
        <v>45440</v>
      </c>
      <c r="C770" s="1" t="n">
        <v>46061</v>
      </c>
      <c r="D770" t="inlineStr">
        <is>
          <t>VÄSTERNORRLANDS LÄN</t>
        </is>
      </c>
      <c r="E770" t="inlineStr">
        <is>
          <t>ÅNGE</t>
        </is>
      </c>
      <c r="G770" t="n">
        <v>3.7</v>
      </c>
      <c r="H770" t="n">
        <v>0</v>
      </c>
      <c r="I770" t="n">
        <v>0</v>
      </c>
      <c r="J770" t="n">
        <v>0</v>
      </c>
      <c r="K770" t="n">
        <v>0</v>
      </c>
      <c r="L770" t="n">
        <v>0</v>
      </c>
      <c r="M770" t="n">
        <v>0</v>
      </c>
      <c r="N770" t="n">
        <v>0</v>
      </c>
      <c r="O770" t="n">
        <v>0</v>
      </c>
      <c r="P770" t="n">
        <v>0</v>
      </c>
      <c r="Q770" t="n">
        <v>0</v>
      </c>
      <c r="R770" s="2" t="inlineStr"/>
    </row>
    <row r="771" ht="15" customHeight="1">
      <c r="A771" t="inlineStr">
        <is>
          <t>A 50210-2025</t>
        </is>
      </c>
      <c r="B771" s="1" t="n">
        <v>45943.67379629629</v>
      </c>
      <c r="C771" s="1" t="n">
        <v>46061</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50001-2025</t>
        </is>
      </c>
      <c r="B772" s="1" t="n">
        <v>45943.34421296296</v>
      </c>
      <c r="C772" s="1" t="n">
        <v>46061</v>
      </c>
      <c r="D772" t="inlineStr">
        <is>
          <t>VÄSTERNORRLANDS LÄN</t>
        </is>
      </c>
      <c r="E772" t="inlineStr">
        <is>
          <t>ÅNGE</t>
        </is>
      </c>
      <c r="G772" t="n">
        <v>1.8</v>
      </c>
      <c r="H772" t="n">
        <v>0</v>
      </c>
      <c r="I772" t="n">
        <v>0</v>
      </c>
      <c r="J772" t="n">
        <v>0</v>
      </c>
      <c r="K772" t="n">
        <v>0</v>
      </c>
      <c r="L772" t="n">
        <v>0</v>
      </c>
      <c r="M772" t="n">
        <v>0</v>
      </c>
      <c r="N772" t="n">
        <v>0</v>
      </c>
      <c r="O772" t="n">
        <v>0</v>
      </c>
      <c r="P772" t="n">
        <v>0</v>
      </c>
      <c r="Q772" t="n">
        <v>0</v>
      </c>
      <c r="R772" s="2" t="inlineStr"/>
    </row>
    <row r="773" ht="15" customHeight="1">
      <c r="A773" t="inlineStr">
        <is>
          <t>A 17923-2025</t>
        </is>
      </c>
      <c r="B773" s="1" t="n">
        <v>45759.34415509259</v>
      </c>
      <c r="C773" s="1" t="n">
        <v>46061</v>
      </c>
      <c r="D773" t="inlineStr">
        <is>
          <t>VÄSTERNORRLANDS LÄN</t>
        </is>
      </c>
      <c r="E773" t="inlineStr">
        <is>
          <t>ÅNGE</t>
        </is>
      </c>
      <c r="F773" t="inlineStr">
        <is>
          <t>SCA</t>
        </is>
      </c>
      <c r="G773" t="n">
        <v>9.6</v>
      </c>
      <c r="H773" t="n">
        <v>0</v>
      </c>
      <c r="I773" t="n">
        <v>0</v>
      </c>
      <c r="J773" t="n">
        <v>0</v>
      </c>
      <c r="K773" t="n">
        <v>0</v>
      </c>
      <c r="L773" t="n">
        <v>0</v>
      </c>
      <c r="M773" t="n">
        <v>0</v>
      </c>
      <c r="N773" t="n">
        <v>0</v>
      </c>
      <c r="O773" t="n">
        <v>0</v>
      </c>
      <c r="P773" t="n">
        <v>0</v>
      </c>
      <c r="Q773" t="n">
        <v>0</v>
      </c>
      <c r="R773" s="2" t="inlineStr"/>
    </row>
    <row r="774" ht="15" customHeight="1">
      <c r="A774" t="inlineStr">
        <is>
          <t>A 50008-2025</t>
        </is>
      </c>
      <c r="B774" s="1" t="n">
        <v>45943.34515046296</v>
      </c>
      <c r="C774" s="1" t="n">
        <v>46061</v>
      </c>
      <c r="D774" t="inlineStr">
        <is>
          <t>VÄSTERNORRLANDS LÄN</t>
        </is>
      </c>
      <c r="E774" t="inlineStr">
        <is>
          <t>ÅNGE</t>
        </is>
      </c>
      <c r="G774" t="n">
        <v>13.9</v>
      </c>
      <c r="H774" t="n">
        <v>0</v>
      </c>
      <c r="I774" t="n">
        <v>0</v>
      </c>
      <c r="J774" t="n">
        <v>0</v>
      </c>
      <c r="K774" t="n">
        <v>0</v>
      </c>
      <c r="L774" t="n">
        <v>0</v>
      </c>
      <c r="M774" t="n">
        <v>0</v>
      </c>
      <c r="N774" t="n">
        <v>0</v>
      </c>
      <c r="O774" t="n">
        <v>0</v>
      </c>
      <c r="P774" t="n">
        <v>0</v>
      </c>
      <c r="Q774" t="n">
        <v>0</v>
      </c>
      <c r="R774" s="2" t="inlineStr"/>
    </row>
    <row r="775" ht="15" customHeight="1">
      <c r="A775" t="inlineStr">
        <is>
          <t>A 13164-2022</t>
        </is>
      </c>
      <c r="B775" s="1" t="n">
        <v>44644</v>
      </c>
      <c r="C775" s="1" t="n">
        <v>46061</v>
      </c>
      <c r="D775" t="inlineStr">
        <is>
          <t>VÄSTERNORRLANDS LÄN</t>
        </is>
      </c>
      <c r="E775" t="inlineStr">
        <is>
          <t>ÅNGE</t>
        </is>
      </c>
      <c r="G775" t="n">
        <v>1.8</v>
      </c>
      <c r="H775" t="n">
        <v>0</v>
      </c>
      <c r="I775" t="n">
        <v>0</v>
      </c>
      <c r="J775" t="n">
        <v>0</v>
      </c>
      <c r="K775" t="n">
        <v>0</v>
      </c>
      <c r="L775" t="n">
        <v>0</v>
      </c>
      <c r="M775" t="n">
        <v>0</v>
      </c>
      <c r="N775" t="n">
        <v>0</v>
      </c>
      <c r="O775" t="n">
        <v>0</v>
      </c>
      <c r="P775" t="n">
        <v>0</v>
      </c>
      <c r="Q775" t="n">
        <v>0</v>
      </c>
      <c r="R775" s="2" t="inlineStr"/>
    </row>
    <row r="776" ht="15" customHeight="1">
      <c r="A776" t="inlineStr">
        <is>
          <t>A 33782-2025</t>
        </is>
      </c>
      <c r="B776" s="1" t="n">
        <v>45842.40678240741</v>
      </c>
      <c r="C776" s="1" t="n">
        <v>46061</v>
      </c>
      <c r="D776" t="inlineStr">
        <is>
          <t>VÄSTERNORRLANDS LÄN</t>
        </is>
      </c>
      <c r="E776" t="inlineStr">
        <is>
          <t>ÅNGE</t>
        </is>
      </c>
      <c r="F776" t="inlineStr">
        <is>
          <t>SCA</t>
        </is>
      </c>
      <c r="G776" t="n">
        <v>8.4</v>
      </c>
      <c r="H776" t="n">
        <v>0</v>
      </c>
      <c r="I776" t="n">
        <v>0</v>
      </c>
      <c r="J776" t="n">
        <v>0</v>
      </c>
      <c r="K776" t="n">
        <v>0</v>
      </c>
      <c r="L776" t="n">
        <v>0</v>
      </c>
      <c r="M776" t="n">
        <v>0</v>
      </c>
      <c r="N776" t="n">
        <v>0</v>
      </c>
      <c r="O776" t="n">
        <v>0</v>
      </c>
      <c r="P776" t="n">
        <v>0</v>
      </c>
      <c r="Q776" t="n">
        <v>0</v>
      </c>
      <c r="R776" s="2" t="inlineStr"/>
    </row>
    <row r="777" ht="15" customHeight="1">
      <c r="A777" t="inlineStr">
        <is>
          <t>A 34019-2025</t>
        </is>
      </c>
      <c r="B777" s="1" t="n">
        <v>45845.34416666667</v>
      </c>
      <c r="C777" s="1" t="n">
        <v>46061</v>
      </c>
      <c r="D777" t="inlineStr">
        <is>
          <t>VÄSTERNORRLANDS LÄN</t>
        </is>
      </c>
      <c r="E777" t="inlineStr">
        <is>
          <t>ÅNGE</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20231-2022</t>
        </is>
      </c>
      <c r="B778" s="1" t="n">
        <v>44698</v>
      </c>
      <c r="C778" s="1" t="n">
        <v>46061</v>
      </c>
      <c r="D778" t="inlineStr">
        <is>
          <t>VÄSTERNORRLANDS LÄN</t>
        </is>
      </c>
      <c r="E778" t="inlineStr">
        <is>
          <t>ÅNGE</t>
        </is>
      </c>
      <c r="G778" t="n">
        <v>4.2</v>
      </c>
      <c r="H778" t="n">
        <v>0</v>
      </c>
      <c r="I778" t="n">
        <v>0</v>
      </c>
      <c r="J778" t="n">
        <v>0</v>
      </c>
      <c r="K778" t="n">
        <v>0</v>
      </c>
      <c r="L778" t="n">
        <v>0</v>
      </c>
      <c r="M778" t="n">
        <v>0</v>
      </c>
      <c r="N778" t="n">
        <v>0</v>
      </c>
      <c r="O778" t="n">
        <v>0</v>
      </c>
      <c r="P778" t="n">
        <v>0</v>
      </c>
      <c r="Q778" t="n">
        <v>0</v>
      </c>
      <c r="R778" s="2" t="inlineStr"/>
    </row>
    <row r="779" ht="15" customHeight="1">
      <c r="A779" t="inlineStr">
        <is>
          <t>A 60363-2024</t>
        </is>
      </c>
      <c r="B779" s="1" t="n">
        <v>45643</v>
      </c>
      <c r="C779" s="1" t="n">
        <v>46061</v>
      </c>
      <c r="D779" t="inlineStr">
        <is>
          <t>VÄSTERNORRLANDS LÄN</t>
        </is>
      </c>
      <c r="E779" t="inlineStr">
        <is>
          <t>ÅNGE</t>
        </is>
      </c>
      <c r="G779" t="n">
        <v>1.3</v>
      </c>
      <c r="H779" t="n">
        <v>0</v>
      </c>
      <c r="I779" t="n">
        <v>0</v>
      </c>
      <c r="J779" t="n">
        <v>0</v>
      </c>
      <c r="K779" t="n">
        <v>0</v>
      </c>
      <c r="L779" t="n">
        <v>0</v>
      </c>
      <c r="M779" t="n">
        <v>0</v>
      </c>
      <c r="N779" t="n">
        <v>0</v>
      </c>
      <c r="O779" t="n">
        <v>0</v>
      </c>
      <c r="P779" t="n">
        <v>0</v>
      </c>
      <c r="Q779" t="n">
        <v>0</v>
      </c>
      <c r="R779" s="2" t="inlineStr"/>
    </row>
    <row r="780" ht="15" customHeight="1">
      <c r="A780" t="inlineStr">
        <is>
          <t>A 15369-2024</t>
        </is>
      </c>
      <c r="B780" s="1" t="n">
        <v>45400.92290509259</v>
      </c>
      <c r="C780" s="1" t="n">
        <v>46061</v>
      </c>
      <c r="D780" t="inlineStr">
        <is>
          <t>VÄSTERNORRLANDS LÄN</t>
        </is>
      </c>
      <c r="E780" t="inlineStr">
        <is>
          <t>ÅNGE</t>
        </is>
      </c>
      <c r="G780" t="n">
        <v>0.4</v>
      </c>
      <c r="H780" t="n">
        <v>0</v>
      </c>
      <c r="I780" t="n">
        <v>0</v>
      </c>
      <c r="J780" t="n">
        <v>0</v>
      </c>
      <c r="K780" t="n">
        <v>0</v>
      </c>
      <c r="L780" t="n">
        <v>0</v>
      </c>
      <c r="M780" t="n">
        <v>0</v>
      </c>
      <c r="N780" t="n">
        <v>0</v>
      </c>
      <c r="O780" t="n">
        <v>0</v>
      </c>
      <c r="P780" t="n">
        <v>0</v>
      </c>
      <c r="Q780" t="n">
        <v>0</v>
      </c>
      <c r="R780" s="2" t="inlineStr"/>
    </row>
    <row r="781" ht="15" customHeight="1">
      <c r="A781" t="inlineStr">
        <is>
          <t>A 33717-2025</t>
        </is>
      </c>
      <c r="B781" s="1" t="n">
        <v>45841.89357638889</v>
      </c>
      <c r="C781" s="1" t="n">
        <v>46061</v>
      </c>
      <c r="D781" t="inlineStr">
        <is>
          <t>VÄSTERNORRLANDS LÄN</t>
        </is>
      </c>
      <c r="E781" t="inlineStr">
        <is>
          <t>ÅNGE</t>
        </is>
      </c>
      <c r="G781" t="n">
        <v>14.3</v>
      </c>
      <c r="H781" t="n">
        <v>0</v>
      </c>
      <c r="I781" t="n">
        <v>0</v>
      </c>
      <c r="J781" t="n">
        <v>0</v>
      </c>
      <c r="K781" t="n">
        <v>0</v>
      </c>
      <c r="L781" t="n">
        <v>0</v>
      </c>
      <c r="M781" t="n">
        <v>0</v>
      </c>
      <c r="N781" t="n">
        <v>0</v>
      </c>
      <c r="O781" t="n">
        <v>0</v>
      </c>
      <c r="P781" t="n">
        <v>0</v>
      </c>
      <c r="Q781" t="n">
        <v>0</v>
      </c>
      <c r="R781" s="2" t="inlineStr"/>
    </row>
    <row r="782" ht="15" customHeight="1">
      <c r="A782" t="inlineStr">
        <is>
          <t>A 26010-2024</t>
        </is>
      </c>
      <c r="B782" s="1" t="n">
        <v>45467.95819444444</v>
      </c>
      <c r="C782" s="1" t="n">
        <v>46061</v>
      </c>
      <c r="D782" t="inlineStr">
        <is>
          <t>VÄSTERNORRLANDS LÄN</t>
        </is>
      </c>
      <c r="E782" t="inlineStr">
        <is>
          <t>ÅNGE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50291-2025</t>
        </is>
      </c>
      <c r="B783" s="1" t="n">
        <v>45944.40677083333</v>
      </c>
      <c r="C783" s="1" t="n">
        <v>46061</v>
      </c>
      <c r="D783" t="inlineStr">
        <is>
          <t>VÄSTERNORRLANDS LÄN</t>
        </is>
      </c>
      <c r="E783" t="inlineStr">
        <is>
          <t>ÅNGE</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50460-2025</t>
        </is>
      </c>
      <c r="B784" s="1" t="n">
        <v>45945.345</v>
      </c>
      <c r="C784" s="1" t="n">
        <v>46061</v>
      </c>
      <c r="D784" t="inlineStr">
        <is>
          <t>VÄSTERNORRLANDS LÄN</t>
        </is>
      </c>
      <c r="E784" t="inlineStr">
        <is>
          <t>ÅNGE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52785-2024</t>
        </is>
      </c>
      <c r="B785" s="1" t="n">
        <v>45610.55273148148</v>
      </c>
      <c r="C785" s="1" t="n">
        <v>46061</v>
      </c>
      <c r="D785" t="inlineStr">
        <is>
          <t>VÄSTERNORRLANDS LÄN</t>
        </is>
      </c>
      <c r="E785" t="inlineStr">
        <is>
          <t>ÅNGE</t>
        </is>
      </c>
      <c r="F785" t="inlineStr">
        <is>
          <t>SCA</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52786-2024</t>
        </is>
      </c>
      <c r="B786" s="1" t="n">
        <v>45610.55283564814</v>
      </c>
      <c r="C786" s="1" t="n">
        <v>46061</v>
      </c>
      <c r="D786" t="inlineStr">
        <is>
          <t>VÄSTERNORRLANDS LÄN</t>
        </is>
      </c>
      <c r="E786" t="inlineStr">
        <is>
          <t>ÅNGE</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46254-2023</t>
        </is>
      </c>
      <c r="B787" s="1" t="n">
        <v>45196</v>
      </c>
      <c r="C787" s="1" t="n">
        <v>46061</v>
      </c>
      <c r="D787" t="inlineStr">
        <is>
          <t>VÄSTERNORRLANDS LÄN</t>
        </is>
      </c>
      <c r="E787" t="inlineStr">
        <is>
          <t>ÅNGE</t>
        </is>
      </c>
      <c r="F787" t="inlineStr">
        <is>
          <t>SCA</t>
        </is>
      </c>
      <c r="G787" t="n">
        <v>0.1</v>
      </c>
      <c r="H787" t="n">
        <v>0</v>
      </c>
      <c r="I787" t="n">
        <v>0</v>
      </c>
      <c r="J787" t="n">
        <v>0</v>
      </c>
      <c r="K787" t="n">
        <v>0</v>
      </c>
      <c r="L787" t="n">
        <v>0</v>
      </c>
      <c r="M787" t="n">
        <v>0</v>
      </c>
      <c r="N787" t="n">
        <v>0</v>
      </c>
      <c r="O787" t="n">
        <v>0</v>
      </c>
      <c r="P787" t="n">
        <v>0</v>
      </c>
      <c r="Q787" t="n">
        <v>0</v>
      </c>
      <c r="R787" s="2" t="inlineStr"/>
    </row>
    <row r="788" ht="15" customHeight="1">
      <c r="A788" t="inlineStr">
        <is>
          <t>A 46262-2023</t>
        </is>
      </c>
      <c r="B788" s="1" t="n">
        <v>45196.93855324074</v>
      </c>
      <c r="C788" s="1" t="n">
        <v>46061</v>
      </c>
      <c r="D788" t="inlineStr">
        <is>
          <t>VÄSTERNORRLANDS LÄN</t>
        </is>
      </c>
      <c r="E788" t="inlineStr">
        <is>
          <t>ÅNGE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50571-2025</t>
        </is>
      </c>
      <c r="B789" s="1" t="n">
        <v>45945.57443287037</v>
      </c>
      <c r="C789" s="1" t="n">
        <v>46061</v>
      </c>
      <c r="D789" t="inlineStr">
        <is>
          <t>VÄSTERNORRLANDS LÄN</t>
        </is>
      </c>
      <c r="E789" t="inlineStr">
        <is>
          <t>ÅNGE</t>
        </is>
      </c>
      <c r="G789" t="n">
        <v>2.5</v>
      </c>
      <c r="H789" t="n">
        <v>0</v>
      </c>
      <c r="I789" t="n">
        <v>0</v>
      </c>
      <c r="J789" t="n">
        <v>0</v>
      </c>
      <c r="K789" t="n">
        <v>0</v>
      </c>
      <c r="L789" t="n">
        <v>0</v>
      </c>
      <c r="M789" t="n">
        <v>0</v>
      </c>
      <c r="N789" t="n">
        <v>0</v>
      </c>
      <c r="O789" t="n">
        <v>0</v>
      </c>
      <c r="P789" t="n">
        <v>0</v>
      </c>
      <c r="Q789" t="n">
        <v>0</v>
      </c>
      <c r="R789" s="2" t="inlineStr"/>
    </row>
    <row r="790" ht="15" customHeight="1">
      <c r="A790" t="inlineStr">
        <is>
          <t>A 48725-2024</t>
        </is>
      </c>
      <c r="B790" s="1" t="n">
        <v>45593.55793981482</v>
      </c>
      <c r="C790" s="1" t="n">
        <v>46061</v>
      </c>
      <c r="D790" t="inlineStr">
        <is>
          <t>VÄSTERNORRLANDS LÄN</t>
        </is>
      </c>
      <c r="E790" t="inlineStr">
        <is>
          <t>ÅNGE</t>
        </is>
      </c>
      <c r="G790" t="n">
        <v>1.4</v>
      </c>
      <c r="H790" t="n">
        <v>0</v>
      </c>
      <c r="I790" t="n">
        <v>0</v>
      </c>
      <c r="J790" t="n">
        <v>0</v>
      </c>
      <c r="K790" t="n">
        <v>0</v>
      </c>
      <c r="L790" t="n">
        <v>0</v>
      </c>
      <c r="M790" t="n">
        <v>0</v>
      </c>
      <c r="N790" t="n">
        <v>0</v>
      </c>
      <c r="O790" t="n">
        <v>0</v>
      </c>
      <c r="P790" t="n">
        <v>0</v>
      </c>
      <c r="Q790" t="n">
        <v>0</v>
      </c>
      <c r="R790" s="2" t="inlineStr"/>
    </row>
    <row r="791" ht="15" customHeight="1">
      <c r="A791" t="inlineStr">
        <is>
          <t>A 34591-2025</t>
        </is>
      </c>
      <c r="B791" s="1" t="n">
        <v>45847.62920138889</v>
      </c>
      <c r="C791" s="1" t="n">
        <v>46061</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34593-2025</t>
        </is>
      </c>
      <c r="B792" s="1" t="n">
        <v>45847.6316087963</v>
      </c>
      <c r="C792" s="1" t="n">
        <v>46061</v>
      </c>
      <c r="D792" t="inlineStr">
        <is>
          <t>VÄSTERNORRLANDS LÄN</t>
        </is>
      </c>
      <c r="E792" t="inlineStr">
        <is>
          <t>ÅNGE</t>
        </is>
      </c>
      <c r="G792" t="n">
        <v>5.3</v>
      </c>
      <c r="H792" t="n">
        <v>0</v>
      </c>
      <c r="I792" t="n">
        <v>0</v>
      </c>
      <c r="J792" t="n">
        <v>0</v>
      </c>
      <c r="K792" t="n">
        <v>0</v>
      </c>
      <c r="L792" t="n">
        <v>0</v>
      </c>
      <c r="M792" t="n">
        <v>0</v>
      </c>
      <c r="N792" t="n">
        <v>0</v>
      </c>
      <c r="O792" t="n">
        <v>0</v>
      </c>
      <c r="P792" t="n">
        <v>0</v>
      </c>
      <c r="Q792" t="n">
        <v>0</v>
      </c>
      <c r="R792" s="2" t="inlineStr"/>
    </row>
    <row r="793" ht="15" customHeight="1">
      <c r="A793" t="inlineStr">
        <is>
          <t>A 50767-2025</t>
        </is>
      </c>
      <c r="B793" s="1" t="n">
        <v>45946</v>
      </c>
      <c r="C793" s="1" t="n">
        <v>46061</v>
      </c>
      <c r="D793" t="inlineStr">
        <is>
          <t>VÄSTERNORRLANDS LÄN</t>
        </is>
      </c>
      <c r="E793" t="inlineStr">
        <is>
          <t>ÅNGE</t>
        </is>
      </c>
      <c r="G793" t="n">
        <v>0.7</v>
      </c>
      <c r="H793" t="n">
        <v>0</v>
      </c>
      <c r="I793" t="n">
        <v>0</v>
      </c>
      <c r="J793" t="n">
        <v>0</v>
      </c>
      <c r="K793" t="n">
        <v>0</v>
      </c>
      <c r="L793" t="n">
        <v>0</v>
      </c>
      <c r="M793" t="n">
        <v>0</v>
      </c>
      <c r="N793" t="n">
        <v>0</v>
      </c>
      <c r="O793" t="n">
        <v>0</v>
      </c>
      <c r="P793" t="n">
        <v>0</v>
      </c>
      <c r="Q793" t="n">
        <v>0</v>
      </c>
      <c r="R793" s="2" t="inlineStr"/>
    </row>
    <row r="794" ht="15" customHeight="1">
      <c r="A794" t="inlineStr">
        <is>
          <t>A 50769-2025</t>
        </is>
      </c>
      <c r="B794" s="1" t="n">
        <v>45946.44864583333</v>
      </c>
      <c r="C794" s="1" t="n">
        <v>46061</v>
      </c>
      <c r="D794" t="inlineStr">
        <is>
          <t>VÄSTERNORRLANDS LÄN</t>
        </is>
      </c>
      <c r="E794" t="inlineStr">
        <is>
          <t>ÅNGE</t>
        </is>
      </c>
      <c r="G794" t="n">
        <v>3.4</v>
      </c>
      <c r="H794" t="n">
        <v>0</v>
      </c>
      <c r="I794" t="n">
        <v>0</v>
      </c>
      <c r="J794" t="n">
        <v>0</v>
      </c>
      <c r="K794" t="n">
        <v>0</v>
      </c>
      <c r="L794" t="n">
        <v>0</v>
      </c>
      <c r="M794" t="n">
        <v>0</v>
      </c>
      <c r="N794" t="n">
        <v>0</v>
      </c>
      <c r="O794" t="n">
        <v>0</v>
      </c>
      <c r="P794" t="n">
        <v>0</v>
      </c>
      <c r="Q794" t="n">
        <v>0</v>
      </c>
      <c r="R794" s="2" t="inlineStr"/>
    </row>
    <row r="795" ht="15" customHeight="1">
      <c r="A795" t="inlineStr">
        <is>
          <t>A 39619-2024</t>
        </is>
      </c>
      <c r="B795" s="1" t="n">
        <v>45552</v>
      </c>
      <c r="C795" s="1" t="n">
        <v>46061</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37051-2021</t>
        </is>
      </c>
      <c r="B796" s="1" t="n">
        <v>44393</v>
      </c>
      <c r="C796" s="1" t="n">
        <v>46061</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34785-2025</t>
        </is>
      </c>
      <c r="B797" s="1" t="n">
        <v>45848.67771990741</v>
      </c>
      <c r="C797" s="1" t="n">
        <v>46061</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5613-2024</t>
        </is>
      </c>
      <c r="B798" s="1" t="n">
        <v>45334</v>
      </c>
      <c r="C798" s="1" t="n">
        <v>46061</v>
      </c>
      <c r="D798" t="inlineStr">
        <is>
          <t>VÄSTERNORRLANDS LÄN</t>
        </is>
      </c>
      <c r="E798" t="inlineStr">
        <is>
          <t>ÅNGE</t>
        </is>
      </c>
      <c r="G798" t="n">
        <v>0.4</v>
      </c>
      <c r="H798" t="n">
        <v>0</v>
      </c>
      <c r="I798" t="n">
        <v>0</v>
      </c>
      <c r="J798" t="n">
        <v>0</v>
      </c>
      <c r="K798" t="n">
        <v>0</v>
      </c>
      <c r="L798" t="n">
        <v>0</v>
      </c>
      <c r="M798" t="n">
        <v>0</v>
      </c>
      <c r="N798" t="n">
        <v>0</v>
      </c>
      <c r="O798" t="n">
        <v>0</v>
      </c>
      <c r="P798" t="n">
        <v>0</v>
      </c>
      <c r="Q798" t="n">
        <v>0</v>
      </c>
      <c r="R798" s="2" t="inlineStr"/>
    </row>
    <row r="799" ht="15" customHeight="1">
      <c r="A799" t="inlineStr">
        <is>
          <t>A 51109-2025</t>
        </is>
      </c>
      <c r="B799" s="1" t="n">
        <v>45947.50263888889</v>
      </c>
      <c r="C799" s="1" t="n">
        <v>46061</v>
      </c>
      <c r="D799" t="inlineStr">
        <is>
          <t>VÄSTERNORRLANDS LÄN</t>
        </is>
      </c>
      <c r="E799" t="inlineStr">
        <is>
          <t>ÅNGE</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61928-2021</t>
        </is>
      </c>
      <c r="B800" s="1" t="n">
        <v>44502.38475694445</v>
      </c>
      <c r="C800" s="1" t="n">
        <v>46061</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5367-2022</t>
        </is>
      </c>
      <c r="B801" s="1" t="n">
        <v>44594.92111111111</v>
      </c>
      <c r="C801" s="1" t="n">
        <v>46061</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54429-2024</t>
        </is>
      </c>
      <c r="B802" s="1" t="n">
        <v>45617.49087962963</v>
      </c>
      <c r="C802" s="1" t="n">
        <v>46061</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24293-2023</t>
        </is>
      </c>
      <c r="B803" s="1" t="n">
        <v>45079.92756944444</v>
      </c>
      <c r="C803" s="1" t="n">
        <v>46061</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35143-2025</t>
        </is>
      </c>
      <c r="B804" s="1" t="n">
        <v>45852.65660879629</v>
      </c>
      <c r="C804" s="1" t="n">
        <v>46061</v>
      </c>
      <c r="D804" t="inlineStr">
        <is>
          <t>VÄSTERNORRLANDS LÄN</t>
        </is>
      </c>
      <c r="E804" t="inlineStr">
        <is>
          <t>ÅNGE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361-2025</t>
        </is>
      </c>
      <c r="B805" s="1" t="n">
        <v>45660</v>
      </c>
      <c r="C805" s="1" t="n">
        <v>46061</v>
      </c>
      <c r="D805" t="inlineStr">
        <is>
          <t>VÄSTERNORRLANDS LÄN</t>
        </is>
      </c>
      <c r="E805" t="inlineStr">
        <is>
          <t>ÅNGE</t>
        </is>
      </c>
      <c r="G805" t="n">
        <v>4.2</v>
      </c>
      <c r="H805" t="n">
        <v>0</v>
      </c>
      <c r="I805" t="n">
        <v>0</v>
      </c>
      <c r="J805" t="n">
        <v>0</v>
      </c>
      <c r="K805" t="n">
        <v>0</v>
      </c>
      <c r="L805" t="n">
        <v>0</v>
      </c>
      <c r="M805" t="n">
        <v>0</v>
      </c>
      <c r="N805" t="n">
        <v>0</v>
      </c>
      <c r="O805" t="n">
        <v>0</v>
      </c>
      <c r="P805" t="n">
        <v>0</v>
      </c>
      <c r="Q805" t="n">
        <v>0</v>
      </c>
      <c r="R805" s="2" t="inlineStr"/>
    </row>
    <row r="806" ht="15" customHeight="1">
      <c r="A806" t="inlineStr">
        <is>
          <t>A 35061-2025</t>
        </is>
      </c>
      <c r="B806" s="1" t="n">
        <v>45852</v>
      </c>
      <c r="C806" s="1" t="n">
        <v>46061</v>
      </c>
      <c r="D806" t="inlineStr">
        <is>
          <t>VÄSTERNORRLANDS LÄN</t>
        </is>
      </c>
      <c r="E806" t="inlineStr">
        <is>
          <t>ÅNGE</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51370-2025</t>
        </is>
      </c>
      <c r="B807" s="1" t="n">
        <v>45950.44818287037</v>
      </c>
      <c r="C807" s="1" t="n">
        <v>46061</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51382-2025</t>
        </is>
      </c>
      <c r="B808" s="1" t="n">
        <v>45950.46019675926</v>
      </c>
      <c r="C808" s="1" t="n">
        <v>46061</v>
      </c>
      <c r="D808" t="inlineStr">
        <is>
          <t>VÄSTERNORRLANDS LÄN</t>
        </is>
      </c>
      <c r="E808" t="inlineStr">
        <is>
          <t>ÅNGE</t>
        </is>
      </c>
      <c r="G808" t="n">
        <v>3</v>
      </c>
      <c r="H808" t="n">
        <v>0</v>
      </c>
      <c r="I808" t="n">
        <v>0</v>
      </c>
      <c r="J808" t="n">
        <v>0</v>
      </c>
      <c r="K808" t="n">
        <v>0</v>
      </c>
      <c r="L808" t="n">
        <v>0</v>
      </c>
      <c r="M808" t="n">
        <v>0</v>
      </c>
      <c r="N808" t="n">
        <v>0</v>
      </c>
      <c r="O808" t="n">
        <v>0</v>
      </c>
      <c r="P808" t="n">
        <v>0</v>
      </c>
      <c r="Q808" t="n">
        <v>0</v>
      </c>
      <c r="R808" s="2" t="inlineStr"/>
    </row>
    <row r="809" ht="15" customHeight="1">
      <c r="A809" t="inlineStr">
        <is>
          <t>A 51416-2025</t>
        </is>
      </c>
      <c r="B809" s="1" t="n">
        <v>45950.51097222222</v>
      </c>
      <c r="C809" s="1" t="n">
        <v>46061</v>
      </c>
      <c r="D809" t="inlineStr">
        <is>
          <t>VÄSTERNORRLANDS LÄN</t>
        </is>
      </c>
      <c r="E809" t="inlineStr">
        <is>
          <t>ÅNGE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39985-2023</t>
        </is>
      </c>
      <c r="B810" s="1" t="n">
        <v>45168</v>
      </c>
      <c r="C810" s="1" t="n">
        <v>46061</v>
      </c>
      <c r="D810" t="inlineStr">
        <is>
          <t>VÄSTERNORRLANDS LÄN</t>
        </is>
      </c>
      <c r="E810" t="inlineStr">
        <is>
          <t>ÅNGE</t>
        </is>
      </c>
      <c r="G810" t="n">
        <v>0.1</v>
      </c>
      <c r="H810" t="n">
        <v>0</v>
      </c>
      <c r="I810" t="n">
        <v>0</v>
      </c>
      <c r="J810" t="n">
        <v>0</v>
      </c>
      <c r="K810" t="n">
        <v>0</v>
      </c>
      <c r="L810" t="n">
        <v>0</v>
      </c>
      <c r="M810" t="n">
        <v>0</v>
      </c>
      <c r="N810" t="n">
        <v>0</v>
      </c>
      <c r="O810" t="n">
        <v>0</v>
      </c>
      <c r="P810" t="n">
        <v>0</v>
      </c>
      <c r="Q810" t="n">
        <v>0</v>
      </c>
      <c r="R810" s="2" t="inlineStr"/>
    </row>
    <row r="811" ht="15" customHeight="1">
      <c r="A811" t="inlineStr">
        <is>
          <t>A 35432-2025</t>
        </is>
      </c>
      <c r="B811" s="1" t="n">
        <v>45855.44831018519</v>
      </c>
      <c r="C811" s="1" t="n">
        <v>46061</v>
      </c>
      <c r="D811" t="inlineStr">
        <is>
          <t>VÄSTERNORRLANDS LÄN</t>
        </is>
      </c>
      <c r="E811" t="inlineStr">
        <is>
          <t>ÅNGE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49945-2023</t>
        </is>
      </c>
      <c r="B812" s="1" t="n">
        <v>45215.3625462963</v>
      </c>
      <c r="C812" s="1" t="n">
        <v>46061</v>
      </c>
      <c r="D812" t="inlineStr">
        <is>
          <t>VÄSTERNORRLANDS LÄN</t>
        </is>
      </c>
      <c r="E812" t="inlineStr">
        <is>
          <t>ÅNGE</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1420-2023</t>
        </is>
      </c>
      <c r="B813" s="1" t="n">
        <v>44936.92762731481</v>
      </c>
      <c r="C813" s="1" t="n">
        <v>46061</v>
      </c>
      <c r="D813" t="inlineStr">
        <is>
          <t>VÄSTERNORRLANDS LÄN</t>
        </is>
      </c>
      <c r="E813" t="inlineStr">
        <is>
          <t>ÅNGE</t>
        </is>
      </c>
      <c r="G813" t="n">
        <v>3.7</v>
      </c>
      <c r="H813" t="n">
        <v>0</v>
      </c>
      <c r="I813" t="n">
        <v>0</v>
      </c>
      <c r="J813" t="n">
        <v>0</v>
      </c>
      <c r="K813" t="n">
        <v>0</v>
      </c>
      <c r="L813" t="n">
        <v>0</v>
      </c>
      <c r="M813" t="n">
        <v>0</v>
      </c>
      <c r="N813" t="n">
        <v>0</v>
      </c>
      <c r="O813" t="n">
        <v>0</v>
      </c>
      <c r="P813" t="n">
        <v>0</v>
      </c>
      <c r="Q813" t="n">
        <v>0</v>
      </c>
      <c r="R813" s="2" t="inlineStr"/>
    </row>
    <row r="814" ht="15" customHeight="1">
      <c r="A814" t="inlineStr">
        <is>
          <t>A 35497-2025</t>
        </is>
      </c>
      <c r="B814" s="1" t="n">
        <v>45856.29752314815</v>
      </c>
      <c r="C814" s="1" t="n">
        <v>46061</v>
      </c>
      <c r="D814" t="inlineStr">
        <is>
          <t>VÄSTERNORRLANDS LÄN</t>
        </is>
      </c>
      <c r="E814" t="inlineStr">
        <is>
          <t>ÅNGE</t>
        </is>
      </c>
      <c r="G814" t="n">
        <v>0.7</v>
      </c>
      <c r="H814" t="n">
        <v>0</v>
      </c>
      <c r="I814" t="n">
        <v>0</v>
      </c>
      <c r="J814" t="n">
        <v>0</v>
      </c>
      <c r="K814" t="n">
        <v>0</v>
      </c>
      <c r="L814" t="n">
        <v>0</v>
      </c>
      <c r="M814" t="n">
        <v>0</v>
      </c>
      <c r="N814" t="n">
        <v>0</v>
      </c>
      <c r="O814" t="n">
        <v>0</v>
      </c>
      <c r="P814" t="n">
        <v>0</v>
      </c>
      <c r="Q814" t="n">
        <v>0</v>
      </c>
      <c r="R814" s="2" t="inlineStr"/>
    </row>
    <row r="815" ht="15" customHeight="1">
      <c r="A815" t="inlineStr">
        <is>
          <t>A 35577-2025</t>
        </is>
      </c>
      <c r="B815" s="1" t="n">
        <v>45856.67762731481</v>
      </c>
      <c r="C815" s="1" t="n">
        <v>46061</v>
      </c>
      <c r="D815" t="inlineStr">
        <is>
          <t>VÄSTERNORRLANDS LÄN</t>
        </is>
      </c>
      <c r="E815" t="inlineStr">
        <is>
          <t>ÅNGE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34691-2024</t>
        </is>
      </c>
      <c r="B816" s="1" t="n">
        <v>45526.54516203704</v>
      </c>
      <c r="C816" s="1" t="n">
        <v>46061</v>
      </c>
      <c r="D816" t="inlineStr">
        <is>
          <t>VÄSTERNORRLANDS LÄN</t>
        </is>
      </c>
      <c r="E816" t="inlineStr">
        <is>
          <t>ÅNGE</t>
        </is>
      </c>
      <c r="G816" t="n">
        <v>0.5</v>
      </c>
      <c r="H816" t="n">
        <v>0</v>
      </c>
      <c r="I816" t="n">
        <v>0</v>
      </c>
      <c r="J816" t="n">
        <v>0</v>
      </c>
      <c r="K816" t="n">
        <v>0</v>
      </c>
      <c r="L816" t="n">
        <v>0</v>
      </c>
      <c r="M816" t="n">
        <v>0</v>
      </c>
      <c r="N816" t="n">
        <v>0</v>
      </c>
      <c r="O816" t="n">
        <v>0</v>
      </c>
      <c r="P816" t="n">
        <v>0</v>
      </c>
      <c r="Q816" t="n">
        <v>0</v>
      </c>
      <c r="R816" s="2" t="inlineStr"/>
    </row>
    <row r="817" ht="15" customHeight="1">
      <c r="A817" t="inlineStr">
        <is>
          <t>A 35548-2025</t>
        </is>
      </c>
      <c r="B817" s="1" t="n">
        <v>45856.48995370371</v>
      </c>
      <c r="C817" s="1" t="n">
        <v>46061</v>
      </c>
      <c r="D817" t="inlineStr">
        <is>
          <t>VÄSTERNORRLANDS LÄN</t>
        </is>
      </c>
      <c r="E817" t="inlineStr">
        <is>
          <t>ÅNGE</t>
        </is>
      </c>
      <c r="F817" t="inlineStr">
        <is>
          <t>SCA</t>
        </is>
      </c>
      <c r="G817" t="n">
        <v>14.6</v>
      </c>
      <c r="H817" t="n">
        <v>0</v>
      </c>
      <c r="I817" t="n">
        <v>0</v>
      </c>
      <c r="J817" t="n">
        <v>0</v>
      </c>
      <c r="K817" t="n">
        <v>0</v>
      </c>
      <c r="L817" t="n">
        <v>0</v>
      </c>
      <c r="M817" t="n">
        <v>0</v>
      </c>
      <c r="N817" t="n">
        <v>0</v>
      </c>
      <c r="O817" t="n">
        <v>0</v>
      </c>
      <c r="P817" t="n">
        <v>0</v>
      </c>
      <c r="Q817" t="n">
        <v>0</v>
      </c>
      <c r="R817" s="2" t="inlineStr"/>
    </row>
    <row r="818" ht="15" customHeight="1">
      <c r="A818" t="inlineStr">
        <is>
          <t>A 35575-2025</t>
        </is>
      </c>
      <c r="B818" s="1" t="n">
        <v>45856.63591435185</v>
      </c>
      <c r="C818" s="1" t="n">
        <v>46061</v>
      </c>
      <c r="D818" t="inlineStr">
        <is>
          <t>VÄSTERNORRLANDS LÄN</t>
        </is>
      </c>
      <c r="E818" t="inlineStr">
        <is>
          <t>ÅNGE</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35503-2025</t>
        </is>
      </c>
      <c r="B819" s="1" t="n">
        <v>45856</v>
      </c>
      <c r="C819" s="1" t="n">
        <v>46061</v>
      </c>
      <c r="D819" t="inlineStr">
        <is>
          <t>VÄSTERNORRLANDS LÄN</t>
        </is>
      </c>
      <c r="E819" t="inlineStr">
        <is>
          <t>ÅNGE</t>
        </is>
      </c>
      <c r="G819" t="n">
        <v>5.2</v>
      </c>
      <c r="H819" t="n">
        <v>0</v>
      </c>
      <c r="I819" t="n">
        <v>0</v>
      </c>
      <c r="J819" t="n">
        <v>0</v>
      </c>
      <c r="K819" t="n">
        <v>0</v>
      </c>
      <c r="L819" t="n">
        <v>0</v>
      </c>
      <c r="M819" t="n">
        <v>0</v>
      </c>
      <c r="N819" t="n">
        <v>0</v>
      </c>
      <c r="O819" t="n">
        <v>0</v>
      </c>
      <c r="P819" t="n">
        <v>0</v>
      </c>
      <c r="Q819" t="n">
        <v>0</v>
      </c>
      <c r="R819" s="2" t="inlineStr"/>
    </row>
    <row r="820" ht="15" customHeight="1">
      <c r="A820" t="inlineStr">
        <is>
          <t>A 35540-2025</t>
        </is>
      </c>
      <c r="B820" s="1" t="n">
        <v>45856.46912037037</v>
      </c>
      <c r="C820" s="1" t="n">
        <v>46061</v>
      </c>
      <c r="D820" t="inlineStr">
        <is>
          <t>VÄSTERNORRLANDS LÄN</t>
        </is>
      </c>
      <c r="E820" t="inlineStr">
        <is>
          <t>ÅNGE</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15791-2025</t>
        </is>
      </c>
      <c r="B821" s="1" t="n">
        <v>45748.631875</v>
      </c>
      <c r="C821" s="1" t="n">
        <v>46061</v>
      </c>
      <c r="D821" t="inlineStr">
        <is>
          <t>VÄSTERNORRLANDS LÄN</t>
        </is>
      </c>
      <c r="E821" t="inlineStr">
        <is>
          <t>ÅNGE</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35838-2025</t>
        </is>
      </c>
      <c r="B822" s="1" t="n">
        <v>45861.53829861111</v>
      </c>
      <c r="C822" s="1" t="n">
        <v>46061</v>
      </c>
      <c r="D822" t="inlineStr">
        <is>
          <t>VÄSTERNORRLANDS LÄN</t>
        </is>
      </c>
      <c r="E822" t="inlineStr">
        <is>
          <t>ÅNGE</t>
        </is>
      </c>
      <c r="F822" t="inlineStr">
        <is>
          <t>Sveaskog</t>
        </is>
      </c>
      <c r="G822" t="n">
        <v>3.9</v>
      </c>
      <c r="H822" t="n">
        <v>0</v>
      </c>
      <c r="I822" t="n">
        <v>0</v>
      </c>
      <c r="J822" t="n">
        <v>0</v>
      </c>
      <c r="K822" t="n">
        <v>0</v>
      </c>
      <c r="L822" t="n">
        <v>0</v>
      </c>
      <c r="M822" t="n">
        <v>0</v>
      </c>
      <c r="N822" t="n">
        <v>0</v>
      </c>
      <c r="O822" t="n">
        <v>0</v>
      </c>
      <c r="P822" t="n">
        <v>0</v>
      </c>
      <c r="Q822" t="n">
        <v>0</v>
      </c>
      <c r="R822" s="2" t="inlineStr"/>
    </row>
    <row r="823" ht="15" customHeight="1">
      <c r="A823" t="inlineStr">
        <is>
          <t>A 54585-2024</t>
        </is>
      </c>
      <c r="B823" s="1" t="n">
        <v>45617.65762731482</v>
      </c>
      <c r="C823" s="1" t="n">
        <v>46061</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30683-2024</t>
        </is>
      </c>
      <c r="B824" s="1" t="n">
        <v>45495</v>
      </c>
      <c r="C824" s="1" t="n">
        <v>46061</v>
      </c>
      <c r="D824" t="inlineStr">
        <is>
          <t>VÄSTERNORRLANDS LÄN</t>
        </is>
      </c>
      <c r="E824" t="inlineStr">
        <is>
          <t>ÅNGE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17452-2025</t>
        </is>
      </c>
      <c r="B825" s="1" t="n">
        <v>45757.44842592593</v>
      </c>
      <c r="C825" s="1" t="n">
        <v>46061</v>
      </c>
      <c r="D825" t="inlineStr">
        <is>
          <t>VÄSTERNORRLANDS LÄN</t>
        </is>
      </c>
      <c r="E825" t="inlineStr">
        <is>
          <t>ÅNGE</t>
        </is>
      </c>
      <c r="F825" t="inlineStr">
        <is>
          <t>SCA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35781-2025</t>
        </is>
      </c>
      <c r="B826" s="1" t="n">
        <v>45860.70613425926</v>
      </c>
      <c r="C826" s="1" t="n">
        <v>46061</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35826-2025</t>
        </is>
      </c>
      <c r="B827" s="1" t="n">
        <v>45861.48997685185</v>
      </c>
      <c r="C827" s="1" t="n">
        <v>46061</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row>
    <row r="828" ht="15" customHeight="1">
      <c r="A828" t="inlineStr">
        <is>
          <t>A 51389-2025</t>
        </is>
      </c>
      <c r="B828" s="1" t="n">
        <v>45950.46767361111</v>
      </c>
      <c r="C828" s="1" t="n">
        <v>46061</v>
      </c>
      <c r="D828" t="inlineStr">
        <is>
          <t>VÄSTERNORRLANDS LÄN</t>
        </is>
      </c>
      <c r="E828" t="inlineStr">
        <is>
          <t>ÅNGE</t>
        </is>
      </c>
      <c r="G828" t="n">
        <v>1.2</v>
      </c>
      <c r="H828" t="n">
        <v>0</v>
      </c>
      <c r="I828" t="n">
        <v>0</v>
      </c>
      <c r="J828" t="n">
        <v>0</v>
      </c>
      <c r="K828" t="n">
        <v>0</v>
      </c>
      <c r="L828" t="n">
        <v>0</v>
      </c>
      <c r="M828" t="n">
        <v>0</v>
      </c>
      <c r="N828" t="n">
        <v>0</v>
      </c>
      <c r="O828" t="n">
        <v>0</v>
      </c>
      <c r="P828" t="n">
        <v>0</v>
      </c>
      <c r="Q828" t="n">
        <v>0</v>
      </c>
      <c r="R828" s="2" t="inlineStr"/>
    </row>
    <row r="829" ht="15" customHeight="1">
      <c r="A829" t="inlineStr">
        <is>
          <t>A 35827-2025</t>
        </is>
      </c>
      <c r="B829" s="1" t="n">
        <v>45861.49017361111</v>
      </c>
      <c r="C829" s="1" t="n">
        <v>46061</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52060-2025</t>
        </is>
      </c>
      <c r="B830" s="1" t="n">
        <v>45952.63641203703</v>
      </c>
      <c r="C830" s="1" t="n">
        <v>46061</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35690-2025</t>
        </is>
      </c>
      <c r="B831" s="1" t="n">
        <v>45860.34421296296</v>
      </c>
      <c r="C831" s="1" t="n">
        <v>46061</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35766-2025</t>
        </is>
      </c>
      <c r="B832" s="1" t="n">
        <v>45860.63077546296</v>
      </c>
      <c r="C832" s="1" t="n">
        <v>46061</v>
      </c>
      <c r="D832" t="inlineStr">
        <is>
          <t>VÄSTERNORRLANDS LÄN</t>
        </is>
      </c>
      <c r="E832" t="inlineStr">
        <is>
          <t>ÅNGE</t>
        </is>
      </c>
      <c r="G832" t="n">
        <v>10.7</v>
      </c>
      <c r="H832" t="n">
        <v>0</v>
      </c>
      <c r="I832" t="n">
        <v>0</v>
      </c>
      <c r="J832" t="n">
        <v>0</v>
      </c>
      <c r="K832" t="n">
        <v>0</v>
      </c>
      <c r="L832" t="n">
        <v>0</v>
      </c>
      <c r="M832" t="n">
        <v>0</v>
      </c>
      <c r="N832" t="n">
        <v>0</v>
      </c>
      <c r="O832" t="n">
        <v>0</v>
      </c>
      <c r="P832" t="n">
        <v>0</v>
      </c>
      <c r="Q832" t="n">
        <v>0</v>
      </c>
      <c r="R832" s="2" t="inlineStr"/>
    </row>
    <row r="833" ht="15" customHeight="1">
      <c r="A833" t="inlineStr">
        <is>
          <t>A 52121-2025</t>
        </is>
      </c>
      <c r="B833" s="1" t="n">
        <v>45952.71921296296</v>
      </c>
      <c r="C833" s="1" t="n">
        <v>46061</v>
      </c>
      <c r="D833" t="inlineStr">
        <is>
          <t>VÄSTERNORRLANDS LÄN</t>
        </is>
      </c>
      <c r="E833" t="inlineStr">
        <is>
          <t>ÅNGE</t>
        </is>
      </c>
      <c r="F833" t="inlineStr">
        <is>
          <t>SCA</t>
        </is>
      </c>
      <c r="G833" t="n">
        <v>0.4</v>
      </c>
      <c r="H833" t="n">
        <v>0</v>
      </c>
      <c r="I833" t="n">
        <v>0</v>
      </c>
      <c r="J833" t="n">
        <v>0</v>
      </c>
      <c r="K833" t="n">
        <v>0</v>
      </c>
      <c r="L833" t="n">
        <v>0</v>
      </c>
      <c r="M833" t="n">
        <v>0</v>
      </c>
      <c r="N833" t="n">
        <v>0</v>
      </c>
      <c r="O833" t="n">
        <v>0</v>
      </c>
      <c r="P833" t="n">
        <v>0</v>
      </c>
      <c r="Q833" t="n">
        <v>0</v>
      </c>
      <c r="R833" s="2" t="inlineStr"/>
    </row>
    <row r="834" ht="15" customHeight="1">
      <c r="A834" t="inlineStr">
        <is>
          <t>A 52306-2025</t>
        </is>
      </c>
      <c r="B834" s="1" t="n">
        <v>45953.63600694444</v>
      </c>
      <c r="C834" s="1" t="n">
        <v>46061</v>
      </c>
      <c r="D834" t="inlineStr">
        <is>
          <t>VÄSTERNORRLANDS LÄN</t>
        </is>
      </c>
      <c r="E834" t="inlineStr">
        <is>
          <t>ÅNGE</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36237-2025</t>
        </is>
      </c>
      <c r="B835" s="1" t="n">
        <v>45867.55263888889</v>
      </c>
      <c r="C835" s="1" t="n">
        <v>46061</v>
      </c>
      <c r="D835" t="inlineStr">
        <is>
          <t>VÄSTERNORRLANDS LÄN</t>
        </is>
      </c>
      <c r="E835" t="inlineStr">
        <is>
          <t>ÅNGE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36240-2025</t>
        </is>
      </c>
      <c r="B836" s="1" t="n">
        <v>45867.55298611111</v>
      </c>
      <c r="C836" s="1" t="n">
        <v>46061</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51857-2025</t>
        </is>
      </c>
      <c r="B837" s="1" t="n">
        <v>45952.36506944444</v>
      </c>
      <c r="C837" s="1" t="n">
        <v>46061</v>
      </c>
      <c r="D837" t="inlineStr">
        <is>
          <t>VÄSTERNORRLANDS LÄN</t>
        </is>
      </c>
      <c r="E837" t="inlineStr">
        <is>
          <t>ÅNGE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3966-2025</t>
        </is>
      </c>
      <c r="B838" s="1" t="n">
        <v>45684.51072916666</v>
      </c>
      <c r="C838" s="1" t="n">
        <v>46061</v>
      </c>
      <c r="D838" t="inlineStr">
        <is>
          <t>VÄSTERNORRLANDS LÄN</t>
        </is>
      </c>
      <c r="E838" t="inlineStr">
        <is>
          <t>ÅNGE</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36210-2025</t>
        </is>
      </c>
      <c r="B839" s="1" t="n">
        <v>45867.46930555555</v>
      </c>
      <c r="C839" s="1" t="n">
        <v>46061</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51813-2025</t>
        </is>
      </c>
      <c r="B840" s="1" t="n">
        <v>45951.83082175926</v>
      </c>
      <c r="C840" s="1" t="n">
        <v>46061</v>
      </c>
      <c r="D840" t="inlineStr">
        <is>
          <t>VÄSTERNORRLANDS LÄN</t>
        </is>
      </c>
      <c r="E840" t="inlineStr">
        <is>
          <t>ÅNGE</t>
        </is>
      </c>
      <c r="G840" t="n">
        <v>2.5</v>
      </c>
      <c r="H840" t="n">
        <v>0</v>
      </c>
      <c r="I840" t="n">
        <v>0</v>
      </c>
      <c r="J840" t="n">
        <v>0</v>
      </c>
      <c r="K840" t="n">
        <v>0</v>
      </c>
      <c r="L840" t="n">
        <v>0</v>
      </c>
      <c r="M840" t="n">
        <v>0</v>
      </c>
      <c r="N840" t="n">
        <v>0</v>
      </c>
      <c r="O840" t="n">
        <v>0</v>
      </c>
      <c r="P840" t="n">
        <v>0</v>
      </c>
      <c r="Q840" t="n">
        <v>0</v>
      </c>
      <c r="R840" s="2" t="inlineStr"/>
    </row>
    <row r="841" ht="15" customHeight="1">
      <c r="A841" t="inlineStr">
        <is>
          <t>A 57526-2024</t>
        </is>
      </c>
      <c r="B841" s="1" t="n">
        <v>45630</v>
      </c>
      <c r="C841" s="1" t="n">
        <v>46061</v>
      </c>
      <c r="D841" t="inlineStr">
        <is>
          <t>VÄSTERNORRLANDS LÄN</t>
        </is>
      </c>
      <c r="E841" t="inlineStr">
        <is>
          <t>ÅNGE</t>
        </is>
      </c>
      <c r="G841" t="n">
        <v>3.2</v>
      </c>
      <c r="H841" t="n">
        <v>0</v>
      </c>
      <c r="I841" t="n">
        <v>0</v>
      </c>
      <c r="J841" t="n">
        <v>0</v>
      </c>
      <c r="K841" t="n">
        <v>0</v>
      </c>
      <c r="L841" t="n">
        <v>0</v>
      </c>
      <c r="M841" t="n">
        <v>0</v>
      </c>
      <c r="N841" t="n">
        <v>0</v>
      </c>
      <c r="O841" t="n">
        <v>0</v>
      </c>
      <c r="P841" t="n">
        <v>0</v>
      </c>
      <c r="Q841" t="n">
        <v>0</v>
      </c>
      <c r="R841" s="2" t="inlineStr"/>
    </row>
    <row r="842" ht="15" customHeight="1">
      <c r="A842" t="inlineStr">
        <is>
          <t>A 36236-2025</t>
        </is>
      </c>
      <c r="B842" s="1" t="n">
        <v>45867.55245370371</v>
      </c>
      <c r="C842" s="1" t="n">
        <v>46061</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5999-2025</t>
        </is>
      </c>
      <c r="B843" s="1" t="n">
        <v>45695</v>
      </c>
      <c r="C843" s="1" t="n">
        <v>46061</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35593-2024</t>
        </is>
      </c>
      <c r="B844" s="1" t="n">
        <v>45531</v>
      </c>
      <c r="C844" s="1" t="n">
        <v>46061</v>
      </c>
      <c r="D844" t="inlineStr">
        <is>
          <t>VÄSTERNORRLANDS LÄN</t>
        </is>
      </c>
      <c r="E844" t="inlineStr">
        <is>
          <t>ÅNGE</t>
        </is>
      </c>
      <c r="G844" t="n">
        <v>17.6</v>
      </c>
      <c r="H844" t="n">
        <v>0</v>
      </c>
      <c r="I844" t="n">
        <v>0</v>
      </c>
      <c r="J844" t="n">
        <v>0</v>
      </c>
      <c r="K844" t="n">
        <v>0</v>
      </c>
      <c r="L844" t="n">
        <v>0</v>
      </c>
      <c r="M844" t="n">
        <v>0</v>
      </c>
      <c r="N844" t="n">
        <v>0</v>
      </c>
      <c r="O844" t="n">
        <v>0</v>
      </c>
      <c r="P844" t="n">
        <v>0</v>
      </c>
      <c r="Q844" t="n">
        <v>0</v>
      </c>
      <c r="R844" s="2" t="inlineStr"/>
    </row>
    <row r="845" ht="15" customHeight="1">
      <c r="A845" t="inlineStr">
        <is>
          <t>A 36248-2025</t>
        </is>
      </c>
      <c r="B845" s="1" t="n">
        <v>45867.57326388889</v>
      </c>
      <c r="C845" s="1" t="n">
        <v>46061</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36193-2025</t>
        </is>
      </c>
      <c r="B846" s="1" t="n">
        <v>45867.42741898148</v>
      </c>
      <c r="C846" s="1" t="n">
        <v>46061</v>
      </c>
      <c r="D846" t="inlineStr">
        <is>
          <t>VÄSTERNORRLANDS LÄN</t>
        </is>
      </c>
      <c r="E846" t="inlineStr">
        <is>
          <t>ÅNGE</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36205-2025</t>
        </is>
      </c>
      <c r="B847" s="1" t="n">
        <v>45867.44855324074</v>
      </c>
      <c r="C847" s="1" t="n">
        <v>46061</v>
      </c>
      <c r="D847" t="inlineStr">
        <is>
          <t>VÄSTERNORRLANDS LÄN</t>
        </is>
      </c>
      <c r="E847" t="inlineStr">
        <is>
          <t>ÅNGE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36491-2025</t>
        </is>
      </c>
      <c r="B848" s="1" t="n">
        <v>45869.53173611111</v>
      </c>
      <c r="C848" s="1" t="n">
        <v>46061</v>
      </c>
      <c r="D848" t="inlineStr">
        <is>
          <t>VÄSTERNORRLANDS LÄN</t>
        </is>
      </c>
      <c r="E848" t="inlineStr">
        <is>
          <t>ÅNGE</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52335-2025</t>
        </is>
      </c>
      <c r="B849" s="1" t="n">
        <v>45953.68591435185</v>
      </c>
      <c r="C849" s="1" t="n">
        <v>46061</v>
      </c>
      <c r="D849" t="inlineStr">
        <is>
          <t>VÄSTERNORRLANDS LÄN</t>
        </is>
      </c>
      <c r="E849" t="inlineStr">
        <is>
          <t>ÅNGE</t>
        </is>
      </c>
      <c r="G849" t="n">
        <v>0.6</v>
      </c>
      <c r="H849" t="n">
        <v>0</v>
      </c>
      <c r="I849" t="n">
        <v>0</v>
      </c>
      <c r="J849" t="n">
        <v>0</v>
      </c>
      <c r="K849" t="n">
        <v>0</v>
      </c>
      <c r="L849" t="n">
        <v>0</v>
      </c>
      <c r="M849" t="n">
        <v>0</v>
      </c>
      <c r="N849" t="n">
        <v>0</v>
      </c>
      <c r="O849" t="n">
        <v>0</v>
      </c>
      <c r="P849" t="n">
        <v>0</v>
      </c>
      <c r="Q849" t="n">
        <v>0</v>
      </c>
      <c r="R849" s="2" t="inlineStr"/>
    </row>
    <row r="850" ht="15" customHeight="1">
      <c r="A850" t="inlineStr">
        <is>
          <t>A 52283-2025</t>
        </is>
      </c>
      <c r="B850" s="1" t="n">
        <v>45953.57346064815</v>
      </c>
      <c r="C850" s="1" t="n">
        <v>46061</v>
      </c>
      <c r="D850" t="inlineStr">
        <is>
          <t>VÄSTERNORRLANDS LÄN</t>
        </is>
      </c>
      <c r="E850" t="inlineStr">
        <is>
          <t>ÅNGE</t>
        </is>
      </c>
      <c r="G850" t="n">
        <v>8.9</v>
      </c>
      <c r="H850" t="n">
        <v>0</v>
      </c>
      <c r="I850" t="n">
        <v>0</v>
      </c>
      <c r="J850" t="n">
        <v>0</v>
      </c>
      <c r="K850" t="n">
        <v>0</v>
      </c>
      <c r="L850" t="n">
        <v>0</v>
      </c>
      <c r="M850" t="n">
        <v>0</v>
      </c>
      <c r="N850" t="n">
        <v>0</v>
      </c>
      <c r="O850" t="n">
        <v>0</v>
      </c>
      <c r="P850" t="n">
        <v>0</v>
      </c>
      <c r="Q850" t="n">
        <v>0</v>
      </c>
      <c r="R850" s="2" t="inlineStr"/>
    </row>
    <row r="851" ht="15" customHeight="1">
      <c r="A851" t="inlineStr">
        <is>
          <t>A 36336-2025</t>
        </is>
      </c>
      <c r="B851" s="1" t="n">
        <v>45868.44751157407</v>
      </c>
      <c r="C851" s="1" t="n">
        <v>46061</v>
      </c>
      <c r="D851" t="inlineStr">
        <is>
          <t>VÄSTERNORRLANDS LÄN</t>
        </is>
      </c>
      <c r="E851" t="inlineStr">
        <is>
          <t>ÅNGE</t>
        </is>
      </c>
      <c r="G851" t="n">
        <v>7.3</v>
      </c>
      <c r="H851" t="n">
        <v>0</v>
      </c>
      <c r="I851" t="n">
        <v>0</v>
      </c>
      <c r="J851" t="n">
        <v>0</v>
      </c>
      <c r="K851" t="n">
        <v>0</v>
      </c>
      <c r="L851" t="n">
        <v>0</v>
      </c>
      <c r="M851" t="n">
        <v>0</v>
      </c>
      <c r="N851" t="n">
        <v>0</v>
      </c>
      <c r="O851" t="n">
        <v>0</v>
      </c>
      <c r="P851" t="n">
        <v>0</v>
      </c>
      <c r="Q851" t="n">
        <v>0</v>
      </c>
      <c r="R851" s="2" t="inlineStr"/>
    </row>
    <row r="852" ht="15" customHeight="1">
      <c r="A852" t="inlineStr">
        <is>
          <t>A 36457-2025</t>
        </is>
      </c>
      <c r="B852" s="1" t="n">
        <v>45869.44842592593</v>
      </c>
      <c r="C852" s="1" t="n">
        <v>46061</v>
      </c>
      <c r="D852" t="inlineStr">
        <is>
          <t>VÄSTERNORRLANDS LÄN</t>
        </is>
      </c>
      <c r="E852" t="inlineStr">
        <is>
          <t>ÅNGE</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36786-2024</t>
        </is>
      </c>
      <c r="B853" s="1" t="n">
        <v>45538</v>
      </c>
      <c r="C853" s="1" t="n">
        <v>46061</v>
      </c>
      <c r="D853" t="inlineStr">
        <is>
          <t>VÄSTERNORRLANDS LÄN</t>
        </is>
      </c>
      <c r="E853" t="inlineStr">
        <is>
          <t>ÅNGE</t>
        </is>
      </c>
      <c r="F853" t="inlineStr">
        <is>
          <t>SCA</t>
        </is>
      </c>
      <c r="G853" t="n">
        <v>5.2</v>
      </c>
      <c r="H853" t="n">
        <v>0</v>
      </c>
      <c r="I853" t="n">
        <v>0</v>
      </c>
      <c r="J853" t="n">
        <v>0</v>
      </c>
      <c r="K853" t="n">
        <v>0</v>
      </c>
      <c r="L853" t="n">
        <v>0</v>
      </c>
      <c r="M853" t="n">
        <v>0</v>
      </c>
      <c r="N853" t="n">
        <v>0</v>
      </c>
      <c r="O853" t="n">
        <v>0</v>
      </c>
      <c r="P853" t="n">
        <v>0</v>
      </c>
      <c r="Q853" t="n">
        <v>0</v>
      </c>
      <c r="R853" s="2" t="inlineStr"/>
    </row>
    <row r="854" ht="15" customHeight="1">
      <c r="A854" t="inlineStr">
        <is>
          <t>A 52392-2025</t>
        </is>
      </c>
      <c r="B854" s="1" t="n">
        <v>45954.34424768519</v>
      </c>
      <c r="C854" s="1" t="n">
        <v>46061</v>
      </c>
      <c r="D854" t="inlineStr">
        <is>
          <t>VÄSTERNORRLANDS LÄN</t>
        </is>
      </c>
      <c r="E854" t="inlineStr">
        <is>
          <t>ÅNGE</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52642-2025</t>
        </is>
      </c>
      <c r="B855" s="1" t="n">
        <v>45955.34576388889</v>
      </c>
      <c r="C855" s="1" t="n">
        <v>46061</v>
      </c>
      <c r="D855" t="inlineStr">
        <is>
          <t>VÄSTERNORRLANDS LÄN</t>
        </is>
      </c>
      <c r="E855" t="inlineStr">
        <is>
          <t>ÅNGE</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52411-2025</t>
        </is>
      </c>
      <c r="B856" s="1" t="n">
        <v>45954.36518518518</v>
      </c>
      <c r="C856" s="1" t="n">
        <v>46061</v>
      </c>
      <c r="D856" t="inlineStr">
        <is>
          <t>VÄSTERNORRLANDS LÄN</t>
        </is>
      </c>
      <c r="E856" t="inlineStr">
        <is>
          <t>ÅNGE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36723-2025</t>
        </is>
      </c>
      <c r="B857" s="1" t="n">
        <v>45873.47770833333</v>
      </c>
      <c r="C857" s="1" t="n">
        <v>46061</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36674-2025</t>
        </is>
      </c>
      <c r="B858" s="1" t="n">
        <v>45873.3930787037</v>
      </c>
      <c r="C858" s="1" t="n">
        <v>46061</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6487-2021</t>
        </is>
      </c>
      <c r="B859" s="1" t="n">
        <v>44235</v>
      </c>
      <c r="C859" s="1" t="n">
        <v>46061</v>
      </c>
      <c r="D859" t="inlineStr">
        <is>
          <t>VÄSTERNORRLANDS LÄN</t>
        </is>
      </c>
      <c r="E859" t="inlineStr">
        <is>
          <t>ÅNGE</t>
        </is>
      </c>
      <c r="G859" t="n">
        <v>2.1</v>
      </c>
      <c r="H859" t="n">
        <v>0</v>
      </c>
      <c r="I859" t="n">
        <v>0</v>
      </c>
      <c r="J859" t="n">
        <v>0</v>
      </c>
      <c r="K859" t="n">
        <v>0</v>
      </c>
      <c r="L859" t="n">
        <v>0</v>
      </c>
      <c r="M859" t="n">
        <v>0</v>
      </c>
      <c r="N859" t="n">
        <v>0</v>
      </c>
      <c r="O859" t="n">
        <v>0</v>
      </c>
      <c r="P859" t="n">
        <v>0</v>
      </c>
      <c r="Q859" t="n">
        <v>0</v>
      </c>
      <c r="R859" s="2" t="inlineStr"/>
    </row>
    <row r="860" ht="15" customHeight="1">
      <c r="A860" t="inlineStr">
        <is>
          <t>A 58613-2023</t>
        </is>
      </c>
      <c r="B860" s="1" t="n">
        <v>45251.50709490741</v>
      </c>
      <c r="C860" s="1" t="n">
        <v>46061</v>
      </c>
      <c r="D860" t="inlineStr">
        <is>
          <t>VÄSTERNORRLANDS LÄN</t>
        </is>
      </c>
      <c r="E860" t="inlineStr">
        <is>
          <t>ÅNGE</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52858-2025</t>
        </is>
      </c>
      <c r="B861" s="1" t="n">
        <v>45957.50284722223</v>
      </c>
      <c r="C861" s="1" t="n">
        <v>46061</v>
      </c>
      <c r="D861" t="inlineStr">
        <is>
          <t>VÄSTERNORRLANDS LÄN</t>
        </is>
      </c>
      <c r="E861" t="inlineStr">
        <is>
          <t>ÅNGE</t>
        </is>
      </c>
      <c r="G861" t="n">
        <v>1.7</v>
      </c>
      <c r="H861" t="n">
        <v>0</v>
      </c>
      <c r="I861" t="n">
        <v>0</v>
      </c>
      <c r="J861" t="n">
        <v>0</v>
      </c>
      <c r="K861" t="n">
        <v>0</v>
      </c>
      <c r="L861" t="n">
        <v>0</v>
      </c>
      <c r="M861" t="n">
        <v>0</v>
      </c>
      <c r="N861" t="n">
        <v>0</v>
      </c>
      <c r="O861" t="n">
        <v>0</v>
      </c>
      <c r="P861" t="n">
        <v>0</v>
      </c>
      <c r="Q861" t="n">
        <v>0</v>
      </c>
      <c r="R861" s="2" t="inlineStr"/>
    </row>
    <row r="862" ht="15" customHeight="1">
      <c r="A862" t="inlineStr">
        <is>
          <t>A 54908-2021</t>
        </is>
      </c>
      <c r="B862" s="1" t="n">
        <v>44474.39769675926</v>
      </c>
      <c r="C862" s="1" t="n">
        <v>46061</v>
      </c>
      <c r="D862" t="inlineStr">
        <is>
          <t>VÄSTERNORRLANDS LÄN</t>
        </is>
      </c>
      <c r="E862" t="inlineStr">
        <is>
          <t>ÅNGE</t>
        </is>
      </c>
      <c r="G862" t="n">
        <v>7.8</v>
      </c>
      <c r="H862" t="n">
        <v>0</v>
      </c>
      <c r="I862" t="n">
        <v>0</v>
      </c>
      <c r="J862" t="n">
        <v>0</v>
      </c>
      <c r="K862" t="n">
        <v>0</v>
      </c>
      <c r="L862" t="n">
        <v>0</v>
      </c>
      <c r="M862" t="n">
        <v>0</v>
      </c>
      <c r="N862" t="n">
        <v>0</v>
      </c>
      <c r="O862" t="n">
        <v>0</v>
      </c>
      <c r="P862" t="n">
        <v>0</v>
      </c>
      <c r="Q862" t="n">
        <v>0</v>
      </c>
      <c r="R862" s="2" t="inlineStr"/>
    </row>
    <row r="863" ht="15" customHeight="1">
      <c r="A863" t="inlineStr">
        <is>
          <t>A 36740-2025</t>
        </is>
      </c>
      <c r="B863" s="1" t="n">
        <v>45873.53237268519</v>
      </c>
      <c r="C863" s="1" t="n">
        <v>46061</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45933-2023</t>
        </is>
      </c>
      <c r="B864" s="1" t="n">
        <v>45195</v>
      </c>
      <c r="C864" s="1" t="n">
        <v>46061</v>
      </c>
      <c r="D864" t="inlineStr">
        <is>
          <t>VÄSTERNORRLANDS LÄN</t>
        </is>
      </c>
      <c r="E864" t="inlineStr">
        <is>
          <t>ÅNGE</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53381-2025</t>
        </is>
      </c>
      <c r="B865" s="1" t="n">
        <v>45959.53690972222</v>
      </c>
      <c r="C865" s="1" t="n">
        <v>46061</v>
      </c>
      <c r="D865" t="inlineStr">
        <is>
          <t>VÄSTERNORRLANDS LÄN</t>
        </is>
      </c>
      <c r="E865" t="inlineStr">
        <is>
          <t>ÅNGE</t>
        </is>
      </c>
      <c r="G865" t="n">
        <v>9.6</v>
      </c>
      <c r="H865" t="n">
        <v>0</v>
      </c>
      <c r="I865" t="n">
        <v>0</v>
      </c>
      <c r="J865" t="n">
        <v>0</v>
      </c>
      <c r="K865" t="n">
        <v>0</v>
      </c>
      <c r="L865" t="n">
        <v>0</v>
      </c>
      <c r="M865" t="n">
        <v>0</v>
      </c>
      <c r="N865" t="n">
        <v>0</v>
      </c>
      <c r="O865" t="n">
        <v>0</v>
      </c>
      <c r="P865" t="n">
        <v>0</v>
      </c>
      <c r="Q865" t="n">
        <v>0</v>
      </c>
      <c r="R865" s="2" t="inlineStr"/>
    </row>
    <row r="866" ht="15" customHeight="1">
      <c r="A866" t="inlineStr">
        <is>
          <t>A 46015-2024</t>
        </is>
      </c>
      <c r="B866" s="1" t="n">
        <v>45580.67760416667</v>
      </c>
      <c r="C866" s="1" t="n">
        <v>46061</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36456-2025</t>
        </is>
      </c>
      <c r="B867" s="1" t="n">
        <v>45869.44827546296</v>
      </c>
      <c r="C867" s="1" t="n">
        <v>46061</v>
      </c>
      <c r="D867" t="inlineStr">
        <is>
          <t>VÄSTERNORRLANDS LÄN</t>
        </is>
      </c>
      <c r="E867" t="inlineStr">
        <is>
          <t>ÅNGE</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36873-2025</t>
        </is>
      </c>
      <c r="B868" s="1" t="n">
        <v>45874.42935185185</v>
      </c>
      <c r="C868" s="1" t="n">
        <v>46061</v>
      </c>
      <c r="D868" t="inlineStr">
        <is>
          <t>VÄSTERNORRLANDS LÄN</t>
        </is>
      </c>
      <c r="E868" t="inlineStr">
        <is>
          <t>ÅNGE</t>
        </is>
      </c>
      <c r="F868" t="inlineStr">
        <is>
          <t>SCA</t>
        </is>
      </c>
      <c r="G868" t="n">
        <v>16.9</v>
      </c>
      <c r="H868" t="n">
        <v>0</v>
      </c>
      <c r="I868" t="n">
        <v>0</v>
      </c>
      <c r="J868" t="n">
        <v>0</v>
      </c>
      <c r="K868" t="n">
        <v>0</v>
      </c>
      <c r="L868" t="n">
        <v>0</v>
      </c>
      <c r="M868" t="n">
        <v>0</v>
      </c>
      <c r="N868" t="n">
        <v>0</v>
      </c>
      <c r="O868" t="n">
        <v>0</v>
      </c>
      <c r="P868" t="n">
        <v>0</v>
      </c>
      <c r="Q868" t="n">
        <v>0</v>
      </c>
      <c r="R868" s="2" t="inlineStr"/>
    </row>
    <row r="869" ht="15" customHeight="1">
      <c r="A869" t="inlineStr">
        <is>
          <t>A 44636-2024</t>
        </is>
      </c>
      <c r="B869" s="1" t="n">
        <v>45574.51491898148</v>
      </c>
      <c r="C869" s="1" t="n">
        <v>46061</v>
      </c>
      <c r="D869" t="inlineStr">
        <is>
          <t>VÄSTERNORRLANDS LÄN</t>
        </is>
      </c>
      <c r="E869" t="inlineStr">
        <is>
          <t>ÅNGE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44979-2023</t>
        </is>
      </c>
      <c r="B870" s="1" t="n">
        <v>45190.95752314815</v>
      </c>
      <c r="C870" s="1" t="n">
        <v>46061</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37045-2025</t>
        </is>
      </c>
      <c r="B871" s="1" t="n">
        <v>45875.34451388889</v>
      </c>
      <c r="C871" s="1" t="n">
        <v>46061</v>
      </c>
      <c r="D871" t="inlineStr">
        <is>
          <t>VÄSTERNORRLANDS LÄN</t>
        </is>
      </c>
      <c r="E871" t="inlineStr">
        <is>
          <t>ÅNGE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37047-2025</t>
        </is>
      </c>
      <c r="B872" s="1" t="n">
        <v>45875.34489583333</v>
      </c>
      <c r="C872" s="1" t="n">
        <v>46061</v>
      </c>
      <c r="D872" t="inlineStr">
        <is>
          <t>VÄSTERNORRLANDS LÄN</t>
        </is>
      </c>
      <c r="E872" t="inlineStr">
        <is>
          <t>ÅNGE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1582-2025</t>
        </is>
      </c>
      <c r="B873" s="1" t="n">
        <v>45670</v>
      </c>
      <c r="C873" s="1" t="n">
        <v>46061</v>
      </c>
      <c r="D873" t="inlineStr">
        <is>
          <t>VÄSTERNORRLANDS LÄN</t>
        </is>
      </c>
      <c r="E873" t="inlineStr">
        <is>
          <t>ÅNGE</t>
        </is>
      </c>
      <c r="G873" t="n">
        <v>7.3</v>
      </c>
      <c r="H873" t="n">
        <v>0</v>
      </c>
      <c r="I873" t="n">
        <v>0</v>
      </c>
      <c r="J873" t="n">
        <v>0</v>
      </c>
      <c r="K873" t="n">
        <v>0</v>
      </c>
      <c r="L873" t="n">
        <v>0</v>
      </c>
      <c r="M873" t="n">
        <v>0</v>
      </c>
      <c r="N873" t="n">
        <v>0</v>
      </c>
      <c r="O873" t="n">
        <v>0</v>
      </c>
      <c r="P873" t="n">
        <v>0</v>
      </c>
      <c r="Q873" t="n">
        <v>0</v>
      </c>
      <c r="R873" s="2" t="inlineStr"/>
      <c r="U873">
        <f>HYPERLINK("https://klasma.github.io/Logging_2260/knärot/A 1582-2025 karta knärot.png", "A 1582-2025")</f>
        <v/>
      </c>
      <c r="V873">
        <f>HYPERLINK("https://klasma.github.io/Logging_2260/klagomål/A 1582-2025 FSC-klagomål.docx", "A 1582-2025")</f>
        <v/>
      </c>
      <c r="W873">
        <f>HYPERLINK("https://klasma.github.io/Logging_2260/klagomålsmail/A 1582-2025 FSC-klagomål mail.docx", "A 1582-2025")</f>
        <v/>
      </c>
      <c r="X873">
        <f>HYPERLINK("https://klasma.github.io/Logging_2260/tillsyn/A 1582-2025 tillsynsbegäran.docx", "A 1582-2025")</f>
        <v/>
      </c>
      <c r="Y873">
        <f>HYPERLINK("https://klasma.github.io/Logging_2260/tillsynsmail/A 1582-2025 tillsynsbegäran mail.docx", "A 1582-2025")</f>
        <v/>
      </c>
    </row>
    <row r="874" ht="15" customHeight="1">
      <c r="A874" t="inlineStr">
        <is>
          <t>A 25377-2024</t>
        </is>
      </c>
      <c r="B874" s="1" t="n">
        <v>45462.96211805556</v>
      </c>
      <c r="C874" s="1" t="n">
        <v>46061</v>
      </c>
      <c r="D874" t="inlineStr">
        <is>
          <t>VÄSTERNORRLANDS LÄN</t>
        </is>
      </c>
      <c r="E874" t="inlineStr">
        <is>
          <t>ÅNGE</t>
        </is>
      </c>
      <c r="F874" t="inlineStr">
        <is>
          <t>SCA</t>
        </is>
      </c>
      <c r="G874" t="n">
        <v>20.7</v>
      </c>
      <c r="H874" t="n">
        <v>0</v>
      </c>
      <c r="I874" t="n">
        <v>0</v>
      </c>
      <c r="J874" t="n">
        <v>0</v>
      </c>
      <c r="K874" t="n">
        <v>0</v>
      </c>
      <c r="L874" t="n">
        <v>0</v>
      </c>
      <c r="M874" t="n">
        <v>0</v>
      </c>
      <c r="N874" t="n">
        <v>0</v>
      </c>
      <c r="O874" t="n">
        <v>0</v>
      </c>
      <c r="P874" t="n">
        <v>0</v>
      </c>
      <c r="Q874" t="n">
        <v>0</v>
      </c>
      <c r="R874" s="2" t="inlineStr"/>
    </row>
    <row r="875" ht="15" customHeight="1">
      <c r="A875" t="inlineStr">
        <is>
          <t>A 37108-2025</t>
        </is>
      </c>
      <c r="B875" s="1" t="n">
        <v>45875</v>
      </c>
      <c r="C875" s="1" t="n">
        <v>46061</v>
      </c>
      <c r="D875" t="inlineStr">
        <is>
          <t>VÄSTERNORRLANDS LÄN</t>
        </is>
      </c>
      <c r="E875" t="inlineStr">
        <is>
          <t>ÅNGE</t>
        </is>
      </c>
      <c r="G875" t="n">
        <v>4</v>
      </c>
      <c r="H875" t="n">
        <v>0</v>
      </c>
      <c r="I875" t="n">
        <v>0</v>
      </c>
      <c r="J875" t="n">
        <v>0</v>
      </c>
      <c r="K875" t="n">
        <v>0</v>
      </c>
      <c r="L875" t="n">
        <v>0</v>
      </c>
      <c r="M875" t="n">
        <v>0</v>
      </c>
      <c r="N875" t="n">
        <v>0</v>
      </c>
      <c r="O875" t="n">
        <v>0</v>
      </c>
      <c r="P875" t="n">
        <v>0</v>
      </c>
      <c r="Q875" t="n">
        <v>0</v>
      </c>
      <c r="R875" s="2" t="inlineStr"/>
    </row>
    <row r="876" ht="15" customHeight="1">
      <c r="A876" t="inlineStr">
        <is>
          <t>A 36249-2025</t>
        </is>
      </c>
      <c r="B876" s="1" t="n">
        <v>45867</v>
      </c>
      <c r="C876" s="1" t="n">
        <v>46061</v>
      </c>
      <c r="D876" t="inlineStr">
        <is>
          <t>VÄSTERNORRLANDS LÄN</t>
        </is>
      </c>
      <c r="E876" t="inlineStr">
        <is>
          <t>ÅNGE</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37177-2025</t>
        </is>
      </c>
      <c r="B877" s="1" t="n">
        <v>45875.61539351852</v>
      </c>
      <c r="C877" s="1" t="n">
        <v>46061</v>
      </c>
      <c r="D877" t="inlineStr">
        <is>
          <t>VÄSTERNORRLANDS LÄN</t>
        </is>
      </c>
      <c r="E877" t="inlineStr">
        <is>
          <t>ÅNGE</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37275-2025</t>
        </is>
      </c>
      <c r="B878" s="1" t="n">
        <v>45876.49003472222</v>
      </c>
      <c r="C878" s="1" t="n">
        <v>46061</v>
      </c>
      <c r="D878" t="inlineStr">
        <is>
          <t>VÄSTERNORRLANDS LÄN</t>
        </is>
      </c>
      <c r="E878" t="inlineStr">
        <is>
          <t>ÅNGE</t>
        </is>
      </c>
      <c r="G878" t="n">
        <v>3.5</v>
      </c>
      <c r="H878" t="n">
        <v>0</v>
      </c>
      <c r="I878" t="n">
        <v>0</v>
      </c>
      <c r="J878" t="n">
        <v>0</v>
      </c>
      <c r="K878" t="n">
        <v>0</v>
      </c>
      <c r="L878" t="n">
        <v>0</v>
      </c>
      <c r="M878" t="n">
        <v>0</v>
      </c>
      <c r="N878" t="n">
        <v>0</v>
      </c>
      <c r="O878" t="n">
        <v>0</v>
      </c>
      <c r="P878" t="n">
        <v>0</v>
      </c>
      <c r="Q878" t="n">
        <v>0</v>
      </c>
      <c r="R878" s="2" t="inlineStr"/>
    </row>
    <row r="879" ht="15" customHeight="1">
      <c r="A879" t="inlineStr">
        <is>
          <t>A 37303-2025</t>
        </is>
      </c>
      <c r="B879" s="1" t="n">
        <v>45876.59445601852</v>
      </c>
      <c r="C879" s="1" t="n">
        <v>46061</v>
      </c>
      <c r="D879" t="inlineStr">
        <is>
          <t>VÄSTERNORRLANDS LÄN</t>
        </is>
      </c>
      <c r="E879" t="inlineStr">
        <is>
          <t>ÅNGE</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39975-2023</t>
        </is>
      </c>
      <c r="B880" s="1" t="n">
        <v>45168.58844907407</v>
      </c>
      <c r="C880" s="1" t="n">
        <v>46061</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53012-2025</t>
        </is>
      </c>
      <c r="B881" s="1" t="n">
        <v>45957.80320601852</v>
      </c>
      <c r="C881" s="1" t="n">
        <v>46061</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53033-2025</t>
        </is>
      </c>
      <c r="B882" s="1" t="n">
        <v>45958.34479166667</v>
      </c>
      <c r="C882" s="1" t="n">
        <v>46061</v>
      </c>
      <c r="D882" t="inlineStr">
        <is>
          <t>VÄSTERNORRLANDS LÄN</t>
        </is>
      </c>
      <c r="E882" t="inlineStr">
        <is>
          <t>ÅNGE</t>
        </is>
      </c>
      <c r="G882" t="n">
        <v>2.7</v>
      </c>
      <c r="H882" t="n">
        <v>0</v>
      </c>
      <c r="I882" t="n">
        <v>0</v>
      </c>
      <c r="J882" t="n">
        <v>0</v>
      </c>
      <c r="K882" t="n">
        <v>0</v>
      </c>
      <c r="L882" t="n">
        <v>0</v>
      </c>
      <c r="M882" t="n">
        <v>0</v>
      </c>
      <c r="N882" t="n">
        <v>0</v>
      </c>
      <c r="O882" t="n">
        <v>0</v>
      </c>
      <c r="P882" t="n">
        <v>0</v>
      </c>
      <c r="Q882" t="n">
        <v>0</v>
      </c>
      <c r="R882" s="2" t="inlineStr"/>
    </row>
    <row r="883" ht="15" customHeight="1">
      <c r="A883" t="inlineStr">
        <is>
          <t>A 37233-2025</t>
        </is>
      </c>
      <c r="B883" s="1" t="n">
        <v>45876.34474537037</v>
      </c>
      <c r="C883" s="1" t="n">
        <v>46061</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53013-2025</t>
        </is>
      </c>
      <c r="B884" s="1" t="n">
        <v>45957.81732638889</v>
      </c>
      <c r="C884" s="1" t="n">
        <v>46061</v>
      </c>
      <c r="D884" t="inlineStr">
        <is>
          <t>VÄSTERNORRLANDS LÄN</t>
        </is>
      </c>
      <c r="E884" t="inlineStr">
        <is>
          <t>ÅNGE</t>
        </is>
      </c>
      <c r="G884" t="n">
        <v>0.6</v>
      </c>
      <c r="H884" t="n">
        <v>0</v>
      </c>
      <c r="I884" t="n">
        <v>0</v>
      </c>
      <c r="J884" t="n">
        <v>0</v>
      </c>
      <c r="K884" t="n">
        <v>0</v>
      </c>
      <c r="L884" t="n">
        <v>0</v>
      </c>
      <c r="M884" t="n">
        <v>0</v>
      </c>
      <c r="N884" t="n">
        <v>0</v>
      </c>
      <c r="O884" t="n">
        <v>0</v>
      </c>
      <c r="P884" t="n">
        <v>0</v>
      </c>
      <c r="Q884" t="n">
        <v>0</v>
      </c>
      <c r="R884" s="2" t="inlineStr"/>
    </row>
    <row r="885" ht="15" customHeight="1">
      <c r="A885" t="inlineStr">
        <is>
          <t>A 53221-2025</t>
        </is>
      </c>
      <c r="B885" s="1" t="n">
        <v>45958.60331018519</v>
      </c>
      <c r="C885" s="1" t="n">
        <v>46061</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53970-2021</t>
        </is>
      </c>
      <c r="B886" s="1" t="n">
        <v>44469</v>
      </c>
      <c r="C886" s="1" t="n">
        <v>46061</v>
      </c>
      <c r="D886" t="inlineStr">
        <is>
          <t>VÄSTERNORRLANDS LÄN</t>
        </is>
      </c>
      <c r="E886" t="inlineStr">
        <is>
          <t>ÅNGE</t>
        </is>
      </c>
      <c r="G886" t="n">
        <v>3.4</v>
      </c>
      <c r="H886" t="n">
        <v>0</v>
      </c>
      <c r="I886" t="n">
        <v>0</v>
      </c>
      <c r="J886" t="n">
        <v>0</v>
      </c>
      <c r="K886" t="n">
        <v>0</v>
      </c>
      <c r="L886" t="n">
        <v>0</v>
      </c>
      <c r="M886" t="n">
        <v>0</v>
      </c>
      <c r="N886" t="n">
        <v>0</v>
      </c>
      <c r="O886" t="n">
        <v>0</v>
      </c>
      <c r="P886" t="n">
        <v>0</v>
      </c>
      <c r="Q886" t="n">
        <v>0</v>
      </c>
      <c r="R886" s="2" t="inlineStr"/>
    </row>
    <row r="887" ht="15" customHeight="1">
      <c r="A887" t="inlineStr">
        <is>
          <t>A 53999-2025</t>
        </is>
      </c>
      <c r="B887" s="1" t="n">
        <v>45961</v>
      </c>
      <c r="C887" s="1" t="n">
        <v>46061</v>
      </c>
      <c r="D887" t="inlineStr">
        <is>
          <t>VÄSTERNORRLANDS LÄN</t>
        </is>
      </c>
      <c r="E887" t="inlineStr">
        <is>
          <t>ÅNGE</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53984-2025</t>
        </is>
      </c>
      <c r="B888" s="1" t="n">
        <v>45961.5734837963</v>
      </c>
      <c r="C888" s="1" t="n">
        <v>46061</v>
      </c>
      <c r="D888" t="inlineStr">
        <is>
          <t>VÄSTERNORRLANDS LÄN</t>
        </is>
      </c>
      <c r="E888" t="inlineStr">
        <is>
          <t>ÅNGE</t>
        </is>
      </c>
      <c r="F888" t="inlineStr">
        <is>
          <t>SCA</t>
        </is>
      </c>
      <c r="G888" t="n">
        <v>14.8</v>
      </c>
      <c r="H888" t="n">
        <v>0</v>
      </c>
      <c r="I888" t="n">
        <v>0</v>
      </c>
      <c r="J888" t="n">
        <v>0</v>
      </c>
      <c r="K888" t="n">
        <v>0</v>
      </c>
      <c r="L888" t="n">
        <v>0</v>
      </c>
      <c r="M888" t="n">
        <v>0</v>
      </c>
      <c r="N888" t="n">
        <v>0</v>
      </c>
      <c r="O888" t="n">
        <v>0</v>
      </c>
      <c r="P888" t="n">
        <v>0</v>
      </c>
      <c r="Q888" t="n">
        <v>0</v>
      </c>
      <c r="R888" s="2" t="inlineStr"/>
    </row>
    <row r="889" ht="15" customHeight="1">
      <c r="A889" t="inlineStr">
        <is>
          <t>A 13491-2023</t>
        </is>
      </c>
      <c r="B889" s="1" t="n">
        <v>45005.93929398148</v>
      </c>
      <c r="C889" s="1" t="n">
        <v>46061</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46061</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37384-2025</t>
        </is>
      </c>
      <c r="B891" s="1" t="n">
        <v>45877.3859837963</v>
      </c>
      <c r="C891" s="1" t="n">
        <v>46061</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30347-2024</t>
        </is>
      </c>
      <c r="B892" s="1" t="n">
        <v>45490.95515046296</v>
      </c>
      <c r="C892" s="1" t="n">
        <v>46061</v>
      </c>
      <c r="D892" t="inlineStr">
        <is>
          <t>VÄSTERNORRLANDS LÄN</t>
        </is>
      </c>
      <c r="E892" t="inlineStr">
        <is>
          <t>ÅNGE</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53985-2025</t>
        </is>
      </c>
      <c r="B893" s="1" t="n">
        <v>45961.57366898148</v>
      </c>
      <c r="C893" s="1" t="n">
        <v>46061</v>
      </c>
      <c r="D893" t="inlineStr">
        <is>
          <t>VÄSTERNORRLANDS LÄN</t>
        </is>
      </c>
      <c r="E893" t="inlineStr">
        <is>
          <t>ÅNGE</t>
        </is>
      </c>
      <c r="F893" t="inlineStr">
        <is>
          <t>SCA</t>
        </is>
      </c>
      <c r="G893" t="n">
        <v>14.2</v>
      </c>
      <c r="H893" t="n">
        <v>0</v>
      </c>
      <c r="I893" t="n">
        <v>0</v>
      </c>
      <c r="J893" t="n">
        <v>0</v>
      </c>
      <c r="K893" t="n">
        <v>0</v>
      </c>
      <c r="L893" t="n">
        <v>0</v>
      </c>
      <c r="M893" t="n">
        <v>0</v>
      </c>
      <c r="N893" t="n">
        <v>0</v>
      </c>
      <c r="O893" t="n">
        <v>0</v>
      </c>
      <c r="P893" t="n">
        <v>0</v>
      </c>
      <c r="Q893" t="n">
        <v>0</v>
      </c>
      <c r="R893" s="2" t="inlineStr"/>
    </row>
    <row r="894" ht="15" customHeight="1">
      <c r="A894" t="inlineStr">
        <is>
          <t>A 37371-2025</t>
        </is>
      </c>
      <c r="B894" s="1" t="n">
        <v>45877.34472222222</v>
      </c>
      <c r="C894" s="1" t="n">
        <v>46061</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45128-2022</t>
        </is>
      </c>
      <c r="B895" s="1" t="n">
        <v>44844.3146412037</v>
      </c>
      <c r="C895" s="1" t="n">
        <v>46061</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42040-2024</t>
        </is>
      </c>
      <c r="B896" s="1" t="n">
        <v>45561.80983796297</v>
      </c>
      <c r="C896" s="1" t="n">
        <v>46061</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37383-2025</t>
        </is>
      </c>
      <c r="B897" s="1" t="n">
        <v>45877.38581018519</v>
      </c>
      <c r="C897" s="1" t="n">
        <v>46061</v>
      </c>
      <c r="D897" t="inlineStr">
        <is>
          <t>VÄSTERNORRLANDS LÄN</t>
        </is>
      </c>
      <c r="E897" t="inlineStr">
        <is>
          <t>ÅNGE</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53509-2025</t>
        </is>
      </c>
      <c r="B898" s="1" t="n">
        <v>45960.34506944445</v>
      </c>
      <c r="C898" s="1" t="n">
        <v>46061</v>
      </c>
      <c r="D898" t="inlineStr">
        <is>
          <t>VÄSTERNORRLANDS LÄN</t>
        </is>
      </c>
      <c r="E898" t="inlineStr">
        <is>
          <t>ÅNGE</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37719-2025</t>
        </is>
      </c>
      <c r="B899" s="1" t="n">
        <v>45880.61505787037</v>
      </c>
      <c r="C899" s="1" t="n">
        <v>46061</v>
      </c>
      <c r="D899" t="inlineStr">
        <is>
          <t>VÄSTERNORRLANDS LÄN</t>
        </is>
      </c>
      <c r="E899" t="inlineStr">
        <is>
          <t>ÅNGE</t>
        </is>
      </c>
      <c r="G899" t="n">
        <v>1.7</v>
      </c>
      <c r="H899" t="n">
        <v>0</v>
      </c>
      <c r="I899" t="n">
        <v>0</v>
      </c>
      <c r="J899" t="n">
        <v>0</v>
      </c>
      <c r="K899" t="n">
        <v>0</v>
      </c>
      <c r="L899" t="n">
        <v>0</v>
      </c>
      <c r="M899" t="n">
        <v>0</v>
      </c>
      <c r="N899" t="n">
        <v>0</v>
      </c>
      <c r="O899" t="n">
        <v>0</v>
      </c>
      <c r="P899" t="n">
        <v>0</v>
      </c>
      <c r="Q899" t="n">
        <v>0</v>
      </c>
      <c r="R899" s="2" t="inlineStr"/>
    </row>
    <row r="900" ht="15" customHeight="1">
      <c r="A900" t="inlineStr">
        <is>
          <t>A 53713-2025</t>
        </is>
      </c>
      <c r="B900" s="1" t="n">
        <v>45960.61568287037</v>
      </c>
      <c r="C900" s="1" t="n">
        <v>46061</v>
      </c>
      <c r="D900" t="inlineStr">
        <is>
          <t>VÄSTERNORRLANDS LÄN</t>
        </is>
      </c>
      <c r="E900" t="inlineStr">
        <is>
          <t>ÅNGE</t>
        </is>
      </c>
      <c r="F900" t="inlineStr">
        <is>
          <t>SCA</t>
        </is>
      </c>
      <c r="G900" t="n">
        <v>4.7</v>
      </c>
      <c r="H900" t="n">
        <v>0</v>
      </c>
      <c r="I900" t="n">
        <v>0</v>
      </c>
      <c r="J900" t="n">
        <v>0</v>
      </c>
      <c r="K900" t="n">
        <v>0</v>
      </c>
      <c r="L900" t="n">
        <v>0</v>
      </c>
      <c r="M900" t="n">
        <v>0</v>
      </c>
      <c r="N900" t="n">
        <v>0</v>
      </c>
      <c r="O900" t="n">
        <v>0</v>
      </c>
      <c r="P900" t="n">
        <v>0</v>
      </c>
      <c r="Q900" t="n">
        <v>0</v>
      </c>
      <c r="R900" s="2" t="inlineStr"/>
    </row>
    <row r="901" ht="15" customHeight="1">
      <c r="A901" t="inlineStr">
        <is>
          <t>A 37663-2025</t>
        </is>
      </c>
      <c r="B901" s="1" t="n">
        <v>45880.51079861111</v>
      </c>
      <c r="C901" s="1" t="n">
        <v>46061</v>
      </c>
      <c r="D901" t="inlineStr">
        <is>
          <t>VÄSTERNORRLANDS LÄN</t>
        </is>
      </c>
      <c r="E901" t="inlineStr">
        <is>
          <t>ÅNGE</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37723-2025</t>
        </is>
      </c>
      <c r="B902" s="1" t="n">
        <v>45880.61528935185</v>
      </c>
      <c r="C902" s="1" t="n">
        <v>46061</v>
      </c>
      <c r="D902" t="inlineStr">
        <is>
          <t>VÄSTERNORRLANDS LÄN</t>
        </is>
      </c>
      <c r="E902" t="inlineStr">
        <is>
          <t>ÅNGE</t>
        </is>
      </c>
      <c r="G902" t="n">
        <v>3</v>
      </c>
      <c r="H902" t="n">
        <v>0</v>
      </c>
      <c r="I902" t="n">
        <v>0</v>
      </c>
      <c r="J902" t="n">
        <v>0</v>
      </c>
      <c r="K902" t="n">
        <v>0</v>
      </c>
      <c r="L902" t="n">
        <v>0</v>
      </c>
      <c r="M902" t="n">
        <v>0</v>
      </c>
      <c r="N902" t="n">
        <v>0</v>
      </c>
      <c r="O902" t="n">
        <v>0</v>
      </c>
      <c r="P902" t="n">
        <v>0</v>
      </c>
      <c r="Q902" t="n">
        <v>0</v>
      </c>
      <c r="R902" s="2" t="inlineStr"/>
    </row>
    <row r="903" ht="15" customHeight="1">
      <c r="A903" t="inlineStr">
        <is>
          <t>A 54346-2025</t>
        </is>
      </c>
      <c r="B903" s="1" t="n">
        <v>45965.36525462963</v>
      </c>
      <c r="C903" s="1" t="n">
        <v>46061</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54357-2025</t>
        </is>
      </c>
      <c r="B904" s="1" t="n">
        <v>45965.3858912037</v>
      </c>
      <c r="C904" s="1" t="n">
        <v>46061</v>
      </c>
      <c r="D904" t="inlineStr">
        <is>
          <t>VÄSTERNORRLANDS LÄN</t>
        </is>
      </c>
      <c r="E904" t="inlineStr">
        <is>
          <t>ÅNGE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5433-2024</t>
        </is>
      </c>
      <c r="B905" s="1" t="n">
        <v>45331</v>
      </c>
      <c r="C905" s="1" t="n">
        <v>46061</v>
      </c>
      <c r="D905" t="inlineStr">
        <is>
          <t>VÄSTERNORRLANDS LÄN</t>
        </is>
      </c>
      <c r="E905" t="inlineStr">
        <is>
          <t>ÅNGE</t>
        </is>
      </c>
      <c r="G905" t="n">
        <v>2.1</v>
      </c>
      <c r="H905" t="n">
        <v>0</v>
      </c>
      <c r="I905" t="n">
        <v>0</v>
      </c>
      <c r="J905" t="n">
        <v>0</v>
      </c>
      <c r="K905" t="n">
        <v>0</v>
      </c>
      <c r="L905" t="n">
        <v>0</v>
      </c>
      <c r="M905" t="n">
        <v>0</v>
      </c>
      <c r="N905" t="n">
        <v>0</v>
      </c>
      <c r="O905" t="n">
        <v>0</v>
      </c>
      <c r="P905" t="n">
        <v>0</v>
      </c>
      <c r="Q905" t="n">
        <v>0</v>
      </c>
      <c r="R905" s="2" t="inlineStr"/>
    </row>
    <row r="906" ht="15" customHeight="1">
      <c r="A906" t="inlineStr">
        <is>
          <t>A 5456-2024</t>
        </is>
      </c>
      <c r="B906" s="1" t="n">
        <v>45331</v>
      </c>
      <c r="C906" s="1" t="n">
        <v>46061</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3357-2024</t>
        </is>
      </c>
      <c r="B907" s="1" t="n">
        <v>45317</v>
      </c>
      <c r="C907" s="1" t="n">
        <v>46061</v>
      </c>
      <c r="D907" t="inlineStr">
        <is>
          <t>VÄSTERNORRLANDS LÄN</t>
        </is>
      </c>
      <c r="E907" t="inlineStr">
        <is>
          <t>ÅNGE</t>
        </is>
      </c>
      <c r="G907" t="n">
        <v>8</v>
      </c>
      <c r="H907" t="n">
        <v>0</v>
      </c>
      <c r="I907" t="n">
        <v>0</v>
      </c>
      <c r="J907" t="n">
        <v>0</v>
      </c>
      <c r="K907" t="n">
        <v>0</v>
      </c>
      <c r="L907" t="n">
        <v>0</v>
      </c>
      <c r="M907" t="n">
        <v>0</v>
      </c>
      <c r="N907" t="n">
        <v>0</v>
      </c>
      <c r="O907" t="n">
        <v>0</v>
      </c>
      <c r="P907" t="n">
        <v>0</v>
      </c>
      <c r="Q907" t="n">
        <v>0</v>
      </c>
      <c r="R907" s="2" t="inlineStr"/>
    </row>
    <row r="908" ht="15" customHeight="1">
      <c r="A908" t="inlineStr">
        <is>
          <t>A 34726-2024</t>
        </is>
      </c>
      <c r="B908" s="1" t="n">
        <v>45526.5733912037</v>
      </c>
      <c r="C908" s="1" t="n">
        <v>46061</v>
      </c>
      <c r="D908" t="inlineStr">
        <is>
          <t>VÄSTERNORRLANDS LÄN</t>
        </is>
      </c>
      <c r="E908" t="inlineStr">
        <is>
          <t>ÅNGE</t>
        </is>
      </c>
      <c r="G908" t="n">
        <v>1.9</v>
      </c>
      <c r="H908" t="n">
        <v>0</v>
      </c>
      <c r="I908" t="n">
        <v>0</v>
      </c>
      <c r="J908" t="n">
        <v>0</v>
      </c>
      <c r="K908" t="n">
        <v>0</v>
      </c>
      <c r="L908" t="n">
        <v>0</v>
      </c>
      <c r="M908" t="n">
        <v>0</v>
      </c>
      <c r="N908" t="n">
        <v>0</v>
      </c>
      <c r="O908" t="n">
        <v>0</v>
      </c>
      <c r="P908" t="n">
        <v>0</v>
      </c>
      <c r="Q908" t="n">
        <v>0</v>
      </c>
      <c r="R908" s="2" t="inlineStr"/>
    </row>
    <row r="909" ht="15" customHeight="1">
      <c r="A909" t="inlineStr">
        <is>
          <t>A 54197-2025</t>
        </is>
      </c>
      <c r="B909" s="1" t="n">
        <v>45964</v>
      </c>
      <c r="C909" s="1" t="n">
        <v>46061</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22752-2023</t>
        </is>
      </c>
      <c r="B910" s="1" t="n">
        <v>45071.94104166667</v>
      </c>
      <c r="C910" s="1" t="n">
        <v>46061</v>
      </c>
      <c r="D910" t="inlineStr">
        <is>
          <t>VÄSTERNORRLANDS LÄN</t>
        </is>
      </c>
      <c r="E910" t="inlineStr">
        <is>
          <t>ÅNGE</t>
        </is>
      </c>
      <c r="F910" t="inlineStr">
        <is>
          <t>SCA</t>
        </is>
      </c>
      <c r="G910" t="n">
        <v>4.6</v>
      </c>
      <c r="H910" t="n">
        <v>0</v>
      </c>
      <c r="I910" t="n">
        <v>0</v>
      </c>
      <c r="J910" t="n">
        <v>0</v>
      </c>
      <c r="K910" t="n">
        <v>0</v>
      </c>
      <c r="L910" t="n">
        <v>0</v>
      </c>
      <c r="M910" t="n">
        <v>0</v>
      </c>
      <c r="N910" t="n">
        <v>0</v>
      </c>
      <c r="O910" t="n">
        <v>0</v>
      </c>
      <c r="P910" t="n">
        <v>0</v>
      </c>
      <c r="Q910" t="n">
        <v>0</v>
      </c>
      <c r="R910" s="2" t="inlineStr"/>
    </row>
    <row r="911" ht="15" customHeight="1">
      <c r="A911" t="inlineStr">
        <is>
          <t>A 11032-2025</t>
        </is>
      </c>
      <c r="B911" s="1" t="n">
        <v>45723.47601851852</v>
      </c>
      <c r="C911" s="1" t="n">
        <v>46061</v>
      </c>
      <c r="D911" t="inlineStr">
        <is>
          <t>VÄSTERNORRLANDS LÄN</t>
        </is>
      </c>
      <c r="E911" t="inlineStr">
        <is>
          <t>ÅNGE</t>
        </is>
      </c>
      <c r="G911" t="n">
        <v>4.4</v>
      </c>
      <c r="H911" t="n">
        <v>0</v>
      </c>
      <c r="I911" t="n">
        <v>0</v>
      </c>
      <c r="J911" t="n">
        <v>0</v>
      </c>
      <c r="K911" t="n">
        <v>0</v>
      </c>
      <c r="L911" t="n">
        <v>0</v>
      </c>
      <c r="M911" t="n">
        <v>0</v>
      </c>
      <c r="N911" t="n">
        <v>0</v>
      </c>
      <c r="O911" t="n">
        <v>0</v>
      </c>
      <c r="P911" t="n">
        <v>0</v>
      </c>
      <c r="Q911" t="n">
        <v>0</v>
      </c>
      <c r="R911" s="2" t="inlineStr"/>
    </row>
    <row r="912" ht="15" customHeight="1">
      <c r="A912" t="inlineStr">
        <is>
          <t>A 20110-2023</t>
        </is>
      </c>
      <c r="B912" s="1" t="n">
        <v>45051</v>
      </c>
      <c r="C912" s="1" t="n">
        <v>46061</v>
      </c>
      <c r="D912" t="inlineStr">
        <is>
          <t>VÄSTERNORRLANDS LÄN</t>
        </is>
      </c>
      <c r="E912" t="inlineStr">
        <is>
          <t>ÅNGE</t>
        </is>
      </c>
      <c r="G912" t="n">
        <v>2.5</v>
      </c>
      <c r="H912" t="n">
        <v>0</v>
      </c>
      <c r="I912" t="n">
        <v>0</v>
      </c>
      <c r="J912" t="n">
        <v>0</v>
      </c>
      <c r="K912" t="n">
        <v>0</v>
      </c>
      <c r="L912" t="n">
        <v>0</v>
      </c>
      <c r="M912" t="n">
        <v>0</v>
      </c>
      <c r="N912" t="n">
        <v>0</v>
      </c>
      <c r="O912" t="n">
        <v>0</v>
      </c>
      <c r="P912" t="n">
        <v>0</v>
      </c>
      <c r="Q912" t="n">
        <v>0</v>
      </c>
      <c r="R912" s="2" t="inlineStr"/>
    </row>
    <row r="913" ht="15" customHeight="1">
      <c r="A913" t="inlineStr">
        <is>
          <t>A 60779-2024</t>
        </is>
      </c>
      <c r="B913" s="1" t="n">
        <v>45644</v>
      </c>
      <c r="C913" s="1" t="n">
        <v>46061</v>
      </c>
      <c r="D913" t="inlineStr">
        <is>
          <t>VÄSTERNORRLANDS LÄN</t>
        </is>
      </c>
      <c r="E913" t="inlineStr">
        <is>
          <t>ÅNGE</t>
        </is>
      </c>
      <c r="G913" t="n">
        <v>3.1</v>
      </c>
      <c r="H913" t="n">
        <v>0</v>
      </c>
      <c r="I913" t="n">
        <v>0</v>
      </c>
      <c r="J913" t="n">
        <v>0</v>
      </c>
      <c r="K913" t="n">
        <v>0</v>
      </c>
      <c r="L913" t="n">
        <v>0</v>
      </c>
      <c r="M913" t="n">
        <v>0</v>
      </c>
      <c r="N913" t="n">
        <v>0</v>
      </c>
      <c r="O913" t="n">
        <v>0</v>
      </c>
      <c r="P913" t="n">
        <v>0</v>
      </c>
      <c r="Q913" t="n">
        <v>0</v>
      </c>
      <c r="R913" s="2" t="inlineStr"/>
    </row>
    <row r="914" ht="15" customHeight="1">
      <c r="A914" t="inlineStr">
        <is>
          <t>A 54707-2025</t>
        </is>
      </c>
      <c r="B914" s="1" t="n">
        <v>45966</v>
      </c>
      <c r="C914" s="1" t="n">
        <v>46061</v>
      </c>
      <c r="D914" t="inlineStr">
        <is>
          <t>VÄSTERNORRLANDS LÄN</t>
        </is>
      </c>
      <c r="E914" t="inlineStr">
        <is>
          <t>ÅNGE</t>
        </is>
      </c>
      <c r="G914" t="n">
        <v>3.2</v>
      </c>
      <c r="H914" t="n">
        <v>0</v>
      </c>
      <c r="I914" t="n">
        <v>0</v>
      </c>
      <c r="J914" t="n">
        <v>0</v>
      </c>
      <c r="K914" t="n">
        <v>0</v>
      </c>
      <c r="L914" t="n">
        <v>0</v>
      </c>
      <c r="M914" t="n">
        <v>0</v>
      </c>
      <c r="N914" t="n">
        <v>0</v>
      </c>
      <c r="O914" t="n">
        <v>0</v>
      </c>
      <c r="P914" t="n">
        <v>0</v>
      </c>
      <c r="Q914" t="n">
        <v>0</v>
      </c>
      <c r="R914" s="2" t="inlineStr"/>
    </row>
    <row r="915" ht="15" customHeight="1">
      <c r="A915" t="inlineStr">
        <is>
          <t>A 54710-2025</t>
        </is>
      </c>
      <c r="B915" s="1" t="n">
        <v>45966.49515046296</v>
      </c>
      <c r="C915" s="1" t="n">
        <v>46061</v>
      </c>
      <c r="D915" t="inlineStr">
        <is>
          <t>VÄSTERNORRLANDS LÄN</t>
        </is>
      </c>
      <c r="E915" t="inlineStr">
        <is>
          <t>ÅNGE</t>
        </is>
      </c>
      <c r="G915" t="n">
        <v>1.7</v>
      </c>
      <c r="H915" t="n">
        <v>0</v>
      </c>
      <c r="I915" t="n">
        <v>0</v>
      </c>
      <c r="J915" t="n">
        <v>0</v>
      </c>
      <c r="K915" t="n">
        <v>0</v>
      </c>
      <c r="L915" t="n">
        <v>0</v>
      </c>
      <c r="M915" t="n">
        <v>0</v>
      </c>
      <c r="N915" t="n">
        <v>0</v>
      </c>
      <c r="O915" t="n">
        <v>0</v>
      </c>
      <c r="P915" t="n">
        <v>0</v>
      </c>
      <c r="Q915" t="n">
        <v>0</v>
      </c>
      <c r="R915" s="2" t="inlineStr"/>
    </row>
    <row r="916" ht="15" customHeight="1">
      <c r="A916" t="inlineStr">
        <is>
          <t>A 54819-2025</t>
        </is>
      </c>
      <c r="B916" s="1" t="n">
        <v>45966.65709490741</v>
      </c>
      <c r="C916" s="1" t="n">
        <v>46061</v>
      </c>
      <c r="D916" t="inlineStr">
        <is>
          <t>VÄSTERNORRLANDS LÄN</t>
        </is>
      </c>
      <c r="E916" t="inlineStr">
        <is>
          <t>ÅNGE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38078-2025</t>
        </is>
      </c>
      <c r="B917" s="1" t="n">
        <v>45882.46918981482</v>
      </c>
      <c r="C917" s="1" t="n">
        <v>46061</v>
      </c>
      <c r="D917" t="inlineStr">
        <is>
          <t>VÄSTERNORRLANDS LÄN</t>
        </is>
      </c>
      <c r="E917" t="inlineStr">
        <is>
          <t>ÅNGE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54713-2025</t>
        </is>
      </c>
      <c r="B918" s="1" t="n">
        <v>45966.50446759259</v>
      </c>
      <c r="C918" s="1" t="n">
        <v>46061</v>
      </c>
      <c r="D918" t="inlineStr">
        <is>
          <t>VÄSTERNORRLANDS LÄN</t>
        </is>
      </c>
      <c r="E918" t="inlineStr">
        <is>
          <t>ÅNGE</t>
        </is>
      </c>
      <c r="G918" t="n">
        <v>1.9</v>
      </c>
      <c r="H918" t="n">
        <v>0</v>
      </c>
      <c r="I918" t="n">
        <v>0</v>
      </c>
      <c r="J918" t="n">
        <v>0</v>
      </c>
      <c r="K918" t="n">
        <v>0</v>
      </c>
      <c r="L918" t="n">
        <v>0</v>
      </c>
      <c r="M918" t="n">
        <v>0</v>
      </c>
      <c r="N918" t="n">
        <v>0</v>
      </c>
      <c r="O918" t="n">
        <v>0</v>
      </c>
      <c r="P918" t="n">
        <v>0</v>
      </c>
      <c r="Q918" t="n">
        <v>0</v>
      </c>
      <c r="R918" s="2" t="inlineStr"/>
    </row>
    <row r="919" ht="15" customHeight="1">
      <c r="A919" t="inlineStr">
        <is>
          <t>A 55038-2025</t>
        </is>
      </c>
      <c r="B919" s="1" t="n">
        <v>45967.65527777778</v>
      </c>
      <c r="C919" s="1" t="n">
        <v>46061</v>
      </c>
      <c r="D919" t="inlineStr">
        <is>
          <t>VÄSTERNORRLANDS LÄN</t>
        </is>
      </c>
      <c r="E919" t="inlineStr">
        <is>
          <t>ÅNGE</t>
        </is>
      </c>
      <c r="G919" t="n">
        <v>4.5</v>
      </c>
      <c r="H919" t="n">
        <v>0</v>
      </c>
      <c r="I919" t="n">
        <v>0</v>
      </c>
      <c r="J919" t="n">
        <v>0</v>
      </c>
      <c r="K919" t="n">
        <v>0</v>
      </c>
      <c r="L919" t="n">
        <v>0</v>
      </c>
      <c r="M919" t="n">
        <v>0</v>
      </c>
      <c r="N919" t="n">
        <v>0</v>
      </c>
      <c r="O919" t="n">
        <v>0</v>
      </c>
      <c r="P919" t="n">
        <v>0</v>
      </c>
      <c r="Q919" t="n">
        <v>0</v>
      </c>
      <c r="R919" s="2" t="inlineStr"/>
    </row>
    <row r="920" ht="15" customHeight="1">
      <c r="A920" t="inlineStr">
        <is>
          <t>A 55045-2025</t>
        </is>
      </c>
      <c r="B920" s="1" t="n">
        <v>45967.66068287037</v>
      </c>
      <c r="C920" s="1" t="n">
        <v>46061</v>
      </c>
      <c r="D920" t="inlineStr">
        <is>
          <t>VÄSTERNORRLANDS LÄN</t>
        </is>
      </c>
      <c r="E920" t="inlineStr">
        <is>
          <t>ÅNGE</t>
        </is>
      </c>
      <c r="G920" t="n">
        <v>0.9</v>
      </c>
      <c r="H920" t="n">
        <v>0</v>
      </c>
      <c r="I920" t="n">
        <v>0</v>
      </c>
      <c r="J920" t="n">
        <v>0</v>
      </c>
      <c r="K920" t="n">
        <v>0</v>
      </c>
      <c r="L920" t="n">
        <v>0</v>
      </c>
      <c r="M920" t="n">
        <v>0</v>
      </c>
      <c r="N920" t="n">
        <v>0</v>
      </c>
      <c r="O920" t="n">
        <v>0</v>
      </c>
      <c r="P920" t="n">
        <v>0</v>
      </c>
      <c r="Q920" t="n">
        <v>0</v>
      </c>
      <c r="R920" s="2" t="inlineStr"/>
    </row>
    <row r="921" ht="15" customHeight="1">
      <c r="A921" t="inlineStr">
        <is>
          <t>A 54925-2025</t>
        </is>
      </c>
      <c r="B921" s="1" t="n">
        <v>45967.40699074074</v>
      </c>
      <c r="C921" s="1" t="n">
        <v>46061</v>
      </c>
      <c r="D921" t="inlineStr">
        <is>
          <t>VÄSTERNORRLANDS LÄN</t>
        </is>
      </c>
      <c r="E921" t="inlineStr">
        <is>
          <t>ÅNGE</t>
        </is>
      </c>
      <c r="G921" t="n">
        <v>2.6</v>
      </c>
      <c r="H921" t="n">
        <v>0</v>
      </c>
      <c r="I921" t="n">
        <v>0</v>
      </c>
      <c r="J921" t="n">
        <v>0</v>
      </c>
      <c r="K921" t="n">
        <v>0</v>
      </c>
      <c r="L921" t="n">
        <v>0</v>
      </c>
      <c r="M921" t="n">
        <v>0</v>
      </c>
      <c r="N921" t="n">
        <v>0</v>
      </c>
      <c r="O921" t="n">
        <v>0</v>
      </c>
      <c r="P921" t="n">
        <v>0</v>
      </c>
      <c r="Q921" t="n">
        <v>0</v>
      </c>
      <c r="R921" s="2" t="inlineStr"/>
    </row>
    <row r="922" ht="15" customHeight="1">
      <c r="A922" t="inlineStr">
        <is>
          <t>A 54926-2025</t>
        </is>
      </c>
      <c r="B922" s="1" t="n">
        <v>45967.40707175926</v>
      </c>
      <c r="C922" s="1" t="n">
        <v>46061</v>
      </c>
      <c r="D922" t="inlineStr">
        <is>
          <t>VÄSTERNORRLANDS LÄN</t>
        </is>
      </c>
      <c r="E922" t="inlineStr">
        <is>
          <t>ÅNGE</t>
        </is>
      </c>
      <c r="G922" t="n">
        <v>3.1</v>
      </c>
      <c r="H922" t="n">
        <v>0</v>
      </c>
      <c r="I922" t="n">
        <v>0</v>
      </c>
      <c r="J922" t="n">
        <v>0</v>
      </c>
      <c r="K922" t="n">
        <v>0</v>
      </c>
      <c r="L922" t="n">
        <v>0</v>
      </c>
      <c r="M922" t="n">
        <v>0</v>
      </c>
      <c r="N922" t="n">
        <v>0</v>
      </c>
      <c r="O922" t="n">
        <v>0</v>
      </c>
      <c r="P922" t="n">
        <v>0</v>
      </c>
      <c r="Q922" t="n">
        <v>0</v>
      </c>
      <c r="R922" s="2" t="inlineStr"/>
    </row>
    <row r="923" ht="15" customHeight="1">
      <c r="A923" t="inlineStr">
        <is>
          <t>A 54715-2025</t>
        </is>
      </c>
      <c r="B923" s="1" t="n">
        <v>45966.50961805556</v>
      </c>
      <c r="C923" s="1" t="n">
        <v>46061</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54680-2025</t>
        </is>
      </c>
      <c r="B924" s="1" t="n">
        <v>45966.42751157407</v>
      </c>
      <c r="C924" s="1" t="n">
        <v>46061</v>
      </c>
      <c r="D924" t="inlineStr">
        <is>
          <t>VÄSTERNORRLANDS LÄN</t>
        </is>
      </c>
      <c r="E924" t="inlineStr">
        <is>
          <t>ÅNGE</t>
        </is>
      </c>
      <c r="F924" t="inlineStr">
        <is>
          <t>SCA</t>
        </is>
      </c>
      <c r="G924" t="n">
        <v>5.2</v>
      </c>
      <c r="H924" t="n">
        <v>0</v>
      </c>
      <c r="I924" t="n">
        <v>0</v>
      </c>
      <c r="J924" t="n">
        <v>0</v>
      </c>
      <c r="K924" t="n">
        <v>0</v>
      </c>
      <c r="L924" t="n">
        <v>0</v>
      </c>
      <c r="M924" t="n">
        <v>0</v>
      </c>
      <c r="N924" t="n">
        <v>0</v>
      </c>
      <c r="O924" t="n">
        <v>0</v>
      </c>
      <c r="P924" t="n">
        <v>0</v>
      </c>
      <c r="Q924" t="n">
        <v>0</v>
      </c>
      <c r="R924" s="2" t="inlineStr"/>
    </row>
    <row r="925" ht="15" customHeight="1">
      <c r="A925" t="inlineStr">
        <is>
          <t>A 54702-2025</t>
        </is>
      </c>
      <c r="B925" s="1" t="n">
        <v>45966.4828587963</v>
      </c>
      <c r="C925" s="1" t="n">
        <v>46061</v>
      </c>
      <c r="D925" t="inlineStr">
        <is>
          <t>VÄSTERNORRLANDS LÄN</t>
        </is>
      </c>
      <c r="E925" t="inlineStr">
        <is>
          <t>ÅNGE</t>
        </is>
      </c>
      <c r="G925" t="n">
        <v>12.3</v>
      </c>
      <c r="H925" t="n">
        <v>0</v>
      </c>
      <c r="I925" t="n">
        <v>0</v>
      </c>
      <c r="J925" t="n">
        <v>0</v>
      </c>
      <c r="K925" t="n">
        <v>0</v>
      </c>
      <c r="L925" t="n">
        <v>0</v>
      </c>
      <c r="M925" t="n">
        <v>0</v>
      </c>
      <c r="N925" t="n">
        <v>0</v>
      </c>
      <c r="O925" t="n">
        <v>0</v>
      </c>
      <c r="P925" t="n">
        <v>0</v>
      </c>
      <c r="Q925" t="n">
        <v>0</v>
      </c>
      <c r="R925" s="2" t="inlineStr"/>
    </row>
    <row r="926" ht="15" customHeight="1">
      <c r="A926" t="inlineStr">
        <is>
          <t>A 38332-2025</t>
        </is>
      </c>
      <c r="B926" s="1" t="n">
        <v>45883.49151620371</v>
      </c>
      <c r="C926" s="1" t="n">
        <v>46061</v>
      </c>
      <c r="D926" t="inlineStr">
        <is>
          <t>VÄSTERNORRLANDS LÄN</t>
        </is>
      </c>
      <c r="E926" t="inlineStr">
        <is>
          <t>ÅNGE</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54705-2025</t>
        </is>
      </c>
      <c r="B927" s="1" t="n">
        <v>45966.4853125</v>
      </c>
      <c r="C927" s="1" t="n">
        <v>46061</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55049-2025</t>
        </is>
      </c>
      <c r="B928" s="1" t="n">
        <v>45967.66614583333</v>
      </c>
      <c r="C928" s="1" t="n">
        <v>46061</v>
      </c>
      <c r="D928" t="inlineStr">
        <is>
          <t>VÄSTERNORRLANDS LÄN</t>
        </is>
      </c>
      <c r="E928" t="inlineStr">
        <is>
          <t>ÅNGE</t>
        </is>
      </c>
      <c r="G928" t="n">
        <v>2.4</v>
      </c>
      <c r="H928" t="n">
        <v>0</v>
      </c>
      <c r="I928" t="n">
        <v>0</v>
      </c>
      <c r="J928" t="n">
        <v>0</v>
      </c>
      <c r="K928" t="n">
        <v>0</v>
      </c>
      <c r="L928" t="n">
        <v>0</v>
      </c>
      <c r="M928" t="n">
        <v>0</v>
      </c>
      <c r="N928" t="n">
        <v>0</v>
      </c>
      <c r="O928" t="n">
        <v>0</v>
      </c>
      <c r="P928" t="n">
        <v>0</v>
      </c>
      <c r="Q928" t="n">
        <v>0</v>
      </c>
      <c r="R928" s="2" t="inlineStr"/>
    </row>
    <row r="929" ht="15" customHeight="1">
      <c r="A929" t="inlineStr">
        <is>
          <t>A 60003-2023</t>
        </is>
      </c>
      <c r="B929" s="1" t="n">
        <v>45257</v>
      </c>
      <c r="C929" s="1" t="n">
        <v>46061</v>
      </c>
      <c r="D929" t="inlineStr">
        <is>
          <t>VÄSTERNORRLANDS LÄN</t>
        </is>
      </c>
      <c r="E929" t="inlineStr">
        <is>
          <t>ÅNGE</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4876-2023</t>
        </is>
      </c>
      <c r="B930" s="1" t="n">
        <v>44957.94023148148</v>
      </c>
      <c r="C930" s="1" t="n">
        <v>46061</v>
      </c>
      <c r="D930" t="inlineStr">
        <is>
          <t>VÄSTERNORRLANDS LÄN</t>
        </is>
      </c>
      <c r="E930" t="inlineStr">
        <is>
          <t>ÅNGE</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55751-2024</t>
        </is>
      </c>
      <c r="B931" s="1" t="n">
        <v>45623.34409722222</v>
      </c>
      <c r="C931" s="1" t="n">
        <v>46061</v>
      </c>
      <c r="D931" t="inlineStr">
        <is>
          <t>VÄSTERNORRLANDS LÄN</t>
        </is>
      </c>
      <c r="E931" t="inlineStr">
        <is>
          <t>ÅNGE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57591-2022</t>
        </is>
      </c>
      <c r="B932" s="1" t="n">
        <v>44896.97834490741</v>
      </c>
      <c r="C932" s="1" t="n">
        <v>46061</v>
      </c>
      <c r="D932" t="inlineStr">
        <is>
          <t>VÄSTERNORRLANDS LÄN</t>
        </is>
      </c>
      <c r="E932" t="inlineStr">
        <is>
          <t>ÅNGE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38386-2025</t>
        </is>
      </c>
      <c r="B933" s="1" t="n">
        <v>45883.57430555556</v>
      </c>
      <c r="C933" s="1" t="n">
        <v>46061</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25034-2023</t>
        </is>
      </c>
      <c r="B934" s="1" t="n">
        <v>45085</v>
      </c>
      <c r="C934" s="1" t="n">
        <v>46061</v>
      </c>
      <c r="D934" t="inlineStr">
        <is>
          <t>VÄSTERNORRLANDS LÄN</t>
        </is>
      </c>
      <c r="E934" t="inlineStr">
        <is>
          <t>ÅNGE</t>
        </is>
      </c>
      <c r="G934" t="n">
        <v>0.6</v>
      </c>
      <c r="H934" t="n">
        <v>0</v>
      </c>
      <c r="I934" t="n">
        <v>0</v>
      </c>
      <c r="J934" t="n">
        <v>0</v>
      </c>
      <c r="K934" t="n">
        <v>0</v>
      </c>
      <c r="L934" t="n">
        <v>0</v>
      </c>
      <c r="M934" t="n">
        <v>0</v>
      </c>
      <c r="N934" t="n">
        <v>0</v>
      </c>
      <c r="O934" t="n">
        <v>0</v>
      </c>
      <c r="P934" t="n">
        <v>0</v>
      </c>
      <c r="Q934" t="n">
        <v>0</v>
      </c>
      <c r="R934" s="2" t="inlineStr"/>
    </row>
    <row r="935" ht="15" customHeight="1">
      <c r="A935" t="inlineStr">
        <is>
          <t>A 13875-2022</t>
        </is>
      </c>
      <c r="B935" s="1" t="n">
        <v>44649</v>
      </c>
      <c r="C935" s="1" t="n">
        <v>46061</v>
      </c>
      <c r="D935" t="inlineStr">
        <is>
          <t>VÄSTERNORRLANDS LÄN</t>
        </is>
      </c>
      <c r="E935" t="inlineStr">
        <is>
          <t>ÅNGE</t>
        </is>
      </c>
      <c r="G935" t="n">
        <v>1.3</v>
      </c>
      <c r="H935" t="n">
        <v>0</v>
      </c>
      <c r="I935" t="n">
        <v>0</v>
      </c>
      <c r="J935" t="n">
        <v>0</v>
      </c>
      <c r="K935" t="n">
        <v>0</v>
      </c>
      <c r="L935" t="n">
        <v>0</v>
      </c>
      <c r="M935" t="n">
        <v>0</v>
      </c>
      <c r="N935" t="n">
        <v>0</v>
      </c>
      <c r="O935" t="n">
        <v>0</v>
      </c>
      <c r="P935" t="n">
        <v>0</v>
      </c>
      <c r="Q935" t="n">
        <v>0</v>
      </c>
      <c r="R935" s="2" t="inlineStr"/>
    </row>
    <row r="936" ht="15" customHeight="1">
      <c r="A936" t="inlineStr">
        <is>
          <t>A 9605-2025</t>
        </is>
      </c>
      <c r="B936" s="1" t="n">
        <v>45715.65657407408</v>
      </c>
      <c r="C936" s="1" t="n">
        <v>46061</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16563-2025</t>
        </is>
      </c>
      <c r="B937" s="1" t="n">
        <v>45752.34430555555</v>
      </c>
      <c r="C937" s="1" t="n">
        <v>46061</v>
      </c>
      <c r="D937" t="inlineStr">
        <is>
          <t>VÄSTERNORRLANDS LÄN</t>
        </is>
      </c>
      <c r="E937" t="inlineStr">
        <is>
          <t>ÅNGE</t>
        </is>
      </c>
      <c r="F937" t="inlineStr">
        <is>
          <t>SCA</t>
        </is>
      </c>
      <c r="G937" t="n">
        <v>24.7</v>
      </c>
      <c r="H937" t="n">
        <v>0</v>
      </c>
      <c r="I937" t="n">
        <v>0</v>
      </c>
      <c r="J937" t="n">
        <v>0</v>
      </c>
      <c r="K937" t="n">
        <v>0</v>
      </c>
      <c r="L937" t="n">
        <v>0</v>
      </c>
      <c r="M937" t="n">
        <v>0</v>
      </c>
      <c r="N937" t="n">
        <v>0</v>
      </c>
      <c r="O937" t="n">
        <v>0</v>
      </c>
      <c r="P937" t="n">
        <v>0</v>
      </c>
      <c r="Q937" t="n">
        <v>0</v>
      </c>
      <c r="R937" s="2" t="inlineStr"/>
    </row>
    <row r="938" ht="15" customHeight="1">
      <c r="A938" t="inlineStr">
        <is>
          <t>A 38283-2025</t>
        </is>
      </c>
      <c r="B938" s="1" t="n">
        <v>45883.42740740741</v>
      </c>
      <c r="C938" s="1" t="n">
        <v>46061</v>
      </c>
      <c r="D938" t="inlineStr">
        <is>
          <t>VÄSTERNORRLANDS LÄN</t>
        </is>
      </c>
      <c r="E938" t="inlineStr">
        <is>
          <t>ÅNGE</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55160-2025</t>
        </is>
      </c>
      <c r="B939" s="1" t="n">
        <v>45968.46930555555</v>
      </c>
      <c r="C939" s="1" t="n">
        <v>46061</v>
      </c>
      <c r="D939" t="inlineStr">
        <is>
          <t>VÄSTERNORRLANDS LÄN</t>
        </is>
      </c>
      <c r="E939" t="inlineStr">
        <is>
          <t>ÅNGE</t>
        </is>
      </c>
      <c r="G939" t="n">
        <v>6.8</v>
      </c>
      <c r="H939" t="n">
        <v>0</v>
      </c>
      <c r="I939" t="n">
        <v>0</v>
      </c>
      <c r="J939" t="n">
        <v>0</v>
      </c>
      <c r="K939" t="n">
        <v>0</v>
      </c>
      <c r="L939" t="n">
        <v>0</v>
      </c>
      <c r="M939" t="n">
        <v>0</v>
      </c>
      <c r="N939" t="n">
        <v>0</v>
      </c>
      <c r="O939" t="n">
        <v>0</v>
      </c>
      <c r="P939" t="n">
        <v>0</v>
      </c>
      <c r="Q939" t="n">
        <v>0</v>
      </c>
      <c r="R939" s="2" t="inlineStr"/>
    </row>
    <row r="940" ht="15" customHeight="1">
      <c r="A940" t="inlineStr">
        <is>
          <t>A 42881-2024</t>
        </is>
      </c>
      <c r="B940" s="1" t="n">
        <v>45566.70916666667</v>
      </c>
      <c r="C940" s="1" t="n">
        <v>46061</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54316-2024</t>
        </is>
      </c>
      <c r="B941" s="1" t="n">
        <v>45617.34443287037</v>
      </c>
      <c r="C941" s="1" t="n">
        <v>46061</v>
      </c>
      <c r="D941" t="inlineStr">
        <is>
          <t>VÄSTERNORRLANDS LÄN</t>
        </is>
      </c>
      <c r="E941" t="inlineStr">
        <is>
          <t>ÅNGE</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55556-2025</t>
        </is>
      </c>
      <c r="B942" s="1" t="n">
        <v>45971.64694444444</v>
      </c>
      <c r="C942" s="1" t="n">
        <v>46061</v>
      </c>
      <c r="D942" t="inlineStr">
        <is>
          <t>VÄSTERNORRLANDS LÄN</t>
        </is>
      </c>
      <c r="E942" t="inlineStr">
        <is>
          <t>ÅNGE</t>
        </is>
      </c>
      <c r="G942" t="n">
        <v>1.7</v>
      </c>
      <c r="H942" t="n">
        <v>0</v>
      </c>
      <c r="I942" t="n">
        <v>0</v>
      </c>
      <c r="J942" t="n">
        <v>0</v>
      </c>
      <c r="K942" t="n">
        <v>0</v>
      </c>
      <c r="L942" t="n">
        <v>0</v>
      </c>
      <c r="M942" t="n">
        <v>0</v>
      </c>
      <c r="N942" t="n">
        <v>0</v>
      </c>
      <c r="O942" t="n">
        <v>0</v>
      </c>
      <c r="P942" t="n">
        <v>0</v>
      </c>
      <c r="Q942" t="n">
        <v>0</v>
      </c>
      <c r="R942" s="2" t="inlineStr"/>
    </row>
    <row r="943" ht="15" customHeight="1">
      <c r="A943" t="inlineStr">
        <is>
          <t>A 17718-2025</t>
        </is>
      </c>
      <c r="B943" s="1" t="n">
        <v>45758.44815972223</v>
      </c>
      <c r="C943" s="1" t="n">
        <v>46061</v>
      </c>
      <c r="D943" t="inlineStr">
        <is>
          <t>VÄSTERNORRLANDS LÄN</t>
        </is>
      </c>
      <c r="E943" t="inlineStr">
        <is>
          <t>ÅNGE</t>
        </is>
      </c>
      <c r="G943" t="n">
        <v>5.1</v>
      </c>
      <c r="H943" t="n">
        <v>0</v>
      </c>
      <c r="I943" t="n">
        <v>0</v>
      </c>
      <c r="J943" t="n">
        <v>0</v>
      </c>
      <c r="K943" t="n">
        <v>0</v>
      </c>
      <c r="L943" t="n">
        <v>0</v>
      </c>
      <c r="M943" t="n">
        <v>0</v>
      </c>
      <c r="N943" t="n">
        <v>0</v>
      </c>
      <c r="O943" t="n">
        <v>0</v>
      </c>
      <c r="P943" t="n">
        <v>0</v>
      </c>
      <c r="Q943" t="n">
        <v>0</v>
      </c>
      <c r="R943" s="2" t="inlineStr"/>
    </row>
    <row r="944" ht="15" customHeight="1">
      <c r="A944" t="inlineStr">
        <is>
          <t>A 8650-2024</t>
        </is>
      </c>
      <c r="B944" s="1" t="n">
        <v>45356</v>
      </c>
      <c r="C944" s="1" t="n">
        <v>46061</v>
      </c>
      <c r="D944" t="inlineStr">
        <is>
          <t>VÄSTERNORRLANDS LÄN</t>
        </is>
      </c>
      <c r="E944" t="inlineStr">
        <is>
          <t>ÅNGE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55816-2025</t>
        </is>
      </c>
      <c r="B945" s="1" t="n">
        <v>45972.69851851852</v>
      </c>
      <c r="C945" s="1" t="n">
        <v>46061</v>
      </c>
      <c r="D945" t="inlineStr">
        <is>
          <t>VÄSTERNORRLANDS LÄN</t>
        </is>
      </c>
      <c r="E945" t="inlineStr">
        <is>
          <t>ÅNGE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37919-2025</t>
        </is>
      </c>
      <c r="B946" s="1" t="n">
        <v>45881.57478009259</v>
      </c>
      <c r="C946" s="1" t="n">
        <v>46061</v>
      </c>
      <c r="D946" t="inlineStr">
        <is>
          <t>VÄSTERNORRLANDS LÄN</t>
        </is>
      </c>
      <c r="E946" t="inlineStr">
        <is>
          <t>ÅNGE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45631-2021</t>
        </is>
      </c>
      <c r="B947" s="1" t="n">
        <v>44440.98045138889</v>
      </c>
      <c r="C947" s="1" t="n">
        <v>46061</v>
      </c>
      <c r="D947" t="inlineStr">
        <is>
          <t>VÄSTERNORRLANDS LÄN</t>
        </is>
      </c>
      <c r="E947" t="inlineStr">
        <is>
          <t>ÅNGE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37802-2025</t>
        </is>
      </c>
      <c r="B948" s="1" t="n">
        <v>45881.34447916667</v>
      </c>
      <c r="C948" s="1" t="n">
        <v>46061</v>
      </c>
      <c r="D948" t="inlineStr">
        <is>
          <t>VÄSTERNORRLANDS LÄN</t>
        </is>
      </c>
      <c r="E948" t="inlineStr">
        <is>
          <t>ÅNGE</t>
        </is>
      </c>
      <c r="F948" t="inlineStr">
        <is>
          <t>SCA</t>
        </is>
      </c>
      <c r="G948" t="n">
        <v>4.2</v>
      </c>
      <c r="H948" t="n">
        <v>0</v>
      </c>
      <c r="I948" t="n">
        <v>0</v>
      </c>
      <c r="J948" t="n">
        <v>0</v>
      </c>
      <c r="K948" t="n">
        <v>0</v>
      </c>
      <c r="L948" t="n">
        <v>0</v>
      </c>
      <c r="M948" t="n">
        <v>0</v>
      </c>
      <c r="N948" t="n">
        <v>0</v>
      </c>
      <c r="O948" t="n">
        <v>0</v>
      </c>
      <c r="P948" t="n">
        <v>0</v>
      </c>
      <c r="Q948" t="n">
        <v>0</v>
      </c>
      <c r="R948" s="2" t="inlineStr"/>
    </row>
    <row r="949" ht="15" customHeight="1">
      <c r="A949" t="inlineStr">
        <is>
          <t>A 38273-2025</t>
        </is>
      </c>
      <c r="B949" s="1" t="n">
        <v>45883.40740740741</v>
      </c>
      <c r="C949" s="1" t="n">
        <v>46061</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10878-2024</t>
        </is>
      </c>
      <c r="B950" s="1" t="n">
        <v>45370</v>
      </c>
      <c r="C950" s="1" t="n">
        <v>46061</v>
      </c>
      <c r="D950" t="inlineStr">
        <is>
          <t>VÄSTERNORRLANDS LÄN</t>
        </is>
      </c>
      <c r="E950" t="inlineStr">
        <is>
          <t>ÅNGE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56077-2025</t>
        </is>
      </c>
      <c r="B951" s="1" t="n">
        <v>45973.65759259259</v>
      </c>
      <c r="C951" s="1" t="n">
        <v>46061</v>
      </c>
      <c r="D951" t="inlineStr">
        <is>
          <t>VÄSTERNORRLANDS LÄN</t>
        </is>
      </c>
      <c r="E951" t="inlineStr">
        <is>
          <t>ÅNGE</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4006-2022</t>
        </is>
      </c>
      <c r="B952" s="1" t="n">
        <v>44587.92019675926</v>
      </c>
      <c r="C952" s="1" t="n">
        <v>46061</v>
      </c>
      <c r="D952" t="inlineStr">
        <is>
          <t>VÄSTERNORRLANDS LÄN</t>
        </is>
      </c>
      <c r="E952" t="inlineStr">
        <is>
          <t>ÅNGE</t>
        </is>
      </c>
      <c r="G952" t="n">
        <v>5</v>
      </c>
      <c r="H952" t="n">
        <v>0</v>
      </c>
      <c r="I952" t="n">
        <v>0</v>
      </c>
      <c r="J952" t="n">
        <v>0</v>
      </c>
      <c r="K952" t="n">
        <v>0</v>
      </c>
      <c r="L952" t="n">
        <v>0</v>
      </c>
      <c r="M952" t="n">
        <v>0</v>
      </c>
      <c r="N952" t="n">
        <v>0</v>
      </c>
      <c r="O952" t="n">
        <v>0</v>
      </c>
      <c r="P952" t="n">
        <v>0</v>
      </c>
      <c r="Q952" t="n">
        <v>0</v>
      </c>
      <c r="R952" s="2" t="inlineStr"/>
    </row>
    <row r="953" ht="15" customHeight="1">
      <c r="A953" t="inlineStr">
        <is>
          <t>A 61781-2023</t>
        </is>
      </c>
      <c r="B953" s="1" t="n">
        <v>45265.95708333333</v>
      </c>
      <c r="C953" s="1" t="n">
        <v>46061</v>
      </c>
      <c r="D953" t="inlineStr">
        <is>
          <t>VÄSTERNORRLANDS LÄN</t>
        </is>
      </c>
      <c r="E953" t="inlineStr">
        <is>
          <t>ÅNGE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56419-2025</t>
        </is>
      </c>
      <c r="B954" s="1" t="n">
        <v>45975.34445601852</v>
      </c>
      <c r="C954" s="1" t="n">
        <v>46061</v>
      </c>
      <c r="D954" t="inlineStr">
        <is>
          <t>VÄSTERNORRLANDS LÄN</t>
        </is>
      </c>
      <c r="E954" t="inlineStr">
        <is>
          <t>ÅNGE</t>
        </is>
      </c>
      <c r="F954" t="inlineStr">
        <is>
          <t>SCA</t>
        </is>
      </c>
      <c r="G954" t="n">
        <v>21.4</v>
      </c>
      <c r="H954" t="n">
        <v>0</v>
      </c>
      <c r="I954" t="n">
        <v>0</v>
      </c>
      <c r="J954" t="n">
        <v>0</v>
      </c>
      <c r="K954" t="n">
        <v>0</v>
      </c>
      <c r="L954" t="n">
        <v>0</v>
      </c>
      <c r="M954" t="n">
        <v>0</v>
      </c>
      <c r="N954" t="n">
        <v>0</v>
      </c>
      <c r="O954" t="n">
        <v>0</v>
      </c>
      <c r="P954" t="n">
        <v>0</v>
      </c>
      <c r="Q954" t="n">
        <v>0</v>
      </c>
      <c r="R954" s="2" t="inlineStr"/>
    </row>
    <row r="955" ht="15" customHeight="1">
      <c r="A955" t="inlineStr">
        <is>
          <t>A 56423-2025</t>
        </is>
      </c>
      <c r="B955" s="1" t="n">
        <v>45975.34528935186</v>
      </c>
      <c r="C955" s="1" t="n">
        <v>46061</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c r="U955">
        <f>HYPERLINK("https://klasma.github.io/Logging_2260/knärot/A 56423-2025 karta knärot.png", "A 56423-2025")</f>
        <v/>
      </c>
      <c r="V955">
        <f>HYPERLINK("https://klasma.github.io/Logging_2260/klagomål/A 56423-2025 FSC-klagomål.docx", "A 56423-2025")</f>
        <v/>
      </c>
      <c r="W955">
        <f>HYPERLINK("https://klasma.github.io/Logging_2260/klagomålsmail/A 56423-2025 FSC-klagomål mail.docx", "A 56423-2025")</f>
        <v/>
      </c>
      <c r="X955">
        <f>HYPERLINK("https://klasma.github.io/Logging_2260/tillsyn/A 56423-2025 tillsynsbegäran.docx", "A 56423-2025")</f>
        <v/>
      </c>
      <c r="Y955">
        <f>HYPERLINK("https://klasma.github.io/Logging_2260/tillsynsmail/A 56423-2025 tillsynsbegäran mail.docx", "A 56423-2025")</f>
        <v/>
      </c>
    </row>
    <row r="956" ht="15" customHeight="1">
      <c r="A956" t="inlineStr">
        <is>
          <t>A 17744-2025</t>
        </is>
      </c>
      <c r="B956" s="1" t="n">
        <v>45758</v>
      </c>
      <c r="C956" s="1" t="n">
        <v>46061</v>
      </c>
      <c r="D956" t="inlineStr">
        <is>
          <t>VÄSTERNORRLANDS LÄN</t>
        </is>
      </c>
      <c r="E956" t="inlineStr">
        <is>
          <t>ÅNGE</t>
        </is>
      </c>
      <c r="G956" t="n">
        <v>5</v>
      </c>
      <c r="H956" t="n">
        <v>0</v>
      </c>
      <c r="I956" t="n">
        <v>0</v>
      </c>
      <c r="J956" t="n">
        <v>0</v>
      </c>
      <c r="K956" t="n">
        <v>0</v>
      </c>
      <c r="L956" t="n">
        <v>0</v>
      </c>
      <c r="M956" t="n">
        <v>0</v>
      </c>
      <c r="N956" t="n">
        <v>0</v>
      </c>
      <c r="O956" t="n">
        <v>0</v>
      </c>
      <c r="P956" t="n">
        <v>0</v>
      </c>
      <c r="Q956" t="n">
        <v>0</v>
      </c>
      <c r="R956" s="2" t="inlineStr"/>
    </row>
    <row r="957" ht="15" customHeight="1">
      <c r="A957" t="inlineStr">
        <is>
          <t>A 56666-2025</t>
        </is>
      </c>
      <c r="B957" s="1" t="n">
        <v>45975.67747685185</v>
      </c>
      <c r="C957" s="1" t="n">
        <v>46061</v>
      </c>
      <c r="D957" t="inlineStr">
        <is>
          <t>VÄSTERNORRLANDS LÄN</t>
        </is>
      </c>
      <c r="E957" t="inlineStr">
        <is>
          <t>ÅNGE</t>
        </is>
      </c>
      <c r="G957" t="n">
        <v>5.2</v>
      </c>
      <c r="H957" t="n">
        <v>0</v>
      </c>
      <c r="I957" t="n">
        <v>0</v>
      </c>
      <c r="J957" t="n">
        <v>0</v>
      </c>
      <c r="K957" t="n">
        <v>0</v>
      </c>
      <c r="L957" t="n">
        <v>0</v>
      </c>
      <c r="M957" t="n">
        <v>0</v>
      </c>
      <c r="N957" t="n">
        <v>0</v>
      </c>
      <c r="O957" t="n">
        <v>0</v>
      </c>
      <c r="P957" t="n">
        <v>0</v>
      </c>
      <c r="Q957" t="n">
        <v>0</v>
      </c>
      <c r="R957" s="2" t="inlineStr"/>
    </row>
    <row r="958" ht="15" customHeight="1">
      <c r="A958" t="inlineStr">
        <is>
          <t>A 33783-2024</t>
        </is>
      </c>
      <c r="B958" s="1" t="n">
        <v>45520</v>
      </c>
      <c r="C958" s="1" t="n">
        <v>46061</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63170-2023</t>
        </is>
      </c>
      <c r="B959" s="1" t="n">
        <v>45273.57087962963</v>
      </c>
      <c r="C959" s="1" t="n">
        <v>46061</v>
      </c>
      <c r="D959" t="inlineStr">
        <is>
          <t>VÄSTERNORRLANDS LÄN</t>
        </is>
      </c>
      <c r="E959" t="inlineStr">
        <is>
          <t>ÅNGE</t>
        </is>
      </c>
      <c r="F959" t="inlineStr">
        <is>
          <t>Holmen skog AB</t>
        </is>
      </c>
      <c r="G959" t="n">
        <v>4.1</v>
      </c>
      <c r="H959" t="n">
        <v>0</v>
      </c>
      <c r="I959" t="n">
        <v>0</v>
      </c>
      <c r="J959" t="n">
        <v>0</v>
      </c>
      <c r="K959" t="n">
        <v>0</v>
      </c>
      <c r="L959" t="n">
        <v>0</v>
      </c>
      <c r="M959" t="n">
        <v>0</v>
      </c>
      <c r="N959" t="n">
        <v>0</v>
      </c>
      <c r="O959" t="n">
        <v>0</v>
      </c>
      <c r="P959" t="n">
        <v>0</v>
      </c>
      <c r="Q959" t="n">
        <v>0</v>
      </c>
      <c r="R959" s="2" t="inlineStr"/>
    </row>
    <row r="960" ht="15" customHeight="1">
      <c r="A960" t="inlineStr">
        <is>
          <t>A 20716-2025</t>
        </is>
      </c>
      <c r="B960" s="1" t="n">
        <v>45776.49026620371</v>
      </c>
      <c r="C960" s="1" t="n">
        <v>46061</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56741-2025</t>
        </is>
      </c>
      <c r="B961" s="1" t="n">
        <v>45978.34726851852</v>
      </c>
      <c r="C961" s="1" t="n">
        <v>46061</v>
      </c>
      <c r="D961" t="inlineStr">
        <is>
          <t>VÄSTERNORRLANDS LÄN</t>
        </is>
      </c>
      <c r="E961" t="inlineStr">
        <is>
          <t>ÅNGE</t>
        </is>
      </c>
      <c r="G961" t="n">
        <v>11.4</v>
      </c>
      <c r="H961" t="n">
        <v>0</v>
      </c>
      <c r="I961" t="n">
        <v>0</v>
      </c>
      <c r="J961" t="n">
        <v>0</v>
      </c>
      <c r="K961" t="n">
        <v>0</v>
      </c>
      <c r="L961" t="n">
        <v>0</v>
      </c>
      <c r="M961" t="n">
        <v>0</v>
      </c>
      <c r="N961" t="n">
        <v>0</v>
      </c>
      <c r="O961" t="n">
        <v>0</v>
      </c>
      <c r="P961" t="n">
        <v>0</v>
      </c>
      <c r="Q961" t="n">
        <v>0</v>
      </c>
      <c r="R961" s="2" t="inlineStr"/>
    </row>
    <row r="962" ht="15" customHeight="1">
      <c r="A962" t="inlineStr">
        <is>
          <t>A 47792-2022</t>
        </is>
      </c>
      <c r="B962" s="1" t="n">
        <v>44854.95238425926</v>
      </c>
      <c r="C962" s="1" t="n">
        <v>46061</v>
      </c>
      <c r="D962" t="inlineStr">
        <is>
          <t>VÄSTERNORRLANDS LÄN</t>
        </is>
      </c>
      <c r="E962" t="inlineStr">
        <is>
          <t>ÅNGE</t>
        </is>
      </c>
      <c r="F962" t="inlineStr">
        <is>
          <t>SCA</t>
        </is>
      </c>
      <c r="G962" t="n">
        <v>10.9</v>
      </c>
      <c r="H962" t="n">
        <v>0</v>
      </c>
      <c r="I962" t="n">
        <v>0</v>
      </c>
      <c r="J962" t="n">
        <v>0</v>
      </c>
      <c r="K962" t="n">
        <v>0</v>
      </c>
      <c r="L962" t="n">
        <v>0</v>
      </c>
      <c r="M962" t="n">
        <v>0</v>
      </c>
      <c r="N962" t="n">
        <v>0</v>
      </c>
      <c r="O962" t="n">
        <v>0</v>
      </c>
      <c r="P962" t="n">
        <v>0</v>
      </c>
      <c r="Q962" t="n">
        <v>0</v>
      </c>
      <c r="R962" s="2" t="inlineStr"/>
    </row>
    <row r="963" ht="15" customHeight="1">
      <c r="A963" t="inlineStr">
        <is>
          <t>A 1975-2025</t>
        </is>
      </c>
      <c r="B963" s="1" t="n">
        <v>45672.39332175926</v>
      </c>
      <c r="C963" s="1" t="n">
        <v>46061</v>
      </c>
      <c r="D963" t="inlineStr">
        <is>
          <t>VÄSTERNORRLANDS LÄN</t>
        </is>
      </c>
      <c r="E963" t="inlineStr">
        <is>
          <t>ÅNGE</t>
        </is>
      </c>
      <c r="G963" t="n">
        <v>6.2</v>
      </c>
      <c r="H963" t="n">
        <v>0</v>
      </c>
      <c r="I963" t="n">
        <v>0</v>
      </c>
      <c r="J963" t="n">
        <v>0</v>
      </c>
      <c r="K963" t="n">
        <v>0</v>
      </c>
      <c r="L963" t="n">
        <v>0</v>
      </c>
      <c r="M963" t="n">
        <v>0</v>
      </c>
      <c r="N963" t="n">
        <v>0</v>
      </c>
      <c r="O963" t="n">
        <v>0</v>
      </c>
      <c r="P963" t="n">
        <v>0</v>
      </c>
      <c r="Q963" t="n">
        <v>0</v>
      </c>
      <c r="R963" s="2" t="inlineStr"/>
    </row>
    <row r="964" ht="15" customHeight="1">
      <c r="A964" t="inlineStr">
        <is>
          <t>A 15404-2025</t>
        </is>
      </c>
      <c r="B964" s="1" t="n">
        <v>45747.44665509259</v>
      </c>
      <c r="C964" s="1" t="n">
        <v>46061</v>
      </c>
      <c r="D964" t="inlineStr">
        <is>
          <t>VÄSTERNORRLANDS LÄN</t>
        </is>
      </c>
      <c r="E964" t="inlineStr">
        <is>
          <t>ÅNGE</t>
        </is>
      </c>
      <c r="G964" t="n">
        <v>11.8</v>
      </c>
      <c r="H964" t="n">
        <v>0</v>
      </c>
      <c r="I964" t="n">
        <v>0</v>
      </c>
      <c r="J964" t="n">
        <v>0</v>
      </c>
      <c r="K964" t="n">
        <v>0</v>
      </c>
      <c r="L964" t="n">
        <v>0</v>
      </c>
      <c r="M964" t="n">
        <v>0</v>
      </c>
      <c r="N964" t="n">
        <v>0</v>
      </c>
      <c r="O964" t="n">
        <v>0</v>
      </c>
      <c r="P964" t="n">
        <v>0</v>
      </c>
      <c r="Q964" t="n">
        <v>0</v>
      </c>
      <c r="R964" s="2" t="inlineStr"/>
    </row>
    <row r="965" ht="15" customHeight="1">
      <c r="A965" t="inlineStr">
        <is>
          <t>A 63978-2025</t>
        </is>
      </c>
      <c r="B965" s="1" t="n">
        <v>46021.34421296296</v>
      </c>
      <c r="C965" s="1" t="n">
        <v>46061</v>
      </c>
      <c r="D965" t="inlineStr">
        <is>
          <t>VÄSTERNORRLANDS LÄN</t>
        </is>
      </c>
      <c r="E965" t="inlineStr">
        <is>
          <t>ÅNGE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57081-2025</t>
        </is>
      </c>
      <c r="B966" s="1" t="n">
        <v>45979.40826388889</v>
      </c>
      <c r="C966" s="1" t="n">
        <v>46061</v>
      </c>
      <c r="D966" t="inlineStr">
        <is>
          <t>VÄSTERNORRLANDS LÄN</t>
        </is>
      </c>
      <c r="E966" t="inlineStr">
        <is>
          <t>ÅNGE</t>
        </is>
      </c>
      <c r="G966" t="n">
        <v>2.2</v>
      </c>
      <c r="H966" t="n">
        <v>0</v>
      </c>
      <c r="I966" t="n">
        <v>0</v>
      </c>
      <c r="J966" t="n">
        <v>0</v>
      </c>
      <c r="K966" t="n">
        <v>0</v>
      </c>
      <c r="L966" t="n">
        <v>0</v>
      </c>
      <c r="M966" t="n">
        <v>0</v>
      </c>
      <c r="N966" t="n">
        <v>0</v>
      </c>
      <c r="O966" t="n">
        <v>0</v>
      </c>
      <c r="P966" t="n">
        <v>0</v>
      </c>
      <c r="Q966" t="n">
        <v>0</v>
      </c>
      <c r="R966" s="2" t="inlineStr"/>
    </row>
    <row r="967" ht="15" customHeight="1">
      <c r="A967" t="inlineStr">
        <is>
          <t>A 38099-2024</t>
        </is>
      </c>
      <c r="B967" s="1" t="n">
        <v>45545.35920138889</v>
      </c>
      <c r="C967" s="1" t="n">
        <v>46061</v>
      </c>
      <c r="D967" t="inlineStr">
        <is>
          <t>VÄSTERNORRLANDS LÄN</t>
        </is>
      </c>
      <c r="E967" t="inlineStr">
        <is>
          <t>ÅNGE</t>
        </is>
      </c>
      <c r="F967" t="inlineStr">
        <is>
          <t>Holmen skog AB</t>
        </is>
      </c>
      <c r="G967" t="n">
        <v>3.7</v>
      </c>
      <c r="H967" t="n">
        <v>0</v>
      </c>
      <c r="I967" t="n">
        <v>0</v>
      </c>
      <c r="J967" t="n">
        <v>0</v>
      </c>
      <c r="K967" t="n">
        <v>0</v>
      </c>
      <c r="L967" t="n">
        <v>0</v>
      </c>
      <c r="M967" t="n">
        <v>0</v>
      </c>
      <c r="N967" t="n">
        <v>0</v>
      </c>
      <c r="O967" t="n">
        <v>0</v>
      </c>
      <c r="P967" t="n">
        <v>0</v>
      </c>
      <c r="Q967" t="n">
        <v>0</v>
      </c>
      <c r="R967" s="2" t="inlineStr"/>
    </row>
    <row r="968" ht="15" customHeight="1">
      <c r="A968" t="inlineStr">
        <is>
          <t>A 63965-2025</t>
        </is>
      </c>
      <c r="B968" s="1" t="n">
        <v>46020.93445601852</v>
      </c>
      <c r="C968" s="1" t="n">
        <v>46061</v>
      </c>
      <c r="D968" t="inlineStr">
        <is>
          <t>VÄSTERNORRLANDS LÄN</t>
        </is>
      </c>
      <c r="E968" t="inlineStr">
        <is>
          <t>ÅNGE</t>
        </is>
      </c>
      <c r="G968" t="n">
        <v>11.1</v>
      </c>
      <c r="H968" t="n">
        <v>0</v>
      </c>
      <c r="I968" t="n">
        <v>0</v>
      </c>
      <c r="J968" t="n">
        <v>0</v>
      </c>
      <c r="K968" t="n">
        <v>0</v>
      </c>
      <c r="L968" t="n">
        <v>0</v>
      </c>
      <c r="M968" t="n">
        <v>0</v>
      </c>
      <c r="N968" t="n">
        <v>0</v>
      </c>
      <c r="O968" t="n">
        <v>0</v>
      </c>
      <c r="P968" t="n">
        <v>0</v>
      </c>
      <c r="Q968" t="n">
        <v>0</v>
      </c>
      <c r="R968" s="2" t="inlineStr"/>
    </row>
    <row r="969" ht="15" customHeight="1">
      <c r="A969" t="inlineStr">
        <is>
          <t>A 57022-2025</t>
        </is>
      </c>
      <c r="B969" s="1" t="n">
        <v>45978.88921296296</v>
      </c>
      <c r="C969" s="1" t="n">
        <v>46061</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56849-2025</t>
        </is>
      </c>
      <c r="B970" s="1" t="n">
        <v>45978.48989583334</v>
      </c>
      <c r="C970" s="1" t="n">
        <v>46061</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64080-2025</t>
        </is>
      </c>
      <c r="B971" s="1" t="n">
        <v>46021.67752314815</v>
      </c>
      <c r="C971" s="1" t="n">
        <v>46061</v>
      </c>
      <c r="D971" t="inlineStr">
        <is>
          <t>VÄSTERNORRLANDS LÄN</t>
        </is>
      </c>
      <c r="E971" t="inlineStr">
        <is>
          <t>ÅNGE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57283-2025</t>
        </is>
      </c>
      <c r="B972" s="1" t="n">
        <v>45979.71918981482</v>
      </c>
      <c r="C972" s="1" t="n">
        <v>46061</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57615-2025</t>
        </is>
      </c>
      <c r="B973" s="1" t="n">
        <v>45981.34431712963</v>
      </c>
      <c r="C973" s="1" t="n">
        <v>46061</v>
      </c>
      <c r="D973" t="inlineStr">
        <is>
          <t>VÄSTERNORRLANDS LÄN</t>
        </is>
      </c>
      <c r="E973" t="inlineStr">
        <is>
          <t>ÅNGE</t>
        </is>
      </c>
      <c r="G973" t="n">
        <v>3.4</v>
      </c>
      <c r="H973" t="n">
        <v>0</v>
      </c>
      <c r="I973" t="n">
        <v>0</v>
      </c>
      <c r="J973" t="n">
        <v>0</v>
      </c>
      <c r="K973" t="n">
        <v>0</v>
      </c>
      <c r="L973" t="n">
        <v>0</v>
      </c>
      <c r="M973" t="n">
        <v>0</v>
      </c>
      <c r="N973" t="n">
        <v>0</v>
      </c>
      <c r="O973" t="n">
        <v>0</v>
      </c>
      <c r="P973" t="n">
        <v>0</v>
      </c>
      <c r="Q973" t="n">
        <v>0</v>
      </c>
      <c r="R973" s="2" t="inlineStr"/>
    </row>
    <row r="974" ht="15" customHeight="1">
      <c r="A974" t="inlineStr">
        <is>
          <t>A 57302-2025</t>
        </is>
      </c>
      <c r="B974" s="1" t="n">
        <v>45979.87184027778</v>
      </c>
      <c r="C974" s="1" t="n">
        <v>46061</v>
      </c>
      <c r="D974" t="inlineStr">
        <is>
          <t>VÄSTERNORRLANDS LÄN</t>
        </is>
      </c>
      <c r="E974" t="inlineStr">
        <is>
          <t>ÅNGE</t>
        </is>
      </c>
      <c r="G974" t="n">
        <v>2.3</v>
      </c>
      <c r="H974" t="n">
        <v>0</v>
      </c>
      <c r="I974" t="n">
        <v>0</v>
      </c>
      <c r="J974" t="n">
        <v>0</v>
      </c>
      <c r="K974" t="n">
        <v>0</v>
      </c>
      <c r="L974" t="n">
        <v>0</v>
      </c>
      <c r="M974" t="n">
        <v>0</v>
      </c>
      <c r="N974" t="n">
        <v>0</v>
      </c>
      <c r="O974" t="n">
        <v>0</v>
      </c>
      <c r="P974" t="n">
        <v>0</v>
      </c>
      <c r="Q974" t="n">
        <v>0</v>
      </c>
      <c r="R974" s="2" t="inlineStr"/>
    </row>
    <row r="975" ht="15" customHeight="1">
      <c r="A975" t="inlineStr">
        <is>
          <t>A 57371-2025</t>
        </is>
      </c>
      <c r="B975" s="1" t="n">
        <v>45980.38586805556</v>
      </c>
      <c r="C975" s="1" t="n">
        <v>46061</v>
      </c>
      <c r="D975" t="inlineStr">
        <is>
          <t>VÄSTERNORRLANDS LÄN</t>
        </is>
      </c>
      <c r="E975" t="inlineStr">
        <is>
          <t>ÅNGE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1403-2025</t>
        </is>
      </c>
      <c r="B976" s="1" t="n">
        <v>45667.70548611111</v>
      </c>
      <c r="C976" s="1" t="n">
        <v>46061</v>
      </c>
      <c r="D976" t="inlineStr">
        <is>
          <t>VÄSTERNORRLANDS LÄN</t>
        </is>
      </c>
      <c r="E976" t="inlineStr">
        <is>
          <t>ÅNGE</t>
        </is>
      </c>
      <c r="G976" t="n">
        <v>1.3</v>
      </c>
      <c r="H976" t="n">
        <v>0</v>
      </c>
      <c r="I976" t="n">
        <v>0</v>
      </c>
      <c r="J976" t="n">
        <v>0</v>
      </c>
      <c r="K976" t="n">
        <v>0</v>
      </c>
      <c r="L976" t="n">
        <v>0</v>
      </c>
      <c r="M976" t="n">
        <v>0</v>
      </c>
      <c r="N976" t="n">
        <v>0</v>
      </c>
      <c r="O976" t="n">
        <v>0</v>
      </c>
      <c r="P976" t="n">
        <v>0</v>
      </c>
      <c r="Q976" t="n">
        <v>0</v>
      </c>
      <c r="R976" s="2" t="inlineStr"/>
    </row>
    <row r="977" ht="15" customHeight="1">
      <c r="A977" t="inlineStr">
        <is>
          <t>A 60365-2024</t>
        </is>
      </c>
      <c r="B977" s="1" t="n">
        <v>45643</v>
      </c>
      <c r="C977" s="1" t="n">
        <v>46061</v>
      </c>
      <c r="D977" t="inlineStr">
        <is>
          <t>VÄSTERNORRLANDS LÄN</t>
        </is>
      </c>
      <c r="E977" t="inlineStr">
        <is>
          <t>ÅNGE</t>
        </is>
      </c>
      <c r="G977" t="n">
        <v>1</v>
      </c>
      <c r="H977" t="n">
        <v>0</v>
      </c>
      <c r="I977" t="n">
        <v>0</v>
      </c>
      <c r="J977" t="n">
        <v>0</v>
      </c>
      <c r="K977" t="n">
        <v>0</v>
      </c>
      <c r="L977" t="n">
        <v>0</v>
      </c>
      <c r="M977" t="n">
        <v>0</v>
      </c>
      <c r="N977" t="n">
        <v>0</v>
      </c>
      <c r="O977" t="n">
        <v>0</v>
      </c>
      <c r="P977" t="n">
        <v>0</v>
      </c>
      <c r="Q977" t="n">
        <v>0</v>
      </c>
      <c r="R977" s="2" t="inlineStr"/>
    </row>
    <row r="978" ht="15" customHeight="1">
      <c r="A978" t="inlineStr">
        <is>
          <t>A 57457-2025</t>
        </is>
      </c>
      <c r="B978" s="1" t="n">
        <v>45980.53001157408</v>
      </c>
      <c r="C978" s="1" t="n">
        <v>46061</v>
      </c>
      <c r="D978" t="inlineStr">
        <is>
          <t>VÄSTERNORRLANDS LÄN</t>
        </is>
      </c>
      <c r="E978" t="inlineStr">
        <is>
          <t>ÅNGE</t>
        </is>
      </c>
      <c r="G978" t="n">
        <v>2.4</v>
      </c>
      <c r="H978" t="n">
        <v>0</v>
      </c>
      <c r="I978" t="n">
        <v>0</v>
      </c>
      <c r="J978" t="n">
        <v>0</v>
      </c>
      <c r="K978" t="n">
        <v>0</v>
      </c>
      <c r="L978" t="n">
        <v>0</v>
      </c>
      <c r="M978" t="n">
        <v>0</v>
      </c>
      <c r="N978" t="n">
        <v>0</v>
      </c>
      <c r="O978" t="n">
        <v>0</v>
      </c>
      <c r="P978" t="n">
        <v>0</v>
      </c>
      <c r="Q978" t="n">
        <v>0</v>
      </c>
      <c r="R978" s="2" t="inlineStr"/>
    </row>
    <row r="979" ht="15" customHeight="1">
      <c r="A979" t="inlineStr">
        <is>
          <t>A 20393-2022</t>
        </is>
      </c>
      <c r="B979" s="1" t="n">
        <v>44699</v>
      </c>
      <c r="C979" s="1" t="n">
        <v>46061</v>
      </c>
      <c r="D979" t="inlineStr">
        <is>
          <t>VÄSTERNORRLANDS LÄN</t>
        </is>
      </c>
      <c r="E979" t="inlineStr">
        <is>
          <t>ÅNGE</t>
        </is>
      </c>
      <c r="G979" t="n">
        <v>6.9</v>
      </c>
      <c r="H979" t="n">
        <v>0</v>
      </c>
      <c r="I979" t="n">
        <v>0</v>
      </c>
      <c r="J979" t="n">
        <v>0</v>
      </c>
      <c r="K979" t="n">
        <v>0</v>
      </c>
      <c r="L979" t="n">
        <v>0</v>
      </c>
      <c r="M979" t="n">
        <v>0</v>
      </c>
      <c r="N979" t="n">
        <v>0</v>
      </c>
      <c r="O979" t="n">
        <v>0</v>
      </c>
      <c r="P979" t="n">
        <v>0</v>
      </c>
      <c r="Q979" t="n">
        <v>0</v>
      </c>
      <c r="R979" s="2" t="inlineStr"/>
    </row>
    <row r="980" ht="15" customHeight="1">
      <c r="A980" t="inlineStr">
        <is>
          <t>A 25320-2023</t>
        </is>
      </c>
      <c r="B980" s="1" t="n">
        <v>45086.93929398148</v>
      </c>
      <c r="C980" s="1" t="n">
        <v>46061</v>
      </c>
      <c r="D980" t="inlineStr">
        <is>
          <t>VÄSTERNORRLANDS LÄN</t>
        </is>
      </c>
      <c r="E980" t="inlineStr">
        <is>
          <t>ÅNGE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58524-2025</t>
        </is>
      </c>
      <c r="B981" s="1" t="n">
        <v>45985.7190162037</v>
      </c>
      <c r="C981" s="1" t="n">
        <v>46061</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58366-2025</t>
        </is>
      </c>
      <c r="B982" s="1" t="n">
        <v>45985.52600694444</v>
      </c>
      <c r="C982" s="1" t="n">
        <v>46061</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59626-2022</t>
        </is>
      </c>
      <c r="B983" s="1" t="n">
        <v>44907.92354166666</v>
      </c>
      <c r="C983" s="1" t="n">
        <v>46061</v>
      </c>
      <c r="D983" t="inlineStr">
        <is>
          <t>VÄSTERNORRLANDS LÄN</t>
        </is>
      </c>
      <c r="E983" t="inlineStr">
        <is>
          <t>ÅNGE</t>
        </is>
      </c>
      <c r="G983" t="n">
        <v>1.4</v>
      </c>
      <c r="H983" t="n">
        <v>0</v>
      </c>
      <c r="I983" t="n">
        <v>0</v>
      </c>
      <c r="J983" t="n">
        <v>0</v>
      </c>
      <c r="K983" t="n">
        <v>0</v>
      </c>
      <c r="L983" t="n">
        <v>0</v>
      </c>
      <c r="M983" t="n">
        <v>0</v>
      </c>
      <c r="N983" t="n">
        <v>0</v>
      </c>
      <c r="O983" t="n">
        <v>0</v>
      </c>
      <c r="P983" t="n">
        <v>0</v>
      </c>
      <c r="Q983" t="n">
        <v>0</v>
      </c>
      <c r="R983" s="2" t="inlineStr"/>
    </row>
    <row r="984" ht="15" customHeight="1">
      <c r="A984" t="inlineStr">
        <is>
          <t>A 345-2026</t>
        </is>
      </c>
      <c r="B984" s="1" t="n">
        <v>46027.61515046296</v>
      </c>
      <c r="C984" s="1" t="n">
        <v>46061</v>
      </c>
      <c r="D984" t="inlineStr">
        <is>
          <t>VÄSTERNORRLANDS LÄN</t>
        </is>
      </c>
      <c r="E984" t="inlineStr">
        <is>
          <t>ÅNGE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58406-2025</t>
        </is>
      </c>
      <c r="B985" s="1" t="n">
        <v>45985.56913194444</v>
      </c>
      <c r="C985" s="1" t="n">
        <v>46061</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57960-2025</t>
        </is>
      </c>
      <c r="B986" s="1" t="n">
        <v>45982.36494212963</v>
      </c>
      <c r="C986" s="1" t="n">
        <v>46061</v>
      </c>
      <c r="D986" t="inlineStr">
        <is>
          <t>VÄSTERNORRLANDS LÄN</t>
        </is>
      </c>
      <c r="E986" t="inlineStr">
        <is>
          <t>ÅNGE</t>
        </is>
      </c>
      <c r="F986" t="inlineStr">
        <is>
          <t>SCA</t>
        </is>
      </c>
      <c r="G986" t="n">
        <v>0.2</v>
      </c>
      <c r="H986" t="n">
        <v>0</v>
      </c>
      <c r="I986" t="n">
        <v>0</v>
      </c>
      <c r="J986" t="n">
        <v>0</v>
      </c>
      <c r="K986" t="n">
        <v>0</v>
      </c>
      <c r="L986" t="n">
        <v>0</v>
      </c>
      <c r="M986" t="n">
        <v>0</v>
      </c>
      <c r="N986" t="n">
        <v>0</v>
      </c>
      <c r="O986" t="n">
        <v>0</v>
      </c>
      <c r="P986" t="n">
        <v>0</v>
      </c>
      <c r="Q986" t="n">
        <v>0</v>
      </c>
      <c r="R986" s="2" t="inlineStr"/>
    </row>
    <row r="987" ht="15" customHeight="1">
      <c r="A987" t="inlineStr">
        <is>
          <t>A 353-2026</t>
        </is>
      </c>
      <c r="B987" s="1" t="n">
        <v>46027.63585648148</v>
      </c>
      <c r="C987" s="1" t="n">
        <v>46061</v>
      </c>
      <c r="D987" t="inlineStr">
        <is>
          <t>VÄSTERNORRLANDS LÄN</t>
        </is>
      </c>
      <c r="E987" t="inlineStr">
        <is>
          <t>ÅNGE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34852-2023</t>
        </is>
      </c>
      <c r="B988" s="1" t="n">
        <v>45141</v>
      </c>
      <c r="C988" s="1" t="n">
        <v>46061</v>
      </c>
      <c r="D988" t="inlineStr">
        <is>
          <t>VÄSTERNORRLANDS LÄN</t>
        </is>
      </c>
      <c r="E988" t="inlineStr">
        <is>
          <t>ÅNGE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15032-2025</t>
        </is>
      </c>
      <c r="B989" s="1" t="n">
        <v>45743.67748842593</v>
      </c>
      <c r="C989" s="1" t="n">
        <v>46061</v>
      </c>
      <c r="D989" t="inlineStr">
        <is>
          <t>VÄSTERNORRLANDS LÄN</t>
        </is>
      </c>
      <c r="E989" t="inlineStr">
        <is>
          <t>ÅNGE</t>
        </is>
      </c>
      <c r="F989" t="inlineStr">
        <is>
          <t>SCA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58388-2025</t>
        </is>
      </c>
      <c r="B990" s="1" t="n">
        <v>45985.54685185185</v>
      </c>
      <c r="C990" s="1" t="n">
        <v>46061</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58486-2025</t>
        </is>
      </c>
      <c r="B991" s="1" t="n">
        <v>45985.65660879629</v>
      </c>
      <c r="C991" s="1" t="n">
        <v>46061</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232-2026</t>
        </is>
      </c>
      <c r="B992" s="1" t="n">
        <v>46027.34425925926</v>
      </c>
      <c r="C992" s="1" t="n">
        <v>46061</v>
      </c>
      <c r="D992" t="inlineStr">
        <is>
          <t>VÄSTERNORRLANDS LÄN</t>
        </is>
      </c>
      <c r="E992" t="inlineStr">
        <is>
          <t>ÅNGE</t>
        </is>
      </c>
      <c r="F992" t="inlineStr">
        <is>
          <t>SCA</t>
        </is>
      </c>
      <c r="G992" t="n">
        <v>37.7</v>
      </c>
      <c r="H992" t="n">
        <v>0</v>
      </c>
      <c r="I992" t="n">
        <v>0</v>
      </c>
      <c r="J992" t="n">
        <v>0</v>
      </c>
      <c r="K992" t="n">
        <v>0</v>
      </c>
      <c r="L992" t="n">
        <v>0</v>
      </c>
      <c r="M992" t="n">
        <v>0</v>
      </c>
      <c r="N992" t="n">
        <v>0</v>
      </c>
      <c r="O992" t="n">
        <v>0</v>
      </c>
      <c r="P992" t="n">
        <v>0</v>
      </c>
      <c r="Q992" t="n">
        <v>0</v>
      </c>
      <c r="R992" s="2" t="inlineStr"/>
    </row>
    <row r="993" ht="15" customHeight="1">
      <c r="A993" t="inlineStr">
        <is>
          <t>A 44415-2021</t>
        </is>
      </c>
      <c r="B993" s="1" t="n">
        <v>44435</v>
      </c>
      <c r="C993" s="1" t="n">
        <v>46061</v>
      </c>
      <c r="D993" t="inlineStr">
        <is>
          <t>VÄSTERNORRLANDS LÄN</t>
        </is>
      </c>
      <c r="E993" t="inlineStr">
        <is>
          <t>ÅNGE</t>
        </is>
      </c>
      <c r="G993" t="n">
        <v>5.2</v>
      </c>
      <c r="H993" t="n">
        <v>0</v>
      </c>
      <c r="I993" t="n">
        <v>0</v>
      </c>
      <c r="J993" t="n">
        <v>0</v>
      </c>
      <c r="K993" t="n">
        <v>0</v>
      </c>
      <c r="L993" t="n">
        <v>0</v>
      </c>
      <c r="M993" t="n">
        <v>0</v>
      </c>
      <c r="N993" t="n">
        <v>0</v>
      </c>
      <c r="O993" t="n">
        <v>0</v>
      </c>
      <c r="P993" t="n">
        <v>0</v>
      </c>
      <c r="Q993" t="n">
        <v>0</v>
      </c>
      <c r="R993" s="2" t="inlineStr"/>
    </row>
    <row r="994" ht="15" customHeight="1">
      <c r="A994" t="inlineStr">
        <is>
          <t>A 57950-2025</t>
        </is>
      </c>
      <c r="B994" s="1" t="n">
        <v>45982.34473379629</v>
      </c>
      <c r="C994" s="1" t="n">
        <v>46061</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57961-2025</t>
        </is>
      </c>
      <c r="B995" s="1" t="n">
        <v>45982.36502314815</v>
      </c>
      <c r="C995" s="1" t="n">
        <v>46061</v>
      </c>
      <c r="D995" t="inlineStr">
        <is>
          <t>VÄSTERNORRLANDS LÄN</t>
        </is>
      </c>
      <c r="E995" t="inlineStr">
        <is>
          <t>ÅNGE</t>
        </is>
      </c>
      <c r="G995" t="n">
        <v>1.9</v>
      </c>
      <c r="H995" t="n">
        <v>0</v>
      </c>
      <c r="I995" t="n">
        <v>0</v>
      </c>
      <c r="J995" t="n">
        <v>0</v>
      </c>
      <c r="K995" t="n">
        <v>0</v>
      </c>
      <c r="L995" t="n">
        <v>0</v>
      </c>
      <c r="M995" t="n">
        <v>0</v>
      </c>
      <c r="N995" t="n">
        <v>0</v>
      </c>
      <c r="O995" t="n">
        <v>0</v>
      </c>
      <c r="P995" t="n">
        <v>0</v>
      </c>
      <c r="Q995" t="n">
        <v>0</v>
      </c>
      <c r="R995" s="2" t="inlineStr"/>
    </row>
    <row r="996" ht="15" customHeight="1">
      <c r="A996" t="inlineStr">
        <is>
          <t>A 58240-2025</t>
        </is>
      </c>
      <c r="B996" s="1" t="n">
        <v>45985.38796296297</v>
      </c>
      <c r="C996" s="1" t="n">
        <v>46061</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40788-2024</t>
        </is>
      </c>
      <c r="B997" s="1" t="n">
        <v>45558.50974537037</v>
      </c>
      <c r="C997" s="1" t="n">
        <v>46061</v>
      </c>
      <c r="D997" t="inlineStr">
        <is>
          <t>VÄSTERNORRLANDS LÄN</t>
        </is>
      </c>
      <c r="E997" t="inlineStr">
        <is>
          <t>ÅNGE</t>
        </is>
      </c>
      <c r="G997" t="n">
        <v>4.2</v>
      </c>
      <c r="H997" t="n">
        <v>0</v>
      </c>
      <c r="I997" t="n">
        <v>0</v>
      </c>
      <c r="J997" t="n">
        <v>0</v>
      </c>
      <c r="K997" t="n">
        <v>0</v>
      </c>
      <c r="L997" t="n">
        <v>0</v>
      </c>
      <c r="M997" t="n">
        <v>0</v>
      </c>
      <c r="N997" t="n">
        <v>0</v>
      </c>
      <c r="O997" t="n">
        <v>0</v>
      </c>
      <c r="P997" t="n">
        <v>0</v>
      </c>
      <c r="Q997" t="n">
        <v>0</v>
      </c>
      <c r="R997" s="2" t="inlineStr"/>
    </row>
    <row r="998" ht="15" customHeight="1">
      <c r="A998" t="inlineStr">
        <is>
          <t>A 27306-2024</t>
        </is>
      </c>
      <c r="B998" s="1" t="n">
        <v>45471.94454861111</v>
      </c>
      <c r="C998" s="1" t="n">
        <v>46061</v>
      </c>
      <c r="D998" t="inlineStr">
        <is>
          <t>VÄSTERNORRLANDS LÄN</t>
        </is>
      </c>
      <c r="E998" t="inlineStr">
        <is>
          <t>ÅNGE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58268-2025</t>
        </is>
      </c>
      <c r="B999" s="1" t="n">
        <v>45985.42450231482</v>
      </c>
      <c r="C999" s="1" t="n">
        <v>46061</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57991-2025</t>
        </is>
      </c>
      <c r="B1000" s="1" t="n">
        <v>45982.42438657407</v>
      </c>
      <c r="C1000" s="1" t="n">
        <v>46061</v>
      </c>
      <c r="D1000" t="inlineStr">
        <is>
          <t>VÄSTERNORRLANDS LÄN</t>
        </is>
      </c>
      <c r="E1000" t="inlineStr">
        <is>
          <t>ÅNGE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58048-2025</t>
        </is>
      </c>
      <c r="B1001" s="1" t="n">
        <v>45982.5109837963</v>
      </c>
      <c r="C1001" s="1" t="n">
        <v>46061</v>
      </c>
      <c r="D1001" t="inlineStr">
        <is>
          <t>VÄSTERNORRLANDS LÄN</t>
        </is>
      </c>
      <c r="E1001" t="inlineStr">
        <is>
          <t>ÅNGE</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59818-2024</t>
        </is>
      </c>
      <c r="B1002" s="1" t="n">
        <v>45639.63572916666</v>
      </c>
      <c r="C1002" s="1" t="n">
        <v>46061</v>
      </c>
      <c r="D1002" t="inlineStr">
        <is>
          <t>VÄSTERNORRLANDS LÄN</t>
        </is>
      </c>
      <c r="E1002" t="inlineStr">
        <is>
          <t>ÅNGE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16978-2024</t>
        </is>
      </c>
      <c r="B1003" s="1" t="n">
        <v>45412.02416666667</v>
      </c>
      <c r="C1003" s="1" t="n">
        <v>46061</v>
      </c>
      <c r="D1003" t="inlineStr">
        <is>
          <t>VÄSTERNORRLANDS LÄN</t>
        </is>
      </c>
      <c r="E1003" t="inlineStr">
        <is>
          <t>ÅNGE</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57286-2022</t>
        </is>
      </c>
      <c r="B1004" s="1" t="n">
        <v>44895.94991898148</v>
      </c>
      <c r="C1004" s="1" t="n">
        <v>46061</v>
      </c>
      <c r="D1004" t="inlineStr">
        <is>
          <t>VÄSTERNORRLANDS LÄN</t>
        </is>
      </c>
      <c r="E1004" t="inlineStr">
        <is>
          <t>ÅNGE</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58270-2025</t>
        </is>
      </c>
      <c r="B1005" s="1" t="n">
        <v>45985.42633101852</v>
      </c>
      <c r="C1005" s="1" t="n">
        <v>46061</v>
      </c>
      <c r="D1005" t="inlineStr">
        <is>
          <t>VÄSTERNORRLANDS LÄN</t>
        </is>
      </c>
      <c r="E1005" t="inlineStr">
        <is>
          <t>ÅNGE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58439-2025</t>
        </is>
      </c>
      <c r="B1006" s="1" t="n">
        <v>45985.61518518518</v>
      </c>
      <c r="C1006" s="1" t="n">
        <v>46061</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58242-2025</t>
        </is>
      </c>
      <c r="B1007" s="1" t="n">
        <v>45985.38802083334</v>
      </c>
      <c r="C1007" s="1" t="n">
        <v>46061</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58639-2025</t>
        </is>
      </c>
      <c r="B1008" s="1" t="n">
        <v>45986.49042824074</v>
      </c>
      <c r="C1008" s="1" t="n">
        <v>46061</v>
      </c>
      <c r="D1008" t="inlineStr">
        <is>
          <t>VÄSTERNORRLANDS LÄN</t>
        </is>
      </c>
      <c r="E1008" t="inlineStr">
        <is>
          <t>ÅNGE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58906-2025</t>
        </is>
      </c>
      <c r="B1009" s="1" t="n">
        <v>45987.51087962963</v>
      </c>
      <c r="C1009" s="1" t="n">
        <v>46061</v>
      </c>
      <c r="D1009" t="inlineStr">
        <is>
          <t>VÄSTERNORRLANDS LÄN</t>
        </is>
      </c>
      <c r="E1009" t="inlineStr">
        <is>
          <t>ÅNGE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58907-2025</t>
        </is>
      </c>
      <c r="B1010" s="1" t="n">
        <v>45987.51108796296</v>
      </c>
      <c r="C1010" s="1" t="n">
        <v>46061</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58588-2025</t>
        </is>
      </c>
      <c r="B1011" s="1" t="n">
        <v>45986.4065625</v>
      </c>
      <c r="C1011" s="1" t="n">
        <v>46061</v>
      </c>
      <c r="D1011" t="inlineStr">
        <is>
          <t>VÄSTERNORRLANDS LÄN</t>
        </is>
      </c>
      <c r="E1011" t="inlineStr">
        <is>
          <t>ÅNGE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58585-2025</t>
        </is>
      </c>
      <c r="B1012" s="1" t="n">
        <v>45986.39733796296</v>
      </c>
      <c r="C1012" s="1" t="n">
        <v>46061</v>
      </c>
      <c r="D1012" t="inlineStr">
        <is>
          <t>VÄSTERNORRLANDS LÄN</t>
        </is>
      </c>
      <c r="E1012" t="inlineStr">
        <is>
          <t>ÅNGE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58599-2025</t>
        </is>
      </c>
      <c r="B1013" s="1" t="n">
        <v>45986.42644675926</v>
      </c>
      <c r="C1013" s="1" t="n">
        <v>46061</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627-2026</t>
        </is>
      </c>
      <c r="B1014" s="1" t="n">
        <v>46029.55262731481</v>
      </c>
      <c r="C1014" s="1" t="n">
        <v>46061</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703-2026</t>
        </is>
      </c>
      <c r="B1015" s="1" t="n">
        <v>46029.61604166667</v>
      </c>
      <c r="C1015" s="1" t="n">
        <v>46061</v>
      </c>
      <c r="D1015" t="inlineStr">
        <is>
          <t>VÄSTERNORRLANDS LÄN</t>
        </is>
      </c>
      <c r="E1015" t="inlineStr">
        <is>
          <t>ÅNGE</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58890-2025</t>
        </is>
      </c>
      <c r="B1016" s="1" t="n">
        <v>45987.49006944444</v>
      </c>
      <c r="C1016" s="1" t="n">
        <v>46061</v>
      </c>
      <c r="D1016" t="inlineStr">
        <is>
          <t>VÄSTERNORRLANDS LÄN</t>
        </is>
      </c>
      <c r="E1016" t="inlineStr">
        <is>
          <t>ÅNGE</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58605-2025</t>
        </is>
      </c>
      <c r="B1017" s="1" t="n">
        <v>45986</v>
      </c>
      <c r="C1017" s="1" t="n">
        <v>46061</v>
      </c>
      <c r="D1017" t="inlineStr">
        <is>
          <t>VÄSTERNORRLANDS LÄN</t>
        </is>
      </c>
      <c r="E1017" t="inlineStr">
        <is>
          <t>ÅNGE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58892-2025</t>
        </is>
      </c>
      <c r="B1018" s="1" t="n">
        <v>45987.49056712963</v>
      </c>
      <c r="C1018" s="1" t="n">
        <v>46061</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58823-2025</t>
        </is>
      </c>
      <c r="B1019" s="1" t="n">
        <v>45987.3453125</v>
      </c>
      <c r="C1019" s="1" t="n">
        <v>46061</v>
      </c>
      <c r="D1019" t="inlineStr">
        <is>
          <t>VÄSTERNORRLANDS LÄN</t>
        </is>
      </c>
      <c r="E1019" t="inlineStr">
        <is>
          <t>ÅNGE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58536-2025</t>
        </is>
      </c>
      <c r="B1020" s="1" t="n">
        <v>45985.83274305556</v>
      </c>
      <c r="C1020" s="1" t="n">
        <v>46061</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58750-2025</t>
        </is>
      </c>
      <c r="B1021" s="1" t="n">
        <v>45986.64064814815</v>
      </c>
      <c r="C1021" s="1" t="n">
        <v>46061</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1375-2026</t>
        </is>
      </c>
      <c r="B1022" s="1" t="n">
        <v>46031.61520833334</v>
      </c>
      <c r="C1022" s="1" t="n">
        <v>46061</v>
      </c>
      <c r="D1022" t="inlineStr">
        <is>
          <t>VÄSTERNORRLANDS LÄN</t>
        </is>
      </c>
      <c r="E1022" t="inlineStr">
        <is>
          <t>ÅNGE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41766-2024</t>
        </is>
      </c>
      <c r="B1023" s="1" t="n">
        <v>45561.34594907407</v>
      </c>
      <c r="C1023" s="1" t="n">
        <v>46061</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39178-2024</t>
        </is>
      </c>
      <c r="B1024" s="1" t="n">
        <v>45548.65692129629</v>
      </c>
      <c r="C1024" s="1" t="n">
        <v>46061</v>
      </c>
      <c r="D1024" t="inlineStr">
        <is>
          <t>VÄSTERNORRLANDS LÄN</t>
        </is>
      </c>
      <c r="E1024" t="inlineStr">
        <is>
          <t>ÅNGE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1266-2026</t>
        </is>
      </c>
      <c r="B1025" s="1" t="n">
        <v>46031.46269675926</v>
      </c>
      <c r="C1025" s="1" t="n">
        <v>46061</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51383-2022</t>
        </is>
      </c>
      <c r="B1026" s="1" t="n">
        <v>44866</v>
      </c>
      <c r="C1026" s="1" t="n">
        <v>46061</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51393-2022</t>
        </is>
      </c>
      <c r="B1027" s="1" t="n">
        <v>44869.43277777778</v>
      </c>
      <c r="C1027" s="1" t="n">
        <v>46061</v>
      </c>
      <c r="D1027" t="inlineStr">
        <is>
          <t>VÄSTERNORRLANDS LÄN</t>
        </is>
      </c>
      <c r="E1027" t="inlineStr">
        <is>
          <t>ÅNGE</t>
        </is>
      </c>
      <c r="F1027" t="inlineStr">
        <is>
          <t>Holmen skog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4236-2025</t>
        </is>
      </c>
      <c r="B1028" s="1" t="n">
        <v>45685.56534722223</v>
      </c>
      <c r="C1028" s="1" t="n">
        <v>46061</v>
      </c>
      <c r="D1028" t="inlineStr">
        <is>
          <t>VÄSTERNORRLANDS LÄN</t>
        </is>
      </c>
      <c r="E1028" t="inlineStr">
        <is>
          <t>ÅNGE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2415-2024</t>
        </is>
      </c>
      <c r="B1029" s="1" t="n">
        <v>45310</v>
      </c>
      <c r="C1029" s="1" t="n">
        <v>46061</v>
      </c>
      <c r="D1029" t="inlineStr">
        <is>
          <t>VÄSTERNORRLANDS LÄN</t>
        </is>
      </c>
      <c r="E1029" t="inlineStr">
        <is>
          <t>ÅNGE</t>
        </is>
      </c>
      <c r="F1029" t="inlineStr">
        <is>
          <t>Kyrkan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4361-2024</t>
        </is>
      </c>
      <c r="B1030" s="1" t="n">
        <v>45325.65047453704</v>
      </c>
      <c r="C1030" s="1" t="n">
        <v>46061</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26490-2024</t>
        </is>
      </c>
      <c r="B1031" s="1" t="n">
        <v>45469</v>
      </c>
      <c r="C1031" s="1" t="n">
        <v>46061</v>
      </c>
      <c r="D1031" t="inlineStr">
        <is>
          <t>VÄSTERNORRLANDS LÄN</t>
        </is>
      </c>
      <c r="E1031" t="inlineStr">
        <is>
          <t>ÅNGE</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47779-2023</t>
        </is>
      </c>
      <c r="B1032" s="1" t="n">
        <v>45203.92232638889</v>
      </c>
      <c r="C1032" s="1" t="n">
        <v>46061</v>
      </c>
      <c r="D1032" t="inlineStr">
        <is>
          <t>VÄSTERNORRLANDS LÄN</t>
        </is>
      </c>
      <c r="E1032" t="inlineStr">
        <is>
          <t>ÅNGE</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59062-2025</t>
        </is>
      </c>
      <c r="B1033" s="1" t="n">
        <v>45988.40723379629</v>
      </c>
      <c r="C1033" s="1" t="n">
        <v>46061</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59064-2025</t>
        </is>
      </c>
      <c r="B1034" s="1" t="n">
        <v>45988.40768518519</v>
      </c>
      <c r="C1034" s="1" t="n">
        <v>46061</v>
      </c>
      <c r="D1034" t="inlineStr">
        <is>
          <t>VÄSTERNORRLANDS LÄN</t>
        </is>
      </c>
      <c r="E1034" t="inlineStr">
        <is>
          <t>ÅNGE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59065-2025</t>
        </is>
      </c>
      <c r="B1035" s="1" t="n">
        <v>45988.40780092592</v>
      </c>
      <c r="C1035" s="1" t="n">
        <v>46061</v>
      </c>
      <c r="D1035" t="inlineStr">
        <is>
          <t>VÄSTERNORRLANDS LÄN</t>
        </is>
      </c>
      <c r="E1035" t="inlineStr">
        <is>
          <t>ÅNGE</t>
        </is>
      </c>
      <c r="F1035" t="inlineStr">
        <is>
          <t>SCA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38246-2024</t>
        </is>
      </c>
      <c r="B1036" s="1" t="n">
        <v>45545.57327546296</v>
      </c>
      <c r="C1036" s="1" t="n">
        <v>46061</v>
      </c>
      <c r="D1036" t="inlineStr">
        <is>
          <t>VÄSTERNORRLANDS LÄN</t>
        </is>
      </c>
      <c r="E1036" t="inlineStr">
        <is>
          <t>ÅNGE</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64946-2023</t>
        </is>
      </c>
      <c r="B1037" s="1" t="n">
        <v>45282.94678240741</v>
      </c>
      <c r="C1037" s="1" t="n">
        <v>46061</v>
      </c>
      <c r="D1037" t="inlineStr">
        <is>
          <t>VÄSTERNORRLANDS LÄN</t>
        </is>
      </c>
      <c r="E1037" t="inlineStr">
        <is>
          <t>ÅNGE</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1270-2026</t>
        </is>
      </c>
      <c r="B1038" s="1" t="n">
        <v>46031.46538194444</v>
      </c>
      <c r="C1038" s="1" t="n">
        <v>46061</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59063-2025</t>
        </is>
      </c>
      <c r="B1039" s="1" t="n">
        <v>45988.40734953704</v>
      </c>
      <c r="C1039" s="1" t="n">
        <v>46061</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59023-2025</t>
        </is>
      </c>
      <c r="B1040" s="1" t="n">
        <v>45988</v>
      </c>
      <c r="C1040" s="1" t="n">
        <v>46061</v>
      </c>
      <c r="D1040" t="inlineStr">
        <is>
          <t>VÄSTERNORRLANDS LÄN</t>
        </is>
      </c>
      <c r="E1040" t="inlineStr">
        <is>
          <t>ÅNGE</t>
        </is>
      </c>
      <c r="F1040" t="inlineStr">
        <is>
          <t>SCA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61585-2022</t>
        </is>
      </c>
      <c r="B1041" s="1" t="n">
        <v>44916.63380787037</v>
      </c>
      <c r="C1041" s="1" t="n">
        <v>46061</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59259-2025</t>
        </is>
      </c>
      <c r="B1042" s="1" t="n">
        <v>45988.65748842592</v>
      </c>
      <c r="C1042" s="1" t="n">
        <v>46061</v>
      </c>
      <c r="D1042" t="inlineStr">
        <is>
          <t>VÄSTERNORRLANDS LÄN</t>
        </is>
      </c>
      <c r="E1042" t="inlineStr">
        <is>
          <t>ÅNGE</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59319-2025</t>
        </is>
      </c>
      <c r="B1043" s="1" t="n">
        <v>45989.33283564815</v>
      </c>
      <c r="C1043" s="1" t="n">
        <v>46061</v>
      </c>
      <c r="D1043" t="inlineStr">
        <is>
          <t>VÄSTERNORRLANDS LÄN</t>
        </is>
      </c>
      <c r="E1043" t="inlineStr">
        <is>
          <t>ÅNGE</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59331-2025</t>
        </is>
      </c>
      <c r="B1044" s="1" t="n">
        <v>45989.35978009259</v>
      </c>
      <c r="C1044" s="1" t="n">
        <v>46061</v>
      </c>
      <c r="D1044" t="inlineStr">
        <is>
          <t>VÄSTERNORRLANDS LÄN</t>
        </is>
      </c>
      <c r="E1044" t="inlineStr">
        <is>
          <t>ÅNGE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16365-2023</t>
        </is>
      </c>
      <c r="B1045" s="1" t="n">
        <v>45028</v>
      </c>
      <c r="C1045" s="1" t="n">
        <v>46061</v>
      </c>
      <c r="D1045" t="inlineStr">
        <is>
          <t>VÄSTERNORRLANDS LÄN</t>
        </is>
      </c>
      <c r="E1045" t="inlineStr">
        <is>
          <t>ÅNGE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69790-2021</t>
        </is>
      </c>
      <c r="B1046" s="1" t="n">
        <v>44532.605625</v>
      </c>
      <c r="C1046" s="1" t="n">
        <v>46061</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59022-2025</t>
        </is>
      </c>
      <c r="B1047" s="1" t="n">
        <v>45988</v>
      </c>
      <c r="C1047" s="1" t="n">
        <v>46061</v>
      </c>
      <c r="D1047" t="inlineStr">
        <is>
          <t>VÄSTERNORRLANDS LÄN</t>
        </is>
      </c>
      <c r="E1047" t="inlineStr">
        <is>
          <t>ÅNGE</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1280-2026</t>
        </is>
      </c>
      <c r="B1048" s="1" t="n">
        <v>46031.47851851852</v>
      </c>
      <c r="C1048" s="1" t="n">
        <v>46061</v>
      </c>
      <c r="D1048" t="inlineStr">
        <is>
          <t>VÄSTERNORRLANDS LÄN</t>
        </is>
      </c>
      <c r="E1048" t="inlineStr">
        <is>
          <t>ÅNGE</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1654-2026</t>
        </is>
      </c>
      <c r="B1049" s="1" t="n">
        <v>46034.53197916667</v>
      </c>
      <c r="C1049" s="1" t="n">
        <v>46061</v>
      </c>
      <c r="D1049" t="inlineStr">
        <is>
          <t>VÄSTERNORRLANDS LÄN</t>
        </is>
      </c>
      <c r="E1049" t="inlineStr">
        <is>
          <t>ÅNGE</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53209-2024</t>
        </is>
      </c>
      <c r="B1050" s="1" t="n">
        <v>45612.51079861111</v>
      </c>
      <c r="C1050" s="1" t="n">
        <v>46061</v>
      </c>
      <c r="D1050" t="inlineStr">
        <is>
          <t>VÄSTERNORRLANDS LÄN</t>
        </is>
      </c>
      <c r="E1050" t="inlineStr">
        <is>
          <t>ÅNGE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3574-2025</t>
        </is>
      </c>
      <c r="B1051" s="1" t="n">
        <v>45680.71916666667</v>
      </c>
      <c r="C1051" s="1" t="n">
        <v>46061</v>
      </c>
      <c r="D1051" t="inlineStr">
        <is>
          <t>VÄSTERNORRLANDS LÄN</t>
        </is>
      </c>
      <c r="E1051" t="inlineStr">
        <is>
          <t>ÅNGE</t>
        </is>
      </c>
      <c r="F1051" t="inlineStr">
        <is>
          <t>SCA</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30803-2022</t>
        </is>
      </c>
      <c r="B1052" s="1" t="n">
        <v>44764</v>
      </c>
      <c r="C1052" s="1" t="n">
        <v>46061</v>
      </c>
      <c r="D1052" t="inlineStr">
        <is>
          <t>VÄSTERNORRLANDS LÄN</t>
        </is>
      </c>
      <c r="E1052" t="inlineStr">
        <is>
          <t>ÅNGE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59815-2025</t>
        </is>
      </c>
      <c r="B1053" s="1" t="n">
        <v>45992.6359837963</v>
      </c>
      <c r="C1053" s="1" t="n">
        <v>46061</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60079-2025</t>
        </is>
      </c>
      <c r="B1054" s="1" t="n">
        <v>45993.6834375</v>
      </c>
      <c r="C1054" s="1" t="n">
        <v>46061</v>
      </c>
      <c r="D1054" t="inlineStr">
        <is>
          <t>VÄSTERNORRLANDS LÄN</t>
        </is>
      </c>
      <c r="E1054" t="inlineStr">
        <is>
          <t>ÅNGE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1969-2026</t>
        </is>
      </c>
      <c r="B1055" s="1" t="n">
        <v>46035.64024305555</v>
      </c>
      <c r="C1055" s="1" t="n">
        <v>46061</v>
      </c>
      <c r="D1055" t="inlineStr">
        <is>
          <t>VÄSTERNORRLANDS LÄN</t>
        </is>
      </c>
      <c r="E1055" t="inlineStr">
        <is>
          <t>ÅNGE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1544-2026</t>
        </is>
      </c>
      <c r="B1056" s="1" t="n">
        <v>46034.38653935185</v>
      </c>
      <c r="C1056" s="1" t="n">
        <v>46061</v>
      </c>
      <c r="D1056" t="inlineStr">
        <is>
          <t>VÄSTERNORRLANDS LÄN</t>
        </is>
      </c>
      <c r="E1056" t="inlineStr">
        <is>
          <t>ÅNGE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34750-2023</t>
        </is>
      </c>
      <c r="B1057" s="1" t="n">
        <v>45139</v>
      </c>
      <c r="C1057" s="1" t="n">
        <v>46061</v>
      </c>
      <c r="D1057" t="inlineStr">
        <is>
          <t>VÄSTERNORRLANDS LÄN</t>
        </is>
      </c>
      <c r="E1057" t="inlineStr">
        <is>
          <t>ÅNGE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59641-2025</t>
        </is>
      </c>
      <c r="B1058" s="1" t="n">
        <v>45992.4175925926</v>
      </c>
      <c r="C1058" s="1" t="n">
        <v>46061</v>
      </c>
      <c r="D1058" t="inlineStr">
        <is>
          <t>VÄSTERNORRLANDS LÄN</t>
        </is>
      </c>
      <c r="E1058" t="inlineStr">
        <is>
          <t>ÅNGE</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44180-2023</t>
        </is>
      </c>
      <c r="B1059" s="1" t="n">
        <v>45183</v>
      </c>
      <c r="C1059" s="1" t="n">
        <v>46061</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1543-2026</t>
        </is>
      </c>
      <c r="B1060" s="1" t="n">
        <v>46034.38636574074</v>
      </c>
      <c r="C1060" s="1" t="n">
        <v>46061</v>
      </c>
      <c r="D1060" t="inlineStr">
        <is>
          <t>VÄSTERNORRLANDS LÄN</t>
        </is>
      </c>
      <c r="E1060" t="inlineStr">
        <is>
          <t>ÅNGE</t>
        </is>
      </c>
      <c r="F1060" t="inlineStr">
        <is>
          <t>SCA</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1547-2026</t>
        </is>
      </c>
      <c r="B1061" s="1" t="n">
        <v>46034.38689814815</v>
      </c>
      <c r="C1061" s="1" t="n">
        <v>46061</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60061-2025</t>
        </is>
      </c>
      <c r="B1062" s="1" t="n">
        <v>45993.65673611111</v>
      </c>
      <c r="C1062" s="1" t="n">
        <v>46061</v>
      </c>
      <c r="D1062" t="inlineStr">
        <is>
          <t>VÄSTERNORRLANDS LÄN</t>
        </is>
      </c>
      <c r="E1062" t="inlineStr">
        <is>
          <t>ÅNGE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1846-2026</t>
        </is>
      </c>
      <c r="B1063" s="1" t="n">
        <v>46035.40692129629</v>
      </c>
      <c r="C1063" s="1" t="n">
        <v>46061</v>
      </c>
      <c r="D1063" t="inlineStr">
        <is>
          <t>VÄSTERNORRLANDS LÄN</t>
        </is>
      </c>
      <c r="E1063" t="inlineStr">
        <is>
          <t>ÅNGE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14888-2022</t>
        </is>
      </c>
      <c r="B1064" s="1" t="n">
        <v>44656</v>
      </c>
      <c r="C1064" s="1" t="n">
        <v>46061</v>
      </c>
      <c r="D1064" t="inlineStr">
        <is>
          <t>VÄSTERNORRLANDS LÄN</t>
        </is>
      </c>
      <c r="E1064" t="inlineStr">
        <is>
          <t>ÅNGE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1897-2026</t>
        </is>
      </c>
      <c r="B1065" s="1" t="n">
        <v>46035.51097222222</v>
      </c>
      <c r="C1065" s="1" t="n">
        <v>46061</v>
      </c>
      <c r="D1065" t="inlineStr">
        <is>
          <t>VÄSTERNORRLANDS LÄN</t>
        </is>
      </c>
      <c r="E1065" t="inlineStr">
        <is>
          <t>ÅNGE</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1541-2026</t>
        </is>
      </c>
      <c r="B1066" s="1" t="n">
        <v>46034.38606481482</v>
      </c>
      <c r="C1066" s="1" t="n">
        <v>46061</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22990-2024</t>
        </is>
      </c>
      <c r="B1067" s="1" t="n">
        <v>45449.94548611111</v>
      </c>
      <c r="C1067" s="1" t="n">
        <v>46061</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58-2026</t>
        </is>
      </c>
      <c r="B1068" s="1" t="n">
        <v>46024</v>
      </c>
      <c r="C1068" s="1" t="n">
        <v>46061</v>
      </c>
      <c r="D1068" t="inlineStr">
        <is>
          <t>VÄSTERNORRLANDS LÄN</t>
        </is>
      </c>
      <c r="E1068" t="inlineStr">
        <is>
          <t>ÅNGE</t>
        </is>
      </c>
      <c r="F1068" t="inlineStr">
        <is>
          <t>Kyrkan</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27260-2023</t>
        </is>
      </c>
      <c r="B1069" s="1" t="n">
        <v>45092</v>
      </c>
      <c r="C1069" s="1" t="n">
        <v>46061</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58637-2023</t>
        </is>
      </c>
      <c r="B1070" s="1" t="n">
        <v>45251</v>
      </c>
      <c r="C1070" s="1" t="n">
        <v>46061</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30753-2024</t>
        </is>
      </c>
      <c r="B1071" s="1" t="n">
        <v>45496</v>
      </c>
      <c r="C1071" s="1" t="n">
        <v>46061</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30754-2024</t>
        </is>
      </c>
      <c r="B1072" s="1" t="n">
        <v>45496</v>
      </c>
      <c r="C1072" s="1" t="n">
        <v>46061</v>
      </c>
      <c r="D1072" t="inlineStr">
        <is>
          <t>VÄSTERNORRLANDS LÄN</t>
        </is>
      </c>
      <c r="E1072" t="inlineStr">
        <is>
          <t>ÅNGE</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1971-2026</t>
        </is>
      </c>
      <c r="B1073" s="1" t="n">
        <v>46035.64133101852</v>
      </c>
      <c r="C1073" s="1" t="n">
        <v>46061</v>
      </c>
      <c r="D1073" t="inlineStr">
        <is>
          <t>VÄSTERNORRLANDS LÄN</t>
        </is>
      </c>
      <c r="E1073" t="inlineStr">
        <is>
          <t>ÅNGE</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60118-2025</t>
        </is>
      </c>
      <c r="B1074" s="1" t="n">
        <v>45994.3242824074</v>
      </c>
      <c r="C1074" s="1" t="n">
        <v>46061</v>
      </c>
      <c r="D1074" t="inlineStr">
        <is>
          <t>VÄSTERNORRLANDS LÄN</t>
        </is>
      </c>
      <c r="E1074" t="inlineStr">
        <is>
          <t>ÅNGE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60119-2025</t>
        </is>
      </c>
      <c r="B1075" s="1" t="n">
        <v>45994.33081018519</v>
      </c>
      <c r="C1075" s="1" t="n">
        <v>46061</v>
      </c>
      <c r="D1075" t="inlineStr">
        <is>
          <t>VÄSTERNORRLANDS LÄN</t>
        </is>
      </c>
      <c r="E1075" t="inlineStr">
        <is>
          <t>ÅNGE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60134-2025</t>
        </is>
      </c>
      <c r="B1076" s="1" t="n">
        <v>45994.34793981481</v>
      </c>
      <c r="C1076" s="1" t="n">
        <v>46061</v>
      </c>
      <c r="D1076" t="inlineStr">
        <is>
          <t>VÄSTERNORRLANDS LÄN</t>
        </is>
      </c>
      <c r="E1076" t="inlineStr">
        <is>
          <t>ÅNGE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60342-2025</t>
        </is>
      </c>
      <c r="B1077" s="1" t="n">
        <v>45994.86804398148</v>
      </c>
      <c r="C1077" s="1" t="n">
        <v>46061</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2485-2026</t>
        </is>
      </c>
      <c r="B1078" s="1" t="n">
        <v>46037.38591435185</v>
      </c>
      <c r="C1078" s="1" t="n">
        <v>46061</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60124-2025</t>
        </is>
      </c>
      <c r="B1079" s="1" t="n">
        <v>45994.33722222222</v>
      </c>
      <c r="C1079" s="1" t="n">
        <v>46061</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60286-2025</t>
        </is>
      </c>
      <c r="B1080" s="1" t="n">
        <v>45994.64612268518</v>
      </c>
      <c r="C1080" s="1" t="n">
        <v>46061</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57271-2024</t>
        </is>
      </c>
      <c r="B1081" s="1" t="n">
        <v>45629.57364583333</v>
      </c>
      <c r="C1081" s="1" t="n">
        <v>46061</v>
      </c>
      <c r="D1081" t="inlineStr">
        <is>
          <t>VÄSTERNORRLANDS LÄN</t>
        </is>
      </c>
      <c r="E1081" t="inlineStr">
        <is>
          <t>ÅNGE</t>
        </is>
      </c>
      <c r="F1081" t="inlineStr">
        <is>
          <t>SCA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60520-2025</t>
        </is>
      </c>
      <c r="B1082" s="1" t="n">
        <v>45995.63694444444</v>
      </c>
      <c r="C1082" s="1" t="n">
        <v>46061</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9480-2022</t>
        </is>
      </c>
      <c r="B1083" s="1" t="n">
        <v>44616</v>
      </c>
      <c r="C1083" s="1" t="n">
        <v>46061</v>
      </c>
      <c r="D1083" t="inlineStr">
        <is>
          <t>VÄSTERNORRLANDS LÄN</t>
        </is>
      </c>
      <c r="E1083" t="inlineStr">
        <is>
          <t>ÅNGE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37503-2023</t>
        </is>
      </c>
      <c r="B1084" s="1" t="n">
        <v>45157.5796875</v>
      </c>
      <c r="C1084" s="1" t="n">
        <v>46061</v>
      </c>
      <c r="D1084" t="inlineStr">
        <is>
          <t>VÄSTERNORRLANDS LÄN</t>
        </is>
      </c>
      <c r="E1084" t="inlineStr">
        <is>
          <t>ÅNGE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51124-2024</t>
        </is>
      </c>
      <c r="B1085" s="1" t="n">
        <v>45603.50716435185</v>
      </c>
      <c r="C1085" s="1" t="n">
        <v>46061</v>
      </c>
      <c r="D1085" t="inlineStr">
        <is>
          <t>VÄSTERNORRLANDS LÄN</t>
        </is>
      </c>
      <c r="E1085" t="inlineStr">
        <is>
          <t>ÅNGE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60403-2025</t>
        </is>
      </c>
      <c r="B1086" s="1" t="n">
        <v>45995.42762731481</v>
      </c>
      <c r="C1086" s="1" t="n">
        <v>46061</v>
      </c>
      <c r="D1086" t="inlineStr">
        <is>
          <t>VÄSTERNORRLANDS LÄN</t>
        </is>
      </c>
      <c r="E1086" t="inlineStr">
        <is>
          <t>ÅNGE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60590-2025</t>
        </is>
      </c>
      <c r="B1087" s="1" t="n">
        <v>45994</v>
      </c>
      <c r="C1087" s="1" t="n">
        <v>46061</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60604-2025</t>
        </is>
      </c>
      <c r="B1088" s="1" t="n">
        <v>45995</v>
      </c>
      <c r="C1088" s="1" t="n">
        <v>46061</v>
      </c>
      <c r="D1088" t="inlineStr">
        <is>
          <t>VÄSTERNORRLANDS LÄN</t>
        </is>
      </c>
      <c r="E1088" t="inlineStr">
        <is>
          <t>ÅNGE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51377-2024</t>
        </is>
      </c>
      <c r="B1089" s="1" t="n">
        <v>45604.38142361111</v>
      </c>
      <c r="C1089" s="1" t="n">
        <v>46061</v>
      </c>
      <c r="D1089" t="inlineStr">
        <is>
          <t>VÄSTERNORRLANDS LÄN</t>
        </is>
      </c>
      <c r="E1089" t="inlineStr">
        <is>
          <t>ÅNGE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44876-2024</t>
        </is>
      </c>
      <c r="B1090" s="1" t="n">
        <v>45575.34474537037</v>
      </c>
      <c r="C1090" s="1" t="n">
        <v>46061</v>
      </c>
      <c r="D1090" t="inlineStr">
        <is>
          <t>VÄSTERNORRLANDS LÄN</t>
        </is>
      </c>
      <c r="E1090" t="inlineStr">
        <is>
          <t>ÅNGE</t>
        </is>
      </c>
      <c r="F1090" t="inlineStr">
        <is>
          <t>SCA</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60422-2025</t>
        </is>
      </c>
      <c r="B1091" s="1" t="n">
        <v>45995.46922453704</v>
      </c>
      <c r="C1091" s="1" t="n">
        <v>46061</v>
      </c>
      <c r="D1091" t="inlineStr">
        <is>
          <t>VÄSTERNORRLANDS LÄN</t>
        </is>
      </c>
      <c r="E1091" t="inlineStr">
        <is>
          <t>ÅNGE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60402-2025</t>
        </is>
      </c>
      <c r="B1092" s="1" t="n">
        <v>45995.4262962963</v>
      </c>
      <c r="C1092" s="1" t="n">
        <v>46061</v>
      </c>
      <c r="D1092" t="inlineStr">
        <is>
          <t>VÄSTERNORRLANDS LÄN</t>
        </is>
      </c>
      <c r="E1092" t="inlineStr">
        <is>
          <t>ÅNGE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60278-2025</t>
        </is>
      </c>
      <c r="B1093" s="1" t="n">
        <v>45994.63739583334</v>
      </c>
      <c r="C1093" s="1" t="n">
        <v>46061</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20229-2022</t>
        </is>
      </c>
      <c r="B1094" s="1" t="n">
        <v>44698.61150462963</v>
      </c>
      <c r="C1094" s="1" t="n">
        <v>46061</v>
      </c>
      <c r="D1094" t="inlineStr">
        <is>
          <t>VÄSTERNORRLANDS LÄN</t>
        </is>
      </c>
      <c r="E1094" t="inlineStr">
        <is>
          <t>ÅNGE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60582-2025</t>
        </is>
      </c>
      <c r="B1095" s="1" t="n">
        <v>45994</v>
      </c>
      <c r="C1095" s="1" t="n">
        <v>46061</v>
      </c>
      <c r="D1095" t="inlineStr">
        <is>
          <t>VÄSTERNORRLANDS LÄN</t>
        </is>
      </c>
      <c r="E1095" t="inlineStr">
        <is>
          <t>ÅNGE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60599-2025</t>
        </is>
      </c>
      <c r="B1096" s="1" t="n">
        <v>45994</v>
      </c>
      <c r="C1096" s="1" t="n">
        <v>46061</v>
      </c>
      <c r="D1096" t="inlineStr">
        <is>
          <t>VÄSTERNORRLANDS LÄN</t>
        </is>
      </c>
      <c r="E1096" t="inlineStr">
        <is>
          <t>ÅNGE</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60296-2025</t>
        </is>
      </c>
      <c r="B1097" s="1" t="n">
        <v>45994.6568287037</v>
      </c>
      <c r="C1097" s="1" t="n">
        <v>46061</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14097-2022</t>
        </is>
      </c>
      <c r="B1098" s="1" t="n">
        <v>44651</v>
      </c>
      <c r="C1098" s="1" t="n">
        <v>46061</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32901-2023</t>
        </is>
      </c>
      <c r="B1099" s="1" t="n">
        <v>45124.95063657407</v>
      </c>
      <c r="C1099" s="1" t="n">
        <v>46061</v>
      </c>
      <c r="D1099" t="inlineStr">
        <is>
          <t>VÄSTERNORRLANDS LÄN</t>
        </is>
      </c>
      <c r="E1099" t="inlineStr">
        <is>
          <t>ÅNGE</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15603-2024</t>
        </is>
      </c>
      <c r="B1100" s="1" t="n">
        <v>45401.92501157407</v>
      </c>
      <c r="C1100" s="1" t="n">
        <v>46061</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3289-2026</t>
        </is>
      </c>
      <c r="B1101" s="1" t="n">
        <v>46041.63581018519</v>
      </c>
      <c r="C1101" s="1" t="n">
        <v>46061</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11310-2023</t>
        </is>
      </c>
      <c r="B1102" s="1" t="n">
        <v>44993.01190972222</v>
      </c>
      <c r="C1102" s="1" t="n">
        <v>46061</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21409-2022</t>
        </is>
      </c>
      <c r="B1103" s="1" t="n">
        <v>44705.9406712963</v>
      </c>
      <c r="C1103" s="1" t="n">
        <v>46061</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48632-2023</t>
        </is>
      </c>
      <c r="B1104" s="1" t="n">
        <v>45208.57944444445</v>
      </c>
      <c r="C1104" s="1" t="n">
        <v>46061</v>
      </c>
      <c r="D1104" t="inlineStr">
        <is>
          <t>VÄSTERNORRLANDS LÄN</t>
        </is>
      </c>
      <c r="E1104" t="inlineStr">
        <is>
          <t>ÅNGE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20761-2024</t>
        </is>
      </c>
      <c r="B1105" s="1" t="n">
        <v>45436</v>
      </c>
      <c r="C1105" s="1" t="n">
        <v>46061</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6619-2025</t>
        </is>
      </c>
      <c r="B1106" s="1" t="n">
        <v>45700.36541666667</v>
      </c>
      <c r="C1106" s="1" t="n">
        <v>46061</v>
      </c>
      <c r="D1106" t="inlineStr">
        <is>
          <t>VÄSTERNORRLANDS LÄN</t>
        </is>
      </c>
      <c r="E1106" t="inlineStr">
        <is>
          <t>ÅNGE</t>
        </is>
      </c>
      <c r="F1106" t="inlineStr">
        <is>
          <t>SCA</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10339-2025</t>
        </is>
      </c>
      <c r="B1107" s="1" t="n">
        <v>45720</v>
      </c>
      <c r="C1107" s="1" t="n">
        <v>46061</v>
      </c>
      <c r="D1107" t="inlineStr">
        <is>
          <t>VÄSTERNORRLANDS LÄN</t>
        </is>
      </c>
      <c r="E1107" t="inlineStr">
        <is>
          <t>ÅNGE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3290-2026</t>
        </is>
      </c>
      <c r="B1108" s="1" t="n">
        <v>46041</v>
      </c>
      <c r="C1108" s="1" t="n">
        <v>46061</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12581-2024</t>
        </is>
      </c>
      <c r="B1109" s="1" t="n">
        <v>45379</v>
      </c>
      <c r="C1109" s="1" t="n">
        <v>46061</v>
      </c>
      <c r="D1109" t="inlineStr">
        <is>
          <t>VÄSTERNORRLANDS LÄN</t>
        </is>
      </c>
      <c r="E1109" t="inlineStr">
        <is>
          <t>ÅNGE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55558-2024</t>
        </is>
      </c>
      <c r="B1110" s="1" t="n">
        <v>45622.52586805556</v>
      </c>
      <c r="C1110" s="1" t="n">
        <v>46061</v>
      </c>
      <c r="D1110" t="inlineStr">
        <is>
          <t>VÄSTERNORRLANDS LÄN</t>
        </is>
      </c>
      <c r="E1110" t="inlineStr">
        <is>
          <t>ÅNGE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52665-2024</t>
        </is>
      </c>
      <c r="B1111" s="1" t="n">
        <v>45610.36549768518</v>
      </c>
      <c r="C1111" s="1" t="n">
        <v>46061</v>
      </c>
      <c r="D1111" t="inlineStr">
        <is>
          <t>VÄSTERNORRLANDS LÄN</t>
        </is>
      </c>
      <c r="E1111" t="inlineStr">
        <is>
          <t>ÅNGE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20338-2025</t>
        </is>
      </c>
      <c r="B1112" s="1" t="n">
        <v>45775</v>
      </c>
      <c r="C1112" s="1" t="n">
        <v>46061</v>
      </c>
      <c r="D1112" t="inlineStr">
        <is>
          <t>VÄSTERNORRLANDS LÄN</t>
        </is>
      </c>
      <c r="E1112" t="inlineStr">
        <is>
          <t>ÅNGE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60864-2025</t>
        </is>
      </c>
      <c r="B1113" s="1" t="n">
        <v>45999.53170138889</v>
      </c>
      <c r="C1113" s="1" t="n">
        <v>46061</v>
      </c>
      <c r="D1113" t="inlineStr">
        <is>
          <t>VÄSTERNORRLANDS LÄN</t>
        </is>
      </c>
      <c r="E1113" t="inlineStr">
        <is>
          <t>ÅNGE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3800-2026</t>
        </is>
      </c>
      <c r="B1114" s="1" t="n">
        <v>46043.58267361111</v>
      </c>
      <c r="C1114" s="1" t="n">
        <v>46061</v>
      </c>
      <c r="D1114" t="inlineStr">
        <is>
          <t>VÄSTERNORRLANDS LÄN</t>
        </is>
      </c>
      <c r="E1114" t="inlineStr">
        <is>
          <t>ÅNGE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14751-2025</t>
        </is>
      </c>
      <c r="B1115" s="1" t="n">
        <v>45742.65863425926</v>
      </c>
      <c r="C1115" s="1" t="n">
        <v>46061</v>
      </c>
      <c r="D1115" t="inlineStr">
        <is>
          <t>VÄSTERNORRLANDS LÄN</t>
        </is>
      </c>
      <c r="E1115" t="inlineStr">
        <is>
          <t>ÅNGE</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61500-2025</t>
        </is>
      </c>
      <c r="B1116" s="1" t="n">
        <v>46001.65667824074</v>
      </c>
      <c r="C1116" s="1" t="n">
        <v>46061</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54342-2023</t>
        </is>
      </c>
      <c r="B1117" s="1" t="n">
        <v>45232</v>
      </c>
      <c r="C1117" s="1" t="n">
        <v>46061</v>
      </c>
      <c r="D1117" t="inlineStr">
        <is>
          <t>VÄSTERNORRLANDS LÄN</t>
        </is>
      </c>
      <c r="E1117" t="inlineStr">
        <is>
          <t>ÅNGE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3534-2026</t>
        </is>
      </c>
      <c r="B1118" s="1" t="n">
        <v>46042.62432870371</v>
      </c>
      <c r="C1118" s="1" t="n">
        <v>46061</v>
      </c>
      <c r="D1118" t="inlineStr">
        <is>
          <t>VÄSTERNORRLANDS LÄN</t>
        </is>
      </c>
      <c r="E1118" t="inlineStr">
        <is>
          <t>ÅNGE</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34091-2022</t>
        </is>
      </c>
      <c r="B1119" s="1" t="n">
        <v>44791</v>
      </c>
      <c r="C1119" s="1" t="n">
        <v>46061</v>
      </c>
      <c r="D1119" t="inlineStr">
        <is>
          <t>VÄSTERNORRLANDS LÄN</t>
        </is>
      </c>
      <c r="E1119" t="inlineStr">
        <is>
          <t>ÅNGE</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3889-2026</t>
        </is>
      </c>
      <c r="B1120" s="1" t="n">
        <v>46043.67015046296</v>
      </c>
      <c r="C1120" s="1" t="n">
        <v>46061</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61075-2025</t>
        </is>
      </c>
      <c r="B1121" s="1" t="n">
        <v>46000.3959837963</v>
      </c>
      <c r="C1121" s="1" t="n">
        <v>46061</v>
      </c>
      <c r="D1121" t="inlineStr">
        <is>
          <t>VÄSTERNORRLANDS LÄN</t>
        </is>
      </c>
      <c r="E1121" t="inlineStr">
        <is>
          <t>ÅNGE</t>
        </is>
      </c>
      <c r="F1121" t="inlineStr">
        <is>
          <t>Holmen skog AB</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19066-2024</t>
        </is>
      </c>
      <c r="B1122" s="1" t="n">
        <v>45427</v>
      </c>
      <c r="C1122" s="1" t="n">
        <v>46061</v>
      </c>
      <c r="D1122" t="inlineStr">
        <is>
          <t>VÄSTERNORRLANDS LÄN</t>
        </is>
      </c>
      <c r="E1122" t="inlineStr">
        <is>
          <t>ÅNGE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14976-2025</t>
        </is>
      </c>
      <c r="B1123" s="1" t="n">
        <v>45743</v>
      </c>
      <c r="C1123" s="1" t="n">
        <v>46061</v>
      </c>
      <c r="D1123" t="inlineStr">
        <is>
          <t>VÄSTERNORRLANDS LÄN</t>
        </is>
      </c>
      <c r="E1123" t="inlineStr">
        <is>
          <t>ÅNGE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61486-2025</t>
        </is>
      </c>
      <c r="B1124" s="1" t="n">
        <v>46001.63607638889</v>
      </c>
      <c r="C1124" s="1" t="n">
        <v>46061</v>
      </c>
      <c r="D1124" t="inlineStr">
        <is>
          <t>VÄSTERNORRLANDS LÄN</t>
        </is>
      </c>
      <c r="E1124" t="inlineStr">
        <is>
          <t>ÅNGE</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61203-2025</t>
        </is>
      </c>
      <c r="B1125" s="1" t="n">
        <v>46000.61237268519</v>
      </c>
      <c r="C1125" s="1" t="n">
        <v>46061</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8070-2022</t>
        </is>
      </c>
      <c r="B1126" s="1" t="n">
        <v>44609.48665509259</v>
      </c>
      <c r="C1126" s="1" t="n">
        <v>46061</v>
      </c>
      <c r="D1126" t="inlineStr">
        <is>
          <t>VÄSTERNORRLANDS LÄN</t>
        </is>
      </c>
      <c r="E1126" t="inlineStr">
        <is>
          <t>ÅNGE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61439-2025</t>
        </is>
      </c>
      <c r="B1127" s="1" t="n">
        <v>46001.57010416667</v>
      </c>
      <c r="C1127" s="1" t="n">
        <v>46061</v>
      </c>
      <c r="D1127" t="inlineStr">
        <is>
          <t>VÄSTERNORRLANDS LÄN</t>
        </is>
      </c>
      <c r="E1127" t="inlineStr">
        <is>
          <t>ÅNGE</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52805-2024</t>
        </is>
      </c>
      <c r="B1128" s="1" t="n">
        <v>45610.57344907407</v>
      </c>
      <c r="C1128" s="1" t="n">
        <v>46061</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61279-2025</t>
        </is>
      </c>
      <c r="B1129" s="1" t="n">
        <v>46000.69841435185</v>
      </c>
      <c r="C1129" s="1" t="n">
        <v>46061</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4651-2022</t>
        </is>
      </c>
      <c r="B1130" s="1" t="n">
        <v>44592</v>
      </c>
      <c r="C1130" s="1" t="n">
        <v>46061</v>
      </c>
      <c r="D1130" t="inlineStr">
        <is>
          <t>VÄSTERNORRLANDS LÄN</t>
        </is>
      </c>
      <c r="E1130" t="inlineStr">
        <is>
          <t>ÅNGE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61200-2025</t>
        </is>
      </c>
      <c r="B1131" s="1" t="n">
        <v>46000.60918981482</v>
      </c>
      <c r="C1131" s="1" t="n">
        <v>46061</v>
      </c>
      <c r="D1131" t="inlineStr">
        <is>
          <t>VÄSTERNORRLANDS LÄN</t>
        </is>
      </c>
      <c r="E1131" t="inlineStr">
        <is>
          <t>ÅNGE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19342-2024</t>
        </is>
      </c>
      <c r="B1132" s="1" t="n">
        <v>45428</v>
      </c>
      <c r="C1132" s="1" t="n">
        <v>46061</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3801-2026</t>
        </is>
      </c>
      <c r="B1133" s="1" t="n">
        <v>46043.58273148148</v>
      </c>
      <c r="C1133" s="1" t="n">
        <v>46061</v>
      </c>
      <c r="D1133" t="inlineStr">
        <is>
          <t>VÄSTERNORRLANDS LÄN</t>
        </is>
      </c>
      <c r="E1133" t="inlineStr">
        <is>
          <t>ÅNGE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24977-2021</t>
        </is>
      </c>
      <c r="B1134" s="1" t="n">
        <v>44341.51386574074</v>
      </c>
      <c r="C1134" s="1" t="n">
        <v>46061</v>
      </c>
      <c r="D1134" t="inlineStr">
        <is>
          <t>VÄSTERNORRLANDS LÄN</t>
        </is>
      </c>
      <c r="E1134" t="inlineStr">
        <is>
          <t>ÅNGE</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10687-2022</t>
        </is>
      </c>
      <c r="B1135" s="1" t="n">
        <v>44624.92684027777</v>
      </c>
      <c r="C1135" s="1" t="n">
        <v>46061</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3882-2026</t>
        </is>
      </c>
      <c r="B1136" s="1" t="n">
        <v>46043.65693287037</v>
      </c>
      <c r="C1136" s="1" t="n">
        <v>46061</v>
      </c>
      <c r="D1136" t="inlineStr">
        <is>
          <t>VÄSTERNORRLANDS LÄN</t>
        </is>
      </c>
      <c r="E1136" t="inlineStr">
        <is>
          <t>ÅNGE</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3872-2026</t>
        </is>
      </c>
      <c r="B1137" s="1" t="n">
        <v>46043.64314814815</v>
      </c>
      <c r="C1137" s="1" t="n">
        <v>46061</v>
      </c>
      <c r="D1137" t="inlineStr">
        <is>
          <t>VÄSTERNORRLANDS LÄN</t>
        </is>
      </c>
      <c r="E1137" t="inlineStr">
        <is>
          <t>ÅNGE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5246-2025</t>
        </is>
      </c>
      <c r="B1138" s="1" t="n">
        <v>45692.34427083333</v>
      </c>
      <c r="C1138" s="1" t="n">
        <v>46061</v>
      </c>
      <c r="D1138" t="inlineStr">
        <is>
          <t>VÄSTERNORRLANDS LÄN</t>
        </is>
      </c>
      <c r="E1138" t="inlineStr">
        <is>
          <t>ÅNGE</t>
        </is>
      </c>
      <c r="F1138" t="inlineStr">
        <is>
          <t>SCA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16973-2025</t>
        </is>
      </c>
      <c r="B1139" s="1" t="n">
        <v>45755.46967592592</v>
      </c>
      <c r="C1139" s="1" t="n">
        <v>46061</v>
      </c>
      <c r="D1139" t="inlineStr">
        <is>
          <t>VÄSTERNORRLANDS LÄN</t>
        </is>
      </c>
      <c r="E1139" t="inlineStr">
        <is>
          <t>ÅNGE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61308-2025</t>
        </is>
      </c>
      <c r="B1140" s="1" t="n">
        <v>46000.81952546296</v>
      </c>
      <c r="C1140" s="1" t="n">
        <v>46061</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61349-2025</t>
        </is>
      </c>
      <c r="B1141" s="1" t="n">
        <v>46001.3866087963</v>
      </c>
      <c r="C1141" s="1" t="n">
        <v>46061</v>
      </c>
      <c r="D1141" t="inlineStr">
        <is>
          <t>VÄSTERNORRLANDS LÄN</t>
        </is>
      </c>
      <c r="E1141" t="inlineStr">
        <is>
          <t>ÅNGE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34679-2024</t>
        </is>
      </c>
      <c r="B1142" s="1" t="n">
        <v>45526</v>
      </c>
      <c r="C1142" s="1" t="n">
        <v>46061</v>
      </c>
      <c r="D1142" t="inlineStr">
        <is>
          <t>VÄSTERNORRLANDS LÄN</t>
        </is>
      </c>
      <c r="E1142" t="inlineStr">
        <is>
          <t>ÅNGE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43096-2023</t>
        </is>
      </c>
      <c r="B1143" s="1" t="n">
        <v>45182</v>
      </c>
      <c r="C1143" s="1" t="n">
        <v>46061</v>
      </c>
      <c r="D1143" t="inlineStr">
        <is>
          <t>VÄSTERNORRLANDS LÄN</t>
        </is>
      </c>
      <c r="E1143" t="inlineStr">
        <is>
          <t>ÅNGE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60296-2021</t>
        </is>
      </c>
      <c r="B1144" s="1" t="n">
        <v>44495</v>
      </c>
      <c r="C1144" s="1" t="n">
        <v>46061</v>
      </c>
      <c r="D1144" t="inlineStr">
        <is>
          <t>VÄSTERNORRLANDS LÄN</t>
        </is>
      </c>
      <c r="E1144" t="inlineStr">
        <is>
          <t>ÅNGE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61321-2025</t>
        </is>
      </c>
      <c r="B1145" s="1" t="n">
        <v>46000.96894675926</v>
      </c>
      <c r="C1145" s="1" t="n">
        <v>46061</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61332-2025</t>
        </is>
      </c>
      <c r="B1146" s="1" t="n">
        <v>46001.34416666667</v>
      </c>
      <c r="C1146" s="1" t="n">
        <v>46061</v>
      </c>
      <c r="D1146" t="inlineStr">
        <is>
          <t>VÄSTERNORRLANDS LÄN</t>
        </is>
      </c>
      <c r="E1146" t="inlineStr">
        <is>
          <t>ÅNGE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61857-2025</t>
        </is>
      </c>
      <c r="B1147" s="1" t="n">
        <v>46003.3862962963</v>
      </c>
      <c r="C1147" s="1" t="n">
        <v>46061</v>
      </c>
      <c r="D1147" t="inlineStr">
        <is>
          <t>VÄSTERNORRLANDS LÄN</t>
        </is>
      </c>
      <c r="E1147" t="inlineStr">
        <is>
          <t>ÅNGE</t>
        </is>
      </c>
      <c r="F1147" t="inlineStr">
        <is>
          <t>SCA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25023-2022</t>
        </is>
      </c>
      <c r="B1148" s="1" t="n">
        <v>44728</v>
      </c>
      <c r="C1148" s="1" t="n">
        <v>46061</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31545-2024</t>
        </is>
      </c>
      <c r="B1149" s="1" t="n">
        <v>45505</v>
      </c>
      <c r="C1149" s="1" t="n">
        <v>46061</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54627-2025</t>
        </is>
      </c>
      <c r="B1150" s="1" t="n">
        <v>45966.34565972222</v>
      </c>
      <c r="C1150" s="1" t="n">
        <v>46061</v>
      </c>
      <c r="D1150" t="inlineStr">
        <is>
          <t>VÄSTERNORRLANDS LÄN</t>
        </is>
      </c>
      <c r="E1150" t="inlineStr">
        <is>
          <t>ÅNGE</t>
        </is>
      </c>
      <c r="F1150" t="inlineStr">
        <is>
          <t>SCA</t>
        </is>
      </c>
      <c r="G1150" t="n">
        <v>18.5</v>
      </c>
      <c r="H1150" t="n">
        <v>0</v>
      </c>
      <c r="I1150" t="n">
        <v>0</v>
      </c>
      <c r="J1150" t="n">
        <v>0</v>
      </c>
      <c r="K1150" t="n">
        <v>0</v>
      </c>
      <c r="L1150" t="n">
        <v>0</v>
      </c>
      <c r="M1150" t="n">
        <v>0</v>
      </c>
      <c r="N1150" t="n">
        <v>0</v>
      </c>
      <c r="O1150" t="n">
        <v>0</v>
      </c>
      <c r="P1150" t="n">
        <v>0</v>
      </c>
      <c r="Q1150" t="n">
        <v>0</v>
      </c>
      <c r="R1150" s="2" t="inlineStr"/>
    </row>
    <row r="1151" ht="15" customHeight="1">
      <c r="A1151" t="inlineStr">
        <is>
          <t>A 4263-2026</t>
        </is>
      </c>
      <c r="B1151" s="1" t="n">
        <v>46045.34451388889</v>
      </c>
      <c r="C1151" s="1" t="n">
        <v>46061</v>
      </c>
      <c r="D1151" t="inlineStr">
        <is>
          <t>VÄSTERNORRLANDS LÄN</t>
        </is>
      </c>
      <c r="E1151" t="inlineStr">
        <is>
          <t>ÅNGE</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4328-2026</t>
        </is>
      </c>
      <c r="B1152" s="1" t="n">
        <v>46045.46940972222</v>
      </c>
      <c r="C1152" s="1" t="n">
        <v>46061</v>
      </c>
      <c r="D1152" t="inlineStr">
        <is>
          <t>VÄSTERNORRLANDS LÄN</t>
        </is>
      </c>
      <c r="E1152" t="inlineStr">
        <is>
          <t>ÅNGE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4327-2026</t>
        </is>
      </c>
      <c r="B1153" s="1" t="n">
        <v>46045.46930555555</v>
      </c>
      <c r="C1153" s="1" t="n">
        <v>46061</v>
      </c>
      <c r="D1153" t="inlineStr">
        <is>
          <t>VÄSTERNORRLANDS LÄN</t>
        </is>
      </c>
      <c r="E1153" t="inlineStr">
        <is>
          <t>ÅNGE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5197-2025</t>
        </is>
      </c>
      <c r="B1154" s="1" t="n">
        <v>45691.65701388889</v>
      </c>
      <c r="C1154" s="1" t="n">
        <v>46061</v>
      </c>
      <c r="D1154" t="inlineStr">
        <is>
          <t>VÄSTERNORRLANDS LÄN</t>
        </is>
      </c>
      <c r="E1154" t="inlineStr">
        <is>
          <t>ÅNGE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50179-2024</t>
        </is>
      </c>
      <c r="B1155" s="1" t="n">
        <v>45600</v>
      </c>
      <c r="C1155" s="1" t="n">
        <v>46061</v>
      </c>
      <c r="D1155" t="inlineStr">
        <is>
          <t>VÄSTERNORRLANDS LÄN</t>
        </is>
      </c>
      <c r="E1155" t="inlineStr">
        <is>
          <t>ÅNGE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4441-2026</t>
        </is>
      </c>
      <c r="B1156" s="1" t="n">
        <v>46045.63600694444</v>
      </c>
      <c r="C1156" s="1" t="n">
        <v>46061</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4442-2026</t>
        </is>
      </c>
      <c r="B1157" s="1" t="n">
        <v>46045.63625</v>
      </c>
      <c r="C1157" s="1" t="n">
        <v>46061</v>
      </c>
      <c r="D1157" t="inlineStr">
        <is>
          <t>VÄSTERNORRLANDS LÄN</t>
        </is>
      </c>
      <c r="E1157" t="inlineStr">
        <is>
          <t>ÅNGE</t>
        </is>
      </c>
      <c r="F1157" t="inlineStr">
        <is>
          <t>SCA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4376-2026</t>
        </is>
      </c>
      <c r="B1158" s="1" t="n">
        <v>46045.55318287037</v>
      </c>
      <c r="C1158" s="1" t="n">
        <v>46061</v>
      </c>
      <c r="D1158" t="inlineStr">
        <is>
          <t>VÄSTERNORRLANDS LÄN</t>
        </is>
      </c>
      <c r="E1158" t="inlineStr">
        <is>
          <t>ÅNGE</t>
        </is>
      </c>
      <c r="F1158" t="inlineStr">
        <is>
          <t>SCA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3970-2026</t>
        </is>
      </c>
      <c r="B1159" s="1" t="n">
        <v>46044.3521875</v>
      </c>
      <c r="C1159" s="1" t="n">
        <v>46061</v>
      </c>
      <c r="D1159" t="inlineStr">
        <is>
          <t>VÄSTERNORRLANDS LÄN</t>
        </is>
      </c>
      <c r="E1159" t="inlineStr">
        <is>
          <t>ÅNGE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44565-2024</t>
        </is>
      </c>
      <c r="B1160" s="1" t="n">
        <v>45574.47518518518</v>
      </c>
      <c r="C1160" s="1" t="n">
        <v>46061</v>
      </c>
      <c r="D1160" t="inlineStr">
        <is>
          <t>VÄSTERNORRLANDS LÄN</t>
        </is>
      </c>
      <c r="E1160" t="inlineStr">
        <is>
          <t>ÅNGE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40755-2023</t>
        </is>
      </c>
      <c r="B1161" s="1" t="n">
        <v>45170</v>
      </c>
      <c r="C1161" s="1" t="n">
        <v>46061</v>
      </c>
      <c r="D1161" t="inlineStr">
        <is>
          <t>VÄSTERNORRLANDS LÄN</t>
        </is>
      </c>
      <c r="E1161" t="inlineStr">
        <is>
          <t>ÅNGE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31696-2022</t>
        </is>
      </c>
      <c r="B1162" s="1" t="n">
        <v>44776</v>
      </c>
      <c r="C1162" s="1" t="n">
        <v>46061</v>
      </c>
      <c r="D1162" t="inlineStr">
        <is>
          <t>VÄSTERNORRLANDS LÄN</t>
        </is>
      </c>
      <c r="E1162" t="inlineStr">
        <is>
          <t>ÅNGE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8778-2025</t>
        </is>
      </c>
      <c r="B1163" s="1" t="n">
        <v>45712.61539351852</v>
      </c>
      <c r="C1163" s="1" t="n">
        <v>46061</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34629-2025</t>
        </is>
      </c>
      <c r="B1164" s="1" t="n">
        <v>45847.93006944445</v>
      </c>
      <c r="C1164" s="1" t="n">
        <v>46061</v>
      </c>
      <c r="D1164" t="inlineStr">
        <is>
          <t>VÄSTERNORRLANDS LÄN</t>
        </is>
      </c>
      <c r="E1164" t="inlineStr">
        <is>
          <t>ÅNGE</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4209-2026</t>
        </is>
      </c>
      <c r="B1165" s="1" t="n">
        <v>46044.72609953704</v>
      </c>
      <c r="C1165" s="1" t="n">
        <v>46061</v>
      </c>
      <c r="D1165" t="inlineStr">
        <is>
          <t>VÄSTERNORRLANDS LÄN</t>
        </is>
      </c>
      <c r="E1165" t="inlineStr">
        <is>
          <t>ÅNGE</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10084-2023</t>
        </is>
      </c>
      <c r="B1166" s="1" t="n">
        <v>44985.94465277778</v>
      </c>
      <c r="C1166" s="1" t="n">
        <v>46061</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4262-2026</t>
        </is>
      </c>
      <c r="B1167" s="1" t="n">
        <v>46045.34431712963</v>
      </c>
      <c r="C1167" s="1" t="n">
        <v>46061</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61656-2025</t>
        </is>
      </c>
      <c r="B1168" s="1" t="n">
        <v>46002.44873842593</v>
      </c>
      <c r="C1168" s="1" t="n">
        <v>46061</v>
      </c>
      <c r="D1168" t="inlineStr">
        <is>
          <t>VÄSTERNORRLANDS LÄN</t>
        </is>
      </c>
      <c r="E1168" t="inlineStr">
        <is>
          <t>ÅNGE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37038-2024</t>
        </is>
      </c>
      <c r="B1169" s="1" t="n">
        <v>45539.40881944444</v>
      </c>
      <c r="C1169" s="1" t="n">
        <v>46061</v>
      </c>
      <c r="D1169" t="inlineStr">
        <is>
          <t>VÄSTERNORRLANDS LÄN</t>
        </is>
      </c>
      <c r="E1169" t="inlineStr">
        <is>
          <t>ÅNGE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4586-2026</t>
        </is>
      </c>
      <c r="B1170" s="1" t="n">
        <v>46048.33769675926</v>
      </c>
      <c r="C1170" s="1" t="n">
        <v>46061</v>
      </c>
      <c r="D1170" t="inlineStr">
        <is>
          <t>VÄSTERNORRLANDS LÄN</t>
        </is>
      </c>
      <c r="E1170" t="inlineStr">
        <is>
          <t>ÅNGE</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4592-2026</t>
        </is>
      </c>
      <c r="B1171" s="1" t="n">
        <v>46048.34451388889</v>
      </c>
      <c r="C1171" s="1" t="n">
        <v>46061</v>
      </c>
      <c r="D1171" t="inlineStr">
        <is>
          <t>VÄSTERNORRLANDS LÄN</t>
        </is>
      </c>
      <c r="E1171" t="inlineStr">
        <is>
          <t>ÅNGE</t>
        </is>
      </c>
      <c r="F1171" t="inlineStr">
        <is>
          <t>SCA</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62101-2025</t>
        </is>
      </c>
      <c r="B1172" s="1" t="n">
        <v>46006.40664351852</v>
      </c>
      <c r="C1172" s="1" t="n">
        <v>46061</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60860-2022</t>
        </is>
      </c>
      <c r="B1173" s="1" t="n">
        <v>44914</v>
      </c>
      <c r="C1173" s="1" t="n">
        <v>46061</v>
      </c>
      <c r="D1173" t="inlineStr">
        <is>
          <t>VÄSTERNORRLANDS LÄN</t>
        </is>
      </c>
      <c r="E1173" t="inlineStr">
        <is>
          <t>ÅNGE</t>
        </is>
      </c>
      <c r="F1173" t="inlineStr">
        <is>
          <t>Holmen skog AB</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62257-2025</t>
        </is>
      </c>
      <c r="B1174" s="1" t="n">
        <v>46006.61524305555</v>
      </c>
      <c r="C1174" s="1" t="n">
        <v>46061</v>
      </c>
      <c r="D1174" t="inlineStr">
        <is>
          <t>VÄSTERNORRLANDS LÄN</t>
        </is>
      </c>
      <c r="E1174" t="inlineStr">
        <is>
          <t>ÅNGE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46061</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62160-2025</t>
        </is>
      </c>
      <c r="B1176" s="1" t="n">
        <v>46006.49094907408</v>
      </c>
      <c r="C1176" s="1" t="n">
        <v>46061</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62084-2025</t>
        </is>
      </c>
      <c r="B1177" s="1" t="n">
        <v>46006.37449074074</v>
      </c>
      <c r="C1177" s="1" t="n">
        <v>46061</v>
      </c>
      <c r="D1177" t="inlineStr">
        <is>
          <t>VÄSTERNORRLANDS LÄN</t>
        </is>
      </c>
      <c r="E1177" t="inlineStr">
        <is>
          <t>ÅNGE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4591-2026</t>
        </is>
      </c>
      <c r="B1178" s="1" t="n">
        <v>46048.34443287037</v>
      </c>
      <c r="C1178" s="1" t="n">
        <v>46061</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4593-2026</t>
        </is>
      </c>
      <c r="B1179" s="1" t="n">
        <v>46048.3446412037</v>
      </c>
      <c r="C1179" s="1" t="n">
        <v>46061</v>
      </c>
      <c r="D1179" t="inlineStr">
        <is>
          <t>VÄSTERNORRLANDS LÄN</t>
        </is>
      </c>
      <c r="E1179" t="inlineStr">
        <is>
          <t>ÅNGE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41284-2024</t>
        </is>
      </c>
      <c r="B1180" s="1" t="n">
        <v>45559.59520833333</v>
      </c>
      <c r="C1180" s="1" t="n">
        <v>46061</v>
      </c>
      <c r="D1180" t="inlineStr">
        <is>
          <t>VÄSTERNORRLANDS LÄN</t>
        </is>
      </c>
      <c r="E1180" t="inlineStr">
        <is>
          <t>ÅNGE</t>
        </is>
      </c>
      <c r="F1180" t="inlineStr">
        <is>
          <t>SCA</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5136-2026</t>
        </is>
      </c>
      <c r="B1181" s="1" t="n">
        <v>46049.59420138889</v>
      </c>
      <c r="C1181" s="1" t="n">
        <v>46061</v>
      </c>
      <c r="D1181" t="inlineStr">
        <is>
          <t>VÄSTERNORRLANDS LÄN</t>
        </is>
      </c>
      <c r="E1181" t="inlineStr">
        <is>
          <t>ÅNGE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5223-2026</t>
        </is>
      </c>
      <c r="B1182" s="1" t="n">
        <v>46049.79012731482</v>
      </c>
      <c r="C1182" s="1" t="n">
        <v>46061</v>
      </c>
      <c r="D1182" t="inlineStr">
        <is>
          <t>VÄSTERNORRLANDS LÄN</t>
        </is>
      </c>
      <c r="E1182" t="inlineStr">
        <is>
          <t>ÅNGE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4612-2026</t>
        </is>
      </c>
      <c r="B1183" s="1" t="n">
        <v>46048.36509259259</v>
      </c>
      <c r="C1183" s="1" t="n">
        <v>46061</v>
      </c>
      <c r="D1183" t="inlineStr">
        <is>
          <t>VÄSTERNORRLANDS LÄN</t>
        </is>
      </c>
      <c r="E1183" t="inlineStr">
        <is>
          <t>ÅNGE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39682-2024</t>
        </is>
      </c>
      <c r="B1184" s="1" t="n">
        <v>45552</v>
      </c>
      <c r="C1184" s="1" t="n">
        <v>46061</v>
      </c>
      <c r="D1184" t="inlineStr">
        <is>
          <t>VÄSTERNORRLANDS LÄN</t>
        </is>
      </c>
      <c r="E1184" t="inlineStr">
        <is>
          <t>ÅNGE</t>
        </is>
      </c>
      <c r="G1184" t="n">
        <v>35.4</v>
      </c>
      <c r="H1184" t="n">
        <v>0</v>
      </c>
      <c r="I1184" t="n">
        <v>0</v>
      </c>
      <c r="J1184" t="n">
        <v>0</v>
      </c>
      <c r="K1184" t="n">
        <v>0</v>
      </c>
      <c r="L1184" t="n">
        <v>0</v>
      </c>
      <c r="M1184" t="n">
        <v>0</v>
      </c>
      <c r="N1184" t="n">
        <v>0</v>
      </c>
      <c r="O1184" t="n">
        <v>0</v>
      </c>
      <c r="P1184" t="n">
        <v>0</v>
      </c>
      <c r="Q1184" t="n">
        <v>0</v>
      </c>
      <c r="R1184" s="2" t="inlineStr"/>
    </row>
    <row r="1185" ht="15" customHeight="1">
      <c r="A1185" t="inlineStr">
        <is>
          <t>A 5135-2026</t>
        </is>
      </c>
      <c r="B1185" s="1" t="n">
        <v>46049.59417824074</v>
      </c>
      <c r="C1185" s="1" t="n">
        <v>46061</v>
      </c>
      <c r="D1185" t="inlineStr">
        <is>
          <t>VÄSTERNORRLANDS LÄN</t>
        </is>
      </c>
      <c r="E1185" t="inlineStr">
        <is>
          <t>ÅNGE</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19798-2025</t>
        </is>
      </c>
      <c r="B1186" s="1" t="n">
        <v>45771.44824074074</v>
      </c>
      <c r="C1186" s="1" t="n">
        <v>46061</v>
      </c>
      <c r="D1186" t="inlineStr">
        <is>
          <t>VÄSTERNORRLANDS LÄN</t>
        </is>
      </c>
      <c r="E1186" t="inlineStr">
        <is>
          <t>ÅNGE</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5673-2026</t>
        </is>
      </c>
      <c r="B1187" s="1" t="n">
        <v>46051.4699537037</v>
      </c>
      <c r="C1187" s="1" t="n">
        <v>46061</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2984-2025</t>
        </is>
      </c>
      <c r="B1188" s="1" t="n">
        <v>45678.51094907407</v>
      </c>
      <c r="C1188" s="1" t="n">
        <v>46061</v>
      </c>
      <c r="D1188" t="inlineStr">
        <is>
          <t>VÄSTERNORRLANDS LÄN</t>
        </is>
      </c>
      <c r="E1188" t="inlineStr">
        <is>
          <t>ÅNGE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5388-2026</t>
        </is>
      </c>
      <c r="B1189" s="1" t="n">
        <v>46050.46769675926</v>
      </c>
      <c r="C1189" s="1" t="n">
        <v>46061</v>
      </c>
      <c r="D1189" t="inlineStr">
        <is>
          <t>VÄSTERNORRLANDS LÄN</t>
        </is>
      </c>
      <c r="E1189" t="inlineStr">
        <is>
          <t>ÅNGE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5478-2026</t>
        </is>
      </c>
      <c r="B1190" s="1" t="n">
        <v>46050.60172453704</v>
      </c>
      <c r="C1190" s="1" t="n">
        <v>46061</v>
      </c>
      <c r="D1190" t="inlineStr">
        <is>
          <t>VÄSTERNORRLANDS LÄN</t>
        </is>
      </c>
      <c r="E1190" t="inlineStr">
        <is>
          <t>ÅNGE</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3133-2024</t>
        </is>
      </c>
      <c r="B1191" s="1" t="n">
        <v>45316.55885416667</v>
      </c>
      <c r="C1191" s="1" t="n">
        <v>46061</v>
      </c>
      <c r="D1191" t="inlineStr">
        <is>
          <t>VÄSTERNORRLANDS LÄN</t>
        </is>
      </c>
      <c r="E1191" t="inlineStr">
        <is>
          <t>ÅNGE</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62661-2025</t>
        </is>
      </c>
      <c r="B1192" s="1" t="n">
        <v>46008.42761574074</v>
      </c>
      <c r="C1192" s="1" t="n">
        <v>46061</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5470-2026</t>
        </is>
      </c>
      <c r="B1193" s="1" t="n">
        <v>46050.59548611111</v>
      </c>
      <c r="C1193" s="1" t="n">
        <v>46061</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1826-2026</t>
        </is>
      </c>
      <c r="B1194" s="1" t="n">
        <v>46035</v>
      </c>
      <c r="C1194" s="1" t="n">
        <v>46061</v>
      </c>
      <c r="D1194" t="inlineStr">
        <is>
          <t>VÄSTERNORRLANDS LÄN</t>
        </is>
      </c>
      <c r="E1194" t="inlineStr">
        <is>
          <t>ÅNGE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56569-2024</t>
        </is>
      </c>
      <c r="B1195" s="1" t="n">
        <v>45625</v>
      </c>
      <c r="C1195" s="1" t="n">
        <v>46061</v>
      </c>
      <c r="D1195" t="inlineStr">
        <is>
          <t>VÄSTERNORRLANDS LÄN</t>
        </is>
      </c>
      <c r="E1195" t="inlineStr">
        <is>
          <t>ÅNGE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5671-2026</t>
        </is>
      </c>
      <c r="B1196" s="1" t="n">
        <v>46051.46965277778</v>
      </c>
      <c r="C1196" s="1" t="n">
        <v>46061</v>
      </c>
      <c r="D1196" t="inlineStr">
        <is>
          <t>VÄSTERNORRLANDS LÄN</t>
        </is>
      </c>
      <c r="E1196" t="inlineStr">
        <is>
          <t>ÅNGE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5670-2026</t>
        </is>
      </c>
      <c r="B1197" s="1" t="n">
        <v>46051.46958333333</v>
      </c>
      <c r="C1197" s="1" t="n">
        <v>46061</v>
      </c>
      <c r="D1197" t="inlineStr">
        <is>
          <t>VÄSTERNORRLANDS LÄN</t>
        </is>
      </c>
      <c r="E1197" t="inlineStr">
        <is>
          <t>ÅNGE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5672-2026</t>
        </is>
      </c>
      <c r="B1198" s="1" t="n">
        <v>46051.46989583333</v>
      </c>
      <c r="C1198" s="1" t="n">
        <v>46061</v>
      </c>
      <c r="D1198" t="inlineStr">
        <is>
          <t>VÄSTERNORRLANDS LÄN</t>
        </is>
      </c>
      <c r="E1198" t="inlineStr">
        <is>
          <t>ÅNGE</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63092-2025</t>
        </is>
      </c>
      <c r="B1199" s="1" t="n">
        <v>46009.67795138889</v>
      </c>
      <c r="C1199" s="1" t="n">
        <v>46061</v>
      </c>
      <c r="D1199" t="inlineStr">
        <is>
          <t>VÄSTERNORRLANDS LÄN</t>
        </is>
      </c>
      <c r="E1199" t="inlineStr">
        <is>
          <t>ÅNGE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5391-2026</t>
        </is>
      </c>
      <c r="B1200" s="1" t="n">
        <v>46050.47145833333</v>
      </c>
      <c r="C1200" s="1" t="n">
        <v>46061</v>
      </c>
      <c r="D1200" t="inlineStr">
        <is>
          <t>VÄSTERNORRLANDS LÄN</t>
        </is>
      </c>
      <c r="E1200" t="inlineStr">
        <is>
          <t>ÅNGE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62763-2025</t>
        </is>
      </c>
      <c r="B1201" s="1" t="n">
        <v>46008.59434027778</v>
      </c>
      <c r="C1201" s="1" t="n">
        <v>46061</v>
      </c>
      <c r="D1201" t="inlineStr">
        <is>
          <t>VÄSTERNORRLANDS LÄN</t>
        </is>
      </c>
      <c r="E1201" t="inlineStr">
        <is>
          <t>ÅNGE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62793-2025</t>
        </is>
      </c>
      <c r="B1202" s="1" t="n">
        <v>46008.63625</v>
      </c>
      <c r="C1202" s="1" t="n">
        <v>46061</v>
      </c>
      <c r="D1202" t="inlineStr">
        <is>
          <t>VÄSTERNORRLANDS LÄN</t>
        </is>
      </c>
      <c r="E1202" t="inlineStr">
        <is>
          <t>ÅNGE</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60950-2025</t>
        </is>
      </c>
      <c r="B1203" s="1" t="n">
        <v>45999</v>
      </c>
      <c r="C1203" s="1" t="n">
        <v>46061</v>
      </c>
      <c r="D1203" t="inlineStr">
        <is>
          <t>VÄSTERNORRLANDS LÄN</t>
        </is>
      </c>
      <c r="E1203" t="inlineStr">
        <is>
          <t>ÅNGE</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63173-2025</t>
        </is>
      </c>
      <c r="B1204" s="1" t="n">
        <v>46010.40679398148</v>
      </c>
      <c r="C1204" s="1" t="n">
        <v>46061</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53663-2022</t>
        </is>
      </c>
      <c r="B1205" s="1" t="n">
        <v>44879</v>
      </c>
      <c r="C1205" s="1" t="n">
        <v>46061</v>
      </c>
      <c r="D1205" t="inlineStr">
        <is>
          <t>VÄSTERNORRLANDS LÄN</t>
        </is>
      </c>
      <c r="E1205" t="inlineStr">
        <is>
          <t>ÅNGE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10089-2023</t>
        </is>
      </c>
      <c r="B1206" s="1" t="n">
        <v>44985</v>
      </c>
      <c r="C1206" s="1" t="n">
        <v>46061</v>
      </c>
      <c r="D1206" t="inlineStr">
        <is>
          <t>VÄSTERNORRLANDS LÄN</t>
        </is>
      </c>
      <c r="E1206" t="inlineStr">
        <is>
          <t>ÅNGE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10090-2023</t>
        </is>
      </c>
      <c r="B1207" s="1" t="n">
        <v>44985.94511574074</v>
      </c>
      <c r="C1207" s="1" t="n">
        <v>46061</v>
      </c>
      <c r="D1207" t="inlineStr">
        <is>
          <t>VÄSTERNORRLANDS LÄN</t>
        </is>
      </c>
      <c r="E1207" t="inlineStr">
        <is>
          <t>ÅNGE</t>
        </is>
      </c>
      <c r="F1207" t="inlineStr">
        <is>
          <t>SCA</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5637-2026</t>
        </is>
      </c>
      <c r="B1208" s="1" t="n">
        <v>46051</v>
      </c>
      <c r="C1208" s="1" t="n">
        <v>46061</v>
      </c>
      <c r="D1208" t="inlineStr">
        <is>
          <t>VÄSTERNORRLANDS LÄN</t>
        </is>
      </c>
      <c r="E1208" t="inlineStr">
        <is>
          <t>ÅNGE</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19997-2023</t>
        </is>
      </c>
      <c r="B1209" s="1" t="n">
        <v>45054</v>
      </c>
      <c r="C1209" s="1" t="n">
        <v>46061</v>
      </c>
      <c r="D1209" t="inlineStr">
        <is>
          <t>VÄSTERNORRLANDS LÄN</t>
        </is>
      </c>
      <c r="E1209" t="inlineStr">
        <is>
          <t>ÅNGE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38284-2022</t>
        </is>
      </c>
      <c r="B1210" s="1" t="n">
        <v>44812.55149305556</v>
      </c>
      <c r="C1210" s="1" t="n">
        <v>46061</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5882-2026</t>
        </is>
      </c>
      <c r="B1211" s="1" t="n">
        <v>46052.39703703704</v>
      </c>
      <c r="C1211" s="1" t="n">
        <v>46061</v>
      </c>
      <c r="D1211" t="inlineStr">
        <is>
          <t>VÄSTERNORRLANDS LÄN</t>
        </is>
      </c>
      <c r="E1211" t="inlineStr">
        <is>
          <t>ÅNGE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3811-2026</t>
        </is>
      </c>
      <c r="B1212" s="1" t="n">
        <v>46043</v>
      </c>
      <c r="C1212" s="1" t="n">
        <v>46061</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62336-2025</t>
        </is>
      </c>
      <c r="B1213" s="1" t="n">
        <v>46006</v>
      </c>
      <c r="C1213" s="1" t="n">
        <v>46061</v>
      </c>
      <c r="D1213" t="inlineStr">
        <is>
          <t>VÄSTERNORRLANDS LÄN</t>
        </is>
      </c>
      <c r="E1213" t="inlineStr">
        <is>
          <t>ÅNGE</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5393-2025</t>
        </is>
      </c>
      <c r="B1214" s="1" t="n">
        <v>45692.63574074074</v>
      </c>
      <c r="C1214" s="1" t="n">
        <v>46061</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57529-2024</t>
        </is>
      </c>
      <c r="B1215" s="1" t="n">
        <v>45630</v>
      </c>
      <c r="C1215" s="1" t="n">
        <v>46061</v>
      </c>
      <c r="D1215" t="inlineStr">
        <is>
          <t>VÄSTERNORRLANDS LÄN</t>
        </is>
      </c>
      <c r="E1215" t="inlineStr">
        <is>
          <t>ÅNGE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1769-2023</t>
        </is>
      </c>
      <c r="B1216" s="1" t="n">
        <v>44938.58025462963</v>
      </c>
      <c r="C1216" s="1" t="n">
        <v>46061</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32776-2022</t>
        </is>
      </c>
      <c r="B1217" s="1" t="n">
        <v>44783.94607638889</v>
      </c>
      <c r="C1217" s="1" t="n">
        <v>46061</v>
      </c>
      <c r="D1217" t="inlineStr">
        <is>
          <t>VÄSTERNORRLANDS LÄN</t>
        </is>
      </c>
      <c r="E1217" t="inlineStr">
        <is>
          <t>ÅNGE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4095-2023</t>
        </is>
      </c>
      <c r="B1218" s="1" t="n">
        <v>44952</v>
      </c>
      <c r="C1218" s="1" t="n">
        <v>46061</v>
      </c>
      <c r="D1218" t="inlineStr">
        <is>
          <t>VÄSTERNORRLANDS LÄN</t>
        </is>
      </c>
      <c r="E1218" t="inlineStr">
        <is>
          <t>ÅNGE</t>
        </is>
      </c>
      <c r="G1218" t="n">
        <v>13.4</v>
      </c>
      <c r="H1218" t="n">
        <v>0</v>
      </c>
      <c r="I1218" t="n">
        <v>0</v>
      </c>
      <c r="J1218" t="n">
        <v>0</v>
      </c>
      <c r="K1218" t="n">
        <v>0</v>
      </c>
      <c r="L1218" t="n">
        <v>0</v>
      </c>
      <c r="M1218" t="n">
        <v>0</v>
      </c>
      <c r="N1218" t="n">
        <v>0</v>
      </c>
      <c r="O1218" t="n">
        <v>0</v>
      </c>
      <c r="P1218" t="n">
        <v>0</v>
      </c>
      <c r="Q1218" t="n">
        <v>0</v>
      </c>
      <c r="R1218" s="2" t="inlineStr"/>
    </row>
    <row r="1219" ht="15" customHeight="1">
      <c r="A1219" t="inlineStr">
        <is>
          <t>A 25779-2023</t>
        </is>
      </c>
      <c r="B1219" s="1" t="n">
        <v>45090.47439814815</v>
      </c>
      <c r="C1219" s="1" t="n">
        <v>46061</v>
      </c>
      <c r="D1219" t="inlineStr">
        <is>
          <t>VÄSTERNORRLANDS LÄN</t>
        </is>
      </c>
      <c r="E1219" t="inlineStr">
        <is>
          <t>ÅNGE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23225-2024</t>
        </is>
      </c>
      <c r="B1220" s="1" t="n">
        <v>45452.9490162037</v>
      </c>
      <c r="C1220" s="1" t="n">
        <v>46061</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29696-2024</t>
        </is>
      </c>
      <c r="B1221" s="1" t="n">
        <v>45484.94524305555</v>
      </c>
      <c r="C1221" s="1" t="n">
        <v>46061</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63686-2025</t>
        </is>
      </c>
      <c r="B1222" s="1" t="n">
        <v>46014.53172453704</v>
      </c>
      <c r="C1222" s="1" t="n">
        <v>46061</v>
      </c>
      <c r="D1222" t="inlineStr">
        <is>
          <t>VÄSTERNORRLANDS LÄN</t>
        </is>
      </c>
      <c r="E1222" t="inlineStr">
        <is>
          <t>ÅNGE</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6462-2024</t>
        </is>
      </c>
      <c r="B1223" s="1" t="n">
        <v>45338</v>
      </c>
      <c r="C1223" s="1" t="n">
        <v>46061</v>
      </c>
      <c r="D1223" t="inlineStr">
        <is>
          <t>VÄSTERNORRLANDS LÄN</t>
        </is>
      </c>
      <c r="E1223" t="inlineStr">
        <is>
          <t>ÅNGE</t>
        </is>
      </c>
      <c r="F1223" t="inlineStr">
        <is>
          <t>Kyrkan</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6918-2026</t>
        </is>
      </c>
      <c r="B1224" s="1" t="n">
        <v>46057.53289351852</v>
      </c>
      <c r="C1224" s="1" t="n">
        <v>46061</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6932-2026</t>
        </is>
      </c>
      <c r="B1225" s="1" t="n">
        <v>46057.55331018518</v>
      </c>
      <c r="C1225" s="1" t="n">
        <v>46061</v>
      </c>
      <c r="D1225" t="inlineStr">
        <is>
          <t>VÄSTERNORRLANDS LÄN</t>
        </is>
      </c>
      <c r="E1225" t="inlineStr">
        <is>
          <t>ÅNGE</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6795-2026</t>
        </is>
      </c>
      <c r="B1226" s="1" t="n">
        <v>46057.34429398148</v>
      </c>
      <c r="C1226" s="1" t="n">
        <v>46061</v>
      </c>
      <c r="D1226" t="inlineStr">
        <is>
          <t>VÄSTERNORRLANDS LÄN</t>
        </is>
      </c>
      <c r="E1226" t="inlineStr">
        <is>
          <t>ÅNGE</t>
        </is>
      </c>
      <c r="F1226" t="inlineStr">
        <is>
          <t>SCA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6797-2026</t>
        </is>
      </c>
      <c r="B1227" s="1" t="n">
        <v>46057.34459490741</v>
      </c>
      <c r="C1227" s="1" t="n">
        <v>46061</v>
      </c>
      <c r="D1227" t="inlineStr">
        <is>
          <t>VÄSTERNORRLANDS LÄN</t>
        </is>
      </c>
      <c r="E1227" t="inlineStr">
        <is>
          <t>ÅNGE</t>
        </is>
      </c>
      <c r="F1227" t="inlineStr">
        <is>
          <t>SCA</t>
        </is>
      </c>
      <c r="G1227" t="n">
        <v>10.7</v>
      </c>
      <c r="H1227" t="n">
        <v>0</v>
      </c>
      <c r="I1227" t="n">
        <v>0</v>
      </c>
      <c r="J1227" t="n">
        <v>0</v>
      </c>
      <c r="K1227" t="n">
        <v>0</v>
      </c>
      <c r="L1227" t="n">
        <v>0</v>
      </c>
      <c r="M1227" t="n">
        <v>0</v>
      </c>
      <c r="N1227" t="n">
        <v>0</v>
      </c>
      <c r="O1227" t="n">
        <v>0</v>
      </c>
      <c r="P1227" t="n">
        <v>0</v>
      </c>
      <c r="Q1227" t="n">
        <v>0</v>
      </c>
      <c r="R1227" s="2" t="inlineStr"/>
    </row>
    <row r="1228" ht="15" customHeight="1">
      <c r="A1228" t="inlineStr">
        <is>
          <t>A 5669-2026</t>
        </is>
      </c>
      <c r="B1228" s="1" t="n">
        <v>46051.46931712963</v>
      </c>
      <c r="C1228" s="1" t="n">
        <v>46061</v>
      </c>
      <c r="D1228" t="inlineStr">
        <is>
          <t>VÄSTERNORRLANDS LÄN</t>
        </is>
      </c>
      <c r="E1228" t="inlineStr">
        <is>
          <t>ÅNGE</t>
        </is>
      </c>
      <c r="F1228" t="inlineStr">
        <is>
          <t>SCA</t>
        </is>
      </c>
      <c r="G1228" t="n">
        <v>13.6</v>
      </c>
      <c r="H1228" t="n">
        <v>0</v>
      </c>
      <c r="I1228" t="n">
        <v>0</v>
      </c>
      <c r="J1228" t="n">
        <v>0</v>
      </c>
      <c r="K1228" t="n">
        <v>0</v>
      </c>
      <c r="L1228" t="n">
        <v>0</v>
      </c>
      <c r="M1228" t="n">
        <v>0</v>
      </c>
      <c r="N1228" t="n">
        <v>0</v>
      </c>
      <c r="O1228" t="n">
        <v>0</v>
      </c>
      <c r="P1228" t="n">
        <v>0</v>
      </c>
      <c r="Q1228" t="n">
        <v>0</v>
      </c>
      <c r="R1228" s="2" t="inlineStr"/>
    </row>
    <row r="1229" ht="15" customHeight="1">
      <c r="A1229" t="inlineStr">
        <is>
          <t>A 6542-2026</t>
        </is>
      </c>
      <c r="B1229" s="1" t="n">
        <v>46056.42770833334</v>
      </c>
      <c r="C1229" s="1" t="n">
        <v>46061</v>
      </c>
      <c r="D1229" t="inlineStr">
        <is>
          <t>VÄSTERNORRLANDS LÄN</t>
        </is>
      </c>
      <c r="E1229" t="inlineStr">
        <is>
          <t>ÅNGE</t>
        </is>
      </c>
      <c r="F1229" t="inlineStr">
        <is>
          <t>SCA</t>
        </is>
      </c>
      <c r="G1229" t="n">
        <v>28.5</v>
      </c>
      <c r="H1229" t="n">
        <v>0</v>
      </c>
      <c r="I1229" t="n">
        <v>0</v>
      </c>
      <c r="J1229" t="n">
        <v>0</v>
      </c>
      <c r="K1229" t="n">
        <v>0</v>
      </c>
      <c r="L1229" t="n">
        <v>0</v>
      </c>
      <c r="M1229" t="n">
        <v>0</v>
      </c>
      <c r="N1229" t="n">
        <v>0</v>
      </c>
      <c r="O1229" t="n">
        <v>0</v>
      </c>
      <c r="P1229" t="n">
        <v>0</v>
      </c>
      <c r="Q1229" t="n">
        <v>0</v>
      </c>
      <c r="R1229" s="2" t="inlineStr"/>
    </row>
    <row r="1230" ht="15" customHeight="1">
      <c r="A1230" t="inlineStr">
        <is>
          <t>A 6547-2026</t>
        </is>
      </c>
      <c r="B1230" s="1" t="n">
        <v>46056.42825231481</v>
      </c>
      <c r="C1230" s="1" t="n">
        <v>46061</v>
      </c>
      <c r="D1230" t="inlineStr">
        <is>
          <t>VÄSTERNORRLANDS LÄN</t>
        </is>
      </c>
      <c r="E1230" t="inlineStr">
        <is>
          <t>ÅNGE</t>
        </is>
      </c>
      <c r="F1230" t="inlineStr">
        <is>
          <t>SCA</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26018-2024</t>
        </is>
      </c>
      <c r="B1231" s="1" t="n">
        <v>45467.95998842592</v>
      </c>
      <c r="C1231" s="1" t="n">
        <v>46061</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26021-2024</t>
        </is>
      </c>
      <c r="B1232" s="1" t="n">
        <v>45467</v>
      </c>
      <c r="C1232" s="1" t="n">
        <v>46061</v>
      </c>
      <c r="D1232" t="inlineStr">
        <is>
          <t>VÄSTERNORRLANDS LÄN</t>
        </is>
      </c>
      <c r="E1232" t="inlineStr">
        <is>
          <t>ÅNGE</t>
        </is>
      </c>
      <c r="F1232" t="inlineStr">
        <is>
          <t>SCA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29673-2024</t>
        </is>
      </c>
      <c r="B1233" s="1" t="n">
        <v>45484.94210648148</v>
      </c>
      <c r="C1233" s="1" t="n">
        <v>46061</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48690-2024</t>
        </is>
      </c>
      <c r="B1234" s="1" t="n">
        <v>45593.50704861111</v>
      </c>
      <c r="C1234" s="1" t="n">
        <v>46061</v>
      </c>
      <c r="D1234" t="inlineStr">
        <is>
          <t>VÄSTERNORRLANDS LÄN</t>
        </is>
      </c>
      <c r="E1234" t="inlineStr">
        <is>
          <t>ÅNGE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11399-2025</t>
        </is>
      </c>
      <c r="B1235" s="1" t="n">
        <v>45726.57364583333</v>
      </c>
      <c r="C1235" s="1" t="n">
        <v>46061</v>
      </c>
      <c r="D1235" t="inlineStr">
        <is>
          <t>VÄSTERNORRLANDS LÄN</t>
        </is>
      </c>
      <c r="E1235" t="inlineStr">
        <is>
          <t>ÅNGE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39021-2024</t>
        </is>
      </c>
      <c r="B1236" s="1" t="n">
        <v>45548</v>
      </c>
      <c r="C1236" s="1" t="n">
        <v>46061</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27915-2024</t>
        </is>
      </c>
      <c r="B1237" s="1" t="n">
        <v>45475</v>
      </c>
      <c r="C1237" s="1" t="n">
        <v>46061</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63642-2025</t>
        </is>
      </c>
      <c r="B1238" s="1" t="n">
        <v>46014.41258101852</v>
      </c>
      <c r="C1238" s="1" t="n">
        <v>46061</v>
      </c>
      <c r="D1238" t="inlineStr">
        <is>
          <t>VÄSTERNORRLANDS LÄN</t>
        </is>
      </c>
      <c r="E1238" t="inlineStr">
        <is>
          <t>ÅNGE</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2433-2024</t>
        </is>
      </c>
      <c r="B1239" s="1" t="n">
        <v>45310</v>
      </c>
      <c r="C1239" s="1" t="n">
        <v>46061</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6975-2026</t>
        </is>
      </c>
      <c r="B1240" s="1" t="n">
        <v>46057.59436342592</v>
      </c>
      <c r="C1240" s="1" t="n">
        <v>46061</v>
      </c>
      <c r="D1240" t="inlineStr">
        <is>
          <t>VÄSTERNORRLANDS LÄN</t>
        </is>
      </c>
      <c r="E1240" t="inlineStr">
        <is>
          <t>ÅNGE</t>
        </is>
      </c>
      <c r="F1240" t="inlineStr">
        <is>
          <t>SCA</t>
        </is>
      </c>
      <c r="G1240" t="n">
        <v>20.7</v>
      </c>
      <c r="H1240" t="n">
        <v>0</v>
      </c>
      <c r="I1240" t="n">
        <v>0</v>
      </c>
      <c r="J1240" t="n">
        <v>0</v>
      </c>
      <c r="K1240" t="n">
        <v>0</v>
      </c>
      <c r="L1240" t="n">
        <v>0</v>
      </c>
      <c r="M1240" t="n">
        <v>0</v>
      </c>
      <c r="N1240" t="n">
        <v>0</v>
      </c>
      <c r="O1240" t="n">
        <v>0</v>
      </c>
      <c r="P1240" t="n">
        <v>0</v>
      </c>
      <c r="Q1240" t="n">
        <v>0</v>
      </c>
      <c r="R1240" s="2" t="inlineStr"/>
    </row>
    <row r="1241" ht="15" customHeight="1">
      <c r="A1241" t="inlineStr">
        <is>
          <t>A 57846-2022</t>
        </is>
      </c>
      <c r="B1241" s="1" t="n">
        <v>44897.95008101852</v>
      </c>
      <c r="C1241" s="1" t="n">
        <v>46061</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5492-2026</t>
        </is>
      </c>
      <c r="B1242" s="1" t="n">
        <v>46050</v>
      </c>
      <c r="C1242" s="1" t="n">
        <v>46061</v>
      </c>
      <c r="D1242" t="inlineStr">
        <is>
          <t>VÄSTERNORRLANDS LÄN</t>
        </is>
      </c>
      <c r="E1242" t="inlineStr">
        <is>
          <t>ÅNGE</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46249-2024</t>
        </is>
      </c>
      <c r="B1243" s="1" t="n">
        <v>45581.59409722222</v>
      </c>
      <c r="C1243" s="1" t="n">
        <v>46061</v>
      </c>
      <c r="D1243" t="inlineStr">
        <is>
          <t>VÄSTERNORRLANDS LÄN</t>
        </is>
      </c>
      <c r="E1243" t="inlineStr">
        <is>
          <t>ÅNGE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7016-2026</t>
        </is>
      </c>
      <c r="B1244" s="1" t="n">
        <v>46057.64766203704</v>
      </c>
      <c r="C1244" s="1" t="n">
        <v>46061</v>
      </c>
      <c r="D1244" t="inlineStr">
        <is>
          <t>VÄSTERNORRLANDS LÄN</t>
        </is>
      </c>
      <c r="E1244" t="inlineStr">
        <is>
          <t>ÅNGE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6692-2026</t>
        </is>
      </c>
      <c r="B1245" s="1" t="n">
        <v>46056.63623842593</v>
      </c>
      <c r="C1245" s="1" t="n">
        <v>46061</v>
      </c>
      <c r="D1245" t="inlineStr">
        <is>
          <t>VÄSTERNORRLANDS LÄN</t>
        </is>
      </c>
      <c r="E1245" t="inlineStr">
        <is>
          <t>ÅNGE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63652-2025</t>
        </is>
      </c>
      <c r="B1246" s="1" t="n">
        <v>46014.43987268519</v>
      </c>
      <c r="C1246" s="1" t="n">
        <v>46061</v>
      </c>
      <c r="D1246" t="inlineStr">
        <is>
          <t>VÄSTERNORRLANDS LÄN</t>
        </is>
      </c>
      <c r="E1246" t="inlineStr">
        <is>
          <t>ÅNGE</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63673-2025</t>
        </is>
      </c>
      <c r="B1247" s="1" t="n">
        <v>46014.47594907408</v>
      </c>
      <c r="C1247" s="1" t="n">
        <v>46061</v>
      </c>
      <c r="D1247" t="inlineStr">
        <is>
          <t>VÄSTERNORRLANDS LÄN</t>
        </is>
      </c>
      <c r="E1247" t="inlineStr">
        <is>
          <t>ÅNGE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8868-2023</t>
        </is>
      </c>
      <c r="B1248" s="1" t="n">
        <v>44978</v>
      </c>
      <c r="C1248" s="1" t="n">
        <v>46061</v>
      </c>
      <c r="D1248" t="inlineStr">
        <is>
          <t>VÄSTERNORRLANDS LÄN</t>
        </is>
      </c>
      <c r="E1248" t="inlineStr">
        <is>
          <t>ÅNGE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7005-2026</t>
        </is>
      </c>
      <c r="B1249" s="1" t="n">
        <v>46057.63594907407</v>
      </c>
      <c r="C1249" s="1" t="n">
        <v>46061</v>
      </c>
      <c r="D1249" t="inlineStr">
        <is>
          <t>VÄSTERNORRLANDS LÄN</t>
        </is>
      </c>
      <c r="E1249" t="inlineStr">
        <is>
          <t>ÅNGE</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6883-2026</t>
        </is>
      </c>
      <c r="B1250" s="1" t="n">
        <v>46057.46607638889</v>
      </c>
      <c r="C1250" s="1" t="n">
        <v>46061</v>
      </c>
      <c r="D1250" t="inlineStr">
        <is>
          <t>VÄSTERNORRLANDS LÄN</t>
        </is>
      </c>
      <c r="E1250" t="inlineStr">
        <is>
          <t>ÅNGE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6901-2026</t>
        </is>
      </c>
      <c r="B1251" s="1" t="n">
        <v>46057.4903587963</v>
      </c>
      <c r="C1251" s="1" t="n">
        <v>46061</v>
      </c>
      <c r="D1251" t="inlineStr">
        <is>
          <t>VÄSTERNORRLANDS LÄN</t>
        </is>
      </c>
      <c r="E1251" t="inlineStr">
        <is>
          <t>ÅNGE</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7026-2026</t>
        </is>
      </c>
      <c r="B1252" s="1" t="n">
        <v>46057.67420138889</v>
      </c>
      <c r="C1252" s="1" t="n">
        <v>46061</v>
      </c>
      <c r="D1252" t="inlineStr">
        <is>
          <t>VÄSTERNORRLANDS LÄN</t>
        </is>
      </c>
      <c r="E1252" t="inlineStr">
        <is>
          <t>ÅNGE</t>
        </is>
      </c>
      <c r="G1252" t="n">
        <v>18.4</v>
      </c>
      <c r="H1252" t="n">
        <v>0</v>
      </c>
      <c r="I1252" t="n">
        <v>0</v>
      </c>
      <c r="J1252" t="n">
        <v>0</v>
      </c>
      <c r="K1252" t="n">
        <v>0</v>
      </c>
      <c r="L1252" t="n">
        <v>0</v>
      </c>
      <c r="M1252" t="n">
        <v>0</v>
      </c>
      <c r="N1252" t="n">
        <v>0</v>
      </c>
      <c r="O1252" t="n">
        <v>0</v>
      </c>
      <c r="P1252" t="n">
        <v>0</v>
      </c>
      <c r="Q1252" t="n">
        <v>0</v>
      </c>
      <c r="R1252" s="2" t="inlineStr"/>
    </row>
    <row r="1253" ht="15" customHeight="1">
      <c r="A1253" t="inlineStr">
        <is>
          <t>A 65229-2021</t>
        </is>
      </c>
      <c r="B1253" s="1" t="n">
        <v>44515</v>
      </c>
      <c r="C1253" s="1" t="n">
        <v>46061</v>
      </c>
      <c r="D1253" t="inlineStr">
        <is>
          <t>VÄSTERNORRLANDS LÄN</t>
        </is>
      </c>
      <c r="E1253" t="inlineStr">
        <is>
          <t>ÅNGE</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57291-2022</t>
        </is>
      </c>
      <c r="B1254" s="1" t="n">
        <v>44895</v>
      </c>
      <c r="C1254" s="1" t="n">
        <v>46061</v>
      </c>
      <c r="D1254" t="inlineStr">
        <is>
          <t>VÄSTERNORRLANDS LÄN</t>
        </is>
      </c>
      <c r="E1254" t="inlineStr">
        <is>
          <t>ÅNGE</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4883-2023</t>
        </is>
      </c>
      <c r="B1255" s="1" t="n">
        <v>44957</v>
      </c>
      <c r="C1255" s="1" t="n">
        <v>46061</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64945-2023</t>
        </is>
      </c>
      <c r="B1256" s="1" t="n">
        <v>45282.94668981482</v>
      </c>
      <c r="C1256" s="1" t="n">
        <v>46061</v>
      </c>
      <c r="D1256" t="inlineStr">
        <is>
          <t>VÄSTERNORRLANDS LÄN</t>
        </is>
      </c>
      <c r="E1256" t="inlineStr">
        <is>
          <t>ÅNGE</t>
        </is>
      </c>
      <c r="F1256" t="inlineStr">
        <is>
          <t>SCA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62092-2025</t>
        </is>
      </c>
      <c r="B1257" s="1" t="n">
        <v>46006.38613425926</v>
      </c>
      <c r="C1257" s="1" t="n">
        <v>46061</v>
      </c>
      <c r="D1257" t="inlineStr">
        <is>
          <t>VÄSTERNORRLANDS LÄN</t>
        </is>
      </c>
      <c r="E1257" t="inlineStr">
        <is>
          <t>ÅNGE</t>
        </is>
      </c>
      <c r="F1257" t="inlineStr">
        <is>
          <t>SCA</t>
        </is>
      </c>
      <c r="G1257" t="n">
        <v>16.3</v>
      </c>
      <c r="H1257" t="n">
        <v>0</v>
      </c>
      <c r="I1257" t="n">
        <v>0</v>
      </c>
      <c r="J1257" t="n">
        <v>0</v>
      </c>
      <c r="K1257" t="n">
        <v>0</v>
      </c>
      <c r="L1257" t="n">
        <v>0</v>
      </c>
      <c r="M1257" t="n">
        <v>0</v>
      </c>
      <c r="N1257" t="n">
        <v>0</v>
      </c>
      <c r="O1257" t="n">
        <v>0</v>
      </c>
      <c r="P1257" t="n">
        <v>0</v>
      </c>
      <c r="Q1257" t="n">
        <v>0</v>
      </c>
      <c r="R1257" s="2" t="inlineStr"/>
    </row>
    <row r="1258" ht="15" customHeight="1">
      <c r="A1258" t="inlineStr">
        <is>
          <t>A 26951-2024</t>
        </is>
      </c>
      <c r="B1258" s="1" t="n">
        <v>45470.96991898148</v>
      </c>
      <c r="C1258" s="1" t="n">
        <v>46061</v>
      </c>
      <c r="D1258" t="inlineStr">
        <is>
          <t>VÄSTERNORRLANDS LÄN</t>
        </is>
      </c>
      <c r="E1258" t="inlineStr">
        <is>
          <t>ÅNGE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26952-2024</t>
        </is>
      </c>
      <c r="B1259" s="1" t="n">
        <v>45470</v>
      </c>
      <c r="C1259" s="1" t="n">
        <v>46061</v>
      </c>
      <c r="D1259" t="inlineStr">
        <is>
          <t>VÄSTERNORRLANDS LÄN</t>
        </is>
      </c>
      <c r="E1259" t="inlineStr">
        <is>
          <t>ÅNGE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7547-2026</t>
        </is>
      </c>
      <c r="B1260" s="1" t="n">
        <v>46059.67755787037</v>
      </c>
      <c r="C1260" s="1" t="n">
        <v>46061</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56399-2022</t>
        </is>
      </c>
      <c r="B1261" s="1" t="n">
        <v>44890</v>
      </c>
      <c r="C1261" s="1" t="n">
        <v>46061</v>
      </c>
      <c r="D1261" t="inlineStr">
        <is>
          <t>VÄSTERNORRLANDS LÄN</t>
        </is>
      </c>
      <c r="E1261" t="inlineStr">
        <is>
          <t>ÅNGE</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60960-2025</t>
        </is>
      </c>
      <c r="B1262" s="1" t="n">
        <v>45999</v>
      </c>
      <c r="C1262" s="1" t="n">
        <v>46061</v>
      </c>
      <c r="D1262" t="inlineStr">
        <is>
          <t>VÄSTERNORRLANDS LÄN</t>
        </is>
      </c>
      <c r="E1262" t="inlineStr">
        <is>
          <t>ÅNGE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49669-2025</t>
        </is>
      </c>
      <c r="B1263" s="1" t="n">
        <v>45939.63710648148</v>
      </c>
      <c r="C1263" s="1" t="n">
        <v>46061</v>
      </c>
      <c r="D1263" t="inlineStr">
        <is>
          <t>VÄSTERNORRLANDS LÄN</t>
        </is>
      </c>
      <c r="E1263" t="inlineStr">
        <is>
          <t>ÅNGE</t>
        </is>
      </c>
      <c r="F1263" t="inlineStr">
        <is>
          <t>SCA</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7184-2026</t>
        </is>
      </c>
      <c r="B1264" s="1" t="n">
        <v>46058.49020833334</v>
      </c>
      <c r="C1264" s="1" t="n">
        <v>46061</v>
      </c>
      <c r="D1264" t="inlineStr">
        <is>
          <t>VÄSTERNORRLANDS LÄN</t>
        </is>
      </c>
      <c r="E1264" t="inlineStr">
        <is>
          <t>ÅNGE</t>
        </is>
      </c>
      <c r="F1264" t="inlineStr">
        <is>
          <t>SCA</t>
        </is>
      </c>
      <c r="G1264" t="n">
        <v>19.3</v>
      </c>
      <c r="H1264" t="n">
        <v>0</v>
      </c>
      <c r="I1264" t="n">
        <v>0</v>
      </c>
      <c r="J1264" t="n">
        <v>0</v>
      </c>
      <c r="K1264" t="n">
        <v>0</v>
      </c>
      <c r="L1264" t="n">
        <v>0</v>
      </c>
      <c r="M1264" t="n">
        <v>0</v>
      </c>
      <c r="N1264" t="n">
        <v>0</v>
      </c>
      <c r="O1264" t="n">
        <v>0</v>
      </c>
      <c r="P1264" t="n">
        <v>0</v>
      </c>
      <c r="Q1264" t="n">
        <v>0</v>
      </c>
      <c r="R1264" s="2" t="inlineStr"/>
    </row>
    <row r="1265" ht="15" customHeight="1">
      <c r="A1265" t="inlineStr">
        <is>
          <t>A 23058-2024</t>
        </is>
      </c>
      <c r="B1265" s="1" t="n">
        <v>45450.44020833333</v>
      </c>
      <c r="C1265" s="1" t="n">
        <v>46061</v>
      </c>
      <c r="D1265" t="inlineStr">
        <is>
          <t>VÄSTERNORRLANDS LÄN</t>
        </is>
      </c>
      <c r="E1265" t="inlineStr">
        <is>
          <t>ÅNGE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62091-2025</t>
        </is>
      </c>
      <c r="B1266" s="1" t="n">
        <v>46006.3859375</v>
      </c>
      <c r="C1266" s="1" t="n">
        <v>46061</v>
      </c>
      <c r="D1266" t="inlineStr">
        <is>
          <t>VÄSTERNORRLANDS LÄN</t>
        </is>
      </c>
      <c r="E1266" t="inlineStr">
        <is>
          <t>ÅNGE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7284-2026</t>
        </is>
      </c>
      <c r="B1267" s="1" t="n">
        <v>46058.63614583333</v>
      </c>
      <c r="C1267" s="1" t="n">
        <v>46061</v>
      </c>
      <c r="D1267" t="inlineStr">
        <is>
          <t>VÄSTERNORRLANDS LÄN</t>
        </is>
      </c>
      <c r="E1267" t="inlineStr">
        <is>
          <t>ÅNGE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7480-2026</t>
        </is>
      </c>
      <c r="B1268" s="1" t="n">
        <v>46059.51086805556</v>
      </c>
      <c r="C1268" s="1" t="n">
        <v>46061</v>
      </c>
      <c r="D1268" t="inlineStr">
        <is>
          <t>VÄSTERNORRLANDS LÄN</t>
        </is>
      </c>
      <c r="E1268" t="inlineStr">
        <is>
          <t>ÅNGE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35979-2023</t>
        </is>
      </c>
      <c r="B1269" s="1" t="n">
        <v>45148</v>
      </c>
      <c r="C1269" s="1" t="n">
        <v>46061</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3986-2025</t>
        </is>
      </c>
      <c r="B1270" s="1" t="n">
        <v>45684.55262731481</v>
      </c>
      <c r="C1270" s="1" t="n">
        <v>46061</v>
      </c>
      <c r="D1270" t="inlineStr">
        <is>
          <t>VÄSTERNORRLANDS LÄN</t>
        </is>
      </c>
      <c r="E1270" t="inlineStr">
        <is>
          <t>ÅNGE</t>
        </is>
      </c>
      <c r="F1270" t="inlineStr">
        <is>
          <t>SCA</t>
        </is>
      </c>
      <c r="G1270" t="n">
        <v>10.5</v>
      </c>
      <c r="H1270" t="n">
        <v>0</v>
      </c>
      <c r="I1270" t="n">
        <v>0</v>
      </c>
      <c r="J1270" t="n">
        <v>0</v>
      </c>
      <c r="K1270" t="n">
        <v>0</v>
      </c>
      <c r="L1270" t="n">
        <v>0</v>
      </c>
      <c r="M1270" t="n">
        <v>0</v>
      </c>
      <c r="N1270" t="n">
        <v>0</v>
      </c>
      <c r="O1270" t="n">
        <v>0</v>
      </c>
      <c r="P1270" t="n">
        <v>0</v>
      </c>
      <c r="Q1270" t="n">
        <v>0</v>
      </c>
      <c r="R1270" s="2" t="inlineStr"/>
    </row>
    <row r="1271" ht="15" customHeight="1">
      <c r="A1271" t="inlineStr">
        <is>
          <t>A 50674-2024</t>
        </is>
      </c>
      <c r="B1271" s="1" t="n">
        <v>45601.85402777778</v>
      </c>
      <c r="C1271" s="1" t="n">
        <v>46061</v>
      </c>
      <c r="D1271" t="inlineStr">
        <is>
          <t>VÄSTERNORRLANDS LÄN</t>
        </is>
      </c>
      <c r="E1271" t="inlineStr">
        <is>
          <t>ÅNGE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4374-2026</t>
        </is>
      </c>
      <c r="B1272" s="1" t="n">
        <v>46045.5528125</v>
      </c>
      <c r="C1272" s="1" t="n">
        <v>46061</v>
      </c>
      <c r="D1272" t="inlineStr">
        <is>
          <t>VÄSTERNORRLANDS LÄN</t>
        </is>
      </c>
      <c r="E1272" t="inlineStr">
        <is>
          <t>ÅNGE</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7283-2026</t>
        </is>
      </c>
      <c r="B1273" s="1" t="n">
        <v>46058.63606481482</v>
      </c>
      <c r="C1273" s="1" t="n">
        <v>46061</v>
      </c>
      <c r="D1273" t="inlineStr">
        <is>
          <t>VÄSTERNORRLANDS LÄN</t>
        </is>
      </c>
      <c r="E1273" t="inlineStr">
        <is>
          <t>ÅNGE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7548-2026</t>
        </is>
      </c>
      <c r="B1274" s="1" t="n">
        <v>46059.67776620371</v>
      </c>
      <c r="C1274" s="1" t="n">
        <v>46061</v>
      </c>
      <c r="D1274" t="inlineStr">
        <is>
          <t>VÄSTERNORRLANDS LÄN</t>
        </is>
      </c>
      <c r="E1274" t="inlineStr">
        <is>
          <t>ÅNGE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3322-2025</t>
        </is>
      </c>
      <c r="B1275" s="1" t="n">
        <v>45679.6989699074</v>
      </c>
      <c r="C1275" s="1" t="n">
        <v>46061</v>
      </c>
      <c r="D1275" t="inlineStr">
        <is>
          <t>VÄSTERNORRLANDS LÄN</t>
        </is>
      </c>
      <c r="E1275" t="inlineStr">
        <is>
          <t>ÅNGE</t>
        </is>
      </c>
      <c r="F1275" t="inlineStr">
        <is>
          <t>SCA</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3327-2025</t>
        </is>
      </c>
      <c r="B1276" s="1" t="n">
        <v>45679.69967592593</v>
      </c>
      <c r="C1276" s="1" t="n">
        <v>46061</v>
      </c>
      <c r="D1276" t="inlineStr">
        <is>
          <t>VÄSTERNORRLANDS LÄN</t>
        </is>
      </c>
      <c r="E1276" t="inlineStr">
        <is>
          <t>ÅNGE</t>
        </is>
      </c>
      <c r="F1276" t="inlineStr">
        <is>
          <t>SCA</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31729-2024</t>
        </is>
      </c>
      <c r="B1277" s="1" t="n">
        <v>45509.35844907408</v>
      </c>
      <c r="C1277" s="1" t="n">
        <v>46061</v>
      </c>
      <c r="D1277" t="inlineStr">
        <is>
          <t>VÄSTERNORRLANDS LÄN</t>
        </is>
      </c>
      <c r="E1277" t="inlineStr">
        <is>
          <t>ÅNGE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4071-2025</t>
        </is>
      </c>
      <c r="B1278" s="1" t="n">
        <v>45684.63579861111</v>
      </c>
      <c r="C1278" s="1" t="n">
        <v>46061</v>
      </c>
      <c r="D1278" t="inlineStr">
        <is>
          <t>VÄSTERNORRLANDS LÄN</t>
        </is>
      </c>
      <c r="E1278" t="inlineStr">
        <is>
          <t>ÅNGE</t>
        </is>
      </c>
      <c r="F1278" t="inlineStr">
        <is>
          <t>SCA</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44606-2024</t>
        </is>
      </c>
      <c r="B1279" s="1" t="n">
        <v>45574.51195601852</v>
      </c>
      <c r="C1279" s="1" t="n">
        <v>46061</v>
      </c>
      <c r="D1279" t="inlineStr">
        <is>
          <t>VÄSTERNORRLANDS LÄN</t>
        </is>
      </c>
      <c r="E1279" t="inlineStr">
        <is>
          <t>ÅNGE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44626-2024</t>
        </is>
      </c>
      <c r="B1280" s="1" t="n">
        <v>45574.51378472222</v>
      </c>
      <c r="C1280" s="1" t="n">
        <v>46061</v>
      </c>
      <c r="D1280" t="inlineStr">
        <is>
          <t>VÄSTERNORRLANDS LÄN</t>
        </is>
      </c>
      <c r="E1280" t="inlineStr">
        <is>
          <t>ÅNGE</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18668-2023</t>
        </is>
      </c>
      <c r="B1281" s="1" t="n">
        <v>45043.57108796296</v>
      </c>
      <c r="C1281" s="1" t="n">
        <v>46061</v>
      </c>
      <c r="D1281" t="inlineStr">
        <is>
          <t>VÄSTERNORRLANDS LÄN</t>
        </is>
      </c>
      <c r="E1281" t="inlineStr">
        <is>
          <t>ÅNGE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1964-2022</t>
        </is>
      </c>
      <c r="B1282" s="1" t="n">
        <v>44575.5050462963</v>
      </c>
      <c r="C1282" s="1" t="n">
        <v>46061</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18880-2024</t>
        </is>
      </c>
      <c r="B1283" s="1" t="n">
        <v>45426</v>
      </c>
      <c r="C1283" s="1" t="n">
        <v>46061</v>
      </c>
      <c r="D1283" t="inlineStr">
        <is>
          <t>VÄSTERNORRLANDS LÄN</t>
        </is>
      </c>
      <c r="E1283" t="inlineStr">
        <is>
          <t>ÅNGE</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48787-2024</t>
        </is>
      </c>
      <c r="B1284" s="1" t="n">
        <v>45593.63888888889</v>
      </c>
      <c r="C1284" s="1" t="n">
        <v>46061</v>
      </c>
      <c r="D1284" t="inlineStr">
        <is>
          <t>VÄSTERNORRLANDS LÄN</t>
        </is>
      </c>
      <c r="E1284" t="inlineStr">
        <is>
          <t>ÅNGE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1886-2024</t>
        </is>
      </c>
      <c r="B1285" s="1" t="n">
        <v>45307.96335648148</v>
      </c>
      <c r="C1285" s="1" t="n">
        <v>46061</v>
      </c>
      <c r="D1285" t="inlineStr">
        <is>
          <t>VÄSTERNORRLANDS LÄN</t>
        </is>
      </c>
      <c r="E1285" t="inlineStr">
        <is>
          <t>ÅNGE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41370-2023</t>
        </is>
      </c>
      <c r="B1286" s="1" t="n">
        <v>45174.85951388889</v>
      </c>
      <c r="C1286" s="1" t="n">
        <v>46061</v>
      </c>
      <c r="D1286" t="inlineStr">
        <is>
          <t>VÄSTERNORRLANDS LÄN</t>
        </is>
      </c>
      <c r="E1286" t="inlineStr">
        <is>
          <t>ÅNGE</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30235-2024</t>
        </is>
      </c>
      <c r="B1287" s="1" t="n">
        <v>45490.49040509259</v>
      </c>
      <c r="C1287" s="1" t="n">
        <v>46061</v>
      </c>
      <c r="D1287" t="inlineStr">
        <is>
          <t>VÄSTERNORRLANDS LÄN</t>
        </is>
      </c>
      <c r="E1287" t="inlineStr">
        <is>
          <t>ÅNGE</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60817-2024</t>
        </is>
      </c>
      <c r="B1288" s="1" t="n">
        <v>45644</v>
      </c>
      <c r="C1288" s="1" t="n">
        <v>46061</v>
      </c>
      <c r="D1288" t="inlineStr">
        <is>
          <t>VÄSTERNORRLANDS LÄN</t>
        </is>
      </c>
      <c r="E1288" t="inlineStr">
        <is>
          <t>ÅNGE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18456-2024</t>
        </is>
      </c>
      <c r="B1289" s="1" t="n">
        <v>45425.46831018518</v>
      </c>
      <c r="C1289" s="1" t="n">
        <v>46061</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45085.94569444445</v>
      </c>
      <c r="C1290" s="1" t="n">
        <v>46061</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57815-2024</t>
        </is>
      </c>
      <c r="B1291" s="1" t="n">
        <v>45631.37068287037</v>
      </c>
      <c r="C1291" s="1" t="n">
        <v>46061</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42044-2024</t>
        </is>
      </c>
      <c r="B1292" s="1" t="n">
        <v>45561</v>
      </c>
      <c r="C1292" s="1" t="n">
        <v>46061</v>
      </c>
      <c r="D1292" t="inlineStr">
        <is>
          <t>VÄSTERNORRLANDS LÄN</t>
        </is>
      </c>
      <c r="E1292" t="inlineStr">
        <is>
          <t>ÅNGE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42090-2024</t>
        </is>
      </c>
      <c r="B1293" s="1" t="n">
        <v>45562</v>
      </c>
      <c r="C1293" s="1" t="n">
        <v>46061</v>
      </c>
      <c r="D1293" t="inlineStr">
        <is>
          <t>VÄSTERNORRLANDS LÄN</t>
        </is>
      </c>
      <c r="E1293" t="inlineStr">
        <is>
          <t>ÅNGE</t>
        </is>
      </c>
      <c r="F1293" t="inlineStr">
        <is>
          <t>SCA</t>
        </is>
      </c>
      <c r="G1293" t="n">
        <v>20.2</v>
      </c>
      <c r="H1293" t="n">
        <v>0</v>
      </c>
      <c r="I1293" t="n">
        <v>0</v>
      </c>
      <c r="J1293" t="n">
        <v>0</v>
      </c>
      <c r="K1293" t="n">
        <v>0</v>
      </c>
      <c r="L1293" t="n">
        <v>0</v>
      </c>
      <c r="M1293" t="n">
        <v>0</v>
      </c>
      <c r="N1293" t="n">
        <v>0</v>
      </c>
      <c r="O1293" t="n">
        <v>0</v>
      </c>
      <c r="P1293" t="n">
        <v>0</v>
      </c>
      <c r="Q1293" t="n">
        <v>0</v>
      </c>
      <c r="R1293" s="2" t="inlineStr"/>
    </row>
    <row r="1294" ht="15" customHeight="1">
      <c r="A1294" t="inlineStr">
        <is>
          <t>A 11764-2024</t>
        </is>
      </c>
      <c r="B1294" s="1" t="n">
        <v>45373.94837962963</v>
      </c>
      <c r="C1294" s="1" t="n">
        <v>46061</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25035-2023</t>
        </is>
      </c>
      <c r="B1295" s="1" t="n">
        <v>45085</v>
      </c>
      <c r="C1295" s="1" t="n">
        <v>46061</v>
      </c>
      <c r="D1295" t="inlineStr">
        <is>
          <t>VÄSTERNORRLANDS LÄN</t>
        </is>
      </c>
      <c r="E1295" t="inlineStr">
        <is>
          <t>ÅNGE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10195-2024</t>
        </is>
      </c>
      <c r="B1296" s="1" t="n">
        <v>45364</v>
      </c>
      <c r="C1296" s="1" t="n">
        <v>46061</v>
      </c>
      <c r="D1296" t="inlineStr">
        <is>
          <t>VÄSTERNORRLANDS LÄN</t>
        </is>
      </c>
      <c r="E1296" t="inlineStr">
        <is>
          <t>ÅNGE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42488-2024</t>
        </is>
      </c>
      <c r="B1297" s="1" t="n">
        <v>45565.49420138889</v>
      </c>
      <c r="C1297" s="1" t="n">
        <v>46061</v>
      </c>
      <c r="D1297" t="inlineStr">
        <is>
          <t>VÄSTERNORRLANDS LÄN</t>
        </is>
      </c>
      <c r="E1297" t="inlineStr">
        <is>
          <t>ÅNGE</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42529-2024</t>
        </is>
      </c>
      <c r="B1298" s="1" t="n">
        <v>45565.57324074074</v>
      </c>
      <c r="C1298" s="1" t="n">
        <v>46061</v>
      </c>
      <c r="D1298" t="inlineStr">
        <is>
          <t>VÄSTERNORRLANDS LÄN</t>
        </is>
      </c>
      <c r="E1298" t="inlineStr">
        <is>
          <t>ÅNGE</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9211-2023</t>
        </is>
      </c>
      <c r="B1299" s="1" t="n">
        <v>44980</v>
      </c>
      <c r="C1299" s="1" t="n">
        <v>46061</v>
      </c>
      <c r="D1299" t="inlineStr">
        <is>
          <t>VÄSTERNORRLANDS LÄN</t>
        </is>
      </c>
      <c r="E1299" t="inlineStr">
        <is>
          <t>ÅNGE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29193-2024</t>
        </is>
      </c>
      <c r="B1300" s="1" t="n">
        <v>45482.56510416666</v>
      </c>
      <c r="C1300" s="1" t="n">
        <v>46061</v>
      </c>
      <c r="D1300" t="inlineStr">
        <is>
          <t>VÄSTERNORRLANDS LÄN</t>
        </is>
      </c>
      <c r="E1300" t="inlineStr">
        <is>
          <t>ÅNGE</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3023-2023</t>
        </is>
      </c>
      <c r="B1301" s="1" t="n">
        <v>44945</v>
      </c>
      <c r="C1301" s="1" t="n">
        <v>46061</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3025-2023</t>
        </is>
      </c>
      <c r="B1302" s="1" t="n">
        <v>44945</v>
      </c>
      <c r="C1302" s="1" t="n">
        <v>46061</v>
      </c>
      <c r="D1302" t="inlineStr">
        <is>
          <t>VÄSTERNORRLANDS LÄN</t>
        </is>
      </c>
      <c r="E1302" t="inlineStr">
        <is>
          <t>ÅNGE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56232-2024</t>
        </is>
      </c>
      <c r="B1303" s="1" t="n">
        <v>45624</v>
      </c>
      <c r="C1303" s="1" t="n">
        <v>46061</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16853-2023</t>
        </is>
      </c>
      <c r="B1304" s="1" t="n">
        <v>45033</v>
      </c>
      <c r="C1304" s="1" t="n">
        <v>46061</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7528-2023</t>
        </is>
      </c>
      <c r="B1305" s="1" t="n">
        <v>44971.97662037037</v>
      </c>
      <c r="C1305" s="1" t="n">
        <v>46061</v>
      </c>
      <c r="D1305" t="inlineStr">
        <is>
          <t>VÄSTERNORRLANDS LÄN</t>
        </is>
      </c>
      <c r="E1305" t="inlineStr">
        <is>
          <t>ÅNGE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53988-2024</t>
        </is>
      </c>
      <c r="B1306" s="1" t="n">
        <v>45616.34408564815</v>
      </c>
      <c r="C1306" s="1" t="n">
        <v>46061</v>
      </c>
      <c r="D1306" t="inlineStr">
        <is>
          <t>VÄSTERNORRLANDS LÄN</t>
        </is>
      </c>
      <c r="E1306" t="inlineStr">
        <is>
          <t>ÅNGE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54002-2024</t>
        </is>
      </c>
      <c r="B1307" s="1" t="n">
        <v>45616.36491898148</v>
      </c>
      <c r="C1307" s="1" t="n">
        <v>46061</v>
      </c>
      <c r="D1307" t="inlineStr">
        <is>
          <t>VÄSTERNORRLANDS LÄN</t>
        </is>
      </c>
      <c r="E1307" t="inlineStr">
        <is>
          <t>ÅNGE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54059-2024</t>
        </is>
      </c>
      <c r="B1308" s="1" t="n">
        <v>45616.46943287037</v>
      </c>
      <c r="C1308" s="1" t="n">
        <v>46061</v>
      </c>
      <c r="D1308" t="inlineStr">
        <is>
          <t>VÄSTERNORRLANDS LÄN</t>
        </is>
      </c>
      <c r="E1308" t="inlineStr">
        <is>
          <t>ÅNGE</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50235-2021</t>
        </is>
      </c>
      <c r="B1309" s="1" t="n">
        <v>44457</v>
      </c>
      <c r="C1309" s="1" t="n">
        <v>46061</v>
      </c>
      <c r="D1309" t="inlineStr">
        <is>
          <t>VÄSTERNORRLANDS LÄN</t>
        </is>
      </c>
      <c r="E1309" t="inlineStr">
        <is>
          <t>ÅNGE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44600-2024</t>
        </is>
      </c>
      <c r="B1310" s="1" t="n">
        <v>45574.51113425926</v>
      </c>
      <c r="C1310" s="1" t="n">
        <v>46061</v>
      </c>
      <c r="D1310" t="inlineStr">
        <is>
          <t>VÄSTERNORRLANDS LÄN</t>
        </is>
      </c>
      <c r="E1310" t="inlineStr">
        <is>
          <t>ÅNGE</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12806-2025</t>
        </is>
      </c>
      <c r="B1311" s="1" t="n">
        <v>45733.61518518518</v>
      </c>
      <c r="C1311" s="1" t="n">
        <v>46061</v>
      </c>
      <c r="D1311" t="inlineStr">
        <is>
          <t>VÄSTERNORRLANDS LÄN</t>
        </is>
      </c>
      <c r="E1311" t="inlineStr">
        <is>
          <t>ÅNGE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45890-2021</t>
        </is>
      </c>
      <c r="B1312" s="1" t="n">
        <v>44441</v>
      </c>
      <c r="C1312" s="1" t="n">
        <v>46061</v>
      </c>
      <c r="D1312" t="inlineStr">
        <is>
          <t>VÄSTERNORRLANDS LÄN</t>
        </is>
      </c>
      <c r="E1312" t="inlineStr">
        <is>
          <t>ÅNGE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1869-2022</t>
        </is>
      </c>
      <c r="B1313" s="1" t="n">
        <v>44574</v>
      </c>
      <c r="C1313" s="1" t="n">
        <v>46061</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48988-2021</t>
        </is>
      </c>
      <c r="B1314" s="1" t="n">
        <v>44453.43</v>
      </c>
      <c r="C1314" s="1" t="n">
        <v>46061</v>
      </c>
      <c r="D1314" t="inlineStr">
        <is>
          <t>VÄSTERNORRLANDS LÄN</t>
        </is>
      </c>
      <c r="E1314" t="inlineStr">
        <is>
          <t>ÅNGE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60812-2024</t>
        </is>
      </c>
      <c r="B1315" s="1" t="n">
        <v>45644</v>
      </c>
      <c r="C1315" s="1" t="n">
        <v>46061</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54611-2023</t>
        </is>
      </c>
      <c r="B1316" s="1" t="n">
        <v>45233</v>
      </c>
      <c r="C1316" s="1" t="n">
        <v>46061</v>
      </c>
      <c r="D1316" t="inlineStr">
        <is>
          <t>VÄSTERNORRLANDS LÄN</t>
        </is>
      </c>
      <c r="E1316" t="inlineStr">
        <is>
          <t>ÅNGE</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49187-2024</t>
        </is>
      </c>
      <c r="B1317" s="1" t="n">
        <v>45595.34490740741</v>
      </c>
      <c r="C1317" s="1" t="n">
        <v>46061</v>
      </c>
      <c r="D1317" t="inlineStr">
        <is>
          <t>VÄSTERNORRLANDS LÄN</t>
        </is>
      </c>
      <c r="E1317" t="inlineStr">
        <is>
          <t>ÅNGE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51810-2023</t>
        </is>
      </c>
      <c r="B1318" s="1" t="n">
        <v>45222.96583333334</v>
      </c>
      <c r="C1318" s="1" t="n">
        <v>46061</v>
      </c>
      <c r="D1318" t="inlineStr">
        <is>
          <t>VÄSTERNORRLANDS LÄN</t>
        </is>
      </c>
      <c r="E1318" t="inlineStr">
        <is>
          <t>ÅNGE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5520-2022</t>
        </is>
      </c>
      <c r="B1319" s="1" t="n">
        <v>44595</v>
      </c>
      <c r="C1319" s="1" t="n">
        <v>46061</v>
      </c>
      <c r="D1319" t="inlineStr">
        <is>
          <t>VÄSTERNORRLANDS LÄN</t>
        </is>
      </c>
      <c r="E1319" t="inlineStr">
        <is>
          <t>ÅNGE</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58469-2023</t>
        </is>
      </c>
      <c r="B1320" s="1" t="n">
        <v>45250</v>
      </c>
      <c r="C1320" s="1" t="n">
        <v>46061</v>
      </c>
      <c r="D1320" t="inlineStr">
        <is>
          <t>VÄSTERNORRLANDS LÄN</t>
        </is>
      </c>
      <c r="E1320" t="inlineStr">
        <is>
          <t>ÅNGE</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31177-2024</t>
        </is>
      </c>
      <c r="B1321" s="1" t="n">
        <v>45503</v>
      </c>
      <c r="C1321" s="1" t="n">
        <v>46061</v>
      </c>
      <c r="D1321" t="inlineStr">
        <is>
          <t>VÄSTERNORRLANDS LÄN</t>
        </is>
      </c>
      <c r="E1321" t="inlineStr">
        <is>
          <t>ÅNGE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29063-2023</t>
        </is>
      </c>
      <c r="B1322" s="1" t="n">
        <v>45104.94068287037</v>
      </c>
      <c r="C1322" s="1" t="n">
        <v>46061</v>
      </c>
      <c r="D1322" t="inlineStr">
        <is>
          <t>VÄSTERNORRLANDS LÄN</t>
        </is>
      </c>
      <c r="E1322" t="inlineStr">
        <is>
          <t>ÅNGE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59412-2024</t>
        </is>
      </c>
      <c r="B1323" s="1" t="n">
        <v>45638</v>
      </c>
      <c r="C1323" s="1" t="n">
        <v>46061</v>
      </c>
      <c r="D1323" t="inlineStr">
        <is>
          <t>VÄSTERNORRLANDS LÄN</t>
        </is>
      </c>
      <c r="E1323" t="inlineStr">
        <is>
          <t>ÅNGE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9567-2024</t>
        </is>
      </c>
      <c r="B1324" s="1" t="n">
        <v>45360.03635416667</v>
      </c>
      <c r="C1324" s="1" t="n">
        <v>46061</v>
      </c>
      <c r="D1324" t="inlineStr">
        <is>
          <t>VÄSTERNORRLANDS LÄN</t>
        </is>
      </c>
      <c r="E1324" t="inlineStr">
        <is>
          <t>ÅNGE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22988-2024</t>
        </is>
      </c>
      <c r="B1325" s="1" t="n">
        <v>45449.94530092592</v>
      </c>
      <c r="C1325" s="1" t="n">
        <v>46061</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56908-2021</t>
        </is>
      </c>
      <c r="B1326" s="1" t="n">
        <v>44481.93844907408</v>
      </c>
      <c r="C1326" s="1" t="n">
        <v>46061</v>
      </c>
      <c r="D1326" t="inlineStr">
        <is>
          <t>VÄSTERNORRLANDS LÄN</t>
        </is>
      </c>
      <c r="E1326" t="inlineStr">
        <is>
          <t>ÅNGE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17210-2022</t>
        </is>
      </c>
      <c r="B1327" s="1" t="n">
        <v>44677.92701388889</v>
      </c>
      <c r="C1327" s="1" t="n">
        <v>46061</v>
      </c>
      <c r="D1327" t="inlineStr">
        <is>
          <t>VÄSTERNORRLANDS LÄN</t>
        </is>
      </c>
      <c r="E1327" t="inlineStr">
        <is>
          <t>ÅNGE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56574-2024</t>
        </is>
      </c>
      <c r="B1328" s="1" t="n">
        <v>45625.59616898148</v>
      </c>
      <c r="C1328" s="1" t="n">
        <v>46061</v>
      </c>
      <c r="D1328" t="inlineStr">
        <is>
          <t>VÄSTERNORRLANDS LÄN</t>
        </is>
      </c>
      <c r="E1328" t="inlineStr">
        <is>
          <t>ÅNGE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31568-2024</t>
        </is>
      </c>
      <c r="B1329" s="1" t="n">
        <v>45505.96721064814</v>
      </c>
      <c r="C1329" s="1" t="n">
        <v>46061</v>
      </c>
      <c r="D1329" t="inlineStr">
        <is>
          <t>VÄSTERNORRLANDS LÄN</t>
        </is>
      </c>
      <c r="E1329" t="inlineStr">
        <is>
          <t>ÅNGE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27468-2024</t>
        </is>
      </c>
      <c r="B1330" s="1" t="n">
        <v>45474</v>
      </c>
      <c r="C1330" s="1" t="n">
        <v>46061</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12123-2024</t>
        </is>
      </c>
      <c r="B1331" s="1" t="n">
        <v>45377</v>
      </c>
      <c r="C1331" s="1" t="n">
        <v>46061</v>
      </c>
      <c r="D1331" t="inlineStr">
        <is>
          <t>VÄSTERNORRLANDS LÄN</t>
        </is>
      </c>
      <c r="E1331" t="inlineStr">
        <is>
          <t>ÅNGE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11299-2023</t>
        </is>
      </c>
      <c r="B1332" s="1" t="n">
        <v>44993.01074074074</v>
      </c>
      <c r="C1332" s="1" t="n">
        <v>46061</v>
      </c>
      <c r="D1332" t="inlineStr">
        <is>
          <t>VÄSTERNORRLANDS LÄN</t>
        </is>
      </c>
      <c r="E1332" t="inlineStr">
        <is>
          <t>ÅNGE</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11309-2023</t>
        </is>
      </c>
      <c r="B1333" s="1" t="n">
        <v>44993.0118287037</v>
      </c>
      <c r="C1333" s="1" t="n">
        <v>46061</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45932-2023</t>
        </is>
      </c>
      <c r="B1334" s="1" t="n">
        <v>45195</v>
      </c>
      <c r="C1334" s="1" t="n">
        <v>46061</v>
      </c>
      <c r="D1334" t="inlineStr">
        <is>
          <t>VÄSTERNORRLANDS LÄN</t>
        </is>
      </c>
      <c r="E1334" t="inlineStr">
        <is>
          <t>ÅNGE</t>
        </is>
      </c>
      <c r="F1334" t="inlineStr">
        <is>
          <t>SCA</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8648-2025</t>
        </is>
      </c>
      <c r="B1335" s="1" t="n">
        <v>45712.34501157407</v>
      </c>
      <c r="C1335" s="1" t="n">
        <v>46061</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24541-2023</t>
        </is>
      </c>
      <c r="B1336" s="1" t="n">
        <v>45082.94135416667</v>
      </c>
      <c r="C1336" s="1" t="n">
        <v>46061</v>
      </c>
      <c r="D1336" t="inlineStr">
        <is>
          <t>VÄSTERNORRLANDS LÄN</t>
        </is>
      </c>
      <c r="E1336" t="inlineStr">
        <is>
          <t>ÅNGE</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51131-2022</t>
        </is>
      </c>
      <c r="B1337" s="1" t="n">
        <v>44868</v>
      </c>
      <c r="C1337" s="1" t="n">
        <v>46061</v>
      </c>
      <c r="D1337" t="inlineStr">
        <is>
          <t>VÄSTERNORRLANDS LÄN</t>
        </is>
      </c>
      <c r="E1337" t="inlineStr">
        <is>
          <t>ÅNGE</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33631-2024</t>
        </is>
      </c>
      <c r="B1338" s="1" t="n">
        <v>45520</v>
      </c>
      <c r="C1338" s="1" t="n">
        <v>46061</v>
      </c>
      <c r="D1338" t="inlineStr">
        <is>
          <t>VÄSTERNORRLANDS LÄN</t>
        </is>
      </c>
      <c r="E1338" t="inlineStr">
        <is>
          <t>ÅNGE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63522-2021</t>
        </is>
      </c>
      <c r="B1339" s="1" t="n">
        <v>44508</v>
      </c>
      <c r="C1339" s="1" t="n">
        <v>46061</v>
      </c>
      <c r="D1339" t="inlineStr">
        <is>
          <t>VÄSTERNORRLANDS LÄN</t>
        </is>
      </c>
      <c r="E1339" t="inlineStr">
        <is>
          <t>ÅNGE</t>
        </is>
      </c>
      <c r="F1339" t="inlineStr">
        <is>
          <t>Övriga Aktiebolag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51411-2023</t>
        </is>
      </c>
      <c r="B1340" s="1" t="n">
        <v>45219</v>
      </c>
      <c r="C1340" s="1" t="n">
        <v>46061</v>
      </c>
      <c r="D1340" t="inlineStr">
        <is>
          <t>VÄSTERNORRLANDS LÄN</t>
        </is>
      </c>
      <c r="E1340" t="inlineStr">
        <is>
          <t>ÅNGE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31229-2023</t>
        </is>
      </c>
      <c r="B1341" s="1" t="n">
        <v>45114</v>
      </c>
      <c r="C1341" s="1" t="n">
        <v>46061</v>
      </c>
      <c r="D1341" t="inlineStr">
        <is>
          <t>VÄSTERNORRLANDS LÄN</t>
        </is>
      </c>
      <c r="E1341" t="inlineStr">
        <is>
          <t>ÅNGE</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53336-2024</t>
        </is>
      </c>
      <c r="B1342" s="1" t="n">
        <v>45614.42753472222</v>
      </c>
      <c r="C1342" s="1" t="n">
        <v>46061</v>
      </c>
      <c r="D1342" t="inlineStr">
        <is>
          <t>VÄSTERNORRLANDS LÄN</t>
        </is>
      </c>
      <c r="E1342" t="inlineStr">
        <is>
          <t>ÅNGE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7692-2024</t>
        </is>
      </c>
      <c r="B1343" s="1" t="n">
        <v>45349</v>
      </c>
      <c r="C1343" s="1" t="n">
        <v>46061</v>
      </c>
      <c r="D1343" t="inlineStr">
        <is>
          <t>VÄSTERNORRLANDS LÄN</t>
        </is>
      </c>
      <c r="E1343" t="inlineStr">
        <is>
          <t>ÅNGE</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47950-2024</t>
        </is>
      </c>
      <c r="B1344" s="1" t="n">
        <v>45589.36511574074</v>
      </c>
      <c r="C1344" s="1" t="n">
        <v>46061</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39589-2022</t>
        </is>
      </c>
      <c r="B1345" s="1" t="n">
        <v>44818</v>
      </c>
      <c r="C1345" s="1" t="n">
        <v>46061</v>
      </c>
      <c r="D1345" t="inlineStr">
        <is>
          <t>VÄSTERNORRLANDS LÄN</t>
        </is>
      </c>
      <c r="E1345" t="inlineStr">
        <is>
          <t>ÅNGE</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42098-2024</t>
        </is>
      </c>
      <c r="B1346" s="1" t="n">
        <v>45562.34532407407</v>
      </c>
      <c r="C1346" s="1" t="n">
        <v>46061</v>
      </c>
      <c r="D1346" t="inlineStr">
        <is>
          <t>VÄSTERNORRLANDS LÄN</t>
        </is>
      </c>
      <c r="E1346" t="inlineStr">
        <is>
          <t>ÅNGE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10071-2023</t>
        </is>
      </c>
      <c r="B1347" s="1" t="n">
        <v>44985.92418981482</v>
      </c>
      <c r="C1347" s="1" t="n">
        <v>46061</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44518-2024</t>
        </is>
      </c>
      <c r="B1348" s="1" t="n">
        <v>45574.43376157407</v>
      </c>
      <c r="C1348" s="1" t="n">
        <v>46061</v>
      </c>
      <c r="D1348" t="inlineStr">
        <is>
          <t>VÄSTERNORRLANDS LÄN</t>
        </is>
      </c>
      <c r="E1348" t="inlineStr">
        <is>
          <t>ÅNGE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15822-2025</t>
        </is>
      </c>
      <c r="B1349" s="1" t="n">
        <v>45748.70172453704</v>
      </c>
      <c r="C1349" s="1" t="n">
        <v>46061</v>
      </c>
      <c r="D1349" t="inlineStr">
        <is>
          <t>VÄSTERNORRLANDS LÄN</t>
        </is>
      </c>
      <c r="E1349" t="inlineStr">
        <is>
          <t>ÅNGE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41083-2024</t>
        </is>
      </c>
      <c r="B1350" s="1" t="n">
        <v>45559.40684027778</v>
      </c>
      <c r="C1350" s="1" t="n">
        <v>46061</v>
      </c>
      <c r="D1350" t="inlineStr">
        <is>
          <t>VÄSTERNORRLANDS LÄN</t>
        </is>
      </c>
      <c r="E1350" t="inlineStr">
        <is>
          <t>ÅNGE</t>
        </is>
      </c>
      <c r="F1350" t="inlineStr">
        <is>
          <t>SCA</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4094-2025</t>
        </is>
      </c>
      <c r="B1351" s="1" t="n">
        <v>45684.6778125</v>
      </c>
      <c r="C1351" s="1" t="n">
        <v>46061</v>
      </c>
      <c r="D1351" t="inlineStr">
        <is>
          <t>VÄSTERNORRLANDS LÄN</t>
        </is>
      </c>
      <c r="E1351" t="inlineStr">
        <is>
          <t>ÅNGE</t>
        </is>
      </c>
      <c r="F1351" t="inlineStr">
        <is>
          <t>SCA</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41507-2024</t>
        </is>
      </c>
      <c r="B1352" s="1" t="n">
        <v>45560</v>
      </c>
      <c r="C1352" s="1" t="n">
        <v>46061</v>
      </c>
      <c r="D1352" t="inlineStr">
        <is>
          <t>VÄSTERNORRLANDS LÄN</t>
        </is>
      </c>
      <c r="E1352" t="inlineStr">
        <is>
          <t>ÅNGE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26019-2024</t>
        </is>
      </c>
      <c r="B1353" s="1" t="n">
        <v>45467.96015046296</v>
      </c>
      <c r="C1353" s="1" t="n">
        <v>46061</v>
      </c>
      <c r="D1353" t="inlineStr">
        <is>
          <t>VÄSTERNORRLANDS LÄN</t>
        </is>
      </c>
      <c r="E1353" t="inlineStr">
        <is>
          <t>ÅNGE</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8747-2022</t>
        </is>
      </c>
      <c r="B1354" s="1" t="n">
        <v>44614.33912037037</v>
      </c>
      <c r="C1354" s="1" t="n">
        <v>46061</v>
      </c>
      <c r="D1354" t="inlineStr">
        <is>
          <t>VÄSTERNORRLANDS LÄN</t>
        </is>
      </c>
      <c r="E1354" t="inlineStr">
        <is>
          <t>ÅNGE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8755-2022</t>
        </is>
      </c>
      <c r="B1355" s="1" t="n">
        <v>44614</v>
      </c>
      <c r="C1355" s="1" t="n">
        <v>46061</v>
      </c>
      <c r="D1355" t="inlineStr">
        <is>
          <t>VÄSTERNORRLANDS LÄN</t>
        </is>
      </c>
      <c r="E1355" t="inlineStr">
        <is>
          <t>ÅNGE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6690-2024</t>
        </is>
      </c>
      <c r="B1356" s="1" t="n">
        <v>45341</v>
      </c>
      <c r="C1356" s="1" t="n">
        <v>46061</v>
      </c>
      <c r="D1356" t="inlineStr">
        <is>
          <t>VÄSTERNORRLANDS LÄN</t>
        </is>
      </c>
      <c r="E1356" t="inlineStr">
        <is>
          <t>ÅNGE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64375-2023</t>
        </is>
      </c>
      <c r="B1357" s="1" t="n">
        <v>45280</v>
      </c>
      <c r="C1357" s="1" t="n">
        <v>46061</v>
      </c>
      <c r="D1357" t="inlineStr">
        <is>
          <t>VÄSTERNORRLANDS LÄN</t>
        </is>
      </c>
      <c r="E1357" t="inlineStr">
        <is>
          <t>ÅNGE</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1235-2023</t>
        </is>
      </c>
      <c r="B1358" s="1" t="n">
        <v>44935</v>
      </c>
      <c r="C1358" s="1" t="n">
        <v>46061</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62261-2022</t>
        </is>
      </c>
      <c r="B1359" s="1" t="n">
        <v>44922.94378472222</v>
      </c>
      <c r="C1359" s="1" t="n">
        <v>46061</v>
      </c>
      <c r="D1359" t="inlineStr">
        <is>
          <t>VÄSTERNORRLANDS LÄN</t>
        </is>
      </c>
      <c r="E1359" t="inlineStr">
        <is>
          <t>ÅNGE</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41302-2024</t>
        </is>
      </c>
      <c r="B1360" s="1" t="n">
        <v>45559.62077546296</v>
      </c>
      <c r="C1360" s="1" t="n">
        <v>46061</v>
      </c>
      <c r="D1360" t="inlineStr">
        <is>
          <t>VÄSTERNORRLANDS LÄN</t>
        </is>
      </c>
      <c r="E1360" t="inlineStr">
        <is>
          <t>ÅNGE</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5249-2025</t>
        </is>
      </c>
      <c r="B1361" s="1" t="n">
        <v>45692.34465277778</v>
      </c>
      <c r="C1361" s="1" t="n">
        <v>46061</v>
      </c>
      <c r="D1361" t="inlineStr">
        <is>
          <t>VÄSTERNORRLANDS LÄN</t>
        </is>
      </c>
      <c r="E1361" t="inlineStr">
        <is>
          <t>ÅNGE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43366-2024</t>
        </is>
      </c>
      <c r="B1362" s="1" t="n">
        <v>45568</v>
      </c>
      <c r="C1362" s="1" t="n">
        <v>46061</v>
      </c>
      <c r="D1362" t="inlineStr">
        <is>
          <t>VÄSTERNORRLANDS LÄN</t>
        </is>
      </c>
      <c r="E1362" t="inlineStr">
        <is>
          <t>ÅNGE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35577-2024</t>
        </is>
      </c>
      <c r="B1363" s="1" t="n">
        <v>45531</v>
      </c>
      <c r="C1363" s="1" t="n">
        <v>46061</v>
      </c>
      <c r="D1363" t="inlineStr">
        <is>
          <t>VÄSTERNORRLANDS LÄN</t>
        </is>
      </c>
      <c r="E1363" t="inlineStr">
        <is>
          <t>ÅNGE</t>
        </is>
      </c>
      <c r="F1363" t="inlineStr">
        <is>
          <t>SCA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35580-2024</t>
        </is>
      </c>
      <c r="B1364" s="1" t="n">
        <v>45531</v>
      </c>
      <c r="C1364" s="1" t="n">
        <v>46061</v>
      </c>
      <c r="D1364" t="inlineStr">
        <is>
          <t>VÄSTERNORRLANDS LÄN</t>
        </is>
      </c>
      <c r="E1364" t="inlineStr">
        <is>
          <t>ÅNGE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28428-2023</t>
        </is>
      </c>
      <c r="B1365" s="1" t="n">
        <v>45102</v>
      </c>
      <c r="C1365" s="1" t="n">
        <v>46061</v>
      </c>
      <c r="D1365" t="inlineStr">
        <is>
          <t>VÄSTERNORRLANDS LÄN</t>
        </is>
      </c>
      <c r="E1365" t="inlineStr">
        <is>
          <t>ÅNGE</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72239-2021</t>
        </is>
      </c>
      <c r="B1366" s="1" t="n">
        <v>44544.9203587963</v>
      </c>
      <c r="C1366" s="1" t="n">
        <v>46061</v>
      </c>
      <c r="D1366" t="inlineStr">
        <is>
          <t>VÄSTERNORRLANDS LÄN</t>
        </is>
      </c>
      <c r="E1366" t="inlineStr">
        <is>
          <t>ÅNGE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59986-2021</t>
        </is>
      </c>
      <c r="B1367" s="1" t="n">
        <v>44494</v>
      </c>
      <c r="C1367" s="1" t="n">
        <v>46061</v>
      </c>
      <c r="D1367" t="inlineStr">
        <is>
          <t>VÄSTERNORRLANDS LÄN</t>
        </is>
      </c>
      <c r="E1367" t="inlineStr">
        <is>
          <t>ÅNGE</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30556-2023</t>
        </is>
      </c>
      <c r="B1368" s="1" t="n">
        <v>45111.87935185185</v>
      </c>
      <c r="C1368" s="1" t="n">
        <v>46061</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53549-2023</t>
        </is>
      </c>
      <c r="B1369" s="1" t="n">
        <v>45230</v>
      </c>
      <c r="C1369" s="1" t="n">
        <v>46061</v>
      </c>
      <c r="D1369" t="inlineStr">
        <is>
          <t>VÄSTERNORRLANDS LÄN</t>
        </is>
      </c>
      <c r="E1369" t="inlineStr">
        <is>
          <t>ÅNGE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34705-2023</t>
        </is>
      </c>
      <c r="B1370" s="1" t="n">
        <v>45140.96452546296</v>
      </c>
      <c r="C1370" s="1" t="n">
        <v>46061</v>
      </c>
      <c r="D1370" t="inlineStr">
        <is>
          <t>VÄSTERNORRLANDS LÄN</t>
        </is>
      </c>
      <c r="E1370" t="inlineStr">
        <is>
          <t>ÅNGE</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50186-2021</t>
        </is>
      </c>
      <c r="B1371" s="1" t="n">
        <v>44456</v>
      </c>
      <c r="C1371" s="1" t="n">
        <v>46061</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35392-2024</t>
        </is>
      </c>
      <c r="B1372" s="1" t="n">
        <v>45531.4025462963</v>
      </c>
      <c r="C1372" s="1" t="n">
        <v>46061</v>
      </c>
      <c r="D1372" t="inlineStr">
        <is>
          <t>VÄSTERNORRLANDS LÄN</t>
        </is>
      </c>
      <c r="E1372" t="inlineStr">
        <is>
          <t>ÅNGE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27952-2024</t>
        </is>
      </c>
      <c r="B1373" s="1" t="n">
        <v>45476.33063657407</v>
      </c>
      <c r="C1373" s="1" t="n">
        <v>46061</v>
      </c>
      <c r="D1373" t="inlineStr">
        <is>
          <t>VÄSTERNORRLANDS LÄN</t>
        </is>
      </c>
      <c r="E1373" t="inlineStr">
        <is>
          <t>ÅNGE</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58634-2023</t>
        </is>
      </c>
      <c r="B1374" s="1" t="n">
        <v>45251</v>
      </c>
      <c r="C1374" s="1" t="n">
        <v>46061</v>
      </c>
      <c r="D1374" t="inlineStr">
        <is>
          <t>VÄSTERNORRLANDS LÄN</t>
        </is>
      </c>
      <c r="E1374" t="inlineStr">
        <is>
          <t>ÅNGE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41825-2022</t>
        </is>
      </c>
      <c r="B1375" s="1" t="n">
        <v>44827</v>
      </c>
      <c r="C1375" s="1" t="n">
        <v>46061</v>
      </c>
      <c r="D1375" t="inlineStr">
        <is>
          <t>VÄSTERNORRLANDS LÄN</t>
        </is>
      </c>
      <c r="E1375" t="inlineStr">
        <is>
          <t>ÅNGE</t>
        </is>
      </c>
      <c r="F1375" t="inlineStr">
        <is>
          <t>SCA</t>
        </is>
      </c>
      <c r="G1375" t="n">
        <v>3.3</v>
      </c>
      <c r="H1375" t="n">
        <v>0</v>
      </c>
      <c r="I1375" t="n">
        <v>0</v>
      </c>
      <c r="J1375" t="n">
        <v>0</v>
      </c>
      <c r="K1375" t="n">
        <v>0</v>
      </c>
      <c r="L1375" t="n">
        <v>0</v>
      </c>
      <c r="M1375" t="n">
        <v>0</v>
      </c>
      <c r="N1375" t="n">
        <v>0</v>
      </c>
      <c r="O1375" t="n">
        <v>0</v>
      </c>
      <c r="P1375" t="n">
        <v>0</v>
      </c>
      <c r="Q1375" t="n">
        <v>0</v>
      </c>
      <c r="R1375" s="2" t="inlineStr"/>
      <c r="U1375">
        <f>HYPERLINK("https://klasma.github.io/Logging_2260/knärot/A 41825-2022 karta knärot.png", "A 41825-2022")</f>
        <v/>
      </c>
      <c r="V1375">
        <f>HYPERLINK("https://klasma.github.io/Logging_2260/klagomål/A 41825-2022 FSC-klagomål.docx", "A 41825-2022")</f>
        <v/>
      </c>
      <c r="W1375">
        <f>HYPERLINK("https://klasma.github.io/Logging_2260/klagomålsmail/A 41825-2022 FSC-klagomål mail.docx", "A 41825-2022")</f>
        <v/>
      </c>
      <c r="X1375">
        <f>HYPERLINK("https://klasma.github.io/Logging_2260/tillsyn/A 41825-2022 tillsynsbegäran.docx", "A 41825-2022")</f>
        <v/>
      </c>
      <c r="Y1375">
        <f>HYPERLINK("https://klasma.github.io/Logging_2260/tillsynsmail/A 41825-2022 tillsynsbegäran mail.docx", "A 41825-2022")</f>
        <v/>
      </c>
    </row>
    <row r="1376" ht="15" customHeight="1">
      <c r="A1376" t="inlineStr">
        <is>
          <t>A 35581-2024</t>
        </is>
      </c>
      <c r="B1376" s="1" t="n">
        <v>45531</v>
      </c>
      <c r="C1376" s="1" t="n">
        <v>46061</v>
      </c>
      <c r="D1376" t="inlineStr">
        <is>
          <t>VÄSTERNORRLANDS LÄN</t>
        </is>
      </c>
      <c r="E1376" t="inlineStr">
        <is>
          <t>ÅNGE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35582-2024</t>
        </is>
      </c>
      <c r="B1377" s="1" t="n">
        <v>45531.64800925926</v>
      </c>
      <c r="C1377" s="1" t="n">
        <v>46061</v>
      </c>
      <c r="D1377" t="inlineStr">
        <is>
          <t>VÄSTERNORRLANDS LÄN</t>
        </is>
      </c>
      <c r="E1377" t="inlineStr">
        <is>
          <t>ÅNGE</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4904-2024</t>
        </is>
      </c>
      <c r="B1378" s="1" t="n">
        <v>45329.47856481482</v>
      </c>
      <c r="C1378" s="1" t="n">
        <v>46061</v>
      </c>
      <c r="D1378" t="inlineStr">
        <is>
          <t>VÄSTERNORRLANDS LÄN</t>
        </is>
      </c>
      <c r="E1378" t="inlineStr">
        <is>
          <t>ÅNGE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57592-2022</t>
        </is>
      </c>
      <c r="B1379" s="1" t="n">
        <v>44896.97841435186</v>
      </c>
      <c r="C1379" s="1" t="n">
        <v>46061</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57602-2022</t>
        </is>
      </c>
      <c r="B1380" s="1" t="n">
        <v>44896</v>
      </c>
      <c r="C1380" s="1" t="n">
        <v>46061</v>
      </c>
      <c r="D1380" t="inlineStr">
        <is>
          <t>VÄSTERNORRLANDS LÄN</t>
        </is>
      </c>
      <c r="E1380" t="inlineStr">
        <is>
          <t>ÅNGE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22680-2024</t>
        </is>
      </c>
      <c r="B1381" s="1" t="n">
        <v>45447.94548611111</v>
      </c>
      <c r="C1381" s="1" t="n">
        <v>46061</v>
      </c>
      <c r="D1381" t="inlineStr">
        <is>
          <t>VÄSTERNORRLANDS LÄN</t>
        </is>
      </c>
      <c r="E1381" t="inlineStr">
        <is>
          <t>ÅNGE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18430-2025</t>
        </is>
      </c>
      <c r="B1382" s="1" t="n">
        <v>45762.63576388889</v>
      </c>
      <c r="C1382" s="1" t="n">
        <v>46061</v>
      </c>
      <c r="D1382" t="inlineStr">
        <is>
          <t>VÄSTERNORRLANDS LÄN</t>
        </is>
      </c>
      <c r="E1382" t="inlineStr">
        <is>
          <t>ÅNGE</t>
        </is>
      </c>
      <c r="F1382" t="inlineStr">
        <is>
          <t>SCA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13501-2021</t>
        </is>
      </c>
      <c r="B1383" s="1" t="n">
        <v>44273</v>
      </c>
      <c r="C1383" s="1" t="n">
        <v>46061</v>
      </c>
      <c r="D1383" t="inlineStr">
        <is>
          <t>VÄSTERNORRLANDS LÄN</t>
        </is>
      </c>
      <c r="E1383" t="inlineStr">
        <is>
          <t>ÅNGE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3624-2024</t>
        </is>
      </c>
      <c r="B1384" s="1" t="n">
        <v>45320.95305555555</v>
      </c>
      <c r="C1384" s="1" t="n">
        <v>46061</v>
      </c>
      <c r="D1384" t="inlineStr">
        <is>
          <t>VÄSTERNORRLANDS LÄN</t>
        </is>
      </c>
      <c r="E1384" t="inlineStr">
        <is>
          <t>ÅNGE</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10922-2024</t>
        </is>
      </c>
      <c r="B1385" s="1" t="n">
        <v>45370</v>
      </c>
      <c r="C1385" s="1" t="n">
        <v>46061</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46681-2023</t>
        </is>
      </c>
      <c r="B1386" s="1" t="n">
        <v>45198</v>
      </c>
      <c r="C1386" s="1" t="n">
        <v>46061</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46255-2023</t>
        </is>
      </c>
      <c r="B1387" s="1" t="n">
        <v>45196</v>
      </c>
      <c r="C1387" s="1" t="n">
        <v>46061</v>
      </c>
      <c r="D1387" t="inlineStr">
        <is>
          <t>VÄSTERNORRLANDS LÄN</t>
        </is>
      </c>
      <c r="E1387" t="inlineStr">
        <is>
          <t>ÅNGE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55197-2022</t>
        </is>
      </c>
      <c r="B1388" s="1" t="n">
        <v>44886.93714120371</v>
      </c>
      <c r="C1388" s="1" t="n">
        <v>46061</v>
      </c>
      <c r="D1388" t="inlineStr">
        <is>
          <t>VÄSTERNORRLANDS LÄN</t>
        </is>
      </c>
      <c r="E1388" t="inlineStr">
        <is>
          <t>ÅNGE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18617-2024</t>
        </is>
      </c>
      <c r="B1389" s="1" t="n">
        <v>45425</v>
      </c>
      <c r="C1389" s="1" t="n">
        <v>46061</v>
      </c>
      <c r="D1389" t="inlineStr">
        <is>
          <t>VÄSTERNORRLANDS LÄN</t>
        </is>
      </c>
      <c r="E1389" t="inlineStr">
        <is>
          <t>ÅNGE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18869-2024</t>
        </is>
      </c>
      <c r="B1390" s="1" t="n">
        <v>45426</v>
      </c>
      <c r="C1390" s="1" t="n">
        <v>46061</v>
      </c>
      <c r="D1390" t="inlineStr">
        <is>
          <t>VÄSTERNORRLANDS LÄN</t>
        </is>
      </c>
      <c r="E1390" t="inlineStr">
        <is>
          <t>ÅNGE</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37540-2024</t>
        </is>
      </c>
      <c r="B1391" s="1" t="n">
        <v>45541.42111111111</v>
      </c>
      <c r="C1391" s="1" t="n">
        <v>46061</v>
      </c>
      <c r="D1391" t="inlineStr">
        <is>
          <t>VÄSTERNORRLANDS LÄN</t>
        </is>
      </c>
      <c r="E1391" t="inlineStr">
        <is>
          <t>ÅNGE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42958-2024</t>
        </is>
      </c>
      <c r="B1392" s="1" t="n">
        <v>45567.37131944444</v>
      </c>
      <c r="C1392" s="1" t="n">
        <v>46061</v>
      </c>
      <c r="D1392" t="inlineStr">
        <is>
          <t>VÄSTERNORRLANDS LÄN</t>
        </is>
      </c>
      <c r="E1392" t="inlineStr">
        <is>
          <t>ÅNGE</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42969-2024</t>
        </is>
      </c>
      <c r="B1393" s="1" t="n">
        <v>45567.37300925926</v>
      </c>
      <c r="C1393" s="1" t="n">
        <v>46061</v>
      </c>
      <c r="D1393" t="inlineStr">
        <is>
          <t>VÄSTERNORRLANDS LÄN</t>
        </is>
      </c>
      <c r="E1393" t="inlineStr">
        <is>
          <t>ÅNGE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49502-2022</t>
        </is>
      </c>
      <c r="B1394" s="1" t="n">
        <v>44861.92613425926</v>
      </c>
      <c r="C1394" s="1" t="n">
        <v>46061</v>
      </c>
      <c r="D1394" t="inlineStr">
        <is>
          <t>VÄSTERNORRLANDS LÄN</t>
        </is>
      </c>
      <c r="E1394" t="inlineStr">
        <is>
          <t>ÅNGE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46061</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17601-2024</t>
        </is>
      </c>
      <c r="B1396" s="1" t="n">
        <v>45415</v>
      </c>
      <c r="C1396" s="1" t="n">
        <v>46061</v>
      </c>
      <c r="D1396" t="inlineStr">
        <is>
          <t>VÄSTERNORRLANDS LÄN</t>
        </is>
      </c>
      <c r="E1396" t="inlineStr">
        <is>
          <t>ÅNGE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34649-2024</t>
        </is>
      </c>
      <c r="B1397" s="1" t="n">
        <v>45526.48325231481</v>
      </c>
      <c r="C1397" s="1" t="n">
        <v>46061</v>
      </c>
      <c r="D1397" t="inlineStr">
        <is>
          <t>VÄSTERNORRLANDS LÄN</t>
        </is>
      </c>
      <c r="E1397" t="inlineStr">
        <is>
          <t>ÅNGE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13091-2024</t>
        </is>
      </c>
      <c r="B1398" s="1" t="n">
        <v>45385</v>
      </c>
      <c r="C1398" s="1" t="n">
        <v>46061</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20108-2025</t>
        </is>
      </c>
      <c r="B1399" s="1" t="n">
        <v>45772.47006944445</v>
      </c>
      <c r="C1399" s="1" t="n">
        <v>46061</v>
      </c>
      <c r="D1399" t="inlineStr">
        <is>
          <t>VÄSTERNORRLANDS LÄN</t>
        </is>
      </c>
      <c r="E1399" t="inlineStr">
        <is>
          <t>ÅNGE</t>
        </is>
      </c>
      <c r="F1399" t="inlineStr">
        <is>
          <t>Naturvårdsverket</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50419-2022</t>
        </is>
      </c>
      <c r="B1400" s="1" t="n">
        <v>44861</v>
      </c>
      <c r="C1400" s="1" t="n">
        <v>46061</v>
      </c>
      <c r="D1400" t="inlineStr">
        <is>
          <t>VÄSTERNORRLANDS LÄN</t>
        </is>
      </c>
      <c r="E1400" t="inlineStr">
        <is>
          <t>ÅNGE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8627-2023</t>
        </is>
      </c>
      <c r="B1401" s="1" t="n">
        <v>44977</v>
      </c>
      <c r="C1401" s="1" t="n">
        <v>46061</v>
      </c>
      <c r="D1401" t="inlineStr">
        <is>
          <t>VÄSTERNORRLANDS LÄN</t>
        </is>
      </c>
      <c r="E1401" t="inlineStr">
        <is>
          <t>ÅNGE</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49532-2024</t>
        </is>
      </c>
      <c r="B1402" s="1" t="n">
        <v>45596.41797453703</v>
      </c>
      <c r="C1402" s="1" t="n">
        <v>46061</v>
      </c>
      <c r="D1402" t="inlineStr">
        <is>
          <t>VÄSTERNORRLANDS LÄN</t>
        </is>
      </c>
      <c r="E1402" t="inlineStr">
        <is>
          <t>ÅNGE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11088-2024</t>
        </is>
      </c>
      <c r="B1403" s="1" t="n">
        <v>45370</v>
      </c>
      <c r="C1403" s="1" t="n">
        <v>46061</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13773-2024</t>
        </is>
      </c>
      <c r="B1404" s="1" t="n">
        <v>45390.95297453704</v>
      </c>
      <c r="C1404" s="1" t="n">
        <v>46061</v>
      </c>
      <c r="D1404" t="inlineStr">
        <is>
          <t>VÄSTERNORRLANDS LÄN</t>
        </is>
      </c>
      <c r="E1404" t="inlineStr">
        <is>
          <t>ÅNGE</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30348-2024</t>
        </is>
      </c>
      <c r="B1405" s="1" t="n">
        <v>45490.95524305556</v>
      </c>
      <c r="C1405" s="1" t="n">
        <v>46061</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54210-2024</t>
        </is>
      </c>
      <c r="B1406" s="1" t="n">
        <v>45616.65662037037</v>
      </c>
      <c r="C1406" s="1" t="n">
        <v>46061</v>
      </c>
      <c r="D1406" t="inlineStr">
        <is>
          <t>VÄSTERNORRLANDS LÄN</t>
        </is>
      </c>
      <c r="E1406" t="inlineStr">
        <is>
          <t>ÅNGE</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12807-2025</t>
        </is>
      </c>
      <c r="B1407" s="1" t="n">
        <v>45733.61537037037</v>
      </c>
      <c r="C1407" s="1" t="n">
        <v>46061</v>
      </c>
      <c r="D1407" t="inlineStr">
        <is>
          <t>VÄSTERNORRLANDS LÄN</t>
        </is>
      </c>
      <c r="E1407" t="inlineStr">
        <is>
          <t>ÅNGE</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5602-2025</t>
        </is>
      </c>
      <c r="B1408" s="1" t="n">
        <v>45693</v>
      </c>
      <c r="C1408" s="1" t="n">
        <v>46061</v>
      </c>
      <c r="D1408" t="inlineStr">
        <is>
          <t>VÄSTERNORRLANDS LÄN</t>
        </is>
      </c>
      <c r="E1408" t="inlineStr">
        <is>
          <t>ÅNGE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60578-2024</t>
        </is>
      </c>
      <c r="B1409" s="1" t="n">
        <v>45644.34434027778</v>
      </c>
      <c r="C1409" s="1" t="n">
        <v>46061</v>
      </c>
      <c r="D1409" t="inlineStr">
        <is>
          <t>VÄSTERNORRLANDS LÄN</t>
        </is>
      </c>
      <c r="E1409" t="inlineStr">
        <is>
          <t>ÅNGE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33302-2024</t>
        </is>
      </c>
      <c r="B1410" s="1" t="n">
        <v>45518.96967592592</v>
      </c>
      <c r="C1410" s="1" t="n">
        <v>46061</v>
      </c>
      <c r="D1410" t="inlineStr">
        <is>
          <t>VÄSTERNORRLANDS LÄN</t>
        </is>
      </c>
      <c r="E1410" t="inlineStr">
        <is>
          <t>ÅNGE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16593-2023</t>
        </is>
      </c>
      <c r="B1411" s="1" t="n">
        <v>45030</v>
      </c>
      <c r="C1411" s="1" t="n">
        <v>46061</v>
      </c>
      <c r="D1411" t="inlineStr">
        <is>
          <t>VÄSTERNORRLANDS LÄN</t>
        </is>
      </c>
      <c r="E1411" t="inlineStr">
        <is>
          <t>ÅNGE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16600-2023</t>
        </is>
      </c>
      <c r="B1412" s="1" t="n">
        <v>45030</v>
      </c>
      <c r="C1412" s="1" t="n">
        <v>46061</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10917-2024</t>
        </is>
      </c>
      <c r="B1413" s="1" t="n">
        <v>45370</v>
      </c>
      <c r="C1413" s="1" t="n">
        <v>46061</v>
      </c>
      <c r="D1413" t="inlineStr">
        <is>
          <t>VÄSTERNORRLANDS LÄN</t>
        </is>
      </c>
      <c r="E1413" t="inlineStr">
        <is>
          <t>ÅNGE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3022-2023</t>
        </is>
      </c>
      <c r="B1414" s="1" t="n">
        <v>44945</v>
      </c>
      <c r="C1414" s="1" t="n">
        <v>46061</v>
      </c>
      <c r="D1414" t="inlineStr">
        <is>
          <t>VÄSTERNORRLANDS LÄN</t>
        </is>
      </c>
      <c r="E1414" t="inlineStr">
        <is>
          <t>ÅNGE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34491-2023</t>
        </is>
      </c>
      <c r="B1415" s="1" t="n">
        <v>45139.94775462963</v>
      </c>
      <c r="C1415" s="1" t="n">
        <v>46061</v>
      </c>
      <c r="D1415" t="inlineStr">
        <is>
          <t>VÄSTERNORRLANDS LÄN</t>
        </is>
      </c>
      <c r="E1415" t="inlineStr">
        <is>
          <t>ÅNGE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3947-2025</t>
        </is>
      </c>
      <c r="B1416" s="1" t="n">
        <v>45684.49001157407</v>
      </c>
      <c r="C1416" s="1" t="n">
        <v>46061</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65633-2021</t>
        </is>
      </c>
      <c r="B1417" s="1" t="n">
        <v>44516.56181712963</v>
      </c>
      <c r="C1417" s="1" t="n">
        <v>46061</v>
      </c>
      <c r="D1417" t="inlineStr">
        <is>
          <t>VÄSTERNORRLANDS LÄN</t>
        </is>
      </c>
      <c r="E1417" t="inlineStr">
        <is>
          <t>ÅNGE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36457-2021</t>
        </is>
      </c>
      <c r="B1418" s="1" t="n">
        <v>44390.93858796296</v>
      </c>
      <c r="C1418" s="1" t="n">
        <v>46061</v>
      </c>
      <c r="D1418" t="inlineStr">
        <is>
          <t>VÄSTERNORRLANDS LÄN</t>
        </is>
      </c>
      <c r="E1418" t="inlineStr">
        <is>
          <t>ÅNGE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14927-2025</t>
        </is>
      </c>
      <c r="B1419" s="1" t="n">
        <v>45743</v>
      </c>
      <c r="C1419" s="1" t="n">
        <v>46061</v>
      </c>
      <c r="D1419" t="inlineStr">
        <is>
          <t>VÄSTERNORRLANDS LÄN</t>
        </is>
      </c>
      <c r="E1419" t="inlineStr">
        <is>
          <t>ÅNGE</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15167-2025</t>
        </is>
      </c>
      <c r="B1420" s="1" t="n">
        <v>45744.49009259259</v>
      </c>
      <c r="C1420" s="1" t="n">
        <v>46061</v>
      </c>
      <c r="D1420" t="inlineStr">
        <is>
          <t>VÄSTERNORRLANDS LÄN</t>
        </is>
      </c>
      <c r="E1420" t="inlineStr">
        <is>
          <t>ÅNGE</t>
        </is>
      </c>
      <c r="F1420" t="inlineStr">
        <is>
          <t>SCA</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64950-2023</t>
        </is>
      </c>
      <c r="B1421" s="1" t="n">
        <v>45282</v>
      </c>
      <c r="C1421" s="1" t="n">
        <v>46061</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24063-2023</t>
        </is>
      </c>
      <c r="B1422" s="1" t="n">
        <v>45078.94140046297</v>
      </c>
      <c r="C1422" s="1" t="n">
        <v>46061</v>
      </c>
      <c r="D1422" t="inlineStr">
        <is>
          <t>VÄSTERNORRLANDS LÄN</t>
        </is>
      </c>
      <c r="E1422" t="inlineStr">
        <is>
          <t>ÅNGE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49711-2024</t>
        </is>
      </c>
      <c r="B1423" s="1" t="n">
        <v>45596.69891203703</v>
      </c>
      <c r="C1423" s="1" t="n">
        <v>46061</v>
      </c>
      <c r="D1423" t="inlineStr">
        <is>
          <t>VÄSTERNORRLANDS LÄN</t>
        </is>
      </c>
      <c r="E1423" t="inlineStr">
        <is>
          <t>ÅNGE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3323-2023</t>
        </is>
      </c>
      <c r="B1424" s="1" t="n">
        <v>44945</v>
      </c>
      <c r="C1424" s="1" t="n">
        <v>46061</v>
      </c>
      <c r="D1424" t="inlineStr">
        <is>
          <t>VÄSTERNORRLANDS LÄN</t>
        </is>
      </c>
      <c r="E1424" t="inlineStr">
        <is>
          <t>ÅNGE</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1711-2025</t>
        </is>
      </c>
      <c r="B1425" s="1" t="n">
        <v>45671.31184027778</v>
      </c>
      <c r="C1425" s="1" t="n">
        <v>46061</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1714-2025</t>
        </is>
      </c>
      <c r="B1426" s="1" t="n">
        <v>45671.32474537037</v>
      </c>
      <c r="C1426" s="1" t="n">
        <v>46061</v>
      </c>
      <c r="D1426" t="inlineStr">
        <is>
          <t>VÄSTERNORRLANDS LÄN</t>
        </is>
      </c>
      <c r="E1426" t="inlineStr">
        <is>
          <t>ÅNGE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31866-2024</t>
        </is>
      </c>
      <c r="B1427" s="1" t="n">
        <v>45509</v>
      </c>
      <c r="C1427" s="1" t="n">
        <v>46061</v>
      </c>
      <c r="D1427" t="inlineStr">
        <is>
          <t>VÄSTERNORRLANDS LÄN</t>
        </is>
      </c>
      <c r="E1427" t="inlineStr">
        <is>
          <t>ÅNGE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31867-2024</t>
        </is>
      </c>
      <c r="B1428" s="1" t="n">
        <v>45509</v>
      </c>
      <c r="C1428" s="1" t="n">
        <v>46061</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33428-2023</t>
        </is>
      </c>
      <c r="B1429" s="1" t="n">
        <v>45128.94976851852</v>
      </c>
      <c r="C1429" s="1" t="n">
        <v>46061</v>
      </c>
      <c r="D1429" t="inlineStr">
        <is>
          <t>VÄSTERNORRLANDS LÄN</t>
        </is>
      </c>
      <c r="E1429" t="inlineStr">
        <is>
          <t>ÅNGE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10557-2023</t>
        </is>
      </c>
      <c r="B1430" s="1" t="n">
        <v>44987</v>
      </c>
      <c r="C1430" s="1" t="n">
        <v>46061</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19926-2025</t>
        </is>
      </c>
      <c r="B1431" s="1" t="n">
        <v>45771.6357175926</v>
      </c>
      <c r="C1431" s="1" t="n">
        <v>46061</v>
      </c>
      <c r="D1431" t="inlineStr">
        <is>
          <t>VÄSTERNORRLANDS LÄN</t>
        </is>
      </c>
      <c r="E1431" t="inlineStr">
        <is>
          <t>ÅNGE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6610-2025</t>
        </is>
      </c>
      <c r="B1432" s="1" t="n">
        <v>45700</v>
      </c>
      <c r="C1432" s="1" t="n">
        <v>46061</v>
      </c>
      <c r="D1432" t="inlineStr">
        <is>
          <t>VÄSTERNORRLANDS LÄN</t>
        </is>
      </c>
      <c r="E1432" t="inlineStr">
        <is>
          <t>ÅNGE</t>
        </is>
      </c>
      <c r="F1432" t="inlineStr">
        <is>
          <t>SCA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58997-2023</t>
        </is>
      </c>
      <c r="B1433" s="1" t="n">
        <v>45252.6352662037</v>
      </c>
      <c r="C1433" s="1" t="n">
        <v>46061</v>
      </c>
      <c r="D1433" t="inlineStr">
        <is>
          <t>VÄSTERNORRLANDS LÄN</t>
        </is>
      </c>
      <c r="E1433" t="inlineStr">
        <is>
          <t>ÅNGE</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44639-2023</t>
        </is>
      </c>
      <c r="B1434" s="1" t="n">
        <v>45184</v>
      </c>
      <c r="C1434" s="1" t="n">
        <v>46061</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43552-2023</t>
        </is>
      </c>
      <c r="B1435" s="1" t="n">
        <v>45181</v>
      </c>
      <c r="C1435" s="1" t="n">
        <v>46061</v>
      </c>
      <c r="D1435" t="inlineStr">
        <is>
          <t>VÄSTERNORRLANDS LÄN</t>
        </is>
      </c>
      <c r="E1435" t="inlineStr">
        <is>
          <t>ÅNGE</t>
        </is>
      </c>
      <c r="F1435" t="inlineStr">
        <is>
          <t>SCA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1735-2025</t>
        </is>
      </c>
      <c r="B1436" s="1" t="n">
        <v>45671.38594907407</v>
      </c>
      <c r="C1436" s="1" t="n">
        <v>46061</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23018-2021</t>
        </is>
      </c>
      <c r="B1437" s="1" t="n">
        <v>44328</v>
      </c>
      <c r="C1437" s="1" t="n">
        <v>46061</v>
      </c>
      <c r="D1437" t="inlineStr">
        <is>
          <t>VÄSTERNORRLANDS LÄN</t>
        </is>
      </c>
      <c r="E1437" t="inlineStr">
        <is>
          <t>ÅNGE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50231-2024</t>
        </is>
      </c>
      <c r="B1438" s="1" t="n">
        <v>45600.55251157407</v>
      </c>
      <c r="C1438" s="1" t="n">
        <v>46061</v>
      </c>
      <c r="D1438" t="inlineStr">
        <is>
          <t>VÄSTERNORRLANDS LÄN</t>
        </is>
      </c>
      <c r="E1438" t="inlineStr">
        <is>
          <t>ÅNGE</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60205-2023</t>
        </is>
      </c>
      <c r="B1439" s="1" t="n">
        <v>45257</v>
      </c>
      <c r="C1439" s="1" t="n">
        <v>46061</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15287-2025</t>
        </is>
      </c>
      <c r="B1440" s="1" t="n">
        <v>45745</v>
      </c>
      <c r="C1440" s="1" t="n">
        <v>46061</v>
      </c>
      <c r="D1440" t="inlineStr">
        <is>
          <t>VÄSTERNORRLANDS LÄN</t>
        </is>
      </c>
      <c r="E1440" t="inlineStr">
        <is>
          <t>ÅNGE</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4186-2025</t>
        </is>
      </c>
      <c r="B1441" s="1" t="n">
        <v>45685.44827546296</v>
      </c>
      <c r="C1441" s="1" t="n">
        <v>46061</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39991-2023</t>
        </is>
      </c>
      <c r="B1442" s="1" t="n">
        <v>45168.6043287037</v>
      </c>
      <c r="C1442" s="1" t="n">
        <v>46061</v>
      </c>
      <c r="D1442" t="inlineStr">
        <is>
          <t>VÄSTERNORRLANDS LÄN</t>
        </is>
      </c>
      <c r="E1442" t="inlineStr">
        <is>
          <t>ÅNGE</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1775-2023</t>
        </is>
      </c>
      <c r="B1443" s="1" t="n">
        <v>44938</v>
      </c>
      <c r="C1443" s="1" t="n">
        <v>46061</v>
      </c>
      <c r="D1443" t="inlineStr">
        <is>
          <t>VÄSTERNORRLANDS LÄN</t>
        </is>
      </c>
      <c r="E1443" t="inlineStr">
        <is>
          <t>ÅNGE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31182-2024</t>
        </is>
      </c>
      <c r="B1444" s="1" t="n">
        <v>45503</v>
      </c>
      <c r="C1444" s="1" t="n">
        <v>46061</v>
      </c>
      <c r="D1444" t="inlineStr">
        <is>
          <t>VÄSTERNORRLANDS LÄN</t>
        </is>
      </c>
      <c r="E1444" t="inlineStr">
        <is>
          <t>ÅNGE</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56956-2022</t>
        </is>
      </c>
      <c r="B1445" s="1" t="n">
        <v>44894</v>
      </c>
      <c r="C1445" s="1" t="n">
        <v>46061</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27321-2024</t>
        </is>
      </c>
      <c r="B1446" s="1" t="n">
        <v>45471</v>
      </c>
      <c r="C1446" s="1" t="n">
        <v>46061</v>
      </c>
      <c r="D1446" t="inlineStr">
        <is>
          <t>VÄSTERNORRLANDS LÄN</t>
        </is>
      </c>
      <c r="E1446" t="inlineStr">
        <is>
          <t>ÅNGE</t>
        </is>
      </c>
      <c r="F1446" t="inlineStr">
        <is>
          <t>SCA</t>
        </is>
      </c>
      <c r="G1446" t="n">
        <v>14.1</v>
      </c>
      <c r="H1446" t="n">
        <v>0</v>
      </c>
      <c r="I1446" t="n">
        <v>0</v>
      </c>
      <c r="J1446" t="n">
        <v>0</v>
      </c>
      <c r="K1446" t="n">
        <v>0</v>
      </c>
      <c r="L1446" t="n">
        <v>0</v>
      </c>
      <c r="M1446" t="n">
        <v>0</v>
      </c>
      <c r="N1446" t="n">
        <v>0</v>
      </c>
      <c r="O1446" t="n">
        <v>0</v>
      </c>
      <c r="P1446" t="n">
        <v>0</v>
      </c>
      <c r="Q1446" t="n">
        <v>0</v>
      </c>
      <c r="R1446" s="2" t="inlineStr"/>
    </row>
    <row r="1447" ht="15" customHeight="1">
      <c r="A1447" t="inlineStr">
        <is>
          <t>A 29667-2024</t>
        </is>
      </c>
      <c r="B1447" s="1" t="n">
        <v>45484.94041666666</v>
      </c>
      <c r="C1447" s="1" t="n">
        <v>46061</v>
      </c>
      <c r="D1447" t="inlineStr">
        <is>
          <t>VÄSTERNORRLANDS LÄN</t>
        </is>
      </c>
      <c r="E1447" t="inlineStr">
        <is>
          <t>ÅNGE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8418-2023</t>
        </is>
      </c>
      <c r="B1448" s="1" t="n">
        <v>44971</v>
      </c>
      <c r="C1448" s="1" t="n">
        <v>46061</v>
      </c>
      <c r="D1448" t="inlineStr">
        <is>
          <t>VÄSTERNORRLANDS LÄN</t>
        </is>
      </c>
      <c r="E1448" t="inlineStr">
        <is>
          <t>ÅNGE</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20024-2023</t>
        </is>
      </c>
      <c r="B1449" s="1" t="n">
        <v>45051</v>
      </c>
      <c r="C1449" s="1" t="n">
        <v>46061</v>
      </c>
      <c r="D1449" t="inlineStr">
        <is>
          <t>VÄSTERNORRLANDS LÄN</t>
        </is>
      </c>
      <c r="E1449" t="inlineStr">
        <is>
          <t>ÅNGE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54982-2023</t>
        </is>
      </c>
      <c r="B1450" s="1" t="n">
        <v>45236</v>
      </c>
      <c r="C1450" s="1" t="n">
        <v>46061</v>
      </c>
      <c r="D1450" t="inlineStr">
        <is>
          <t>VÄSTERNORRLANDS LÄN</t>
        </is>
      </c>
      <c r="E1450" t="inlineStr">
        <is>
          <t>ÅNGE</t>
        </is>
      </c>
      <c r="F1450" t="inlineStr">
        <is>
          <t>SCA</t>
        </is>
      </c>
      <c r="G1450" t="n">
        <v>26.2</v>
      </c>
      <c r="H1450" t="n">
        <v>0</v>
      </c>
      <c r="I1450" t="n">
        <v>0</v>
      </c>
      <c r="J1450" t="n">
        <v>0</v>
      </c>
      <c r="K1450" t="n">
        <v>0</v>
      </c>
      <c r="L1450" t="n">
        <v>0</v>
      </c>
      <c r="M1450" t="n">
        <v>0</v>
      </c>
      <c r="N1450" t="n">
        <v>0</v>
      </c>
      <c r="O1450" t="n">
        <v>0</v>
      </c>
      <c r="P1450" t="n">
        <v>0</v>
      </c>
      <c r="Q1450" t="n">
        <v>0</v>
      </c>
      <c r="R1450" s="2" t="inlineStr"/>
    </row>
    <row r="1451" ht="15" customHeight="1">
      <c r="A1451" t="inlineStr">
        <is>
          <t>A 45939-2023</t>
        </is>
      </c>
      <c r="B1451" s="1" t="n">
        <v>45195.94578703704</v>
      </c>
      <c r="C1451" s="1" t="n">
        <v>46061</v>
      </c>
      <c r="D1451" t="inlineStr">
        <is>
          <t>VÄSTERNORRLANDS LÄN</t>
        </is>
      </c>
      <c r="E1451" t="inlineStr">
        <is>
          <t>ÅNGE</t>
        </is>
      </c>
      <c r="F1451" t="inlineStr">
        <is>
          <t>SCA</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51311-2022</t>
        </is>
      </c>
      <c r="B1452" s="1" t="n">
        <v>44868</v>
      </c>
      <c r="C1452" s="1" t="n">
        <v>46061</v>
      </c>
      <c r="D1452" t="inlineStr">
        <is>
          <t>VÄSTERNORRLANDS LÄN</t>
        </is>
      </c>
      <c r="E1452" t="inlineStr">
        <is>
          <t>ÅNGE</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63216-2023</t>
        </is>
      </c>
      <c r="B1453" s="1" t="n">
        <v>45273.62721064815</v>
      </c>
      <c r="C1453" s="1" t="n">
        <v>46061</v>
      </c>
      <c r="D1453" t="inlineStr">
        <is>
          <t>VÄSTERNORRLANDS LÄN</t>
        </is>
      </c>
      <c r="E1453" t="inlineStr">
        <is>
          <t>ÅNGE</t>
        </is>
      </c>
      <c r="F1453" t="inlineStr">
        <is>
          <t>Holmen skog AB</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43916-2023</t>
        </is>
      </c>
      <c r="B1454" s="1" t="n">
        <v>45187.72152777778</v>
      </c>
      <c r="C1454" s="1" t="n">
        <v>46061</v>
      </c>
      <c r="D1454" t="inlineStr">
        <is>
          <t>VÄSTERNORRLANDS LÄN</t>
        </is>
      </c>
      <c r="E1454" t="inlineStr">
        <is>
          <t>ÅNGE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19065-2025</t>
        </is>
      </c>
      <c r="B1455" s="1" t="n">
        <v>45765</v>
      </c>
      <c r="C1455" s="1" t="n">
        <v>46061</v>
      </c>
      <c r="D1455" t="inlineStr">
        <is>
          <t>VÄSTERNORRLANDS LÄN</t>
        </is>
      </c>
      <c r="E1455" t="inlineStr">
        <is>
          <t>ÅNGE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36492-2023</t>
        </is>
      </c>
      <c r="B1456" s="1" t="n">
        <v>45152.92479166666</v>
      </c>
      <c r="C1456" s="1" t="n">
        <v>46061</v>
      </c>
      <c r="D1456" t="inlineStr">
        <is>
          <t>VÄSTERNORRLANDS LÄN</t>
        </is>
      </c>
      <c r="E1456" t="inlineStr">
        <is>
          <t>ÅNGE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46332-2023</t>
        </is>
      </c>
      <c r="B1457" s="1" t="n">
        <v>45196</v>
      </c>
      <c r="C1457" s="1" t="n">
        <v>46061</v>
      </c>
      <c r="D1457" t="inlineStr">
        <is>
          <t>VÄSTERNORRLANDS LÄN</t>
        </is>
      </c>
      <c r="E1457" t="inlineStr">
        <is>
          <t>ÅNGE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26943-2024</t>
        </is>
      </c>
      <c r="B1458" s="1" t="n">
        <v>45470</v>
      </c>
      <c r="C1458" s="1" t="n">
        <v>46061</v>
      </c>
      <c r="D1458" t="inlineStr">
        <is>
          <t>VÄSTERNORRLANDS LÄN</t>
        </is>
      </c>
      <c r="E1458" t="inlineStr">
        <is>
          <t>ÅNGE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55882-2022</t>
        </is>
      </c>
      <c r="B1459" s="1" t="n">
        <v>44888</v>
      </c>
      <c r="C1459" s="1" t="n">
        <v>46061</v>
      </c>
      <c r="D1459" t="inlineStr">
        <is>
          <t>VÄSTERNORRLANDS LÄN</t>
        </is>
      </c>
      <c r="E1459" t="inlineStr">
        <is>
          <t>ÅNGE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6686-2024</t>
        </is>
      </c>
      <c r="B1460" s="1" t="n">
        <v>45341</v>
      </c>
      <c r="C1460" s="1" t="n">
        <v>46061</v>
      </c>
      <c r="D1460" t="inlineStr">
        <is>
          <t>VÄSTERNORRLANDS LÄN</t>
        </is>
      </c>
      <c r="E1460" t="inlineStr">
        <is>
          <t>ÅNGE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63556-2021</t>
        </is>
      </c>
      <c r="B1461" s="1" t="n">
        <v>44508.70231481481</v>
      </c>
      <c r="C1461" s="1" t="n">
        <v>46061</v>
      </c>
      <c r="D1461" t="inlineStr">
        <is>
          <t>VÄSTERNORRLANDS LÄN</t>
        </is>
      </c>
      <c r="E1461" t="inlineStr">
        <is>
          <t>ÅNGE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6608-2025</t>
        </is>
      </c>
      <c r="B1462" s="1" t="n">
        <v>45700.34415509259</v>
      </c>
      <c r="C1462" s="1" t="n">
        <v>46061</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30682-2024</t>
        </is>
      </c>
      <c r="B1463" s="1" t="n">
        <v>45495.95109953704</v>
      </c>
      <c r="C1463" s="1" t="n">
        <v>46061</v>
      </c>
      <c r="D1463" t="inlineStr">
        <is>
          <t>VÄSTERNORRLANDS LÄN</t>
        </is>
      </c>
      <c r="E1463" t="inlineStr">
        <is>
          <t>ÅNGE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3253-2024</t>
        </is>
      </c>
      <c r="B1464" s="1" t="n">
        <v>45316</v>
      </c>
      <c r="C1464" s="1" t="n">
        <v>46061</v>
      </c>
      <c r="D1464" t="inlineStr">
        <is>
          <t>VÄSTERNORRLANDS LÄN</t>
        </is>
      </c>
      <c r="E1464" t="inlineStr">
        <is>
          <t>ÅNGE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34783-2021</t>
        </is>
      </c>
      <c r="B1465" s="1" t="n">
        <v>44382</v>
      </c>
      <c r="C1465" s="1" t="n">
        <v>46061</v>
      </c>
      <c r="D1465" t="inlineStr">
        <is>
          <t>VÄSTERNORRLANDS LÄN</t>
        </is>
      </c>
      <c r="E1465" t="inlineStr">
        <is>
          <t>ÅNGE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58748-2023</t>
        </is>
      </c>
      <c r="B1466" s="1" t="n">
        <v>45251.92936342592</v>
      </c>
      <c r="C1466" s="1" t="n">
        <v>46061</v>
      </c>
      <c r="D1466" t="inlineStr">
        <is>
          <t>VÄSTERNORRLANDS LÄN</t>
        </is>
      </c>
      <c r="E1466" t="inlineStr">
        <is>
          <t>ÅNGE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51070-2024</t>
        </is>
      </c>
      <c r="B1467" s="1" t="n">
        <v>45603</v>
      </c>
      <c r="C1467" s="1" t="n">
        <v>46061</v>
      </c>
      <c r="D1467" t="inlineStr">
        <is>
          <t>VÄSTERNORRLANDS LÄN</t>
        </is>
      </c>
      <c r="E1467" t="inlineStr">
        <is>
          <t>ÅNGE</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51871-2024</t>
        </is>
      </c>
      <c r="B1468" s="1" t="n">
        <v>45607</v>
      </c>
      <c r="C1468" s="1" t="n">
        <v>46061</v>
      </c>
      <c r="D1468" t="inlineStr">
        <is>
          <t>VÄSTERNORRLANDS LÄN</t>
        </is>
      </c>
      <c r="E1468" t="inlineStr">
        <is>
          <t>ÅNGE</t>
        </is>
      </c>
      <c r="F1468" t="inlineStr">
        <is>
          <t>SCA</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57636-2022</t>
        </is>
      </c>
      <c r="B1469" s="1" t="n">
        <v>44897</v>
      </c>
      <c r="C1469" s="1" t="n">
        <v>46061</v>
      </c>
      <c r="D1469" t="inlineStr">
        <is>
          <t>VÄSTERNORRLANDS LÄN</t>
        </is>
      </c>
      <c r="E1469" t="inlineStr">
        <is>
          <t>ÅNGE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34971-2023</t>
        </is>
      </c>
      <c r="B1470" s="1" t="n">
        <v>45142.61635416667</v>
      </c>
      <c r="C1470" s="1" t="n">
        <v>46061</v>
      </c>
      <c r="D1470" t="inlineStr">
        <is>
          <t>VÄSTERNORRLANDS LÄN</t>
        </is>
      </c>
      <c r="E1470" t="inlineStr">
        <is>
          <t>ÅNGE</t>
        </is>
      </c>
      <c r="F1470" t="inlineStr">
        <is>
          <t>Sveaskog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55329-2023</t>
        </is>
      </c>
      <c r="B1471" s="1" t="n">
        <v>45237</v>
      </c>
      <c r="C1471" s="1" t="n">
        <v>46061</v>
      </c>
      <c r="D1471" t="inlineStr">
        <is>
          <t>VÄSTERNORRLANDS LÄN</t>
        </is>
      </c>
      <c r="E1471" t="inlineStr">
        <is>
          <t>ÅNGE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46061</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52804-2024</t>
        </is>
      </c>
      <c r="B1473" s="1" t="n">
        <v>45610.57322916666</v>
      </c>
      <c r="C1473" s="1" t="n">
        <v>46061</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30055-2024</t>
        </is>
      </c>
      <c r="B1474" s="1" t="n">
        <v>45488.94767361111</v>
      </c>
      <c r="C1474" s="1" t="n">
        <v>46061</v>
      </c>
      <c r="D1474" t="inlineStr">
        <is>
          <t>VÄSTERNORRLANDS LÄN</t>
        </is>
      </c>
      <c r="E1474" t="inlineStr">
        <is>
          <t>ÅNGE</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42346-2023</t>
        </is>
      </c>
      <c r="B1475" s="1" t="n">
        <v>45180</v>
      </c>
      <c r="C1475" s="1" t="n">
        <v>46061</v>
      </c>
      <c r="D1475" t="inlineStr">
        <is>
          <t>VÄSTERNORRLANDS LÄN</t>
        </is>
      </c>
      <c r="E1475" t="inlineStr">
        <is>
          <t>ÅNGE</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137-2025</t>
        </is>
      </c>
      <c r="B1476" s="1" t="n">
        <v>45659.57684027778</v>
      </c>
      <c r="C1476" s="1" t="n">
        <v>46061</v>
      </c>
      <c r="D1476" t="inlineStr">
        <is>
          <t>VÄSTERNORRLANDS LÄN</t>
        </is>
      </c>
      <c r="E1476" t="inlineStr">
        <is>
          <t>ÅNGE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55380-2024</t>
        </is>
      </c>
      <c r="B1477" s="1" t="n">
        <v>45622.28810185185</v>
      </c>
      <c r="C1477" s="1" t="n">
        <v>46061</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56615-2023</t>
        </is>
      </c>
      <c r="B1478" s="1" t="n">
        <v>45243</v>
      </c>
      <c r="C1478" s="1" t="n">
        <v>46061</v>
      </c>
      <c r="D1478" t="inlineStr">
        <is>
          <t>VÄSTERNORRLANDS LÄN</t>
        </is>
      </c>
      <c r="E1478" t="inlineStr">
        <is>
          <t>ÅNGE</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57601-2022</t>
        </is>
      </c>
      <c r="B1479" s="1" t="n">
        <v>44896</v>
      </c>
      <c r="C1479" s="1" t="n">
        <v>46061</v>
      </c>
      <c r="D1479" t="inlineStr">
        <is>
          <t>VÄSTERNORRLANDS LÄN</t>
        </is>
      </c>
      <c r="E1479" t="inlineStr">
        <is>
          <t>ÅNGE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22678-2024</t>
        </is>
      </c>
      <c r="B1480" s="1" t="n">
        <v>45447.94533564815</v>
      </c>
      <c r="C1480" s="1" t="n">
        <v>46061</v>
      </c>
      <c r="D1480" t="inlineStr">
        <is>
          <t>VÄSTERNORRLANDS LÄN</t>
        </is>
      </c>
      <c r="E1480" t="inlineStr">
        <is>
          <t>ÅNGE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64121-2021</t>
        </is>
      </c>
      <c r="B1481" s="1" t="n">
        <v>44510.4730787037</v>
      </c>
      <c r="C1481" s="1" t="n">
        <v>46061</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71965-2021</t>
        </is>
      </c>
      <c r="B1482" s="1" t="n">
        <v>44544.32483796297</v>
      </c>
      <c r="C1482" s="1" t="n">
        <v>46061</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62834-2021</t>
        </is>
      </c>
      <c r="B1483" s="1" t="n">
        <v>44503</v>
      </c>
      <c r="C1483" s="1" t="n">
        <v>46061</v>
      </c>
      <c r="D1483" t="inlineStr">
        <is>
          <t>VÄSTERNORRLANDS LÄN</t>
        </is>
      </c>
      <c r="E1483" t="inlineStr">
        <is>
          <t>ÅNGE</t>
        </is>
      </c>
      <c r="F1483" t="inlineStr">
        <is>
          <t>Övriga statliga verk och myndigheter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7535-2023</t>
        </is>
      </c>
      <c r="B1484" s="1" t="n">
        <v>44971</v>
      </c>
      <c r="C1484" s="1" t="n">
        <v>46061</v>
      </c>
      <c r="D1484" t="inlineStr">
        <is>
          <t>VÄSTERNORRLANDS LÄN</t>
        </is>
      </c>
      <c r="E1484" t="inlineStr">
        <is>
          <t>ÅNGE</t>
        </is>
      </c>
      <c r="F1484" t="inlineStr">
        <is>
          <t>SCA</t>
        </is>
      </c>
      <c r="G1484" t="n">
        <v>14.6</v>
      </c>
      <c r="H1484" t="n">
        <v>0</v>
      </c>
      <c r="I1484" t="n">
        <v>0</v>
      </c>
      <c r="J1484" t="n">
        <v>0</v>
      </c>
      <c r="K1484" t="n">
        <v>0</v>
      </c>
      <c r="L1484" t="n">
        <v>0</v>
      </c>
      <c r="M1484" t="n">
        <v>0</v>
      </c>
      <c r="N1484" t="n">
        <v>0</v>
      </c>
      <c r="O1484" t="n">
        <v>0</v>
      </c>
      <c r="P1484" t="n">
        <v>0</v>
      </c>
      <c r="Q1484" t="n">
        <v>0</v>
      </c>
      <c r="R1484" s="2" t="inlineStr"/>
    </row>
    <row r="1485" ht="15" customHeight="1">
      <c r="A1485" t="inlineStr">
        <is>
          <t>A 41586-2024</t>
        </is>
      </c>
      <c r="B1485" s="1" t="n">
        <v>45560.56089120371</v>
      </c>
      <c r="C1485" s="1" t="n">
        <v>46061</v>
      </c>
      <c r="D1485" t="inlineStr">
        <is>
          <t>VÄSTERNORRLANDS LÄN</t>
        </is>
      </c>
      <c r="E1485" t="inlineStr">
        <is>
          <t>ÅNGE</t>
        </is>
      </c>
      <c r="F1485" t="inlineStr">
        <is>
          <t>Holmen skog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48946-2024</t>
        </is>
      </c>
      <c r="B1486" s="1" t="n">
        <v>45594.42736111111</v>
      </c>
      <c r="C1486" s="1" t="n">
        <v>46061</v>
      </c>
      <c r="D1486" t="inlineStr">
        <is>
          <t>VÄSTERNORRLANDS LÄN</t>
        </is>
      </c>
      <c r="E1486" t="inlineStr">
        <is>
          <t>ÅNGE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33429-2023</t>
        </is>
      </c>
      <c r="B1487" s="1" t="n">
        <v>45128.94983796297</v>
      </c>
      <c r="C1487" s="1" t="n">
        <v>46061</v>
      </c>
      <c r="D1487" t="inlineStr">
        <is>
          <t>VÄSTERNORRLANDS LÄN</t>
        </is>
      </c>
      <c r="E1487" t="inlineStr">
        <is>
          <t>ÅNGE</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22597-2021</t>
        </is>
      </c>
      <c r="B1488" s="1" t="n">
        <v>44326</v>
      </c>
      <c r="C1488" s="1" t="n">
        <v>46061</v>
      </c>
      <c r="D1488" t="inlineStr">
        <is>
          <t>VÄSTERNORRLANDS LÄN</t>
        </is>
      </c>
      <c r="E1488" t="inlineStr">
        <is>
          <t>ÅNGE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20255-2023</t>
        </is>
      </c>
      <c r="B1489" s="1" t="n">
        <v>45055</v>
      </c>
      <c r="C1489" s="1" t="n">
        <v>46061</v>
      </c>
      <c r="D1489" t="inlineStr">
        <is>
          <t>VÄSTERNORRLANDS LÄN</t>
        </is>
      </c>
      <c r="E1489" t="inlineStr">
        <is>
          <t>ÅNGE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11871-2025</t>
        </is>
      </c>
      <c r="B1490" s="1" t="n">
        <v>45728.42740740741</v>
      </c>
      <c r="C1490" s="1" t="n">
        <v>46061</v>
      </c>
      <c r="D1490" t="inlineStr">
        <is>
          <t>VÄSTERNORRLANDS LÄN</t>
        </is>
      </c>
      <c r="E1490" t="inlineStr">
        <is>
          <t>ÅNGE</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16934-2025</t>
        </is>
      </c>
      <c r="B1491" s="1" t="n">
        <v>45755.40671296296</v>
      </c>
      <c r="C1491" s="1" t="n">
        <v>46061</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16281-2023</t>
        </is>
      </c>
      <c r="B1492" s="1" t="n">
        <v>45028</v>
      </c>
      <c r="C1492" s="1" t="n">
        <v>46061</v>
      </c>
      <c r="D1492" t="inlineStr">
        <is>
          <t>VÄSTERNORRLANDS LÄN</t>
        </is>
      </c>
      <c r="E1492" t="inlineStr">
        <is>
          <t>ÅNGE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26012-2024</t>
        </is>
      </c>
      <c r="B1493" s="1" t="n">
        <v>45467</v>
      </c>
      <c r="C1493" s="1" t="n">
        <v>46061</v>
      </c>
      <c r="D1493" t="inlineStr">
        <is>
          <t>VÄSTERNORRLANDS LÄN</t>
        </is>
      </c>
      <c r="E1493" t="inlineStr">
        <is>
          <t>ÅNGE</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26015-2024</t>
        </is>
      </c>
      <c r="B1494" s="1" t="n">
        <v>45467.95872685185</v>
      </c>
      <c r="C1494" s="1" t="n">
        <v>46061</v>
      </c>
      <c r="D1494" t="inlineStr">
        <is>
          <t>VÄSTERNORRLANDS LÄN</t>
        </is>
      </c>
      <c r="E1494" t="inlineStr">
        <is>
          <t>ÅNGE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48697-2024</t>
        </is>
      </c>
      <c r="B1495" s="1" t="n">
        <v>45593.51136574074</v>
      </c>
      <c r="C1495" s="1" t="n">
        <v>46061</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1095-2023</t>
        </is>
      </c>
      <c r="B1496" s="1" t="n">
        <v>44929</v>
      </c>
      <c r="C1496" s="1" t="n">
        <v>46061</v>
      </c>
      <c r="D1496" t="inlineStr">
        <is>
          <t>VÄSTERNORRLANDS LÄN</t>
        </is>
      </c>
      <c r="E1496" t="inlineStr">
        <is>
          <t>ÅNGE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46061</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16657-2025</t>
        </is>
      </c>
      <c r="B1498" s="1" t="n">
        <v>45754.40700231482</v>
      </c>
      <c r="C1498" s="1" t="n">
        <v>46061</v>
      </c>
      <c r="D1498" t="inlineStr">
        <is>
          <t>VÄSTERNORRLANDS LÄN</t>
        </is>
      </c>
      <c r="E1498" t="inlineStr">
        <is>
          <t>ÅNGE</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63709-2023</t>
        </is>
      </c>
      <c r="B1499" s="1" t="n">
        <v>45275.95069444444</v>
      </c>
      <c r="C1499" s="1" t="n">
        <v>46061</v>
      </c>
      <c r="D1499" t="inlineStr">
        <is>
          <t>VÄSTERNORRLANDS LÄN</t>
        </is>
      </c>
      <c r="E1499" t="inlineStr">
        <is>
          <t>ÅNGE</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30353-2024</t>
        </is>
      </c>
      <c r="B1500" s="1" t="n">
        <v>45490.95567129629</v>
      </c>
      <c r="C1500" s="1" t="n">
        <v>46061</v>
      </c>
      <c r="D1500" t="inlineStr">
        <is>
          <t>VÄSTERNORRLANDS LÄN</t>
        </is>
      </c>
      <c r="E1500" t="inlineStr">
        <is>
          <t>ÅNGE</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4187-2025</t>
        </is>
      </c>
      <c r="B1501" s="1" t="n">
        <v>45685.44842592593</v>
      </c>
      <c r="C1501" s="1" t="n">
        <v>46061</v>
      </c>
      <c r="D1501" t="inlineStr">
        <is>
          <t>VÄSTERNORRLANDS LÄN</t>
        </is>
      </c>
      <c r="E1501" t="inlineStr">
        <is>
          <t>ÅNGE</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58929-2024</t>
        </is>
      </c>
      <c r="B1502" s="1" t="n">
        <v>45636.51090277778</v>
      </c>
      <c r="C1502" s="1" t="n">
        <v>46061</v>
      </c>
      <c r="D1502" t="inlineStr">
        <is>
          <t>VÄSTERNORRLANDS LÄN</t>
        </is>
      </c>
      <c r="E1502" t="inlineStr">
        <is>
          <t>ÅNGE</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42100-2023</t>
        </is>
      </c>
      <c r="B1503" s="1" t="n">
        <v>45174</v>
      </c>
      <c r="C1503" s="1" t="n">
        <v>46061</v>
      </c>
      <c r="D1503" t="inlineStr">
        <is>
          <t>VÄSTERNORRLANDS LÄN</t>
        </is>
      </c>
      <c r="E1503" t="inlineStr">
        <is>
          <t>ÅNGE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2365-2024</t>
        </is>
      </c>
      <c r="B1504" s="1" t="n">
        <v>45310.59778935185</v>
      </c>
      <c r="C1504" s="1" t="n">
        <v>46061</v>
      </c>
      <c r="D1504" t="inlineStr">
        <is>
          <t>VÄSTERNORRLANDS LÄN</t>
        </is>
      </c>
      <c r="E1504" t="inlineStr">
        <is>
          <t>ÅNGE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2372-2024</t>
        </is>
      </c>
      <c r="B1505" s="1" t="n">
        <v>45310.6115625</v>
      </c>
      <c r="C1505" s="1" t="n">
        <v>46061</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21068-2025</t>
        </is>
      </c>
      <c r="B1506" s="1" t="n">
        <v>45777.59413194445</v>
      </c>
      <c r="C1506" s="1" t="n">
        <v>46061</v>
      </c>
      <c r="D1506" t="inlineStr">
        <is>
          <t>VÄSTERNORRLANDS LÄN</t>
        </is>
      </c>
      <c r="E1506" t="inlineStr">
        <is>
          <t>ÅNGE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20864-2025</t>
        </is>
      </c>
      <c r="B1507" s="1" t="n">
        <v>45777.34417824074</v>
      </c>
      <c r="C1507" s="1" t="n">
        <v>46061</v>
      </c>
      <c r="D1507" t="inlineStr">
        <is>
          <t>VÄSTERNORRLANDS LÄN</t>
        </is>
      </c>
      <c r="E1507" t="inlineStr">
        <is>
          <t>ÅNGE</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20868-2025</t>
        </is>
      </c>
      <c r="B1508" s="1" t="n">
        <v>45777.34483796296</v>
      </c>
      <c r="C1508" s="1" t="n">
        <v>46061</v>
      </c>
      <c r="D1508" t="inlineStr">
        <is>
          <t>VÄSTERNORRLANDS LÄN</t>
        </is>
      </c>
      <c r="E1508" t="inlineStr">
        <is>
          <t>ÅNGE</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20718-2025</t>
        </is>
      </c>
      <c r="B1509" s="1" t="n">
        <v>45776.49047453704</v>
      </c>
      <c r="C1509" s="1" t="n">
        <v>46061</v>
      </c>
      <c r="D1509" t="inlineStr">
        <is>
          <t>VÄSTERNORRLANDS LÄN</t>
        </is>
      </c>
      <c r="E1509" t="inlineStr">
        <is>
          <t>ÅNGE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20776-2025</t>
        </is>
      </c>
      <c r="B1510" s="1" t="n">
        <v>45776.59410879629</v>
      </c>
      <c r="C1510" s="1" t="n">
        <v>46061</v>
      </c>
      <c r="D1510" t="inlineStr">
        <is>
          <t>VÄSTERNORRLANDS LÄN</t>
        </is>
      </c>
      <c r="E1510" t="inlineStr">
        <is>
          <t>ÅNGE</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21174-2025</t>
        </is>
      </c>
      <c r="B1511" s="1" t="n">
        <v>45779.42746527777</v>
      </c>
      <c r="C1511" s="1" t="n">
        <v>46061</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21197-2025</t>
        </is>
      </c>
      <c r="B1512" s="1" t="n">
        <v>45779.46949074074</v>
      </c>
      <c r="C1512" s="1" t="n">
        <v>46061</v>
      </c>
      <c r="D1512" t="inlineStr">
        <is>
          <t>VÄSTERNORRLANDS LÄN</t>
        </is>
      </c>
      <c r="E1512" t="inlineStr">
        <is>
          <t>ÅNGE</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45030-2024</t>
        </is>
      </c>
      <c r="B1513" s="1" t="n">
        <v>45575.52089120371</v>
      </c>
      <c r="C1513" s="1" t="n">
        <v>46061</v>
      </c>
      <c r="D1513" t="inlineStr">
        <is>
          <t>VÄSTERNORRLANDS LÄN</t>
        </is>
      </c>
      <c r="E1513" t="inlineStr">
        <is>
          <t>ÅNGE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21263-2025</t>
        </is>
      </c>
      <c r="B1514" s="1" t="n">
        <v>45779.61233796296</v>
      </c>
      <c r="C1514" s="1" t="n">
        <v>46061</v>
      </c>
      <c r="D1514" t="inlineStr">
        <is>
          <t>VÄSTERNORRLANDS LÄN</t>
        </is>
      </c>
      <c r="E1514" t="inlineStr">
        <is>
          <t>ÅNGE</t>
        </is>
      </c>
      <c r="F1514" t="inlineStr">
        <is>
          <t>Sveaskog</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21251-2025</t>
        </is>
      </c>
      <c r="B1515" s="1" t="n">
        <v>45779.57417824074</v>
      </c>
      <c r="C1515" s="1" t="n">
        <v>46061</v>
      </c>
      <c r="D1515" t="inlineStr">
        <is>
          <t>VÄSTERNORRLANDS LÄN</t>
        </is>
      </c>
      <c r="E1515" t="inlineStr">
        <is>
          <t>ÅNGE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21176-2025</t>
        </is>
      </c>
      <c r="B1516" s="1" t="n">
        <v>45779.42798611111</v>
      </c>
      <c r="C1516" s="1" t="n">
        <v>46061</v>
      </c>
      <c r="D1516" t="inlineStr">
        <is>
          <t>VÄSTERNORRLANDS LÄN</t>
        </is>
      </c>
      <c r="E1516" t="inlineStr">
        <is>
          <t>ÅNGE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21741-2025</t>
        </is>
      </c>
      <c r="B1517" s="1" t="n">
        <v>45783.59415509259</v>
      </c>
      <c r="C1517" s="1" t="n">
        <v>46061</v>
      </c>
      <c r="D1517" t="inlineStr">
        <is>
          <t>VÄSTERNORRLANDS LÄN</t>
        </is>
      </c>
      <c r="E1517" t="inlineStr">
        <is>
          <t>ÅNGE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21685-2025</t>
        </is>
      </c>
      <c r="B1518" s="1" t="n">
        <v>45783.49050925926</v>
      </c>
      <c r="C1518" s="1" t="n">
        <v>46061</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21597-2025</t>
        </is>
      </c>
      <c r="B1519" s="1" t="n">
        <v>45783.34493055556</v>
      </c>
      <c r="C1519" s="1" t="n">
        <v>46061</v>
      </c>
      <c r="D1519" t="inlineStr">
        <is>
          <t>VÄSTERNORRLANDS LÄN</t>
        </is>
      </c>
      <c r="E1519" t="inlineStr">
        <is>
          <t>ÅNGE</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17669-2023</t>
        </is>
      </c>
      <c r="B1520" s="1" t="n">
        <v>45036.94457175926</v>
      </c>
      <c r="C1520" s="1" t="n">
        <v>46061</v>
      </c>
      <c r="D1520" t="inlineStr">
        <is>
          <t>VÄSTERNORRLANDS LÄN</t>
        </is>
      </c>
      <c r="E1520" t="inlineStr">
        <is>
          <t>ÅNGE</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25867-2024</t>
        </is>
      </c>
      <c r="B1521" s="1" t="n">
        <v>45463</v>
      </c>
      <c r="C1521" s="1" t="n">
        <v>46061</v>
      </c>
      <c r="D1521" t="inlineStr">
        <is>
          <t>VÄSTERNORRLANDS LÄN</t>
        </is>
      </c>
      <c r="E1521" t="inlineStr">
        <is>
          <t>ÅNGE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2539-2025</t>
        </is>
      </c>
      <c r="B1522" s="1" t="n">
        <v>45674.61581018518</v>
      </c>
      <c r="C1522" s="1" t="n">
        <v>46061</v>
      </c>
      <c r="D1522" t="inlineStr">
        <is>
          <t>VÄSTERNORRLANDS LÄN</t>
        </is>
      </c>
      <c r="E1522" t="inlineStr">
        <is>
          <t>ÅNGE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21686-2025</t>
        </is>
      </c>
      <c r="B1523" s="1" t="n">
        <v>45783.490625</v>
      </c>
      <c r="C1523" s="1" t="n">
        <v>46061</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54295-2024</t>
        </is>
      </c>
      <c r="B1524" s="1" t="n">
        <v>45617</v>
      </c>
      <c r="C1524" s="1" t="n">
        <v>46061</v>
      </c>
      <c r="D1524" t="inlineStr">
        <is>
          <t>VÄSTERNORRLANDS LÄN</t>
        </is>
      </c>
      <c r="E1524" t="inlineStr">
        <is>
          <t>ÅNGE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21563-2025</t>
        </is>
      </c>
      <c r="B1525" s="1" t="n">
        <v>45782.69822916666</v>
      </c>
      <c r="C1525" s="1" t="n">
        <v>46061</v>
      </c>
      <c r="D1525" t="inlineStr">
        <is>
          <t>VÄSTERNORRLANDS LÄN</t>
        </is>
      </c>
      <c r="E1525" t="inlineStr">
        <is>
          <t>ÅNGE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21712-2025</t>
        </is>
      </c>
      <c r="B1526" s="1" t="n">
        <v>45783.53210648148</v>
      </c>
      <c r="C1526" s="1" t="n">
        <v>46061</v>
      </c>
      <c r="D1526" t="inlineStr">
        <is>
          <t>VÄSTERNORRLANDS LÄN</t>
        </is>
      </c>
      <c r="E1526" t="inlineStr">
        <is>
          <t>ÅNGE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26640-2024</t>
        </is>
      </c>
      <c r="B1527" s="1" t="n">
        <v>45469.92831018518</v>
      </c>
      <c r="C1527" s="1" t="n">
        <v>46061</v>
      </c>
      <c r="D1527" t="inlineStr">
        <is>
          <t>VÄSTERNORRLANDS LÄN</t>
        </is>
      </c>
      <c r="E1527" t="inlineStr">
        <is>
          <t>ÅNGE</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39119-2024</t>
        </is>
      </c>
      <c r="B1528" s="1" t="n">
        <v>45548.58939814815</v>
      </c>
      <c r="C1528" s="1" t="n">
        <v>46061</v>
      </c>
      <c r="D1528" t="inlineStr">
        <is>
          <t>VÄSTERNORRLANDS LÄN</t>
        </is>
      </c>
      <c r="E1528" t="inlineStr">
        <is>
          <t>ÅNGE</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32257-2024</t>
        </is>
      </c>
      <c r="B1529" s="1" t="n">
        <v>45511</v>
      </c>
      <c r="C1529" s="1" t="n">
        <v>46061</v>
      </c>
      <c r="D1529" t="inlineStr">
        <is>
          <t>VÄSTERNORRLANDS LÄN</t>
        </is>
      </c>
      <c r="E1529" t="inlineStr">
        <is>
          <t>ÅNGE</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20880-2025</t>
        </is>
      </c>
      <c r="B1530" s="1" t="n">
        <v>45777</v>
      </c>
      <c r="C1530" s="1" t="n">
        <v>46061</v>
      </c>
      <c r="D1530" t="inlineStr">
        <is>
          <t>VÄSTERNORRLANDS LÄN</t>
        </is>
      </c>
      <c r="E1530" t="inlineStr">
        <is>
          <t>ÅNGE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22219-2025</t>
        </is>
      </c>
      <c r="B1531" s="1" t="n">
        <v>45785.65849537037</v>
      </c>
      <c r="C1531" s="1" t="n">
        <v>46061</v>
      </c>
      <c r="D1531" t="inlineStr">
        <is>
          <t>VÄSTERNORRLANDS LÄN</t>
        </is>
      </c>
      <c r="E1531" t="inlineStr">
        <is>
          <t>ÅNGE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21862-2025</t>
        </is>
      </c>
      <c r="B1532" s="1" t="n">
        <v>45784.36519675926</v>
      </c>
      <c r="C1532" s="1" t="n">
        <v>46061</v>
      </c>
      <c r="D1532" t="inlineStr">
        <is>
          <t>VÄSTERNORRLANDS LÄN</t>
        </is>
      </c>
      <c r="E1532" t="inlineStr">
        <is>
          <t>ÅNGE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22206-2025</t>
        </is>
      </c>
      <c r="B1533" s="1" t="n">
        <v>45785.65699074074</v>
      </c>
      <c r="C1533" s="1" t="n">
        <v>46061</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29395-2023</t>
        </is>
      </c>
      <c r="B1534" s="1" t="n">
        <v>45106.4359837963</v>
      </c>
      <c r="C1534" s="1" t="n">
        <v>46061</v>
      </c>
      <c r="D1534" t="inlineStr">
        <is>
          <t>VÄSTERNORRLANDS LÄN</t>
        </is>
      </c>
      <c r="E1534" t="inlineStr">
        <is>
          <t>ÅNGE</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38800-2024</t>
        </is>
      </c>
      <c r="B1535" s="1" t="n">
        <v>45547</v>
      </c>
      <c r="C1535" s="1" t="n">
        <v>46061</v>
      </c>
      <c r="D1535" t="inlineStr">
        <is>
          <t>VÄSTERNORRLANDS LÄN</t>
        </is>
      </c>
      <c r="E1535" t="inlineStr">
        <is>
          <t>ÅNGE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21883-2025</t>
        </is>
      </c>
      <c r="B1536" s="1" t="n">
        <v>45784.41361111111</v>
      </c>
      <c r="C1536" s="1" t="n">
        <v>46061</v>
      </c>
      <c r="D1536" t="inlineStr">
        <is>
          <t>VÄSTERNORRLANDS LÄN</t>
        </is>
      </c>
      <c r="E1536" t="inlineStr">
        <is>
          <t>ÅNGE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31492-2024</t>
        </is>
      </c>
      <c r="B1537" s="1" t="n">
        <v>45505</v>
      </c>
      <c r="C1537" s="1" t="n">
        <v>46061</v>
      </c>
      <c r="D1537" t="inlineStr">
        <is>
          <t>VÄSTERNORRLANDS LÄN</t>
        </is>
      </c>
      <c r="E1537" t="inlineStr">
        <is>
          <t>ÅNGE</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21982-2025</t>
        </is>
      </c>
      <c r="B1538" s="1" t="n">
        <v>45784.65660879629</v>
      </c>
      <c r="C1538" s="1" t="n">
        <v>46061</v>
      </c>
      <c r="D1538" t="inlineStr">
        <is>
          <t>VÄSTERNORRLANDS LÄN</t>
        </is>
      </c>
      <c r="E1538" t="inlineStr">
        <is>
          <t>ÅNGE</t>
        </is>
      </c>
      <c r="F1538" t="inlineStr">
        <is>
          <t>SCA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22187-2024</t>
        </is>
      </c>
      <c r="B1539" s="1" t="n">
        <v>45446.35222222222</v>
      </c>
      <c r="C1539" s="1" t="n">
        <v>46061</v>
      </c>
      <c r="D1539" t="inlineStr">
        <is>
          <t>VÄSTERNORRLANDS LÄN</t>
        </is>
      </c>
      <c r="E1539" t="inlineStr">
        <is>
          <t>ÅNGE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22489-2025</t>
        </is>
      </c>
      <c r="B1540" s="1" t="n">
        <v>45786.64946759259</v>
      </c>
      <c r="C1540" s="1" t="n">
        <v>46061</v>
      </c>
      <c r="D1540" t="inlineStr">
        <is>
          <t>VÄSTERNORRLANDS LÄN</t>
        </is>
      </c>
      <c r="E1540" t="inlineStr">
        <is>
          <t>ÅNGE</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22791-2025</t>
        </is>
      </c>
      <c r="B1541" s="1" t="n">
        <v>45789.65663194445</v>
      </c>
      <c r="C1541" s="1" t="n">
        <v>46061</v>
      </c>
      <c r="D1541" t="inlineStr">
        <is>
          <t>VÄSTERNORRLANDS LÄN</t>
        </is>
      </c>
      <c r="E1541" t="inlineStr">
        <is>
          <t>ÅNGE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22549-2025</t>
        </is>
      </c>
      <c r="B1542" s="1" t="n">
        <v>45788.48113425926</v>
      </c>
      <c r="C1542" s="1" t="n">
        <v>46061</v>
      </c>
      <c r="D1542" t="inlineStr">
        <is>
          <t>VÄSTERNORRLANDS LÄN</t>
        </is>
      </c>
      <c r="E1542" t="inlineStr">
        <is>
          <t>ÅNGE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23091-2025</t>
        </is>
      </c>
      <c r="B1543" s="1" t="n">
        <v>45791.34456018519</v>
      </c>
      <c r="C1543" s="1" t="n">
        <v>46061</v>
      </c>
      <c r="D1543" t="inlineStr">
        <is>
          <t>VÄSTERNORRLANDS LÄN</t>
        </is>
      </c>
      <c r="E1543" t="inlineStr">
        <is>
          <t>ÅNGE</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23343-2025</t>
        </is>
      </c>
      <c r="B1544" s="1" t="n">
        <v>45791.65702546296</v>
      </c>
      <c r="C1544" s="1" t="n">
        <v>46061</v>
      </c>
      <c r="D1544" t="inlineStr">
        <is>
          <t>VÄSTERNORRLANDS LÄN</t>
        </is>
      </c>
      <c r="E1544" t="inlineStr">
        <is>
          <t>ÅNGE</t>
        </is>
      </c>
      <c r="F1544" t="inlineStr">
        <is>
          <t>SCA</t>
        </is>
      </c>
      <c r="G1544" t="n">
        <v>12.6</v>
      </c>
      <c r="H1544" t="n">
        <v>0</v>
      </c>
      <c r="I1544" t="n">
        <v>0</v>
      </c>
      <c r="J1544" t="n">
        <v>0</v>
      </c>
      <c r="K1544" t="n">
        <v>0</v>
      </c>
      <c r="L1544" t="n">
        <v>0</v>
      </c>
      <c r="M1544" t="n">
        <v>0</v>
      </c>
      <c r="N1544" t="n">
        <v>0</v>
      </c>
      <c r="O1544" t="n">
        <v>0</v>
      </c>
      <c r="P1544" t="n">
        <v>0</v>
      </c>
      <c r="Q1544" t="n">
        <v>0</v>
      </c>
      <c r="R1544" s="2" t="inlineStr"/>
    </row>
    <row r="1545" ht="15" customHeight="1">
      <c r="A1545" t="inlineStr">
        <is>
          <t>A 23252-2025</t>
        </is>
      </c>
      <c r="B1545" s="1" t="n">
        <v>45791.53157407408</v>
      </c>
      <c r="C1545" s="1" t="n">
        <v>46061</v>
      </c>
      <c r="D1545" t="inlineStr">
        <is>
          <t>VÄSTERNORRLANDS LÄN</t>
        </is>
      </c>
      <c r="E1545" t="inlineStr">
        <is>
          <t>ÅNGE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22926-2025</t>
        </is>
      </c>
      <c r="B1546" s="1" t="n">
        <v>45790</v>
      </c>
      <c r="C1546" s="1" t="n">
        <v>46061</v>
      </c>
      <c r="D1546" t="inlineStr">
        <is>
          <t>VÄSTERNORRLANDS LÄN</t>
        </is>
      </c>
      <c r="E1546" t="inlineStr">
        <is>
          <t>ÅNGE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22928-2025</t>
        </is>
      </c>
      <c r="B1547" s="1" t="n">
        <v>45790.44825231482</v>
      </c>
      <c r="C1547" s="1" t="n">
        <v>46061</v>
      </c>
      <c r="D1547" t="inlineStr">
        <is>
          <t>VÄSTERNORRLANDS LÄN</t>
        </is>
      </c>
      <c r="E1547" t="inlineStr">
        <is>
          <t>ÅNGE</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23748-2025</t>
        </is>
      </c>
      <c r="B1548" s="1" t="n">
        <v>45793.44755787037</v>
      </c>
      <c r="C1548" s="1" t="n">
        <v>46061</v>
      </c>
      <c r="D1548" t="inlineStr">
        <is>
          <t>VÄSTERNORRLANDS LÄN</t>
        </is>
      </c>
      <c r="E1548" t="inlineStr">
        <is>
          <t>ÅNGE</t>
        </is>
      </c>
      <c r="F1548" t="inlineStr">
        <is>
          <t>Sveaskog</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23589-2025</t>
        </is>
      </c>
      <c r="B1549" s="1" t="n">
        <v>45792.63618055556</v>
      </c>
      <c r="C1549" s="1" t="n">
        <v>46061</v>
      </c>
      <c r="D1549" t="inlineStr">
        <is>
          <t>VÄSTERNORRLANDS LÄN</t>
        </is>
      </c>
      <c r="E1549" t="inlineStr">
        <is>
          <t>ÅNGE</t>
        </is>
      </c>
      <c r="F1549" t="inlineStr">
        <is>
          <t>SCA</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23495-2025</t>
        </is>
      </c>
      <c r="B1550" s="1" t="n">
        <v>45792.46967592592</v>
      </c>
      <c r="C1550" s="1" t="n">
        <v>46061</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23580-2025</t>
        </is>
      </c>
      <c r="B1551" s="1" t="n">
        <v>45792.62555555555</v>
      </c>
      <c r="C1551" s="1" t="n">
        <v>46061</v>
      </c>
      <c r="D1551" t="inlineStr">
        <is>
          <t>VÄSTERNORRLANDS LÄN</t>
        </is>
      </c>
      <c r="E1551" t="inlineStr">
        <is>
          <t>ÅNGE</t>
        </is>
      </c>
      <c r="F1551" t="inlineStr">
        <is>
          <t>Kyrkan</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23590-2025</t>
        </is>
      </c>
      <c r="B1552" s="1" t="n">
        <v>45792.63627314815</v>
      </c>
      <c r="C1552" s="1" t="n">
        <v>46061</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23573-2025</t>
        </is>
      </c>
      <c r="B1553" s="1" t="n">
        <v>45792.61497685185</v>
      </c>
      <c r="C1553" s="1" t="n">
        <v>46061</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23552-2025</t>
        </is>
      </c>
      <c r="B1554" s="1" t="n">
        <v>45792.5738425926</v>
      </c>
      <c r="C1554" s="1" t="n">
        <v>46061</v>
      </c>
      <c r="D1554" t="inlineStr">
        <is>
          <t>VÄSTERNORRLANDS LÄN</t>
        </is>
      </c>
      <c r="E1554" t="inlineStr">
        <is>
          <t>ÅNGE</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23529-2025</t>
        </is>
      </c>
      <c r="B1555" s="1" t="n">
        <v>45792.53158564815</v>
      </c>
      <c r="C1555" s="1" t="n">
        <v>46061</v>
      </c>
      <c r="D1555" t="inlineStr">
        <is>
          <t>VÄSTERNORRLANDS LÄN</t>
        </is>
      </c>
      <c r="E1555" t="inlineStr">
        <is>
          <t>ÅNGE</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60004-2023</t>
        </is>
      </c>
      <c r="B1556" s="1" t="n">
        <v>45257</v>
      </c>
      <c r="C1556" s="1" t="n">
        <v>46061</v>
      </c>
      <c r="D1556" t="inlineStr">
        <is>
          <t>VÄSTERNORRLANDS LÄN</t>
        </is>
      </c>
      <c r="E1556" t="inlineStr">
        <is>
          <t>ÅNGE</t>
        </is>
      </c>
      <c r="F1556" t="inlineStr">
        <is>
          <t>SCA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4142-2024</t>
        </is>
      </c>
      <c r="B1557" s="1" t="n">
        <v>45323</v>
      </c>
      <c r="C1557" s="1" t="n">
        <v>46061</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39843-2023</t>
        </is>
      </c>
      <c r="B1558" s="1" t="n">
        <v>45168</v>
      </c>
      <c r="C1558" s="1" t="n">
        <v>46061</v>
      </c>
      <c r="D1558" t="inlineStr">
        <is>
          <t>VÄSTERNORRLANDS LÄN</t>
        </is>
      </c>
      <c r="E1558" t="inlineStr">
        <is>
          <t>ÅNGE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23899-2025</t>
        </is>
      </c>
      <c r="B1559" s="1" t="n">
        <v>45794.34414351852</v>
      </c>
      <c r="C1559" s="1" t="n">
        <v>46061</v>
      </c>
      <c r="D1559" t="inlineStr">
        <is>
          <t>VÄSTERNORRLANDS LÄN</t>
        </is>
      </c>
      <c r="E1559" t="inlineStr">
        <is>
          <t>ÅNGE</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54079-2023</t>
        </is>
      </c>
      <c r="B1560" s="1" t="n">
        <v>45231</v>
      </c>
      <c r="C1560" s="1" t="n">
        <v>46061</v>
      </c>
      <c r="D1560" t="inlineStr">
        <is>
          <t>VÄSTERNORRLANDS LÄN</t>
        </is>
      </c>
      <c r="E1560" t="inlineStr">
        <is>
          <t>ÅNGE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24357-2025</t>
        </is>
      </c>
      <c r="B1561" s="1" t="n">
        <v>45797.59467592592</v>
      </c>
      <c r="C1561" s="1" t="n">
        <v>46061</v>
      </c>
      <c r="D1561" t="inlineStr">
        <is>
          <t>VÄSTERNORRLANDS LÄN</t>
        </is>
      </c>
      <c r="E1561" t="inlineStr">
        <is>
          <t>ÅNGE</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24292-2025</t>
        </is>
      </c>
      <c r="B1562" s="1" t="n">
        <v>45797.46657407407</v>
      </c>
      <c r="C1562" s="1" t="n">
        <v>46061</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24008-2025</t>
        </is>
      </c>
      <c r="B1563" s="1" t="n">
        <v>45796.43841435185</v>
      </c>
      <c r="C1563" s="1" t="n">
        <v>46061</v>
      </c>
      <c r="D1563" t="inlineStr">
        <is>
          <t>VÄSTERNORRLANDS LÄN</t>
        </is>
      </c>
      <c r="E1563" t="inlineStr">
        <is>
          <t>ÅNGE</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41575-2024</t>
        </is>
      </c>
      <c r="B1564" s="1" t="n">
        <v>45560.55106481481</v>
      </c>
      <c r="C1564" s="1" t="n">
        <v>46061</v>
      </c>
      <c r="D1564" t="inlineStr">
        <is>
          <t>VÄSTERNORRLANDS LÄN</t>
        </is>
      </c>
      <c r="E1564" t="inlineStr">
        <is>
          <t>ÅNGE</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19007-2025</t>
        </is>
      </c>
      <c r="B1565" s="1" t="n">
        <v>45764.58515046296</v>
      </c>
      <c r="C1565" s="1" t="n">
        <v>46061</v>
      </c>
      <c r="D1565" t="inlineStr">
        <is>
          <t>VÄSTERNORRLANDS LÄN</t>
        </is>
      </c>
      <c r="E1565" t="inlineStr">
        <is>
          <t>ÅNGE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41741-2023</t>
        </is>
      </c>
      <c r="B1566" s="1" t="n">
        <v>45176.42164351852</v>
      </c>
      <c r="C1566" s="1" t="n">
        <v>46061</v>
      </c>
      <c r="D1566" t="inlineStr">
        <is>
          <t>VÄSTERNORRLANDS LÄN</t>
        </is>
      </c>
      <c r="E1566" t="inlineStr">
        <is>
          <t>ÅNGE</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29702-2024</t>
        </is>
      </c>
      <c r="B1567" s="1" t="n">
        <v>45485.31525462963</v>
      </c>
      <c r="C1567" s="1" t="n">
        <v>46061</v>
      </c>
      <c r="D1567" t="inlineStr">
        <is>
          <t>VÄSTERNORRLANDS LÄN</t>
        </is>
      </c>
      <c r="E1567" t="inlineStr">
        <is>
          <t>ÅNGE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23069-2024</t>
        </is>
      </c>
      <c r="B1568" s="1" t="n">
        <v>45450</v>
      </c>
      <c r="C1568" s="1" t="n">
        <v>46061</v>
      </c>
      <c r="D1568" t="inlineStr">
        <is>
          <t>VÄSTERNORRLANDS LÄN</t>
        </is>
      </c>
      <c r="E1568" t="inlineStr">
        <is>
          <t>ÅNGE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24209-2025</t>
        </is>
      </c>
      <c r="B1569" s="1" t="n">
        <v>45797.3446875</v>
      </c>
      <c r="C1569" s="1" t="n">
        <v>46061</v>
      </c>
      <c r="D1569" t="inlineStr">
        <is>
          <t>VÄSTERNORRLANDS LÄN</t>
        </is>
      </c>
      <c r="E1569" t="inlineStr">
        <is>
          <t>ÅNGE</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10781-2024</t>
        </is>
      </c>
      <c r="B1570" s="1" t="n">
        <v>45369.59635416666</v>
      </c>
      <c r="C1570" s="1" t="n">
        <v>46061</v>
      </c>
      <c r="D1570" t="inlineStr">
        <is>
          <t>VÄSTERNORRLANDS LÄN</t>
        </is>
      </c>
      <c r="E1570" t="inlineStr">
        <is>
          <t>ÅNGE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23975-2025</t>
        </is>
      </c>
      <c r="B1571" s="1" t="n">
        <v>45796.38614583333</v>
      </c>
      <c r="C1571" s="1" t="n">
        <v>46061</v>
      </c>
      <c r="D1571" t="inlineStr">
        <is>
          <t>VÄSTERNORRLANDS LÄN</t>
        </is>
      </c>
      <c r="E1571" t="inlineStr">
        <is>
          <t>ÅNGE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23976-2025</t>
        </is>
      </c>
      <c r="B1572" s="1" t="n">
        <v>45796.38625</v>
      </c>
      <c r="C1572" s="1" t="n">
        <v>46061</v>
      </c>
      <c r="D1572" t="inlineStr">
        <is>
          <t>VÄSTERNORRLANDS LÄN</t>
        </is>
      </c>
      <c r="E1572" t="inlineStr">
        <is>
          <t>ÅNGE</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57516-2023</t>
        </is>
      </c>
      <c r="B1573" s="1" t="n">
        <v>45246.44665509259</v>
      </c>
      <c r="C1573" s="1" t="n">
        <v>46061</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26641-2024</t>
        </is>
      </c>
      <c r="B1574" s="1" t="n">
        <v>45469.92836805555</v>
      </c>
      <c r="C1574" s="1" t="n">
        <v>46061</v>
      </c>
      <c r="D1574" t="inlineStr">
        <is>
          <t>VÄSTERNORRLANDS LÄN</t>
        </is>
      </c>
      <c r="E1574" t="inlineStr">
        <is>
          <t>ÅNGE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37992-2024</t>
        </is>
      </c>
      <c r="B1575" s="1" t="n">
        <v>45544.59524305556</v>
      </c>
      <c r="C1575" s="1" t="n">
        <v>46061</v>
      </c>
      <c r="D1575" t="inlineStr">
        <is>
          <t>VÄSTERNORRLANDS LÄN</t>
        </is>
      </c>
      <c r="E1575" t="inlineStr">
        <is>
          <t>ÅNGE</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24207-2025</t>
        </is>
      </c>
      <c r="B1576" s="1" t="n">
        <v>45797.34439814815</v>
      </c>
      <c r="C1576" s="1" t="n">
        <v>46061</v>
      </c>
      <c r="D1576" t="inlineStr">
        <is>
          <t>VÄSTERNORRLANDS LÄN</t>
        </is>
      </c>
      <c r="E1576" t="inlineStr">
        <is>
          <t>ÅNGE</t>
        </is>
      </c>
      <c r="F1576" t="inlineStr">
        <is>
          <t>SCA</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43145-2024</t>
        </is>
      </c>
      <c r="B1577" s="1" t="n">
        <v>45567.63030092593</v>
      </c>
      <c r="C1577" s="1" t="n">
        <v>46061</v>
      </c>
      <c r="D1577" t="inlineStr">
        <is>
          <t>VÄSTERNORRLANDS LÄN</t>
        </is>
      </c>
      <c r="E1577" t="inlineStr">
        <is>
          <t>ÅNGE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23917-2025</t>
        </is>
      </c>
      <c r="B1578" s="1" t="n">
        <v>45795.34481481482</v>
      </c>
      <c r="C1578" s="1" t="n">
        <v>46061</v>
      </c>
      <c r="D1578" t="inlineStr">
        <is>
          <t>VÄSTERNORRLANDS LÄN</t>
        </is>
      </c>
      <c r="E1578" t="inlineStr">
        <is>
          <t>ÅNGE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23921-2025</t>
        </is>
      </c>
      <c r="B1579" s="1" t="n">
        <v>45795.34513888889</v>
      </c>
      <c r="C1579" s="1" t="n">
        <v>46061</v>
      </c>
      <c r="D1579" t="inlineStr">
        <is>
          <t>VÄSTERNORRLANDS LÄN</t>
        </is>
      </c>
      <c r="E1579" t="inlineStr">
        <is>
          <t>ÅNGE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24232-2025</t>
        </is>
      </c>
      <c r="B1580" s="1" t="n">
        <v>45797.37846064815</v>
      </c>
      <c r="C1580" s="1" t="n">
        <v>46061</v>
      </c>
      <c r="D1580" t="inlineStr">
        <is>
          <t>VÄSTERNORRLANDS LÄN</t>
        </is>
      </c>
      <c r="E1580" t="inlineStr">
        <is>
          <t>ÅNGE</t>
        </is>
      </c>
      <c r="G1580" t="n">
        <v>2.8</v>
      </c>
      <c r="H1580" t="n">
        <v>0</v>
      </c>
      <c r="I1580" t="n">
        <v>0</v>
      </c>
      <c r="J1580" t="n">
        <v>0</v>
      </c>
      <c r="K1580" t="n">
        <v>0</v>
      </c>
      <c r="L1580" t="n">
        <v>0</v>
      </c>
      <c r="M1580" t="n">
        <v>0</v>
      </c>
      <c r="N1580" t="n">
        <v>0</v>
      </c>
      <c r="O1580" t="n">
        <v>0</v>
      </c>
      <c r="P1580" t="n">
        <v>0</v>
      </c>
      <c r="Q1580" t="n">
        <v>0</v>
      </c>
      <c r="R1580" s="2" t="inlineStr"/>
    </row>
    <row r="1581">
      <c r="A1581" t="inlineStr">
        <is>
          <t>A 56188-2024</t>
        </is>
      </c>
      <c r="B1581" s="1" t="n">
        <v>45624.57800925926</v>
      </c>
      <c r="C1581" s="1" t="n">
        <v>46061</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2026-02-08T11:00:42Z</dcterms:created>
  <dcterms:modified xmlns:dcterms="http://purl.org/dc/terms/" xmlns:xsi="http://www.w3.org/2001/XMLSchema-instance" xsi:type="dcterms:W3CDTF">2026-02-08T11:00:44Z</dcterms:modified>
</cp:coreProperties>
</file>