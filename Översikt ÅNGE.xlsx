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45911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45911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45911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45911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45911</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59410-2023</t>
        </is>
      </c>
      <c r="B21" s="1" t="n">
        <v>45253</v>
      </c>
      <c r="C21" s="1" t="n">
        <v>45911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45911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45911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45911</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45911</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45911</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45911</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45911</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45911</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45911</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45911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45911</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45911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39496-2024</t>
        </is>
      </c>
      <c r="B39" s="1" t="n">
        <v>45551</v>
      </c>
      <c r="C39" s="1" t="n">
        <v>45911</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45911</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45911</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45911</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30840-2023</t>
        </is>
      </c>
      <c r="B43" s="1" t="n">
        <v>45112</v>
      </c>
      <c r="C43" s="1" t="n">
        <v>45911</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45911</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45911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45911</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34786-2021</t>
        </is>
      </c>
      <c r="B47" s="1" t="n">
        <v>44382</v>
      </c>
      <c r="C47" s="1" t="n">
        <v>45911</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42962-2024</t>
        </is>
      </c>
      <c r="B48" s="1" t="n">
        <v>45567.37194444444</v>
      </c>
      <c r="C48" s="1" t="n">
        <v>45911</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26473-2025</t>
        </is>
      </c>
      <c r="B49" s="1" t="n">
        <v>45807</v>
      </c>
      <c r="C49" s="1" t="n">
        <v>45911</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45911</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20694-2022</t>
        </is>
      </c>
      <c r="B51" s="1" t="n">
        <v>44700</v>
      </c>
      <c r="C51" s="1" t="n">
        <v>45911</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45911</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22737-2023</t>
        </is>
      </c>
      <c r="B53" s="1" t="n">
        <v>45071</v>
      </c>
      <c r="C53" s="1" t="n">
        <v>45911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45911</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45911</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45911</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45911</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45911</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40545-2024</t>
        </is>
      </c>
      <c r="B59" s="1" t="n">
        <v>45555</v>
      </c>
      <c r="C59" s="1" t="n">
        <v>45911</v>
      </c>
      <c r="D59" t="inlineStr">
        <is>
          <t>VÄSTERNORRLANDS LÄN</t>
        </is>
      </c>
      <c r="E59" t="inlineStr">
        <is>
          <t>ÅNGE</t>
        </is>
      </c>
      <c r="F59" t="inlineStr">
        <is>
          <t>SCA</t>
        </is>
      </c>
      <c r="G59" t="n">
        <v>9.1</v>
      </c>
      <c r="H59" t="n">
        <v>3</v>
      </c>
      <c r="I59" t="n">
        <v>1</v>
      </c>
      <c r="J59" t="n">
        <v>6</v>
      </c>
      <c r="K59" t="n">
        <v>1</v>
      </c>
      <c r="L59" t="n">
        <v>0</v>
      </c>
      <c r="M59" t="n">
        <v>0</v>
      </c>
      <c r="N59" t="n">
        <v>0</v>
      </c>
      <c r="O59" t="n">
        <v>7</v>
      </c>
      <c r="P59" t="n">
        <v>1</v>
      </c>
      <c r="Q59" t="n">
        <v>8</v>
      </c>
      <c r="R59" s="2" t="inlineStr">
        <is>
          <t>Knärot
Garnlav
Granticka
Lunglav
Talltita
Tretåig hackspett
Ullticka
Stuplav</t>
        </is>
      </c>
      <c r="S59">
        <f>HYPERLINK("https://klasma.github.io/Logging_2260/artfynd/A 40545-2024 artfynd.xlsx", "A 40545-2024")</f>
        <v/>
      </c>
      <c r="T59">
        <f>HYPERLINK("https://klasma.github.io/Logging_2260/kartor/A 40545-2024 karta.png", "A 40545-2024")</f>
        <v/>
      </c>
      <c r="U59">
        <f>HYPERLINK("https://klasma.github.io/Logging_2260/knärot/A 40545-2024 karta knärot.png", "A 40545-2024")</f>
        <v/>
      </c>
      <c r="V59">
        <f>HYPERLINK("https://klasma.github.io/Logging_2260/klagomål/A 40545-2024 FSC-klagomål.docx", "A 40545-2024")</f>
        <v/>
      </c>
      <c r="W59">
        <f>HYPERLINK("https://klasma.github.io/Logging_2260/klagomålsmail/A 40545-2024 FSC-klagomål mail.docx", "A 40545-2024")</f>
        <v/>
      </c>
      <c r="X59">
        <f>HYPERLINK("https://klasma.github.io/Logging_2260/tillsyn/A 40545-2024 tillsynsbegäran.docx", "A 40545-2024")</f>
        <v/>
      </c>
      <c r="Y59">
        <f>HYPERLINK("https://klasma.github.io/Logging_2260/tillsynsmail/A 40545-2024 tillsynsbegäran mail.docx", "A 40545-2024")</f>
        <v/>
      </c>
      <c r="Z59">
        <f>HYPERLINK("https://klasma.github.io/Logging_2260/fåglar/A 40545-2024 prioriterade fågelarter.docx", "A 40545-2024")</f>
        <v/>
      </c>
    </row>
    <row r="60" ht="15" customHeight="1">
      <c r="A60" t="inlineStr">
        <is>
          <t>A 25898-2022</t>
        </is>
      </c>
      <c r="B60" s="1" t="n">
        <v>44733</v>
      </c>
      <c r="C60" s="1" t="n">
        <v>45911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45911</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45911</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45911</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45911</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45911</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45911</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45911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45911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45911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45911</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45911</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55176-2024</t>
        </is>
      </c>
      <c r="B72" s="1" t="n">
        <v>45621</v>
      </c>
      <c r="C72" s="1" t="n">
        <v>45911</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3348-2021</t>
        </is>
      </c>
      <c r="B73" s="1" t="n">
        <v>44217</v>
      </c>
      <c r="C73" s="1" t="n">
        <v>45911</v>
      </c>
      <c r="D73" t="inlineStr">
        <is>
          <t>VÄSTERNORRLANDS LÄN</t>
        </is>
      </c>
      <c r="E73" t="inlineStr">
        <is>
          <t>ÅNGE</t>
        </is>
      </c>
      <c r="F73" t="inlineStr">
        <is>
          <t>SCA</t>
        </is>
      </c>
      <c r="G73" t="n">
        <v>6.3</v>
      </c>
      <c r="H73" t="n">
        <v>1</v>
      </c>
      <c r="I73" t="n">
        <v>1</v>
      </c>
      <c r="J73" t="n">
        <v>5</v>
      </c>
      <c r="K73" t="n">
        <v>0</v>
      </c>
      <c r="L73" t="n">
        <v>0</v>
      </c>
      <c r="M73" t="n">
        <v>0</v>
      </c>
      <c r="N73" t="n">
        <v>0</v>
      </c>
      <c r="O73" t="n">
        <v>5</v>
      </c>
      <c r="P73" t="n">
        <v>0</v>
      </c>
      <c r="Q73" t="n">
        <v>6</v>
      </c>
      <c r="R73" s="2" t="inlineStr">
        <is>
          <t>Gammelgransskål
Garnlav
Rosenticka
Tretåig hackspett
Vitgrynig nållav
Barkkornlav</t>
        </is>
      </c>
      <c r="S73">
        <f>HYPERLINK("https://klasma.github.io/Logging_2260/artfynd/A 3348-2021 artfynd.xlsx", "A 3348-2021")</f>
        <v/>
      </c>
      <c r="T73">
        <f>HYPERLINK("https://klasma.github.io/Logging_2260/kartor/A 3348-2021 karta.png", "A 3348-2021")</f>
        <v/>
      </c>
      <c r="V73">
        <f>HYPERLINK("https://klasma.github.io/Logging_2260/klagomål/A 3348-2021 FSC-klagomål.docx", "A 3348-2021")</f>
        <v/>
      </c>
      <c r="W73">
        <f>HYPERLINK("https://klasma.github.io/Logging_2260/klagomålsmail/A 3348-2021 FSC-klagomål mail.docx", "A 3348-2021")</f>
        <v/>
      </c>
      <c r="X73">
        <f>HYPERLINK("https://klasma.github.io/Logging_2260/tillsyn/A 3348-2021 tillsynsbegäran.docx", "A 3348-2021")</f>
        <v/>
      </c>
      <c r="Y73">
        <f>HYPERLINK("https://klasma.github.io/Logging_2260/tillsynsmail/A 3348-2021 tillsynsbegäran mail.docx", "A 3348-2021")</f>
        <v/>
      </c>
      <c r="Z73">
        <f>HYPERLINK("https://klasma.github.io/Logging_2260/fåglar/A 3348-2021 prioriterade fågelarter.docx", "A 3348-2021")</f>
        <v/>
      </c>
    </row>
    <row r="74" ht="15" customHeight="1">
      <c r="A74" t="inlineStr">
        <is>
          <t>A 39570-2025</t>
        </is>
      </c>
      <c r="B74" s="1" t="n">
        <v>45890.49009259259</v>
      </c>
      <c r="C74" s="1" t="n">
        <v>45911</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26363-2023</t>
        </is>
      </c>
      <c r="B75" s="1" t="n">
        <v>45091</v>
      </c>
      <c r="C75" s="1" t="n">
        <v>45911</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24073-2025</t>
        </is>
      </c>
      <c r="B76" s="1" t="n">
        <v>45796.54840277778</v>
      </c>
      <c r="C76" s="1" t="n">
        <v>45911</v>
      </c>
      <c r="D76" t="inlineStr">
        <is>
          <t>VÄSTERNORRLANDS LÄN</t>
        </is>
      </c>
      <c r="E76" t="inlineStr">
        <is>
          <t>ÅNGE</t>
        </is>
      </c>
      <c r="G76" t="n">
        <v>3.6</v>
      </c>
      <c r="H76" t="n">
        <v>2</v>
      </c>
      <c r="I76" t="n">
        <v>1</v>
      </c>
      <c r="J76" t="n">
        <v>4</v>
      </c>
      <c r="K76" t="n">
        <v>1</v>
      </c>
      <c r="L76" t="n">
        <v>0</v>
      </c>
      <c r="M76" t="n">
        <v>0</v>
      </c>
      <c r="N76" t="n">
        <v>0</v>
      </c>
      <c r="O76" t="n">
        <v>5</v>
      </c>
      <c r="P76" t="n">
        <v>1</v>
      </c>
      <c r="Q76" t="n">
        <v>6</v>
      </c>
      <c r="R76" s="2" t="inlineStr">
        <is>
          <t>Knärot
Garnlav
Lunglav
Mörk kolflarnlav
Tretåig hackspett
Norrlandslav</t>
        </is>
      </c>
      <c r="S76">
        <f>HYPERLINK("https://klasma.github.io/Logging_2260/artfynd/A 24073-2025 artfynd.xlsx", "A 24073-2025")</f>
        <v/>
      </c>
      <c r="T76">
        <f>HYPERLINK("https://klasma.github.io/Logging_2260/kartor/A 24073-2025 karta.png", "A 24073-2025")</f>
        <v/>
      </c>
      <c r="U76">
        <f>HYPERLINK("https://klasma.github.io/Logging_2260/knärot/A 24073-2025 karta knärot.png", "A 24073-2025")</f>
        <v/>
      </c>
      <c r="V76">
        <f>HYPERLINK("https://klasma.github.io/Logging_2260/klagomål/A 24073-2025 FSC-klagomål.docx", "A 24073-2025")</f>
        <v/>
      </c>
      <c r="W76">
        <f>HYPERLINK("https://klasma.github.io/Logging_2260/klagomålsmail/A 24073-2025 FSC-klagomål mail.docx", "A 24073-2025")</f>
        <v/>
      </c>
      <c r="X76">
        <f>HYPERLINK("https://klasma.github.io/Logging_2260/tillsyn/A 24073-2025 tillsynsbegäran.docx", "A 24073-2025")</f>
        <v/>
      </c>
      <c r="Y76">
        <f>HYPERLINK("https://klasma.github.io/Logging_2260/tillsynsmail/A 24073-2025 tillsynsbegäran mail.docx", "A 24073-2025")</f>
        <v/>
      </c>
      <c r="Z76">
        <f>HYPERLINK("https://klasma.github.io/Logging_2260/fåglar/A 24073-2025 prioriterade fågelarter.docx", "A 24073-2025")</f>
        <v/>
      </c>
    </row>
    <row r="77" ht="15" customHeight="1">
      <c r="A77" t="inlineStr">
        <is>
          <t>A 19010-2025</t>
        </is>
      </c>
      <c r="B77" s="1" t="n">
        <v>45764</v>
      </c>
      <c r="C77" s="1" t="n">
        <v>45911</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27955-2021</t>
        </is>
      </c>
      <c r="B78" s="1" t="n">
        <v>44354</v>
      </c>
      <c r="C78" s="1" t="n">
        <v>45911</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45911</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45911</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32911-2024</t>
        </is>
      </c>
      <c r="B81" s="1" t="n">
        <v>45516</v>
      </c>
      <c r="C81" s="1" t="n">
        <v>45911</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23601-2025</t>
        </is>
      </c>
      <c r="B82" s="1" t="n">
        <v>45792</v>
      </c>
      <c r="C82" s="1" t="n">
        <v>45911</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27914-2024</t>
        </is>
      </c>
      <c r="B83" s="1" t="n">
        <v>45475</v>
      </c>
      <c r="C83" s="1" t="n">
        <v>45911</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45911</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62640-2020</t>
        </is>
      </c>
      <c r="B85" s="1" t="n">
        <v>44161</v>
      </c>
      <c r="C85" s="1" t="n">
        <v>45911</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55004-2023</t>
        </is>
      </c>
      <c r="B86" s="1" t="n">
        <v>45236</v>
      </c>
      <c r="C86" s="1" t="n">
        <v>45911</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51065-2024</t>
        </is>
      </c>
      <c r="B87" s="1" t="n">
        <v>45603</v>
      </c>
      <c r="C87" s="1" t="n">
        <v>45911</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38322-2025</t>
        </is>
      </c>
      <c r="B88" s="1" t="n">
        <v>45883.49003472222</v>
      </c>
      <c r="C88" s="1" t="n">
        <v>45911</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45911</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13696-2023</t>
        </is>
      </c>
      <c r="B90" s="1" t="n">
        <v>45006</v>
      </c>
      <c r="C90" s="1" t="n">
        <v>45911</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53169-2020</t>
        </is>
      </c>
      <c r="B91" s="1" t="n">
        <v>44120</v>
      </c>
      <c r="C91" s="1" t="n">
        <v>45911</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46548-2023</t>
        </is>
      </c>
      <c r="B92" s="1" t="n">
        <v>45197</v>
      </c>
      <c r="C92" s="1" t="n">
        <v>45911</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44558-2024</t>
        </is>
      </c>
      <c r="B93" s="1" t="n">
        <v>45574.47001157407</v>
      </c>
      <c r="C93" s="1" t="n">
        <v>45911</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38326-2024</t>
        </is>
      </c>
      <c r="B94" s="1" t="n">
        <v>45545.67741898148</v>
      </c>
      <c r="C94" s="1" t="n">
        <v>45911</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39176-2024</t>
        </is>
      </c>
      <c r="B95" s="1" t="n">
        <v>45548</v>
      </c>
      <c r="C95" s="1" t="n">
        <v>45911</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45911</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38713-2025</t>
        </is>
      </c>
      <c r="B97" s="1" t="n">
        <v>45886.34479166667</v>
      </c>
      <c r="C97" s="1" t="n">
        <v>45911</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45911</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55179-2024</t>
        </is>
      </c>
      <c r="B99" s="1" t="n">
        <v>45621.53204861111</v>
      </c>
      <c r="C99" s="1" t="n">
        <v>45911</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45911</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723-2025</t>
        </is>
      </c>
      <c r="B101" s="1" t="n">
        <v>45665.38576388889</v>
      </c>
      <c r="C101" s="1" t="n">
        <v>45911</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45911</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45911</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23754-2025</t>
        </is>
      </c>
      <c r="B104" s="1" t="n">
        <v>45793.45782407407</v>
      </c>
      <c r="C104" s="1" t="n">
        <v>45911</v>
      </c>
      <c r="D104" t="inlineStr">
        <is>
          <t>VÄSTERNORRLANDS LÄN</t>
        </is>
      </c>
      <c r="E104" t="inlineStr">
        <is>
          <t>ÅNGE</t>
        </is>
      </c>
      <c r="F104" t="inlineStr">
        <is>
          <t>Sveaskog</t>
        </is>
      </c>
      <c r="G104" t="n">
        <v>4.3</v>
      </c>
      <c r="H104" t="n">
        <v>3</v>
      </c>
      <c r="I104" t="n">
        <v>0</v>
      </c>
      <c r="J104" t="n">
        <v>1</v>
      </c>
      <c r="K104" t="n">
        <v>0</v>
      </c>
      <c r="L104" t="n">
        <v>0</v>
      </c>
      <c r="M104" t="n">
        <v>0</v>
      </c>
      <c r="N104" t="n">
        <v>0</v>
      </c>
      <c r="O104" t="n">
        <v>1</v>
      </c>
      <c r="P104" t="n">
        <v>0</v>
      </c>
      <c r="Q104" t="n">
        <v>3</v>
      </c>
      <c r="R104" s="2" t="inlineStr">
        <is>
          <t>Spillkråka
Tjäder
Blåsippa</t>
        </is>
      </c>
      <c r="S104">
        <f>HYPERLINK("https://klasma.github.io/Logging_2260/artfynd/A 23754-2025 artfynd.xlsx", "A 23754-2025")</f>
        <v/>
      </c>
      <c r="T104">
        <f>HYPERLINK("https://klasma.github.io/Logging_2260/kartor/A 23754-2025 karta.png", "A 23754-2025")</f>
        <v/>
      </c>
      <c r="U104">
        <f>HYPERLINK("https://klasma.github.io/Logging_2260/knärot/A 23754-2025 karta knärot.png", "A 23754-2025")</f>
        <v/>
      </c>
      <c r="V104">
        <f>HYPERLINK("https://klasma.github.io/Logging_2260/klagomål/A 23754-2025 FSC-klagomål.docx", "A 23754-2025")</f>
        <v/>
      </c>
      <c r="W104">
        <f>HYPERLINK("https://klasma.github.io/Logging_2260/klagomålsmail/A 23754-2025 FSC-klagomål mail.docx", "A 23754-2025")</f>
        <v/>
      </c>
      <c r="X104">
        <f>HYPERLINK("https://klasma.github.io/Logging_2260/tillsyn/A 23754-2025 tillsynsbegäran.docx", "A 23754-2025")</f>
        <v/>
      </c>
      <c r="Y104">
        <f>HYPERLINK("https://klasma.github.io/Logging_2260/tillsynsmail/A 23754-2025 tillsynsbegäran mail.docx", "A 23754-2025")</f>
        <v/>
      </c>
      <c r="Z104">
        <f>HYPERLINK("https://klasma.github.io/Logging_2260/fåglar/A 23754-2025 prioriterade fågelarter.docx", "A 23754-2025")</f>
        <v/>
      </c>
    </row>
    <row r="105" ht="15" customHeight="1">
      <c r="A105" t="inlineStr">
        <is>
          <t>A 23759-2025</t>
        </is>
      </c>
      <c r="B105" s="1" t="n">
        <v>45793.46409722222</v>
      </c>
      <c r="C105" s="1" t="n">
        <v>45911</v>
      </c>
      <c r="D105" t="inlineStr">
        <is>
          <t>VÄSTERNORRLANDS LÄN</t>
        </is>
      </c>
      <c r="E105" t="inlineStr">
        <is>
          <t>ÅNGE</t>
        </is>
      </c>
      <c r="F105" t="inlineStr">
        <is>
          <t>Sveaskog</t>
        </is>
      </c>
      <c r="G105" t="n">
        <v>5.2</v>
      </c>
      <c r="H105" t="n">
        <v>0</v>
      </c>
      <c r="I105" t="n">
        <v>1</v>
      </c>
      <c r="J105" t="n">
        <v>2</v>
      </c>
      <c r="K105" t="n">
        <v>0</v>
      </c>
      <c r="L105" t="n">
        <v>0</v>
      </c>
      <c r="M105" t="n">
        <v>0</v>
      </c>
      <c r="N105" t="n">
        <v>0</v>
      </c>
      <c r="O105" t="n">
        <v>2</v>
      </c>
      <c r="P105" t="n">
        <v>0</v>
      </c>
      <c r="Q105" t="n">
        <v>3</v>
      </c>
      <c r="R105" s="2" t="inlineStr">
        <is>
          <t>Lunglav
Skrovellav
Korallblylav</t>
        </is>
      </c>
      <c r="S105">
        <f>HYPERLINK("https://klasma.github.io/Logging_2260/artfynd/A 23759-2025 artfynd.xlsx", "A 23759-2025")</f>
        <v/>
      </c>
      <c r="T105">
        <f>HYPERLINK("https://klasma.github.io/Logging_2260/kartor/A 23759-2025 karta.png", "A 23759-2025")</f>
        <v/>
      </c>
      <c r="V105">
        <f>HYPERLINK("https://klasma.github.io/Logging_2260/klagomål/A 23759-2025 FSC-klagomål.docx", "A 23759-2025")</f>
        <v/>
      </c>
      <c r="W105">
        <f>HYPERLINK("https://klasma.github.io/Logging_2260/klagomålsmail/A 23759-2025 FSC-klagomål mail.docx", "A 23759-2025")</f>
        <v/>
      </c>
      <c r="X105">
        <f>HYPERLINK("https://klasma.github.io/Logging_2260/tillsyn/A 23759-2025 tillsynsbegäran.docx", "A 23759-2025")</f>
        <v/>
      </c>
      <c r="Y105">
        <f>HYPERLINK("https://klasma.github.io/Logging_2260/tillsynsmail/A 23759-2025 tillsynsbegäran mail.docx", "A 23759-2025")</f>
        <v/>
      </c>
    </row>
    <row r="106" ht="15" customHeight="1">
      <c r="A106" t="inlineStr">
        <is>
          <t>A 22996-2023</t>
        </is>
      </c>
      <c r="B106" s="1" t="n">
        <v>45072</v>
      </c>
      <c r="C106" s="1" t="n">
        <v>45911</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22996-2023 artfynd.xlsx", "A 22996-2023")</f>
        <v/>
      </c>
      <c r="T106">
        <f>HYPERLINK("https://klasma.github.io/Logging_2260/kartor/A 22996-2023 karta.png", "A 22996-2023")</f>
        <v/>
      </c>
      <c r="U106">
        <f>HYPERLINK("https://klasma.github.io/Logging_2260/knärot/A 22996-2023 karta knärot.png", "A 22996-2023")</f>
        <v/>
      </c>
      <c r="V106">
        <f>HYPERLINK("https://klasma.github.io/Logging_2260/klagomål/A 22996-2023 FSC-klagomål.docx", "A 22996-2023")</f>
        <v/>
      </c>
      <c r="W106">
        <f>HYPERLINK("https://klasma.github.io/Logging_2260/klagomålsmail/A 22996-2023 FSC-klagomål mail.docx", "A 22996-2023")</f>
        <v/>
      </c>
      <c r="X106">
        <f>HYPERLINK("https://klasma.github.io/Logging_2260/tillsyn/A 22996-2023 tillsynsbegäran.docx", "A 22996-2023")</f>
        <v/>
      </c>
      <c r="Y106">
        <f>HYPERLINK("https://klasma.github.io/Logging_2260/tillsynsmail/A 22996-2023 tillsynsbegäran mail.docx", "A 22996-2023")</f>
        <v/>
      </c>
    </row>
    <row r="107" ht="15" customHeight="1">
      <c r="A107" t="inlineStr">
        <is>
          <t>A 29665-2024</t>
        </is>
      </c>
      <c r="B107" s="1" t="n">
        <v>45484</v>
      </c>
      <c r="C107" s="1" t="n">
        <v>45911</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29691-2024</t>
        </is>
      </c>
      <c r="B108" s="1" t="n">
        <v>45484.9446875</v>
      </c>
      <c r="C108" s="1" t="n">
        <v>45911</v>
      </c>
      <c r="D108" t="inlineStr">
        <is>
          <t>VÄSTERNORRLANDS LÄN</t>
        </is>
      </c>
      <c r="E108" t="inlineStr">
        <is>
          <t>ÅNGE</t>
        </is>
      </c>
      <c r="F108" t="inlineStr">
        <is>
          <t>SCA</t>
        </is>
      </c>
      <c r="G108" t="n">
        <v>6.8</v>
      </c>
      <c r="H108" t="n">
        <v>0</v>
      </c>
      <c r="I108" t="n">
        <v>1</v>
      </c>
      <c r="J108" t="n">
        <v>2</v>
      </c>
      <c r="K108" t="n">
        <v>0</v>
      </c>
      <c r="L108" t="n">
        <v>0</v>
      </c>
      <c r="M108" t="n">
        <v>0</v>
      </c>
      <c r="N108" t="n">
        <v>0</v>
      </c>
      <c r="O108" t="n">
        <v>2</v>
      </c>
      <c r="P108" t="n">
        <v>0</v>
      </c>
      <c r="Q108" t="n">
        <v>3</v>
      </c>
      <c r="R108" s="2" t="inlineStr">
        <is>
          <t>Lunglav
Rosenticka
Vedticka</t>
        </is>
      </c>
      <c r="S108">
        <f>HYPERLINK("https://klasma.github.io/Logging_2260/artfynd/A 29691-2024 artfynd.xlsx", "A 29691-2024")</f>
        <v/>
      </c>
      <c r="T108">
        <f>HYPERLINK("https://klasma.github.io/Logging_2260/kartor/A 29691-2024 karta.png", "A 29691-2024")</f>
        <v/>
      </c>
      <c r="V108">
        <f>HYPERLINK("https://klasma.github.io/Logging_2260/klagomål/A 29691-2024 FSC-klagomål.docx", "A 29691-2024")</f>
        <v/>
      </c>
      <c r="W108">
        <f>HYPERLINK("https://klasma.github.io/Logging_2260/klagomålsmail/A 29691-2024 FSC-klagomål mail.docx", "A 29691-2024")</f>
        <v/>
      </c>
      <c r="X108">
        <f>HYPERLINK("https://klasma.github.io/Logging_2260/tillsyn/A 29691-2024 tillsynsbegäran.docx", "A 29691-2024")</f>
        <v/>
      </c>
      <c r="Y108">
        <f>HYPERLINK("https://klasma.github.io/Logging_2260/tillsynsmail/A 29691-2024 tillsynsbegäran mail.docx", "A 29691-2024")</f>
        <v/>
      </c>
    </row>
    <row r="109" ht="15" customHeight="1">
      <c r="A109" t="inlineStr">
        <is>
          <t>A 28274-2023</t>
        </is>
      </c>
      <c r="B109" s="1" t="n">
        <v>45099</v>
      </c>
      <c r="C109" s="1" t="n">
        <v>45911</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26679-2025</t>
        </is>
      </c>
      <c r="B110" s="1" t="n">
        <v>45810</v>
      </c>
      <c r="C110" s="1" t="n">
        <v>45911</v>
      </c>
      <c r="D110" t="inlineStr">
        <is>
          <t>VÄSTERNORRLANDS LÄN</t>
        </is>
      </c>
      <c r="E110" t="inlineStr">
        <is>
          <t>ÅNGE</t>
        </is>
      </c>
      <c r="F110" t="inlineStr">
        <is>
          <t>SCA</t>
        </is>
      </c>
      <c r="G110" t="n">
        <v>5.9</v>
      </c>
      <c r="H110" t="n">
        <v>0</v>
      </c>
      <c r="I110" t="n">
        <v>1</v>
      </c>
      <c r="J110" t="n">
        <v>2</v>
      </c>
      <c r="K110" t="n">
        <v>0</v>
      </c>
      <c r="L110" t="n">
        <v>0</v>
      </c>
      <c r="M110" t="n">
        <v>0</v>
      </c>
      <c r="N110" t="n">
        <v>0</v>
      </c>
      <c r="O110" t="n">
        <v>2</v>
      </c>
      <c r="P110" t="n">
        <v>0</v>
      </c>
      <c r="Q110" t="n">
        <v>3</v>
      </c>
      <c r="R110" s="2" t="inlineStr">
        <is>
          <t>Garnlav
Lunglav
Rödgul trumpetsvamp</t>
        </is>
      </c>
      <c r="S110">
        <f>HYPERLINK("https://klasma.github.io/Logging_2260/artfynd/A 26679-2025 artfynd.xlsx", "A 26679-2025")</f>
        <v/>
      </c>
      <c r="T110">
        <f>HYPERLINK("https://klasma.github.io/Logging_2260/kartor/A 26679-2025 karta.png", "A 26679-2025")</f>
        <v/>
      </c>
      <c r="V110">
        <f>HYPERLINK("https://klasma.github.io/Logging_2260/klagomål/A 26679-2025 FSC-klagomål.docx", "A 26679-2025")</f>
        <v/>
      </c>
      <c r="W110">
        <f>HYPERLINK("https://klasma.github.io/Logging_2260/klagomålsmail/A 26679-2025 FSC-klagomål mail.docx", "A 26679-2025")</f>
        <v/>
      </c>
      <c r="X110">
        <f>HYPERLINK("https://klasma.github.io/Logging_2260/tillsyn/A 26679-2025 tillsynsbegäran.docx", "A 26679-2025")</f>
        <v/>
      </c>
      <c r="Y110">
        <f>HYPERLINK("https://klasma.github.io/Logging_2260/tillsynsmail/A 26679-2025 tillsynsbegäran mail.docx", "A 26679-2025")</f>
        <v/>
      </c>
    </row>
    <row r="111" ht="15" customHeight="1">
      <c r="A111" t="inlineStr">
        <is>
          <t>A 39179-2024</t>
        </is>
      </c>
      <c r="B111" s="1" t="n">
        <v>45548.65703703704</v>
      </c>
      <c r="C111" s="1" t="n">
        <v>45911</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39708-2024</t>
        </is>
      </c>
      <c r="B112" s="1" t="n">
        <v>45552.59408564815</v>
      </c>
      <c r="C112" s="1" t="n">
        <v>45911</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16307-2025</t>
        </is>
      </c>
      <c r="B113" s="1" t="n">
        <v>45751.34686342593</v>
      </c>
      <c r="C113" s="1" t="n">
        <v>45911</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45911</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24796-2024</t>
        </is>
      </c>
      <c r="B115" s="1" t="n">
        <v>45460</v>
      </c>
      <c r="C115" s="1" t="n">
        <v>45911</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31212-2025</t>
        </is>
      </c>
      <c r="B116" s="1" t="n">
        <v>45832.71978009259</v>
      </c>
      <c r="C116" s="1" t="n">
        <v>45911</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45911</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45911</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45911</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45911</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7533-2023</t>
        </is>
      </c>
      <c r="B121" s="1" t="n">
        <v>44971</v>
      </c>
      <c r="C121" s="1" t="n">
        <v>45911</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41868-2025</t>
        </is>
      </c>
      <c r="B122" s="1" t="n">
        <v>45903.34429398148</v>
      </c>
      <c r="C122" s="1" t="n">
        <v>45911</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45911</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39181-2024</t>
        </is>
      </c>
      <c r="B124" s="1" t="n">
        <v>45548</v>
      </c>
      <c r="C124" s="1" t="n">
        <v>45911</v>
      </c>
      <c r="D124" t="inlineStr">
        <is>
          <t>VÄSTERNORRLANDS LÄN</t>
        </is>
      </c>
      <c r="E124" t="inlineStr">
        <is>
          <t>ÅNGE</t>
        </is>
      </c>
      <c r="F124" t="inlineStr">
        <is>
          <t>SCA</t>
        </is>
      </c>
      <c r="G124" t="n">
        <v>21.1</v>
      </c>
      <c r="H124" t="n">
        <v>1</v>
      </c>
      <c r="I124" t="n">
        <v>1</v>
      </c>
      <c r="J124" t="n">
        <v>1</v>
      </c>
      <c r="K124" t="n">
        <v>1</v>
      </c>
      <c r="L124" t="n">
        <v>0</v>
      </c>
      <c r="M124" t="n">
        <v>0</v>
      </c>
      <c r="N124" t="n">
        <v>0</v>
      </c>
      <c r="O124" t="n">
        <v>2</v>
      </c>
      <c r="P124" t="n">
        <v>1</v>
      </c>
      <c r="Q124" t="n">
        <v>3</v>
      </c>
      <c r="R124" s="2" t="inlineStr">
        <is>
          <t>Knärot
Granticka
Kransrams</t>
        </is>
      </c>
      <c r="S124">
        <f>HYPERLINK("https://klasma.github.io/Logging_2260/artfynd/A 39181-2024 artfynd.xlsx", "A 39181-2024")</f>
        <v/>
      </c>
      <c r="T124">
        <f>HYPERLINK("https://klasma.github.io/Logging_2260/kartor/A 39181-2024 karta.png", "A 39181-2024")</f>
        <v/>
      </c>
      <c r="U124">
        <f>HYPERLINK("https://klasma.github.io/Logging_2260/knärot/A 39181-2024 karta knärot.png", "A 39181-2024")</f>
        <v/>
      </c>
      <c r="V124">
        <f>HYPERLINK("https://klasma.github.io/Logging_2260/klagomål/A 39181-2024 FSC-klagomål.docx", "A 39181-2024")</f>
        <v/>
      </c>
      <c r="W124">
        <f>HYPERLINK("https://klasma.github.io/Logging_2260/klagomålsmail/A 39181-2024 FSC-klagomål mail.docx", "A 39181-2024")</f>
        <v/>
      </c>
      <c r="X124">
        <f>HYPERLINK("https://klasma.github.io/Logging_2260/tillsyn/A 39181-2024 tillsynsbegäran.docx", "A 39181-2024")</f>
        <v/>
      </c>
      <c r="Y124">
        <f>HYPERLINK("https://klasma.github.io/Logging_2260/tillsynsmail/A 39181-2024 tillsynsbegäran mail.docx", "A 39181-2024")</f>
        <v/>
      </c>
    </row>
    <row r="125" ht="15" customHeight="1">
      <c r="A125" t="inlineStr">
        <is>
          <t>A 21267-2025</t>
        </is>
      </c>
      <c r="B125" s="1" t="n">
        <v>45779</v>
      </c>
      <c r="C125" s="1" t="n">
        <v>45911</v>
      </c>
      <c r="D125" t="inlineStr">
        <is>
          <t>VÄSTERNORRLANDS LÄN</t>
        </is>
      </c>
      <c r="E125" t="inlineStr">
        <is>
          <t>ÅNGE</t>
        </is>
      </c>
      <c r="F125" t="inlineStr">
        <is>
          <t>Sveaskog</t>
        </is>
      </c>
      <c r="G125" t="n">
        <v>3.7</v>
      </c>
      <c r="H125" t="n">
        <v>2</v>
      </c>
      <c r="I125" t="n">
        <v>2</v>
      </c>
      <c r="J125" t="n">
        <v>1</v>
      </c>
      <c r="K125" t="n">
        <v>0</v>
      </c>
      <c r="L125" t="n">
        <v>0</v>
      </c>
      <c r="M125" t="n">
        <v>0</v>
      </c>
      <c r="N125" t="n">
        <v>0</v>
      </c>
      <c r="O125" t="n">
        <v>1</v>
      </c>
      <c r="P125" t="n">
        <v>0</v>
      </c>
      <c r="Q125" t="n">
        <v>3</v>
      </c>
      <c r="R125" s="2" t="inlineStr">
        <is>
          <t>Lunglav
Korallrot
Spindelblomster</t>
        </is>
      </c>
      <c r="S125">
        <f>HYPERLINK("https://klasma.github.io/Logging_2260/artfynd/A 21267-2025 artfynd.xlsx", "A 21267-2025")</f>
        <v/>
      </c>
      <c r="T125">
        <f>HYPERLINK("https://klasma.github.io/Logging_2260/kartor/A 21267-2025 karta.png", "A 21267-2025")</f>
        <v/>
      </c>
      <c r="V125">
        <f>HYPERLINK("https://klasma.github.io/Logging_2260/klagomål/A 21267-2025 FSC-klagomål.docx", "A 21267-2025")</f>
        <v/>
      </c>
      <c r="W125">
        <f>HYPERLINK("https://klasma.github.io/Logging_2260/klagomålsmail/A 21267-2025 FSC-klagomål mail.docx", "A 21267-2025")</f>
        <v/>
      </c>
      <c r="X125">
        <f>HYPERLINK("https://klasma.github.io/Logging_2260/tillsyn/A 21267-2025 tillsynsbegäran.docx", "A 21267-2025")</f>
        <v/>
      </c>
      <c r="Y125">
        <f>HYPERLINK("https://klasma.github.io/Logging_2260/tillsynsmail/A 21267-2025 tillsynsbegäran mail.docx", "A 21267-2025")</f>
        <v/>
      </c>
    </row>
    <row r="126" ht="15" customHeight="1">
      <c r="A126" t="inlineStr">
        <is>
          <t>A 46130-2020</t>
        </is>
      </c>
      <c r="B126" s="1" t="n">
        <v>44091</v>
      </c>
      <c r="C126" s="1" t="n">
        <v>45911</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45911</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47798-2022</t>
        </is>
      </c>
      <c r="B128" s="1" t="n">
        <v>44854.95365740741</v>
      </c>
      <c r="C128" s="1" t="n">
        <v>45911</v>
      </c>
      <c r="D128" t="inlineStr">
        <is>
          <t>VÄSTERNORRLANDS LÄN</t>
        </is>
      </c>
      <c r="E128" t="inlineStr">
        <is>
          <t>ÅNGE</t>
        </is>
      </c>
      <c r="F128" t="inlineStr">
        <is>
          <t>SCA</t>
        </is>
      </c>
      <c r="G128" t="n">
        <v>8.300000000000001</v>
      </c>
      <c r="H128" t="n">
        <v>0</v>
      </c>
      <c r="I128" t="n">
        <v>1</v>
      </c>
      <c r="J128" t="n">
        <v>1</v>
      </c>
      <c r="K128" t="n">
        <v>0</v>
      </c>
      <c r="L128" t="n">
        <v>0</v>
      </c>
      <c r="M128" t="n">
        <v>0</v>
      </c>
      <c r="N128" t="n">
        <v>0</v>
      </c>
      <c r="O128" t="n">
        <v>1</v>
      </c>
      <c r="P128" t="n">
        <v>0</v>
      </c>
      <c r="Q128" t="n">
        <v>2</v>
      </c>
      <c r="R128" s="2" t="inlineStr">
        <is>
          <t>Lunglav
Kransrams</t>
        </is>
      </c>
      <c r="S128">
        <f>HYPERLINK("https://klasma.github.io/Logging_2260/artfynd/A 47798-2022 artfynd.xlsx", "A 47798-2022")</f>
        <v/>
      </c>
      <c r="T128">
        <f>HYPERLINK("https://klasma.github.io/Logging_2260/kartor/A 47798-2022 karta.png", "A 47798-2022")</f>
        <v/>
      </c>
      <c r="V128">
        <f>HYPERLINK("https://klasma.github.io/Logging_2260/klagomål/A 47798-2022 FSC-klagomål.docx", "A 47798-2022")</f>
        <v/>
      </c>
      <c r="W128">
        <f>HYPERLINK("https://klasma.github.io/Logging_2260/klagomålsmail/A 47798-2022 FSC-klagomål mail.docx", "A 47798-2022")</f>
        <v/>
      </c>
      <c r="X128">
        <f>HYPERLINK("https://klasma.github.io/Logging_2260/tillsyn/A 47798-2022 tillsynsbegäran.docx", "A 47798-2022")</f>
        <v/>
      </c>
      <c r="Y128">
        <f>HYPERLINK("https://klasma.github.io/Logging_2260/tillsynsmail/A 47798-2022 tillsynsbegäran mail.docx", "A 47798-2022")</f>
        <v/>
      </c>
    </row>
    <row r="129" ht="15" customHeight="1">
      <c r="A129" t="inlineStr">
        <is>
          <t>A 1082-2022</t>
        </is>
      </c>
      <c r="B129" s="1" t="n">
        <v>44571</v>
      </c>
      <c r="C129" s="1" t="n">
        <v>45911</v>
      </c>
      <c r="D129" t="inlineStr">
        <is>
          <t>VÄSTERNORRLANDS LÄN</t>
        </is>
      </c>
      <c r="E129" t="inlineStr">
        <is>
          <t>ÅNGE</t>
        </is>
      </c>
      <c r="G129" t="n">
        <v>0.9</v>
      </c>
      <c r="H129" t="n">
        <v>1</v>
      </c>
      <c r="I129" t="n">
        <v>0</v>
      </c>
      <c r="J129" t="n">
        <v>2</v>
      </c>
      <c r="K129" t="n">
        <v>0</v>
      </c>
      <c r="L129" t="n">
        <v>0</v>
      </c>
      <c r="M129" t="n">
        <v>0</v>
      </c>
      <c r="N129" t="n">
        <v>0</v>
      </c>
      <c r="O129" t="n">
        <v>2</v>
      </c>
      <c r="P129" t="n">
        <v>0</v>
      </c>
      <c r="Q129" t="n">
        <v>2</v>
      </c>
      <c r="R129" s="2" t="inlineStr">
        <is>
          <t>Garnlav
Talltita</t>
        </is>
      </c>
      <c r="S129">
        <f>HYPERLINK("https://klasma.github.io/Logging_2260/artfynd/A 1082-2022 artfynd.xlsx", "A 1082-2022")</f>
        <v/>
      </c>
      <c r="T129">
        <f>HYPERLINK("https://klasma.github.io/Logging_2260/kartor/A 1082-2022 karta.png", "A 1082-2022")</f>
        <v/>
      </c>
      <c r="V129">
        <f>HYPERLINK("https://klasma.github.io/Logging_2260/klagomål/A 1082-2022 FSC-klagomål.docx", "A 1082-2022")</f>
        <v/>
      </c>
      <c r="W129">
        <f>HYPERLINK("https://klasma.github.io/Logging_2260/klagomålsmail/A 1082-2022 FSC-klagomål mail.docx", "A 1082-2022")</f>
        <v/>
      </c>
      <c r="X129">
        <f>HYPERLINK("https://klasma.github.io/Logging_2260/tillsyn/A 1082-2022 tillsynsbegäran.docx", "A 1082-2022")</f>
        <v/>
      </c>
      <c r="Y129">
        <f>HYPERLINK("https://klasma.github.io/Logging_2260/tillsynsmail/A 1082-2022 tillsynsbegäran mail.docx", "A 1082-2022")</f>
        <v/>
      </c>
      <c r="Z129">
        <f>HYPERLINK("https://klasma.github.io/Logging_2260/fåglar/A 1082-2022 prioriterade fågelarter.docx", "A 1082-2022")</f>
        <v/>
      </c>
    </row>
    <row r="130" ht="15" customHeight="1">
      <c r="A130" t="inlineStr">
        <is>
          <t>A 48152-2022</t>
        </is>
      </c>
      <c r="B130" s="1" t="n">
        <v>44853</v>
      </c>
      <c r="C130" s="1" t="n">
        <v>45911</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45911</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45911</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45911</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25034-2024</t>
        </is>
      </c>
      <c r="B134" s="1" t="n">
        <v>45461.96458333333</v>
      </c>
      <c r="C134" s="1" t="n">
        <v>45911</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24795-2024</t>
        </is>
      </c>
      <c r="B135" s="1" t="n">
        <v>45460.95252314815</v>
      </c>
      <c r="C135" s="1" t="n">
        <v>45911</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57089-2024</t>
        </is>
      </c>
      <c r="B136" s="1" t="n">
        <v>45629.35665509259</v>
      </c>
      <c r="C136" s="1" t="n">
        <v>45911</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45911</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165-2025</t>
        </is>
      </c>
      <c r="B138" s="1" t="n">
        <v>45659</v>
      </c>
      <c r="C138" s="1" t="n">
        <v>45911</v>
      </c>
      <c r="D138" t="inlineStr">
        <is>
          <t>VÄSTERNORRLANDS LÄN</t>
        </is>
      </c>
      <c r="E138" t="inlineStr">
        <is>
          <t>ÅNGE</t>
        </is>
      </c>
      <c r="G138" t="n">
        <v>13.9</v>
      </c>
      <c r="H138" t="n">
        <v>1</v>
      </c>
      <c r="I138" t="n">
        <v>0</v>
      </c>
      <c r="J138" t="n">
        <v>2</v>
      </c>
      <c r="K138" t="n">
        <v>0</v>
      </c>
      <c r="L138" t="n">
        <v>0</v>
      </c>
      <c r="M138" t="n">
        <v>0</v>
      </c>
      <c r="N138" t="n">
        <v>0</v>
      </c>
      <c r="O138" t="n">
        <v>2</v>
      </c>
      <c r="P138" t="n">
        <v>0</v>
      </c>
      <c r="Q138" t="n">
        <v>2</v>
      </c>
      <c r="R138" s="2" t="inlineStr">
        <is>
          <t>Doftskinn
Tretåig hackspett</t>
        </is>
      </c>
      <c r="S138">
        <f>HYPERLINK("https://klasma.github.io/Logging_2260/artfynd/A 165-2025 artfynd.xlsx", "A 165-2025")</f>
        <v/>
      </c>
      <c r="T138">
        <f>HYPERLINK("https://klasma.github.io/Logging_2260/kartor/A 165-2025 karta.png", "A 165-2025")</f>
        <v/>
      </c>
      <c r="V138">
        <f>HYPERLINK("https://klasma.github.io/Logging_2260/klagomål/A 165-2025 FSC-klagomål.docx", "A 165-2025")</f>
        <v/>
      </c>
      <c r="W138">
        <f>HYPERLINK("https://klasma.github.io/Logging_2260/klagomålsmail/A 165-2025 FSC-klagomål mail.docx", "A 165-2025")</f>
        <v/>
      </c>
      <c r="X138">
        <f>HYPERLINK("https://klasma.github.io/Logging_2260/tillsyn/A 165-2025 tillsynsbegäran.docx", "A 165-2025")</f>
        <v/>
      </c>
      <c r="Y138">
        <f>HYPERLINK("https://klasma.github.io/Logging_2260/tillsynsmail/A 165-2025 tillsynsbegäran mail.docx", "A 165-2025")</f>
        <v/>
      </c>
      <c r="Z138">
        <f>HYPERLINK("https://klasma.github.io/Logging_2260/fåglar/A 165-2025 prioriterade fågelarter.docx", "A 165-2025")</f>
        <v/>
      </c>
    </row>
    <row r="139" ht="15" customHeight="1">
      <c r="A139" t="inlineStr">
        <is>
          <t>A 24176-2025</t>
        </is>
      </c>
      <c r="B139" s="1" t="n">
        <v>45796.69832175926</v>
      </c>
      <c r="C139" s="1" t="n">
        <v>45911</v>
      </c>
      <c r="D139" t="inlineStr">
        <is>
          <t>VÄSTERNORRLANDS LÄN</t>
        </is>
      </c>
      <c r="E139" t="inlineStr">
        <is>
          <t>ÅNGE</t>
        </is>
      </c>
      <c r="F139" t="inlineStr">
        <is>
          <t>SCA</t>
        </is>
      </c>
      <c r="G139" t="n">
        <v>3.9</v>
      </c>
      <c r="H139" t="n">
        <v>0</v>
      </c>
      <c r="I139" t="n">
        <v>1</v>
      </c>
      <c r="J139" t="n">
        <v>1</v>
      </c>
      <c r="K139" t="n">
        <v>0</v>
      </c>
      <c r="L139" t="n">
        <v>0</v>
      </c>
      <c r="M139" t="n">
        <v>0</v>
      </c>
      <c r="N139" t="n">
        <v>0</v>
      </c>
      <c r="O139" t="n">
        <v>1</v>
      </c>
      <c r="P139" t="n">
        <v>0</v>
      </c>
      <c r="Q139" t="n">
        <v>2</v>
      </c>
      <c r="R139" s="2" t="inlineStr">
        <is>
          <t>Vitgrynig nållav
Vedticka</t>
        </is>
      </c>
      <c r="S139">
        <f>HYPERLINK("https://klasma.github.io/Logging_2260/artfynd/A 24176-2025 artfynd.xlsx", "A 24176-2025")</f>
        <v/>
      </c>
      <c r="T139">
        <f>HYPERLINK("https://klasma.github.io/Logging_2260/kartor/A 24176-2025 karta.png", "A 24176-2025")</f>
        <v/>
      </c>
      <c r="V139">
        <f>HYPERLINK("https://klasma.github.io/Logging_2260/klagomål/A 24176-2025 FSC-klagomål.docx", "A 24176-2025")</f>
        <v/>
      </c>
      <c r="W139">
        <f>HYPERLINK("https://klasma.github.io/Logging_2260/klagomålsmail/A 24176-2025 FSC-klagomål mail.docx", "A 24176-2025")</f>
        <v/>
      </c>
      <c r="X139">
        <f>HYPERLINK("https://klasma.github.io/Logging_2260/tillsyn/A 24176-2025 tillsynsbegäran.docx", "A 24176-2025")</f>
        <v/>
      </c>
      <c r="Y139">
        <f>HYPERLINK("https://klasma.github.io/Logging_2260/tillsynsmail/A 24176-2025 tillsynsbegäran mail.docx", "A 24176-2025")</f>
        <v/>
      </c>
    </row>
    <row r="140" ht="15" customHeight="1">
      <c r="A140" t="inlineStr">
        <is>
          <t>A 51756-2020</t>
        </is>
      </c>
      <c r="B140" s="1" t="n">
        <v>44114</v>
      </c>
      <c r="C140" s="1" t="n">
        <v>45911</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26906-2025</t>
        </is>
      </c>
      <c r="B141" s="1" t="n">
        <v>45811.34552083333</v>
      </c>
      <c r="C141" s="1" t="n">
        <v>45911</v>
      </c>
      <c r="D141" t="inlineStr">
        <is>
          <t>VÄSTERNORRLANDS LÄN</t>
        </is>
      </c>
      <c r="E141" t="inlineStr">
        <is>
          <t>ÅNGE</t>
        </is>
      </c>
      <c r="F141" t="inlineStr">
        <is>
          <t>SCA</t>
        </is>
      </c>
      <c r="G141" t="n">
        <v>7</v>
      </c>
      <c r="H141" t="n">
        <v>0</v>
      </c>
      <c r="I141" t="n">
        <v>0</v>
      </c>
      <c r="J141" t="n">
        <v>2</v>
      </c>
      <c r="K141" t="n">
        <v>0</v>
      </c>
      <c r="L141" t="n">
        <v>0</v>
      </c>
      <c r="M141" t="n">
        <v>0</v>
      </c>
      <c r="N141" t="n">
        <v>0</v>
      </c>
      <c r="O141" t="n">
        <v>2</v>
      </c>
      <c r="P141" t="n">
        <v>0</v>
      </c>
      <c r="Q141" t="n">
        <v>2</v>
      </c>
      <c r="R141" s="2" t="inlineStr">
        <is>
          <t>Garnlav
Vitgrynig nållav</t>
        </is>
      </c>
      <c r="S141">
        <f>HYPERLINK("https://klasma.github.io/Logging_2260/artfynd/A 26906-2025 artfynd.xlsx", "A 26906-2025")</f>
        <v/>
      </c>
      <c r="T141">
        <f>HYPERLINK("https://klasma.github.io/Logging_2260/kartor/A 26906-2025 karta.png", "A 26906-2025")</f>
        <v/>
      </c>
      <c r="V141">
        <f>HYPERLINK("https://klasma.github.io/Logging_2260/klagomål/A 26906-2025 FSC-klagomål.docx", "A 26906-2025")</f>
        <v/>
      </c>
      <c r="W141">
        <f>HYPERLINK("https://klasma.github.io/Logging_2260/klagomålsmail/A 26906-2025 FSC-klagomål mail.docx", "A 26906-2025")</f>
        <v/>
      </c>
      <c r="X141">
        <f>HYPERLINK("https://klasma.github.io/Logging_2260/tillsyn/A 26906-2025 tillsynsbegäran.docx", "A 26906-2025")</f>
        <v/>
      </c>
      <c r="Y141">
        <f>HYPERLINK("https://klasma.github.io/Logging_2260/tillsynsmail/A 26906-2025 tillsynsbegäran mail.docx", "A 26906-2025")</f>
        <v/>
      </c>
    </row>
    <row r="142" ht="15" customHeight="1">
      <c r="A142" t="inlineStr">
        <is>
          <t>A 31493-2024</t>
        </is>
      </c>
      <c r="B142" s="1" t="n">
        <v>45505</v>
      </c>
      <c r="C142" s="1" t="n">
        <v>45911</v>
      </c>
      <c r="D142" t="inlineStr">
        <is>
          <t>VÄSTERNORRLANDS LÄN</t>
        </is>
      </c>
      <c r="E142" t="inlineStr">
        <is>
          <t>ÅNGE</t>
        </is>
      </c>
      <c r="F142" t="inlineStr">
        <is>
          <t>SCA</t>
        </is>
      </c>
      <c r="G142" t="n">
        <v>4.4</v>
      </c>
      <c r="H142" t="n">
        <v>1</v>
      </c>
      <c r="I142" t="n">
        <v>1</v>
      </c>
      <c r="J142" t="n">
        <v>0</v>
      </c>
      <c r="K142" t="n">
        <v>1</v>
      </c>
      <c r="L142" t="n">
        <v>0</v>
      </c>
      <c r="M142" t="n">
        <v>0</v>
      </c>
      <c r="N142" t="n">
        <v>0</v>
      </c>
      <c r="O142" t="n">
        <v>1</v>
      </c>
      <c r="P142" t="n">
        <v>1</v>
      </c>
      <c r="Q142" t="n">
        <v>2</v>
      </c>
      <c r="R142" s="2" t="inlineStr">
        <is>
          <t>Knärot
Korallblylav</t>
        </is>
      </c>
      <c r="S142">
        <f>HYPERLINK("https://klasma.github.io/Logging_2260/artfynd/A 31493-2024 artfynd.xlsx", "A 31493-2024")</f>
        <v/>
      </c>
      <c r="T142">
        <f>HYPERLINK("https://klasma.github.io/Logging_2260/kartor/A 31493-2024 karta.png", "A 31493-2024")</f>
        <v/>
      </c>
      <c r="U142">
        <f>HYPERLINK("https://klasma.github.io/Logging_2260/knärot/A 31493-2024 karta knärot.png", "A 31493-2024")</f>
        <v/>
      </c>
      <c r="V142">
        <f>HYPERLINK("https://klasma.github.io/Logging_2260/klagomål/A 31493-2024 FSC-klagomål.docx", "A 31493-2024")</f>
        <v/>
      </c>
      <c r="W142">
        <f>HYPERLINK("https://klasma.github.io/Logging_2260/klagomålsmail/A 31493-2024 FSC-klagomål mail.docx", "A 31493-2024")</f>
        <v/>
      </c>
      <c r="X142">
        <f>HYPERLINK("https://klasma.github.io/Logging_2260/tillsyn/A 31493-2024 tillsynsbegäran.docx", "A 31493-2024")</f>
        <v/>
      </c>
      <c r="Y142">
        <f>HYPERLINK("https://klasma.github.io/Logging_2260/tillsynsmail/A 31493-2024 tillsynsbegäran mail.docx", "A 31493-2024")</f>
        <v/>
      </c>
    </row>
    <row r="143" ht="15" customHeight="1">
      <c r="A143" t="inlineStr">
        <is>
          <t>A 47719-2024</t>
        </is>
      </c>
      <c r="B143" s="1" t="n">
        <v>45588.48996527777</v>
      </c>
      <c r="C143" s="1" t="n">
        <v>45911</v>
      </c>
      <c r="D143" t="inlineStr">
        <is>
          <t>VÄSTERNORRLANDS LÄN</t>
        </is>
      </c>
      <c r="E143" t="inlineStr">
        <is>
          <t>ÅNGE</t>
        </is>
      </c>
      <c r="F143" t="inlineStr">
        <is>
          <t>SCA</t>
        </is>
      </c>
      <c r="G143" t="n">
        <v>1.4</v>
      </c>
      <c r="H143" t="n">
        <v>0</v>
      </c>
      <c r="I143" t="n">
        <v>0</v>
      </c>
      <c r="J143" t="n">
        <v>2</v>
      </c>
      <c r="K143" t="n">
        <v>0</v>
      </c>
      <c r="L143" t="n">
        <v>0</v>
      </c>
      <c r="M143" t="n">
        <v>0</v>
      </c>
      <c r="N143" t="n">
        <v>0</v>
      </c>
      <c r="O143" t="n">
        <v>2</v>
      </c>
      <c r="P143" t="n">
        <v>0</v>
      </c>
      <c r="Q143" t="n">
        <v>2</v>
      </c>
      <c r="R143" s="2" t="inlineStr">
        <is>
          <t>Dvärgbägarlav
Vedskivlav</t>
        </is>
      </c>
      <c r="S143">
        <f>HYPERLINK("https://klasma.github.io/Logging_2260/artfynd/A 47719-2024 artfynd.xlsx", "A 47719-2024")</f>
        <v/>
      </c>
      <c r="T143">
        <f>HYPERLINK("https://klasma.github.io/Logging_2260/kartor/A 47719-2024 karta.png", "A 47719-2024")</f>
        <v/>
      </c>
      <c r="V143">
        <f>HYPERLINK("https://klasma.github.io/Logging_2260/klagomål/A 47719-2024 FSC-klagomål.docx", "A 47719-2024")</f>
        <v/>
      </c>
      <c r="W143">
        <f>HYPERLINK("https://klasma.github.io/Logging_2260/klagomålsmail/A 47719-2024 FSC-klagomål mail.docx", "A 47719-2024")</f>
        <v/>
      </c>
      <c r="X143">
        <f>HYPERLINK("https://klasma.github.io/Logging_2260/tillsyn/A 47719-2024 tillsynsbegäran.docx", "A 47719-2024")</f>
        <v/>
      </c>
      <c r="Y143">
        <f>HYPERLINK("https://klasma.github.io/Logging_2260/tillsynsmail/A 47719-2024 tillsynsbegäran mail.docx", "A 47719-2024")</f>
        <v/>
      </c>
    </row>
    <row r="144" ht="15" customHeight="1">
      <c r="A144" t="inlineStr">
        <is>
          <t>A 57594-2022</t>
        </is>
      </c>
      <c r="B144" s="1" t="n">
        <v>44896.97854166666</v>
      </c>
      <c r="C144" s="1" t="n">
        <v>45911</v>
      </c>
      <c r="D144" t="inlineStr">
        <is>
          <t>VÄSTERNORRLANDS LÄN</t>
        </is>
      </c>
      <c r="E144" t="inlineStr">
        <is>
          <t>ÅNGE</t>
        </is>
      </c>
      <c r="F144" t="inlineStr">
        <is>
          <t>SCA</t>
        </is>
      </c>
      <c r="G144" t="n">
        <v>5.3</v>
      </c>
      <c r="H144" t="n">
        <v>0</v>
      </c>
      <c r="I144" t="n">
        <v>0</v>
      </c>
      <c r="J144" t="n">
        <v>2</v>
      </c>
      <c r="K144" t="n">
        <v>0</v>
      </c>
      <c r="L144" t="n">
        <v>0</v>
      </c>
      <c r="M144" t="n">
        <v>0</v>
      </c>
      <c r="N144" t="n">
        <v>0</v>
      </c>
      <c r="O144" t="n">
        <v>2</v>
      </c>
      <c r="P144" t="n">
        <v>0</v>
      </c>
      <c r="Q144" t="n">
        <v>2</v>
      </c>
      <c r="R144" s="2" t="inlineStr">
        <is>
          <t>Granticka
Lunglav</t>
        </is>
      </c>
      <c r="S144">
        <f>HYPERLINK("https://klasma.github.io/Logging_2260/artfynd/A 57594-2022 artfynd.xlsx", "A 57594-2022")</f>
        <v/>
      </c>
      <c r="T144">
        <f>HYPERLINK("https://klasma.github.io/Logging_2260/kartor/A 57594-2022 karta.png", "A 57594-2022")</f>
        <v/>
      </c>
      <c r="V144">
        <f>HYPERLINK("https://klasma.github.io/Logging_2260/klagomål/A 57594-2022 FSC-klagomål.docx", "A 57594-2022")</f>
        <v/>
      </c>
      <c r="W144">
        <f>HYPERLINK("https://klasma.github.io/Logging_2260/klagomålsmail/A 57594-2022 FSC-klagomål mail.docx", "A 57594-2022")</f>
        <v/>
      </c>
      <c r="X144">
        <f>HYPERLINK("https://klasma.github.io/Logging_2260/tillsyn/A 57594-2022 tillsynsbegäran.docx", "A 57594-2022")</f>
        <v/>
      </c>
      <c r="Y144">
        <f>HYPERLINK("https://klasma.github.io/Logging_2260/tillsynsmail/A 57594-2022 tillsynsbegäran mail.docx", "A 57594-2022")</f>
        <v/>
      </c>
    </row>
    <row r="145" ht="15" customHeight="1">
      <c r="A145" t="inlineStr">
        <is>
          <t>A 17861-2023</t>
        </is>
      </c>
      <c r="B145" s="1" t="n">
        <v>45037.94171296297</v>
      </c>
      <c r="C145" s="1" t="n">
        <v>45911</v>
      </c>
      <c r="D145" t="inlineStr">
        <is>
          <t>VÄSTERNORRLANDS LÄN</t>
        </is>
      </c>
      <c r="E145" t="inlineStr">
        <is>
          <t>ÅNGE</t>
        </is>
      </c>
      <c r="F145" t="inlineStr">
        <is>
          <t>SCA</t>
        </is>
      </c>
      <c r="G145" t="n">
        <v>1.1</v>
      </c>
      <c r="H145" t="n">
        <v>0</v>
      </c>
      <c r="I145" t="n">
        <v>1</v>
      </c>
      <c r="J145" t="n">
        <v>1</v>
      </c>
      <c r="K145" t="n">
        <v>0</v>
      </c>
      <c r="L145" t="n">
        <v>0</v>
      </c>
      <c r="M145" t="n">
        <v>0</v>
      </c>
      <c r="N145" t="n">
        <v>0</v>
      </c>
      <c r="O145" t="n">
        <v>1</v>
      </c>
      <c r="P145" t="n">
        <v>0</v>
      </c>
      <c r="Q145" t="n">
        <v>2</v>
      </c>
      <c r="R145" s="2" t="inlineStr">
        <is>
          <t>Skrovlig taggsvamp
Dropptaggsvamp</t>
        </is>
      </c>
      <c r="S145">
        <f>HYPERLINK("https://klasma.github.io/Logging_2260/artfynd/A 17861-2023 artfynd.xlsx", "A 17861-2023")</f>
        <v/>
      </c>
      <c r="T145">
        <f>HYPERLINK("https://klasma.github.io/Logging_2260/kartor/A 17861-2023 karta.png", "A 17861-2023")</f>
        <v/>
      </c>
      <c r="V145">
        <f>HYPERLINK("https://klasma.github.io/Logging_2260/klagomål/A 17861-2023 FSC-klagomål.docx", "A 17861-2023")</f>
        <v/>
      </c>
      <c r="W145">
        <f>HYPERLINK("https://klasma.github.io/Logging_2260/klagomålsmail/A 17861-2023 FSC-klagomål mail.docx", "A 17861-2023")</f>
        <v/>
      </c>
      <c r="X145">
        <f>HYPERLINK("https://klasma.github.io/Logging_2260/tillsyn/A 17861-2023 tillsynsbegäran.docx", "A 17861-2023")</f>
        <v/>
      </c>
      <c r="Y145">
        <f>HYPERLINK("https://klasma.github.io/Logging_2260/tillsynsmail/A 17861-2023 tillsynsbegäran mail.docx", "A 17861-2023")</f>
        <v/>
      </c>
    </row>
    <row r="146" ht="15" customHeight="1">
      <c r="A146" t="inlineStr">
        <is>
          <t>A 57597-2022</t>
        </is>
      </c>
      <c r="B146" s="1" t="n">
        <v>44896.97878472223</v>
      </c>
      <c r="C146" s="1" t="n">
        <v>45911</v>
      </c>
      <c r="D146" t="inlineStr">
        <is>
          <t>VÄSTERNORRLANDS LÄN</t>
        </is>
      </c>
      <c r="E146" t="inlineStr">
        <is>
          <t>ÅNGE</t>
        </is>
      </c>
      <c r="F146" t="inlineStr">
        <is>
          <t>SCA</t>
        </is>
      </c>
      <c r="G146" t="n">
        <v>6.2</v>
      </c>
      <c r="H146" t="n">
        <v>0</v>
      </c>
      <c r="I146" t="n">
        <v>0</v>
      </c>
      <c r="J146" t="n">
        <v>2</v>
      </c>
      <c r="K146" t="n">
        <v>0</v>
      </c>
      <c r="L146" t="n">
        <v>0</v>
      </c>
      <c r="M146" t="n">
        <v>0</v>
      </c>
      <c r="N146" t="n">
        <v>0</v>
      </c>
      <c r="O146" t="n">
        <v>2</v>
      </c>
      <c r="P146" t="n">
        <v>0</v>
      </c>
      <c r="Q146" t="n">
        <v>2</v>
      </c>
      <c r="R146" s="2" t="inlineStr">
        <is>
          <t>Garnlav
Lunglav</t>
        </is>
      </c>
      <c r="S146">
        <f>HYPERLINK("https://klasma.github.io/Logging_2260/artfynd/A 57597-2022 artfynd.xlsx", "A 57597-2022")</f>
        <v/>
      </c>
      <c r="T146">
        <f>HYPERLINK("https://klasma.github.io/Logging_2260/kartor/A 57597-2022 karta.png", "A 57597-2022")</f>
        <v/>
      </c>
      <c r="V146">
        <f>HYPERLINK("https://klasma.github.io/Logging_2260/klagomål/A 57597-2022 FSC-klagomål.docx", "A 57597-2022")</f>
        <v/>
      </c>
      <c r="W146">
        <f>HYPERLINK("https://klasma.github.io/Logging_2260/klagomålsmail/A 57597-2022 FSC-klagomål mail.docx", "A 57597-2022")</f>
        <v/>
      </c>
      <c r="X146">
        <f>HYPERLINK("https://klasma.github.io/Logging_2260/tillsyn/A 57597-2022 tillsynsbegäran.docx", "A 57597-2022")</f>
        <v/>
      </c>
      <c r="Y146">
        <f>HYPERLINK("https://klasma.github.io/Logging_2260/tillsynsmail/A 57597-2022 tillsynsbegäran mail.docx", "A 57597-2022")</f>
        <v/>
      </c>
    </row>
    <row r="147" ht="15" customHeight="1">
      <c r="A147" t="inlineStr">
        <is>
          <t>A 62861-2021</t>
        </is>
      </c>
      <c r="B147" s="1" t="n">
        <v>44503</v>
      </c>
      <c r="C147" s="1" t="n">
        <v>45911</v>
      </c>
      <c r="D147" t="inlineStr">
        <is>
          <t>VÄSTERNORRLANDS LÄN</t>
        </is>
      </c>
      <c r="E147" t="inlineStr">
        <is>
          <t>ÅNGE</t>
        </is>
      </c>
      <c r="F147" t="inlineStr">
        <is>
          <t>Övriga statliga verk och myndigheter</t>
        </is>
      </c>
      <c r="G147" t="n">
        <v>12.1</v>
      </c>
      <c r="H147" t="n">
        <v>1</v>
      </c>
      <c r="I147" t="n">
        <v>0</v>
      </c>
      <c r="J147" t="n">
        <v>1</v>
      </c>
      <c r="K147" t="n">
        <v>1</v>
      </c>
      <c r="L147" t="n">
        <v>0</v>
      </c>
      <c r="M147" t="n">
        <v>0</v>
      </c>
      <c r="N147" t="n">
        <v>0</v>
      </c>
      <c r="O147" t="n">
        <v>2</v>
      </c>
      <c r="P147" t="n">
        <v>1</v>
      </c>
      <c r="Q147" t="n">
        <v>2</v>
      </c>
      <c r="R147" s="2" t="inlineStr">
        <is>
          <t>Knärot
Rosenticka</t>
        </is>
      </c>
      <c r="S147">
        <f>HYPERLINK("https://klasma.github.io/Logging_2260/artfynd/A 62861-2021 artfynd.xlsx", "A 62861-2021")</f>
        <v/>
      </c>
      <c r="T147">
        <f>HYPERLINK("https://klasma.github.io/Logging_2260/kartor/A 62861-2021 karta.png", "A 62861-2021")</f>
        <v/>
      </c>
      <c r="U147">
        <f>HYPERLINK("https://klasma.github.io/Logging_2260/knärot/A 62861-2021 karta knärot.png", "A 62861-2021")</f>
        <v/>
      </c>
      <c r="V147">
        <f>HYPERLINK("https://klasma.github.io/Logging_2260/klagomål/A 62861-2021 FSC-klagomål.docx", "A 62861-2021")</f>
        <v/>
      </c>
      <c r="W147">
        <f>HYPERLINK("https://klasma.github.io/Logging_2260/klagomålsmail/A 62861-2021 FSC-klagomål mail.docx", "A 62861-2021")</f>
        <v/>
      </c>
      <c r="X147">
        <f>HYPERLINK("https://klasma.github.io/Logging_2260/tillsyn/A 62861-2021 tillsynsbegäran.docx", "A 62861-2021")</f>
        <v/>
      </c>
      <c r="Y147">
        <f>HYPERLINK("https://klasma.github.io/Logging_2260/tillsynsmail/A 62861-2021 tillsynsbegäran mail.docx", "A 62861-2021")</f>
        <v/>
      </c>
    </row>
    <row r="148" ht="15" customHeight="1">
      <c r="A148" t="inlineStr">
        <is>
          <t>A 37800-2025</t>
        </is>
      </c>
      <c r="B148" s="1" t="n">
        <v>45881.34420138889</v>
      </c>
      <c r="C148" s="1" t="n">
        <v>45911</v>
      </c>
      <c r="D148" t="inlineStr">
        <is>
          <t>VÄSTERNORRLANDS LÄN</t>
        </is>
      </c>
      <c r="E148" t="inlineStr">
        <is>
          <t>ÅNGE</t>
        </is>
      </c>
      <c r="F148" t="inlineStr">
        <is>
          <t>SCA</t>
        </is>
      </c>
      <c r="G148" t="n">
        <v>4</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37800-2025 artfynd.xlsx", "A 37800-2025")</f>
        <v/>
      </c>
      <c r="T148">
        <f>HYPERLINK("https://klasma.github.io/Logging_2260/kartor/A 37800-2025 karta.png", "A 37800-2025")</f>
        <v/>
      </c>
      <c r="V148">
        <f>HYPERLINK("https://klasma.github.io/Logging_2260/klagomål/A 37800-2025 FSC-klagomål.docx", "A 37800-2025")</f>
        <v/>
      </c>
      <c r="W148">
        <f>HYPERLINK("https://klasma.github.io/Logging_2260/klagomålsmail/A 37800-2025 FSC-klagomål mail.docx", "A 37800-2025")</f>
        <v/>
      </c>
      <c r="X148">
        <f>HYPERLINK("https://klasma.github.io/Logging_2260/tillsyn/A 37800-2025 tillsynsbegäran.docx", "A 37800-2025")</f>
        <v/>
      </c>
      <c r="Y148">
        <f>HYPERLINK("https://klasma.github.io/Logging_2260/tillsynsmail/A 37800-2025 tillsynsbegäran mail.docx", "A 37800-2025")</f>
        <v/>
      </c>
    </row>
    <row r="149" ht="15" customHeight="1">
      <c r="A149" t="inlineStr">
        <is>
          <t>A 55178-2024</t>
        </is>
      </c>
      <c r="B149" s="1" t="n">
        <v>45621</v>
      </c>
      <c r="C149" s="1" t="n">
        <v>45911</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32659-2024</t>
        </is>
      </c>
      <c r="B150" s="1" t="n">
        <v>45513</v>
      </c>
      <c r="C150" s="1" t="n">
        <v>45911</v>
      </c>
      <c r="D150" t="inlineStr">
        <is>
          <t>VÄSTERNORRLANDS LÄN</t>
        </is>
      </c>
      <c r="E150" t="inlineStr">
        <is>
          <t>ÅNGE</t>
        </is>
      </c>
      <c r="F150" t="inlineStr">
        <is>
          <t>SCA</t>
        </is>
      </c>
      <c r="G150" t="n">
        <v>6.9</v>
      </c>
      <c r="H150" t="n">
        <v>0</v>
      </c>
      <c r="I150" t="n">
        <v>0</v>
      </c>
      <c r="J150" t="n">
        <v>2</v>
      </c>
      <c r="K150" t="n">
        <v>0</v>
      </c>
      <c r="L150" t="n">
        <v>0</v>
      </c>
      <c r="M150" t="n">
        <v>0</v>
      </c>
      <c r="N150" t="n">
        <v>0</v>
      </c>
      <c r="O150" t="n">
        <v>2</v>
      </c>
      <c r="P150" t="n">
        <v>0</v>
      </c>
      <c r="Q150" t="n">
        <v>2</v>
      </c>
      <c r="R150" s="2" t="inlineStr">
        <is>
          <t>Lunglav
Stjärntagging</t>
        </is>
      </c>
      <c r="S150">
        <f>HYPERLINK("https://klasma.github.io/Logging_2260/artfynd/A 32659-2024 artfynd.xlsx", "A 32659-2024")</f>
        <v/>
      </c>
      <c r="T150">
        <f>HYPERLINK("https://klasma.github.io/Logging_2260/kartor/A 32659-2024 karta.png", "A 32659-2024")</f>
        <v/>
      </c>
      <c r="V150">
        <f>HYPERLINK("https://klasma.github.io/Logging_2260/klagomål/A 32659-2024 FSC-klagomål.docx", "A 32659-2024")</f>
        <v/>
      </c>
      <c r="W150">
        <f>HYPERLINK("https://klasma.github.io/Logging_2260/klagomålsmail/A 32659-2024 FSC-klagomål mail.docx", "A 32659-2024")</f>
        <v/>
      </c>
      <c r="X150">
        <f>HYPERLINK("https://klasma.github.io/Logging_2260/tillsyn/A 32659-2024 tillsynsbegäran.docx", "A 32659-2024")</f>
        <v/>
      </c>
      <c r="Y150">
        <f>HYPERLINK("https://klasma.github.io/Logging_2260/tillsynsmail/A 32659-2024 tillsynsbegäran mail.docx", "A 32659-2024")</f>
        <v/>
      </c>
    </row>
    <row r="151" ht="15" customHeight="1">
      <c r="A151" t="inlineStr">
        <is>
          <t>A 55591-2021</t>
        </is>
      </c>
      <c r="B151" s="1" t="n">
        <v>44475</v>
      </c>
      <c r="C151" s="1" t="n">
        <v>45911</v>
      </c>
      <c r="D151" t="inlineStr">
        <is>
          <t>VÄSTERNORRLANDS LÄN</t>
        </is>
      </c>
      <c r="E151" t="inlineStr">
        <is>
          <t>ÅNGE</t>
        </is>
      </c>
      <c r="G151" t="n">
        <v>3.6</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HYPERLINK("https://klasma.github.io/Logging_2260/artfynd/A 55591-2021 artfynd.xlsx", "A 55591-2021")</f>
        <v/>
      </c>
      <c r="T151">
        <f>HYPERLINK("https://klasma.github.io/Logging_2260/kartor/A 55591-2021 karta.png", "A 55591-2021")</f>
        <v/>
      </c>
      <c r="V151">
        <f>HYPERLINK("https://klasma.github.io/Logging_2260/klagomål/A 55591-2021 FSC-klagomål.docx", "A 55591-2021")</f>
        <v/>
      </c>
      <c r="W151">
        <f>HYPERLINK("https://klasma.github.io/Logging_2260/klagomålsmail/A 55591-2021 FSC-klagomål mail.docx", "A 55591-2021")</f>
        <v/>
      </c>
      <c r="X151">
        <f>HYPERLINK("https://klasma.github.io/Logging_2260/tillsyn/A 55591-2021 tillsynsbegäran.docx", "A 55591-2021")</f>
        <v/>
      </c>
      <c r="Y151">
        <f>HYPERLINK("https://klasma.github.io/Logging_2260/tillsynsmail/A 55591-2021 tillsynsbegäran mail.docx", "A 55591-2021")</f>
        <v/>
      </c>
    </row>
    <row r="152" ht="15" customHeight="1">
      <c r="A152" t="inlineStr">
        <is>
          <t>A 38298-2025</t>
        </is>
      </c>
      <c r="B152" s="1" t="n">
        <v>45883.4568287037</v>
      </c>
      <c r="C152" s="1" t="n">
        <v>45911</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58902-2020</t>
        </is>
      </c>
      <c r="B153" s="1" t="n">
        <v>44146</v>
      </c>
      <c r="C153" s="1" t="n">
        <v>45911</v>
      </c>
      <c r="D153" t="inlineStr">
        <is>
          <t>VÄSTERNORRLANDS LÄN</t>
        </is>
      </c>
      <c r="E153" t="inlineStr">
        <is>
          <t>ÅNGE</t>
        </is>
      </c>
      <c r="G153" t="n">
        <v>8.199999999999999</v>
      </c>
      <c r="H153" t="n">
        <v>0</v>
      </c>
      <c r="I153" t="n">
        <v>1</v>
      </c>
      <c r="J153" t="n">
        <v>1</v>
      </c>
      <c r="K153" t="n">
        <v>0</v>
      </c>
      <c r="L153" t="n">
        <v>0</v>
      </c>
      <c r="M153" t="n">
        <v>0</v>
      </c>
      <c r="N153" t="n">
        <v>0</v>
      </c>
      <c r="O153" t="n">
        <v>1</v>
      </c>
      <c r="P153" t="n">
        <v>0</v>
      </c>
      <c r="Q153" t="n">
        <v>2</v>
      </c>
      <c r="R153" s="2" t="inlineStr">
        <is>
          <t>Ullticka
Vedticka</t>
        </is>
      </c>
      <c r="S153">
        <f>HYPERLINK("https://klasma.github.io/Logging_2260/artfynd/A 58902-2020 artfynd.xlsx", "A 58902-2020")</f>
        <v/>
      </c>
      <c r="T153">
        <f>HYPERLINK("https://klasma.github.io/Logging_2260/kartor/A 58902-2020 karta.png", "A 58902-2020")</f>
        <v/>
      </c>
      <c r="V153">
        <f>HYPERLINK("https://klasma.github.io/Logging_2260/klagomål/A 58902-2020 FSC-klagomål.docx", "A 58902-2020")</f>
        <v/>
      </c>
      <c r="W153">
        <f>HYPERLINK("https://klasma.github.io/Logging_2260/klagomålsmail/A 58902-2020 FSC-klagomål mail.docx", "A 58902-2020")</f>
        <v/>
      </c>
      <c r="X153">
        <f>HYPERLINK("https://klasma.github.io/Logging_2260/tillsyn/A 58902-2020 tillsynsbegäran.docx", "A 58902-2020")</f>
        <v/>
      </c>
      <c r="Y153">
        <f>HYPERLINK("https://klasma.github.io/Logging_2260/tillsynsmail/A 58902-2020 tillsynsbegäran mail.docx", "A 58902-2020")</f>
        <v/>
      </c>
    </row>
    <row r="154" ht="15" customHeight="1">
      <c r="A154" t="inlineStr">
        <is>
          <t>A 26020-2024</t>
        </is>
      </c>
      <c r="B154" s="1" t="n">
        <v>45467.9603125</v>
      </c>
      <c r="C154" s="1" t="n">
        <v>45911</v>
      </c>
      <c r="D154" t="inlineStr">
        <is>
          <t>VÄSTERNORRLANDS LÄN</t>
        </is>
      </c>
      <c r="E154" t="inlineStr">
        <is>
          <t>ÅNGE</t>
        </is>
      </c>
      <c r="F154" t="inlineStr">
        <is>
          <t>SCA</t>
        </is>
      </c>
      <c r="G154" t="n">
        <v>4.8</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26020-2024 artfynd.xlsx", "A 26020-2024")</f>
        <v/>
      </c>
      <c r="T154">
        <f>HYPERLINK("https://klasma.github.io/Logging_2260/kartor/A 26020-2024 karta.png", "A 26020-2024")</f>
        <v/>
      </c>
      <c r="V154">
        <f>HYPERLINK("https://klasma.github.io/Logging_2260/klagomål/A 26020-2024 FSC-klagomål.docx", "A 26020-2024")</f>
        <v/>
      </c>
      <c r="W154">
        <f>HYPERLINK("https://klasma.github.io/Logging_2260/klagomålsmail/A 26020-2024 FSC-klagomål mail.docx", "A 26020-2024")</f>
        <v/>
      </c>
      <c r="X154">
        <f>HYPERLINK("https://klasma.github.io/Logging_2260/tillsyn/A 26020-2024 tillsynsbegäran.docx", "A 26020-2024")</f>
        <v/>
      </c>
      <c r="Y154">
        <f>HYPERLINK("https://klasma.github.io/Logging_2260/tillsynsmail/A 26020-2024 tillsynsbegäran mail.docx", "A 26020-2024")</f>
        <v/>
      </c>
    </row>
    <row r="155" ht="15" customHeight="1">
      <c r="A155" t="inlineStr">
        <is>
          <t>A 36414-2025</t>
        </is>
      </c>
      <c r="B155" s="1" t="n">
        <v>45868.69246527777</v>
      </c>
      <c r="C155" s="1" t="n">
        <v>45911</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42864-2025</t>
        </is>
      </c>
      <c r="B156" s="1" t="n">
        <v>45908.61540509259</v>
      </c>
      <c r="C156" s="1" t="n">
        <v>45911</v>
      </c>
      <c r="D156" t="inlineStr">
        <is>
          <t>VÄSTERNORRLANDS LÄN</t>
        </is>
      </c>
      <c r="E156" t="inlineStr">
        <is>
          <t>ÅNGE</t>
        </is>
      </c>
      <c r="G156" t="n">
        <v>3.2</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29325-2023</t>
        </is>
      </c>
      <c r="B157" s="1" t="n">
        <v>45105</v>
      </c>
      <c r="C157" s="1" t="n">
        <v>45911</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48374-2024</t>
        </is>
      </c>
      <c r="B158" s="1" t="n">
        <v>45590.58028935185</v>
      </c>
      <c r="C158" s="1" t="n">
        <v>45911</v>
      </c>
      <c r="D158" t="inlineStr">
        <is>
          <t>VÄSTERNORRLANDS LÄN</t>
        </is>
      </c>
      <c r="E158" t="inlineStr">
        <is>
          <t>ÅNGE</t>
        </is>
      </c>
      <c r="G158" t="n">
        <v>6.6</v>
      </c>
      <c r="H158" t="n">
        <v>0</v>
      </c>
      <c r="I158" t="n">
        <v>1</v>
      </c>
      <c r="J158" t="n">
        <v>1</v>
      </c>
      <c r="K158" t="n">
        <v>0</v>
      </c>
      <c r="L158" t="n">
        <v>0</v>
      </c>
      <c r="M158" t="n">
        <v>0</v>
      </c>
      <c r="N158" t="n">
        <v>0</v>
      </c>
      <c r="O158" t="n">
        <v>1</v>
      </c>
      <c r="P158" t="n">
        <v>0</v>
      </c>
      <c r="Q158" t="n">
        <v>2</v>
      </c>
      <c r="R158" s="2" t="inlineStr">
        <is>
          <t>Kolflarnlav
Bollvitmossa</t>
        </is>
      </c>
      <c r="S158">
        <f>HYPERLINK("https://klasma.github.io/Logging_2260/artfynd/A 48374-2024 artfynd.xlsx", "A 48374-2024")</f>
        <v/>
      </c>
      <c r="T158">
        <f>HYPERLINK("https://klasma.github.io/Logging_2260/kartor/A 48374-2024 karta.png", "A 48374-2024")</f>
        <v/>
      </c>
      <c r="V158">
        <f>HYPERLINK("https://klasma.github.io/Logging_2260/klagomål/A 48374-2024 FSC-klagomål.docx", "A 48374-2024")</f>
        <v/>
      </c>
      <c r="W158">
        <f>HYPERLINK("https://klasma.github.io/Logging_2260/klagomålsmail/A 48374-2024 FSC-klagomål mail.docx", "A 48374-2024")</f>
        <v/>
      </c>
      <c r="X158">
        <f>HYPERLINK("https://klasma.github.io/Logging_2260/tillsyn/A 48374-2024 tillsynsbegäran.docx", "A 48374-2024")</f>
        <v/>
      </c>
      <c r="Y158">
        <f>HYPERLINK("https://klasma.github.io/Logging_2260/tillsynsmail/A 48374-2024 tillsynsbegäran mail.docx", "A 48374-2024")</f>
        <v/>
      </c>
    </row>
    <row r="159" ht="15" customHeight="1">
      <c r="A159" t="inlineStr">
        <is>
          <t>A 48695-2024</t>
        </is>
      </c>
      <c r="B159" s="1" t="n">
        <v>45593.5109837963</v>
      </c>
      <c r="C159" s="1" t="n">
        <v>45911</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4093-2025</t>
        </is>
      </c>
      <c r="B160" s="1" t="n">
        <v>45684.67762731481</v>
      </c>
      <c r="C160" s="1" t="n">
        <v>45911</v>
      </c>
      <c r="D160" t="inlineStr">
        <is>
          <t>VÄSTERNORRLANDS LÄN</t>
        </is>
      </c>
      <c r="E160" t="inlineStr">
        <is>
          <t>ÅNGE</t>
        </is>
      </c>
      <c r="F160" t="inlineStr">
        <is>
          <t>SCA</t>
        </is>
      </c>
      <c r="G160" t="n">
        <v>2.6</v>
      </c>
      <c r="H160" t="n">
        <v>1</v>
      </c>
      <c r="I160" t="n">
        <v>2</v>
      </c>
      <c r="J160" t="n">
        <v>0</v>
      </c>
      <c r="K160" t="n">
        <v>0</v>
      </c>
      <c r="L160" t="n">
        <v>0</v>
      </c>
      <c r="M160" t="n">
        <v>0</v>
      </c>
      <c r="N160" t="n">
        <v>0</v>
      </c>
      <c r="O160" t="n">
        <v>0</v>
      </c>
      <c r="P160" t="n">
        <v>0</v>
      </c>
      <c r="Q160" t="n">
        <v>2</v>
      </c>
      <c r="R160" s="2" t="inlineStr">
        <is>
          <t>Kransrams
Spindelblomster</t>
        </is>
      </c>
      <c r="S160">
        <f>HYPERLINK("https://klasma.github.io/Logging_2260/artfynd/A 4093-2025 artfynd.xlsx", "A 4093-2025")</f>
        <v/>
      </c>
      <c r="T160">
        <f>HYPERLINK("https://klasma.github.io/Logging_2260/kartor/A 4093-2025 karta.png", "A 4093-2025")</f>
        <v/>
      </c>
      <c r="V160">
        <f>HYPERLINK("https://klasma.github.io/Logging_2260/klagomål/A 4093-2025 FSC-klagomål.docx", "A 4093-2025")</f>
        <v/>
      </c>
      <c r="W160">
        <f>HYPERLINK("https://klasma.github.io/Logging_2260/klagomålsmail/A 4093-2025 FSC-klagomål mail.docx", "A 4093-2025")</f>
        <v/>
      </c>
      <c r="X160">
        <f>HYPERLINK("https://klasma.github.io/Logging_2260/tillsyn/A 4093-2025 tillsynsbegäran.docx", "A 4093-2025")</f>
        <v/>
      </c>
      <c r="Y160">
        <f>HYPERLINK("https://klasma.github.io/Logging_2260/tillsynsmail/A 4093-2025 tillsynsbegäran mail.docx", "A 4093-2025")</f>
        <v/>
      </c>
    </row>
    <row r="161" ht="15" customHeight="1">
      <c r="A161" t="inlineStr">
        <is>
          <t>A 49871-2024</t>
        </is>
      </c>
      <c r="B161" s="1" t="n">
        <v>45597.4903125</v>
      </c>
      <c r="C161" s="1" t="n">
        <v>45911</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8324-2025</t>
        </is>
      </c>
      <c r="B162" s="1" t="n">
        <v>45708.63621527778</v>
      </c>
      <c r="C162" s="1" t="n">
        <v>45911</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21453-2025</t>
        </is>
      </c>
      <c r="B163" s="1" t="n">
        <v>45782.55311342593</v>
      </c>
      <c r="C163" s="1" t="n">
        <v>45911</v>
      </c>
      <c r="D163" t="inlineStr">
        <is>
          <t>VÄSTERNORRLANDS LÄN</t>
        </is>
      </c>
      <c r="E163" t="inlineStr">
        <is>
          <t>ÅNGE</t>
        </is>
      </c>
      <c r="F163" t="inlineStr">
        <is>
          <t>SCA</t>
        </is>
      </c>
      <c r="G163" t="n">
        <v>1</v>
      </c>
      <c r="H163" t="n">
        <v>0</v>
      </c>
      <c r="I163" t="n">
        <v>2</v>
      </c>
      <c r="J163" t="n">
        <v>0</v>
      </c>
      <c r="K163" t="n">
        <v>0</v>
      </c>
      <c r="L163" t="n">
        <v>0</v>
      </c>
      <c r="M163" t="n">
        <v>0</v>
      </c>
      <c r="N163" t="n">
        <v>0</v>
      </c>
      <c r="O163" t="n">
        <v>0</v>
      </c>
      <c r="P163" t="n">
        <v>0</v>
      </c>
      <c r="Q163" t="n">
        <v>2</v>
      </c>
      <c r="R163" s="2" t="inlineStr">
        <is>
          <t>Svart trolldruva
Tibast</t>
        </is>
      </c>
      <c r="S163">
        <f>HYPERLINK("https://klasma.github.io/Logging_2260/artfynd/A 21453-2025 artfynd.xlsx", "A 21453-2025")</f>
        <v/>
      </c>
      <c r="T163">
        <f>HYPERLINK("https://klasma.github.io/Logging_2260/kartor/A 21453-2025 karta.png", "A 21453-2025")</f>
        <v/>
      </c>
      <c r="V163">
        <f>HYPERLINK("https://klasma.github.io/Logging_2260/klagomål/A 21453-2025 FSC-klagomål.docx", "A 21453-2025")</f>
        <v/>
      </c>
      <c r="W163">
        <f>HYPERLINK("https://klasma.github.io/Logging_2260/klagomålsmail/A 21453-2025 FSC-klagomål mail.docx", "A 21453-2025")</f>
        <v/>
      </c>
      <c r="X163">
        <f>HYPERLINK("https://klasma.github.io/Logging_2260/tillsyn/A 21453-2025 tillsynsbegäran.docx", "A 21453-2025")</f>
        <v/>
      </c>
      <c r="Y163">
        <f>HYPERLINK("https://klasma.github.io/Logging_2260/tillsynsmail/A 21453-2025 tillsynsbegäran mail.docx", "A 21453-2025")</f>
        <v/>
      </c>
    </row>
    <row r="164" ht="15" customHeight="1">
      <c r="A164" t="inlineStr">
        <is>
          <t>A 20367-2022</t>
        </is>
      </c>
      <c r="B164" s="1" t="n">
        <v>44699</v>
      </c>
      <c r="C164" s="1" t="n">
        <v>45911</v>
      </c>
      <c r="D164" t="inlineStr">
        <is>
          <t>VÄSTERNORRLANDS LÄN</t>
        </is>
      </c>
      <c r="E164" t="inlineStr">
        <is>
          <t>ÅNGE</t>
        </is>
      </c>
      <c r="G164" t="n">
        <v>9.6</v>
      </c>
      <c r="H164" t="n">
        <v>1</v>
      </c>
      <c r="I164" t="n">
        <v>0</v>
      </c>
      <c r="J164" t="n">
        <v>0</v>
      </c>
      <c r="K164" t="n">
        <v>0</v>
      </c>
      <c r="L164" t="n">
        <v>0</v>
      </c>
      <c r="M164" t="n">
        <v>0</v>
      </c>
      <c r="N164" t="n">
        <v>0</v>
      </c>
      <c r="O164" t="n">
        <v>0</v>
      </c>
      <c r="P164" t="n">
        <v>0</v>
      </c>
      <c r="Q164" t="n">
        <v>1</v>
      </c>
      <c r="R164" s="2" t="inlineStr">
        <is>
          <t>Fläcknycklar</t>
        </is>
      </c>
      <c r="S164">
        <f>HYPERLINK("https://klasma.github.io/Logging_2260/artfynd/A 20367-2022 artfynd.xlsx", "A 20367-2022")</f>
        <v/>
      </c>
      <c r="T164">
        <f>HYPERLINK("https://klasma.github.io/Logging_2260/kartor/A 20367-2022 karta.png", "A 20367-2022")</f>
        <v/>
      </c>
      <c r="V164">
        <f>HYPERLINK("https://klasma.github.io/Logging_2260/klagomål/A 20367-2022 FSC-klagomål.docx", "A 20367-2022")</f>
        <v/>
      </c>
      <c r="W164">
        <f>HYPERLINK("https://klasma.github.io/Logging_2260/klagomålsmail/A 20367-2022 FSC-klagomål mail.docx", "A 20367-2022")</f>
        <v/>
      </c>
      <c r="X164">
        <f>HYPERLINK("https://klasma.github.io/Logging_2260/tillsyn/A 20367-2022 tillsynsbegäran.docx", "A 20367-2022")</f>
        <v/>
      </c>
      <c r="Y164">
        <f>HYPERLINK("https://klasma.github.io/Logging_2260/tillsynsmail/A 20367-2022 tillsynsbegäran mail.docx", "A 20367-2022")</f>
        <v/>
      </c>
    </row>
    <row r="165" ht="15" customHeight="1">
      <c r="A165" t="inlineStr">
        <is>
          <t>A 31136-2022</t>
        </is>
      </c>
      <c r="B165" s="1" t="n">
        <v>44770.40920138889</v>
      </c>
      <c r="C165" s="1" t="n">
        <v>45911</v>
      </c>
      <c r="D165" t="inlineStr">
        <is>
          <t>VÄSTERNORRLANDS LÄN</t>
        </is>
      </c>
      <c r="E165" t="inlineStr">
        <is>
          <t>ÅNGE</t>
        </is>
      </c>
      <c r="F165" t="inlineStr">
        <is>
          <t>Övriga Aktiebolag</t>
        </is>
      </c>
      <c r="G165" t="n">
        <v>4.4</v>
      </c>
      <c r="H165" t="n">
        <v>1</v>
      </c>
      <c r="I165" t="n">
        <v>0</v>
      </c>
      <c r="J165" t="n">
        <v>0</v>
      </c>
      <c r="K165" t="n">
        <v>0</v>
      </c>
      <c r="L165" t="n">
        <v>0</v>
      </c>
      <c r="M165" t="n">
        <v>0</v>
      </c>
      <c r="N165" t="n">
        <v>0</v>
      </c>
      <c r="O165" t="n">
        <v>0</v>
      </c>
      <c r="P165" t="n">
        <v>0</v>
      </c>
      <c r="Q165" t="n">
        <v>1</v>
      </c>
      <c r="R165" s="2" t="inlineStr">
        <is>
          <t>Tjäder</t>
        </is>
      </c>
      <c r="S165">
        <f>HYPERLINK("https://klasma.github.io/Logging_2260/artfynd/A 31136-2022 artfynd.xlsx", "A 31136-2022")</f>
        <v/>
      </c>
      <c r="T165">
        <f>HYPERLINK("https://klasma.github.io/Logging_2260/kartor/A 31136-2022 karta.png", "A 31136-2022")</f>
        <v/>
      </c>
      <c r="V165">
        <f>HYPERLINK("https://klasma.github.io/Logging_2260/klagomål/A 31136-2022 FSC-klagomål.docx", "A 31136-2022")</f>
        <v/>
      </c>
      <c r="W165">
        <f>HYPERLINK("https://klasma.github.io/Logging_2260/klagomålsmail/A 31136-2022 FSC-klagomål mail.docx", "A 31136-2022")</f>
        <v/>
      </c>
      <c r="X165">
        <f>HYPERLINK("https://klasma.github.io/Logging_2260/tillsyn/A 31136-2022 tillsynsbegäran.docx", "A 31136-2022")</f>
        <v/>
      </c>
      <c r="Y165">
        <f>HYPERLINK("https://klasma.github.io/Logging_2260/tillsynsmail/A 31136-2022 tillsynsbegäran mail.docx", "A 31136-2022")</f>
        <v/>
      </c>
      <c r="Z165">
        <f>HYPERLINK("https://klasma.github.io/Logging_2260/fåglar/A 31136-2022 prioriterade fågelarter.docx", "A 31136-2022")</f>
        <v/>
      </c>
    </row>
    <row r="166" ht="15" customHeight="1">
      <c r="A166" t="inlineStr">
        <is>
          <t>A 61479-2021</t>
        </is>
      </c>
      <c r="B166" s="1" t="n">
        <v>44500</v>
      </c>
      <c r="C166" s="1" t="n">
        <v>45911</v>
      </c>
      <c r="D166" t="inlineStr">
        <is>
          <t>VÄSTERNORRLANDS LÄN</t>
        </is>
      </c>
      <c r="E166" t="inlineStr">
        <is>
          <t>ÅNGE</t>
        </is>
      </c>
      <c r="F166" t="inlineStr">
        <is>
          <t>SCA</t>
        </is>
      </c>
      <c r="G166" t="n">
        <v>7.2</v>
      </c>
      <c r="H166" t="n">
        <v>1</v>
      </c>
      <c r="I166" t="n">
        <v>0</v>
      </c>
      <c r="J166" t="n">
        <v>0</v>
      </c>
      <c r="K166" t="n">
        <v>1</v>
      </c>
      <c r="L166" t="n">
        <v>0</v>
      </c>
      <c r="M166" t="n">
        <v>0</v>
      </c>
      <c r="N166" t="n">
        <v>0</v>
      </c>
      <c r="O166" t="n">
        <v>1</v>
      </c>
      <c r="P166" t="n">
        <v>1</v>
      </c>
      <c r="Q166" t="n">
        <v>1</v>
      </c>
      <c r="R166" s="2" t="inlineStr">
        <is>
          <t>Knärot</t>
        </is>
      </c>
      <c r="S166">
        <f>HYPERLINK("https://klasma.github.io/Logging_2260/artfynd/A 61479-2021 artfynd.xlsx", "A 61479-2021")</f>
        <v/>
      </c>
      <c r="T166">
        <f>HYPERLINK("https://klasma.github.io/Logging_2260/kartor/A 61479-2021 karta.png", "A 61479-2021")</f>
        <v/>
      </c>
      <c r="U166">
        <f>HYPERLINK("https://klasma.github.io/Logging_2260/knärot/A 61479-2021 karta knärot.png", "A 61479-2021")</f>
        <v/>
      </c>
      <c r="V166">
        <f>HYPERLINK("https://klasma.github.io/Logging_2260/klagomål/A 61479-2021 FSC-klagomål.docx", "A 61479-2021")</f>
        <v/>
      </c>
      <c r="W166">
        <f>HYPERLINK("https://klasma.github.io/Logging_2260/klagomålsmail/A 61479-2021 FSC-klagomål mail.docx", "A 61479-2021")</f>
        <v/>
      </c>
      <c r="X166">
        <f>HYPERLINK("https://klasma.github.io/Logging_2260/tillsyn/A 61479-2021 tillsynsbegäran.docx", "A 61479-2021")</f>
        <v/>
      </c>
      <c r="Y166">
        <f>HYPERLINK("https://klasma.github.io/Logging_2260/tillsynsmail/A 61479-2021 tillsynsbegäran mail.docx", "A 61479-2021")</f>
        <v/>
      </c>
    </row>
    <row r="167" ht="15" customHeight="1">
      <c r="A167" t="inlineStr">
        <is>
          <t>A 31578-2021</t>
        </is>
      </c>
      <c r="B167" s="1" t="n">
        <v>44369</v>
      </c>
      <c r="C167" s="1" t="n">
        <v>45911</v>
      </c>
      <c r="D167" t="inlineStr">
        <is>
          <t>VÄSTERNORRLANDS LÄN</t>
        </is>
      </c>
      <c r="E167" t="inlineStr">
        <is>
          <t>ÅNGE</t>
        </is>
      </c>
      <c r="G167" t="n">
        <v>25.8</v>
      </c>
      <c r="H167" t="n">
        <v>1</v>
      </c>
      <c r="I167" t="n">
        <v>0</v>
      </c>
      <c r="J167" t="n">
        <v>0</v>
      </c>
      <c r="K167" t="n">
        <v>1</v>
      </c>
      <c r="L167" t="n">
        <v>0</v>
      </c>
      <c r="M167" t="n">
        <v>0</v>
      </c>
      <c r="N167" t="n">
        <v>0</v>
      </c>
      <c r="O167" t="n">
        <v>1</v>
      </c>
      <c r="P167" t="n">
        <v>1</v>
      </c>
      <c r="Q167" t="n">
        <v>1</v>
      </c>
      <c r="R167" s="2" t="inlineStr">
        <is>
          <t>Knärot</t>
        </is>
      </c>
      <c r="S167">
        <f>HYPERLINK("https://klasma.github.io/Logging_2260/artfynd/A 31578-2021 artfynd.xlsx", "A 31578-2021")</f>
        <v/>
      </c>
      <c r="T167">
        <f>HYPERLINK("https://klasma.github.io/Logging_2260/kartor/A 31578-2021 karta.png", "A 31578-2021")</f>
        <v/>
      </c>
      <c r="U167">
        <f>HYPERLINK("https://klasma.github.io/Logging_2260/knärot/A 31578-2021 karta knärot.png", "A 31578-2021")</f>
        <v/>
      </c>
      <c r="V167">
        <f>HYPERLINK("https://klasma.github.io/Logging_2260/klagomål/A 31578-2021 FSC-klagomål.docx", "A 31578-2021")</f>
        <v/>
      </c>
      <c r="W167">
        <f>HYPERLINK("https://klasma.github.io/Logging_2260/klagomålsmail/A 31578-2021 FSC-klagomål mail.docx", "A 31578-2021")</f>
        <v/>
      </c>
      <c r="X167">
        <f>HYPERLINK("https://klasma.github.io/Logging_2260/tillsyn/A 31578-2021 tillsynsbegäran.docx", "A 31578-2021")</f>
        <v/>
      </c>
      <c r="Y167">
        <f>HYPERLINK("https://klasma.github.io/Logging_2260/tillsynsmail/A 31578-2021 tillsynsbegäran mail.docx", "A 31578-2021")</f>
        <v/>
      </c>
    </row>
    <row r="168" ht="15" customHeight="1">
      <c r="A168" t="inlineStr">
        <is>
          <t>A 35018-2021</t>
        </is>
      </c>
      <c r="B168" s="1" t="n">
        <v>44383.69549768518</v>
      </c>
      <c r="C168" s="1" t="n">
        <v>45911</v>
      </c>
      <c r="D168" t="inlineStr">
        <is>
          <t>VÄSTERNORRLANDS LÄN</t>
        </is>
      </c>
      <c r="E168" t="inlineStr">
        <is>
          <t>ÅNGE</t>
        </is>
      </c>
      <c r="F168" t="inlineStr">
        <is>
          <t>Sveaskog</t>
        </is>
      </c>
      <c r="G168" t="n">
        <v>9.5</v>
      </c>
      <c r="H168" t="n">
        <v>1</v>
      </c>
      <c r="I168" t="n">
        <v>0</v>
      </c>
      <c r="J168" t="n">
        <v>1</v>
      </c>
      <c r="K168" t="n">
        <v>0</v>
      </c>
      <c r="L168" t="n">
        <v>0</v>
      </c>
      <c r="M168" t="n">
        <v>0</v>
      </c>
      <c r="N168" t="n">
        <v>0</v>
      </c>
      <c r="O168" t="n">
        <v>1</v>
      </c>
      <c r="P168" t="n">
        <v>0</v>
      </c>
      <c r="Q168" t="n">
        <v>1</v>
      </c>
      <c r="R168" s="2" t="inlineStr">
        <is>
          <t>Utter</t>
        </is>
      </c>
      <c r="S168">
        <f>HYPERLINK("https://klasma.github.io/Logging_2260/artfynd/A 35018-2021 artfynd.xlsx", "A 35018-2021")</f>
        <v/>
      </c>
      <c r="T168">
        <f>HYPERLINK("https://klasma.github.io/Logging_2260/kartor/A 35018-2021 karta.png", "A 35018-2021")</f>
        <v/>
      </c>
      <c r="V168">
        <f>HYPERLINK("https://klasma.github.io/Logging_2260/klagomål/A 35018-2021 FSC-klagomål.docx", "A 35018-2021")</f>
        <v/>
      </c>
      <c r="W168">
        <f>HYPERLINK("https://klasma.github.io/Logging_2260/klagomålsmail/A 35018-2021 FSC-klagomål mail.docx", "A 35018-2021")</f>
        <v/>
      </c>
      <c r="X168">
        <f>HYPERLINK("https://klasma.github.io/Logging_2260/tillsyn/A 35018-2021 tillsynsbegäran.docx", "A 35018-2021")</f>
        <v/>
      </c>
      <c r="Y168">
        <f>HYPERLINK("https://klasma.github.io/Logging_2260/tillsynsmail/A 35018-2021 tillsynsbegäran mail.docx", "A 35018-2021")</f>
        <v/>
      </c>
    </row>
    <row r="169" ht="15" customHeight="1">
      <c r="A169" t="inlineStr">
        <is>
          <t>A 5558-2021</t>
        </is>
      </c>
      <c r="B169" s="1" t="n">
        <v>44230</v>
      </c>
      <c r="C169" s="1" t="n">
        <v>45911</v>
      </c>
      <c r="D169" t="inlineStr">
        <is>
          <t>VÄSTERNORRLANDS LÄN</t>
        </is>
      </c>
      <c r="E169" t="inlineStr">
        <is>
          <t>ÅNGE</t>
        </is>
      </c>
      <c r="G169" t="n">
        <v>60.6</v>
      </c>
      <c r="H169" t="n">
        <v>0</v>
      </c>
      <c r="I169" t="n">
        <v>0</v>
      </c>
      <c r="J169" t="n">
        <v>1</v>
      </c>
      <c r="K169" t="n">
        <v>0</v>
      </c>
      <c r="L169" t="n">
        <v>0</v>
      </c>
      <c r="M169" t="n">
        <v>0</v>
      </c>
      <c r="N169" t="n">
        <v>0</v>
      </c>
      <c r="O169" t="n">
        <v>1</v>
      </c>
      <c r="P169" t="n">
        <v>0</v>
      </c>
      <c r="Q169" t="n">
        <v>1</v>
      </c>
      <c r="R169" s="2" t="inlineStr">
        <is>
          <t>Garnlav</t>
        </is>
      </c>
      <c r="S169">
        <f>HYPERLINK("https://klasma.github.io/Logging_2260/artfynd/A 5558-2021 artfynd.xlsx", "A 5558-2021")</f>
        <v/>
      </c>
      <c r="T169">
        <f>HYPERLINK("https://klasma.github.io/Logging_2260/kartor/A 5558-2021 karta.png", "A 5558-2021")</f>
        <v/>
      </c>
      <c r="V169">
        <f>HYPERLINK("https://klasma.github.io/Logging_2260/klagomål/A 5558-2021 FSC-klagomål.docx", "A 5558-2021")</f>
        <v/>
      </c>
      <c r="W169">
        <f>HYPERLINK("https://klasma.github.io/Logging_2260/klagomålsmail/A 5558-2021 FSC-klagomål mail.docx", "A 5558-2021")</f>
        <v/>
      </c>
      <c r="X169">
        <f>HYPERLINK("https://klasma.github.io/Logging_2260/tillsyn/A 5558-2021 tillsynsbegäran.docx", "A 5558-2021")</f>
        <v/>
      </c>
      <c r="Y169">
        <f>HYPERLINK("https://klasma.github.io/Logging_2260/tillsynsmail/A 5558-2021 tillsynsbegäran mail.docx", "A 5558-2021")</f>
        <v/>
      </c>
    </row>
    <row r="170" ht="15" customHeight="1">
      <c r="A170" t="inlineStr">
        <is>
          <t>A 38606-2024</t>
        </is>
      </c>
      <c r="B170" s="1" t="n">
        <v>45546.67804398148</v>
      </c>
      <c r="C170" s="1" t="n">
        <v>45911</v>
      </c>
      <c r="D170" t="inlineStr">
        <is>
          <t>VÄSTERNORRLANDS LÄN</t>
        </is>
      </c>
      <c r="E170" t="inlineStr">
        <is>
          <t>ÅNGE</t>
        </is>
      </c>
      <c r="F170" t="inlineStr">
        <is>
          <t>SCA</t>
        </is>
      </c>
      <c r="G170" t="n">
        <v>2.4</v>
      </c>
      <c r="H170" t="n">
        <v>0</v>
      </c>
      <c r="I170" t="n">
        <v>0</v>
      </c>
      <c r="J170" t="n">
        <v>1</v>
      </c>
      <c r="K170" t="n">
        <v>0</v>
      </c>
      <c r="L170" t="n">
        <v>0</v>
      </c>
      <c r="M170" t="n">
        <v>0</v>
      </c>
      <c r="N170" t="n">
        <v>0</v>
      </c>
      <c r="O170" t="n">
        <v>1</v>
      </c>
      <c r="P170" t="n">
        <v>0</v>
      </c>
      <c r="Q170" t="n">
        <v>1</v>
      </c>
      <c r="R170" s="2" t="inlineStr">
        <is>
          <t>Ullticka</t>
        </is>
      </c>
      <c r="S170">
        <f>HYPERLINK("https://klasma.github.io/Logging_2260/artfynd/A 38606-2024 artfynd.xlsx", "A 38606-2024")</f>
        <v/>
      </c>
      <c r="T170">
        <f>HYPERLINK("https://klasma.github.io/Logging_2260/kartor/A 38606-2024 karta.png", "A 38606-2024")</f>
        <v/>
      </c>
      <c r="V170">
        <f>HYPERLINK("https://klasma.github.io/Logging_2260/klagomål/A 38606-2024 FSC-klagomål.docx", "A 38606-2024")</f>
        <v/>
      </c>
      <c r="W170">
        <f>HYPERLINK("https://klasma.github.io/Logging_2260/klagomålsmail/A 38606-2024 FSC-klagomål mail.docx", "A 38606-2024")</f>
        <v/>
      </c>
      <c r="X170">
        <f>HYPERLINK("https://klasma.github.io/Logging_2260/tillsyn/A 38606-2024 tillsynsbegäran.docx", "A 38606-2024")</f>
        <v/>
      </c>
      <c r="Y170">
        <f>HYPERLINK("https://klasma.github.io/Logging_2260/tillsynsmail/A 38606-2024 tillsynsbegäran mail.docx", "A 38606-2024")</f>
        <v/>
      </c>
    </row>
    <row r="171" ht="15" customHeight="1">
      <c r="A171" t="inlineStr">
        <is>
          <t>A 13934-2024</t>
        </is>
      </c>
      <c r="B171" s="1" t="n">
        <v>45391</v>
      </c>
      <c r="C171" s="1" t="n">
        <v>45911</v>
      </c>
      <c r="D171" t="inlineStr">
        <is>
          <t>VÄSTERNORRLANDS LÄN</t>
        </is>
      </c>
      <c r="E171" t="inlineStr">
        <is>
          <t>ÅNGE</t>
        </is>
      </c>
      <c r="F171" t="inlineStr">
        <is>
          <t>SCA</t>
        </is>
      </c>
      <c r="G171" t="n">
        <v>5.8</v>
      </c>
      <c r="H171" t="n">
        <v>0</v>
      </c>
      <c r="I171" t="n">
        <v>0</v>
      </c>
      <c r="J171" t="n">
        <v>1</v>
      </c>
      <c r="K171" t="n">
        <v>0</v>
      </c>
      <c r="L171" t="n">
        <v>0</v>
      </c>
      <c r="M171" t="n">
        <v>0</v>
      </c>
      <c r="N171" t="n">
        <v>0</v>
      </c>
      <c r="O171" t="n">
        <v>1</v>
      </c>
      <c r="P171" t="n">
        <v>0</v>
      </c>
      <c r="Q171" t="n">
        <v>1</v>
      </c>
      <c r="R171" s="2" t="inlineStr">
        <is>
          <t>Ullticka</t>
        </is>
      </c>
      <c r="S171">
        <f>HYPERLINK("https://klasma.github.io/Logging_2260/artfynd/A 13934-2024 artfynd.xlsx", "A 13934-2024")</f>
        <v/>
      </c>
      <c r="T171">
        <f>HYPERLINK("https://klasma.github.io/Logging_2260/kartor/A 13934-2024 karta.png", "A 13934-2024")</f>
        <v/>
      </c>
      <c r="V171">
        <f>HYPERLINK("https://klasma.github.io/Logging_2260/klagomål/A 13934-2024 FSC-klagomål.docx", "A 13934-2024")</f>
        <v/>
      </c>
      <c r="W171">
        <f>HYPERLINK("https://klasma.github.io/Logging_2260/klagomålsmail/A 13934-2024 FSC-klagomål mail.docx", "A 13934-2024")</f>
        <v/>
      </c>
      <c r="X171">
        <f>HYPERLINK("https://klasma.github.io/Logging_2260/tillsyn/A 13934-2024 tillsynsbegäran.docx", "A 13934-2024")</f>
        <v/>
      </c>
      <c r="Y171">
        <f>HYPERLINK("https://klasma.github.io/Logging_2260/tillsynsmail/A 13934-2024 tillsynsbegäran mail.docx", "A 13934-2024")</f>
        <v/>
      </c>
    </row>
    <row r="172" ht="15" customHeight="1">
      <c r="A172" t="inlineStr">
        <is>
          <t>A 43171-2024</t>
        </is>
      </c>
      <c r="B172" s="1" t="n">
        <v>45567</v>
      </c>
      <c r="C172" s="1" t="n">
        <v>45911</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56091-2024</t>
        </is>
      </c>
      <c r="B173" s="1" t="n">
        <v>45624.40678240741</v>
      </c>
      <c r="C173" s="1" t="n">
        <v>45911</v>
      </c>
      <c r="D173" t="inlineStr">
        <is>
          <t>VÄSTERNORRLANDS LÄN</t>
        </is>
      </c>
      <c r="E173" t="inlineStr">
        <is>
          <t>ÅNGE</t>
        </is>
      </c>
      <c r="F173" t="inlineStr">
        <is>
          <t>SCA</t>
        </is>
      </c>
      <c r="G173" t="n">
        <v>2.5</v>
      </c>
      <c r="H173" t="n">
        <v>0</v>
      </c>
      <c r="I173" t="n">
        <v>0</v>
      </c>
      <c r="J173" t="n">
        <v>1</v>
      </c>
      <c r="K173" t="n">
        <v>0</v>
      </c>
      <c r="L173" t="n">
        <v>0</v>
      </c>
      <c r="M173" t="n">
        <v>0</v>
      </c>
      <c r="N173" t="n">
        <v>0</v>
      </c>
      <c r="O173" t="n">
        <v>1</v>
      </c>
      <c r="P173" t="n">
        <v>0</v>
      </c>
      <c r="Q173" t="n">
        <v>1</v>
      </c>
      <c r="R173" s="2" t="inlineStr">
        <is>
          <t>Mörk kolflarnlav</t>
        </is>
      </c>
      <c r="S173">
        <f>HYPERLINK("https://klasma.github.io/Logging_2260/artfynd/A 56091-2024 artfynd.xlsx", "A 56091-2024")</f>
        <v/>
      </c>
      <c r="T173">
        <f>HYPERLINK("https://klasma.github.io/Logging_2260/kartor/A 56091-2024 karta.png", "A 56091-2024")</f>
        <v/>
      </c>
      <c r="V173">
        <f>HYPERLINK("https://klasma.github.io/Logging_2260/klagomål/A 56091-2024 FSC-klagomål.docx", "A 56091-2024")</f>
        <v/>
      </c>
      <c r="W173">
        <f>HYPERLINK("https://klasma.github.io/Logging_2260/klagomålsmail/A 56091-2024 FSC-klagomål mail.docx", "A 56091-2024")</f>
        <v/>
      </c>
      <c r="X173">
        <f>HYPERLINK("https://klasma.github.io/Logging_2260/tillsyn/A 56091-2024 tillsynsbegäran.docx", "A 56091-2024")</f>
        <v/>
      </c>
      <c r="Y173">
        <f>HYPERLINK("https://klasma.github.io/Logging_2260/tillsynsmail/A 56091-2024 tillsynsbegäran mail.docx", "A 56091-2024")</f>
        <v/>
      </c>
    </row>
    <row r="174" ht="15" customHeight="1">
      <c r="A174" t="inlineStr">
        <is>
          <t>A 23490-2025</t>
        </is>
      </c>
      <c r="B174" s="1" t="n">
        <v>45792.46907407408</v>
      </c>
      <c r="C174" s="1" t="n">
        <v>45911</v>
      </c>
      <c r="D174" t="inlineStr">
        <is>
          <t>VÄSTERNORRLANDS LÄN</t>
        </is>
      </c>
      <c r="E174" t="inlineStr">
        <is>
          <t>ÅNGE</t>
        </is>
      </c>
      <c r="F174" t="inlineStr">
        <is>
          <t>SCA</t>
        </is>
      </c>
      <c r="G174" t="n">
        <v>3.3</v>
      </c>
      <c r="H174" t="n">
        <v>0</v>
      </c>
      <c r="I174" t="n">
        <v>0</v>
      </c>
      <c r="J174" t="n">
        <v>1</v>
      </c>
      <c r="K174" t="n">
        <v>0</v>
      </c>
      <c r="L174" t="n">
        <v>0</v>
      </c>
      <c r="M174" t="n">
        <v>0</v>
      </c>
      <c r="N174" t="n">
        <v>0</v>
      </c>
      <c r="O174" t="n">
        <v>1</v>
      </c>
      <c r="P174" t="n">
        <v>0</v>
      </c>
      <c r="Q174" t="n">
        <v>1</v>
      </c>
      <c r="R174" s="2" t="inlineStr">
        <is>
          <t>Garnlav</t>
        </is>
      </c>
      <c r="S174">
        <f>HYPERLINK("https://klasma.github.io/Logging_2260/artfynd/A 23490-2025 artfynd.xlsx", "A 23490-2025")</f>
        <v/>
      </c>
      <c r="T174">
        <f>HYPERLINK("https://klasma.github.io/Logging_2260/kartor/A 23490-2025 karta.png", "A 23490-2025")</f>
        <v/>
      </c>
      <c r="V174">
        <f>HYPERLINK("https://klasma.github.io/Logging_2260/klagomål/A 23490-2025 FSC-klagomål.docx", "A 23490-2025")</f>
        <v/>
      </c>
      <c r="W174">
        <f>HYPERLINK("https://klasma.github.io/Logging_2260/klagomålsmail/A 23490-2025 FSC-klagomål mail.docx", "A 23490-2025")</f>
        <v/>
      </c>
      <c r="X174">
        <f>HYPERLINK("https://klasma.github.io/Logging_2260/tillsyn/A 23490-2025 tillsynsbegäran.docx", "A 23490-2025")</f>
        <v/>
      </c>
      <c r="Y174">
        <f>HYPERLINK("https://klasma.github.io/Logging_2260/tillsynsmail/A 23490-2025 tillsynsbegäran mail.docx", "A 23490-2025")</f>
        <v/>
      </c>
    </row>
    <row r="175" ht="15" customHeight="1">
      <c r="A175" t="inlineStr">
        <is>
          <t>A 31878-2024</t>
        </is>
      </c>
      <c r="B175" s="1" t="n">
        <v>45509</v>
      </c>
      <c r="C175" s="1" t="n">
        <v>45911</v>
      </c>
      <c r="D175" t="inlineStr">
        <is>
          <t>VÄSTERNORRLANDS LÄN</t>
        </is>
      </c>
      <c r="E175" t="inlineStr">
        <is>
          <t>ÅNGE</t>
        </is>
      </c>
      <c r="F175" t="inlineStr">
        <is>
          <t>SCA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HYPERLINK("https://klasma.github.io/Logging_2260/artfynd/A 31878-2024 artfynd.xlsx", "A 31878-2024")</f>
        <v/>
      </c>
      <c r="T175">
        <f>HYPERLINK("https://klasma.github.io/Logging_2260/kartor/A 31878-2024 karta.png", "A 31878-2024")</f>
        <v/>
      </c>
      <c r="V175">
        <f>HYPERLINK("https://klasma.github.io/Logging_2260/klagomål/A 31878-2024 FSC-klagomål.docx", "A 31878-2024")</f>
        <v/>
      </c>
      <c r="W175">
        <f>HYPERLINK("https://klasma.github.io/Logging_2260/klagomålsmail/A 31878-2024 FSC-klagomål mail.docx", "A 31878-2024")</f>
        <v/>
      </c>
      <c r="X175">
        <f>HYPERLINK("https://klasma.github.io/Logging_2260/tillsyn/A 31878-2024 tillsynsbegäran.docx", "A 31878-2024")</f>
        <v/>
      </c>
      <c r="Y175">
        <f>HYPERLINK("https://klasma.github.io/Logging_2260/tillsynsmail/A 31878-2024 tillsynsbegäran mail.docx", "A 31878-2024")</f>
        <v/>
      </c>
    </row>
    <row r="176" ht="15" customHeight="1">
      <c r="A176" t="inlineStr">
        <is>
          <t>A 24799-2024</t>
        </is>
      </c>
      <c r="B176" s="1" t="n">
        <v>45460</v>
      </c>
      <c r="C176" s="1" t="n">
        <v>45911</v>
      </c>
      <c r="D176" t="inlineStr">
        <is>
          <t>VÄSTERNORRLANDS LÄN</t>
        </is>
      </c>
      <c r="E176" t="inlineStr">
        <is>
          <t>ÅNGE</t>
        </is>
      </c>
      <c r="F176" t="inlineStr">
        <is>
          <t>SCA</t>
        </is>
      </c>
      <c r="G176" t="n">
        <v>2.8</v>
      </c>
      <c r="H176" t="n">
        <v>1</v>
      </c>
      <c r="I176" t="n">
        <v>0</v>
      </c>
      <c r="J176" t="n">
        <v>0</v>
      </c>
      <c r="K176" t="n">
        <v>1</v>
      </c>
      <c r="L176" t="n">
        <v>0</v>
      </c>
      <c r="M176" t="n">
        <v>0</v>
      </c>
      <c r="N176" t="n">
        <v>0</v>
      </c>
      <c r="O176" t="n">
        <v>1</v>
      </c>
      <c r="P176" t="n">
        <v>1</v>
      </c>
      <c r="Q176" t="n">
        <v>1</v>
      </c>
      <c r="R176" s="2" t="inlineStr">
        <is>
          <t>Doftticka</t>
        </is>
      </c>
      <c r="S176">
        <f>HYPERLINK("https://klasma.github.io/Logging_2260/artfynd/A 24799-2024 artfynd.xlsx", "A 24799-2024")</f>
        <v/>
      </c>
      <c r="T176">
        <f>HYPERLINK("https://klasma.github.io/Logging_2260/kartor/A 24799-2024 karta.png", "A 24799-2024")</f>
        <v/>
      </c>
      <c r="V176">
        <f>HYPERLINK("https://klasma.github.io/Logging_2260/klagomål/A 24799-2024 FSC-klagomål.docx", "A 24799-2024")</f>
        <v/>
      </c>
      <c r="W176">
        <f>HYPERLINK("https://klasma.github.io/Logging_2260/klagomålsmail/A 24799-2024 FSC-klagomål mail.docx", "A 24799-2024")</f>
        <v/>
      </c>
      <c r="X176">
        <f>HYPERLINK("https://klasma.github.io/Logging_2260/tillsyn/A 24799-2024 tillsynsbegäran.docx", "A 24799-2024")</f>
        <v/>
      </c>
      <c r="Y176">
        <f>HYPERLINK("https://klasma.github.io/Logging_2260/tillsynsmail/A 24799-2024 tillsynsbegäran mail.docx", "A 24799-2024")</f>
        <v/>
      </c>
    </row>
    <row r="177" ht="15" customHeight="1">
      <c r="A177" t="inlineStr">
        <is>
          <t>A 31544-2024</t>
        </is>
      </c>
      <c r="B177" s="1" t="n">
        <v>45505</v>
      </c>
      <c r="C177" s="1" t="n">
        <v>45911</v>
      </c>
      <c r="D177" t="inlineStr">
        <is>
          <t>VÄSTERNORRLANDS LÄN</t>
        </is>
      </c>
      <c r="E177" t="inlineStr">
        <is>
          <t>ÅNGE</t>
        </is>
      </c>
      <c r="F177" t="inlineStr">
        <is>
          <t>SCA</t>
        </is>
      </c>
      <c r="G177" t="n">
        <v>3.5</v>
      </c>
      <c r="H177" t="n">
        <v>0</v>
      </c>
      <c r="I177" t="n">
        <v>0</v>
      </c>
      <c r="J177" t="n">
        <v>1</v>
      </c>
      <c r="K177" t="n">
        <v>0</v>
      </c>
      <c r="L177" t="n">
        <v>0</v>
      </c>
      <c r="M177" t="n">
        <v>0</v>
      </c>
      <c r="N177" t="n">
        <v>0</v>
      </c>
      <c r="O177" t="n">
        <v>1</v>
      </c>
      <c r="P177" t="n">
        <v>0</v>
      </c>
      <c r="Q177" t="n">
        <v>1</v>
      </c>
      <c r="R177" s="2" t="inlineStr">
        <is>
          <t>Granticka</t>
        </is>
      </c>
      <c r="S177">
        <f>HYPERLINK("https://klasma.github.io/Logging_2260/artfynd/A 31544-2024 artfynd.xlsx", "A 31544-2024")</f>
        <v/>
      </c>
      <c r="T177">
        <f>HYPERLINK("https://klasma.github.io/Logging_2260/kartor/A 31544-2024 karta.png", "A 31544-2024")</f>
        <v/>
      </c>
      <c r="V177">
        <f>HYPERLINK("https://klasma.github.io/Logging_2260/klagomål/A 31544-2024 FSC-klagomål.docx", "A 31544-2024")</f>
        <v/>
      </c>
      <c r="W177">
        <f>HYPERLINK("https://klasma.github.io/Logging_2260/klagomålsmail/A 31544-2024 FSC-klagomål mail.docx", "A 31544-2024")</f>
        <v/>
      </c>
      <c r="X177">
        <f>HYPERLINK("https://klasma.github.io/Logging_2260/tillsyn/A 31544-2024 tillsynsbegäran.docx", "A 31544-2024")</f>
        <v/>
      </c>
      <c r="Y177">
        <f>HYPERLINK("https://klasma.github.io/Logging_2260/tillsynsmail/A 31544-2024 tillsynsbegäran mail.docx", "A 31544-2024")</f>
        <v/>
      </c>
    </row>
    <row r="178" ht="15" customHeight="1">
      <c r="A178" t="inlineStr">
        <is>
          <t>A 54386-2024</t>
        </is>
      </c>
      <c r="B178" s="1" t="n">
        <v>45617.44822916666</v>
      </c>
      <c r="C178" s="1" t="n">
        <v>45911</v>
      </c>
      <c r="D178" t="inlineStr">
        <is>
          <t>VÄSTERNORRLANDS LÄN</t>
        </is>
      </c>
      <c r="E178" t="inlineStr">
        <is>
          <t>ÅNGE</t>
        </is>
      </c>
      <c r="F178" t="inlineStr">
        <is>
          <t>SCA</t>
        </is>
      </c>
      <c r="G178" t="n">
        <v>1.9</v>
      </c>
      <c r="H178" t="n">
        <v>0</v>
      </c>
      <c r="I178" t="n">
        <v>0</v>
      </c>
      <c r="J178" t="n">
        <v>1</v>
      </c>
      <c r="K178" t="n">
        <v>0</v>
      </c>
      <c r="L178" t="n">
        <v>0</v>
      </c>
      <c r="M178" t="n">
        <v>0</v>
      </c>
      <c r="N178" t="n">
        <v>0</v>
      </c>
      <c r="O178" t="n">
        <v>1</v>
      </c>
      <c r="P178" t="n">
        <v>0</v>
      </c>
      <c r="Q178" t="n">
        <v>1</v>
      </c>
      <c r="R178" s="2" t="inlineStr">
        <is>
          <t>Reliktbock</t>
        </is>
      </c>
      <c r="S178">
        <f>HYPERLINK("https://klasma.github.io/Logging_2260/artfynd/A 54386-2024 artfynd.xlsx", "A 54386-2024")</f>
        <v/>
      </c>
      <c r="T178">
        <f>HYPERLINK("https://klasma.github.io/Logging_2260/kartor/A 54386-2024 karta.png", "A 54386-2024")</f>
        <v/>
      </c>
      <c r="V178">
        <f>HYPERLINK("https://klasma.github.io/Logging_2260/klagomål/A 54386-2024 FSC-klagomål.docx", "A 54386-2024")</f>
        <v/>
      </c>
      <c r="W178">
        <f>HYPERLINK("https://klasma.github.io/Logging_2260/klagomålsmail/A 54386-2024 FSC-klagomål mail.docx", "A 54386-2024")</f>
        <v/>
      </c>
      <c r="X178">
        <f>HYPERLINK("https://klasma.github.io/Logging_2260/tillsyn/A 54386-2024 tillsynsbegäran.docx", "A 54386-2024")</f>
        <v/>
      </c>
      <c r="Y178">
        <f>HYPERLINK("https://klasma.github.io/Logging_2260/tillsynsmail/A 54386-2024 tillsynsbegäran mail.docx", "A 54386-2024")</f>
        <v/>
      </c>
    </row>
    <row r="179" ht="15" customHeight="1">
      <c r="A179" t="inlineStr">
        <is>
          <t>A 37914-2024</t>
        </is>
      </c>
      <c r="B179" s="1" t="n">
        <v>45544</v>
      </c>
      <c r="C179" s="1" t="n">
        <v>45911</v>
      </c>
      <c r="D179" t="inlineStr">
        <is>
          <t>VÄSTERNORRLANDS LÄN</t>
        </is>
      </c>
      <c r="E179" t="inlineStr">
        <is>
          <t>ÅNGE</t>
        </is>
      </c>
      <c r="F179" t="inlineStr">
        <is>
          <t>SCA</t>
        </is>
      </c>
      <c r="G179" t="n">
        <v>9</v>
      </c>
      <c r="H179" t="n">
        <v>0</v>
      </c>
      <c r="I179" t="n">
        <v>0</v>
      </c>
      <c r="J179" t="n">
        <v>1</v>
      </c>
      <c r="K179" t="n">
        <v>0</v>
      </c>
      <c r="L179" t="n">
        <v>0</v>
      </c>
      <c r="M179" t="n">
        <v>0</v>
      </c>
      <c r="N179" t="n">
        <v>0</v>
      </c>
      <c r="O179" t="n">
        <v>1</v>
      </c>
      <c r="P179" t="n">
        <v>0</v>
      </c>
      <c r="Q179" t="n">
        <v>1</v>
      </c>
      <c r="R179" s="2" t="inlineStr">
        <is>
          <t>Granticka</t>
        </is>
      </c>
      <c r="S179">
        <f>HYPERLINK("https://klasma.github.io/Logging_2260/artfynd/A 37914-2024 artfynd.xlsx", "A 37914-2024")</f>
        <v/>
      </c>
      <c r="T179">
        <f>HYPERLINK("https://klasma.github.io/Logging_2260/kartor/A 37914-2024 karta.png", "A 37914-2024")</f>
        <v/>
      </c>
      <c r="V179">
        <f>HYPERLINK("https://klasma.github.io/Logging_2260/klagomål/A 37914-2024 FSC-klagomål.docx", "A 37914-2024")</f>
        <v/>
      </c>
      <c r="W179">
        <f>HYPERLINK("https://klasma.github.io/Logging_2260/klagomålsmail/A 37914-2024 FSC-klagomål mail.docx", "A 37914-2024")</f>
        <v/>
      </c>
      <c r="X179">
        <f>HYPERLINK("https://klasma.github.io/Logging_2260/tillsyn/A 37914-2024 tillsynsbegäran.docx", "A 37914-2024")</f>
        <v/>
      </c>
      <c r="Y179">
        <f>HYPERLINK("https://klasma.github.io/Logging_2260/tillsynsmail/A 37914-2024 tillsynsbegäran mail.docx", "A 37914-2024")</f>
        <v/>
      </c>
    </row>
    <row r="180" ht="15" customHeight="1">
      <c r="A180" t="inlineStr">
        <is>
          <t>A 31510-2024</t>
        </is>
      </c>
      <c r="B180" s="1" t="n">
        <v>45505</v>
      </c>
      <c r="C180" s="1" t="n">
        <v>45911</v>
      </c>
      <c r="D180" t="inlineStr">
        <is>
          <t>VÄSTERNORRLANDS LÄN</t>
        </is>
      </c>
      <c r="E180" t="inlineStr">
        <is>
          <t>ÅNGE</t>
        </is>
      </c>
      <c r="F180" t="inlineStr">
        <is>
          <t>SCA</t>
        </is>
      </c>
      <c r="G180" t="n">
        <v>6</v>
      </c>
      <c r="H180" t="n">
        <v>1</v>
      </c>
      <c r="I180" t="n">
        <v>0</v>
      </c>
      <c r="J180" t="n">
        <v>0</v>
      </c>
      <c r="K180" t="n">
        <v>1</v>
      </c>
      <c r="L180" t="n">
        <v>0</v>
      </c>
      <c r="M180" t="n">
        <v>0</v>
      </c>
      <c r="N180" t="n">
        <v>0</v>
      </c>
      <c r="O180" t="n">
        <v>1</v>
      </c>
      <c r="P180" t="n">
        <v>1</v>
      </c>
      <c r="Q180" t="n">
        <v>1</v>
      </c>
      <c r="R180" s="2" t="inlineStr">
        <is>
          <t>Doftticka</t>
        </is>
      </c>
      <c r="S180">
        <f>HYPERLINK("https://klasma.github.io/Logging_2260/artfynd/A 31510-2024 artfynd.xlsx", "A 31510-2024")</f>
        <v/>
      </c>
      <c r="T180">
        <f>HYPERLINK("https://klasma.github.io/Logging_2260/kartor/A 31510-2024 karta.png", "A 31510-2024")</f>
        <v/>
      </c>
      <c r="V180">
        <f>HYPERLINK("https://klasma.github.io/Logging_2260/klagomål/A 31510-2024 FSC-klagomål.docx", "A 31510-2024")</f>
        <v/>
      </c>
      <c r="W180">
        <f>HYPERLINK("https://klasma.github.io/Logging_2260/klagomålsmail/A 31510-2024 FSC-klagomål mail.docx", "A 31510-2024")</f>
        <v/>
      </c>
      <c r="X180">
        <f>HYPERLINK("https://klasma.github.io/Logging_2260/tillsyn/A 31510-2024 tillsynsbegäran.docx", "A 31510-2024")</f>
        <v/>
      </c>
      <c r="Y180">
        <f>HYPERLINK("https://klasma.github.io/Logging_2260/tillsynsmail/A 31510-2024 tillsynsbegäran mail.docx", "A 31510-2024")</f>
        <v/>
      </c>
    </row>
    <row r="181" ht="15" customHeight="1">
      <c r="A181" t="inlineStr">
        <is>
          <t>A 55015-2023</t>
        </is>
      </c>
      <c r="B181" s="1" t="n">
        <v>45237.32185185186</v>
      </c>
      <c r="C181" s="1" t="n">
        <v>45911</v>
      </c>
      <c r="D181" t="inlineStr">
        <is>
          <t>VÄSTERNORRLANDS LÄN</t>
        </is>
      </c>
      <c r="E181" t="inlineStr">
        <is>
          <t>ÅNGE</t>
        </is>
      </c>
      <c r="F181" t="inlineStr">
        <is>
          <t>Sveaskog</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HYPERLINK("https://klasma.github.io/Logging_2260/artfynd/A 55015-2023 artfynd.xlsx", "A 55015-2023")</f>
        <v/>
      </c>
      <c r="T181">
        <f>HYPERLINK("https://klasma.github.io/Logging_2260/kartor/A 55015-2023 karta.png", "A 55015-2023")</f>
        <v/>
      </c>
      <c r="V181">
        <f>HYPERLINK("https://klasma.github.io/Logging_2260/klagomål/A 55015-2023 FSC-klagomål.docx", "A 55015-2023")</f>
        <v/>
      </c>
      <c r="W181">
        <f>HYPERLINK("https://klasma.github.io/Logging_2260/klagomålsmail/A 55015-2023 FSC-klagomål mail.docx", "A 55015-2023")</f>
        <v/>
      </c>
      <c r="X181">
        <f>HYPERLINK("https://klasma.github.io/Logging_2260/tillsyn/A 55015-2023 tillsynsbegäran.docx", "A 55015-2023")</f>
        <v/>
      </c>
      <c r="Y181">
        <f>HYPERLINK("https://klasma.github.io/Logging_2260/tillsynsmail/A 55015-2023 tillsynsbegäran mail.docx", "A 55015-2023")</f>
        <v/>
      </c>
    </row>
    <row r="182" ht="15" customHeight="1">
      <c r="A182" t="inlineStr">
        <is>
          <t>A 27025-2025</t>
        </is>
      </c>
      <c r="B182" s="1" t="n">
        <v>45811</v>
      </c>
      <c r="C182" s="1" t="n">
        <v>45911</v>
      </c>
      <c r="D182" t="inlineStr">
        <is>
          <t>VÄSTERNORRLANDS LÄN</t>
        </is>
      </c>
      <c r="E182" t="inlineStr">
        <is>
          <t>ÅNGE</t>
        </is>
      </c>
      <c r="G182" t="n">
        <v>25.5</v>
      </c>
      <c r="H182" t="n">
        <v>0</v>
      </c>
      <c r="I182" t="n">
        <v>0</v>
      </c>
      <c r="J182" t="n">
        <v>1</v>
      </c>
      <c r="K182" t="n">
        <v>0</v>
      </c>
      <c r="L182" t="n">
        <v>0</v>
      </c>
      <c r="M182" t="n">
        <v>0</v>
      </c>
      <c r="N182" t="n">
        <v>0</v>
      </c>
      <c r="O182" t="n">
        <v>1</v>
      </c>
      <c r="P182" t="n">
        <v>0</v>
      </c>
      <c r="Q182" t="n">
        <v>1</v>
      </c>
      <c r="R182" s="2" t="inlineStr">
        <is>
          <t>Garnlav</t>
        </is>
      </c>
      <c r="S182">
        <f>HYPERLINK("https://klasma.github.io/Logging_2260/artfynd/A 27025-2025 artfynd.xlsx", "A 27025-2025")</f>
        <v/>
      </c>
      <c r="T182">
        <f>HYPERLINK("https://klasma.github.io/Logging_2260/kartor/A 27025-2025 karta.png", "A 27025-2025")</f>
        <v/>
      </c>
      <c r="U182">
        <f>HYPERLINK("https://klasma.github.io/Logging_2260/knärot/A 27025-2025 karta knärot.png", "A 27025-2025")</f>
        <v/>
      </c>
      <c r="V182">
        <f>HYPERLINK("https://klasma.github.io/Logging_2260/klagomål/A 27025-2025 FSC-klagomål.docx", "A 27025-2025")</f>
        <v/>
      </c>
      <c r="W182">
        <f>HYPERLINK("https://klasma.github.io/Logging_2260/klagomålsmail/A 27025-2025 FSC-klagomål mail.docx", "A 27025-2025")</f>
        <v/>
      </c>
      <c r="X182">
        <f>HYPERLINK("https://klasma.github.io/Logging_2260/tillsyn/A 27025-2025 tillsynsbegäran.docx", "A 27025-2025")</f>
        <v/>
      </c>
      <c r="Y182">
        <f>HYPERLINK("https://klasma.github.io/Logging_2260/tillsynsmail/A 27025-2025 tillsynsbegäran mail.docx", "A 27025-2025")</f>
        <v/>
      </c>
    </row>
    <row r="183" ht="15" customHeight="1">
      <c r="A183" t="inlineStr">
        <is>
          <t>A 37432-2025</t>
        </is>
      </c>
      <c r="B183" s="1" t="n">
        <v>45877.51106481482</v>
      </c>
      <c r="C183" s="1" t="n">
        <v>45911</v>
      </c>
      <c r="D183" t="inlineStr">
        <is>
          <t>VÄSTERNORRLANDS LÄN</t>
        </is>
      </c>
      <c r="E183" t="inlineStr">
        <is>
          <t>ÅNGE</t>
        </is>
      </c>
      <c r="F183" t="inlineStr">
        <is>
          <t>SCA</t>
        </is>
      </c>
      <c r="G183" t="n">
        <v>1.2</v>
      </c>
      <c r="H183" t="n">
        <v>1</v>
      </c>
      <c r="I183" t="n">
        <v>1</v>
      </c>
      <c r="J183" t="n">
        <v>0</v>
      </c>
      <c r="K183" t="n">
        <v>0</v>
      </c>
      <c r="L183" t="n">
        <v>0</v>
      </c>
      <c r="M183" t="n">
        <v>0</v>
      </c>
      <c r="N183" t="n">
        <v>0</v>
      </c>
      <c r="O183" t="n">
        <v>0</v>
      </c>
      <c r="P183" t="n">
        <v>0</v>
      </c>
      <c r="Q183" t="n">
        <v>1</v>
      </c>
      <c r="R183" s="2" t="inlineStr">
        <is>
          <t>Spindelblomster</t>
        </is>
      </c>
      <c r="S183">
        <f>HYPERLINK("https://klasma.github.io/Logging_2260/artfynd/A 37432-2025 artfynd.xlsx", "A 37432-2025")</f>
        <v/>
      </c>
      <c r="T183">
        <f>HYPERLINK("https://klasma.github.io/Logging_2260/kartor/A 37432-2025 karta.png", "A 37432-2025")</f>
        <v/>
      </c>
      <c r="V183">
        <f>HYPERLINK("https://klasma.github.io/Logging_2260/klagomål/A 37432-2025 FSC-klagomål.docx", "A 37432-2025")</f>
        <v/>
      </c>
      <c r="W183">
        <f>HYPERLINK("https://klasma.github.io/Logging_2260/klagomålsmail/A 37432-2025 FSC-klagomål mail.docx", "A 37432-2025")</f>
        <v/>
      </c>
      <c r="X183">
        <f>HYPERLINK("https://klasma.github.io/Logging_2260/tillsyn/A 37432-2025 tillsynsbegäran.docx", "A 37432-2025")</f>
        <v/>
      </c>
      <c r="Y183">
        <f>HYPERLINK("https://klasma.github.io/Logging_2260/tillsynsmail/A 37432-2025 tillsynsbegäran mail.docx", "A 37432-2025")</f>
        <v/>
      </c>
    </row>
    <row r="184" ht="15" customHeight="1">
      <c r="A184" t="inlineStr">
        <is>
          <t>A 57272-2024</t>
        </is>
      </c>
      <c r="B184" s="1" t="n">
        <v>45629.57380787037</v>
      </c>
      <c r="C184" s="1" t="n">
        <v>45911</v>
      </c>
      <c r="D184" t="inlineStr">
        <is>
          <t>VÄSTERNORRLANDS LÄN</t>
        </is>
      </c>
      <c r="E184" t="inlineStr">
        <is>
          <t>ÅNGE</t>
        </is>
      </c>
      <c r="F184" t="inlineStr">
        <is>
          <t>SCA</t>
        </is>
      </c>
      <c r="G184" t="n">
        <v>5.4</v>
      </c>
      <c r="H184" t="n">
        <v>0</v>
      </c>
      <c r="I184" t="n">
        <v>0</v>
      </c>
      <c r="J184" t="n">
        <v>1</v>
      </c>
      <c r="K184" t="n">
        <v>0</v>
      </c>
      <c r="L184" t="n">
        <v>0</v>
      </c>
      <c r="M184" t="n">
        <v>0</v>
      </c>
      <c r="N184" t="n">
        <v>0</v>
      </c>
      <c r="O184" t="n">
        <v>1</v>
      </c>
      <c r="P184" t="n">
        <v>0</v>
      </c>
      <c r="Q184" t="n">
        <v>1</v>
      </c>
      <c r="R184" s="2" t="inlineStr">
        <is>
          <t>Orange taggsvamp</t>
        </is>
      </c>
      <c r="S184">
        <f>HYPERLINK("https://klasma.github.io/Logging_2260/artfynd/A 57272-2024 artfynd.xlsx", "A 57272-2024")</f>
        <v/>
      </c>
      <c r="T184">
        <f>HYPERLINK("https://klasma.github.io/Logging_2260/kartor/A 57272-2024 karta.png", "A 57272-2024")</f>
        <v/>
      </c>
      <c r="V184">
        <f>HYPERLINK("https://klasma.github.io/Logging_2260/klagomål/A 57272-2024 FSC-klagomål.docx", "A 57272-2024")</f>
        <v/>
      </c>
      <c r="W184">
        <f>HYPERLINK("https://klasma.github.io/Logging_2260/klagomålsmail/A 57272-2024 FSC-klagomål mail.docx", "A 57272-2024")</f>
        <v/>
      </c>
      <c r="X184">
        <f>HYPERLINK("https://klasma.github.io/Logging_2260/tillsyn/A 57272-2024 tillsynsbegäran.docx", "A 57272-2024")</f>
        <v/>
      </c>
      <c r="Y184">
        <f>HYPERLINK("https://klasma.github.io/Logging_2260/tillsynsmail/A 57272-2024 tillsynsbegäran mail.docx", "A 57272-2024")</f>
        <v/>
      </c>
    </row>
    <row r="185" ht="15" customHeight="1">
      <c r="A185" t="inlineStr">
        <is>
          <t>A 34696-2024</t>
        </is>
      </c>
      <c r="B185" s="1" t="n">
        <v>45526</v>
      </c>
      <c r="C185" s="1" t="n">
        <v>45911</v>
      </c>
      <c r="D185" t="inlineStr">
        <is>
          <t>VÄSTERNORRLANDS LÄN</t>
        </is>
      </c>
      <c r="E185" t="inlineStr">
        <is>
          <t>ÅNGE</t>
        </is>
      </c>
      <c r="G185" t="n">
        <v>3.6</v>
      </c>
      <c r="H185" t="n">
        <v>1</v>
      </c>
      <c r="I185" t="n">
        <v>0</v>
      </c>
      <c r="J185" t="n">
        <v>0</v>
      </c>
      <c r="K185" t="n">
        <v>0</v>
      </c>
      <c r="L185" t="n">
        <v>0</v>
      </c>
      <c r="M185" t="n">
        <v>0</v>
      </c>
      <c r="N185" t="n">
        <v>0</v>
      </c>
      <c r="O185" t="n">
        <v>0</v>
      </c>
      <c r="P185" t="n">
        <v>0</v>
      </c>
      <c r="Q185" t="n">
        <v>1</v>
      </c>
      <c r="R185" s="2" t="inlineStr">
        <is>
          <t>Revlummer</t>
        </is>
      </c>
      <c r="S185">
        <f>HYPERLINK("https://klasma.github.io/Logging_2260/artfynd/A 34696-2024 artfynd.xlsx", "A 34696-2024")</f>
        <v/>
      </c>
      <c r="T185">
        <f>HYPERLINK("https://klasma.github.io/Logging_2260/kartor/A 34696-2024 karta.png", "A 34696-2024")</f>
        <v/>
      </c>
      <c r="V185">
        <f>HYPERLINK("https://klasma.github.io/Logging_2260/klagomål/A 34696-2024 FSC-klagomål.docx", "A 34696-2024")</f>
        <v/>
      </c>
      <c r="W185">
        <f>HYPERLINK("https://klasma.github.io/Logging_2260/klagomålsmail/A 34696-2024 FSC-klagomål mail.docx", "A 34696-2024")</f>
        <v/>
      </c>
      <c r="X185">
        <f>HYPERLINK("https://klasma.github.io/Logging_2260/tillsyn/A 34696-2024 tillsynsbegäran.docx", "A 34696-2024")</f>
        <v/>
      </c>
      <c r="Y185">
        <f>HYPERLINK("https://klasma.github.io/Logging_2260/tillsynsmail/A 34696-2024 tillsynsbegäran mail.docx", "A 34696-2024")</f>
        <v/>
      </c>
    </row>
    <row r="186" ht="15" customHeight="1">
      <c r="A186" t="inlineStr">
        <is>
          <t>A 41493-2021</t>
        </is>
      </c>
      <c r="B186" s="1" t="n">
        <v>44424</v>
      </c>
      <c r="C186" s="1" t="n">
        <v>45911</v>
      </c>
      <c r="D186" t="inlineStr">
        <is>
          <t>VÄSTERNORRLANDS LÄN</t>
        </is>
      </c>
      <c r="E186" t="inlineStr">
        <is>
          <t>ÅNGE</t>
        </is>
      </c>
      <c r="F186" t="inlineStr">
        <is>
          <t>SCA</t>
        </is>
      </c>
      <c r="G186" t="n">
        <v>8</v>
      </c>
      <c r="H186" t="n">
        <v>1</v>
      </c>
      <c r="I186" t="n">
        <v>0</v>
      </c>
      <c r="J186" t="n">
        <v>0</v>
      </c>
      <c r="K186" t="n">
        <v>1</v>
      </c>
      <c r="L186" t="n">
        <v>0</v>
      </c>
      <c r="M186" t="n">
        <v>0</v>
      </c>
      <c r="N186" t="n">
        <v>0</v>
      </c>
      <c r="O186" t="n">
        <v>1</v>
      </c>
      <c r="P186" t="n">
        <v>1</v>
      </c>
      <c r="Q186" t="n">
        <v>1</v>
      </c>
      <c r="R186" s="2" t="inlineStr">
        <is>
          <t>Knärot</t>
        </is>
      </c>
      <c r="S186">
        <f>HYPERLINK("https://klasma.github.io/Logging_2260/artfynd/A 41493-2021 artfynd.xlsx", "A 41493-2021")</f>
        <v/>
      </c>
      <c r="T186">
        <f>HYPERLINK("https://klasma.github.io/Logging_2260/kartor/A 41493-2021 karta.png", "A 41493-2021")</f>
        <v/>
      </c>
      <c r="U186">
        <f>HYPERLINK("https://klasma.github.io/Logging_2260/knärot/A 41493-2021 karta knärot.png", "A 41493-2021")</f>
        <v/>
      </c>
      <c r="V186">
        <f>HYPERLINK("https://klasma.github.io/Logging_2260/klagomål/A 41493-2021 FSC-klagomål.docx", "A 41493-2021")</f>
        <v/>
      </c>
      <c r="W186">
        <f>HYPERLINK("https://klasma.github.io/Logging_2260/klagomålsmail/A 41493-2021 FSC-klagomål mail.docx", "A 41493-2021")</f>
        <v/>
      </c>
      <c r="X186">
        <f>HYPERLINK("https://klasma.github.io/Logging_2260/tillsyn/A 41493-2021 tillsynsbegäran.docx", "A 41493-2021")</f>
        <v/>
      </c>
      <c r="Y186">
        <f>HYPERLINK("https://klasma.github.io/Logging_2260/tillsynsmail/A 41493-2021 tillsynsbegäran mail.docx", "A 41493-2021")</f>
        <v/>
      </c>
    </row>
    <row r="187" ht="15" customHeight="1">
      <c r="A187" t="inlineStr">
        <is>
          <t>A 1449-2025</t>
        </is>
      </c>
      <c r="B187" s="1" t="n">
        <v>45670.27537037037</v>
      </c>
      <c r="C187" s="1" t="n">
        <v>45911</v>
      </c>
      <c r="D187" t="inlineStr">
        <is>
          <t>VÄSTERNORRLANDS LÄN</t>
        </is>
      </c>
      <c r="E187" t="inlineStr">
        <is>
          <t>ÅNGE</t>
        </is>
      </c>
      <c r="G187" t="n">
        <v>6.3</v>
      </c>
      <c r="H187" t="n">
        <v>0</v>
      </c>
      <c r="I187" t="n">
        <v>1</v>
      </c>
      <c r="J187" t="n">
        <v>0</v>
      </c>
      <c r="K187" t="n">
        <v>0</v>
      </c>
      <c r="L187" t="n">
        <v>0</v>
      </c>
      <c r="M187" t="n">
        <v>0</v>
      </c>
      <c r="N187" t="n">
        <v>0</v>
      </c>
      <c r="O187" t="n">
        <v>0</v>
      </c>
      <c r="P187" t="n">
        <v>0</v>
      </c>
      <c r="Q187" t="n">
        <v>1</v>
      </c>
      <c r="R187" s="2" t="inlineStr">
        <is>
          <t>Korallblylav</t>
        </is>
      </c>
      <c r="S187">
        <f>HYPERLINK("https://klasma.github.io/Logging_2260/artfynd/A 1449-2025 artfynd.xlsx", "A 1449-2025")</f>
        <v/>
      </c>
      <c r="T187">
        <f>HYPERLINK("https://klasma.github.io/Logging_2260/kartor/A 1449-2025 karta.png", "A 1449-2025")</f>
        <v/>
      </c>
      <c r="V187">
        <f>HYPERLINK("https://klasma.github.io/Logging_2260/klagomål/A 1449-2025 FSC-klagomål.docx", "A 1449-2025")</f>
        <v/>
      </c>
      <c r="W187">
        <f>HYPERLINK("https://klasma.github.io/Logging_2260/klagomålsmail/A 1449-2025 FSC-klagomål mail.docx", "A 1449-2025")</f>
        <v/>
      </c>
      <c r="X187">
        <f>HYPERLINK("https://klasma.github.io/Logging_2260/tillsyn/A 1449-2025 tillsynsbegäran.docx", "A 1449-2025")</f>
        <v/>
      </c>
      <c r="Y187">
        <f>HYPERLINK("https://klasma.github.io/Logging_2260/tillsynsmail/A 1449-2025 tillsynsbegäran mail.docx", "A 1449-2025")</f>
        <v/>
      </c>
    </row>
    <row r="188" ht="15" customHeight="1">
      <c r="A188" t="inlineStr">
        <is>
          <t>A 25705-2024</t>
        </is>
      </c>
      <c r="B188" s="1" t="n">
        <v>45463.9428587963</v>
      </c>
      <c r="C188" s="1" t="n">
        <v>45911</v>
      </c>
      <c r="D188" t="inlineStr">
        <is>
          <t>VÄSTERNORRLANDS LÄN</t>
        </is>
      </c>
      <c r="E188" t="inlineStr">
        <is>
          <t>ÅNGE</t>
        </is>
      </c>
      <c r="F188" t="inlineStr">
        <is>
          <t>SCA</t>
        </is>
      </c>
      <c r="G188" t="n">
        <v>10.6</v>
      </c>
      <c r="H188" t="n">
        <v>1</v>
      </c>
      <c r="I188" t="n">
        <v>1</v>
      </c>
      <c r="J188" t="n">
        <v>0</v>
      </c>
      <c r="K188" t="n">
        <v>0</v>
      </c>
      <c r="L188" t="n">
        <v>0</v>
      </c>
      <c r="M188" t="n">
        <v>0</v>
      </c>
      <c r="N188" t="n">
        <v>0</v>
      </c>
      <c r="O188" t="n">
        <v>0</v>
      </c>
      <c r="P188" t="n">
        <v>0</v>
      </c>
      <c r="Q188" t="n">
        <v>1</v>
      </c>
      <c r="R188" s="2" t="inlineStr">
        <is>
          <t>Korallrot</t>
        </is>
      </c>
      <c r="S188">
        <f>HYPERLINK("https://klasma.github.io/Logging_2260/artfynd/A 25705-2024 artfynd.xlsx", "A 25705-2024")</f>
        <v/>
      </c>
      <c r="T188">
        <f>HYPERLINK("https://klasma.github.io/Logging_2260/kartor/A 25705-2024 karta.png", "A 25705-2024")</f>
        <v/>
      </c>
      <c r="V188">
        <f>HYPERLINK("https://klasma.github.io/Logging_2260/klagomål/A 25705-2024 FSC-klagomål.docx", "A 25705-2024")</f>
        <v/>
      </c>
      <c r="W188">
        <f>HYPERLINK("https://klasma.github.io/Logging_2260/klagomålsmail/A 25705-2024 FSC-klagomål mail.docx", "A 25705-2024")</f>
        <v/>
      </c>
      <c r="X188">
        <f>HYPERLINK("https://klasma.github.io/Logging_2260/tillsyn/A 25705-2024 tillsynsbegäran.docx", "A 25705-2024")</f>
        <v/>
      </c>
      <c r="Y188">
        <f>HYPERLINK("https://klasma.github.io/Logging_2260/tillsynsmail/A 25705-2024 tillsynsbegäran mail.docx", "A 25705-2024")</f>
        <v/>
      </c>
    </row>
    <row r="189" ht="15" customHeight="1">
      <c r="A189" t="inlineStr">
        <is>
          <t>A 63983-2020</t>
        </is>
      </c>
      <c r="B189" s="1" t="n">
        <v>44167</v>
      </c>
      <c r="C189" s="1" t="n">
        <v>45911</v>
      </c>
      <c r="D189" t="inlineStr">
        <is>
          <t>VÄSTERNORRLANDS LÄN</t>
        </is>
      </c>
      <c r="E189" t="inlineStr">
        <is>
          <t>ÅNGE</t>
        </is>
      </c>
      <c r="F189" t="inlineStr">
        <is>
          <t>Kommuner</t>
        </is>
      </c>
      <c r="G189" t="n">
        <v>27.1</v>
      </c>
      <c r="H189" t="n">
        <v>1</v>
      </c>
      <c r="I189" t="n">
        <v>0</v>
      </c>
      <c r="J189" t="n">
        <v>0</v>
      </c>
      <c r="K189" t="n">
        <v>1</v>
      </c>
      <c r="L189" t="n">
        <v>0</v>
      </c>
      <c r="M189" t="n">
        <v>0</v>
      </c>
      <c r="N189" t="n">
        <v>0</v>
      </c>
      <c r="O189" t="n">
        <v>1</v>
      </c>
      <c r="P189" t="n">
        <v>1</v>
      </c>
      <c r="Q189" t="n">
        <v>1</v>
      </c>
      <c r="R189" s="2" t="inlineStr">
        <is>
          <t>Knärot</t>
        </is>
      </c>
      <c r="S189">
        <f>HYPERLINK("https://klasma.github.io/Logging_2260/artfynd/A 63983-2020 artfynd.xlsx", "A 63983-2020")</f>
        <v/>
      </c>
      <c r="T189">
        <f>HYPERLINK("https://klasma.github.io/Logging_2260/kartor/A 63983-2020 karta.png", "A 63983-2020")</f>
        <v/>
      </c>
      <c r="U189">
        <f>HYPERLINK("https://klasma.github.io/Logging_2260/knärot/A 63983-2020 karta knärot.png", "A 63983-2020")</f>
        <v/>
      </c>
      <c r="V189">
        <f>HYPERLINK("https://klasma.github.io/Logging_2260/klagomål/A 63983-2020 FSC-klagomål.docx", "A 63983-2020")</f>
        <v/>
      </c>
      <c r="W189">
        <f>HYPERLINK("https://klasma.github.io/Logging_2260/klagomålsmail/A 63983-2020 FSC-klagomål mail.docx", "A 63983-2020")</f>
        <v/>
      </c>
      <c r="X189">
        <f>HYPERLINK("https://klasma.github.io/Logging_2260/tillsyn/A 63983-2020 tillsynsbegäran.docx", "A 63983-2020")</f>
        <v/>
      </c>
      <c r="Y189">
        <f>HYPERLINK("https://klasma.github.io/Logging_2260/tillsynsmail/A 63983-2020 tillsynsbegäran mail.docx", "A 63983-2020")</f>
        <v/>
      </c>
    </row>
    <row r="190" ht="15" customHeight="1">
      <c r="A190" t="inlineStr">
        <is>
          <t>A 52424-2023</t>
        </is>
      </c>
      <c r="B190" s="1" t="n">
        <v>45217</v>
      </c>
      <c r="C190" s="1" t="n">
        <v>45911</v>
      </c>
      <c r="D190" t="inlineStr">
        <is>
          <t>VÄSTERNORRLANDS LÄN</t>
        </is>
      </c>
      <c r="E190" t="inlineStr">
        <is>
          <t>ÅNGE</t>
        </is>
      </c>
      <c r="F190" t="inlineStr">
        <is>
          <t>SCA</t>
        </is>
      </c>
      <c r="G190" t="n">
        <v>3.8</v>
      </c>
      <c r="H190" t="n">
        <v>1</v>
      </c>
      <c r="I190" t="n">
        <v>0</v>
      </c>
      <c r="J190" t="n">
        <v>0</v>
      </c>
      <c r="K190" t="n">
        <v>0</v>
      </c>
      <c r="L190" t="n">
        <v>0</v>
      </c>
      <c r="M190" t="n">
        <v>0</v>
      </c>
      <c r="N190" t="n">
        <v>0</v>
      </c>
      <c r="O190" t="n">
        <v>0</v>
      </c>
      <c r="P190" t="n">
        <v>0</v>
      </c>
      <c r="Q190" t="n">
        <v>1</v>
      </c>
      <c r="R190" s="2" t="inlineStr">
        <is>
          <t>Revlummer</t>
        </is>
      </c>
      <c r="S190">
        <f>HYPERLINK("https://klasma.github.io/Logging_2260/artfynd/A 52424-2023 artfynd.xlsx", "A 52424-2023")</f>
        <v/>
      </c>
      <c r="T190">
        <f>HYPERLINK("https://klasma.github.io/Logging_2260/kartor/A 52424-2023 karta.png", "A 52424-2023")</f>
        <v/>
      </c>
      <c r="V190">
        <f>HYPERLINK("https://klasma.github.io/Logging_2260/klagomål/A 52424-2023 FSC-klagomål.docx", "A 52424-2023")</f>
        <v/>
      </c>
      <c r="W190">
        <f>HYPERLINK("https://klasma.github.io/Logging_2260/klagomålsmail/A 52424-2023 FSC-klagomål mail.docx", "A 52424-2023")</f>
        <v/>
      </c>
      <c r="X190">
        <f>HYPERLINK("https://klasma.github.io/Logging_2260/tillsyn/A 52424-2023 tillsynsbegäran.docx", "A 52424-2023")</f>
        <v/>
      </c>
      <c r="Y190">
        <f>HYPERLINK("https://klasma.github.io/Logging_2260/tillsynsmail/A 52424-2023 tillsynsbegäran mail.docx", "A 52424-2023")</f>
        <v/>
      </c>
    </row>
    <row r="191" ht="15" customHeight="1">
      <c r="A191" t="inlineStr">
        <is>
          <t>A 35648-2025</t>
        </is>
      </c>
      <c r="B191" s="1" t="n">
        <v>45859.51670138889</v>
      </c>
      <c r="C191" s="1" t="n">
        <v>45911</v>
      </c>
      <c r="D191" t="inlineStr">
        <is>
          <t>VÄSTERNORRLANDS LÄN</t>
        </is>
      </c>
      <c r="E191" t="inlineStr">
        <is>
          <t>ÅNGE</t>
        </is>
      </c>
      <c r="F191" t="inlineStr">
        <is>
          <t>Sveaskog</t>
        </is>
      </c>
      <c r="G191" t="n">
        <v>9.1</v>
      </c>
      <c r="H191" t="n">
        <v>0</v>
      </c>
      <c r="I191" t="n">
        <v>0</v>
      </c>
      <c r="J191" t="n">
        <v>1</v>
      </c>
      <c r="K191" t="n">
        <v>0</v>
      </c>
      <c r="L191" t="n">
        <v>0</v>
      </c>
      <c r="M191" t="n">
        <v>0</v>
      </c>
      <c r="N191" t="n">
        <v>0</v>
      </c>
      <c r="O191" t="n">
        <v>1</v>
      </c>
      <c r="P191" t="n">
        <v>0</v>
      </c>
      <c r="Q191" t="n">
        <v>1</v>
      </c>
      <c r="R191" s="2" t="inlineStr">
        <is>
          <t>Lunglav</t>
        </is>
      </c>
      <c r="S191">
        <f>HYPERLINK("https://klasma.github.io/Logging_2260/artfynd/A 35648-2025 artfynd.xlsx", "A 35648-2025")</f>
        <v/>
      </c>
      <c r="T191">
        <f>HYPERLINK("https://klasma.github.io/Logging_2260/kartor/A 35648-2025 karta.png", "A 35648-2025")</f>
        <v/>
      </c>
      <c r="V191">
        <f>HYPERLINK("https://klasma.github.io/Logging_2260/klagomål/A 35648-2025 FSC-klagomål.docx", "A 35648-2025")</f>
        <v/>
      </c>
      <c r="W191">
        <f>HYPERLINK("https://klasma.github.io/Logging_2260/klagomålsmail/A 35648-2025 FSC-klagomål mail.docx", "A 35648-2025")</f>
        <v/>
      </c>
      <c r="X191">
        <f>HYPERLINK("https://klasma.github.io/Logging_2260/tillsyn/A 35648-2025 tillsynsbegäran.docx", "A 35648-2025")</f>
        <v/>
      </c>
      <c r="Y191">
        <f>HYPERLINK("https://klasma.github.io/Logging_2260/tillsynsmail/A 35648-2025 tillsynsbegäran mail.docx", "A 35648-2025")</f>
        <v/>
      </c>
    </row>
    <row r="192" ht="15" customHeight="1">
      <c r="A192" t="inlineStr">
        <is>
          <t>A 29327-2023</t>
        </is>
      </c>
      <c r="B192" s="1" t="n">
        <v>45105.94349537037</v>
      </c>
      <c r="C192" s="1" t="n">
        <v>45911</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35839-2025</t>
        </is>
      </c>
      <c r="B193" s="1" t="n">
        <v>45861.53943287037</v>
      </c>
      <c r="C193" s="1" t="n">
        <v>45911</v>
      </c>
      <c r="D193" t="inlineStr">
        <is>
          <t>VÄSTERNORRLANDS LÄN</t>
        </is>
      </c>
      <c r="E193" t="inlineStr">
        <is>
          <t>ÅNGE</t>
        </is>
      </c>
      <c r="F193" t="inlineStr">
        <is>
          <t>Sveaskog</t>
        </is>
      </c>
      <c r="G193" t="n">
        <v>7.9</v>
      </c>
      <c r="H193" t="n">
        <v>0</v>
      </c>
      <c r="I193" t="n">
        <v>0</v>
      </c>
      <c r="J193" t="n">
        <v>1</v>
      </c>
      <c r="K193" t="n">
        <v>0</v>
      </c>
      <c r="L193" t="n">
        <v>0</v>
      </c>
      <c r="M193" t="n">
        <v>0</v>
      </c>
      <c r="N193" t="n">
        <v>0</v>
      </c>
      <c r="O193" t="n">
        <v>1</v>
      </c>
      <c r="P193" t="n">
        <v>0</v>
      </c>
      <c r="Q193" t="n">
        <v>1</v>
      </c>
      <c r="R193" s="2" t="inlineStr">
        <is>
          <t>Lunglav</t>
        </is>
      </c>
      <c r="S193">
        <f>HYPERLINK("https://klasma.github.io/Logging_2260/artfynd/A 35839-2025 artfynd.xlsx", "A 35839-2025")</f>
        <v/>
      </c>
      <c r="T193">
        <f>HYPERLINK("https://klasma.github.io/Logging_2260/kartor/A 35839-2025 karta.png", "A 35839-2025")</f>
        <v/>
      </c>
      <c r="V193">
        <f>HYPERLINK("https://klasma.github.io/Logging_2260/klagomål/A 35839-2025 FSC-klagomål.docx", "A 35839-2025")</f>
        <v/>
      </c>
      <c r="W193">
        <f>HYPERLINK("https://klasma.github.io/Logging_2260/klagomålsmail/A 35839-2025 FSC-klagomål mail.docx", "A 35839-2025")</f>
        <v/>
      </c>
      <c r="X193">
        <f>HYPERLINK("https://klasma.github.io/Logging_2260/tillsyn/A 35839-2025 tillsynsbegäran.docx", "A 35839-2025")</f>
        <v/>
      </c>
      <c r="Y193">
        <f>HYPERLINK("https://klasma.github.io/Logging_2260/tillsynsmail/A 35839-2025 tillsynsbegäran mail.docx", "A 35839-2025")</f>
        <v/>
      </c>
    </row>
    <row r="194" ht="15" customHeight="1">
      <c r="A194" t="inlineStr">
        <is>
          <t>A 39638-2024</t>
        </is>
      </c>
      <c r="B194" s="1" t="n">
        <v>45552</v>
      </c>
      <c r="C194" s="1" t="n">
        <v>45911</v>
      </c>
      <c r="D194" t="inlineStr">
        <is>
          <t>VÄSTERNORRLANDS LÄN</t>
        </is>
      </c>
      <c r="E194" t="inlineStr">
        <is>
          <t>ÅNGE</t>
        </is>
      </c>
      <c r="G194" t="n">
        <v>3</v>
      </c>
      <c r="H194" t="n">
        <v>1</v>
      </c>
      <c r="I194" t="n">
        <v>0</v>
      </c>
      <c r="J194" t="n">
        <v>0</v>
      </c>
      <c r="K194" t="n">
        <v>0</v>
      </c>
      <c r="L194" t="n">
        <v>0</v>
      </c>
      <c r="M194" t="n">
        <v>0</v>
      </c>
      <c r="N194" t="n">
        <v>0</v>
      </c>
      <c r="O194" t="n">
        <v>0</v>
      </c>
      <c r="P194" t="n">
        <v>0</v>
      </c>
      <c r="Q194" t="n">
        <v>1</v>
      </c>
      <c r="R194" s="2" t="inlineStr">
        <is>
          <t>Tjäder</t>
        </is>
      </c>
      <c r="S194">
        <f>HYPERLINK("https://klasma.github.io/Logging_2260/artfynd/A 39638-2024 artfynd.xlsx", "A 39638-2024")</f>
        <v/>
      </c>
      <c r="T194">
        <f>HYPERLINK("https://klasma.github.io/Logging_2260/kartor/A 39638-2024 karta.png", "A 39638-2024")</f>
        <v/>
      </c>
      <c r="V194">
        <f>HYPERLINK("https://klasma.github.io/Logging_2260/klagomål/A 39638-2024 FSC-klagomål.docx", "A 39638-2024")</f>
        <v/>
      </c>
      <c r="W194">
        <f>HYPERLINK("https://klasma.github.io/Logging_2260/klagomålsmail/A 39638-2024 FSC-klagomål mail.docx", "A 39638-2024")</f>
        <v/>
      </c>
      <c r="X194">
        <f>HYPERLINK("https://klasma.github.io/Logging_2260/tillsyn/A 39638-2024 tillsynsbegäran.docx", "A 39638-2024")</f>
        <v/>
      </c>
      <c r="Y194">
        <f>HYPERLINK("https://klasma.github.io/Logging_2260/tillsynsmail/A 39638-2024 tillsynsbegäran mail.docx", "A 39638-2024")</f>
        <v/>
      </c>
      <c r="Z194">
        <f>HYPERLINK("https://klasma.github.io/Logging_2260/fåglar/A 39638-2024 prioriterade fågelarter.docx", "A 39638-2024")</f>
        <v/>
      </c>
    </row>
    <row r="195" ht="15" customHeight="1">
      <c r="A195" t="inlineStr">
        <is>
          <t>A 54751-2021</t>
        </is>
      </c>
      <c r="B195" s="1" t="n">
        <v>44473</v>
      </c>
      <c r="C195" s="1" t="n">
        <v>45911</v>
      </c>
      <c r="D195" t="inlineStr">
        <is>
          <t>VÄSTERNORRLANDS LÄN</t>
        </is>
      </c>
      <c r="E195" t="inlineStr">
        <is>
          <t>ÅNGE</t>
        </is>
      </c>
      <c r="G195" t="n">
        <v>6.5</v>
      </c>
      <c r="H195" t="n">
        <v>0</v>
      </c>
      <c r="I195" t="n">
        <v>0</v>
      </c>
      <c r="J195" t="n">
        <v>0</v>
      </c>
      <c r="K195" t="n">
        <v>1</v>
      </c>
      <c r="L195" t="n">
        <v>0</v>
      </c>
      <c r="M195" t="n">
        <v>0</v>
      </c>
      <c r="N195" t="n">
        <v>0</v>
      </c>
      <c r="O195" t="n">
        <v>1</v>
      </c>
      <c r="P195" t="n">
        <v>1</v>
      </c>
      <c r="Q195" t="n">
        <v>1</v>
      </c>
      <c r="R195" s="2" t="inlineStr">
        <is>
          <t>Gräddporing</t>
        </is>
      </c>
      <c r="S195">
        <f>HYPERLINK("https://klasma.github.io/Logging_2260/artfynd/A 54751-2021 artfynd.xlsx", "A 54751-2021")</f>
        <v/>
      </c>
      <c r="T195">
        <f>HYPERLINK("https://klasma.github.io/Logging_2260/kartor/A 54751-2021 karta.png", "A 54751-2021")</f>
        <v/>
      </c>
      <c r="V195">
        <f>HYPERLINK("https://klasma.github.io/Logging_2260/klagomål/A 54751-2021 FSC-klagomål.docx", "A 54751-2021")</f>
        <v/>
      </c>
      <c r="W195">
        <f>HYPERLINK("https://klasma.github.io/Logging_2260/klagomålsmail/A 54751-2021 FSC-klagomål mail.docx", "A 54751-2021")</f>
        <v/>
      </c>
      <c r="X195">
        <f>HYPERLINK("https://klasma.github.io/Logging_2260/tillsyn/A 54751-2021 tillsynsbegäran.docx", "A 54751-2021")</f>
        <v/>
      </c>
      <c r="Y195">
        <f>HYPERLINK("https://klasma.github.io/Logging_2260/tillsynsmail/A 54751-2021 tillsynsbegäran mail.docx", "A 54751-2021")</f>
        <v/>
      </c>
    </row>
    <row r="196" ht="15" customHeight="1">
      <c r="A196" t="inlineStr">
        <is>
          <t>A 40214-2024</t>
        </is>
      </c>
      <c r="B196" s="1" t="n">
        <v>45554.59460648148</v>
      </c>
      <c r="C196" s="1" t="n">
        <v>45911</v>
      </c>
      <c r="D196" t="inlineStr">
        <is>
          <t>VÄSTERNORRLANDS LÄN</t>
        </is>
      </c>
      <c r="E196" t="inlineStr">
        <is>
          <t>ÅNGE</t>
        </is>
      </c>
      <c r="F196" t="inlineStr">
        <is>
          <t>SCA</t>
        </is>
      </c>
      <c r="G196" t="n">
        <v>7.7</v>
      </c>
      <c r="H196" t="n">
        <v>0</v>
      </c>
      <c r="I196" t="n">
        <v>0</v>
      </c>
      <c r="J196" t="n">
        <v>1</v>
      </c>
      <c r="K196" t="n">
        <v>0</v>
      </c>
      <c r="L196" t="n">
        <v>0</v>
      </c>
      <c r="M196" t="n">
        <v>0</v>
      </c>
      <c r="N196" t="n">
        <v>0</v>
      </c>
      <c r="O196" t="n">
        <v>1</v>
      </c>
      <c r="P196" t="n">
        <v>0</v>
      </c>
      <c r="Q196" t="n">
        <v>1</v>
      </c>
      <c r="R196" s="2" t="inlineStr">
        <is>
          <t>Lunglav</t>
        </is>
      </c>
      <c r="S196">
        <f>HYPERLINK("https://klasma.github.io/Logging_2260/artfynd/A 40214-2024 artfynd.xlsx", "A 40214-2024")</f>
        <v/>
      </c>
      <c r="T196">
        <f>HYPERLINK("https://klasma.github.io/Logging_2260/kartor/A 40214-2024 karta.png", "A 40214-2024")</f>
        <v/>
      </c>
      <c r="V196">
        <f>HYPERLINK("https://klasma.github.io/Logging_2260/klagomål/A 40214-2024 FSC-klagomål.docx", "A 40214-2024")</f>
        <v/>
      </c>
      <c r="W196">
        <f>HYPERLINK("https://klasma.github.io/Logging_2260/klagomålsmail/A 40214-2024 FSC-klagomål mail.docx", "A 40214-2024")</f>
        <v/>
      </c>
      <c r="X196">
        <f>HYPERLINK("https://klasma.github.io/Logging_2260/tillsyn/A 40214-2024 tillsynsbegäran.docx", "A 40214-2024")</f>
        <v/>
      </c>
      <c r="Y196">
        <f>HYPERLINK("https://klasma.github.io/Logging_2260/tillsynsmail/A 40214-2024 tillsynsbegäran mail.docx", "A 40214-2024")</f>
        <v/>
      </c>
    </row>
    <row r="197" ht="15" customHeight="1">
      <c r="A197" t="inlineStr">
        <is>
          <t>A 39180-2024</t>
        </is>
      </c>
      <c r="B197" s="1" t="n">
        <v>45548.6571412037</v>
      </c>
      <c r="C197" s="1" t="n">
        <v>45911</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30774-2024</t>
        </is>
      </c>
      <c r="B198" s="1" t="n">
        <v>45496.949375</v>
      </c>
      <c r="C198" s="1" t="n">
        <v>45911</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5-2025</t>
        </is>
      </c>
      <c r="B199" s="1" t="n">
        <v>45658.50527777777</v>
      </c>
      <c r="C199" s="1" t="n">
        <v>45911</v>
      </c>
      <c r="D199" t="inlineStr">
        <is>
          <t>VÄSTERNORRLANDS LÄN</t>
        </is>
      </c>
      <c r="E199" t="inlineStr">
        <is>
          <t>ÅNGE</t>
        </is>
      </c>
      <c r="G199" t="n">
        <v>5.7</v>
      </c>
      <c r="H199" t="n">
        <v>1</v>
      </c>
      <c r="I199" t="n">
        <v>0</v>
      </c>
      <c r="J199" t="n">
        <v>0</v>
      </c>
      <c r="K199" t="n">
        <v>0</v>
      </c>
      <c r="L199" t="n">
        <v>0</v>
      </c>
      <c r="M199" t="n">
        <v>0</v>
      </c>
      <c r="N199" t="n">
        <v>0</v>
      </c>
      <c r="O199" t="n">
        <v>0</v>
      </c>
      <c r="P199" t="n">
        <v>0</v>
      </c>
      <c r="Q199" t="n">
        <v>1</v>
      </c>
      <c r="R199" s="2" t="inlineStr">
        <is>
          <t>Vanlig groda</t>
        </is>
      </c>
      <c r="S199">
        <f>HYPERLINK("https://klasma.github.io/Logging_2260/artfynd/A 5-2025 artfynd.xlsx", "A 5-2025")</f>
        <v/>
      </c>
      <c r="T199">
        <f>HYPERLINK("https://klasma.github.io/Logging_2260/kartor/A 5-2025 karta.png", "A 5-2025")</f>
        <v/>
      </c>
      <c r="V199">
        <f>HYPERLINK("https://klasma.github.io/Logging_2260/klagomål/A 5-2025 FSC-klagomål.docx", "A 5-2025")</f>
        <v/>
      </c>
      <c r="W199">
        <f>HYPERLINK("https://klasma.github.io/Logging_2260/klagomålsmail/A 5-2025 FSC-klagomål mail.docx", "A 5-2025")</f>
        <v/>
      </c>
      <c r="X199">
        <f>HYPERLINK("https://klasma.github.io/Logging_2260/tillsyn/A 5-2025 tillsynsbegäran.docx", "A 5-2025")</f>
        <v/>
      </c>
      <c r="Y199">
        <f>HYPERLINK("https://klasma.github.io/Logging_2260/tillsynsmail/A 5-2025 tillsynsbegäran mail.docx", "A 5-2025")</f>
        <v/>
      </c>
    </row>
    <row r="200" ht="15" customHeight="1">
      <c r="A200" t="inlineStr">
        <is>
          <t>A 39933-2022</t>
        </is>
      </c>
      <c r="B200" s="1" t="n">
        <v>44819</v>
      </c>
      <c r="C200" s="1" t="n">
        <v>45911</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64510-2023</t>
        </is>
      </c>
      <c r="B201" s="1" t="n">
        <v>45281</v>
      </c>
      <c r="C201" s="1" t="n">
        <v>45911</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38603-2024</t>
        </is>
      </c>
      <c r="B202" s="1" t="n">
        <v>45546</v>
      </c>
      <c r="C202" s="1" t="n">
        <v>45911</v>
      </c>
      <c r="D202" t="inlineStr">
        <is>
          <t>VÄSTERNORRLANDS LÄN</t>
        </is>
      </c>
      <c r="E202" t="inlineStr">
        <is>
          <t>ÅNGE</t>
        </is>
      </c>
      <c r="F202" t="inlineStr">
        <is>
          <t>SCA</t>
        </is>
      </c>
      <c r="G202" t="n">
        <v>5.6</v>
      </c>
      <c r="H202" t="n">
        <v>0</v>
      </c>
      <c r="I202" t="n">
        <v>0</v>
      </c>
      <c r="J202" t="n">
        <v>0</v>
      </c>
      <c r="K202" t="n">
        <v>1</v>
      </c>
      <c r="L202" t="n">
        <v>0</v>
      </c>
      <c r="M202" t="n">
        <v>0</v>
      </c>
      <c r="N202" t="n">
        <v>0</v>
      </c>
      <c r="O202" t="n">
        <v>1</v>
      </c>
      <c r="P202" t="n">
        <v>1</v>
      </c>
      <c r="Q202" t="n">
        <v>1</v>
      </c>
      <c r="R202" s="2" t="inlineStr">
        <is>
          <t>Rynkskinn</t>
        </is>
      </c>
      <c r="S202">
        <f>HYPERLINK("https://klasma.github.io/Logging_2260/artfynd/A 38603-2024 artfynd.xlsx", "A 38603-2024")</f>
        <v/>
      </c>
      <c r="T202">
        <f>HYPERLINK("https://klasma.github.io/Logging_2260/kartor/A 38603-2024 karta.png", "A 38603-2024")</f>
        <v/>
      </c>
      <c r="V202">
        <f>HYPERLINK("https://klasma.github.io/Logging_2260/klagomål/A 38603-2024 FSC-klagomål.docx", "A 38603-2024")</f>
        <v/>
      </c>
      <c r="W202">
        <f>HYPERLINK("https://klasma.github.io/Logging_2260/klagomålsmail/A 38603-2024 FSC-klagomål mail.docx", "A 38603-2024")</f>
        <v/>
      </c>
      <c r="X202">
        <f>HYPERLINK("https://klasma.github.io/Logging_2260/tillsyn/A 38603-2024 tillsynsbegäran.docx", "A 38603-2024")</f>
        <v/>
      </c>
      <c r="Y202">
        <f>HYPERLINK("https://klasma.github.io/Logging_2260/tillsynsmail/A 38603-2024 tillsynsbegäran mail.docx", "A 38603-2024")</f>
        <v/>
      </c>
    </row>
    <row r="203" ht="15" customHeight="1">
      <c r="A203" t="inlineStr">
        <is>
          <t>A 20192-2025</t>
        </is>
      </c>
      <c r="B203" s="1" t="n">
        <v>45772.60177083333</v>
      </c>
      <c r="C203" s="1" t="n">
        <v>45911</v>
      </c>
      <c r="D203" t="inlineStr">
        <is>
          <t>VÄSTERNORRLANDS LÄN</t>
        </is>
      </c>
      <c r="E203" t="inlineStr">
        <is>
          <t>ÅNGE</t>
        </is>
      </c>
      <c r="F203" t="inlineStr">
        <is>
          <t>Sveaskog</t>
        </is>
      </c>
      <c r="G203" t="n">
        <v>8.800000000000001</v>
      </c>
      <c r="H203" t="n">
        <v>1</v>
      </c>
      <c r="I203" t="n">
        <v>0</v>
      </c>
      <c r="J203" t="n">
        <v>0</v>
      </c>
      <c r="K203" t="n">
        <v>0</v>
      </c>
      <c r="L203" t="n">
        <v>0</v>
      </c>
      <c r="M203" t="n">
        <v>0</v>
      </c>
      <c r="N203" t="n">
        <v>0</v>
      </c>
      <c r="O203" t="n">
        <v>0</v>
      </c>
      <c r="P203" t="n">
        <v>0</v>
      </c>
      <c r="Q203" t="n">
        <v>1</v>
      </c>
      <c r="R203" s="2" t="inlineStr">
        <is>
          <t>Blåsippa</t>
        </is>
      </c>
      <c r="S203">
        <f>HYPERLINK("https://klasma.github.io/Logging_2260/artfynd/A 20192-2025 artfynd.xlsx", "A 20192-2025")</f>
        <v/>
      </c>
      <c r="T203">
        <f>HYPERLINK("https://klasma.github.io/Logging_2260/kartor/A 20192-2025 karta.png", "A 20192-2025")</f>
        <v/>
      </c>
      <c r="V203">
        <f>HYPERLINK("https://klasma.github.io/Logging_2260/klagomål/A 20192-2025 FSC-klagomål.docx", "A 20192-2025")</f>
        <v/>
      </c>
      <c r="W203">
        <f>HYPERLINK("https://klasma.github.io/Logging_2260/klagomålsmail/A 20192-2025 FSC-klagomål mail.docx", "A 20192-2025")</f>
        <v/>
      </c>
      <c r="X203">
        <f>HYPERLINK("https://klasma.github.io/Logging_2260/tillsyn/A 20192-2025 tillsynsbegäran.docx", "A 20192-2025")</f>
        <v/>
      </c>
      <c r="Y203">
        <f>HYPERLINK("https://klasma.github.io/Logging_2260/tillsynsmail/A 20192-2025 tillsynsbegäran mail.docx", "A 20192-2025")</f>
        <v/>
      </c>
    </row>
    <row r="204" ht="15" customHeight="1">
      <c r="A204" t="inlineStr">
        <is>
          <t>A 32457-2024</t>
        </is>
      </c>
      <c r="B204" s="1" t="n">
        <v>45512</v>
      </c>
      <c r="C204" s="1" t="n">
        <v>45911</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71366-2021</t>
        </is>
      </c>
      <c r="B205" s="1" t="n">
        <v>44539</v>
      </c>
      <c r="C205" s="1" t="n">
        <v>45911</v>
      </c>
      <c r="D205" t="inlineStr">
        <is>
          <t>VÄSTERNORRLANDS LÄN</t>
        </is>
      </c>
      <c r="E205" t="inlineStr">
        <is>
          <t>ÅNGE</t>
        </is>
      </c>
      <c r="F205" t="inlineStr">
        <is>
          <t>SCA</t>
        </is>
      </c>
      <c r="G205" t="n">
        <v>2.3</v>
      </c>
      <c r="H205" t="n">
        <v>1</v>
      </c>
      <c r="I205" t="n">
        <v>0</v>
      </c>
      <c r="J205" t="n">
        <v>0</v>
      </c>
      <c r="K205" t="n">
        <v>1</v>
      </c>
      <c r="L205" t="n">
        <v>0</v>
      </c>
      <c r="M205" t="n">
        <v>0</v>
      </c>
      <c r="N205" t="n">
        <v>0</v>
      </c>
      <c r="O205" t="n">
        <v>1</v>
      </c>
      <c r="P205" t="n">
        <v>1</v>
      </c>
      <c r="Q205" t="n">
        <v>1</v>
      </c>
      <c r="R205" s="2" t="inlineStr">
        <is>
          <t>Knärot</t>
        </is>
      </c>
      <c r="S205">
        <f>HYPERLINK("https://klasma.github.io/Logging_2260/artfynd/A 71366-2021 artfynd.xlsx", "A 71366-2021")</f>
        <v/>
      </c>
      <c r="T205">
        <f>HYPERLINK("https://klasma.github.io/Logging_2260/kartor/A 71366-2021 karta.png", "A 71366-2021")</f>
        <v/>
      </c>
      <c r="U205">
        <f>HYPERLINK("https://klasma.github.io/Logging_2260/knärot/A 71366-2021 karta knärot.png", "A 71366-2021")</f>
        <v/>
      </c>
      <c r="V205">
        <f>HYPERLINK("https://klasma.github.io/Logging_2260/klagomål/A 71366-2021 FSC-klagomål.docx", "A 71366-2021")</f>
        <v/>
      </c>
      <c r="W205">
        <f>HYPERLINK("https://klasma.github.io/Logging_2260/klagomålsmail/A 71366-2021 FSC-klagomål mail.docx", "A 71366-2021")</f>
        <v/>
      </c>
      <c r="X205">
        <f>HYPERLINK("https://klasma.github.io/Logging_2260/tillsyn/A 71366-2021 tillsynsbegäran.docx", "A 71366-2021")</f>
        <v/>
      </c>
      <c r="Y205">
        <f>HYPERLINK("https://klasma.github.io/Logging_2260/tillsynsmail/A 71366-2021 tillsynsbegäran mail.docx", "A 71366-2021")</f>
        <v/>
      </c>
    </row>
    <row r="206" ht="15" customHeight="1">
      <c r="A206" t="inlineStr">
        <is>
          <t>A 4351-2024</t>
        </is>
      </c>
      <c r="B206" s="1" t="n">
        <v>45324</v>
      </c>
      <c r="C206" s="1" t="n">
        <v>45911</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27308-2024</t>
        </is>
      </c>
      <c r="B207" s="1" t="n">
        <v>45471</v>
      </c>
      <c r="C207" s="1" t="n">
        <v>45911</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8057-2021</t>
        </is>
      </c>
      <c r="B208" s="1" t="n">
        <v>44238</v>
      </c>
      <c r="C208" s="1" t="n">
        <v>45911</v>
      </c>
      <c r="D208" t="inlineStr">
        <is>
          <t>VÄSTERNORRLANDS LÄN</t>
        </is>
      </c>
      <c r="E208" t="inlineStr">
        <is>
          <t>ÅNGE</t>
        </is>
      </c>
      <c r="G208" t="n">
        <v>1.2</v>
      </c>
      <c r="H208" t="n">
        <v>0</v>
      </c>
      <c r="I208" t="n">
        <v>0</v>
      </c>
      <c r="J208" t="n">
        <v>0</v>
      </c>
      <c r="K208" t="n">
        <v>0</v>
      </c>
      <c r="L208" t="n">
        <v>0</v>
      </c>
      <c r="M208" t="n">
        <v>0</v>
      </c>
      <c r="N208" t="n">
        <v>0</v>
      </c>
      <c r="O208" t="n">
        <v>0</v>
      </c>
      <c r="P208" t="n">
        <v>0</v>
      </c>
      <c r="Q208" t="n">
        <v>0</v>
      </c>
      <c r="R208" s="2" t="inlineStr"/>
    </row>
    <row r="209" ht="15" customHeight="1">
      <c r="A209" t="inlineStr">
        <is>
          <t>A 47127-2020</t>
        </is>
      </c>
      <c r="B209" s="1" t="n">
        <v>44096</v>
      </c>
      <c r="C209" s="1" t="n">
        <v>45911</v>
      </c>
      <c r="D209" t="inlineStr">
        <is>
          <t>VÄSTERNORRLANDS LÄN</t>
        </is>
      </c>
      <c r="E209" t="inlineStr">
        <is>
          <t>ÅNGE</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52627-2020</t>
        </is>
      </c>
      <c r="B210" s="1" t="n">
        <v>44118</v>
      </c>
      <c r="C210" s="1" t="n">
        <v>45911</v>
      </c>
      <c r="D210" t="inlineStr">
        <is>
          <t>VÄSTERNORRLANDS LÄN</t>
        </is>
      </c>
      <c r="E210" t="inlineStr">
        <is>
          <t>ÅNGE</t>
        </is>
      </c>
      <c r="G210" t="n">
        <v>0.8</v>
      </c>
      <c r="H210" t="n">
        <v>0</v>
      </c>
      <c r="I210" t="n">
        <v>0</v>
      </c>
      <c r="J210" t="n">
        <v>0</v>
      </c>
      <c r="K210" t="n">
        <v>0</v>
      </c>
      <c r="L210" t="n">
        <v>0</v>
      </c>
      <c r="M210" t="n">
        <v>0</v>
      </c>
      <c r="N210" t="n">
        <v>0</v>
      </c>
      <c r="O210" t="n">
        <v>0</v>
      </c>
      <c r="P210" t="n">
        <v>0</v>
      </c>
      <c r="Q210" t="n">
        <v>0</v>
      </c>
      <c r="R210" s="2" t="inlineStr"/>
    </row>
    <row r="211" ht="15" customHeight="1">
      <c r="A211" t="inlineStr">
        <is>
          <t>A 52633-2020</t>
        </is>
      </c>
      <c r="B211" s="1" t="n">
        <v>44118</v>
      </c>
      <c r="C211" s="1" t="n">
        <v>45911</v>
      </c>
      <c r="D211" t="inlineStr">
        <is>
          <t>VÄSTERNORRLANDS LÄN</t>
        </is>
      </c>
      <c r="E211" t="inlineStr">
        <is>
          <t>ÅNGE</t>
        </is>
      </c>
      <c r="G211" t="n">
        <v>3.6</v>
      </c>
      <c r="H211" t="n">
        <v>0</v>
      </c>
      <c r="I211" t="n">
        <v>0</v>
      </c>
      <c r="J211" t="n">
        <v>0</v>
      </c>
      <c r="K211" t="n">
        <v>0</v>
      </c>
      <c r="L211" t="n">
        <v>0</v>
      </c>
      <c r="M211" t="n">
        <v>0</v>
      </c>
      <c r="N211" t="n">
        <v>0</v>
      </c>
      <c r="O211" t="n">
        <v>0</v>
      </c>
      <c r="P211" t="n">
        <v>0</v>
      </c>
      <c r="Q211" t="n">
        <v>0</v>
      </c>
      <c r="R211" s="2" t="inlineStr"/>
    </row>
    <row r="212" ht="15" customHeight="1">
      <c r="A212" t="inlineStr">
        <is>
          <t>A 20354-2021</t>
        </is>
      </c>
      <c r="B212" s="1" t="n">
        <v>44312</v>
      </c>
      <c r="C212" s="1" t="n">
        <v>45911</v>
      </c>
      <c r="D212" t="inlineStr">
        <is>
          <t>VÄSTERNORRLANDS LÄN</t>
        </is>
      </c>
      <c r="E212" t="inlineStr">
        <is>
          <t>ÅNGE</t>
        </is>
      </c>
      <c r="G212" t="n">
        <v>1.3</v>
      </c>
      <c r="H212" t="n">
        <v>0</v>
      </c>
      <c r="I212" t="n">
        <v>0</v>
      </c>
      <c r="J212" t="n">
        <v>0</v>
      </c>
      <c r="K212" t="n">
        <v>0</v>
      </c>
      <c r="L212" t="n">
        <v>0</v>
      </c>
      <c r="M212" t="n">
        <v>0</v>
      </c>
      <c r="N212" t="n">
        <v>0</v>
      </c>
      <c r="O212" t="n">
        <v>0</v>
      </c>
      <c r="P212" t="n">
        <v>0</v>
      </c>
      <c r="Q212" t="n">
        <v>0</v>
      </c>
      <c r="R212" s="2" t="inlineStr"/>
    </row>
    <row r="213" ht="15" customHeight="1">
      <c r="A213" t="inlineStr">
        <is>
          <t>A 53474-2020</t>
        </is>
      </c>
      <c r="B213" s="1" t="n">
        <v>44123.68413194444</v>
      </c>
      <c r="C213" s="1" t="n">
        <v>45911</v>
      </c>
      <c r="D213" t="inlineStr">
        <is>
          <t>VÄSTERNORRLANDS LÄN</t>
        </is>
      </c>
      <c r="E213" t="inlineStr">
        <is>
          <t>ÅNGE</t>
        </is>
      </c>
      <c r="G213" t="n">
        <v>1.3</v>
      </c>
      <c r="H213" t="n">
        <v>0</v>
      </c>
      <c r="I213" t="n">
        <v>0</v>
      </c>
      <c r="J213" t="n">
        <v>0</v>
      </c>
      <c r="K213" t="n">
        <v>0</v>
      </c>
      <c r="L213" t="n">
        <v>0</v>
      </c>
      <c r="M213" t="n">
        <v>0</v>
      </c>
      <c r="N213" t="n">
        <v>0</v>
      </c>
      <c r="O213" t="n">
        <v>0</v>
      </c>
      <c r="P213" t="n">
        <v>0</v>
      </c>
      <c r="Q213" t="n">
        <v>0</v>
      </c>
      <c r="R213" s="2" t="inlineStr"/>
    </row>
    <row r="214" ht="15" customHeight="1">
      <c r="A214" t="inlineStr">
        <is>
          <t>A 49343-2020</t>
        </is>
      </c>
      <c r="B214" s="1" t="n">
        <v>44105.56329861111</v>
      </c>
      <c r="C214" s="1" t="n">
        <v>45911</v>
      </c>
      <c r="D214" t="inlineStr">
        <is>
          <t>VÄSTERNORRLANDS LÄN</t>
        </is>
      </c>
      <c r="E214" t="inlineStr">
        <is>
          <t>ÅNGE</t>
        </is>
      </c>
      <c r="G214" t="n">
        <v>1.2</v>
      </c>
      <c r="H214" t="n">
        <v>0</v>
      </c>
      <c r="I214" t="n">
        <v>0</v>
      </c>
      <c r="J214" t="n">
        <v>0</v>
      </c>
      <c r="K214" t="n">
        <v>0</v>
      </c>
      <c r="L214" t="n">
        <v>0</v>
      </c>
      <c r="M214" t="n">
        <v>0</v>
      </c>
      <c r="N214" t="n">
        <v>0</v>
      </c>
      <c r="O214" t="n">
        <v>0</v>
      </c>
      <c r="P214" t="n">
        <v>0</v>
      </c>
      <c r="Q214" t="n">
        <v>0</v>
      </c>
      <c r="R214" s="2" t="inlineStr"/>
    </row>
    <row r="215" ht="15" customHeight="1">
      <c r="A215" t="inlineStr">
        <is>
          <t>A 53660-2020</t>
        </is>
      </c>
      <c r="B215" s="1" t="n">
        <v>44124</v>
      </c>
      <c r="C215" s="1" t="n">
        <v>45911</v>
      </c>
      <c r="D215" t="inlineStr">
        <is>
          <t>VÄSTERNORRLANDS LÄN</t>
        </is>
      </c>
      <c r="E215" t="inlineStr">
        <is>
          <t>ÅNGE</t>
        </is>
      </c>
      <c r="G215" t="n">
        <v>5.4</v>
      </c>
      <c r="H215" t="n">
        <v>0</v>
      </c>
      <c r="I215" t="n">
        <v>0</v>
      </c>
      <c r="J215" t="n">
        <v>0</v>
      </c>
      <c r="K215" t="n">
        <v>0</v>
      </c>
      <c r="L215" t="n">
        <v>0</v>
      </c>
      <c r="M215" t="n">
        <v>0</v>
      </c>
      <c r="N215" t="n">
        <v>0</v>
      </c>
      <c r="O215" t="n">
        <v>0</v>
      </c>
      <c r="P215" t="n">
        <v>0</v>
      </c>
      <c r="Q215" t="n">
        <v>0</v>
      </c>
      <c r="R215" s="2" t="inlineStr"/>
    </row>
    <row r="216" ht="15" customHeight="1">
      <c r="A216" t="inlineStr">
        <is>
          <t>A 68715-2020</t>
        </is>
      </c>
      <c r="B216" s="1" t="n">
        <v>44187</v>
      </c>
      <c r="C216" s="1" t="n">
        <v>45911</v>
      </c>
      <c r="D216" t="inlineStr">
        <is>
          <t>VÄSTERNORRLANDS LÄN</t>
        </is>
      </c>
      <c r="E216" t="inlineStr">
        <is>
          <t>ÅNGE</t>
        </is>
      </c>
      <c r="G216" t="n">
        <v>19.1</v>
      </c>
      <c r="H216" t="n">
        <v>0</v>
      </c>
      <c r="I216" t="n">
        <v>0</v>
      </c>
      <c r="J216" t="n">
        <v>0</v>
      </c>
      <c r="K216" t="n">
        <v>0</v>
      </c>
      <c r="L216" t="n">
        <v>0</v>
      </c>
      <c r="M216" t="n">
        <v>0</v>
      </c>
      <c r="N216" t="n">
        <v>0</v>
      </c>
      <c r="O216" t="n">
        <v>0</v>
      </c>
      <c r="P216" t="n">
        <v>0</v>
      </c>
      <c r="Q216" t="n">
        <v>0</v>
      </c>
      <c r="R216" s="2" t="inlineStr"/>
    </row>
    <row r="217" ht="15" customHeight="1">
      <c r="A217" t="inlineStr">
        <is>
          <t>A 21740-2022</t>
        </is>
      </c>
      <c r="B217" s="1" t="n">
        <v>44708.37472222222</v>
      </c>
      <c r="C217" s="1" t="n">
        <v>45911</v>
      </c>
      <c r="D217" t="inlineStr">
        <is>
          <t>VÄSTERNORRLANDS LÄN</t>
        </is>
      </c>
      <c r="E217" t="inlineStr">
        <is>
          <t>ÅNGE</t>
        </is>
      </c>
      <c r="G217" t="n">
        <v>2</v>
      </c>
      <c r="H217" t="n">
        <v>0</v>
      </c>
      <c r="I217" t="n">
        <v>0</v>
      </c>
      <c r="J217" t="n">
        <v>0</v>
      </c>
      <c r="K217" t="n">
        <v>0</v>
      </c>
      <c r="L217" t="n">
        <v>0</v>
      </c>
      <c r="M217" t="n">
        <v>0</v>
      </c>
      <c r="N217" t="n">
        <v>0</v>
      </c>
      <c r="O217" t="n">
        <v>0</v>
      </c>
      <c r="P217" t="n">
        <v>0</v>
      </c>
      <c r="Q217" t="n">
        <v>0</v>
      </c>
      <c r="R217" s="2" t="inlineStr"/>
    </row>
    <row r="218" ht="15" customHeight="1">
      <c r="A218" t="inlineStr">
        <is>
          <t>A 37624-2021</t>
        </is>
      </c>
      <c r="B218" s="1" t="n">
        <v>44399</v>
      </c>
      <c r="C218" s="1" t="n">
        <v>45911</v>
      </c>
      <c r="D218" t="inlineStr">
        <is>
          <t>VÄSTERNORRLANDS LÄN</t>
        </is>
      </c>
      <c r="E218" t="inlineStr">
        <is>
          <t>ÅNGE</t>
        </is>
      </c>
      <c r="G218" t="n">
        <v>4.1</v>
      </c>
      <c r="H218" t="n">
        <v>0</v>
      </c>
      <c r="I218" t="n">
        <v>0</v>
      </c>
      <c r="J218" t="n">
        <v>0</v>
      </c>
      <c r="K218" t="n">
        <v>0</v>
      </c>
      <c r="L218" t="n">
        <v>0</v>
      </c>
      <c r="M218" t="n">
        <v>0</v>
      </c>
      <c r="N218" t="n">
        <v>0</v>
      </c>
      <c r="O218" t="n">
        <v>0</v>
      </c>
      <c r="P218" t="n">
        <v>0</v>
      </c>
      <c r="Q218" t="n">
        <v>0</v>
      </c>
      <c r="R218" s="2" t="inlineStr"/>
    </row>
    <row r="219" ht="15" customHeight="1">
      <c r="A219" t="inlineStr">
        <is>
          <t>A 24353-2022</t>
        </is>
      </c>
      <c r="B219" s="1" t="n">
        <v>44726.37769675926</v>
      </c>
      <c r="C219" s="1" t="n">
        <v>45911</v>
      </c>
      <c r="D219" t="inlineStr">
        <is>
          <t>VÄSTERNORRLANDS LÄN</t>
        </is>
      </c>
      <c r="E219" t="inlineStr">
        <is>
          <t>ÅNGE</t>
        </is>
      </c>
      <c r="G219" t="n">
        <v>1</v>
      </c>
      <c r="H219" t="n">
        <v>0</v>
      </c>
      <c r="I219" t="n">
        <v>0</v>
      </c>
      <c r="J219" t="n">
        <v>0</v>
      </c>
      <c r="K219" t="n">
        <v>0</v>
      </c>
      <c r="L219" t="n">
        <v>0</v>
      </c>
      <c r="M219" t="n">
        <v>0</v>
      </c>
      <c r="N219" t="n">
        <v>0</v>
      </c>
      <c r="O219" t="n">
        <v>0</v>
      </c>
      <c r="P219" t="n">
        <v>0</v>
      </c>
      <c r="Q219" t="n">
        <v>0</v>
      </c>
      <c r="R219" s="2" t="inlineStr"/>
    </row>
    <row r="220" ht="15" customHeight="1">
      <c r="A220" t="inlineStr">
        <is>
          <t>A 5381-2022</t>
        </is>
      </c>
      <c r="B220" s="1" t="n">
        <v>44594.9337037037</v>
      </c>
      <c r="C220" s="1" t="n">
        <v>45911</v>
      </c>
      <c r="D220" t="inlineStr">
        <is>
          <t>VÄSTERNORRLANDS LÄN</t>
        </is>
      </c>
      <c r="E220" t="inlineStr">
        <is>
          <t>ÅNGE</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38432-2021</t>
        </is>
      </c>
      <c r="B221" s="1" t="n">
        <v>44406</v>
      </c>
      <c r="C221" s="1" t="n">
        <v>45911</v>
      </c>
      <c r="D221" t="inlineStr">
        <is>
          <t>VÄSTERNORRLANDS LÄN</t>
        </is>
      </c>
      <c r="E221" t="inlineStr">
        <is>
          <t>ÅNGE</t>
        </is>
      </c>
      <c r="G221" t="n">
        <v>0.4</v>
      </c>
      <c r="H221" t="n">
        <v>0</v>
      </c>
      <c r="I221" t="n">
        <v>0</v>
      </c>
      <c r="J221" t="n">
        <v>0</v>
      </c>
      <c r="K221" t="n">
        <v>0</v>
      </c>
      <c r="L221" t="n">
        <v>0</v>
      </c>
      <c r="M221" t="n">
        <v>0</v>
      </c>
      <c r="N221" t="n">
        <v>0</v>
      </c>
      <c r="O221" t="n">
        <v>0</v>
      </c>
      <c r="P221" t="n">
        <v>0</v>
      </c>
      <c r="Q221" t="n">
        <v>0</v>
      </c>
      <c r="R221" s="2" t="inlineStr"/>
    </row>
    <row r="222" ht="15" customHeight="1">
      <c r="A222" t="inlineStr">
        <is>
          <t>A 48876-2021</t>
        </is>
      </c>
      <c r="B222" s="1" t="n">
        <v>44452</v>
      </c>
      <c r="C222" s="1" t="n">
        <v>45911</v>
      </c>
      <c r="D222" t="inlineStr">
        <is>
          <t>VÄSTERNORRLANDS LÄN</t>
        </is>
      </c>
      <c r="E222" t="inlineStr">
        <is>
          <t>ÅNGE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14433-2022</t>
        </is>
      </c>
      <c r="B223" s="1" t="n">
        <v>44652</v>
      </c>
      <c r="C223" s="1" t="n">
        <v>45911</v>
      </c>
      <c r="D223" t="inlineStr">
        <is>
          <t>VÄSTERNORRLANDS LÄN</t>
        </is>
      </c>
      <c r="E223" t="inlineStr">
        <is>
          <t>ÅNGE</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48990-2021</t>
        </is>
      </c>
      <c r="B224" s="1" t="n">
        <v>44453</v>
      </c>
      <c r="C224" s="1" t="n">
        <v>45911</v>
      </c>
      <c r="D224" t="inlineStr">
        <is>
          <t>VÄSTERNORRLANDS LÄN</t>
        </is>
      </c>
      <c r="E224" t="inlineStr">
        <is>
          <t>ÅNGE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39744-2021</t>
        </is>
      </c>
      <c r="B225" s="1" t="n">
        <v>44417</v>
      </c>
      <c r="C225" s="1" t="n">
        <v>45911</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46518-2020</t>
        </is>
      </c>
      <c r="B226" s="1" t="n">
        <v>44095</v>
      </c>
      <c r="C226" s="1" t="n">
        <v>45911</v>
      </c>
      <c r="D226" t="inlineStr">
        <is>
          <t>VÄSTERNORRLANDS LÄN</t>
        </is>
      </c>
      <c r="E226" t="inlineStr">
        <is>
          <t>ÅNGE</t>
        </is>
      </c>
      <c r="G226" t="n">
        <v>0.8</v>
      </c>
      <c r="H226" t="n">
        <v>0</v>
      </c>
      <c r="I226" t="n">
        <v>0</v>
      </c>
      <c r="J226" t="n">
        <v>0</v>
      </c>
      <c r="K226" t="n">
        <v>0</v>
      </c>
      <c r="L226" t="n">
        <v>0</v>
      </c>
      <c r="M226" t="n">
        <v>0</v>
      </c>
      <c r="N226" t="n">
        <v>0</v>
      </c>
      <c r="O226" t="n">
        <v>0</v>
      </c>
      <c r="P226" t="n">
        <v>0</v>
      </c>
      <c r="Q226" t="n">
        <v>0</v>
      </c>
      <c r="R226" s="2" t="inlineStr"/>
    </row>
    <row r="227" ht="15" customHeight="1">
      <c r="A227" t="inlineStr">
        <is>
          <t>A 69271-2020</t>
        </is>
      </c>
      <c r="B227" s="1" t="n">
        <v>44193</v>
      </c>
      <c r="C227" s="1" t="n">
        <v>45911</v>
      </c>
      <c r="D227" t="inlineStr">
        <is>
          <t>VÄSTERNORRLANDS LÄN</t>
        </is>
      </c>
      <c r="E227" t="inlineStr">
        <is>
          <t>ÅNGE</t>
        </is>
      </c>
      <c r="G227" t="n">
        <v>0.8</v>
      </c>
      <c r="H227" t="n">
        <v>0</v>
      </c>
      <c r="I227" t="n">
        <v>0</v>
      </c>
      <c r="J227" t="n">
        <v>0</v>
      </c>
      <c r="K227" t="n">
        <v>0</v>
      </c>
      <c r="L227" t="n">
        <v>0</v>
      </c>
      <c r="M227" t="n">
        <v>0</v>
      </c>
      <c r="N227" t="n">
        <v>0</v>
      </c>
      <c r="O227" t="n">
        <v>0</v>
      </c>
      <c r="P227" t="n">
        <v>0</v>
      </c>
      <c r="Q227" t="n">
        <v>0</v>
      </c>
      <c r="R227" s="2" t="inlineStr"/>
    </row>
    <row r="228" ht="15" customHeight="1">
      <c r="A228" t="inlineStr">
        <is>
          <t>A 74088-2021</t>
        </is>
      </c>
      <c r="B228" s="1" t="n">
        <v>44557.59435185185</v>
      </c>
      <c r="C228" s="1" t="n">
        <v>45911</v>
      </c>
      <c r="D228" t="inlineStr">
        <is>
          <t>VÄSTERNORRLANDS LÄN</t>
        </is>
      </c>
      <c r="E228" t="inlineStr">
        <is>
          <t>ÅNGE</t>
        </is>
      </c>
      <c r="G228" t="n">
        <v>0.6</v>
      </c>
      <c r="H228" t="n">
        <v>0</v>
      </c>
      <c r="I228" t="n">
        <v>0</v>
      </c>
      <c r="J228" t="n">
        <v>0</v>
      </c>
      <c r="K228" t="n">
        <v>0</v>
      </c>
      <c r="L228" t="n">
        <v>0</v>
      </c>
      <c r="M228" t="n">
        <v>0</v>
      </c>
      <c r="N228" t="n">
        <v>0</v>
      </c>
      <c r="O228" t="n">
        <v>0</v>
      </c>
      <c r="P228" t="n">
        <v>0</v>
      </c>
      <c r="Q228" t="n">
        <v>0</v>
      </c>
      <c r="R228" s="2" t="inlineStr"/>
    </row>
    <row r="229" ht="15" customHeight="1">
      <c r="A229" t="inlineStr">
        <is>
          <t>A 65593-2020</t>
        </is>
      </c>
      <c r="B229" s="1" t="n">
        <v>44173</v>
      </c>
      <c r="C229" s="1" t="n">
        <v>45911</v>
      </c>
      <c r="D229" t="inlineStr">
        <is>
          <t>VÄSTERNORRLANDS LÄN</t>
        </is>
      </c>
      <c r="E229" t="inlineStr">
        <is>
          <t>ÅNGE</t>
        </is>
      </c>
      <c r="G229" t="n">
        <v>4</v>
      </c>
      <c r="H229" t="n">
        <v>0</v>
      </c>
      <c r="I229" t="n">
        <v>0</v>
      </c>
      <c r="J229" t="n">
        <v>0</v>
      </c>
      <c r="K229" t="n">
        <v>0</v>
      </c>
      <c r="L229" t="n">
        <v>0</v>
      </c>
      <c r="M229" t="n">
        <v>0</v>
      </c>
      <c r="N229" t="n">
        <v>0</v>
      </c>
      <c r="O229" t="n">
        <v>0</v>
      </c>
      <c r="P229" t="n">
        <v>0</v>
      </c>
      <c r="Q229" t="n">
        <v>0</v>
      </c>
      <c r="R229" s="2" t="inlineStr"/>
    </row>
    <row r="230" ht="15" customHeight="1">
      <c r="A230" t="inlineStr">
        <is>
          <t>A 19102-2021</t>
        </is>
      </c>
      <c r="B230" s="1" t="n">
        <v>44308</v>
      </c>
      <c r="C230" s="1" t="n">
        <v>45911</v>
      </c>
      <c r="D230" t="inlineStr">
        <is>
          <t>VÄSTERNORRLANDS LÄN</t>
        </is>
      </c>
      <c r="E230" t="inlineStr">
        <is>
          <t>ÅNGE</t>
        </is>
      </c>
      <c r="G230" t="n">
        <v>3.3</v>
      </c>
      <c r="H230" t="n">
        <v>0</v>
      </c>
      <c r="I230" t="n">
        <v>0</v>
      </c>
      <c r="J230" t="n">
        <v>0</v>
      </c>
      <c r="K230" t="n">
        <v>0</v>
      </c>
      <c r="L230" t="n">
        <v>0</v>
      </c>
      <c r="M230" t="n">
        <v>0</v>
      </c>
      <c r="N230" t="n">
        <v>0</v>
      </c>
      <c r="O230" t="n">
        <v>0</v>
      </c>
      <c r="P230" t="n">
        <v>0</v>
      </c>
      <c r="Q230" t="n">
        <v>0</v>
      </c>
      <c r="R230" s="2" t="inlineStr"/>
    </row>
    <row r="231" ht="15" customHeight="1">
      <c r="A231" t="inlineStr">
        <is>
          <t>A 53173-2020</t>
        </is>
      </c>
      <c r="B231" s="1" t="n">
        <v>44120</v>
      </c>
      <c r="C231" s="1" t="n">
        <v>45911</v>
      </c>
      <c r="D231" t="inlineStr">
        <is>
          <t>VÄSTERNORRLANDS LÄN</t>
        </is>
      </c>
      <c r="E231" t="inlineStr">
        <is>
          <t>ÅNGE</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53174-2020</t>
        </is>
      </c>
      <c r="B232" s="1" t="n">
        <v>44120</v>
      </c>
      <c r="C232" s="1" t="n">
        <v>45911</v>
      </c>
      <c r="D232" t="inlineStr">
        <is>
          <t>VÄSTERNORRLANDS LÄN</t>
        </is>
      </c>
      <c r="E232" t="inlineStr">
        <is>
          <t>ÅNGE</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65594-2020</t>
        </is>
      </c>
      <c r="B233" s="1" t="n">
        <v>44173</v>
      </c>
      <c r="C233" s="1" t="n">
        <v>45911</v>
      </c>
      <c r="D233" t="inlineStr">
        <is>
          <t>VÄSTERNORRLANDS LÄN</t>
        </is>
      </c>
      <c r="E233" t="inlineStr">
        <is>
          <t>ÅNGE</t>
        </is>
      </c>
      <c r="G233" t="n">
        <v>5.9</v>
      </c>
      <c r="H233" t="n">
        <v>0</v>
      </c>
      <c r="I233" t="n">
        <v>0</v>
      </c>
      <c r="J233" t="n">
        <v>0</v>
      </c>
      <c r="K233" t="n">
        <v>0</v>
      </c>
      <c r="L233" t="n">
        <v>0</v>
      </c>
      <c r="M233" t="n">
        <v>0</v>
      </c>
      <c r="N233" t="n">
        <v>0</v>
      </c>
      <c r="O233" t="n">
        <v>0</v>
      </c>
      <c r="P233" t="n">
        <v>0</v>
      </c>
      <c r="Q233" t="n">
        <v>0</v>
      </c>
      <c r="R233" s="2" t="inlineStr"/>
    </row>
    <row r="234" ht="15" customHeight="1">
      <c r="A234" t="inlineStr">
        <is>
          <t>A 71396-2021</t>
        </is>
      </c>
      <c r="B234" s="1" t="n">
        <v>44540.35644675926</v>
      </c>
      <c r="C234" s="1" t="n">
        <v>45911</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66265-2021</t>
        </is>
      </c>
      <c r="B235" s="1" t="n">
        <v>44518.45263888889</v>
      </c>
      <c r="C235" s="1" t="n">
        <v>45911</v>
      </c>
      <c r="D235" t="inlineStr">
        <is>
          <t>VÄSTERNORRLANDS LÄN</t>
        </is>
      </c>
      <c r="E235" t="inlineStr">
        <is>
          <t>ÅNGE</t>
        </is>
      </c>
      <c r="G235" t="n">
        <v>6</v>
      </c>
      <c r="H235" t="n">
        <v>0</v>
      </c>
      <c r="I235" t="n">
        <v>0</v>
      </c>
      <c r="J235" t="n">
        <v>0</v>
      </c>
      <c r="K235" t="n">
        <v>0</v>
      </c>
      <c r="L235" t="n">
        <v>0</v>
      </c>
      <c r="M235" t="n">
        <v>0</v>
      </c>
      <c r="N235" t="n">
        <v>0</v>
      </c>
      <c r="O235" t="n">
        <v>0</v>
      </c>
      <c r="P235" t="n">
        <v>0</v>
      </c>
      <c r="Q235" t="n">
        <v>0</v>
      </c>
      <c r="R235" s="2" t="inlineStr"/>
    </row>
    <row r="236" ht="15" customHeight="1">
      <c r="A236" t="inlineStr">
        <is>
          <t>A 71669-2021</t>
        </is>
      </c>
      <c r="B236" s="1" t="n">
        <v>44538</v>
      </c>
      <c r="C236" s="1" t="n">
        <v>45911</v>
      </c>
      <c r="D236" t="inlineStr">
        <is>
          <t>VÄSTERNORRLANDS LÄN</t>
        </is>
      </c>
      <c r="E236" t="inlineStr">
        <is>
          <t>ÅNGE</t>
        </is>
      </c>
      <c r="G236" t="n">
        <v>2.1</v>
      </c>
      <c r="H236" t="n">
        <v>0</v>
      </c>
      <c r="I236" t="n">
        <v>0</v>
      </c>
      <c r="J236" t="n">
        <v>0</v>
      </c>
      <c r="K236" t="n">
        <v>0</v>
      </c>
      <c r="L236" t="n">
        <v>0</v>
      </c>
      <c r="M236" t="n">
        <v>0</v>
      </c>
      <c r="N236" t="n">
        <v>0</v>
      </c>
      <c r="O236" t="n">
        <v>0</v>
      </c>
      <c r="P236" t="n">
        <v>0</v>
      </c>
      <c r="Q236" t="n">
        <v>0</v>
      </c>
      <c r="R236" s="2" t="inlineStr"/>
    </row>
    <row r="237" ht="15" customHeight="1">
      <c r="A237" t="inlineStr">
        <is>
          <t>A 50258-2020</t>
        </is>
      </c>
      <c r="B237" s="1" t="n">
        <v>44109</v>
      </c>
      <c r="C237" s="1" t="n">
        <v>45911</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50259-2020</t>
        </is>
      </c>
      <c r="B238" s="1" t="n">
        <v>44109</v>
      </c>
      <c r="C238" s="1" t="n">
        <v>45911</v>
      </c>
      <c r="D238" t="inlineStr">
        <is>
          <t>VÄSTERNORRLANDS LÄN</t>
        </is>
      </c>
      <c r="E238" t="inlineStr">
        <is>
          <t>ÅNGE</t>
        </is>
      </c>
      <c r="G238" t="n">
        <v>5.1</v>
      </c>
      <c r="H238" t="n">
        <v>0</v>
      </c>
      <c r="I238" t="n">
        <v>0</v>
      </c>
      <c r="J238" t="n">
        <v>0</v>
      </c>
      <c r="K238" t="n">
        <v>0</v>
      </c>
      <c r="L238" t="n">
        <v>0</v>
      </c>
      <c r="M238" t="n">
        <v>0</v>
      </c>
      <c r="N238" t="n">
        <v>0</v>
      </c>
      <c r="O238" t="n">
        <v>0</v>
      </c>
      <c r="P238" t="n">
        <v>0</v>
      </c>
      <c r="Q238" t="n">
        <v>0</v>
      </c>
      <c r="R238" s="2" t="inlineStr"/>
    </row>
    <row r="239" ht="15" customHeight="1">
      <c r="A239" t="inlineStr">
        <is>
          <t>A 9619-2021</t>
        </is>
      </c>
      <c r="B239" s="1" t="n">
        <v>44251</v>
      </c>
      <c r="C239" s="1" t="n">
        <v>45911</v>
      </c>
      <c r="D239" t="inlineStr">
        <is>
          <t>VÄSTERNORRLANDS LÄN</t>
        </is>
      </c>
      <c r="E239" t="inlineStr">
        <is>
          <t>ÅNGE</t>
        </is>
      </c>
      <c r="G239" t="n">
        <v>10.4</v>
      </c>
      <c r="H239" t="n">
        <v>0</v>
      </c>
      <c r="I239" t="n">
        <v>0</v>
      </c>
      <c r="J239" t="n">
        <v>0</v>
      </c>
      <c r="K239" t="n">
        <v>0</v>
      </c>
      <c r="L239" t="n">
        <v>0</v>
      </c>
      <c r="M239" t="n">
        <v>0</v>
      </c>
      <c r="N239" t="n">
        <v>0</v>
      </c>
      <c r="O239" t="n">
        <v>0</v>
      </c>
      <c r="P239" t="n">
        <v>0</v>
      </c>
      <c r="Q239" t="n">
        <v>0</v>
      </c>
      <c r="R239" s="2" t="inlineStr"/>
    </row>
    <row r="240" ht="15" customHeight="1">
      <c r="A240" t="inlineStr">
        <is>
          <t>A 14812-2021</t>
        </is>
      </c>
      <c r="B240" s="1" t="n">
        <v>44280</v>
      </c>
      <c r="C240" s="1" t="n">
        <v>45911</v>
      </c>
      <c r="D240" t="inlineStr">
        <is>
          <t>VÄSTERNORRLANDS LÄN</t>
        </is>
      </c>
      <c r="E240" t="inlineStr">
        <is>
          <t>ÅNGE</t>
        </is>
      </c>
      <c r="G240" t="n">
        <v>1.6</v>
      </c>
      <c r="H240" t="n">
        <v>0</v>
      </c>
      <c r="I240" t="n">
        <v>0</v>
      </c>
      <c r="J240" t="n">
        <v>0</v>
      </c>
      <c r="K240" t="n">
        <v>0</v>
      </c>
      <c r="L240" t="n">
        <v>0</v>
      </c>
      <c r="M240" t="n">
        <v>0</v>
      </c>
      <c r="N240" t="n">
        <v>0</v>
      </c>
      <c r="O240" t="n">
        <v>0</v>
      </c>
      <c r="P240" t="n">
        <v>0</v>
      </c>
      <c r="Q240" t="n">
        <v>0</v>
      </c>
      <c r="R240" s="2" t="inlineStr"/>
    </row>
    <row r="241" ht="15" customHeight="1">
      <c r="A241" t="inlineStr">
        <is>
          <t>A 46350-2022</t>
        </is>
      </c>
      <c r="B241" s="1" t="n">
        <v>44847.95120370371</v>
      </c>
      <c r="C241" s="1" t="n">
        <v>45911</v>
      </c>
      <c r="D241" t="inlineStr">
        <is>
          <t>VÄSTERNORRLANDS LÄN</t>
        </is>
      </c>
      <c r="E241" t="inlineStr">
        <is>
          <t>ÅNGE</t>
        </is>
      </c>
      <c r="F241" t="inlineStr">
        <is>
          <t>SCA</t>
        </is>
      </c>
      <c r="G241" t="n">
        <v>3.1</v>
      </c>
      <c r="H241" t="n">
        <v>0</v>
      </c>
      <c r="I241" t="n">
        <v>0</v>
      </c>
      <c r="J241" t="n">
        <v>0</v>
      </c>
      <c r="K241" t="n">
        <v>0</v>
      </c>
      <c r="L241" t="n">
        <v>0</v>
      </c>
      <c r="M241" t="n">
        <v>0</v>
      </c>
      <c r="N241" t="n">
        <v>0</v>
      </c>
      <c r="O241" t="n">
        <v>0</v>
      </c>
      <c r="P241" t="n">
        <v>0</v>
      </c>
      <c r="Q241" t="n">
        <v>0</v>
      </c>
      <c r="R241" s="2" t="inlineStr"/>
    </row>
    <row r="242" ht="15" customHeight="1">
      <c r="A242" t="inlineStr">
        <is>
          <t>A 54105-2020</t>
        </is>
      </c>
      <c r="B242" s="1" t="n">
        <v>44125</v>
      </c>
      <c r="C242" s="1" t="n">
        <v>45911</v>
      </c>
      <c r="D242" t="inlineStr">
        <is>
          <t>VÄSTERNORRLANDS LÄN</t>
        </is>
      </c>
      <c r="E242" t="inlineStr">
        <is>
          <t>ÅNGE</t>
        </is>
      </c>
      <c r="G242" t="n">
        <v>1.1</v>
      </c>
      <c r="H242" t="n">
        <v>0</v>
      </c>
      <c r="I242" t="n">
        <v>0</v>
      </c>
      <c r="J242" t="n">
        <v>0</v>
      </c>
      <c r="K242" t="n">
        <v>0</v>
      </c>
      <c r="L242" t="n">
        <v>0</v>
      </c>
      <c r="M242" t="n">
        <v>0</v>
      </c>
      <c r="N242" t="n">
        <v>0</v>
      </c>
      <c r="O242" t="n">
        <v>0</v>
      </c>
      <c r="P242" t="n">
        <v>0</v>
      </c>
      <c r="Q242" t="n">
        <v>0</v>
      </c>
      <c r="R242" s="2" t="inlineStr"/>
    </row>
    <row r="243" ht="15" customHeight="1">
      <c r="A243" t="inlineStr">
        <is>
          <t>A 24819-2021</t>
        </is>
      </c>
      <c r="B243" s="1" t="n">
        <v>44340</v>
      </c>
      <c r="C243" s="1" t="n">
        <v>45911</v>
      </c>
      <c r="D243" t="inlineStr">
        <is>
          <t>VÄSTERNORRLANDS LÄN</t>
        </is>
      </c>
      <c r="E243" t="inlineStr">
        <is>
          <t>ÅNGE</t>
        </is>
      </c>
      <c r="G243" t="n">
        <v>1.5</v>
      </c>
      <c r="H243" t="n">
        <v>0</v>
      </c>
      <c r="I243" t="n">
        <v>0</v>
      </c>
      <c r="J243" t="n">
        <v>0</v>
      </c>
      <c r="K243" t="n">
        <v>0</v>
      </c>
      <c r="L243" t="n">
        <v>0</v>
      </c>
      <c r="M243" t="n">
        <v>0</v>
      </c>
      <c r="N243" t="n">
        <v>0</v>
      </c>
      <c r="O243" t="n">
        <v>0</v>
      </c>
      <c r="P243" t="n">
        <v>0</v>
      </c>
      <c r="Q243" t="n">
        <v>0</v>
      </c>
      <c r="R243" s="2" t="inlineStr"/>
    </row>
    <row r="244" ht="15" customHeight="1">
      <c r="A244" t="inlineStr">
        <is>
          <t>A 53969-2021</t>
        </is>
      </c>
      <c r="B244" s="1" t="n">
        <v>44469</v>
      </c>
      <c r="C244" s="1" t="n">
        <v>45911</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35359-2021</t>
        </is>
      </c>
      <c r="B245" s="1" t="n">
        <v>44384.93608796296</v>
      </c>
      <c r="C245" s="1" t="n">
        <v>45911</v>
      </c>
      <c r="D245" t="inlineStr">
        <is>
          <t>VÄSTERNORRLANDS LÄN</t>
        </is>
      </c>
      <c r="E245" t="inlineStr">
        <is>
          <t>ÅNGE</t>
        </is>
      </c>
      <c r="F245" t="inlineStr">
        <is>
          <t>SCA</t>
        </is>
      </c>
      <c r="G245" t="n">
        <v>10.1</v>
      </c>
      <c r="H245" t="n">
        <v>0</v>
      </c>
      <c r="I245" t="n">
        <v>0</v>
      </c>
      <c r="J245" t="n">
        <v>0</v>
      </c>
      <c r="K245" t="n">
        <v>0</v>
      </c>
      <c r="L245" t="n">
        <v>0</v>
      </c>
      <c r="M245" t="n">
        <v>0</v>
      </c>
      <c r="N245" t="n">
        <v>0</v>
      </c>
      <c r="O245" t="n">
        <v>0</v>
      </c>
      <c r="P245" t="n">
        <v>0</v>
      </c>
      <c r="Q245" t="n">
        <v>0</v>
      </c>
      <c r="R245" s="2" t="inlineStr"/>
    </row>
    <row r="246" ht="15" customHeight="1">
      <c r="A246" t="inlineStr">
        <is>
          <t>A 31191-2021</t>
        </is>
      </c>
      <c r="B246" s="1" t="n">
        <v>44368</v>
      </c>
      <c r="C246" s="1" t="n">
        <v>45911</v>
      </c>
      <c r="D246" t="inlineStr">
        <is>
          <t>VÄSTERNORRLANDS LÄN</t>
        </is>
      </c>
      <c r="E246" t="inlineStr">
        <is>
          <t>ÅNGE</t>
        </is>
      </c>
      <c r="F246" t="inlineStr">
        <is>
          <t>Sveaskog</t>
        </is>
      </c>
      <c r="G246" t="n">
        <v>21.6</v>
      </c>
      <c r="H246" t="n">
        <v>0</v>
      </c>
      <c r="I246" t="n">
        <v>0</v>
      </c>
      <c r="J246" t="n">
        <v>0</v>
      </c>
      <c r="K246" t="n">
        <v>0</v>
      </c>
      <c r="L246" t="n">
        <v>0</v>
      </c>
      <c r="M246" t="n">
        <v>0</v>
      </c>
      <c r="N246" t="n">
        <v>0</v>
      </c>
      <c r="O246" t="n">
        <v>0</v>
      </c>
      <c r="P246" t="n">
        <v>0</v>
      </c>
      <c r="Q246" t="n">
        <v>0</v>
      </c>
      <c r="R246" s="2" t="inlineStr"/>
    </row>
    <row r="247" ht="15" customHeight="1">
      <c r="A247" t="inlineStr">
        <is>
          <t>A 63609-2021</t>
        </is>
      </c>
      <c r="B247" s="1" t="n">
        <v>44508.94660879629</v>
      </c>
      <c r="C247" s="1" t="n">
        <v>45911</v>
      </c>
      <c r="D247" t="inlineStr">
        <is>
          <t>VÄSTERNORRLANDS LÄN</t>
        </is>
      </c>
      <c r="E247" t="inlineStr">
        <is>
          <t>ÅNGE</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7158-2022</t>
        </is>
      </c>
      <c r="B248" s="1" t="n">
        <v>44603.96534722222</v>
      </c>
      <c r="C248" s="1" t="n">
        <v>45911</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58941-2021</t>
        </is>
      </c>
      <c r="B249" s="1" t="n">
        <v>44489.92215277778</v>
      </c>
      <c r="C249" s="1" t="n">
        <v>45911</v>
      </c>
      <c r="D249" t="inlineStr">
        <is>
          <t>VÄSTERNORRLANDS LÄN</t>
        </is>
      </c>
      <c r="E249" t="inlineStr">
        <is>
          <t>ÅNGE</t>
        </is>
      </c>
      <c r="G249" t="n">
        <v>6.7</v>
      </c>
      <c r="H249" t="n">
        <v>0</v>
      </c>
      <c r="I249" t="n">
        <v>0</v>
      </c>
      <c r="J249" t="n">
        <v>0</v>
      </c>
      <c r="K249" t="n">
        <v>0</v>
      </c>
      <c r="L249" t="n">
        <v>0</v>
      </c>
      <c r="M249" t="n">
        <v>0</v>
      </c>
      <c r="N249" t="n">
        <v>0</v>
      </c>
      <c r="O249" t="n">
        <v>0</v>
      </c>
      <c r="P249" t="n">
        <v>0</v>
      </c>
      <c r="Q249" t="n">
        <v>0</v>
      </c>
      <c r="R249" s="2" t="inlineStr"/>
    </row>
    <row r="250" ht="15" customHeight="1">
      <c r="A250" t="inlineStr">
        <is>
          <t>A 52705-2021</t>
        </is>
      </c>
      <c r="B250" s="1" t="n">
        <v>44466</v>
      </c>
      <c r="C250" s="1" t="n">
        <v>45911</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52726-2021</t>
        </is>
      </c>
      <c r="B251" s="1" t="n">
        <v>44466</v>
      </c>
      <c r="C251" s="1" t="n">
        <v>45911</v>
      </c>
      <c r="D251" t="inlineStr">
        <is>
          <t>VÄSTERNORRLANDS LÄN</t>
        </is>
      </c>
      <c r="E251" t="inlineStr">
        <is>
          <t>ÅNGE</t>
        </is>
      </c>
      <c r="F251" t="inlineStr">
        <is>
          <t>SCA</t>
        </is>
      </c>
      <c r="G251" t="n">
        <v>9.5</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45911</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45911</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7649-2022</t>
        </is>
      </c>
      <c r="B254" s="1" t="n">
        <v>44607</v>
      </c>
      <c r="C254" s="1" t="n">
        <v>45911</v>
      </c>
      <c r="D254" t="inlineStr">
        <is>
          <t>VÄSTERNORRLANDS LÄN</t>
        </is>
      </c>
      <c r="E254" t="inlineStr">
        <is>
          <t>ÅNGE</t>
        </is>
      </c>
      <c r="G254" t="n">
        <v>1.9</v>
      </c>
      <c r="H254" t="n">
        <v>0</v>
      </c>
      <c r="I254" t="n">
        <v>0</v>
      </c>
      <c r="J254" t="n">
        <v>0</v>
      </c>
      <c r="K254" t="n">
        <v>0</v>
      </c>
      <c r="L254" t="n">
        <v>0</v>
      </c>
      <c r="M254" t="n">
        <v>0</v>
      </c>
      <c r="N254" t="n">
        <v>0</v>
      </c>
      <c r="O254" t="n">
        <v>0</v>
      </c>
      <c r="P254" t="n">
        <v>0</v>
      </c>
      <c r="Q254" t="n">
        <v>0</v>
      </c>
      <c r="R254" s="2" t="inlineStr"/>
    </row>
    <row r="255" ht="15" customHeight="1">
      <c r="A255" t="inlineStr">
        <is>
          <t>A 70809-2021</t>
        </is>
      </c>
      <c r="B255" s="1" t="n">
        <v>44537.91950231481</v>
      </c>
      <c r="C255" s="1" t="n">
        <v>45911</v>
      </c>
      <c r="D255" t="inlineStr">
        <is>
          <t>VÄSTERNORRLANDS LÄN</t>
        </is>
      </c>
      <c r="E255" t="inlineStr">
        <is>
          <t>ÅNGE</t>
        </is>
      </c>
      <c r="G255" t="n">
        <v>2.4</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45911</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17844-2021</t>
        </is>
      </c>
      <c r="B257" s="1" t="n">
        <v>44300.9187962963</v>
      </c>
      <c r="C257" s="1" t="n">
        <v>45911</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65437-2021</t>
        </is>
      </c>
      <c r="B258" s="1" t="n">
        <v>44515.93900462963</v>
      </c>
      <c r="C258" s="1" t="n">
        <v>45911</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23999-2022</t>
        </is>
      </c>
      <c r="B259" s="1" t="n">
        <v>44722.94055555556</v>
      </c>
      <c r="C259" s="1" t="n">
        <v>45911</v>
      </c>
      <c r="D259" t="inlineStr">
        <is>
          <t>VÄSTERNORRLANDS LÄN</t>
        </is>
      </c>
      <c r="E259" t="inlineStr">
        <is>
          <t>ÅNGE</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53170-2020</t>
        </is>
      </c>
      <c r="B260" s="1" t="n">
        <v>44120</v>
      </c>
      <c r="C260" s="1" t="n">
        <v>45911</v>
      </c>
      <c r="D260" t="inlineStr">
        <is>
          <t>VÄSTERNORRLANDS LÄN</t>
        </is>
      </c>
      <c r="E260" t="inlineStr">
        <is>
          <t>ÅNGE</t>
        </is>
      </c>
      <c r="F260" t="inlineStr">
        <is>
          <t>SCA</t>
        </is>
      </c>
      <c r="G260" t="n">
        <v>6.1</v>
      </c>
      <c r="H260" t="n">
        <v>0</v>
      </c>
      <c r="I260" t="n">
        <v>0</v>
      </c>
      <c r="J260" t="n">
        <v>0</v>
      </c>
      <c r="K260" t="n">
        <v>0</v>
      </c>
      <c r="L260" t="n">
        <v>0</v>
      </c>
      <c r="M260" t="n">
        <v>0</v>
      </c>
      <c r="N260" t="n">
        <v>0</v>
      </c>
      <c r="O260" t="n">
        <v>0</v>
      </c>
      <c r="P260" t="n">
        <v>0</v>
      </c>
      <c r="Q260" t="n">
        <v>0</v>
      </c>
      <c r="R260" s="2" t="inlineStr"/>
    </row>
    <row r="261" ht="15" customHeight="1">
      <c r="A261" t="inlineStr">
        <is>
          <t>A 39729-2021</t>
        </is>
      </c>
      <c r="B261" s="1" t="n">
        <v>44417.48267361111</v>
      </c>
      <c r="C261" s="1" t="n">
        <v>45911</v>
      </c>
      <c r="D261" t="inlineStr">
        <is>
          <t>VÄSTERNORRLANDS LÄN</t>
        </is>
      </c>
      <c r="E261" t="inlineStr">
        <is>
          <t>ÅNGE</t>
        </is>
      </c>
      <c r="G261" t="n">
        <v>0.5</v>
      </c>
      <c r="H261" t="n">
        <v>0</v>
      </c>
      <c r="I261" t="n">
        <v>0</v>
      </c>
      <c r="J261" t="n">
        <v>0</v>
      </c>
      <c r="K261" t="n">
        <v>0</v>
      </c>
      <c r="L261" t="n">
        <v>0</v>
      </c>
      <c r="M261" t="n">
        <v>0</v>
      </c>
      <c r="N261" t="n">
        <v>0</v>
      </c>
      <c r="O261" t="n">
        <v>0</v>
      </c>
      <c r="P261" t="n">
        <v>0</v>
      </c>
      <c r="Q261" t="n">
        <v>0</v>
      </c>
      <c r="R261" s="2" t="inlineStr"/>
    </row>
    <row r="262" ht="15" customHeight="1">
      <c r="A262" t="inlineStr">
        <is>
          <t>A 31649-2022</t>
        </is>
      </c>
      <c r="B262" s="1" t="n">
        <v>44775.94340277778</v>
      </c>
      <c r="C262" s="1" t="n">
        <v>45911</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65770-2020</t>
        </is>
      </c>
      <c r="B263" s="1" t="n">
        <v>44174.55582175926</v>
      </c>
      <c r="C263" s="1" t="n">
        <v>45911</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45911</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51427-2021</t>
        </is>
      </c>
      <c r="B265" s="1" t="n">
        <v>44461</v>
      </c>
      <c r="C265" s="1" t="n">
        <v>45911</v>
      </c>
      <c r="D265" t="inlineStr">
        <is>
          <t>VÄSTERNORRLANDS LÄN</t>
        </is>
      </c>
      <c r="E265" t="inlineStr">
        <is>
          <t>ÅNGE</t>
        </is>
      </c>
      <c r="G265" t="n">
        <v>3.2</v>
      </c>
      <c r="H265" t="n">
        <v>0</v>
      </c>
      <c r="I265" t="n">
        <v>0</v>
      </c>
      <c r="J265" t="n">
        <v>0</v>
      </c>
      <c r="K265" t="n">
        <v>0</v>
      </c>
      <c r="L265" t="n">
        <v>0</v>
      </c>
      <c r="M265" t="n">
        <v>0</v>
      </c>
      <c r="N265" t="n">
        <v>0</v>
      </c>
      <c r="O265" t="n">
        <v>0</v>
      </c>
      <c r="P265" t="n">
        <v>0</v>
      </c>
      <c r="Q265" t="n">
        <v>0</v>
      </c>
      <c r="R265" s="2" t="inlineStr"/>
    </row>
    <row r="266" ht="15" customHeight="1">
      <c r="A266" t="inlineStr">
        <is>
          <t>A 47654-2022</t>
        </is>
      </c>
      <c r="B266" s="1" t="n">
        <v>44854.45208333333</v>
      </c>
      <c r="C266" s="1" t="n">
        <v>45911</v>
      </c>
      <c r="D266" t="inlineStr">
        <is>
          <t>VÄSTERNORRLANDS LÄN</t>
        </is>
      </c>
      <c r="E266" t="inlineStr">
        <is>
          <t>ÅNGE</t>
        </is>
      </c>
      <c r="F266" t="inlineStr">
        <is>
          <t>Holmen skog AB</t>
        </is>
      </c>
      <c r="G266" t="n">
        <v>0.6</v>
      </c>
      <c r="H266" t="n">
        <v>0</v>
      </c>
      <c r="I266" t="n">
        <v>0</v>
      </c>
      <c r="J266" t="n">
        <v>0</v>
      </c>
      <c r="K266" t="n">
        <v>0</v>
      </c>
      <c r="L266" t="n">
        <v>0</v>
      </c>
      <c r="M266" t="n">
        <v>0</v>
      </c>
      <c r="N266" t="n">
        <v>0</v>
      </c>
      <c r="O266" t="n">
        <v>0</v>
      </c>
      <c r="P266" t="n">
        <v>0</v>
      </c>
      <c r="Q266" t="n">
        <v>0</v>
      </c>
      <c r="R266" s="2" t="inlineStr"/>
    </row>
    <row r="267" ht="15" customHeight="1">
      <c r="A267" t="inlineStr">
        <is>
          <t>A 70899-2021</t>
        </is>
      </c>
      <c r="B267" s="1" t="n">
        <v>44537</v>
      </c>
      <c r="C267" s="1" t="n">
        <v>45911</v>
      </c>
      <c r="D267" t="inlineStr">
        <is>
          <t>VÄSTERNORRLANDS LÄN</t>
        </is>
      </c>
      <c r="E267" t="inlineStr">
        <is>
          <t>ÅNGE</t>
        </is>
      </c>
      <c r="G267" t="n">
        <v>0.8</v>
      </c>
      <c r="H267" t="n">
        <v>0</v>
      </c>
      <c r="I267" t="n">
        <v>0</v>
      </c>
      <c r="J267" t="n">
        <v>0</v>
      </c>
      <c r="K267" t="n">
        <v>0</v>
      </c>
      <c r="L267" t="n">
        <v>0</v>
      </c>
      <c r="M267" t="n">
        <v>0</v>
      </c>
      <c r="N267" t="n">
        <v>0</v>
      </c>
      <c r="O267" t="n">
        <v>0</v>
      </c>
      <c r="P267" t="n">
        <v>0</v>
      </c>
      <c r="Q267" t="n">
        <v>0</v>
      </c>
      <c r="R267" s="2" t="inlineStr"/>
    </row>
    <row r="268" ht="15" customHeight="1">
      <c r="A268" t="inlineStr">
        <is>
          <t>A 19035-2022</t>
        </is>
      </c>
      <c r="B268" s="1" t="n">
        <v>44691</v>
      </c>
      <c r="C268" s="1" t="n">
        <v>45911</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35497-2022</t>
        </is>
      </c>
      <c r="B269" s="1" t="n">
        <v>44798</v>
      </c>
      <c r="C269" s="1" t="n">
        <v>45911</v>
      </c>
      <c r="D269" t="inlineStr">
        <is>
          <t>VÄSTERNORRLANDS LÄN</t>
        </is>
      </c>
      <c r="E269" t="inlineStr">
        <is>
          <t>ÅNGE</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45911</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32536-2022</t>
        </is>
      </c>
      <c r="B271" s="1" t="n">
        <v>44783.30246527777</v>
      </c>
      <c r="C271" s="1" t="n">
        <v>45911</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68812-2020</t>
        </is>
      </c>
      <c r="B272" s="1" t="n">
        <v>44187</v>
      </c>
      <c r="C272" s="1" t="n">
        <v>45911</v>
      </c>
      <c r="D272" t="inlineStr">
        <is>
          <t>VÄSTERNORRLANDS LÄN</t>
        </is>
      </c>
      <c r="E272" t="inlineStr">
        <is>
          <t>ÅNGE</t>
        </is>
      </c>
      <c r="G272" t="n">
        <v>1.6</v>
      </c>
      <c r="H272" t="n">
        <v>0</v>
      </c>
      <c r="I272" t="n">
        <v>0</v>
      </c>
      <c r="J272" t="n">
        <v>0</v>
      </c>
      <c r="K272" t="n">
        <v>0</v>
      </c>
      <c r="L272" t="n">
        <v>0</v>
      </c>
      <c r="M272" t="n">
        <v>0</v>
      </c>
      <c r="N272" t="n">
        <v>0</v>
      </c>
      <c r="O272" t="n">
        <v>0</v>
      </c>
      <c r="P272" t="n">
        <v>0</v>
      </c>
      <c r="Q272" t="n">
        <v>0</v>
      </c>
      <c r="R272" s="2" t="inlineStr"/>
    </row>
    <row r="273" ht="15" customHeight="1">
      <c r="A273" t="inlineStr">
        <is>
          <t>A 30495-2022</t>
        </is>
      </c>
      <c r="B273" s="1" t="n">
        <v>44761.9424074074</v>
      </c>
      <c r="C273" s="1" t="n">
        <v>45911</v>
      </c>
      <c r="D273" t="inlineStr">
        <is>
          <t>VÄSTERNORRLANDS LÄN</t>
        </is>
      </c>
      <c r="E273" t="inlineStr">
        <is>
          <t>ÅNGE</t>
        </is>
      </c>
      <c r="F273" t="inlineStr">
        <is>
          <t>SCA</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65277-2020</t>
        </is>
      </c>
      <c r="B274" s="1" t="n">
        <v>44172</v>
      </c>
      <c r="C274" s="1" t="n">
        <v>45911</v>
      </c>
      <c r="D274" t="inlineStr">
        <is>
          <t>VÄSTERNORRLANDS LÄN</t>
        </is>
      </c>
      <c r="E274" t="inlineStr">
        <is>
          <t>ÅNGE</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47443-2022</t>
        </is>
      </c>
      <c r="B275" s="1" t="n">
        <v>44853.59686342593</v>
      </c>
      <c r="C275" s="1" t="n">
        <v>45911</v>
      </c>
      <c r="D275" t="inlineStr">
        <is>
          <t>VÄSTERNORRLANDS LÄN</t>
        </is>
      </c>
      <c r="E275" t="inlineStr">
        <is>
          <t>ÅNGE</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13510-2021</t>
        </is>
      </c>
      <c r="B276" s="1" t="n">
        <v>44273</v>
      </c>
      <c r="C276" s="1" t="n">
        <v>45911</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13479-2021</t>
        </is>
      </c>
      <c r="B277" s="1" t="n">
        <v>44273</v>
      </c>
      <c r="C277" s="1" t="n">
        <v>45911</v>
      </c>
      <c r="D277" t="inlineStr">
        <is>
          <t>VÄSTERNORRLANDS LÄN</t>
        </is>
      </c>
      <c r="E277" t="inlineStr">
        <is>
          <t>ÅNGE</t>
        </is>
      </c>
      <c r="G277" t="n">
        <v>0.1</v>
      </c>
      <c r="H277" t="n">
        <v>0</v>
      </c>
      <c r="I277" t="n">
        <v>0</v>
      </c>
      <c r="J277" t="n">
        <v>0</v>
      </c>
      <c r="K277" t="n">
        <v>0</v>
      </c>
      <c r="L277" t="n">
        <v>0</v>
      </c>
      <c r="M277" t="n">
        <v>0</v>
      </c>
      <c r="N277" t="n">
        <v>0</v>
      </c>
      <c r="O277" t="n">
        <v>0</v>
      </c>
      <c r="P277" t="n">
        <v>0</v>
      </c>
      <c r="Q277" t="n">
        <v>0</v>
      </c>
      <c r="R277" s="2" t="inlineStr"/>
    </row>
    <row r="278" ht="15" customHeight="1">
      <c r="A278" t="inlineStr">
        <is>
          <t>A 42881-2021</t>
        </is>
      </c>
      <c r="B278" s="1" t="n">
        <v>44431.31181712963</v>
      </c>
      <c r="C278" s="1" t="n">
        <v>45911</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5822-2021</t>
        </is>
      </c>
      <c r="B279" s="1" t="n">
        <v>44230</v>
      </c>
      <c r="C279" s="1" t="n">
        <v>45911</v>
      </c>
      <c r="D279" t="inlineStr">
        <is>
          <t>VÄSTERNORRLANDS LÄN</t>
        </is>
      </c>
      <c r="E279" t="inlineStr">
        <is>
          <t>ÅNGE</t>
        </is>
      </c>
      <c r="G279" t="n">
        <v>1.5</v>
      </c>
      <c r="H279" t="n">
        <v>0</v>
      </c>
      <c r="I279" t="n">
        <v>0</v>
      </c>
      <c r="J279" t="n">
        <v>0</v>
      </c>
      <c r="K279" t="n">
        <v>0</v>
      </c>
      <c r="L279" t="n">
        <v>0</v>
      </c>
      <c r="M279" t="n">
        <v>0</v>
      </c>
      <c r="N279" t="n">
        <v>0</v>
      </c>
      <c r="O279" t="n">
        <v>0</v>
      </c>
      <c r="P279" t="n">
        <v>0</v>
      </c>
      <c r="Q279" t="n">
        <v>0</v>
      </c>
      <c r="R279" s="2" t="inlineStr"/>
    </row>
    <row r="280" ht="15" customHeight="1">
      <c r="A280" t="inlineStr">
        <is>
          <t>A 39723-2021</t>
        </is>
      </c>
      <c r="B280" s="1" t="n">
        <v>44417.47886574074</v>
      </c>
      <c r="C280" s="1" t="n">
        <v>45911</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45911</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45813-2020</t>
        </is>
      </c>
      <c r="B282" s="1" t="n">
        <v>44090.88689814815</v>
      </c>
      <c r="C282" s="1" t="n">
        <v>45911</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45911</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45911</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45911</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45911</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45911</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45911</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45911</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45911</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45911</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45911</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45911</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45911</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45911</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45911</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45911</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45911</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45911</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45911</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45911</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45911</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45911</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45911</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45911</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45911</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49656-2020</t>
        </is>
      </c>
      <c r="B307" s="1" t="n">
        <v>44106</v>
      </c>
      <c r="C307" s="1" t="n">
        <v>45911</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45911</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45911</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45911</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45911</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45911</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70899-2021</t>
        </is>
      </c>
      <c r="B313" s="1" t="n">
        <v>44537</v>
      </c>
      <c r="C313" s="1" t="n">
        <v>45911</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74194-2021</t>
        </is>
      </c>
      <c r="B314" s="1" t="n">
        <v>44558.47333333334</v>
      </c>
      <c r="C314" s="1" t="n">
        <v>45911</v>
      </c>
      <c r="D314" t="inlineStr">
        <is>
          <t>VÄSTERNORRLANDS LÄN</t>
        </is>
      </c>
      <c r="E314" t="inlineStr">
        <is>
          <t>ÅNGE</t>
        </is>
      </c>
      <c r="G314" t="n">
        <v>1.9</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45911</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45911</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45911</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13641-2022</t>
        </is>
      </c>
      <c r="B318" s="1" t="n">
        <v>44648</v>
      </c>
      <c r="C318" s="1" t="n">
        <v>45911</v>
      </c>
      <c r="D318" t="inlineStr">
        <is>
          <t>VÄSTERNORRLANDS LÄN</t>
        </is>
      </c>
      <c r="E318" t="inlineStr">
        <is>
          <t>ÅNGE</t>
        </is>
      </c>
      <c r="G318" t="n">
        <v>4.9</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45911</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45911</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45911</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45911</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45911</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50640-2022</t>
        </is>
      </c>
      <c r="B324" s="1" t="n">
        <v>44866.94734953704</v>
      </c>
      <c r="C324" s="1" t="n">
        <v>45911</v>
      </c>
      <c r="D324" t="inlineStr">
        <is>
          <t>VÄSTERNORRLANDS LÄN</t>
        </is>
      </c>
      <c r="E324" t="inlineStr">
        <is>
          <t>ÅNGE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45911</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45911</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45911</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21189-2021</t>
        </is>
      </c>
      <c r="B328" s="1" t="n">
        <v>44320</v>
      </c>
      <c r="C328" s="1" t="n">
        <v>45911</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45808-2020</t>
        </is>
      </c>
      <c r="B329" s="1" t="n">
        <v>44090</v>
      </c>
      <c r="C329" s="1" t="n">
        <v>45911</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45812-2020</t>
        </is>
      </c>
      <c r="B330" s="1" t="n">
        <v>44090.88556712963</v>
      </c>
      <c r="C330" s="1" t="n">
        <v>45911</v>
      </c>
      <c r="D330" t="inlineStr">
        <is>
          <t>VÄSTERNORRLANDS LÄN</t>
        </is>
      </c>
      <c r="E330" t="inlineStr">
        <is>
          <t>ÅNGE</t>
        </is>
      </c>
      <c r="G330" t="n">
        <v>0.1</v>
      </c>
      <c r="H330" t="n">
        <v>0</v>
      </c>
      <c r="I330" t="n">
        <v>0</v>
      </c>
      <c r="J330" t="n">
        <v>0</v>
      </c>
      <c r="K330" t="n">
        <v>0</v>
      </c>
      <c r="L330" t="n">
        <v>0</v>
      </c>
      <c r="M330" t="n">
        <v>0</v>
      </c>
      <c r="N330" t="n">
        <v>0</v>
      </c>
      <c r="O330" t="n">
        <v>0</v>
      </c>
      <c r="P330" t="n">
        <v>0</v>
      </c>
      <c r="Q330" t="n">
        <v>0</v>
      </c>
      <c r="R330" s="2" t="inlineStr"/>
    </row>
    <row r="331" ht="15" customHeight="1">
      <c r="A331" t="inlineStr">
        <is>
          <t>A 45810-2020</t>
        </is>
      </c>
      <c r="B331" s="1" t="n">
        <v>44090.88427083333</v>
      </c>
      <c r="C331" s="1" t="n">
        <v>45911</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30286-2021</t>
        </is>
      </c>
      <c r="B332" s="1" t="n">
        <v>44363</v>
      </c>
      <c r="C332" s="1" t="n">
        <v>45911</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60064-2020</t>
        </is>
      </c>
      <c r="B333" s="1" t="n">
        <v>44151</v>
      </c>
      <c r="C333" s="1" t="n">
        <v>45911</v>
      </c>
      <c r="D333" t="inlineStr">
        <is>
          <t>VÄSTERNORRLANDS LÄN</t>
        </is>
      </c>
      <c r="E333" t="inlineStr">
        <is>
          <t>ÅNGE</t>
        </is>
      </c>
      <c r="G333" t="n">
        <v>1.8</v>
      </c>
      <c r="H333" t="n">
        <v>0</v>
      </c>
      <c r="I333" t="n">
        <v>0</v>
      </c>
      <c r="J333" t="n">
        <v>0</v>
      </c>
      <c r="K333" t="n">
        <v>0</v>
      </c>
      <c r="L333" t="n">
        <v>0</v>
      </c>
      <c r="M333" t="n">
        <v>0</v>
      </c>
      <c r="N333" t="n">
        <v>0</v>
      </c>
      <c r="O333" t="n">
        <v>0</v>
      </c>
      <c r="P333" t="n">
        <v>0</v>
      </c>
      <c r="Q333" t="n">
        <v>0</v>
      </c>
      <c r="R333" s="2" t="inlineStr"/>
    </row>
    <row r="334" ht="15" customHeight="1">
      <c r="A334" t="inlineStr">
        <is>
          <t>A 48238-2020</t>
        </is>
      </c>
      <c r="B334" s="1" t="n">
        <v>44097</v>
      </c>
      <c r="C334" s="1" t="n">
        <v>45911</v>
      </c>
      <c r="D334" t="inlineStr">
        <is>
          <t>VÄSTERNORRLANDS LÄN</t>
        </is>
      </c>
      <c r="E334" t="inlineStr">
        <is>
          <t>ÅNGE</t>
        </is>
      </c>
      <c r="G334" t="n">
        <v>5.1</v>
      </c>
      <c r="H334" t="n">
        <v>0</v>
      </c>
      <c r="I334" t="n">
        <v>0</v>
      </c>
      <c r="J334" t="n">
        <v>0</v>
      </c>
      <c r="K334" t="n">
        <v>0</v>
      </c>
      <c r="L334" t="n">
        <v>0</v>
      </c>
      <c r="M334" t="n">
        <v>0</v>
      </c>
      <c r="N334" t="n">
        <v>0</v>
      </c>
      <c r="O334" t="n">
        <v>0</v>
      </c>
      <c r="P334" t="n">
        <v>0</v>
      </c>
      <c r="Q334" t="n">
        <v>0</v>
      </c>
      <c r="R334" s="2" t="inlineStr"/>
    </row>
    <row r="335" ht="15" customHeight="1">
      <c r="A335" t="inlineStr">
        <is>
          <t>A 5366-2022</t>
        </is>
      </c>
      <c r="B335" s="1" t="n">
        <v>44594.92107638889</v>
      </c>
      <c r="C335" s="1" t="n">
        <v>45911</v>
      </c>
      <c r="D335" t="inlineStr">
        <is>
          <t>VÄSTERNORRLANDS LÄN</t>
        </is>
      </c>
      <c r="E335" t="inlineStr">
        <is>
          <t>ÅNGE</t>
        </is>
      </c>
      <c r="G335" t="n">
        <v>0.6</v>
      </c>
      <c r="H335" t="n">
        <v>0</v>
      </c>
      <c r="I335" t="n">
        <v>0</v>
      </c>
      <c r="J335" t="n">
        <v>0</v>
      </c>
      <c r="K335" t="n">
        <v>0</v>
      </c>
      <c r="L335" t="n">
        <v>0</v>
      </c>
      <c r="M335" t="n">
        <v>0</v>
      </c>
      <c r="N335" t="n">
        <v>0</v>
      </c>
      <c r="O335" t="n">
        <v>0</v>
      </c>
      <c r="P335" t="n">
        <v>0</v>
      </c>
      <c r="Q335" t="n">
        <v>0</v>
      </c>
      <c r="R335" s="2" t="inlineStr"/>
    </row>
    <row r="336" ht="15" customHeight="1">
      <c r="A336" t="inlineStr">
        <is>
          <t>A 53962-2020</t>
        </is>
      </c>
      <c r="B336" s="1" t="n">
        <v>44125.46759259259</v>
      </c>
      <c r="C336" s="1" t="n">
        <v>45911</v>
      </c>
      <c r="D336" t="inlineStr">
        <is>
          <t>VÄSTERNORRLANDS LÄN</t>
        </is>
      </c>
      <c r="E336" t="inlineStr">
        <is>
          <t>ÅNGE</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35276-2022</t>
        </is>
      </c>
      <c r="B337" s="1" t="n">
        <v>44798</v>
      </c>
      <c r="C337" s="1" t="n">
        <v>45911</v>
      </c>
      <c r="D337" t="inlineStr">
        <is>
          <t>VÄSTERNORRLANDS LÄN</t>
        </is>
      </c>
      <c r="E337" t="inlineStr">
        <is>
          <t>ÅNGE</t>
        </is>
      </c>
      <c r="G337" t="n">
        <v>15.2</v>
      </c>
      <c r="H337" t="n">
        <v>0</v>
      </c>
      <c r="I337" t="n">
        <v>0</v>
      </c>
      <c r="J337" t="n">
        <v>0</v>
      </c>
      <c r="K337" t="n">
        <v>0</v>
      </c>
      <c r="L337" t="n">
        <v>0</v>
      </c>
      <c r="M337" t="n">
        <v>0</v>
      </c>
      <c r="N337" t="n">
        <v>0</v>
      </c>
      <c r="O337" t="n">
        <v>0</v>
      </c>
      <c r="P337" t="n">
        <v>0</v>
      </c>
      <c r="Q337" t="n">
        <v>0</v>
      </c>
      <c r="R337" s="2" t="inlineStr"/>
    </row>
    <row r="338" ht="15" customHeight="1">
      <c r="A338" t="inlineStr">
        <is>
          <t>A 13149-2021</t>
        </is>
      </c>
      <c r="B338" s="1" t="n">
        <v>44272</v>
      </c>
      <c r="C338" s="1" t="n">
        <v>45911</v>
      </c>
      <c r="D338" t="inlineStr">
        <is>
          <t>VÄSTERNORRLANDS LÄN</t>
        </is>
      </c>
      <c r="E338" t="inlineStr">
        <is>
          <t>ÅNGE</t>
        </is>
      </c>
      <c r="G338" t="n">
        <v>3.4</v>
      </c>
      <c r="H338" t="n">
        <v>0</v>
      </c>
      <c r="I338" t="n">
        <v>0</v>
      </c>
      <c r="J338" t="n">
        <v>0</v>
      </c>
      <c r="K338" t="n">
        <v>0</v>
      </c>
      <c r="L338" t="n">
        <v>0</v>
      </c>
      <c r="M338" t="n">
        <v>0</v>
      </c>
      <c r="N338" t="n">
        <v>0</v>
      </c>
      <c r="O338" t="n">
        <v>0</v>
      </c>
      <c r="P338" t="n">
        <v>0</v>
      </c>
      <c r="Q338" t="n">
        <v>0</v>
      </c>
      <c r="R338" s="2" t="inlineStr"/>
    </row>
    <row r="339" ht="15" customHeight="1">
      <c r="A339" t="inlineStr">
        <is>
          <t>A 11098-2022</t>
        </is>
      </c>
      <c r="B339" s="1" t="n">
        <v>44628</v>
      </c>
      <c r="C339" s="1" t="n">
        <v>45911</v>
      </c>
      <c r="D339" t="inlineStr">
        <is>
          <t>VÄSTERNORRLANDS LÄN</t>
        </is>
      </c>
      <c r="E339" t="inlineStr">
        <is>
          <t>ÅNGE</t>
        </is>
      </c>
      <c r="G339" t="n">
        <v>8.9</v>
      </c>
      <c r="H339" t="n">
        <v>0</v>
      </c>
      <c r="I339" t="n">
        <v>0</v>
      </c>
      <c r="J339" t="n">
        <v>0</v>
      </c>
      <c r="K339" t="n">
        <v>0</v>
      </c>
      <c r="L339" t="n">
        <v>0</v>
      </c>
      <c r="M339" t="n">
        <v>0</v>
      </c>
      <c r="N339" t="n">
        <v>0</v>
      </c>
      <c r="O339" t="n">
        <v>0</v>
      </c>
      <c r="P339" t="n">
        <v>0</v>
      </c>
      <c r="Q339" t="n">
        <v>0</v>
      </c>
      <c r="R339" s="2" t="inlineStr"/>
    </row>
    <row r="340" ht="15" customHeight="1">
      <c r="A340" t="inlineStr">
        <is>
          <t>A 65280-2020</t>
        </is>
      </c>
      <c r="B340" s="1" t="n">
        <v>44172</v>
      </c>
      <c r="C340" s="1" t="n">
        <v>45911</v>
      </c>
      <c r="D340" t="inlineStr">
        <is>
          <t>VÄSTERNORRLANDS LÄN</t>
        </is>
      </c>
      <c r="E340" t="inlineStr">
        <is>
          <t>ÅNGE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45911</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45911</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45911</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45911</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48810-2020</t>
        </is>
      </c>
      <c r="B345" s="1" t="n">
        <v>44103</v>
      </c>
      <c r="C345" s="1" t="n">
        <v>45911</v>
      </c>
      <c r="D345" t="inlineStr">
        <is>
          <t>VÄSTERNORRLANDS LÄN</t>
        </is>
      </c>
      <c r="E345" t="inlineStr">
        <is>
          <t>ÅNGE</t>
        </is>
      </c>
      <c r="F345" t="inlineStr">
        <is>
          <t>SCA</t>
        </is>
      </c>
      <c r="G345" t="n">
        <v>1.8</v>
      </c>
      <c r="H345" t="n">
        <v>0</v>
      </c>
      <c r="I345" t="n">
        <v>0</v>
      </c>
      <c r="J345" t="n">
        <v>0</v>
      </c>
      <c r="K345" t="n">
        <v>0</v>
      </c>
      <c r="L345" t="n">
        <v>0</v>
      </c>
      <c r="M345" t="n">
        <v>0</v>
      </c>
      <c r="N345" t="n">
        <v>0</v>
      </c>
      <c r="O345" t="n">
        <v>0</v>
      </c>
      <c r="P345" t="n">
        <v>0</v>
      </c>
      <c r="Q345" t="n">
        <v>0</v>
      </c>
      <c r="R345" s="2" t="inlineStr"/>
      <c r="U345">
        <f>HYPERLINK("https://klasma.github.io/Logging_2260/knärot/A 48810-2020 karta knärot.png", "A 48810-2020")</f>
        <v/>
      </c>
      <c r="V345">
        <f>HYPERLINK("https://klasma.github.io/Logging_2260/klagomål/A 48810-2020 FSC-klagomål.docx", "A 48810-2020")</f>
        <v/>
      </c>
      <c r="W345">
        <f>HYPERLINK("https://klasma.github.io/Logging_2260/klagomålsmail/A 48810-2020 FSC-klagomål mail.docx", "A 48810-2020")</f>
        <v/>
      </c>
      <c r="X345">
        <f>HYPERLINK("https://klasma.github.io/Logging_2260/tillsyn/A 48810-2020 tillsynsbegäran.docx", "A 48810-2020")</f>
        <v/>
      </c>
      <c r="Y345">
        <f>HYPERLINK("https://klasma.github.io/Logging_2260/tillsynsmail/A 48810-2020 tillsynsbegäran mail.docx", "A 48810-2020")</f>
        <v/>
      </c>
    </row>
    <row r="346" ht="15" customHeight="1">
      <c r="A346" t="inlineStr">
        <is>
          <t>A 33274-2022</t>
        </is>
      </c>
      <c r="B346" s="1" t="n">
        <v>44788</v>
      </c>
      <c r="C346" s="1" t="n">
        <v>45911</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51755-2020</t>
        </is>
      </c>
      <c r="B347" s="1" t="n">
        <v>44114</v>
      </c>
      <c r="C347" s="1" t="n">
        <v>45911</v>
      </c>
      <c r="D347" t="inlineStr">
        <is>
          <t>VÄSTERNORRLANDS LÄN</t>
        </is>
      </c>
      <c r="E347" t="inlineStr">
        <is>
          <t>ÅNGE</t>
        </is>
      </c>
      <c r="G347" t="n">
        <v>6.4</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45911</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38369-2021</t>
        </is>
      </c>
      <c r="B349" s="1" t="n">
        <v>44406</v>
      </c>
      <c r="C349" s="1" t="n">
        <v>45911</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45911</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45911</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47411-2020</t>
        </is>
      </c>
      <c r="B352" s="1" t="n">
        <v>44095</v>
      </c>
      <c r="C352" s="1" t="n">
        <v>45911</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45911</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45911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50265-2020</t>
        </is>
      </c>
      <c r="B355" s="1" t="n">
        <v>44109</v>
      </c>
      <c r="C355" s="1" t="n">
        <v>45911</v>
      </c>
      <c r="D355" t="inlineStr">
        <is>
          <t>VÄSTERNORRLANDS LÄN</t>
        </is>
      </c>
      <c r="E355" t="inlineStr">
        <is>
          <t>ÅNGE</t>
        </is>
      </c>
      <c r="G355" t="n">
        <v>1.5</v>
      </c>
      <c r="H355" t="n">
        <v>0</v>
      </c>
      <c r="I355" t="n">
        <v>0</v>
      </c>
      <c r="J355" t="n">
        <v>0</v>
      </c>
      <c r="K355" t="n">
        <v>0</v>
      </c>
      <c r="L355" t="n">
        <v>0</v>
      </c>
      <c r="M355" t="n">
        <v>0</v>
      </c>
      <c r="N355" t="n">
        <v>0</v>
      </c>
      <c r="O355" t="n">
        <v>0</v>
      </c>
      <c r="P355" t="n">
        <v>0</v>
      </c>
      <c r="Q355" t="n">
        <v>0</v>
      </c>
      <c r="R355" s="2" t="inlineStr"/>
    </row>
    <row r="356" ht="15" customHeight="1">
      <c r="A356" t="inlineStr">
        <is>
          <t>A 50268-2020</t>
        </is>
      </c>
      <c r="B356" s="1" t="n">
        <v>44109</v>
      </c>
      <c r="C356" s="1" t="n">
        <v>45911</v>
      </c>
      <c r="D356" t="inlineStr">
        <is>
          <t>VÄSTERNORRLANDS LÄN</t>
        </is>
      </c>
      <c r="E356" t="inlineStr">
        <is>
          <t>ÅNGE</t>
        </is>
      </c>
      <c r="G356" t="n">
        <v>1.3</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45911</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56907-2021</t>
        </is>
      </c>
      <c r="B358" s="1" t="n">
        <v>44481.93837962963</v>
      </c>
      <c r="C358" s="1" t="n">
        <v>45911</v>
      </c>
      <c r="D358" t="inlineStr">
        <is>
          <t>VÄSTERNORRLANDS LÄN</t>
        </is>
      </c>
      <c r="E358" t="inlineStr">
        <is>
          <t>ÅNGE</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12800-2021</t>
        </is>
      </c>
      <c r="B359" s="1" t="n">
        <v>44270.92056712963</v>
      </c>
      <c r="C359" s="1" t="n">
        <v>45911</v>
      </c>
      <c r="D359" t="inlineStr">
        <is>
          <t>VÄSTERNORRLANDS LÄN</t>
        </is>
      </c>
      <c r="E359" t="inlineStr">
        <is>
          <t>ÅNGE</t>
        </is>
      </c>
      <c r="G359" t="n">
        <v>0.6</v>
      </c>
      <c r="H359" t="n">
        <v>0</v>
      </c>
      <c r="I359" t="n">
        <v>0</v>
      </c>
      <c r="J359" t="n">
        <v>0</v>
      </c>
      <c r="K359" t="n">
        <v>0</v>
      </c>
      <c r="L359" t="n">
        <v>0</v>
      </c>
      <c r="M359" t="n">
        <v>0</v>
      </c>
      <c r="N359" t="n">
        <v>0</v>
      </c>
      <c r="O359" t="n">
        <v>0</v>
      </c>
      <c r="P359" t="n">
        <v>0</v>
      </c>
      <c r="Q359" t="n">
        <v>0</v>
      </c>
      <c r="R359" s="2" t="inlineStr"/>
    </row>
    <row r="360" ht="15" customHeight="1">
      <c r="A360" t="inlineStr">
        <is>
          <t>A 18024-2022</t>
        </is>
      </c>
      <c r="B360" s="1" t="n">
        <v>44683.94383101852</v>
      </c>
      <c r="C360" s="1" t="n">
        <v>45911</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45911</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45911</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45911</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53010-2022</t>
        </is>
      </c>
      <c r="B364" s="1" t="n">
        <v>44875</v>
      </c>
      <c r="C364" s="1" t="n">
        <v>45911</v>
      </c>
      <c r="D364" t="inlineStr">
        <is>
          <t>VÄSTERNORRLANDS LÄN</t>
        </is>
      </c>
      <c r="E364" t="inlineStr">
        <is>
          <t>ÅNGE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53664-2022</t>
        </is>
      </c>
      <c r="B365" s="1" t="n">
        <v>44879.95643518519</v>
      </c>
      <c r="C365" s="1" t="n">
        <v>45911</v>
      </c>
      <c r="D365" t="inlineStr">
        <is>
          <t>VÄSTERNORRLANDS LÄN</t>
        </is>
      </c>
      <c r="E365" t="inlineStr">
        <is>
          <t>ÅNGE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35496-2022</t>
        </is>
      </c>
      <c r="B366" s="1" t="n">
        <v>44798</v>
      </c>
      <c r="C366" s="1" t="n">
        <v>45911</v>
      </c>
      <c r="D366" t="inlineStr">
        <is>
          <t>VÄSTERNORRLANDS LÄN</t>
        </is>
      </c>
      <c r="E366" t="inlineStr">
        <is>
          <t>ÅNGE</t>
        </is>
      </c>
      <c r="F366" t="inlineStr">
        <is>
          <t>SCA</t>
        </is>
      </c>
      <c r="G366" t="n">
        <v>15.6</v>
      </c>
      <c r="H366" t="n">
        <v>0</v>
      </c>
      <c r="I366" t="n">
        <v>0</v>
      </c>
      <c r="J366" t="n">
        <v>0</v>
      </c>
      <c r="K366" t="n">
        <v>0</v>
      </c>
      <c r="L366" t="n">
        <v>0</v>
      </c>
      <c r="M366" t="n">
        <v>0</v>
      </c>
      <c r="N366" t="n">
        <v>0</v>
      </c>
      <c r="O366" t="n">
        <v>0</v>
      </c>
      <c r="P366" t="n">
        <v>0</v>
      </c>
      <c r="Q366" t="n">
        <v>0</v>
      </c>
      <c r="R366" s="2" t="inlineStr"/>
    </row>
    <row r="367" ht="15" customHeight="1">
      <c r="A367" t="inlineStr">
        <is>
          <t>A 21642-2021</t>
        </is>
      </c>
      <c r="B367" s="1" t="n">
        <v>44321.94239583334</v>
      </c>
      <c r="C367" s="1" t="n">
        <v>45911</v>
      </c>
      <c r="D367" t="inlineStr">
        <is>
          <t>VÄSTERNORRLANDS LÄN</t>
        </is>
      </c>
      <c r="E367" t="inlineStr">
        <is>
          <t>ÅNGE</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2327-2021</t>
        </is>
      </c>
      <c r="B368" s="1" t="n">
        <v>44214</v>
      </c>
      <c r="C368" s="1" t="n">
        <v>45911</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1297-2022</t>
        </is>
      </c>
      <c r="B369" s="1" t="n">
        <v>44572.69135416667</v>
      </c>
      <c r="C369" s="1" t="n">
        <v>45911</v>
      </c>
      <c r="D369" t="inlineStr">
        <is>
          <t>VÄSTERNORRLANDS LÄN</t>
        </is>
      </c>
      <c r="E369" t="inlineStr">
        <is>
          <t>ÅNGE</t>
        </is>
      </c>
      <c r="G369" t="n">
        <v>2.3</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45911</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10342-2021</t>
        </is>
      </c>
      <c r="B371" s="1" t="n">
        <v>44257</v>
      </c>
      <c r="C371" s="1" t="n">
        <v>45911</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54469-2020</t>
        </is>
      </c>
      <c r="B372" s="1" t="n">
        <v>44126</v>
      </c>
      <c r="C372" s="1" t="n">
        <v>45911</v>
      </c>
      <c r="D372" t="inlineStr">
        <is>
          <t>VÄSTERNORRLANDS LÄN</t>
        </is>
      </c>
      <c r="E372" t="inlineStr">
        <is>
          <t>ÅNGE</t>
        </is>
      </c>
      <c r="G372" t="n">
        <v>4</v>
      </c>
      <c r="H372" t="n">
        <v>0</v>
      </c>
      <c r="I372" t="n">
        <v>0</v>
      </c>
      <c r="J372" t="n">
        <v>0</v>
      </c>
      <c r="K372" t="n">
        <v>0</v>
      </c>
      <c r="L372" t="n">
        <v>0</v>
      </c>
      <c r="M372" t="n">
        <v>0</v>
      </c>
      <c r="N372" t="n">
        <v>0</v>
      </c>
      <c r="O372" t="n">
        <v>0</v>
      </c>
      <c r="P372" t="n">
        <v>0</v>
      </c>
      <c r="Q372" t="n">
        <v>0</v>
      </c>
      <c r="R372" s="2" t="inlineStr"/>
    </row>
    <row r="373" ht="15" customHeight="1">
      <c r="A373" t="inlineStr">
        <is>
          <t>A 52504-2020</t>
        </is>
      </c>
      <c r="B373" s="1" t="n">
        <v>44113</v>
      </c>
      <c r="C373" s="1" t="n">
        <v>45911</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46053-2021</t>
        </is>
      </c>
      <c r="B374" s="1" t="n">
        <v>44441</v>
      </c>
      <c r="C374" s="1" t="n">
        <v>45911</v>
      </c>
      <c r="D374" t="inlineStr">
        <is>
          <t>VÄSTERNORRLANDS LÄN</t>
        </is>
      </c>
      <c r="E374" t="inlineStr">
        <is>
          <t>ÅNGE</t>
        </is>
      </c>
      <c r="F374" t="inlineStr">
        <is>
          <t>SCA</t>
        </is>
      </c>
      <c r="G374" t="n">
        <v>0.2</v>
      </c>
      <c r="H374" t="n">
        <v>0</v>
      </c>
      <c r="I374" t="n">
        <v>0</v>
      </c>
      <c r="J374" t="n">
        <v>0</v>
      </c>
      <c r="K374" t="n">
        <v>0</v>
      </c>
      <c r="L374" t="n">
        <v>0</v>
      </c>
      <c r="M374" t="n">
        <v>0</v>
      </c>
      <c r="N374" t="n">
        <v>0</v>
      </c>
      <c r="O374" t="n">
        <v>0</v>
      </c>
      <c r="P374" t="n">
        <v>0</v>
      </c>
      <c r="Q374" t="n">
        <v>0</v>
      </c>
      <c r="R374" s="2" t="inlineStr"/>
    </row>
    <row r="375" ht="15" customHeight="1">
      <c r="A375" t="inlineStr">
        <is>
          <t>A 18422-2021</t>
        </is>
      </c>
      <c r="B375" s="1" t="n">
        <v>44305</v>
      </c>
      <c r="C375" s="1" t="n">
        <v>45911</v>
      </c>
      <c r="D375" t="inlineStr">
        <is>
          <t>VÄSTERNORRLANDS LÄN</t>
        </is>
      </c>
      <c r="E375" t="inlineStr">
        <is>
          <t>ÅNGE</t>
        </is>
      </c>
      <c r="G375" t="n">
        <v>1.5</v>
      </c>
      <c r="H375" t="n">
        <v>0</v>
      </c>
      <c r="I375" t="n">
        <v>0</v>
      </c>
      <c r="J375" t="n">
        <v>0</v>
      </c>
      <c r="K375" t="n">
        <v>0</v>
      </c>
      <c r="L375" t="n">
        <v>0</v>
      </c>
      <c r="M375" t="n">
        <v>0</v>
      </c>
      <c r="N375" t="n">
        <v>0</v>
      </c>
      <c r="O375" t="n">
        <v>0</v>
      </c>
      <c r="P375" t="n">
        <v>0</v>
      </c>
      <c r="Q375" t="n">
        <v>0</v>
      </c>
      <c r="R375" s="2" t="inlineStr"/>
    </row>
    <row r="376" ht="15" customHeight="1">
      <c r="A376" t="inlineStr">
        <is>
          <t>A 45145-2021</t>
        </is>
      </c>
      <c r="B376" s="1" t="n">
        <v>44439</v>
      </c>
      <c r="C376" s="1" t="n">
        <v>45911</v>
      </c>
      <c r="D376" t="inlineStr">
        <is>
          <t>VÄSTERNORRLANDS LÄN</t>
        </is>
      </c>
      <c r="E376" t="inlineStr">
        <is>
          <t>ÅNGE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55905-2021</t>
        </is>
      </c>
      <c r="B377" s="1" t="n">
        <v>44476.91895833334</v>
      </c>
      <c r="C377" s="1" t="n">
        <v>45911</v>
      </c>
      <c r="D377" t="inlineStr">
        <is>
          <t>VÄSTERNORRLANDS LÄN</t>
        </is>
      </c>
      <c r="E377" t="inlineStr">
        <is>
          <t>ÅNGE</t>
        </is>
      </c>
      <c r="G377" t="n">
        <v>0.9</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45911</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71302-2021</t>
        </is>
      </c>
      <c r="B379" s="1" t="n">
        <v>44539.63871527778</v>
      </c>
      <c r="C379" s="1" t="n">
        <v>45911</v>
      </c>
      <c r="D379" t="inlineStr">
        <is>
          <t>VÄSTERNORRLANDS LÄN</t>
        </is>
      </c>
      <c r="E379" t="inlineStr">
        <is>
          <t>ÅNGE</t>
        </is>
      </c>
      <c r="G379" t="n">
        <v>0.5</v>
      </c>
      <c r="H379" t="n">
        <v>0</v>
      </c>
      <c r="I379" t="n">
        <v>0</v>
      </c>
      <c r="J379" t="n">
        <v>0</v>
      </c>
      <c r="K379" t="n">
        <v>0</v>
      </c>
      <c r="L379" t="n">
        <v>0</v>
      </c>
      <c r="M379" t="n">
        <v>0</v>
      </c>
      <c r="N379" t="n">
        <v>0</v>
      </c>
      <c r="O379" t="n">
        <v>0</v>
      </c>
      <c r="P379" t="n">
        <v>0</v>
      </c>
      <c r="Q379" t="n">
        <v>0</v>
      </c>
      <c r="R379" s="2" t="inlineStr"/>
    </row>
    <row r="380" ht="15" customHeight="1">
      <c r="A380" t="inlineStr">
        <is>
          <t>A 17580-2022</t>
        </is>
      </c>
      <c r="B380" s="1" t="n">
        <v>44679</v>
      </c>
      <c r="C380" s="1" t="n">
        <v>45911</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45911</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20807-2021</t>
        </is>
      </c>
      <c r="B382" s="1" t="n">
        <v>44316.93965277778</v>
      </c>
      <c r="C382" s="1" t="n">
        <v>45911</v>
      </c>
      <c r="D382" t="inlineStr">
        <is>
          <t>VÄSTERNORRLANDS LÄN</t>
        </is>
      </c>
      <c r="E382" t="inlineStr">
        <is>
          <t>ÅNGE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6732-2022</t>
        </is>
      </c>
      <c r="B383" s="1" t="n">
        <v>44602.46072916667</v>
      </c>
      <c r="C383" s="1" t="n">
        <v>45911</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17594-2021</t>
        </is>
      </c>
      <c r="B384" s="1" t="n">
        <v>44299</v>
      </c>
      <c r="C384" s="1" t="n">
        <v>45911</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45911</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45911</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44412-2022</t>
        </is>
      </c>
      <c r="B387" s="1" t="n">
        <v>44839.92626157407</v>
      </c>
      <c r="C387" s="1" t="n">
        <v>45911</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45911</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52232-2020</t>
        </is>
      </c>
      <c r="B389" s="1" t="n">
        <v>44111</v>
      </c>
      <c r="C389" s="1" t="n">
        <v>45911</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45911</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45911</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37605-2021</t>
        </is>
      </c>
      <c r="B392" s="1" t="n">
        <v>44399</v>
      </c>
      <c r="C392" s="1" t="n">
        <v>45911</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37620-2021</t>
        </is>
      </c>
      <c r="B393" s="1" t="n">
        <v>44399</v>
      </c>
      <c r="C393" s="1" t="n">
        <v>45911</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6263-2022</t>
        </is>
      </c>
      <c r="B394" s="1" t="n">
        <v>44600</v>
      </c>
      <c r="C394" s="1" t="n">
        <v>45911</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70893-2021</t>
        </is>
      </c>
      <c r="B395" s="1" t="n">
        <v>44538</v>
      </c>
      <c r="C395" s="1" t="n">
        <v>45911</v>
      </c>
      <c r="D395" t="inlineStr">
        <is>
          <t>VÄSTERNORRLANDS LÄN</t>
        </is>
      </c>
      <c r="E395" t="inlineStr">
        <is>
          <t>ÅNGE</t>
        </is>
      </c>
      <c r="G395" t="n">
        <v>6.2</v>
      </c>
      <c r="H395" t="n">
        <v>0</v>
      </c>
      <c r="I395" t="n">
        <v>0</v>
      </c>
      <c r="J395" t="n">
        <v>0</v>
      </c>
      <c r="K395" t="n">
        <v>0</v>
      </c>
      <c r="L395" t="n">
        <v>0</v>
      </c>
      <c r="M395" t="n">
        <v>0</v>
      </c>
      <c r="N395" t="n">
        <v>0</v>
      </c>
      <c r="O395" t="n">
        <v>0</v>
      </c>
      <c r="P395" t="n">
        <v>0</v>
      </c>
      <c r="Q395" t="n">
        <v>0</v>
      </c>
      <c r="R395" s="2" t="inlineStr"/>
    </row>
    <row r="396" ht="15" customHeight="1">
      <c r="A396" t="inlineStr">
        <is>
          <t>A 27953-2021</t>
        </is>
      </c>
      <c r="B396" s="1" t="n">
        <v>44354.9209375</v>
      </c>
      <c r="C396" s="1" t="n">
        <v>45911</v>
      </c>
      <c r="D396" t="inlineStr">
        <is>
          <t>VÄSTERNORRLANDS LÄN</t>
        </is>
      </c>
      <c r="E396" t="inlineStr">
        <is>
          <t>ÅNGE</t>
        </is>
      </c>
      <c r="G396" t="n">
        <v>2.9</v>
      </c>
      <c r="H396" t="n">
        <v>0</v>
      </c>
      <c r="I396" t="n">
        <v>0</v>
      </c>
      <c r="J396" t="n">
        <v>0</v>
      </c>
      <c r="K396" t="n">
        <v>0</v>
      </c>
      <c r="L396" t="n">
        <v>0</v>
      </c>
      <c r="M396" t="n">
        <v>0</v>
      </c>
      <c r="N396" t="n">
        <v>0</v>
      </c>
      <c r="O396" t="n">
        <v>0</v>
      </c>
      <c r="P396" t="n">
        <v>0</v>
      </c>
      <c r="Q396" t="n">
        <v>0</v>
      </c>
      <c r="R396" s="2" t="inlineStr"/>
    </row>
    <row r="397" ht="15" customHeight="1">
      <c r="A397" t="inlineStr">
        <is>
          <t>A 33408-2021</t>
        </is>
      </c>
      <c r="B397" s="1" t="n">
        <v>44377</v>
      </c>
      <c r="C397" s="1" t="n">
        <v>45911</v>
      </c>
      <c r="D397" t="inlineStr">
        <is>
          <t>VÄSTERNORRLANDS LÄN</t>
        </is>
      </c>
      <c r="E397" t="inlineStr">
        <is>
          <t>ÅNGE</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16978-2024</t>
        </is>
      </c>
      <c r="B398" s="1" t="n">
        <v>45412.02416666667</v>
      </c>
      <c r="C398" s="1" t="n">
        <v>45911</v>
      </c>
      <c r="D398" t="inlineStr">
        <is>
          <t>VÄSTERNORRLANDS LÄN</t>
        </is>
      </c>
      <c r="E398" t="inlineStr">
        <is>
          <t>ÅNGE</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30365-2021</t>
        </is>
      </c>
      <c r="B399" s="1" t="n">
        <v>44364.45164351852</v>
      </c>
      <c r="C399" s="1" t="n">
        <v>45911</v>
      </c>
      <c r="D399" t="inlineStr">
        <is>
          <t>VÄSTERNORRLANDS LÄN</t>
        </is>
      </c>
      <c r="E399" t="inlineStr">
        <is>
          <t>ÅNGE</t>
        </is>
      </c>
      <c r="G399" t="n">
        <v>3.9</v>
      </c>
      <c r="H399" t="n">
        <v>0</v>
      </c>
      <c r="I399" t="n">
        <v>0</v>
      </c>
      <c r="J399" t="n">
        <v>0</v>
      </c>
      <c r="K399" t="n">
        <v>0</v>
      </c>
      <c r="L399" t="n">
        <v>0</v>
      </c>
      <c r="M399" t="n">
        <v>0</v>
      </c>
      <c r="N399" t="n">
        <v>0</v>
      </c>
      <c r="O399" t="n">
        <v>0</v>
      </c>
      <c r="P399" t="n">
        <v>0</v>
      </c>
      <c r="Q399" t="n">
        <v>0</v>
      </c>
      <c r="R399" s="2" t="inlineStr"/>
    </row>
    <row r="400" ht="15" customHeight="1">
      <c r="A400" t="inlineStr">
        <is>
          <t>A 17044-2022</t>
        </is>
      </c>
      <c r="B400" s="1" t="n">
        <v>44676</v>
      </c>
      <c r="C400" s="1" t="n">
        <v>45911</v>
      </c>
      <c r="D400" t="inlineStr">
        <is>
          <t>VÄSTERNORRLANDS LÄN</t>
        </is>
      </c>
      <c r="E400" t="inlineStr">
        <is>
          <t>ÅNGE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22680-2024</t>
        </is>
      </c>
      <c r="B401" s="1" t="n">
        <v>45447.94548611111</v>
      </c>
      <c r="C401" s="1" t="n">
        <v>45911</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53549-2023</t>
        </is>
      </c>
      <c r="B402" s="1" t="n">
        <v>45230</v>
      </c>
      <c r="C402" s="1" t="n">
        <v>45911</v>
      </c>
      <c r="D402" t="inlineStr">
        <is>
          <t>VÄSTERNORRLANDS LÄN</t>
        </is>
      </c>
      <c r="E402" t="inlineStr">
        <is>
          <t>ÅNGE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23035-2024</t>
        </is>
      </c>
      <c r="B403" s="1" t="n">
        <v>45450.39016203704</v>
      </c>
      <c r="C403" s="1" t="n">
        <v>45911</v>
      </c>
      <c r="D403" t="inlineStr">
        <is>
          <t>VÄSTERNORRLANDS LÄN</t>
        </is>
      </c>
      <c r="E403" t="inlineStr">
        <is>
          <t>ÅNGE</t>
        </is>
      </c>
      <c r="G403" t="n">
        <v>12.1</v>
      </c>
      <c r="H403" t="n">
        <v>0</v>
      </c>
      <c r="I403" t="n">
        <v>0</v>
      </c>
      <c r="J403" t="n">
        <v>0</v>
      </c>
      <c r="K403" t="n">
        <v>0</v>
      </c>
      <c r="L403" t="n">
        <v>0</v>
      </c>
      <c r="M403" t="n">
        <v>0</v>
      </c>
      <c r="N403" t="n">
        <v>0</v>
      </c>
      <c r="O403" t="n">
        <v>0</v>
      </c>
      <c r="P403" t="n">
        <v>0</v>
      </c>
      <c r="Q403" t="n">
        <v>0</v>
      </c>
      <c r="R403" s="2" t="inlineStr"/>
    </row>
    <row r="404" ht="15" customHeight="1">
      <c r="A404" t="inlineStr">
        <is>
          <t>A 23063-2024</t>
        </is>
      </c>
      <c r="B404" s="1" t="n">
        <v>45450.44278935185</v>
      </c>
      <c r="C404" s="1" t="n">
        <v>45911</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20369-2022</t>
        </is>
      </c>
      <c r="B405" s="1" t="n">
        <v>44699.41140046297</v>
      </c>
      <c r="C405" s="1" t="n">
        <v>45911</v>
      </c>
      <c r="D405" t="inlineStr">
        <is>
          <t>VÄSTERNORRLANDS LÄN</t>
        </is>
      </c>
      <c r="E405" t="inlineStr">
        <is>
          <t>ÅNGE</t>
        </is>
      </c>
      <c r="G405" t="n">
        <v>5.5</v>
      </c>
      <c r="H405" t="n">
        <v>0</v>
      </c>
      <c r="I405" t="n">
        <v>0</v>
      </c>
      <c r="J405" t="n">
        <v>0</v>
      </c>
      <c r="K405" t="n">
        <v>0</v>
      </c>
      <c r="L405" t="n">
        <v>0</v>
      </c>
      <c r="M405" t="n">
        <v>0</v>
      </c>
      <c r="N405" t="n">
        <v>0</v>
      </c>
      <c r="O405" t="n">
        <v>0</v>
      </c>
      <c r="P405" t="n">
        <v>0</v>
      </c>
      <c r="Q405" t="n">
        <v>0</v>
      </c>
      <c r="R405" s="2" t="inlineStr"/>
    </row>
    <row r="406" ht="15" customHeight="1">
      <c r="A406" t="inlineStr">
        <is>
          <t>A 31325-2022</t>
        </is>
      </c>
      <c r="B406" s="1" t="n">
        <v>44774.41421296296</v>
      </c>
      <c r="C406" s="1" t="n">
        <v>45911</v>
      </c>
      <c r="D406" t="inlineStr">
        <is>
          <t>VÄSTERNORRLANDS LÄN</t>
        </is>
      </c>
      <c r="E406" t="inlineStr">
        <is>
          <t>ÅNGE</t>
        </is>
      </c>
      <c r="G406" t="n">
        <v>6.3</v>
      </c>
      <c r="H406" t="n">
        <v>0</v>
      </c>
      <c r="I406" t="n">
        <v>0</v>
      </c>
      <c r="J406" t="n">
        <v>0</v>
      </c>
      <c r="K406" t="n">
        <v>0</v>
      </c>
      <c r="L406" t="n">
        <v>0</v>
      </c>
      <c r="M406" t="n">
        <v>0</v>
      </c>
      <c r="N406" t="n">
        <v>0</v>
      </c>
      <c r="O406" t="n">
        <v>0</v>
      </c>
      <c r="P406" t="n">
        <v>0</v>
      </c>
      <c r="Q406" t="n">
        <v>0</v>
      </c>
      <c r="R406" s="2" t="inlineStr"/>
    </row>
    <row r="407" ht="15" customHeight="1">
      <c r="A407" t="inlineStr">
        <is>
          <t>A 5113-2022</t>
        </is>
      </c>
      <c r="B407" s="1" t="n">
        <v>44593.93362268519</v>
      </c>
      <c r="C407" s="1" t="n">
        <v>45911</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31668-2021</t>
        </is>
      </c>
      <c r="B408" s="1" t="n">
        <v>44369</v>
      </c>
      <c r="C408" s="1" t="n">
        <v>45911</v>
      </c>
      <c r="D408" t="inlineStr">
        <is>
          <t>VÄSTERNORRLANDS LÄN</t>
        </is>
      </c>
      <c r="E408" t="inlineStr">
        <is>
          <t>ÅNGE</t>
        </is>
      </c>
      <c r="F408" t="inlineStr">
        <is>
          <t>Kyrkan</t>
        </is>
      </c>
      <c r="G408" t="n">
        <v>3.6</v>
      </c>
      <c r="H408" t="n">
        <v>0</v>
      </c>
      <c r="I408" t="n">
        <v>0</v>
      </c>
      <c r="J408" t="n">
        <v>0</v>
      </c>
      <c r="K408" t="n">
        <v>0</v>
      </c>
      <c r="L408" t="n">
        <v>0</v>
      </c>
      <c r="M408" t="n">
        <v>0</v>
      </c>
      <c r="N408" t="n">
        <v>0</v>
      </c>
      <c r="O408" t="n">
        <v>0</v>
      </c>
      <c r="P408" t="n">
        <v>0</v>
      </c>
      <c r="Q408" t="n">
        <v>0</v>
      </c>
      <c r="R408" s="2" t="inlineStr"/>
    </row>
    <row r="409" ht="15" customHeight="1">
      <c r="A409" t="inlineStr">
        <is>
          <t>A 32328-2021</t>
        </is>
      </c>
      <c r="B409" s="1" t="n">
        <v>44371.55924768518</v>
      </c>
      <c r="C409" s="1" t="n">
        <v>45911</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10087-2023</t>
        </is>
      </c>
      <c r="B410" s="1" t="n">
        <v>44985</v>
      </c>
      <c r="C410" s="1" t="n">
        <v>45911</v>
      </c>
      <c r="D410" t="inlineStr">
        <is>
          <t>VÄSTERNORRLANDS LÄN</t>
        </is>
      </c>
      <c r="E410" t="inlineStr">
        <is>
          <t>ÅNGE</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27682-2023</t>
        </is>
      </c>
      <c r="B411" s="1" t="n">
        <v>45097.93758101852</v>
      </c>
      <c r="C411" s="1" t="n">
        <v>45911</v>
      </c>
      <c r="D411" t="inlineStr">
        <is>
          <t>VÄSTERNORRLANDS LÄN</t>
        </is>
      </c>
      <c r="E411" t="inlineStr">
        <is>
          <t>ÅNGE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51810-2023</t>
        </is>
      </c>
      <c r="B412" s="1" t="n">
        <v>45222.96583333334</v>
      </c>
      <c r="C412" s="1" t="n">
        <v>45911</v>
      </c>
      <c r="D412" t="inlineStr">
        <is>
          <t>VÄSTERNORRLANDS LÄN</t>
        </is>
      </c>
      <c r="E412" t="inlineStr">
        <is>
          <t>ÅNGE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12581-2024</t>
        </is>
      </c>
      <c r="B413" s="1" t="n">
        <v>45379</v>
      </c>
      <c r="C413" s="1" t="n">
        <v>45911</v>
      </c>
      <c r="D413" t="inlineStr">
        <is>
          <t>VÄSTERNORRLANDS LÄN</t>
        </is>
      </c>
      <c r="E413" t="inlineStr">
        <is>
          <t>ÅNGE</t>
        </is>
      </c>
      <c r="G413" t="n">
        <v>1.7</v>
      </c>
      <c r="H413" t="n">
        <v>0</v>
      </c>
      <c r="I413" t="n">
        <v>0</v>
      </c>
      <c r="J413" t="n">
        <v>0</v>
      </c>
      <c r="K413" t="n">
        <v>0</v>
      </c>
      <c r="L413" t="n">
        <v>0</v>
      </c>
      <c r="M413" t="n">
        <v>0</v>
      </c>
      <c r="N413" t="n">
        <v>0</v>
      </c>
      <c r="O413" t="n">
        <v>0</v>
      </c>
      <c r="P413" t="n">
        <v>0</v>
      </c>
      <c r="Q413" t="n">
        <v>0</v>
      </c>
      <c r="R413" s="2" t="inlineStr"/>
    </row>
    <row r="414" ht="15" customHeight="1">
      <c r="A414" t="inlineStr">
        <is>
          <t>A 38795-2023</t>
        </is>
      </c>
      <c r="B414" s="1" t="n">
        <v>45162</v>
      </c>
      <c r="C414" s="1" t="n">
        <v>45911</v>
      </c>
      <c r="D414" t="inlineStr">
        <is>
          <t>VÄSTERNORRLANDS LÄN</t>
        </is>
      </c>
      <c r="E414" t="inlineStr">
        <is>
          <t>ÅNGE</t>
        </is>
      </c>
      <c r="G414" t="n">
        <v>0.7</v>
      </c>
      <c r="H414" t="n">
        <v>0</v>
      </c>
      <c r="I414" t="n">
        <v>0</v>
      </c>
      <c r="J414" t="n">
        <v>0</v>
      </c>
      <c r="K414" t="n">
        <v>0</v>
      </c>
      <c r="L414" t="n">
        <v>0</v>
      </c>
      <c r="M414" t="n">
        <v>0</v>
      </c>
      <c r="N414" t="n">
        <v>0</v>
      </c>
      <c r="O414" t="n">
        <v>0</v>
      </c>
      <c r="P414" t="n">
        <v>0</v>
      </c>
      <c r="Q414" t="n">
        <v>0</v>
      </c>
      <c r="R414" s="2" t="inlineStr"/>
    </row>
    <row r="415" ht="15" customHeight="1">
      <c r="A415" t="inlineStr">
        <is>
          <t>A 35979-2023</t>
        </is>
      </c>
      <c r="B415" s="1" t="n">
        <v>45148</v>
      </c>
      <c r="C415" s="1" t="n">
        <v>45911</v>
      </c>
      <c r="D415" t="inlineStr">
        <is>
          <t>VÄSTERNORRLANDS LÄN</t>
        </is>
      </c>
      <c r="E415" t="inlineStr">
        <is>
          <t>ÅNGE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25023-2022</t>
        </is>
      </c>
      <c r="B416" s="1" t="n">
        <v>44728</v>
      </c>
      <c r="C416" s="1" t="n">
        <v>45911</v>
      </c>
      <c r="D416" t="inlineStr">
        <is>
          <t>VÄSTERNORRLANDS LÄN</t>
        </is>
      </c>
      <c r="E416" t="inlineStr">
        <is>
          <t>ÅNGE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35582-2024</t>
        </is>
      </c>
      <c r="B417" s="1" t="n">
        <v>45531.64800925926</v>
      </c>
      <c r="C417" s="1" t="n">
        <v>45911</v>
      </c>
      <c r="D417" t="inlineStr">
        <is>
          <t>VÄSTERNORRLANDS LÄN</t>
        </is>
      </c>
      <c r="E417" t="inlineStr">
        <is>
          <t>ÅNGE</t>
        </is>
      </c>
      <c r="G417" t="n">
        <v>4.1</v>
      </c>
      <c r="H417" t="n">
        <v>0</v>
      </c>
      <c r="I417" t="n">
        <v>0</v>
      </c>
      <c r="J417" t="n">
        <v>0</v>
      </c>
      <c r="K417" t="n">
        <v>0</v>
      </c>
      <c r="L417" t="n">
        <v>0</v>
      </c>
      <c r="M417" t="n">
        <v>0</v>
      </c>
      <c r="N417" t="n">
        <v>0</v>
      </c>
      <c r="O417" t="n">
        <v>0</v>
      </c>
      <c r="P417" t="n">
        <v>0</v>
      </c>
      <c r="Q417" t="n">
        <v>0</v>
      </c>
      <c r="R417" s="2" t="inlineStr"/>
    </row>
    <row r="418" ht="15" customHeight="1">
      <c r="A418" t="inlineStr">
        <is>
          <t>A 36466-2024</t>
        </is>
      </c>
      <c r="B418" s="1" t="n">
        <v>45537.35872685185</v>
      </c>
      <c r="C418" s="1" t="n">
        <v>45911</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52785-2024</t>
        </is>
      </c>
      <c r="B419" s="1" t="n">
        <v>45610.55273148148</v>
      </c>
      <c r="C419" s="1" t="n">
        <v>45911</v>
      </c>
      <c r="D419" t="inlineStr">
        <is>
          <t>VÄSTERNORRLANDS LÄN</t>
        </is>
      </c>
      <c r="E419" t="inlineStr">
        <is>
          <t>ÅNGE</t>
        </is>
      </c>
      <c r="F419" t="inlineStr">
        <is>
          <t>SCA</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52786-2024</t>
        </is>
      </c>
      <c r="B420" s="1" t="n">
        <v>45610.55283564814</v>
      </c>
      <c r="C420" s="1" t="n">
        <v>45911</v>
      </c>
      <c r="D420" t="inlineStr">
        <is>
          <t>VÄSTERNORRLANDS LÄN</t>
        </is>
      </c>
      <c r="E420" t="inlineStr">
        <is>
          <t>ÅNGE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24231-2024</t>
        </is>
      </c>
      <c r="B421" s="1" t="n">
        <v>45457.34393518518</v>
      </c>
      <c r="C421" s="1" t="n">
        <v>45911</v>
      </c>
      <c r="D421" t="inlineStr">
        <is>
          <t>VÄSTERNORRLANDS LÄN</t>
        </is>
      </c>
      <c r="E421" t="inlineStr">
        <is>
          <t>ÅNGE</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20880-2025</t>
        </is>
      </c>
      <c r="B422" s="1" t="n">
        <v>45777</v>
      </c>
      <c r="C422" s="1" t="n">
        <v>45911</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31696-2022</t>
        </is>
      </c>
      <c r="B423" s="1" t="n">
        <v>44776</v>
      </c>
      <c r="C423" s="1" t="n">
        <v>45911</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58634-2023</t>
        </is>
      </c>
      <c r="B424" s="1" t="n">
        <v>45251</v>
      </c>
      <c r="C424" s="1" t="n">
        <v>45911</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13773-2024</t>
        </is>
      </c>
      <c r="B425" s="1" t="n">
        <v>45390.95297453704</v>
      </c>
      <c r="C425" s="1" t="n">
        <v>45911</v>
      </c>
      <c r="D425" t="inlineStr">
        <is>
          <t>VÄSTERNORRLANDS LÄN</t>
        </is>
      </c>
      <c r="E425" t="inlineStr">
        <is>
          <t>ÅNGE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48787-2024</t>
        </is>
      </c>
      <c r="B426" s="1" t="n">
        <v>45593.63888888889</v>
      </c>
      <c r="C426" s="1" t="n">
        <v>45911</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58939-2021</t>
        </is>
      </c>
      <c r="B427" s="1" t="n">
        <v>44489</v>
      </c>
      <c r="C427" s="1" t="n">
        <v>45911</v>
      </c>
      <c r="D427" t="inlineStr">
        <is>
          <t>VÄSTERNORRLANDS LÄN</t>
        </is>
      </c>
      <c r="E427" t="inlineStr">
        <is>
          <t>ÅNGE</t>
        </is>
      </c>
      <c r="G427" t="n">
        <v>2.5</v>
      </c>
      <c r="H427" t="n">
        <v>0</v>
      </c>
      <c r="I427" t="n">
        <v>0</v>
      </c>
      <c r="J427" t="n">
        <v>0</v>
      </c>
      <c r="K427" t="n">
        <v>0</v>
      </c>
      <c r="L427" t="n">
        <v>0</v>
      </c>
      <c r="M427" t="n">
        <v>0</v>
      </c>
      <c r="N427" t="n">
        <v>0</v>
      </c>
      <c r="O427" t="n">
        <v>0</v>
      </c>
      <c r="P427" t="n">
        <v>0</v>
      </c>
      <c r="Q427" t="n">
        <v>0</v>
      </c>
      <c r="R427" s="2" t="inlineStr"/>
    </row>
    <row r="428" ht="15" customHeight="1">
      <c r="A428" t="inlineStr">
        <is>
          <t>A 15369-2024</t>
        </is>
      </c>
      <c r="B428" s="1" t="n">
        <v>45400.92290509259</v>
      </c>
      <c r="C428" s="1" t="n">
        <v>45911</v>
      </c>
      <c r="D428" t="inlineStr">
        <is>
          <t>VÄSTERNORRLANDS LÄN</t>
        </is>
      </c>
      <c r="E428" t="inlineStr">
        <is>
          <t>ÅNGE</t>
        </is>
      </c>
      <c r="G428" t="n">
        <v>0.4</v>
      </c>
      <c r="H428" t="n">
        <v>0</v>
      </c>
      <c r="I428" t="n">
        <v>0</v>
      </c>
      <c r="J428" t="n">
        <v>0</v>
      </c>
      <c r="K428" t="n">
        <v>0</v>
      </c>
      <c r="L428" t="n">
        <v>0</v>
      </c>
      <c r="M428" t="n">
        <v>0</v>
      </c>
      <c r="N428" t="n">
        <v>0</v>
      </c>
      <c r="O428" t="n">
        <v>0</v>
      </c>
      <c r="P428" t="n">
        <v>0</v>
      </c>
      <c r="Q428" t="n">
        <v>0</v>
      </c>
      <c r="R428" s="2" t="inlineStr"/>
    </row>
    <row r="429" ht="15" customHeight="1">
      <c r="A429" t="inlineStr">
        <is>
          <t>A 22219-2025</t>
        </is>
      </c>
      <c r="B429" s="1" t="n">
        <v>45785.65849537037</v>
      </c>
      <c r="C429" s="1" t="n">
        <v>45911</v>
      </c>
      <c r="D429" t="inlineStr">
        <is>
          <t>VÄSTERNORRLANDS LÄN</t>
        </is>
      </c>
      <c r="E429" t="inlineStr">
        <is>
          <t>ÅNGE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22206-2025</t>
        </is>
      </c>
      <c r="B430" s="1" t="n">
        <v>45785.65699074074</v>
      </c>
      <c r="C430" s="1" t="n">
        <v>45911</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42969-2024</t>
        </is>
      </c>
      <c r="B431" s="1" t="n">
        <v>45567.37300925926</v>
      </c>
      <c r="C431" s="1" t="n">
        <v>45911</v>
      </c>
      <c r="D431" t="inlineStr">
        <is>
          <t>VÄSTERNORRLANDS LÄN</t>
        </is>
      </c>
      <c r="E431" t="inlineStr">
        <is>
          <t>ÅNGE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52683-2024</t>
        </is>
      </c>
      <c r="B432" s="1" t="n">
        <v>45610</v>
      </c>
      <c r="C432" s="1" t="n">
        <v>45911</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37558-2023</t>
        </is>
      </c>
      <c r="B433" s="1" t="n">
        <v>45159.34511574074</v>
      </c>
      <c r="C433" s="1" t="n">
        <v>45911</v>
      </c>
      <c r="D433" t="inlineStr">
        <is>
          <t>VÄSTERNORRLANDS LÄN</t>
        </is>
      </c>
      <c r="E433" t="inlineStr">
        <is>
          <t>ÅNGE</t>
        </is>
      </c>
      <c r="F433" t="inlineStr">
        <is>
          <t>Kyrkan</t>
        </is>
      </c>
      <c r="G433" t="n">
        <v>5.6</v>
      </c>
      <c r="H433" t="n">
        <v>0</v>
      </c>
      <c r="I433" t="n">
        <v>0</v>
      </c>
      <c r="J433" t="n">
        <v>0</v>
      </c>
      <c r="K433" t="n">
        <v>0</v>
      </c>
      <c r="L433" t="n">
        <v>0</v>
      </c>
      <c r="M433" t="n">
        <v>0</v>
      </c>
      <c r="N433" t="n">
        <v>0</v>
      </c>
      <c r="O433" t="n">
        <v>0</v>
      </c>
      <c r="P433" t="n">
        <v>0</v>
      </c>
      <c r="Q433" t="n">
        <v>0</v>
      </c>
      <c r="R433" s="2" t="inlineStr"/>
    </row>
    <row r="434" ht="15" customHeight="1">
      <c r="A434" t="inlineStr">
        <is>
          <t>A 34852-2023</t>
        </is>
      </c>
      <c r="B434" s="1" t="n">
        <v>45141</v>
      </c>
      <c r="C434" s="1" t="n">
        <v>45911</v>
      </c>
      <c r="D434" t="inlineStr">
        <is>
          <t>VÄSTERNORRLANDS LÄN</t>
        </is>
      </c>
      <c r="E434" t="inlineStr">
        <is>
          <t>ÅNGE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9605-2025</t>
        </is>
      </c>
      <c r="B435" s="1" t="n">
        <v>45715.65657407408</v>
      </c>
      <c r="C435" s="1" t="n">
        <v>45911</v>
      </c>
      <c r="D435" t="inlineStr">
        <is>
          <t>VÄSTERNORRLANDS LÄN</t>
        </is>
      </c>
      <c r="E435" t="inlineStr">
        <is>
          <t>ÅNGE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9567-2024</t>
        </is>
      </c>
      <c r="B436" s="1" t="n">
        <v>45360.03635416667</v>
      </c>
      <c r="C436" s="1" t="n">
        <v>45911</v>
      </c>
      <c r="D436" t="inlineStr">
        <is>
          <t>VÄSTERNORRLANDS LÄN</t>
        </is>
      </c>
      <c r="E436" t="inlineStr">
        <is>
          <t>ÅNGE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19798-2025</t>
        </is>
      </c>
      <c r="B437" s="1" t="n">
        <v>45771.44824074074</v>
      </c>
      <c r="C437" s="1" t="n">
        <v>45911</v>
      </c>
      <c r="D437" t="inlineStr">
        <is>
          <t>VÄSTERNORRLANDS LÄN</t>
        </is>
      </c>
      <c r="E437" t="inlineStr">
        <is>
          <t>ÅNGE</t>
        </is>
      </c>
      <c r="F437" t="inlineStr">
        <is>
          <t>SCA</t>
        </is>
      </c>
      <c r="G437" t="n">
        <v>4.8</v>
      </c>
      <c r="H437" t="n">
        <v>0</v>
      </c>
      <c r="I437" t="n">
        <v>0</v>
      </c>
      <c r="J437" t="n">
        <v>0</v>
      </c>
      <c r="K437" t="n">
        <v>0</v>
      </c>
      <c r="L437" t="n">
        <v>0</v>
      </c>
      <c r="M437" t="n">
        <v>0</v>
      </c>
      <c r="N437" t="n">
        <v>0</v>
      </c>
      <c r="O437" t="n">
        <v>0</v>
      </c>
      <c r="P437" t="n">
        <v>0</v>
      </c>
      <c r="Q437" t="n">
        <v>0</v>
      </c>
      <c r="R437" s="2" t="inlineStr"/>
    </row>
    <row r="438" ht="15" customHeight="1">
      <c r="A438" t="inlineStr">
        <is>
          <t>A 20108-2025</t>
        </is>
      </c>
      <c r="B438" s="1" t="n">
        <v>45772.47006944445</v>
      </c>
      <c r="C438" s="1" t="n">
        <v>45911</v>
      </c>
      <c r="D438" t="inlineStr">
        <is>
          <t>VÄSTERNORRLANDS LÄN</t>
        </is>
      </c>
      <c r="E438" t="inlineStr">
        <is>
          <t>ÅNGE</t>
        </is>
      </c>
      <c r="F438" t="inlineStr">
        <is>
          <t>Naturvårdsverket</t>
        </is>
      </c>
      <c r="G438" t="n">
        <v>2</v>
      </c>
      <c r="H438" t="n">
        <v>0</v>
      </c>
      <c r="I438" t="n">
        <v>0</v>
      </c>
      <c r="J438" t="n">
        <v>0</v>
      </c>
      <c r="K438" t="n">
        <v>0</v>
      </c>
      <c r="L438" t="n">
        <v>0</v>
      </c>
      <c r="M438" t="n">
        <v>0</v>
      </c>
      <c r="N438" t="n">
        <v>0</v>
      </c>
      <c r="O438" t="n">
        <v>0</v>
      </c>
      <c r="P438" t="n">
        <v>0</v>
      </c>
      <c r="Q438" t="n">
        <v>0</v>
      </c>
      <c r="R438" s="2" t="inlineStr"/>
    </row>
    <row r="439" ht="15" customHeight="1">
      <c r="A439" t="inlineStr">
        <is>
          <t>A 26640-2024</t>
        </is>
      </c>
      <c r="B439" s="1" t="n">
        <v>45469.92831018518</v>
      </c>
      <c r="C439" s="1" t="n">
        <v>45911</v>
      </c>
      <c r="D439" t="inlineStr">
        <is>
          <t>VÄSTERNORRLANDS LÄN</t>
        </is>
      </c>
      <c r="E439" t="inlineStr">
        <is>
          <t>ÅNGE</t>
        </is>
      </c>
      <c r="G439" t="n">
        <v>9.9</v>
      </c>
      <c r="H439" t="n">
        <v>0</v>
      </c>
      <c r="I439" t="n">
        <v>0</v>
      </c>
      <c r="J439" t="n">
        <v>0</v>
      </c>
      <c r="K439" t="n">
        <v>0</v>
      </c>
      <c r="L439" t="n">
        <v>0</v>
      </c>
      <c r="M439" t="n">
        <v>0</v>
      </c>
      <c r="N439" t="n">
        <v>0</v>
      </c>
      <c r="O439" t="n">
        <v>0</v>
      </c>
      <c r="P439" t="n">
        <v>0</v>
      </c>
      <c r="Q439" t="n">
        <v>0</v>
      </c>
      <c r="R439" s="2" t="inlineStr"/>
    </row>
    <row r="440" ht="15" customHeight="1">
      <c r="A440" t="inlineStr">
        <is>
          <t>A 6610-2025</t>
        </is>
      </c>
      <c r="B440" s="1" t="n">
        <v>45700</v>
      </c>
      <c r="C440" s="1" t="n">
        <v>45911</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51311-2022</t>
        </is>
      </c>
      <c r="B441" s="1" t="n">
        <v>44868</v>
      </c>
      <c r="C441" s="1" t="n">
        <v>45911</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33428-2023</t>
        </is>
      </c>
      <c r="B442" s="1" t="n">
        <v>45128.94976851852</v>
      </c>
      <c r="C442" s="1" t="n">
        <v>45911</v>
      </c>
      <c r="D442" t="inlineStr">
        <is>
          <t>VÄSTERNORRLANDS LÄN</t>
        </is>
      </c>
      <c r="E442" t="inlineStr">
        <is>
          <t>ÅNGE</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10558-2023</t>
        </is>
      </c>
      <c r="B443" s="1" t="n">
        <v>44987.94438657408</v>
      </c>
      <c r="C443" s="1" t="n">
        <v>45911</v>
      </c>
      <c r="D443" t="inlineStr">
        <is>
          <t>VÄSTERNORRLANDS LÄN</t>
        </is>
      </c>
      <c r="E443" t="inlineStr">
        <is>
          <t>ÅNGE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49487-2024</t>
        </is>
      </c>
      <c r="B444" s="1" t="n">
        <v>45596.35813657408</v>
      </c>
      <c r="C444" s="1" t="n">
        <v>45911</v>
      </c>
      <c r="D444" t="inlineStr">
        <is>
          <t>VÄSTERNORRLANDS LÄN</t>
        </is>
      </c>
      <c r="E444" t="inlineStr">
        <is>
          <t>ÅNGE</t>
        </is>
      </c>
      <c r="G444" t="n">
        <v>4.3</v>
      </c>
      <c r="H444" t="n">
        <v>0</v>
      </c>
      <c r="I444" t="n">
        <v>0</v>
      </c>
      <c r="J444" t="n">
        <v>0</v>
      </c>
      <c r="K444" t="n">
        <v>0</v>
      </c>
      <c r="L444" t="n">
        <v>0</v>
      </c>
      <c r="M444" t="n">
        <v>0</v>
      </c>
      <c r="N444" t="n">
        <v>0</v>
      </c>
      <c r="O444" t="n">
        <v>0</v>
      </c>
      <c r="P444" t="n">
        <v>0</v>
      </c>
      <c r="Q444" t="n">
        <v>0</v>
      </c>
      <c r="R444" s="2" t="inlineStr"/>
    </row>
    <row r="445" ht="15" customHeight="1">
      <c r="A445" t="inlineStr">
        <is>
          <t>A 44606-2024</t>
        </is>
      </c>
      <c r="B445" s="1" t="n">
        <v>45574.51195601852</v>
      </c>
      <c r="C445" s="1" t="n">
        <v>45911</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44626-2024</t>
        </is>
      </c>
      <c r="B446" s="1" t="n">
        <v>45574.51378472222</v>
      </c>
      <c r="C446" s="1" t="n">
        <v>45911</v>
      </c>
      <c r="D446" t="inlineStr">
        <is>
          <t>VÄSTERNORRLANDS LÄN</t>
        </is>
      </c>
      <c r="E446" t="inlineStr">
        <is>
          <t>ÅNGE</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22489-2025</t>
        </is>
      </c>
      <c r="B447" s="1" t="n">
        <v>45786.64946759259</v>
      </c>
      <c r="C447" s="1" t="n">
        <v>45911</v>
      </c>
      <c r="D447" t="inlineStr">
        <is>
          <t>VÄSTERNORRLANDS LÄN</t>
        </is>
      </c>
      <c r="E447" t="inlineStr">
        <is>
          <t>ÅNGE</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16853-2023</t>
        </is>
      </c>
      <c r="B448" s="1" t="n">
        <v>45033</v>
      </c>
      <c r="C448" s="1" t="n">
        <v>45911</v>
      </c>
      <c r="D448" t="inlineStr">
        <is>
          <t>VÄSTERNORRLANDS LÄN</t>
        </is>
      </c>
      <c r="E448" t="inlineStr">
        <is>
          <t>ÅNGE</t>
        </is>
      </c>
      <c r="G448" t="n">
        <v>0.7</v>
      </c>
      <c r="H448" t="n">
        <v>0</v>
      </c>
      <c r="I448" t="n">
        <v>0</v>
      </c>
      <c r="J448" t="n">
        <v>0</v>
      </c>
      <c r="K448" t="n">
        <v>0</v>
      </c>
      <c r="L448" t="n">
        <v>0</v>
      </c>
      <c r="M448" t="n">
        <v>0</v>
      </c>
      <c r="N448" t="n">
        <v>0</v>
      </c>
      <c r="O448" t="n">
        <v>0</v>
      </c>
      <c r="P448" t="n">
        <v>0</v>
      </c>
      <c r="Q448" t="n">
        <v>0</v>
      </c>
      <c r="R448" s="2" t="inlineStr"/>
    </row>
    <row r="449" ht="15" customHeight="1">
      <c r="A449" t="inlineStr">
        <is>
          <t>A 34815-2024</t>
        </is>
      </c>
      <c r="B449" s="1" t="n">
        <v>45526.70732638889</v>
      </c>
      <c r="C449" s="1" t="n">
        <v>45911</v>
      </c>
      <c r="D449" t="inlineStr">
        <is>
          <t>VÄSTERNORRLANDS LÄN</t>
        </is>
      </c>
      <c r="E449" t="inlineStr">
        <is>
          <t>ÅNGE</t>
        </is>
      </c>
      <c r="G449" t="n">
        <v>1.3</v>
      </c>
      <c r="H449" t="n">
        <v>0</v>
      </c>
      <c r="I449" t="n">
        <v>0</v>
      </c>
      <c r="J449" t="n">
        <v>0</v>
      </c>
      <c r="K449" t="n">
        <v>0</v>
      </c>
      <c r="L449" t="n">
        <v>0</v>
      </c>
      <c r="M449" t="n">
        <v>0</v>
      </c>
      <c r="N449" t="n">
        <v>0</v>
      </c>
      <c r="O449" t="n">
        <v>0</v>
      </c>
      <c r="P449" t="n">
        <v>0</v>
      </c>
      <c r="Q449" t="n">
        <v>0</v>
      </c>
      <c r="R449" s="2" t="inlineStr"/>
    </row>
    <row r="450" ht="15" customHeight="1">
      <c r="A450" t="inlineStr">
        <is>
          <t>A 56399-2022</t>
        </is>
      </c>
      <c r="B450" s="1" t="n">
        <v>44890</v>
      </c>
      <c r="C450" s="1" t="n">
        <v>45911</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63709-2023</t>
        </is>
      </c>
      <c r="B451" s="1" t="n">
        <v>45275.95069444444</v>
      </c>
      <c r="C451" s="1" t="n">
        <v>45911</v>
      </c>
      <c r="D451" t="inlineStr">
        <is>
          <t>VÄSTERNORRLANDS LÄN</t>
        </is>
      </c>
      <c r="E451" t="inlineStr">
        <is>
          <t>ÅNGE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34091-2022</t>
        </is>
      </c>
      <c r="B452" s="1" t="n">
        <v>44791</v>
      </c>
      <c r="C452" s="1" t="n">
        <v>45911</v>
      </c>
      <c r="D452" t="inlineStr">
        <is>
          <t>VÄSTERNORRLANDS LÄN</t>
        </is>
      </c>
      <c r="E452" t="inlineStr">
        <is>
          <t>ÅNGE</t>
        </is>
      </c>
      <c r="G452" t="n">
        <v>10.1</v>
      </c>
      <c r="H452" t="n">
        <v>0</v>
      </c>
      <c r="I452" t="n">
        <v>0</v>
      </c>
      <c r="J452" t="n">
        <v>0</v>
      </c>
      <c r="K452" t="n">
        <v>0</v>
      </c>
      <c r="L452" t="n">
        <v>0</v>
      </c>
      <c r="M452" t="n">
        <v>0</v>
      </c>
      <c r="N452" t="n">
        <v>0</v>
      </c>
      <c r="O452" t="n">
        <v>0</v>
      </c>
      <c r="P452" t="n">
        <v>0</v>
      </c>
      <c r="Q452" t="n">
        <v>0</v>
      </c>
      <c r="R452" s="2" t="inlineStr"/>
    </row>
    <row r="453" ht="15" customHeight="1">
      <c r="A453" t="inlineStr">
        <is>
          <t>A 61781-2023</t>
        </is>
      </c>
      <c r="B453" s="1" t="n">
        <v>45265.95708333333</v>
      </c>
      <c r="C453" s="1" t="n">
        <v>45911</v>
      </c>
      <c r="D453" t="inlineStr">
        <is>
          <t>VÄSTERNORRLANDS LÄN</t>
        </is>
      </c>
      <c r="E453" t="inlineStr">
        <is>
          <t>ÅNGE</t>
        </is>
      </c>
      <c r="F453" t="inlineStr">
        <is>
          <t>SCA</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28506-2024</t>
        </is>
      </c>
      <c r="B454" s="1" t="n">
        <v>45477.9475</v>
      </c>
      <c r="C454" s="1" t="n">
        <v>45911</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1420-2023</t>
        </is>
      </c>
      <c r="B455" s="1" t="n">
        <v>44936.92762731481</v>
      </c>
      <c r="C455" s="1" t="n">
        <v>45911</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60205-2023</t>
        </is>
      </c>
      <c r="B456" s="1" t="n">
        <v>45257</v>
      </c>
      <c r="C456" s="1" t="n">
        <v>45911</v>
      </c>
      <c r="D456" t="inlineStr">
        <is>
          <t>VÄSTERNORRLANDS LÄN</t>
        </is>
      </c>
      <c r="E456" t="inlineStr">
        <is>
          <t>ÅNGE</t>
        </is>
      </c>
      <c r="G456" t="n">
        <v>2.1</v>
      </c>
      <c r="H456" t="n">
        <v>0</v>
      </c>
      <c r="I456" t="n">
        <v>0</v>
      </c>
      <c r="J456" t="n">
        <v>0</v>
      </c>
      <c r="K456" t="n">
        <v>0</v>
      </c>
      <c r="L456" t="n">
        <v>0</v>
      </c>
      <c r="M456" t="n">
        <v>0</v>
      </c>
      <c r="N456" t="n">
        <v>0</v>
      </c>
      <c r="O456" t="n">
        <v>0</v>
      </c>
      <c r="P456" t="n">
        <v>0</v>
      </c>
      <c r="Q456" t="n">
        <v>0</v>
      </c>
      <c r="R456" s="2" t="inlineStr"/>
    </row>
    <row r="457" ht="15" customHeight="1">
      <c r="A457" t="inlineStr">
        <is>
          <t>A 22549-2025</t>
        </is>
      </c>
      <c r="B457" s="1" t="n">
        <v>45788.48113425926</v>
      </c>
      <c r="C457" s="1" t="n">
        <v>45911</v>
      </c>
      <c r="D457" t="inlineStr">
        <is>
          <t>VÄSTERNORRLANDS LÄN</t>
        </is>
      </c>
      <c r="E457" t="inlineStr">
        <is>
          <t>ÅNGE</t>
        </is>
      </c>
      <c r="G457" t="n">
        <v>2.6</v>
      </c>
      <c r="H457" t="n">
        <v>0</v>
      </c>
      <c r="I457" t="n">
        <v>0</v>
      </c>
      <c r="J457" t="n">
        <v>0</v>
      </c>
      <c r="K457" t="n">
        <v>0</v>
      </c>
      <c r="L457" t="n">
        <v>0</v>
      </c>
      <c r="M457" t="n">
        <v>0</v>
      </c>
      <c r="N457" t="n">
        <v>0</v>
      </c>
      <c r="O457" t="n">
        <v>0</v>
      </c>
      <c r="P457" t="n">
        <v>0</v>
      </c>
      <c r="Q457" t="n">
        <v>0</v>
      </c>
      <c r="R457" s="2" t="inlineStr"/>
    </row>
    <row r="458" ht="15" customHeight="1">
      <c r="A458" t="inlineStr">
        <is>
          <t>A 49187-2024</t>
        </is>
      </c>
      <c r="B458" s="1" t="n">
        <v>45595.34490740741</v>
      </c>
      <c r="C458" s="1" t="n">
        <v>45911</v>
      </c>
      <c r="D458" t="inlineStr">
        <is>
          <t>VÄSTERNORRLANDS LÄN</t>
        </is>
      </c>
      <c r="E458" t="inlineStr">
        <is>
          <t>ÅNGE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33631-2024</t>
        </is>
      </c>
      <c r="B459" s="1" t="n">
        <v>45520</v>
      </c>
      <c r="C459" s="1" t="n">
        <v>45911</v>
      </c>
      <c r="D459" t="inlineStr">
        <is>
          <t>VÄSTERNORRLANDS LÄN</t>
        </is>
      </c>
      <c r="E459" t="inlineStr">
        <is>
          <t>ÅNGE</t>
        </is>
      </c>
      <c r="G459" t="n">
        <v>1.7</v>
      </c>
      <c r="H459" t="n">
        <v>0</v>
      </c>
      <c r="I459" t="n">
        <v>0</v>
      </c>
      <c r="J459" t="n">
        <v>0</v>
      </c>
      <c r="K459" t="n">
        <v>0</v>
      </c>
      <c r="L459" t="n">
        <v>0</v>
      </c>
      <c r="M459" t="n">
        <v>0</v>
      </c>
      <c r="N459" t="n">
        <v>0</v>
      </c>
      <c r="O459" t="n">
        <v>0</v>
      </c>
      <c r="P459" t="n">
        <v>0</v>
      </c>
      <c r="Q459" t="n">
        <v>0</v>
      </c>
      <c r="R459" s="2" t="inlineStr"/>
    </row>
    <row r="460" ht="15" customHeight="1">
      <c r="A460" t="inlineStr">
        <is>
          <t>A 44876-2024</t>
        </is>
      </c>
      <c r="B460" s="1" t="n">
        <v>45575.34474537037</v>
      </c>
      <c r="C460" s="1" t="n">
        <v>45911</v>
      </c>
      <c r="D460" t="inlineStr">
        <is>
          <t>VÄSTERNORRLANDS LÄN</t>
        </is>
      </c>
      <c r="E460" t="inlineStr">
        <is>
          <t>ÅNGE</t>
        </is>
      </c>
      <c r="F460" t="inlineStr">
        <is>
          <t>SCA</t>
        </is>
      </c>
      <c r="G460" t="n">
        <v>12.4</v>
      </c>
      <c r="H460" t="n">
        <v>0</v>
      </c>
      <c r="I460" t="n">
        <v>0</v>
      </c>
      <c r="J460" t="n">
        <v>0</v>
      </c>
      <c r="K460" t="n">
        <v>0</v>
      </c>
      <c r="L460" t="n">
        <v>0</v>
      </c>
      <c r="M460" t="n">
        <v>0</v>
      </c>
      <c r="N460" t="n">
        <v>0</v>
      </c>
      <c r="O460" t="n">
        <v>0</v>
      </c>
      <c r="P460" t="n">
        <v>0</v>
      </c>
      <c r="Q460" t="n">
        <v>0</v>
      </c>
      <c r="R460" s="2" t="inlineStr"/>
    </row>
    <row r="461" ht="15" customHeight="1">
      <c r="A461" t="inlineStr">
        <is>
          <t>A 35577-2024</t>
        </is>
      </c>
      <c r="B461" s="1" t="n">
        <v>45531</v>
      </c>
      <c r="C461" s="1" t="n">
        <v>45911</v>
      </c>
      <c r="D461" t="inlineStr">
        <is>
          <t>VÄSTERNORRLANDS LÄN</t>
        </is>
      </c>
      <c r="E461" t="inlineStr">
        <is>
          <t>ÅNGE</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35580-2024</t>
        </is>
      </c>
      <c r="B462" s="1" t="n">
        <v>45531</v>
      </c>
      <c r="C462" s="1" t="n">
        <v>45911</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28873-2024</t>
        </is>
      </c>
      <c r="B463" s="1" t="n">
        <v>45478.94766203704</v>
      </c>
      <c r="C463" s="1" t="n">
        <v>45911</v>
      </c>
      <c r="D463" t="inlineStr">
        <is>
          <t>VÄSTERNORRLANDS LÄN</t>
        </is>
      </c>
      <c r="E463" t="inlineStr">
        <is>
          <t>ÅNGE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54342-2023</t>
        </is>
      </c>
      <c r="B464" s="1" t="n">
        <v>45232</v>
      </c>
      <c r="C464" s="1" t="n">
        <v>45911</v>
      </c>
      <c r="D464" t="inlineStr">
        <is>
          <t>VÄSTERNORRLANDS LÄN</t>
        </is>
      </c>
      <c r="E464" t="inlineStr">
        <is>
          <t>ÅNGE</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11088-2024</t>
        </is>
      </c>
      <c r="B465" s="1" t="n">
        <v>45370</v>
      </c>
      <c r="C465" s="1" t="n">
        <v>45911</v>
      </c>
      <c r="D465" t="inlineStr">
        <is>
          <t>VÄSTERNORRLANDS LÄN</t>
        </is>
      </c>
      <c r="E465" t="inlineStr">
        <is>
          <t>ÅNGE</t>
        </is>
      </c>
      <c r="F465" t="inlineStr">
        <is>
          <t>SCA</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31563-2024</t>
        </is>
      </c>
      <c r="B466" s="1" t="n">
        <v>45505</v>
      </c>
      <c r="C466" s="1" t="n">
        <v>45911</v>
      </c>
      <c r="D466" t="inlineStr">
        <is>
          <t>VÄSTERNORRLANDS LÄN</t>
        </is>
      </c>
      <c r="E466" t="inlineStr">
        <is>
          <t>ÅNGE</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26012-2024</t>
        </is>
      </c>
      <c r="B467" s="1" t="n">
        <v>45467</v>
      </c>
      <c r="C467" s="1" t="n">
        <v>45911</v>
      </c>
      <c r="D467" t="inlineStr">
        <is>
          <t>VÄSTERNORRLANDS LÄN</t>
        </is>
      </c>
      <c r="E467" t="inlineStr">
        <is>
          <t>ÅNGE</t>
        </is>
      </c>
      <c r="F467" t="inlineStr">
        <is>
          <t>SCA</t>
        </is>
      </c>
      <c r="G467" t="n">
        <v>7.5</v>
      </c>
      <c r="H467" t="n">
        <v>0</v>
      </c>
      <c r="I467" t="n">
        <v>0</v>
      </c>
      <c r="J467" t="n">
        <v>0</v>
      </c>
      <c r="K467" t="n">
        <v>0</v>
      </c>
      <c r="L467" t="n">
        <v>0</v>
      </c>
      <c r="M467" t="n">
        <v>0</v>
      </c>
      <c r="N467" t="n">
        <v>0</v>
      </c>
      <c r="O467" t="n">
        <v>0</v>
      </c>
      <c r="P467" t="n">
        <v>0</v>
      </c>
      <c r="Q467" t="n">
        <v>0</v>
      </c>
      <c r="R467" s="2" t="inlineStr"/>
    </row>
    <row r="468" ht="15" customHeight="1">
      <c r="A468" t="inlineStr">
        <is>
          <t>A 30348-2024</t>
        </is>
      </c>
      <c r="B468" s="1" t="n">
        <v>45490.95524305556</v>
      </c>
      <c r="C468" s="1" t="n">
        <v>45911</v>
      </c>
      <c r="D468" t="inlineStr">
        <is>
          <t>VÄSTERNORRLANDS LÄN</t>
        </is>
      </c>
      <c r="E468" t="inlineStr">
        <is>
          <t>ÅNGE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31457-2024</t>
        </is>
      </c>
      <c r="B469" s="1" t="n">
        <v>45505</v>
      </c>
      <c r="C469" s="1" t="n">
        <v>45911</v>
      </c>
      <c r="D469" t="inlineStr">
        <is>
          <t>VÄSTERNORRLANDS LÄN</t>
        </is>
      </c>
      <c r="E469" t="inlineStr">
        <is>
          <t>ÅNGE</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35392-2024</t>
        </is>
      </c>
      <c r="B470" s="1" t="n">
        <v>45531.4025462963</v>
      </c>
      <c r="C470" s="1" t="n">
        <v>45911</v>
      </c>
      <c r="D470" t="inlineStr">
        <is>
          <t>VÄSTERNORRLANDS LÄN</t>
        </is>
      </c>
      <c r="E470" t="inlineStr">
        <is>
          <t>ÅNGE</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46255-2023</t>
        </is>
      </c>
      <c r="B471" s="1" t="n">
        <v>45196</v>
      </c>
      <c r="C471" s="1" t="n">
        <v>45911</v>
      </c>
      <c r="D471" t="inlineStr">
        <is>
          <t>VÄSTERNORRLANDS LÄN</t>
        </is>
      </c>
      <c r="E471" t="inlineStr">
        <is>
          <t>ÅNGE</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34705-2023</t>
        </is>
      </c>
      <c r="B472" s="1" t="n">
        <v>45140.96452546296</v>
      </c>
      <c r="C472" s="1" t="n">
        <v>45911</v>
      </c>
      <c r="D472" t="inlineStr">
        <is>
          <t>VÄSTERNORRLANDS LÄN</t>
        </is>
      </c>
      <c r="E472" t="inlineStr">
        <is>
          <t>ÅNGE</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43066-2022</t>
        </is>
      </c>
      <c r="B473" s="1" t="n">
        <v>44833</v>
      </c>
      <c r="C473" s="1" t="n">
        <v>45911</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34750-2023</t>
        </is>
      </c>
      <c r="B474" s="1" t="n">
        <v>45139</v>
      </c>
      <c r="C474" s="1" t="n">
        <v>45911</v>
      </c>
      <c r="D474" t="inlineStr">
        <is>
          <t>VÄSTERNORRLANDS LÄN</t>
        </is>
      </c>
      <c r="E474" t="inlineStr">
        <is>
          <t>ÅNGE</t>
        </is>
      </c>
      <c r="G474" t="n">
        <v>2.9</v>
      </c>
      <c r="H474" t="n">
        <v>0</v>
      </c>
      <c r="I474" t="n">
        <v>0</v>
      </c>
      <c r="J474" t="n">
        <v>0</v>
      </c>
      <c r="K474" t="n">
        <v>0</v>
      </c>
      <c r="L474" t="n">
        <v>0</v>
      </c>
      <c r="M474" t="n">
        <v>0</v>
      </c>
      <c r="N474" t="n">
        <v>0</v>
      </c>
      <c r="O474" t="n">
        <v>0</v>
      </c>
      <c r="P474" t="n">
        <v>0</v>
      </c>
      <c r="Q474" t="n">
        <v>0</v>
      </c>
      <c r="R474" s="2" t="inlineStr"/>
    </row>
    <row r="475" ht="15" customHeight="1">
      <c r="A475" t="inlineStr">
        <is>
          <t>A 57595-2022</t>
        </is>
      </c>
      <c r="B475" s="1" t="n">
        <v>44896.97862268519</v>
      </c>
      <c r="C475" s="1" t="n">
        <v>45911</v>
      </c>
      <c r="D475" t="inlineStr">
        <is>
          <t>VÄSTERNORRLANDS LÄN</t>
        </is>
      </c>
      <c r="E475" t="inlineStr">
        <is>
          <t>ÅNGE</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69790-2021</t>
        </is>
      </c>
      <c r="B476" s="1" t="n">
        <v>44532.605625</v>
      </c>
      <c r="C476" s="1" t="n">
        <v>45911</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2365-2024</t>
        </is>
      </c>
      <c r="B477" s="1" t="n">
        <v>45310.59778935185</v>
      </c>
      <c r="C477" s="1" t="n">
        <v>45911</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2372-2024</t>
        </is>
      </c>
      <c r="B478" s="1" t="n">
        <v>45310.6115625</v>
      </c>
      <c r="C478" s="1" t="n">
        <v>45911</v>
      </c>
      <c r="D478" t="inlineStr">
        <is>
          <t>VÄSTERNORRLANDS LÄN</t>
        </is>
      </c>
      <c r="E478" t="inlineStr">
        <is>
          <t>ÅNGE</t>
        </is>
      </c>
      <c r="G478" t="n">
        <v>5.6</v>
      </c>
      <c r="H478" t="n">
        <v>0</v>
      </c>
      <c r="I478" t="n">
        <v>0</v>
      </c>
      <c r="J478" t="n">
        <v>0</v>
      </c>
      <c r="K478" t="n">
        <v>0</v>
      </c>
      <c r="L478" t="n">
        <v>0</v>
      </c>
      <c r="M478" t="n">
        <v>0</v>
      </c>
      <c r="N478" t="n">
        <v>0</v>
      </c>
      <c r="O478" t="n">
        <v>0</v>
      </c>
      <c r="P478" t="n">
        <v>0</v>
      </c>
      <c r="Q478" t="n">
        <v>0</v>
      </c>
      <c r="R478" s="2" t="inlineStr"/>
    </row>
    <row r="479" ht="15" customHeight="1">
      <c r="A479" t="inlineStr">
        <is>
          <t>A 17452-2025</t>
        </is>
      </c>
      <c r="B479" s="1" t="n">
        <v>45757.44842592593</v>
      </c>
      <c r="C479" s="1" t="n">
        <v>45911</v>
      </c>
      <c r="D479" t="inlineStr">
        <is>
          <t>VÄSTERNORRLANDS LÄN</t>
        </is>
      </c>
      <c r="E479" t="inlineStr">
        <is>
          <t>ÅNGE</t>
        </is>
      </c>
      <c r="F479" t="inlineStr">
        <is>
          <t>SCA</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58613-2023</t>
        </is>
      </c>
      <c r="B480" s="1" t="n">
        <v>45251.50709490741</v>
      </c>
      <c r="C480" s="1" t="n">
        <v>45911</v>
      </c>
      <c r="D480" t="inlineStr">
        <is>
          <t>VÄSTERNORRLANDS LÄN</t>
        </is>
      </c>
      <c r="E480" t="inlineStr">
        <is>
          <t>ÅNGE</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3330-2025</t>
        </is>
      </c>
      <c r="B481" s="1" t="n">
        <v>45679.70041666667</v>
      </c>
      <c r="C481" s="1" t="n">
        <v>45911</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22926-2025</t>
        </is>
      </c>
      <c r="B482" s="1" t="n">
        <v>45790</v>
      </c>
      <c r="C482" s="1" t="n">
        <v>45911</v>
      </c>
      <c r="D482" t="inlineStr">
        <is>
          <t>VÄSTERNORRLANDS LÄN</t>
        </is>
      </c>
      <c r="E482" t="inlineStr">
        <is>
          <t>ÅNGE</t>
        </is>
      </c>
      <c r="G482" t="n">
        <v>1.3</v>
      </c>
      <c r="H482" t="n">
        <v>0</v>
      </c>
      <c r="I482" t="n">
        <v>0</v>
      </c>
      <c r="J482" t="n">
        <v>0</v>
      </c>
      <c r="K482" t="n">
        <v>0</v>
      </c>
      <c r="L482" t="n">
        <v>0</v>
      </c>
      <c r="M482" t="n">
        <v>0</v>
      </c>
      <c r="N482" t="n">
        <v>0</v>
      </c>
      <c r="O482" t="n">
        <v>0</v>
      </c>
      <c r="P482" t="n">
        <v>0</v>
      </c>
      <c r="Q482" t="n">
        <v>0</v>
      </c>
      <c r="R482" s="2" t="inlineStr"/>
    </row>
    <row r="483" ht="15" customHeight="1">
      <c r="A483" t="inlineStr">
        <is>
          <t>A 22928-2025</t>
        </is>
      </c>
      <c r="B483" s="1" t="n">
        <v>45790.44825231482</v>
      </c>
      <c r="C483" s="1" t="n">
        <v>45911</v>
      </c>
      <c r="D483" t="inlineStr">
        <is>
          <t>VÄSTERNORRLANDS LÄN</t>
        </is>
      </c>
      <c r="E483" t="inlineStr">
        <is>
          <t>ÅNGE</t>
        </is>
      </c>
      <c r="F483" t="inlineStr">
        <is>
          <t>SCA</t>
        </is>
      </c>
      <c r="G483" t="n">
        <v>5.7</v>
      </c>
      <c r="H483" t="n">
        <v>0</v>
      </c>
      <c r="I483" t="n">
        <v>0</v>
      </c>
      <c r="J483" t="n">
        <v>0</v>
      </c>
      <c r="K483" t="n">
        <v>0</v>
      </c>
      <c r="L483" t="n">
        <v>0</v>
      </c>
      <c r="M483" t="n">
        <v>0</v>
      </c>
      <c r="N483" t="n">
        <v>0</v>
      </c>
      <c r="O483" t="n">
        <v>0</v>
      </c>
      <c r="P483" t="n">
        <v>0</v>
      </c>
      <c r="Q483" t="n">
        <v>0</v>
      </c>
      <c r="R483" s="2" t="inlineStr"/>
    </row>
    <row r="484" ht="15" customHeight="1">
      <c r="A484" t="inlineStr">
        <is>
          <t>A 24232-2024</t>
        </is>
      </c>
      <c r="B484" s="1" t="n">
        <v>45457.34686342593</v>
      </c>
      <c r="C484" s="1" t="n">
        <v>45911</v>
      </c>
      <c r="D484" t="inlineStr">
        <is>
          <t>VÄSTERNORRLANDS LÄN</t>
        </is>
      </c>
      <c r="E484" t="inlineStr">
        <is>
          <t>ÅNGE</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22791-2025</t>
        </is>
      </c>
      <c r="B485" s="1" t="n">
        <v>45789.65663194445</v>
      </c>
      <c r="C485" s="1" t="n">
        <v>45911</v>
      </c>
      <c r="D485" t="inlineStr">
        <is>
          <t>VÄSTERNORRLANDS LÄN</t>
        </is>
      </c>
      <c r="E485" t="inlineStr">
        <is>
          <t>ÅNGE</t>
        </is>
      </c>
      <c r="F485" t="inlineStr">
        <is>
          <t>SCA</t>
        </is>
      </c>
      <c r="G485" t="n">
        <v>3.9</v>
      </c>
      <c r="H485" t="n">
        <v>0</v>
      </c>
      <c r="I485" t="n">
        <v>0</v>
      </c>
      <c r="J485" t="n">
        <v>0</v>
      </c>
      <c r="K485" t="n">
        <v>0</v>
      </c>
      <c r="L485" t="n">
        <v>0</v>
      </c>
      <c r="M485" t="n">
        <v>0</v>
      </c>
      <c r="N485" t="n">
        <v>0</v>
      </c>
      <c r="O485" t="n">
        <v>0</v>
      </c>
      <c r="P485" t="n">
        <v>0</v>
      </c>
      <c r="Q485" t="n">
        <v>0</v>
      </c>
      <c r="R485" s="2" t="inlineStr"/>
    </row>
    <row r="486" ht="15" customHeight="1">
      <c r="A486" t="inlineStr">
        <is>
          <t>A 33783-2024</t>
        </is>
      </c>
      <c r="B486" s="1" t="n">
        <v>45520</v>
      </c>
      <c r="C486" s="1" t="n">
        <v>45911</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31229-2023</t>
        </is>
      </c>
      <c r="B487" s="1" t="n">
        <v>45114</v>
      </c>
      <c r="C487" s="1" t="n">
        <v>45911</v>
      </c>
      <c r="D487" t="inlineStr">
        <is>
          <t>VÄSTERNORRLANDS LÄN</t>
        </is>
      </c>
      <c r="E487" t="inlineStr">
        <is>
          <t>ÅNGE</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45128-2022</t>
        </is>
      </c>
      <c r="B488" s="1" t="n">
        <v>44844.3146412037</v>
      </c>
      <c r="C488" s="1" t="n">
        <v>45911</v>
      </c>
      <c r="D488" t="inlineStr">
        <is>
          <t>VÄSTERNORRLANDS LÄN</t>
        </is>
      </c>
      <c r="E488" t="inlineStr">
        <is>
          <t>ÅNGE</t>
        </is>
      </c>
      <c r="G488" t="n">
        <v>4.1</v>
      </c>
      <c r="H488" t="n">
        <v>0</v>
      </c>
      <c r="I488" t="n">
        <v>0</v>
      </c>
      <c r="J488" t="n">
        <v>0</v>
      </c>
      <c r="K488" t="n">
        <v>0</v>
      </c>
      <c r="L488" t="n">
        <v>0</v>
      </c>
      <c r="M488" t="n">
        <v>0</v>
      </c>
      <c r="N488" t="n">
        <v>0</v>
      </c>
      <c r="O488" t="n">
        <v>0</v>
      </c>
      <c r="P488" t="n">
        <v>0</v>
      </c>
      <c r="Q488" t="n">
        <v>0</v>
      </c>
      <c r="R488" s="2" t="inlineStr"/>
    </row>
    <row r="489" ht="15" customHeight="1">
      <c r="A489" t="inlineStr">
        <is>
          <t>A 26951-2024</t>
        </is>
      </c>
      <c r="B489" s="1" t="n">
        <v>45470.96991898148</v>
      </c>
      <c r="C489" s="1" t="n">
        <v>45911</v>
      </c>
      <c r="D489" t="inlineStr">
        <is>
          <t>VÄSTERNORRLANDS LÄN</t>
        </is>
      </c>
      <c r="E489" t="inlineStr">
        <is>
          <t>ÅNGE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26952-2024</t>
        </is>
      </c>
      <c r="B490" s="1" t="n">
        <v>45470</v>
      </c>
      <c r="C490" s="1" t="n">
        <v>45911</v>
      </c>
      <c r="D490" t="inlineStr">
        <is>
          <t>VÄSTERNORRLANDS LÄN</t>
        </is>
      </c>
      <c r="E490" t="inlineStr">
        <is>
          <t>ÅNGE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27321-2024</t>
        </is>
      </c>
      <c r="B491" s="1" t="n">
        <v>45471</v>
      </c>
      <c r="C491" s="1" t="n">
        <v>45911</v>
      </c>
      <c r="D491" t="inlineStr">
        <is>
          <t>VÄSTERNORRLANDS LÄN</t>
        </is>
      </c>
      <c r="E491" t="inlineStr">
        <is>
          <t>ÅNGE</t>
        </is>
      </c>
      <c r="F491" t="inlineStr">
        <is>
          <t>SCA</t>
        </is>
      </c>
      <c r="G491" t="n">
        <v>14.1</v>
      </c>
      <c r="H491" t="n">
        <v>0</v>
      </c>
      <c r="I491" t="n">
        <v>0</v>
      </c>
      <c r="J491" t="n">
        <v>0</v>
      </c>
      <c r="K491" t="n">
        <v>0</v>
      </c>
      <c r="L491" t="n">
        <v>0</v>
      </c>
      <c r="M491" t="n">
        <v>0</v>
      </c>
      <c r="N491" t="n">
        <v>0</v>
      </c>
      <c r="O491" t="n">
        <v>0</v>
      </c>
      <c r="P491" t="n">
        <v>0</v>
      </c>
      <c r="Q491" t="n">
        <v>0</v>
      </c>
      <c r="R491" s="2" t="inlineStr"/>
    </row>
    <row r="492" ht="15" customHeight="1">
      <c r="A492" t="inlineStr">
        <is>
          <t>A 37382-2021</t>
        </is>
      </c>
      <c r="B492" s="1" t="n">
        <v>44397</v>
      </c>
      <c r="C492" s="1" t="n">
        <v>45911</v>
      </c>
      <c r="D492" t="inlineStr">
        <is>
          <t>VÄSTERNORRLANDS LÄN</t>
        </is>
      </c>
      <c r="E492" t="inlineStr">
        <is>
          <t>ÅNGE</t>
        </is>
      </c>
      <c r="G492" t="n">
        <v>2.4</v>
      </c>
      <c r="H492" t="n">
        <v>0</v>
      </c>
      <c r="I492" t="n">
        <v>0</v>
      </c>
      <c r="J492" t="n">
        <v>0</v>
      </c>
      <c r="K492" t="n">
        <v>0</v>
      </c>
      <c r="L492" t="n">
        <v>0</v>
      </c>
      <c r="M492" t="n">
        <v>0</v>
      </c>
      <c r="N492" t="n">
        <v>0</v>
      </c>
      <c r="O492" t="n">
        <v>0</v>
      </c>
      <c r="P492" t="n">
        <v>0</v>
      </c>
      <c r="Q492" t="n">
        <v>0</v>
      </c>
      <c r="R492" s="2" t="inlineStr"/>
    </row>
    <row r="493" ht="15" customHeight="1">
      <c r="A493" t="inlineStr">
        <is>
          <t>A 27668-2024</t>
        </is>
      </c>
      <c r="B493" s="1" t="n">
        <v>45474.95435185185</v>
      </c>
      <c r="C493" s="1" t="n">
        <v>45911</v>
      </c>
      <c r="D493" t="inlineStr">
        <is>
          <t>VÄSTERNORRLANDS LÄN</t>
        </is>
      </c>
      <c r="E493" t="inlineStr">
        <is>
          <t>ÅNGE</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21200-2024</t>
        </is>
      </c>
      <c r="B494" s="1" t="n">
        <v>45440</v>
      </c>
      <c r="C494" s="1" t="n">
        <v>45911</v>
      </c>
      <c r="D494" t="inlineStr">
        <is>
          <t>VÄSTERNORRLANDS LÄN</t>
        </is>
      </c>
      <c r="E494" t="inlineStr">
        <is>
          <t>ÅNGE</t>
        </is>
      </c>
      <c r="G494" t="n">
        <v>1.1</v>
      </c>
      <c r="H494" t="n">
        <v>0</v>
      </c>
      <c r="I494" t="n">
        <v>0</v>
      </c>
      <c r="J494" t="n">
        <v>0</v>
      </c>
      <c r="K494" t="n">
        <v>0</v>
      </c>
      <c r="L494" t="n">
        <v>0</v>
      </c>
      <c r="M494" t="n">
        <v>0</v>
      </c>
      <c r="N494" t="n">
        <v>0</v>
      </c>
      <c r="O494" t="n">
        <v>0</v>
      </c>
      <c r="P494" t="n">
        <v>0</v>
      </c>
      <c r="Q494" t="n">
        <v>0</v>
      </c>
      <c r="R494" s="2" t="inlineStr"/>
    </row>
    <row r="495" ht="15" customHeight="1">
      <c r="A495" t="inlineStr">
        <is>
          <t>A 51383-2022</t>
        </is>
      </c>
      <c r="B495" s="1" t="n">
        <v>44866</v>
      </c>
      <c r="C495" s="1" t="n">
        <v>45911</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51393-2022</t>
        </is>
      </c>
      <c r="B496" s="1" t="n">
        <v>44869.43277777778</v>
      </c>
      <c r="C496" s="1" t="n">
        <v>45911</v>
      </c>
      <c r="D496" t="inlineStr">
        <is>
          <t>VÄSTERNORRLANDS LÄN</t>
        </is>
      </c>
      <c r="E496" t="inlineStr">
        <is>
          <t>ÅNGE</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1116-2023</t>
        </is>
      </c>
      <c r="B497" s="1" t="n">
        <v>44929</v>
      </c>
      <c r="C497" s="1" t="n">
        <v>45911</v>
      </c>
      <c r="D497" t="inlineStr">
        <is>
          <t>VÄSTERNORRLANDS LÄN</t>
        </is>
      </c>
      <c r="E497" t="inlineStr">
        <is>
          <t>ÅNGE</t>
        </is>
      </c>
      <c r="G497" t="n">
        <v>17.2</v>
      </c>
      <c r="H497" t="n">
        <v>0</v>
      </c>
      <c r="I497" t="n">
        <v>0</v>
      </c>
      <c r="J497" t="n">
        <v>0</v>
      </c>
      <c r="K497" t="n">
        <v>0</v>
      </c>
      <c r="L497" t="n">
        <v>0</v>
      </c>
      <c r="M497" t="n">
        <v>0</v>
      </c>
      <c r="N497" t="n">
        <v>0</v>
      </c>
      <c r="O497" t="n">
        <v>0</v>
      </c>
      <c r="P497" t="n">
        <v>0</v>
      </c>
      <c r="Q497" t="n">
        <v>0</v>
      </c>
      <c r="R497" s="2" t="inlineStr"/>
    </row>
    <row r="498" ht="15" customHeight="1">
      <c r="A498" t="inlineStr">
        <is>
          <t>A 20761-2024</t>
        </is>
      </c>
      <c r="B498" s="1" t="n">
        <v>45436</v>
      </c>
      <c r="C498" s="1" t="n">
        <v>45911</v>
      </c>
      <c r="D498" t="inlineStr">
        <is>
          <t>VÄSTERNORRLANDS LÄN</t>
        </is>
      </c>
      <c r="E498" t="inlineStr">
        <is>
          <t>ÅNGE</t>
        </is>
      </c>
      <c r="G498" t="n">
        <v>1.1</v>
      </c>
      <c r="H498" t="n">
        <v>0</v>
      </c>
      <c r="I498" t="n">
        <v>0</v>
      </c>
      <c r="J498" t="n">
        <v>0</v>
      </c>
      <c r="K498" t="n">
        <v>0</v>
      </c>
      <c r="L498" t="n">
        <v>0</v>
      </c>
      <c r="M498" t="n">
        <v>0</v>
      </c>
      <c r="N498" t="n">
        <v>0</v>
      </c>
      <c r="O498" t="n">
        <v>0</v>
      </c>
      <c r="P498" t="n">
        <v>0</v>
      </c>
      <c r="Q498" t="n">
        <v>0</v>
      </c>
      <c r="R498" s="2" t="inlineStr"/>
    </row>
    <row r="499" ht="15" customHeight="1">
      <c r="A499" t="inlineStr">
        <is>
          <t>A 23091-2025</t>
        </is>
      </c>
      <c r="B499" s="1" t="n">
        <v>45791.34456018519</v>
      </c>
      <c r="C499" s="1" t="n">
        <v>45911</v>
      </c>
      <c r="D499" t="inlineStr">
        <is>
          <t>VÄSTERNORRLANDS LÄN</t>
        </is>
      </c>
      <c r="E499" t="inlineStr">
        <is>
          <t>ÅNGE</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23580-2025</t>
        </is>
      </c>
      <c r="B500" s="1" t="n">
        <v>45792.62555555555</v>
      </c>
      <c r="C500" s="1" t="n">
        <v>45911</v>
      </c>
      <c r="D500" t="inlineStr">
        <is>
          <t>VÄSTERNORRLANDS LÄN</t>
        </is>
      </c>
      <c r="E500" t="inlineStr">
        <is>
          <t>ÅNGE</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42857-2022</t>
        </is>
      </c>
      <c r="B501" s="1" t="n">
        <v>44832</v>
      </c>
      <c r="C501" s="1" t="n">
        <v>45911</v>
      </c>
      <c r="D501" t="inlineStr">
        <is>
          <t>VÄSTERNORRLANDS LÄN</t>
        </is>
      </c>
      <c r="E501" t="inlineStr">
        <is>
          <t>ÅNGE</t>
        </is>
      </c>
      <c r="G501" t="n">
        <v>3.4</v>
      </c>
      <c r="H501" t="n">
        <v>0</v>
      </c>
      <c r="I501" t="n">
        <v>0</v>
      </c>
      <c r="J501" t="n">
        <v>0</v>
      </c>
      <c r="K501" t="n">
        <v>0</v>
      </c>
      <c r="L501" t="n">
        <v>0</v>
      </c>
      <c r="M501" t="n">
        <v>0</v>
      </c>
      <c r="N501" t="n">
        <v>0</v>
      </c>
      <c r="O501" t="n">
        <v>0</v>
      </c>
      <c r="P501" t="n">
        <v>0</v>
      </c>
      <c r="Q501" t="n">
        <v>0</v>
      </c>
      <c r="R501" s="2" t="inlineStr"/>
    </row>
    <row r="502" ht="15" customHeight="1">
      <c r="A502" t="inlineStr">
        <is>
          <t>A 48690-2024</t>
        </is>
      </c>
      <c r="B502" s="1" t="n">
        <v>45593.50704861111</v>
      </c>
      <c r="C502" s="1" t="n">
        <v>45911</v>
      </c>
      <c r="D502" t="inlineStr">
        <is>
          <t>VÄSTERNORRLANDS LÄN</t>
        </is>
      </c>
      <c r="E502" t="inlineStr">
        <is>
          <t>ÅNGE</t>
        </is>
      </c>
      <c r="G502" t="n">
        <v>5</v>
      </c>
      <c r="H502" t="n">
        <v>0</v>
      </c>
      <c r="I502" t="n">
        <v>0</v>
      </c>
      <c r="J502" t="n">
        <v>0</v>
      </c>
      <c r="K502" t="n">
        <v>0</v>
      </c>
      <c r="L502" t="n">
        <v>0</v>
      </c>
      <c r="M502" t="n">
        <v>0</v>
      </c>
      <c r="N502" t="n">
        <v>0</v>
      </c>
      <c r="O502" t="n">
        <v>0</v>
      </c>
      <c r="P502" t="n">
        <v>0</v>
      </c>
      <c r="Q502" t="n">
        <v>0</v>
      </c>
      <c r="R502" s="2" t="inlineStr"/>
    </row>
    <row r="503" ht="15" customHeight="1">
      <c r="A503" t="inlineStr">
        <is>
          <t>A 23343-2025</t>
        </is>
      </c>
      <c r="B503" s="1" t="n">
        <v>45791.65702546296</v>
      </c>
      <c r="C503" s="1" t="n">
        <v>45911</v>
      </c>
      <c r="D503" t="inlineStr">
        <is>
          <t>VÄSTERNORRLANDS LÄN</t>
        </is>
      </c>
      <c r="E503" t="inlineStr">
        <is>
          <t>ÅNGE</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23407-2025</t>
        </is>
      </c>
      <c r="B504" s="1" t="n">
        <v>45792.34549768519</v>
      </c>
      <c r="C504" s="1" t="n">
        <v>45911</v>
      </c>
      <c r="D504" t="inlineStr">
        <is>
          <t>VÄSTERNORRLANDS LÄN</t>
        </is>
      </c>
      <c r="E504" t="inlineStr">
        <is>
          <t>ÅNGE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15287-2025</t>
        </is>
      </c>
      <c r="B505" s="1" t="n">
        <v>45745</v>
      </c>
      <c r="C505" s="1" t="n">
        <v>45911</v>
      </c>
      <c r="D505" t="inlineStr">
        <is>
          <t>VÄSTERNORRLANDS LÄN</t>
        </is>
      </c>
      <c r="E505" t="inlineStr">
        <is>
          <t>ÅNGE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15288-2025</t>
        </is>
      </c>
      <c r="B506" s="1" t="n">
        <v>45745.34423611111</v>
      </c>
      <c r="C506" s="1" t="n">
        <v>45911</v>
      </c>
      <c r="D506" t="inlineStr">
        <is>
          <t>VÄSTERNORRLANDS LÄN</t>
        </is>
      </c>
      <c r="E506" t="inlineStr">
        <is>
          <t>ÅNGE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23573-2025</t>
        </is>
      </c>
      <c r="B507" s="1" t="n">
        <v>45792.61497685185</v>
      </c>
      <c r="C507" s="1" t="n">
        <v>45911</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23590-2025</t>
        </is>
      </c>
      <c r="B508" s="1" t="n">
        <v>45792.63627314815</v>
      </c>
      <c r="C508" s="1" t="n">
        <v>45911</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23495-2025</t>
        </is>
      </c>
      <c r="B509" s="1" t="n">
        <v>45792.46967592592</v>
      </c>
      <c r="C509" s="1" t="n">
        <v>45911</v>
      </c>
      <c r="D509" t="inlineStr">
        <is>
          <t>VÄSTERNORRLANDS LÄN</t>
        </is>
      </c>
      <c r="E509" t="inlineStr">
        <is>
          <t>ÅNGE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23589-2025</t>
        </is>
      </c>
      <c r="B510" s="1" t="n">
        <v>45792.63618055556</v>
      </c>
      <c r="C510" s="1" t="n">
        <v>45911</v>
      </c>
      <c r="D510" t="inlineStr">
        <is>
          <t>VÄSTERNORRLANDS LÄN</t>
        </is>
      </c>
      <c r="E510" t="inlineStr">
        <is>
          <t>ÅNGE</t>
        </is>
      </c>
      <c r="F510" t="inlineStr">
        <is>
          <t>SCA</t>
        </is>
      </c>
      <c r="G510" t="n">
        <v>10.7</v>
      </c>
      <c r="H510" t="n">
        <v>0</v>
      </c>
      <c r="I510" t="n">
        <v>0</v>
      </c>
      <c r="J510" t="n">
        <v>0</v>
      </c>
      <c r="K510" t="n">
        <v>0</v>
      </c>
      <c r="L510" t="n">
        <v>0</v>
      </c>
      <c r="M510" t="n">
        <v>0</v>
      </c>
      <c r="N510" t="n">
        <v>0</v>
      </c>
      <c r="O510" t="n">
        <v>0</v>
      </c>
      <c r="P510" t="n">
        <v>0</v>
      </c>
      <c r="Q510" t="n">
        <v>0</v>
      </c>
      <c r="R510" s="2" t="inlineStr"/>
    </row>
    <row r="511" ht="15" customHeight="1">
      <c r="A511" t="inlineStr">
        <is>
          <t>A 19342-2024</t>
        </is>
      </c>
      <c r="B511" s="1" t="n">
        <v>45428</v>
      </c>
      <c r="C511" s="1" t="n">
        <v>45911</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23252-2025</t>
        </is>
      </c>
      <c r="B512" s="1" t="n">
        <v>45791.53157407408</v>
      </c>
      <c r="C512" s="1" t="n">
        <v>45911</v>
      </c>
      <c r="D512" t="inlineStr">
        <is>
          <t>VÄSTERNORRLANDS LÄN</t>
        </is>
      </c>
      <c r="E512" t="inlineStr">
        <is>
          <t>ÅNGE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23529-2025</t>
        </is>
      </c>
      <c r="B513" s="1" t="n">
        <v>45792.53158564815</v>
      </c>
      <c r="C513" s="1" t="n">
        <v>45911</v>
      </c>
      <c r="D513" t="inlineStr">
        <is>
          <t>VÄSTERNORRLANDS LÄN</t>
        </is>
      </c>
      <c r="E513" t="inlineStr">
        <is>
          <t>ÅNGE</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23552-2025</t>
        </is>
      </c>
      <c r="B514" s="1" t="n">
        <v>45792.5738425926</v>
      </c>
      <c r="C514" s="1" t="n">
        <v>45911</v>
      </c>
      <c r="D514" t="inlineStr">
        <is>
          <t>VÄSTERNORRLANDS LÄN</t>
        </is>
      </c>
      <c r="E514" t="inlineStr">
        <is>
          <t>ÅNGE</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23748-2025</t>
        </is>
      </c>
      <c r="B515" s="1" t="n">
        <v>45793.44755787037</v>
      </c>
      <c r="C515" s="1" t="n">
        <v>45911</v>
      </c>
      <c r="D515" t="inlineStr">
        <is>
          <t>VÄSTERNORRLANDS LÄN</t>
        </is>
      </c>
      <c r="E515" t="inlineStr">
        <is>
          <t>ÅNGE</t>
        </is>
      </c>
      <c r="F515" t="inlineStr">
        <is>
          <t>Sveaskog</t>
        </is>
      </c>
      <c r="G515" t="n">
        <v>6.5</v>
      </c>
      <c r="H515" t="n">
        <v>0</v>
      </c>
      <c r="I515" t="n">
        <v>0</v>
      </c>
      <c r="J515" t="n">
        <v>0</v>
      </c>
      <c r="K515" t="n">
        <v>0</v>
      </c>
      <c r="L515" t="n">
        <v>0</v>
      </c>
      <c r="M515" t="n">
        <v>0</v>
      </c>
      <c r="N515" t="n">
        <v>0</v>
      </c>
      <c r="O515" t="n">
        <v>0</v>
      </c>
      <c r="P515" t="n">
        <v>0</v>
      </c>
      <c r="Q515" t="n">
        <v>0</v>
      </c>
      <c r="R515" s="2" t="inlineStr"/>
    </row>
    <row r="516" ht="15" customHeight="1">
      <c r="A516" t="inlineStr">
        <is>
          <t>A 43145-2024</t>
        </is>
      </c>
      <c r="B516" s="1" t="n">
        <v>45567.63030092593</v>
      </c>
      <c r="C516" s="1" t="n">
        <v>45911</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23899-2025</t>
        </is>
      </c>
      <c r="B517" s="1" t="n">
        <v>45794.34414351852</v>
      </c>
      <c r="C517" s="1" t="n">
        <v>45911</v>
      </c>
      <c r="D517" t="inlineStr">
        <is>
          <t>VÄSTERNORRLANDS LÄN</t>
        </is>
      </c>
      <c r="E517" t="inlineStr">
        <is>
          <t>ÅNGE</t>
        </is>
      </c>
      <c r="F517" t="inlineStr">
        <is>
          <t>SCA</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58997-2023</t>
        </is>
      </c>
      <c r="B518" s="1" t="n">
        <v>45252.6352662037</v>
      </c>
      <c r="C518" s="1" t="n">
        <v>45911</v>
      </c>
      <c r="D518" t="inlineStr">
        <is>
          <t>VÄSTERNORRLANDS LÄN</t>
        </is>
      </c>
      <c r="E518" t="inlineStr">
        <is>
          <t>ÅNGE</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24014-2025</t>
        </is>
      </c>
      <c r="B519" s="1" t="n">
        <v>45796</v>
      </c>
      <c r="C519" s="1" t="n">
        <v>45911</v>
      </c>
      <c r="D519" t="inlineStr">
        <is>
          <t>VÄSTERNORRLANDS LÄN</t>
        </is>
      </c>
      <c r="E519" t="inlineStr">
        <is>
          <t>ÅNGE</t>
        </is>
      </c>
      <c r="G519" t="n">
        <v>1.5</v>
      </c>
      <c r="H519" t="n">
        <v>0</v>
      </c>
      <c r="I519" t="n">
        <v>0</v>
      </c>
      <c r="J519" t="n">
        <v>0</v>
      </c>
      <c r="K519" t="n">
        <v>0</v>
      </c>
      <c r="L519" t="n">
        <v>0</v>
      </c>
      <c r="M519" t="n">
        <v>0</v>
      </c>
      <c r="N519" t="n">
        <v>0</v>
      </c>
      <c r="O519" t="n">
        <v>0</v>
      </c>
      <c r="P519" t="n">
        <v>0</v>
      </c>
      <c r="Q519" t="n">
        <v>0</v>
      </c>
      <c r="R519" s="2" t="inlineStr"/>
    </row>
    <row r="520" ht="15" customHeight="1">
      <c r="A520" t="inlineStr">
        <is>
          <t>A 23917-2025</t>
        </is>
      </c>
      <c r="B520" s="1" t="n">
        <v>45795.34481481482</v>
      </c>
      <c r="C520" s="1" t="n">
        <v>45911</v>
      </c>
      <c r="D520" t="inlineStr">
        <is>
          <t>VÄSTERNORRLANDS LÄN</t>
        </is>
      </c>
      <c r="E520" t="inlineStr">
        <is>
          <t>ÅNGE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56188-2024</t>
        </is>
      </c>
      <c r="B521" s="1" t="n">
        <v>45624.57800925926</v>
      </c>
      <c r="C521" s="1" t="n">
        <v>45911</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25035-2023</t>
        </is>
      </c>
      <c r="B522" s="1" t="n">
        <v>45085</v>
      </c>
      <c r="C522" s="1" t="n">
        <v>45911</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47792-2022</t>
        </is>
      </c>
      <c r="B523" s="1" t="n">
        <v>44854.95238425926</v>
      </c>
      <c r="C523" s="1" t="n">
        <v>45911</v>
      </c>
      <c r="D523" t="inlineStr">
        <is>
          <t>VÄSTERNORRLANDS LÄN</t>
        </is>
      </c>
      <c r="E523" t="inlineStr">
        <is>
          <t>ÅNGE</t>
        </is>
      </c>
      <c r="F523" t="inlineStr">
        <is>
          <t>SCA</t>
        </is>
      </c>
      <c r="G523" t="n">
        <v>10.9</v>
      </c>
      <c r="H523" t="n">
        <v>0</v>
      </c>
      <c r="I523" t="n">
        <v>0</v>
      </c>
      <c r="J523" t="n">
        <v>0</v>
      </c>
      <c r="K523" t="n">
        <v>0</v>
      </c>
      <c r="L523" t="n">
        <v>0</v>
      </c>
      <c r="M523" t="n">
        <v>0</v>
      </c>
      <c r="N523" t="n">
        <v>0</v>
      </c>
      <c r="O523" t="n">
        <v>0</v>
      </c>
      <c r="P523" t="n">
        <v>0</v>
      </c>
      <c r="Q523" t="n">
        <v>0</v>
      </c>
      <c r="R523" s="2" t="inlineStr"/>
    </row>
    <row r="524" ht="15" customHeight="1">
      <c r="A524" t="inlineStr">
        <is>
          <t>A 39843-2023</t>
        </is>
      </c>
      <c r="B524" s="1" t="n">
        <v>45168</v>
      </c>
      <c r="C524" s="1" t="n">
        <v>45911</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63216-2023</t>
        </is>
      </c>
      <c r="B525" s="1" t="n">
        <v>45273.62721064815</v>
      </c>
      <c r="C525" s="1" t="n">
        <v>45911</v>
      </c>
      <c r="D525" t="inlineStr">
        <is>
          <t>VÄSTERNORRLANDS LÄN</t>
        </is>
      </c>
      <c r="E525" t="inlineStr">
        <is>
          <t>ÅNGE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18869-2024</t>
        </is>
      </c>
      <c r="B526" s="1" t="n">
        <v>45426</v>
      </c>
      <c r="C526" s="1" t="n">
        <v>45911</v>
      </c>
      <c r="D526" t="inlineStr">
        <is>
          <t>VÄSTERNORRLANDS LÄN</t>
        </is>
      </c>
      <c r="E526" t="inlineStr">
        <is>
          <t>ÅNGE</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24797-2024</t>
        </is>
      </c>
      <c r="B527" s="1" t="n">
        <v>45460.95269675926</v>
      </c>
      <c r="C527" s="1" t="n">
        <v>45911</v>
      </c>
      <c r="D527" t="inlineStr">
        <is>
          <t>VÄSTERNORRLANDS LÄN</t>
        </is>
      </c>
      <c r="E527" t="inlineStr">
        <is>
          <t>ÅNGE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24798-2024</t>
        </is>
      </c>
      <c r="B528" s="1" t="n">
        <v>45460.95277777778</v>
      </c>
      <c r="C528" s="1" t="n">
        <v>45911</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55197-2022</t>
        </is>
      </c>
      <c r="B529" s="1" t="n">
        <v>44886.93714120371</v>
      </c>
      <c r="C529" s="1" t="n">
        <v>45911</v>
      </c>
      <c r="D529" t="inlineStr">
        <is>
          <t>VÄSTERNORRLANDS LÄN</t>
        </is>
      </c>
      <c r="E529" t="inlineStr">
        <is>
          <t>ÅNGE</t>
        </is>
      </c>
      <c r="G529" t="n">
        <v>1.4</v>
      </c>
      <c r="H529" t="n">
        <v>0</v>
      </c>
      <c r="I529" t="n">
        <v>0</v>
      </c>
      <c r="J529" t="n">
        <v>0</v>
      </c>
      <c r="K529" t="n">
        <v>0</v>
      </c>
      <c r="L529" t="n">
        <v>0</v>
      </c>
      <c r="M529" t="n">
        <v>0</v>
      </c>
      <c r="N529" t="n">
        <v>0</v>
      </c>
      <c r="O529" t="n">
        <v>0</v>
      </c>
      <c r="P529" t="n">
        <v>0</v>
      </c>
      <c r="Q529" t="n">
        <v>0</v>
      </c>
      <c r="R529" s="2" t="inlineStr"/>
    </row>
    <row r="530" ht="15" customHeight="1">
      <c r="A530" t="inlineStr">
        <is>
          <t>A 40755-2023</t>
        </is>
      </c>
      <c r="B530" s="1" t="n">
        <v>45170</v>
      </c>
      <c r="C530" s="1" t="n">
        <v>45911</v>
      </c>
      <c r="D530" t="inlineStr">
        <is>
          <t>VÄSTERNORRLANDS LÄN</t>
        </is>
      </c>
      <c r="E530" t="inlineStr">
        <is>
          <t>ÅNGE</t>
        </is>
      </c>
      <c r="G530" t="n">
        <v>3.6</v>
      </c>
      <c r="H530" t="n">
        <v>0</v>
      </c>
      <c r="I530" t="n">
        <v>0</v>
      </c>
      <c r="J530" t="n">
        <v>0</v>
      </c>
      <c r="K530" t="n">
        <v>0</v>
      </c>
      <c r="L530" t="n">
        <v>0</v>
      </c>
      <c r="M530" t="n">
        <v>0</v>
      </c>
      <c r="N530" t="n">
        <v>0</v>
      </c>
      <c r="O530" t="n">
        <v>0</v>
      </c>
      <c r="P530" t="n">
        <v>0</v>
      </c>
      <c r="Q530" t="n">
        <v>0</v>
      </c>
      <c r="R530" s="2" t="inlineStr"/>
    </row>
    <row r="531" ht="15" customHeight="1">
      <c r="A531" t="inlineStr">
        <is>
          <t>A 41284-2024</t>
        </is>
      </c>
      <c r="B531" s="1" t="n">
        <v>45559.59520833333</v>
      </c>
      <c r="C531" s="1" t="n">
        <v>45911</v>
      </c>
      <c r="D531" t="inlineStr">
        <is>
          <t>VÄSTERNORRLANDS LÄN</t>
        </is>
      </c>
      <c r="E531" t="inlineStr">
        <is>
          <t>ÅNGE</t>
        </is>
      </c>
      <c r="F531" t="inlineStr">
        <is>
          <t>SCA</t>
        </is>
      </c>
      <c r="G531" t="n">
        <v>5.5</v>
      </c>
      <c r="H531" t="n">
        <v>0</v>
      </c>
      <c r="I531" t="n">
        <v>0</v>
      </c>
      <c r="J531" t="n">
        <v>0</v>
      </c>
      <c r="K531" t="n">
        <v>0</v>
      </c>
      <c r="L531" t="n">
        <v>0</v>
      </c>
      <c r="M531" t="n">
        <v>0</v>
      </c>
      <c r="N531" t="n">
        <v>0</v>
      </c>
      <c r="O531" t="n">
        <v>0</v>
      </c>
      <c r="P531" t="n">
        <v>0</v>
      </c>
      <c r="Q531" t="n">
        <v>0</v>
      </c>
      <c r="R531" s="2" t="inlineStr"/>
    </row>
    <row r="532" ht="15" customHeight="1">
      <c r="A532" t="inlineStr">
        <is>
          <t>A 50186-2021</t>
        </is>
      </c>
      <c r="B532" s="1" t="n">
        <v>44456</v>
      </c>
      <c r="C532" s="1" t="n">
        <v>45911</v>
      </c>
      <c r="D532" t="inlineStr">
        <is>
          <t>VÄSTERNORRLANDS LÄN</t>
        </is>
      </c>
      <c r="E532" t="inlineStr">
        <is>
          <t>ÅNGE</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23975-2025</t>
        </is>
      </c>
      <c r="B533" s="1" t="n">
        <v>45796.38614583333</v>
      </c>
      <c r="C533" s="1" t="n">
        <v>45911</v>
      </c>
      <c r="D533" t="inlineStr">
        <is>
          <t>VÄSTERNORRLANDS LÄN</t>
        </is>
      </c>
      <c r="E533" t="inlineStr">
        <is>
          <t>ÅNGE</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23976-2025</t>
        </is>
      </c>
      <c r="B534" s="1" t="n">
        <v>45796.38625</v>
      </c>
      <c r="C534" s="1" t="n">
        <v>45911</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23958-2025</t>
        </is>
      </c>
      <c r="B535" s="1" t="n">
        <v>45796</v>
      </c>
      <c r="C535" s="1" t="n">
        <v>45911</v>
      </c>
      <c r="D535" t="inlineStr">
        <is>
          <t>VÄSTERNORRLANDS LÄN</t>
        </is>
      </c>
      <c r="E535" t="inlineStr">
        <is>
          <t>ÅNGE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23921-2025</t>
        </is>
      </c>
      <c r="B536" s="1" t="n">
        <v>45795.34513888889</v>
      </c>
      <c r="C536" s="1" t="n">
        <v>45911</v>
      </c>
      <c r="D536" t="inlineStr">
        <is>
          <t>VÄSTERNORRLANDS LÄN</t>
        </is>
      </c>
      <c r="E536" t="inlineStr">
        <is>
          <t>ÅNGE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54079-2023</t>
        </is>
      </c>
      <c r="B537" s="1" t="n">
        <v>45231</v>
      </c>
      <c r="C537" s="1" t="n">
        <v>45911</v>
      </c>
      <c r="D537" t="inlineStr">
        <is>
          <t>VÄSTERNORRLANDS LÄN</t>
        </is>
      </c>
      <c r="E537" t="inlineStr">
        <is>
          <t>ÅNGE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32901-2023</t>
        </is>
      </c>
      <c r="B538" s="1" t="n">
        <v>45124.95063657407</v>
      </c>
      <c r="C538" s="1" t="n">
        <v>45911</v>
      </c>
      <c r="D538" t="inlineStr">
        <is>
          <t>VÄSTERNORRLANDS LÄN</t>
        </is>
      </c>
      <c r="E538" t="inlineStr">
        <is>
          <t>ÅNGE</t>
        </is>
      </c>
      <c r="F538" t="inlineStr">
        <is>
          <t>SCA</t>
        </is>
      </c>
      <c r="G538" t="n">
        <v>4.8</v>
      </c>
      <c r="H538" t="n">
        <v>0</v>
      </c>
      <c r="I538" t="n">
        <v>0</v>
      </c>
      <c r="J538" t="n">
        <v>0</v>
      </c>
      <c r="K538" t="n">
        <v>0</v>
      </c>
      <c r="L538" t="n">
        <v>0</v>
      </c>
      <c r="M538" t="n">
        <v>0</v>
      </c>
      <c r="N538" t="n">
        <v>0</v>
      </c>
      <c r="O538" t="n">
        <v>0</v>
      </c>
      <c r="P538" t="n">
        <v>0</v>
      </c>
      <c r="Q538" t="n">
        <v>0</v>
      </c>
      <c r="R538" s="2" t="inlineStr"/>
    </row>
    <row r="539" ht="15" customHeight="1">
      <c r="A539" t="inlineStr">
        <is>
          <t>A 29702-2024</t>
        </is>
      </c>
      <c r="B539" s="1" t="n">
        <v>45485.31525462963</v>
      </c>
      <c r="C539" s="1" t="n">
        <v>45911</v>
      </c>
      <c r="D539" t="inlineStr">
        <is>
          <t>VÄSTERNORRLANDS LÄN</t>
        </is>
      </c>
      <c r="E539" t="inlineStr">
        <is>
          <t>ÅNGE</t>
        </is>
      </c>
      <c r="G539" t="n">
        <v>2.6</v>
      </c>
      <c r="H539" t="n">
        <v>0</v>
      </c>
      <c r="I539" t="n">
        <v>0</v>
      </c>
      <c r="J539" t="n">
        <v>0</v>
      </c>
      <c r="K539" t="n">
        <v>0</v>
      </c>
      <c r="L539" t="n">
        <v>0</v>
      </c>
      <c r="M539" t="n">
        <v>0</v>
      </c>
      <c r="N539" t="n">
        <v>0</v>
      </c>
      <c r="O539" t="n">
        <v>0</v>
      </c>
      <c r="P539" t="n">
        <v>0</v>
      </c>
      <c r="Q539" t="n">
        <v>0</v>
      </c>
      <c r="R539" s="2" t="inlineStr"/>
    </row>
    <row r="540" ht="15" customHeight="1">
      <c r="A540" t="inlineStr">
        <is>
          <t>A 16903-2024</t>
        </is>
      </c>
      <c r="B540" s="1" t="n">
        <v>45411.63106481481</v>
      </c>
      <c r="C540" s="1" t="n">
        <v>45911</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16915-2024</t>
        </is>
      </c>
      <c r="B541" s="1" t="n">
        <v>45411.65185185185</v>
      </c>
      <c r="C541" s="1" t="n">
        <v>45911</v>
      </c>
      <c r="D541" t="inlineStr">
        <is>
          <t>VÄSTERNORRLANDS LÄN</t>
        </is>
      </c>
      <c r="E541" t="inlineStr">
        <is>
          <t>ÅNGE</t>
        </is>
      </c>
      <c r="G541" t="n">
        <v>2.1</v>
      </c>
      <c r="H541" t="n">
        <v>0</v>
      </c>
      <c r="I541" t="n">
        <v>0</v>
      </c>
      <c r="J541" t="n">
        <v>0</v>
      </c>
      <c r="K541" t="n">
        <v>0</v>
      </c>
      <c r="L541" t="n">
        <v>0</v>
      </c>
      <c r="M541" t="n">
        <v>0</v>
      </c>
      <c r="N541" t="n">
        <v>0</v>
      </c>
      <c r="O541" t="n">
        <v>0</v>
      </c>
      <c r="P541" t="n">
        <v>0</v>
      </c>
      <c r="Q541" t="n">
        <v>0</v>
      </c>
      <c r="R541" s="2" t="inlineStr"/>
    </row>
    <row r="542" ht="15" customHeight="1">
      <c r="A542" t="inlineStr">
        <is>
          <t>A 5613-2024</t>
        </is>
      </c>
      <c r="B542" s="1" t="n">
        <v>45334</v>
      </c>
      <c r="C542" s="1" t="n">
        <v>45911</v>
      </c>
      <c r="D542" t="inlineStr">
        <is>
          <t>VÄSTERNORRLANDS LÄN</t>
        </is>
      </c>
      <c r="E542" t="inlineStr">
        <is>
          <t>ÅNGE</t>
        </is>
      </c>
      <c r="G542" t="n">
        <v>0.4</v>
      </c>
      <c r="H542" t="n">
        <v>0</v>
      </c>
      <c r="I542" t="n">
        <v>0</v>
      </c>
      <c r="J542" t="n">
        <v>0</v>
      </c>
      <c r="K542" t="n">
        <v>0</v>
      </c>
      <c r="L542" t="n">
        <v>0</v>
      </c>
      <c r="M542" t="n">
        <v>0</v>
      </c>
      <c r="N542" t="n">
        <v>0</v>
      </c>
      <c r="O542" t="n">
        <v>0</v>
      </c>
      <c r="P542" t="n">
        <v>0</v>
      </c>
      <c r="Q542" t="n">
        <v>0</v>
      </c>
      <c r="R542" s="2" t="inlineStr"/>
    </row>
    <row r="543" ht="15" customHeight="1">
      <c r="A543" t="inlineStr">
        <is>
          <t>A 26641-2024</t>
        </is>
      </c>
      <c r="B543" s="1" t="n">
        <v>45469.92836805555</v>
      </c>
      <c r="C543" s="1" t="n">
        <v>45911</v>
      </c>
      <c r="D543" t="inlineStr">
        <is>
          <t>VÄSTERNORRLANDS LÄN</t>
        </is>
      </c>
      <c r="E543" t="inlineStr">
        <is>
          <t>ÅNGE</t>
        </is>
      </c>
      <c r="G543" t="n">
        <v>4.5</v>
      </c>
      <c r="H543" t="n">
        <v>0</v>
      </c>
      <c r="I543" t="n">
        <v>0</v>
      </c>
      <c r="J543" t="n">
        <v>0</v>
      </c>
      <c r="K543" t="n">
        <v>0</v>
      </c>
      <c r="L543" t="n">
        <v>0</v>
      </c>
      <c r="M543" t="n">
        <v>0</v>
      </c>
      <c r="N543" t="n">
        <v>0</v>
      </c>
      <c r="O543" t="n">
        <v>0</v>
      </c>
      <c r="P543" t="n">
        <v>0</v>
      </c>
      <c r="Q543" t="n">
        <v>0</v>
      </c>
      <c r="R543" s="2" t="inlineStr"/>
    </row>
    <row r="544" ht="15" customHeight="1">
      <c r="A544" t="inlineStr">
        <is>
          <t>A 41741-2023</t>
        </is>
      </c>
      <c r="B544" s="1" t="n">
        <v>45176.42164351852</v>
      </c>
      <c r="C544" s="1" t="n">
        <v>45911</v>
      </c>
      <c r="D544" t="inlineStr">
        <is>
          <t>VÄSTERNORRLANDS LÄN</t>
        </is>
      </c>
      <c r="E544" t="inlineStr">
        <is>
          <t>ÅNGE</t>
        </is>
      </c>
      <c r="G544" t="n">
        <v>7.8</v>
      </c>
      <c r="H544" t="n">
        <v>0</v>
      </c>
      <c r="I544" t="n">
        <v>0</v>
      </c>
      <c r="J544" t="n">
        <v>0</v>
      </c>
      <c r="K544" t="n">
        <v>0</v>
      </c>
      <c r="L544" t="n">
        <v>0</v>
      </c>
      <c r="M544" t="n">
        <v>0</v>
      </c>
      <c r="N544" t="n">
        <v>0</v>
      </c>
      <c r="O544" t="n">
        <v>0</v>
      </c>
      <c r="P544" t="n">
        <v>0</v>
      </c>
      <c r="Q544" t="n">
        <v>0</v>
      </c>
      <c r="R544" s="2" t="inlineStr"/>
    </row>
    <row r="545" ht="15" customHeight="1">
      <c r="A545" t="inlineStr">
        <is>
          <t>A 54456-2024</t>
        </is>
      </c>
      <c r="B545" s="1" t="n">
        <v>45617.53160879629</v>
      </c>
      <c r="C545" s="1" t="n">
        <v>45911</v>
      </c>
      <c r="D545" t="inlineStr">
        <is>
          <t>VÄSTERNORRLANDS LÄN</t>
        </is>
      </c>
      <c r="E545" t="inlineStr">
        <is>
          <t>ÅNGE</t>
        </is>
      </c>
      <c r="F545" t="inlineStr">
        <is>
          <t>SCA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37992-2024</t>
        </is>
      </c>
      <c r="B546" s="1" t="n">
        <v>45544.59524305556</v>
      </c>
      <c r="C546" s="1" t="n">
        <v>45911</v>
      </c>
      <c r="D546" t="inlineStr">
        <is>
          <t>VÄSTERNORRLANDS LÄN</t>
        </is>
      </c>
      <c r="E546" t="inlineStr">
        <is>
          <t>ÅNGE</t>
        </is>
      </c>
      <c r="G546" t="n">
        <v>3.9</v>
      </c>
      <c r="H546" t="n">
        <v>0</v>
      </c>
      <c r="I546" t="n">
        <v>0</v>
      </c>
      <c r="J546" t="n">
        <v>0</v>
      </c>
      <c r="K546" t="n">
        <v>0</v>
      </c>
      <c r="L546" t="n">
        <v>0</v>
      </c>
      <c r="M546" t="n">
        <v>0</v>
      </c>
      <c r="N546" t="n">
        <v>0</v>
      </c>
      <c r="O546" t="n">
        <v>0</v>
      </c>
      <c r="P546" t="n">
        <v>0</v>
      </c>
      <c r="Q546" t="n">
        <v>0</v>
      </c>
      <c r="R546" s="2" t="inlineStr"/>
    </row>
    <row r="547" ht="15" customHeight="1">
      <c r="A547" t="inlineStr">
        <is>
          <t>A 57516-2023</t>
        </is>
      </c>
      <c r="B547" s="1" t="n">
        <v>45246.44665509259</v>
      </c>
      <c r="C547" s="1" t="n">
        <v>45911</v>
      </c>
      <c r="D547" t="inlineStr">
        <is>
          <t>VÄSTERNORRLANDS LÄN</t>
        </is>
      </c>
      <c r="E547" t="inlineStr">
        <is>
          <t>ÅNGE</t>
        </is>
      </c>
      <c r="G547" t="n">
        <v>2.2</v>
      </c>
      <c r="H547" t="n">
        <v>0</v>
      </c>
      <c r="I547" t="n">
        <v>0</v>
      </c>
      <c r="J547" t="n">
        <v>0</v>
      </c>
      <c r="K547" t="n">
        <v>0</v>
      </c>
      <c r="L547" t="n">
        <v>0</v>
      </c>
      <c r="M547" t="n">
        <v>0</v>
      </c>
      <c r="N547" t="n">
        <v>0</v>
      </c>
      <c r="O547" t="n">
        <v>0</v>
      </c>
      <c r="P547" t="n">
        <v>0</v>
      </c>
      <c r="Q547" t="n">
        <v>0</v>
      </c>
      <c r="R547" s="2" t="inlineStr"/>
    </row>
    <row r="548" ht="15" customHeight="1">
      <c r="A548" t="inlineStr">
        <is>
          <t>A 23069-2024</t>
        </is>
      </c>
      <c r="B548" s="1" t="n">
        <v>45450</v>
      </c>
      <c r="C548" s="1" t="n">
        <v>45911</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41575-2024</t>
        </is>
      </c>
      <c r="B549" s="1" t="n">
        <v>45560.55106481481</v>
      </c>
      <c r="C549" s="1" t="n">
        <v>45911</v>
      </c>
      <c r="D549" t="inlineStr">
        <is>
          <t>VÄSTERNORRLANDS LÄN</t>
        </is>
      </c>
      <c r="E549" t="inlineStr">
        <is>
          <t>ÅNGE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24008-2025</t>
        </is>
      </c>
      <c r="B550" s="1" t="n">
        <v>45796.43841435185</v>
      </c>
      <c r="C550" s="1" t="n">
        <v>45911</v>
      </c>
      <c r="D550" t="inlineStr">
        <is>
          <t>VÄSTERNORRLANDS LÄN</t>
        </is>
      </c>
      <c r="E550" t="inlineStr">
        <is>
          <t>ÅNGE</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19007-2025</t>
        </is>
      </c>
      <c r="B551" s="1" t="n">
        <v>45764.58515046296</v>
      </c>
      <c r="C551" s="1" t="n">
        <v>45911</v>
      </c>
      <c r="D551" t="inlineStr">
        <is>
          <t>VÄSTERNORRLANDS LÄN</t>
        </is>
      </c>
      <c r="E551" t="inlineStr">
        <is>
          <t>ÅNGE</t>
        </is>
      </c>
      <c r="G551" t="n">
        <v>3.7</v>
      </c>
      <c r="H551" t="n">
        <v>0</v>
      </c>
      <c r="I551" t="n">
        <v>0</v>
      </c>
      <c r="J551" t="n">
        <v>0</v>
      </c>
      <c r="K551" t="n">
        <v>0</v>
      </c>
      <c r="L551" t="n">
        <v>0</v>
      </c>
      <c r="M551" t="n">
        <v>0</v>
      </c>
      <c r="N551" t="n">
        <v>0</v>
      </c>
      <c r="O551" t="n">
        <v>0</v>
      </c>
      <c r="P551" t="n">
        <v>0</v>
      </c>
      <c r="Q551" t="n">
        <v>0</v>
      </c>
      <c r="R551" s="2" t="inlineStr"/>
    </row>
    <row r="552" ht="15" customHeight="1">
      <c r="A552" t="inlineStr">
        <is>
          <t>A 60004-2023</t>
        </is>
      </c>
      <c r="B552" s="1" t="n">
        <v>45257</v>
      </c>
      <c r="C552" s="1" t="n">
        <v>45911</v>
      </c>
      <c r="D552" t="inlineStr">
        <is>
          <t>VÄSTERNORRLANDS LÄN</t>
        </is>
      </c>
      <c r="E552" t="inlineStr">
        <is>
          <t>ÅNGE</t>
        </is>
      </c>
      <c r="F552" t="inlineStr">
        <is>
          <t>SCA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24116-2025</t>
        </is>
      </c>
      <c r="B553" s="1" t="n">
        <v>45796.61498842593</v>
      </c>
      <c r="C553" s="1" t="n">
        <v>45911</v>
      </c>
      <c r="D553" t="inlineStr">
        <is>
          <t>VÄSTERNORRLANDS LÄN</t>
        </is>
      </c>
      <c r="E553" t="inlineStr">
        <is>
          <t>ÅNGE</t>
        </is>
      </c>
      <c r="F553" t="inlineStr">
        <is>
          <t>SCA</t>
        </is>
      </c>
      <c r="G553" t="n">
        <v>14.4</v>
      </c>
      <c r="H553" t="n">
        <v>0</v>
      </c>
      <c r="I553" t="n">
        <v>0</v>
      </c>
      <c r="J553" t="n">
        <v>0</v>
      </c>
      <c r="K553" t="n">
        <v>0</v>
      </c>
      <c r="L553" t="n">
        <v>0</v>
      </c>
      <c r="M553" t="n">
        <v>0</v>
      </c>
      <c r="N553" t="n">
        <v>0</v>
      </c>
      <c r="O553" t="n">
        <v>0</v>
      </c>
      <c r="P553" t="n">
        <v>0</v>
      </c>
      <c r="Q553" t="n">
        <v>0</v>
      </c>
      <c r="R553" s="2" t="inlineStr"/>
    </row>
    <row r="554" ht="15" customHeight="1">
      <c r="A554" t="inlineStr">
        <is>
          <t>A 25311-2023</t>
        </is>
      </c>
      <c r="B554" s="1" t="n">
        <v>45086.93869212963</v>
      </c>
      <c r="C554" s="1" t="n">
        <v>45911</v>
      </c>
      <c r="D554" t="inlineStr">
        <is>
          <t>VÄSTERNORRLANDS LÄN</t>
        </is>
      </c>
      <c r="E554" t="inlineStr">
        <is>
          <t>ÅNGE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43622-2023</t>
        </is>
      </c>
      <c r="B555" s="1" t="n">
        <v>45184.70777777778</v>
      </c>
      <c r="C555" s="1" t="n">
        <v>45911</v>
      </c>
      <c r="D555" t="inlineStr">
        <is>
          <t>VÄSTERNORRLANDS LÄN</t>
        </is>
      </c>
      <c r="E555" t="inlineStr">
        <is>
          <t>ÅNGE</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24458-2025</t>
        </is>
      </c>
      <c r="B556" s="1" t="n">
        <v>45798.34476851852</v>
      </c>
      <c r="C556" s="1" t="n">
        <v>45911</v>
      </c>
      <c r="D556" t="inlineStr">
        <is>
          <t>VÄSTERNORRLANDS LÄN</t>
        </is>
      </c>
      <c r="E556" t="inlineStr">
        <is>
          <t>ÅNGE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29390-2021</t>
        </is>
      </c>
      <c r="B557" s="1" t="n">
        <v>44361</v>
      </c>
      <c r="C557" s="1" t="n">
        <v>45911</v>
      </c>
      <c r="D557" t="inlineStr">
        <is>
          <t>VÄSTERNORRLANDS LÄN</t>
        </is>
      </c>
      <c r="E557" t="inlineStr">
        <is>
          <t>ÅNGE</t>
        </is>
      </c>
      <c r="F557" t="inlineStr">
        <is>
          <t>Holmen skog AB</t>
        </is>
      </c>
      <c r="G557" t="n">
        <v>1.7</v>
      </c>
      <c r="H557" t="n">
        <v>0</v>
      </c>
      <c r="I557" t="n">
        <v>0</v>
      </c>
      <c r="J557" t="n">
        <v>0</v>
      </c>
      <c r="K557" t="n">
        <v>0</v>
      </c>
      <c r="L557" t="n">
        <v>0</v>
      </c>
      <c r="M557" t="n">
        <v>0</v>
      </c>
      <c r="N557" t="n">
        <v>0</v>
      </c>
      <c r="O557" t="n">
        <v>0</v>
      </c>
      <c r="P557" t="n">
        <v>0</v>
      </c>
      <c r="Q557" t="n">
        <v>0</v>
      </c>
      <c r="R557" s="2" t="inlineStr"/>
    </row>
    <row r="558" ht="15" customHeight="1">
      <c r="A558" t="inlineStr">
        <is>
          <t>A 30054-2024</t>
        </is>
      </c>
      <c r="B558" s="1" t="n">
        <v>45488.94758101852</v>
      </c>
      <c r="C558" s="1" t="n">
        <v>45911</v>
      </c>
      <c r="D558" t="inlineStr">
        <is>
          <t>VÄSTERNORRLANDS LÄN</t>
        </is>
      </c>
      <c r="E558" t="inlineStr">
        <is>
          <t>ÅNGE</t>
        </is>
      </c>
      <c r="F558" t="inlineStr">
        <is>
          <t>SCA</t>
        </is>
      </c>
      <c r="G558" t="n">
        <v>11.7</v>
      </c>
      <c r="H558" t="n">
        <v>0</v>
      </c>
      <c r="I558" t="n">
        <v>0</v>
      </c>
      <c r="J558" t="n">
        <v>0</v>
      </c>
      <c r="K558" t="n">
        <v>0</v>
      </c>
      <c r="L558" t="n">
        <v>0</v>
      </c>
      <c r="M558" t="n">
        <v>0</v>
      </c>
      <c r="N558" t="n">
        <v>0</v>
      </c>
      <c r="O558" t="n">
        <v>0</v>
      </c>
      <c r="P558" t="n">
        <v>0</v>
      </c>
      <c r="Q558" t="n">
        <v>0</v>
      </c>
      <c r="R558" s="2" t="inlineStr"/>
    </row>
    <row r="559" ht="15" customHeight="1">
      <c r="A559" t="inlineStr">
        <is>
          <t>A 24357-2025</t>
        </is>
      </c>
      <c r="B559" s="1" t="n">
        <v>45797.59467592592</v>
      </c>
      <c r="C559" s="1" t="n">
        <v>45911</v>
      </c>
      <c r="D559" t="inlineStr">
        <is>
          <t>VÄSTERNORRLANDS LÄN</t>
        </is>
      </c>
      <c r="E559" t="inlineStr">
        <is>
          <t>ÅNGE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24207-2025</t>
        </is>
      </c>
      <c r="B560" s="1" t="n">
        <v>45797.34439814815</v>
      </c>
      <c r="C560" s="1" t="n">
        <v>45911</v>
      </c>
      <c r="D560" t="inlineStr">
        <is>
          <t>VÄSTERNORRLANDS LÄN</t>
        </is>
      </c>
      <c r="E560" t="inlineStr">
        <is>
          <t>ÅNGE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24292-2025</t>
        </is>
      </c>
      <c r="B561" s="1" t="n">
        <v>45797.46657407407</v>
      </c>
      <c r="C561" s="1" t="n">
        <v>45911</v>
      </c>
      <c r="D561" t="inlineStr">
        <is>
          <t>VÄSTERNORRLANDS LÄN</t>
        </is>
      </c>
      <c r="E561" t="inlineStr">
        <is>
          <t>ÅNGE</t>
        </is>
      </c>
      <c r="G561" t="n">
        <v>2.8</v>
      </c>
      <c r="H561" t="n">
        <v>0</v>
      </c>
      <c r="I561" t="n">
        <v>0</v>
      </c>
      <c r="J561" t="n">
        <v>0</v>
      </c>
      <c r="K561" t="n">
        <v>0</v>
      </c>
      <c r="L561" t="n">
        <v>0</v>
      </c>
      <c r="M561" t="n">
        <v>0</v>
      </c>
      <c r="N561" t="n">
        <v>0</v>
      </c>
      <c r="O561" t="n">
        <v>0</v>
      </c>
      <c r="P561" t="n">
        <v>0</v>
      </c>
      <c r="Q561" t="n">
        <v>0</v>
      </c>
      <c r="R561" s="2" t="inlineStr"/>
    </row>
    <row r="562" ht="15" customHeight="1">
      <c r="A562" t="inlineStr">
        <is>
          <t>A 4142-2024</t>
        </is>
      </c>
      <c r="B562" s="1" t="n">
        <v>45323</v>
      </c>
      <c r="C562" s="1" t="n">
        <v>45911</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27853-2024</t>
        </is>
      </c>
      <c r="B563" s="1" t="n">
        <v>45475</v>
      </c>
      <c r="C563" s="1" t="n">
        <v>45911</v>
      </c>
      <c r="D563" t="inlineStr">
        <is>
          <t>VÄSTERNORRLANDS LÄN</t>
        </is>
      </c>
      <c r="E563" t="inlineStr">
        <is>
          <t>ÅNGE</t>
        </is>
      </c>
      <c r="G563" t="n">
        <v>3.7</v>
      </c>
      <c r="H563" t="n">
        <v>0</v>
      </c>
      <c r="I563" t="n">
        <v>0</v>
      </c>
      <c r="J563" t="n">
        <v>0</v>
      </c>
      <c r="K563" t="n">
        <v>0</v>
      </c>
      <c r="L563" t="n">
        <v>0</v>
      </c>
      <c r="M563" t="n">
        <v>0</v>
      </c>
      <c r="N563" t="n">
        <v>0</v>
      </c>
      <c r="O563" t="n">
        <v>0</v>
      </c>
      <c r="P563" t="n">
        <v>0</v>
      </c>
      <c r="Q563" t="n">
        <v>0</v>
      </c>
      <c r="R563" s="2" t="inlineStr"/>
    </row>
    <row r="564" ht="15" customHeight="1">
      <c r="A564" t="inlineStr">
        <is>
          <t>A 10781-2024</t>
        </is>
      </c>
      <c r="B564" s="1" t="n">
        <v>45369.59635416666</v>
      </c>
      <c r="C564" s="1" t="n">
        <v>45911</v>
      </c>
      <c r="D564" t="inlineStr">
        <is>
          <t>VÄSTERNORRLANDS LÄN</t>
        </is>
      </c>
      <c r="E564" t="inlineStr">
        <is>
          <t>ÅNGE</t>
        </is>
      </c>
      <c r="G564" t="n">
        <v>1.9</v>
      </c>
      <c r="H564" t="n">
        <v>0</v>
      </c>
      <c r="I564" t="n">
        <v>0</v>
      </c>
      <c r="J564" t="n">
        <v>0</v>
      </c>
      <c r="K564" t="n">
        <v>0</v>
      </c>
      <c r="L564" t="n">
        <v>0</v>
      </c>
      <c r="M564" t="n">
        <v>0</v>
      </c>
      <c r="N564" t="n">
        <v>0</v>
      </c>
      <c r="O564" t="n">
        <v>0</v>
      </c>
      <c r="P564" t="n">
        <v>0</v>
      </c>
      <c r="Q564" t="n">
        <v>0</v>
      </c>
      <c r="R564" s="2" t="inlineStr"/>
    </row>
    <row r="565" ht="15" customHeight="1">
      <c r="A565" t="inlineStr">
        <is>
          <t>A 24627-2025</t>
        </is>
      </c>
      <c r="B565" s="1" t="n">
        <v>45798.59471064815</v>
      </c>
      <c r="C565" s="1" t="n">
        <v>45911</v>
      </c>
      <c r="D565" t="inlineStr">
        <is>
          <t>VÄSTERNORRLANDS LÄN</t>
        </is>
      </c>
      <c r="E565" t="inlineStr">
        <is>
          <t>ÅNGE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24209-2025</t>
        </is>
      </c>
      <c r="B566" s="1" t="n">
        <v>45797.3446875</v>
      </c>
      <c r="C566" s="1" t="n">
        <v>45911</v>
      </c>
      <c r="D566" t="inlineStr">
        <is>
          <t>VÄSTERNORRLANDS LÄN</t>
        </is>
      </c>
      <c r="E566" t="inlineStr">
        <is>
          <t>ÅNGE</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24232-2025</t>
        </is>
      </c>
      <c r="B567" s="1" t="n">
        <v>45797.37846064815</v>
      </c>
      <c r="C567" s="1" t="n">
        <v>45911</v>
      </c>
      <c r="D567" t="inlineStr">
        <is>
          <t>VÄSTERNORRLANDS LÄN</t>
        </is>
      </c>
      <c r="E567" t="inlineStr">
        <is>
          <t>ÅNGE</t>
        </is>
      </c>
      <c r="G567" t="n">
        <v>2.8</v>
      </c>
      <c r="H567" t="n">
        <v>0</v>
      </c>
      <c r="I567" t="n">
        <v>0</v>
      </c>
      <c r="J567" t="n">
        <v>0</v>
      </c>
      <c r="K567" t="n">
        <v>0</v>
      </c>
      <c r="L567" t="n">
        <v>0</v>
      </c>
      <c r="M567" t="n">
        <v>0</v>
      </c>
      <c r="N567" t="n">
        <v>0</v>
      </c>
      <c r="O567" t="n">
        <v>0</v>
      </c>
      <c r="P567" t="n">
        <v>0</v>
      </c>
      <c r="Q567" t="n">
        <v>0</v>
      </c>
      <c r="R567" s="2" t="inlineStr"/>
    </row>
    <row r="568" ht="15" customHeight="1">
      <c r="A568" t="inlineStr">
        <is>
          <t>A 25340-2025</t>
        </is>
      </c>
      <c r="B568" s="1" t="n">
        <v>45800.60074074074</v>
      </c>
      <c r="C568" s="1" t="n">
        <v>45911</v>
      </c>
      <c r="D568" t="inlineStr">
        <is>
          <t>VÄSTERNORRLANDS LÄN</t>
        </is>
      </c>
      <c r="E568" t="inlineStr">
        <is>
          <t>ÅNGE</t>
        </is>
      </c>
      <c r="G568" t="n">
        <v>2.7</v>
      </c>
      <c r="H568" t="n">
        <v>0</v>
      </c>
      <c r="I568" t="n">
        <v>0</v>
      </c>
      <c r="J568" t="n">
        <v>0</v>
      </c>
      <c r="K568" t="n">
        <v>0</v>
      </c>
      <c r="L568" t="n">
        <v>0</v>
      </c>
      <c r="M568" t="n">
        <v>0</v>
      </c>
      <c r="N568" t="n">
        <v>0</v>
      </c>
      <c r="O568" t="n">
        <v>0</v>
      </c>
      <c r="P568" t="n">
        <v>0</v>
      </c>
      <c r="Q568" t="n">
        <v>0</v>
      </c>
      <c r="R568" s="2" t="inlineStr"/>
    </row>
    <row r="569" ht="15" customHeight="1">
      <c r="A569" t="inlineStr">
        <is>
          <t>A 25273-2025</t>
        </is>
      </c>
      <c r="B569" s="1" t="n">
        <v>45800.55253472222</v>
      </c>
      <c r="C569" s="1" t="n">
        <v>45911</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25352-2025</t>
        </is>
      </c>
      <c r="B570" s="1" t="n">
        <v>45800.61552083334</v>
      </c>
      <c r="C570" s="1" t="n">
        <v>45911</v>
      </c>
      <c r="D570" t="inlineStr">
        <is>
          <t>VÄSTERNORRLANDS LÄN</t>
        </is>
      </c>
      <c r="E570" t="inlineStr">
        <is>
          <t>ÅNGE</t>
        </is>
      </c>
      <c r="F570" t="inlineStr">
        <is>
          <t>SCA</t>
        </is>
      </c>
      <c r="G570" t="n">
        <v>6.3</v>
      </c>
      <c r="H570" t="n">
        <v>0</v>
      </c>
      <c r="I570" t="n">
        <v>0</v>
      </c>
      <c r="J570" t="n">
        <v>0</v>
      </c>
      <c r="K570" t="n">
        <v>0</v>
      </c>
      <c r="L570" t="n">
        <v>0</v>
      </c>
      <c r="M570" t="n">
        <v>0</v>
      </c>
      <c r="N570" t="n">
        <v>0</v>
      </c>
      <c r="O570" t="n">
        <v>0</v>
      </c>
      <c r="P570" t="n">
        <v>0</v>
      </c>
      <c r="Q570" t="n">
        <v>0</v>
      </c>
      <c r="R570" s="2" t="inlineStr"/>
    </row>
    <row r="571" ht="15" customHeight="1">
      <c r="A571" t="inlineStr">
        <is>
          <t>A 4904-2024</t>
        </is>
      </c>
      <c r="B571" s="1" t="n">
        <v>45329.47856481482</v>
      </c>
      <c r="C571" s="1" t="n">
        <v>45911</v>
      </c>
      <c r="D571" t="inlineStr">
        <is>
          <t>VÄSTERNORRLANDS LÄN</t>
        </is>
      </c>
      <c r="E571" t="inlineStr">
        <is>
          <t>ÅNGE</t>
        </is>
      </c>
      <c r="G571" t="n">
        <v>3.5</v>
      </c>
      <c r="H571" t="n">
        <v>0</v>
      </c>
      <c r="I571" t="n">
        <v>0</v>
      </c>
      <c r="J571" t="n">
        <v>0</v>
      </c>
      <c r="K571" t="n">
        <v>0</v>
      </c>
      <c r="L571" t="n">
        <v>0</v>
      </c>
      <c r="M571" t="n">
        <v>0</v>
      </c>
      <c r="N571" t="n">
        <v>0</v>
      </c>
      <c r="O571" t="n">
        <v>0</v>
      </c>
      <c r="P571" t="n">
        <v>0</v>
      </c>
      <c r="Q571" t="n">
        <v>0</v>
      </c>
      <c r="R571" s="2" t="inlineStr"/>
    </row>
    <row r="572" ht="15" customHeight="1">
      <c r="A572" t="inlineStr">
        <is>
          <t>A 25017-2025</t>
        </is>
      </c>
      <c r="B572" s="1" t="n">
        <v>45799.63791666667</v>
      </c>
      <c r="C572" s="1" t="n">
        <v>45911</v>
      </c>
      <c r="D572" t="inlineStr">
        <is>
          <t>VÄSTERNORRLANDS LÄN</t>
        </is>
      </c>
      <c r="E572" t="inlineStr">
        <is>
          <t>ÅNGE</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29462-2024</t>
        </is>
      </c>
      <c r="B573" s="1" t="n">
        <v>45483.96979166667</v>
      </c>
      <c r="C573" s="1" t="n">
        <v>45911</v>
      </c>
      <c r="D573" t="inlineStr">
        <is>
          <t>VÄSTERNORRLANDS LÄN</t>
        </is>
      </c>
      <c r="E573" t="inlineStr">
        <is>
          <t>ÅNGE</t>
        </is>
      </c>
      <c r="F573" t="inlineStr">
        <is>
          <t>SCA</t>
        </is>
      </c>
      <c r="G573" t="n">
        <v>8.4</v>
      </c>
      <c r="H573" t="n">
        <v>0</v>
      </c>
      <c r="I573" t="n">
        <v>0</v>
      </c>
      <c r="J573" t="n">
        <v>0</v>
      </c>
      <c r="K573" t="n">
        <v>0</v>
      </c>
      <c r="L573" t="n">
        <v>0</v>
      </c>
      <c r="M573" t="n">
        <v>0</v>
      </c>
      <c r="N573" t="n">
        <v>0</v>
      </c>
      <c r="O573" t="n">
        <v>0</v>
      </c>
      <c r="P573" t="n">
        <v>0</v>
      </c>
      <c r="Q573" t="n">
        <v>0</v>
      </c>
      <c r="R573" s="2" t="inlineStr"/>
    </row>
    <row r="574" ht="15" customHeight="1">
      <c r="A574" t="inlineStr">
        <is>
          <t>A 31864-2024</t>
        </is>
      </c>
      <c r="B574" s="1" t="n">
        <v>45509.74791666667</v>
      </c>
      <c r="C574" s="1" t="n">
        <v>45911</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49532-2024</t>
        </is>
      </c>
      <c r="B575" s="1" t="n">
        <v>45596.41797453703</v>
      </c>
      <c r="C575" s="1" t="n">
        <v>45911</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40790-2023</t>
        </is>
      </c>
      <c r="B576" s="1" t="n">
        <v>45170.95814814815</v>
      </c>
      <c r="C576" s="1" t="n">
        <v>45911</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11310-2023</t>
        </is>
      </c>
      <c r="B577" s="1" t="n">
        <v>44993.01190972222</v>
      </c>
      <c r="C577" s="1" t="n">
        <v>45911</v>
      </c>
      <c r="D577" t="inlineStr">
        <is>
          <t>VÄSTERNORRLANDS LÄN</t>
        </is>
      </c>
      <c r="E577" t="inlineStr">
        <is>
          <t>ÅNGE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1090-2023</t>
        </is>
      </c>
      <c r="B578" s="1" t="n">
        <v>44929</v>
      </c>
      <c r="C578" s="1" t="n">
        <v>45911</v>
      </c>
      <c r="D578" t="inlineStr">
        <is>
          <t>VÄSTERNORRLANDS LÄN</t>
        </is>
      </c>
      <c r="E578" t="inlineStr">
        <is>
          <t>ÅNGE</t>
        </is>
      </c>
      <c r="G578" t="n">
        <v>0.7</v>
      </c>
      <c r="H578" t="n">
        <v>0</v>
      </c>
      <c r="I578" t="n">
        <v>0</v>
      </c>
      <c r="J578" t="n">
        <v>0</v>
      </c>
      <c r="K578" t="n">
        <v>0</v>
      </c>
      <c r="L578" t="n">
        <v>0</v>
      </c>
      <c r="M578" t="n">
        <v>0</v>
      </c>
      <c r="N578" t="n">
        <v>0</v>
      </c>
      <c r="O578" t="n">
        <v>0</v>
      </c>
      <c r="P578" t="n">
        <v>0</v>
      </c>
      <c r="Q578" t="n">
        <v>0</v>
      </c>
      <c r="R578" s="2" t="inlineStr"/>
    </row>
    <row r="579" ht="15" customHeight="1">
      <c r="A579" t="inlineStr">
        <is>
          <t>A 25241-2025</t>
        </is>
      </c>
      <c r="B579" s="1" t="n">
        <v>45800.49053240741</v>
      </c>
      <c r="C579" s="1" t="n">
        <v>45911</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25274-2025</t>
        </is>
      </c>
      <c r="B580" s="1" t="n">
        <v>45800.55276620371</v>
      </c>
      <c r="C580" s="1" t="n">
        <v>45911</v>
      </c>
      <c r="D580" t="inlineStr">
        <is>
          <t>VÄSTERNORRLANDS LÄN</t>
        </is>
      </c>
      <c r="E580" t="inlineStr">
        <is>
          <t>ÅNGE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44178-2023</t>
        </is>
      </c>
      <c r="B581" s="1" t="n">
        <v>45183</v>
      </c>
      <c r="C581" s="1" t="n">
        <v>45911</v>
      </c>
      <c r="D581" t="inlineStr">
        <is>
          <t>VÄSTERNORRLANDS LÄN</t>
        </is>
      </c>
      <c r="E581" t="inlineStr">
        <is>
          <t>ÅNGE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8648-2025</t>
        </is>
      </c>
      <c r="B582" s="1" t="n">
        <v>45712.34501157407</v>
      </c>
      <c r="C582" s="1" t="n">
        <v>45911</v>
      </c>
      <c r="D582" t="inlineStr">
        <is>
          <t>VÄSTERNORRLANDS LÄN</t>
        </is>
      </c>
      <c r="E582" t="inlineStr">
        <is>
          <t>ÅNGE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27952-2024</t>
        </is>
      </c>
      <c r="B583" s="1" t="n">
        <v>45476.33063657407</v>
      </c>
      <c r="C583" s="1" t="n">
        <v>45911</v>
      </c>
      <c r="D583" t="inlineStr">
        <is>
          <t>VÄSTERNORRLANDS LÄN</t>
        </is>
      </c>
      <c r="E583" t="inlineStr">
        <is>
          <t>ÅNGE</t>
        </is>
      </c>
      <c r="G583" t="n">
        <v>12.2</v>
      </c>
      <c r="H583" t="n">
        <v>0</v>
      </c>
      <c r="I583" t="n">
        <v>0</v>
      </c>
      <c r="J583" t="n">
        <v>0</v>
      </c>
      <c r="K583" t="n">
        <v>0</v>
      </c>
      <c r="L583" t="n">
        <v>0</v>
      </c>
      <c r="M583" t="n">
        <v>0</v>
      </c>
      <c r="N583" t="n">
        <v>0</v>
      </c>
      <c r="O583" t="n">
        <v>0</v>
      </c>
      <c r="P583" t="n">
        <v>0</v>
      </c>
      <c r="Q583" t="n">
        <v>0</v>
      </c>
      <c r="R583" s="2" t="inlineStr"/>
    </row>
    <row r="584" ht="15" customHeight="1">
      <c r="A584" t="inlineStr">
        <is>
          <t>A 25332-2025</t>
        </is>
      </c>
      <c r="B584" s="1" t="n">
        <v>45800.59418981482</v>
      </c>
      <c r="C584" s="1" t="n">
        <v>45911</v>
      </c>
      <c r="D584" t="inlineStr">
        <is>
          <t>VÄSTERNORRLANDS LÄN</t>
        </is>
      </c>
      <c r="E584" t="inlineStr">
        <is>
          <t>ÅNGE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24852-2025</t>
        </is>
      </c>
      <c r="B585" s="1" t="n">
        <v>45799.46975694445</v>
      </c>
      <c r="C585" s="1" t="n">
        <v>45911</v>
      </c>
      <c r="D585" t="inlineStr">
        <is>
          <t>VÄSTERNORRLANDS LÄN</t>
        </is>
      </c>
      <c r="E585" t="inlineStr">
        <is>
          <t>ÅNGE</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24847-2025</t>
        </is>
      </c>
      <c r="B586" s="1" t="n">
        <v>45799.46907407408</v>
      </c>
      <c r="C586" s="1" t="n">
        <v>45911</v>
      </c>
      <c r="D586" t="inlineStr">
        <is>
          <t>VÄSTERNORRLANDS LÄN</t>
        </is>
      </c>
      <c r="E586" t="inlineStr">
        <is>
          <t>ÅNGE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25067-2025</t>
        </is>
      </c>
      <c r="B587" s="1" t="n">
        <v>45799.71908564815</v>
      </c>
      <c r="C587" s="1" t="n">
        <v>45911</v>
      </c>
      <c r="D587" t="inlineStr">
        <is>
          <t>VÄSTERNORRLANDS LÄN</t>
        </is>
      </c>
      <c r="E587" t="inlineStr">
        <is>
          <t>ÅNGE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32439-2024</t>
        </is>
      </c>
      <c r="B588" s="1" t="n">
        <v>45512</v>
      </c>
      <c r="C588" s="1" t="n">
        <v>45911</v>
      </c>
      <c r="D588" t="inlineStr">
        <is>
          <t>VÄSTERNORRLANDS LÄN</t>
        </is>
      </c>
      <c r="E588" t="inlineStr">
        <is>
          <t>ÅNGE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51054-2024</t>
        </is>
      </c>
      <c r="B589" s="1" t="n">
        <v>45603</v>
      </c>
      <c r="C589" s="1" t="n">
        <v>45911</v>
      </c>
      <c r="D589" t="inlineStr">
        <is>
          <t>VÄSTERNORRLANDS LÄN</t>
        </is>
      </c>
      <c r="E589" t="inlineStr">
        <is>
          <t>ÅNGE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60363-2024</t>
        </is>
      </c>
      <c r="B590" s="1" t="n">
        <v>45643</v>
      </c>
      <c r="C590" s="1" t="n">
        <v>45911</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51070-2024</t>
        </is>
      </c>
      <c r="B591" s="1" t="n">
        <v>45603</v>
      </c>
      <c r="C591" s="1" t="n">
        <v>45911</v>
      </c>
      <c r="D591" t="inlineStr">
        <is>
          <t>VÄSTERNORRLANDS LÄN</t>
        </is>
      </c>
      <c r="E591" t="inlineStr">
        <is>
          <t>ÅNGE</t>
        </is>
      </c>
      <c r="G591" t="n">
        <v>11.1</v>
      </c>
      <c r="H591" t="n">
        <v>0</v>
      </c>
      <c r="I591" t="n">
        <v>0</v>
      </c>
      <c r="J591" t="n">
        <v>0</v>
      </c>
      <c r="K591" t="n">
        <v>0</v>
      </c>
      <c r="L591" t="n">
        <v>0</v>
      </c>
      <c r="M591" t="n">
        <v>0</v>
      </c>
      <c r="N591" t="n">
        <v>0</v>
      </c>
      <c r="O591" t="n">
        <v>0</v>
      </c>
      <c r="P591" t="n">
        <v>0</v>
      </c>
      <c r="Q591" t="n">
        <v>0</v>
      </c>
      <c r="R591" s="2" t="inlineStr"/>
    </row>
    <row r="592" ht="15" customHeight="1">
      <c r="A592" t="inlineStr">
        <is>
          <t>A 60514-2024</t>
        </is>
      </c>
      <c r="B592" s="1" t="n">
        <v>45643.67474537037</v>
      </c>
      <c r="C592" s="1" t="n">
        <v>45911</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25532-2025</t>
        </is>
      </c>
      <c r="B593" s="1" t="n">
        <v>45803.4065162037</v>
      </c>
      <c r="C593" s="1" t="n">
        <v>45911</v>
      </c>
      <c r="D593" t="inlineStr">
        <is>
          <t>VÄSTERNORRLANDS LÄN</t>
        </is>
      </c>
      <c r="E593" t="inlineStr">
        <is>
          <t>ÅNGE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25810-2025</t>
        </is>
      </c>
      <c r="B594" s="1" t="n">
        <v>45804.42083333333</v>
      </c>
      <c r="C594" s="1" t="n">
        <v>45911</v>
      </c>
      <c r="D594" t="inlineStr">
        <is>
          <t>VÄSTERNORRLANDS LÄN</t>
        </is>
      </c>
      <c r="E594" t="inlineStr">
        <is>
          <t>ÅNGE</t>
        </is>
      </c>
      <c r="G594" t="n">
        <v>6.2</v>
      </c>
      <c r="H594" t="n">
        <v>0</v>
      </c>
      <c r="I594" t="n">
        <v>0</v>
      </c>
      <c r="J594" t="n">
        <v>0</v>
      </c>
      <c r="K594" t="n">
        <v>0</v>
      </c>
      <c r="L594" t="n">
        <v>0</v>
      </c>
      <c r="M594" t="n">
        <v>0</v>
      </c>
      <c r="N594" t="n">
        <v>0</v>
      </c>
      <c r="O594" t="n">
        <v>0</v>
      </c>
      <c r="P594" t="n">
        <v>0</v>
      </c>
      <c r="Q594" t="n">
        <v>0</v>
      </c>
      <c r="R594" s="2" t="inlineStr"/>
    </row>
    <row r="595" ht="15" customHeight="1">
      <c r="A595" t="inlineStr">
        <is>
          <t>A 25717-2025</t>
        </is>
      </c>
      <c r="B595" s="1" t="n">
        <v>45803.6985300926</v>
      </c>
      <c r="C595" s="1" t="n">
        <v>45911</v>
      </c>
      <c r="D595" t="inlineStr">
        <is>
          <t>VÄSTERNORRLANDS LÄN</t>
        </is>
      </c>
      <c r="E595" t="inlineStr">
        <is>
          <t>ÅNGE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31863-2024</t>
        </is>
      </c>
      <c r="B596" s="1" t="n">
        <v>45509.74121527778</v>
      </c>
      <c r="C596" s="1" t="n">
        <v>45911</v>
      </c>
      <c r="D596" t="inlineStr">
        <is>
          <t>VÄSTERNORRLANDS LÄN</t>
        </is>
      </c>
      <c r="E596" t="inlineStr">
        <is>
          <t>ÅNGE</t>
        </is>
      </c>
      <c r="G596" t="n">
        <v>4.5</v>
      </c>
      <c r="H596" t="n">
        <v>0</v>
      </c>
      <c r="I596" t="n">
        <v>0</v>
      </c>
      <c r="J596" t="n">
        <v>0</v>
      </c>
      <c r="K596" t="n">
        <v>0</v>
      </c>
      <c r="L596" t="n">
        <v>0</v>
      </c>
      <c r="M596" t="n">
        <v>0</v>
      </c>
      <c r="N596" t="n">
        <v>0</v>
      </c>
      <c r="O596" t="n">
        <v>0</v>
      </c>
      <c r="P596" t="n">
        <v>0</v>
      </c>
      <c r="Q596" t="n">
        <v>0</v>
      </c>
      <c r="R596" s="2" t="inlineStr"/>
    </row>
    <row r="597" ht="15" customHeight="1">
      <c r="A597" t="inlineStr">
        <is>
          <t>A 53651-2023</t>
        </is>
      </c>
      <c r="B597" s="1" t="n">
        <v>45230.60815972222</v>
      </c>
      <c r="C597" s="1" t="n">
        <v>45911</v>
      </c>
      <c r="D597" t="inlineStr">
        <is>
          <t>VÄSTERNORRLANDS LÄN</t>
        </is>
      </c>
      <c r="E597" t="inlineStr">
        <is>
          <t>ÅNGE</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25706-2025</t>
        </is>
      </c>
      <c r="B598" s="1" t="n">
        <v>45803.67788194444</v>
      </c>
      <c r="C598" s="1" t="n">
        <v>45911</v>
      </c>
      <c r="D598" t="inlineStr">
        <is>
          <t>VÄSTERNORRLANDS LÄN</t>
        </is>
      </c>
      <c r="E598" t="inlineStr">
        <is>
          <t>ÅNGE</t>
        </is>
      </c>
      <c r="F598" t="inlineStr">
        <is>
          <t>SCA</t>
        </is>
      </c>
      <c r="G598" t="n">
        <v>13.1</v>
      </c>
      <c r="H598" t="n">
        <v>0</v>
      </c>
      <c r="I598" t="n">
        <v>0</v>
      </c>
      <c r="J598" t="n">
        <v>0</v>
      </c>
      <c r="K598" t="n">
        <v>0</v>
      </c>
      <c r="L598" t="n">
        <v>0</v>
      </c>
      <c r="M598" t="n">
        <v>0</v>
      </c>
      <c r="N598" t="n">
        <v>0</v>
      </c>
      <c r="O598" t="n">
        <v>0</v>
      </c>
      <c r="P598" t="n">
        <v>0</v>
      </c>
      <c r="Q598" t="n">
        <v>0</v>
      </c>
      <c r="R598" s="2" t="inlineStr"/>
    </row>
    <row r="599" ht="15" customHeight="1">
      <c r="A599" t="inlineStr">
        <is>
          <t>A 52665-2024</t>
        </is>
      </c>
      <c r="B599" s="1" t="n">
        <v>45610.36549768518</v>
      </c>
      <c r="C599" s="1" t="n">
        <v>45911</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36877-2024</t>
        </is>
      </c>
      <c r="B600" s="1" t="n">
        <v>45538.59418981482</v>
      </c>
      <c r="C600" s="1" t="n">
        <v>45911</v>
      </c>
      <c r="D600" t="inlineStr">
        <is>
          <t>VÄSTERNORRLANDS LÄN</t>
        </is>
      </c>
      <c r="E600" t="inlineStr">
        <is>
          <t>ÅNGE</t>
        </is>
      </c>
      <c r="G600" t="n">
        <v>3.3</v>
      </c>
      <c r="H600" t="n">
        <v>0</v>
      </c>
      <c r="I600" t="n">
        <v>0</v>
      </c>
      <c r="J600" t="n">
        <v>0</v>
      </c>
      <c r="K600" t="n">
        <v>0</v>
      </c>
      <c r="L600" t="n">
        <v>0</v>
      </c>
      <c r="M600" t="n">
        <v>0</v>
      </c>
      <c r="N600" t="n">
        <v>0</v>
      </c>
      <c r="O600" t="n">
        <v>0</v>
      </c>
      <c r="P600" t="n">
        <v>0</v>
      </c>
      <c r="Q600" t="n">
        <v>0</v>
      </c>
      <c r="R600" s="2" t="inlineStr"/>
    </row>
    <row r="601" ht="15" customHeight="1">
      <c r="A601" t="inlineStr">
        <is>
          <t>A 25499-2025</t>
        </is>
      </c>
      <c r="B601" s="1" t="n">
        <v>45803.344375</v>
      </c>
      <c r="C601" s="1" t="n">
        <v>45911</v>
      </c>
      <c r="D601" t="inlineStr">
        <is>
          <t>VÄSTERNORRLANDS LÄN</t>
        </is>
      </c>
      <c r="E601" t="inlineStr">
        <is>
          <t>ÅNGE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25772-2025</t>
        </is>
      </c>
      <c r="B602" s="1" t="n">
        <v>45804.34520833333</v>
      </c>
      <c r="C602" s="1" t="n">
        <v>45911</v>
      </c>
      <c r="D602" t="inlineStr">
        <is>
          <t>VÄSTERNORRLANDS LÄN</t>
        </is>
      </c>
      <c r="E602" t="inlineStr">
        <is>
          <t>ÅNGE</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35426-2024</t>
        </is>
      </c>
      <c r="B603" s="1" t="n">
        <v>45531</v>
      </c>
      <c r="C603" s="1" t="n">
        <v>45911</v>
      </c>
      <c r="D603" t="inlineStr">
        <is>
          <t>VÄSTERNORRLANDS LÄN</t>
        </is>
      </c>
      <c r="E603" t="inlineStr">
        <is>
          <t>ÅNGE</t>
        </is>
      </c>
      <c r="F603" t="inlineStr">
        <is>
          <t>SCA</t>
        </is>
      </c>
      <c r="G603" t="n">
        <v>10.9</v>
      </c>
      <c r="H603" t="n">
        <v>0</v>
      </c>
      <c r="I603" t="n">
        <v>0</v>
      </c>
      <c r="J603" t="n">
        <v>0</v>
      </c>
      <c r="K603" t="n">
        <v>0</v>
      </c>
      <c r="L603" t="n">
        <v>0</v>
      </c>
      <c r="M603" t="n">
        <v>0</v>
      </c>
      <c r="N603" t="n">
        <v>0</v>
      </c>
      <c r="O603" t="n">
        <v>0</v>
      </c>
      <c r="P603" t="n">
        <v>0</v>
      </c>
      <c r="Q603" t="n">
        <v>0</v>
      </c>
      <c r="R603" s="2" t="inlineStr"/>
    </row>
    <row r="604" ht="15" customHeight="1">
      <c r="A604" t="inlineStr">
        <is>
          <t>A 31545-2024</t>
        </is>
      </c>
      <c r="B604" s="1" t="n">
        <v>45505</v>
      </c>
      <c r="C604" s="1" t="n">
        <v>45911</v>
      </c>
      <c r="D604" t="inlineStr">
        <is>
          <t>VÄSTERNORRLANDS LÄN</t>
        </is>
      </c>
      <c r="E604" t="inlineStr">
        <is>
          <t>ÅNGE</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32458-2024</t>
        </is>
      </c>
      <c r="B605" s="1" t="n">
        <v>45512</v>
      </c>
      <c r="C605" s="1" t="n">
        <v>45911</v>
      </c>
      <c r="D605" t="inlineStr">
        <is>
          <t>VÄSTERNORRLANDS LÄN</t>
        </is>
      </c>
      <c r="E605" t="inlineStr">
        <is>
          <t>ÅNGE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53171-2020</t>
        </is>
      </c>
      <c r="B606" s="1" t="n">
        <v>44120</v>
      </c>
      <c r="C606" s="1" t="n">
        <v>45911</v>
      </c>
      <c r="D606" t="inlineStr">
        <is>
          <t>VÄSTERNORRLANDS LÄN</t>
        </is>
      </c>
      <c r="E606" t="inlineStr">
        <is>
          <t>ÅNGE</t>
        </is>
      </c>
      <c r="F606" t="inlineStr">
        <is>
          <t>SCA</t>
        </is>
      </c>
      <c r="G606" t="n">
        <v>6.9</v>
      </c>
      <c r="H606" t="n">
        <v>0</v>
      </c>
      <c r="I606" t="n">
        <v>0</v>
      </c>
      <c r="J606" t="n">
        <v>0</v>
      </c>
      <c r="K606" t="n">
        <v>0</v>
      </c>
      <c r="L606" t="n">
        <v>0</v>
      </c>
      <c r="M606" t="n">
        <v>0</v>
      </c>
      <c r="N606" t="n">
        <v>0</v>
      </c>
      <c r="O606" t="n">
        <v>0</v>
      </c>
      <c r="P606" t="n">
        <v>0</v>
      </c>
      <c r="Q606" t="n">
        <v>0</v>
      </c>
      <c r="R606" s="2" t="inlineStr"/>
    </row>
    <row r="607" ht="15" customHeight="1">
      <c r="A607" t="inlineStr">
        <is>
          <t>A 27915-2024</t>
        </is>
      </c>
      <c r="B607" s="1" t="n">
        <v>45475</v>
      </c>
      <c r="C607" s="1" t="n">
        <v>45911</v>
      </c>
      <c r="D607" t="inlineStr">
        <is>
          <t>VÄSTERNORRLANDS LÄN</t>
        </is>
      </c>
      <c r="E607" t="inlineStr">
        <is>
          <t>ÅNGE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41831-2021</t>
        </is>
      </c>
      <c r="B608" s="1" t="n">
        <v>44425.92212962963</v>
      </c>
      <c r="C608" s="1" t="n">
        <v>45911</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57815-2024</t>
        </is>
      </c>
      <c r="B609" s="1" t="n">
        <v>45631.37068287037</v>
      </c>
      <c r="C609" s="1" t="n">
        <v>45911</v>
      </c>
      <c r="D609" t="inlineStr">
        <is>
          <t>VÄSTERNORRLANDS LÄN</t>
        </is>
      </c>
      <c r="E609" t="inlineStr">
        <is>
          <t>ÅNGE</t>
        </is>
      </c>
      <c r="G609" t="n">
        <v>2.6</v>
      </c>
      <c r="H609" t="n">
        <v>0</v>
      </c>
      <c r="I609" t="n">
        <v>0</v>
      </c>
      <c r="J609" t="n">
        <v>0</v>
      </c>
      <c r="K609" t="n">
        <v>0</v>
      </c>
      <c r="L609" t="n">
        <v>0</v>
      </c>
      <c r="M609" t="n">
        <v>0</v>
      </c>
      <c r="N609" t="n">
        <v>0</v>
      </c>
      <c r="O609" t="n">
        <v>0</v>
      </c>
      <c r="P609" t="n">
        <v>0</v>
      </c>
      <c r="Q609" t="n">
        <v>0</v>
      </c>
      <c r="R609" s="2" t="inlineStr"/>
    </row>
    <row r="610" ht="15" customHeight="1">
      <c r="A610" t="inlineStr">
        <is>
          <t>A 15863-2022</t>
        </is>
      </c>
      <c r="B610" s="1" t="n">
        <v>44664</v>
      </c>
      <c r="C610" s="1" t="n">
        <v>45911</v>
      </c>
      <c r="D610" t="inlineStr">
        <is>
          <t>VÄSTERNORRLANDS LÄN</t>
        </is>
      </c>
      <c r="E610" t="inlineStr">
        <is>
          <t>ÅNGE</t>
        </is>
      </c>
      <c r="G610" t="n">
        <v>3.6</v>
      </c>
      <c r="H610" t="n">
        <v>0</v>
      </c>
      <c r="I610" t="n">
        <v>0</v>
      </c>
      <c r="J610" t="n">
        <v>0</v>
      </c>
      <c r="K610" t="n">
        <v>0</v>
      </c>
      <c r="L610" t="n">
        <v>0</v>
      </c>
      <c r="M610" t="n">
        <v>0</v>
      </c>
      <c r="N610" t="n">
        <v>0</v>
      </c>
      <c r="O610" t="n">
        <v>0</v>
      </c>
      <c r="P610" t="n">
        <v>0</v>
      </c>
      <c r="Q610" t="n">
        <v>0</v>
      </c>
      <c r="R610" s="2" t="inlineStr"/>
    </row>
    <row r="611" ht="15" customHeight="1">
      <c r="A611" t="inlineStr">
        <is>
          <t>A 1964-2022</t>
        </is>
      </c>
      <c r="B611" s="1" t="n">
        <v>44575.5050462963</v>
      </c>
      <c r="C611" s="1" t="n">
        <v>45911</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6691-2024</t>
        </is>
      </c>
      <c r="B612" s="1" t="n">
        <v>45341</v>
      </c>
      <c r="C612" s="1" t="n">
        <v>45911</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63522-2021</t>
        </is>
      </c>
      <c r="B613" s="1" t="n">
        <v>44508</v>
      </c>
      <c r="C613" s="1" t="n">
        <v>45911</v>
      </c>
      <c r="D613" t="inlineStr">
        <is>
          <t>VÄSTERNORRLANDS LÄN</t>
        </is>
      </c>
      <c r="E613" t="inlineStr">
        <is>
          <t>ÅNGE</t>
        </is>
      </c>
      <c r="F613" t="inlineStr">
        <is>
          <t>Övriga Aktiebolag</t>
        </is>
      </c>
      <c r="G613" t="n">
        <v>3.5</v>
      </c>
      <c r="H613" t="n">
        <v>0</v>
      </c>
      <c r="I613" t="n">
        <v>0</v>
      </c>
      <c r="J613" t="n">
        <v>0</v>
      </c>
      <c r="K613" t="n">
        <v>0</v>
      </c>
      <c r="L613" t="n">
        <v>0</v>
      </c>
      <c r="M613" t="n">
        <v>0</v>
      </c>
      <c r="N613" t="n">
        <v>0</v>
      </c>
      <c r="O613" t="n">
        <v>0</v>
      </c>
      <c r="P613" t="n">
        <v>0</v>
      </c>
      <c r="Q613" t="n">
        <v>0</v>
      </c>
      <c r="R613" s="2" t="inlineStr"/>
    </row>
    <row r="614" ht="15" customHeight="1">
      <c r="A614" t="inlineStr">
        <is>
          <t>A 57287-2022</t>
        </is>
      </c>
      <c r="B614" s="1" t="n">
        <v>44895.95</v>
      </c>
      <c r="C614" s="1" t="n">
        <v>45911</v>
      </c>
      <c r="D614" t="inlineStr">
        <is>
          <t>VÄSTERNORRLANDS LÄN</t>
        </is>
      </c>
      <c r="E614" t="inlineStr">
        <is>
          <t>ÅNGE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57291-2022</t>
        </is>
      </c>
      <c r="B615" s="1" t="n">
        <v>44895</v>
      </c>
      <c r="C615" s="1" t="n">
        <v>45911</v>
      </c>
      <c r="D615" t="inlineStr">
        <is>
          <t>VÄSTERNORRLANDS LÄN</t>
        </is>
      </c>
      <c r="E615" t="inlineStr">
        <is>
          <t>ÅNGE</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6680-2024</t>
        </is>
      </c>
      <c r="B616" s="1" t="n">
        <v>45341</v>
      </c>
      <c r="C616" s="1" t="n">
        <v>45911</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6685-2024</t>
        </is>
      </c>
      <c r="B617" s="1" t="n">
        <v>45341</v>
      </c>
      <c r="C617" s="1" t="n">
        <v>45911</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6689-2024</t>
        </is>
      </c>
      <c r="B618" s="1" t="n">
        <v>45341.9259375</v>
      </c>
      <c r="C618" s="1" t="n">
        <v>45911</v>
      </c>
      <c r="D618" t="inlineStr">
        <is>
          <t>VÄSTERNORRLANDS LÄN</t>
        </is>
      </c>
      <c r="E618" t="inlineStr">
        <is>
          <t>ÅNGE</t>
        </is>
      </c>
      <c r="G618" t="n">
        <v>1</v>
      </c>
      <c r="H618" t="n">
        <v>0</v>
      </c>
      <c r="I618" t="n">
        <v>0</v>
      </c>
      <c r="J618" t="n">
        <v>0</v>
      </c>
      <c r="K618" t="n">
        <v>0</v>
      </c>
      <c r="L618" t="n">
        <v>0</v>
      </c>
      <c r="M618" t="n">
        <v>0</v>
      </c>
      <c r="N618" t="n">
        <v>0</v>
      </c>
      <c r="O618" t="n">
        <v>0</v>
      </c>
      <c r="P618" t="n">
        <v>0</v>
      </c>
      <c r="Q618" t="n">
        <v>0</v>
      </c>
      <c r="R618" s="2" t="inlineStr"/>
    </row>
    <row r="619" ht="15" customHeight="1">
      <c r="A619" t="inlineStr">
        <is>
          <t>A 12123-2024</t>
        </is>
      </c>
      <c r="B619" s="1" t="n">
        <v>45377</v>
      </c>
      <c r="C619" s="1" t="n">
        <v>45911</v>
      </c>
      <c r="D619" t="inlineStr">
        <is>
          <t>VÄSTERNORRLANDS LÄN</t>
        </is>
      </c>
      <c r="E619" t="inlineStr">
        <is>
          <t>ÅNGE</t>
        </is>
      </c>
      <c r="G619" t="n">
        <v>2.2</v>
      </c>
      <c r="H619" t="n">
        <v>0</v>
      </c>
      <c r="I619" t="n">
        <v>0</v>
      </c>
      <c r="J619" t="n">
        <v>0</v>
      </c>
      <c r="K619" t="n">
        <v>0</v>
      </c>
      <c r="L619" t="n">
        <v>0</v>
      </c>
      <c r="M619" t="n">
        <v>0</v>
      </c>
      <c r="N619" t="n">
        <v>0</v>
      </c>
      <c r="O619" t="n">
        <v>0</v>
      </c>
      <c r="P619" t="n">
        <v>0</v>
      </c>
      <c r="Q619" t="n">
        <v>0</v>
      </c>
      <c r="R619" s="2" t="inlineStr"/>
    </row>
    <row r="620" ht="15" customHeight="1">
      <c r="A620" t="inlineStr">
        <is>
          <t>A 35488-2024</t>
        </is>
      </c>
      <c r="B620" s="1" t="n">
        <v>45531</v>
      </c>
      <c r="C620" s="1" t="n">
        <v>45911</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26193-2025</t>
        </is>
      </c>
      <c r="B621" s="1" t="n">
        <v>45805.48922453704</v>
      </c>
      <c r="C621" s="1" t="n">
        <v>45911</v>
      </c>
      <c r="D621" t="inlineStr">
        <is>
          <t>VÄSTERNORRLANDS LÄN</t>
        </is>
      </c>
      <c r="E621" t="inlineStr">
        <is>
          <t>ÅNGE</t>
        </is>
      </c>
      <c r="G621" t="n">
        <v>2.3</v>
      </c>
      <c r="H621" t="n">
        <v>0</v>
      </c>
      <c r="I621" t="n">
        <v>0</v>
      </c>
      <c r="J621" t="n">
        <v>0</v>
      </c>
      <c r="K621" t="n">
        <v>0</v>
      </c>
      <c r="L621" t="n">
        <v>0</v>
      </c>
      <c r="M621" t="n">
        <v>0</v>
      </c>
      <c r="N621" t="n">
        <v>0</v>
      </c>
      <c r="O621" t="n">
        <v>0</v>
      </c>
      <c r="P621" t="n">
        <v>0</v>
      </c>
      <c r="Q621" t="n">
        <v>0</v>
      </c>
      <c r="R621" s="2" t="inlineStr"/>
    </row>
    <row r="622" ht="15" customHeight="1">
      <c r="A622" t="inlineStr">
        <is>
          <t>A 35593-2024</t>
        </is>
      </c>
      <c r="B622" s="1" t="n">
        <v>45531</v>
      </c>
      <c r="C622" s="1" t="n">
        <v>45911</v>
      </c>
      <c r="D622" t="inlineStr">
        <is>
          <t>VÄSTERNORRLANDS LÄN</t>
        </is>
      </c>
      <c r="E622" t="inlineStr">
        <is>
          <t>ÅNGE</t>
        </is>
      </c>
      <c r="G622" t="n">
        <v>17.6</v>
      </c>
      <c r="H622" t="n">
        <v>0</v>
      </c>
      <c r="I622" t="n">
        <v>0</v>
      </c>
      <c r="J622" t="n">
        <v>0</v>
      </c>
      <c r="K622" t="n">
        <v>0</v>
      </c>
      <c r="L622" t="n">
        <v>0</v>
      </c>
      <c r="M622" t="n">
        <v>0</v>
      </c>
      <c r="N622" t="n">
        <v>0</v>
      </c>
      <c r="O622" t="n">
        <v>0</v>
      </c>
      <c r="P622" t="n">
        <v>0</v>
      </c>
      <c r="Q622" t="n">
        <v>0</v>
      </c>
      <c r="R622" s="2" t="inlineStr"/>
    </row>
    <row r="623" ht="15" customHeight="1">
      <c r="A623" t="inlineStr">
        <is>
          <t>A 27468-2024</t>
        </is>
      </c>
      <c r="B623" s="1" t="n">
        <v>45474</v>
      </c>
      <c r="C623" s="1" t="n">
        <v>45911</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26388-2025</t>
        </is>
      </c>
      <c r="B624" s="1" t="n">
        <v>45806.51069444444</v>
      </c>
      <c r="C624" s="1" t="n">
        <v>45911</v>
      </c>
      <c r="D624" t="inlineStr">
        <is>
          <t>VÄSTERNORRLANDS LÄN</t>
        </is>
      </c>
      <c r="E624" t="inlineStr">
        <is>
          <t>ÅNGE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12806-2025</t>
        </is>
      </c>
      <c r="B625" s="1" t="n">
        <v>45733.61518518518</v>
      </c>
      <c r="C625" s="1" t="n">
        <v>45911</v>
      </c>
      <c r="D625" t="inlineStr">
        <is>
          <t>VÄSTERNORRLANDS LÄN</t>
        </is>
      </c>
      <c r="E625" t="inlineStr">
        <is>
          <t>ÅNGE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26365-2025</t>
        </is>
      </c>
      <c r="B626" s="1" t="n">
        <v>45806.34412037037</v>
      </c>
      <c r="C626" s="1" t="n">
        <v>45911</v>
      </c>
      <c r="D626" t="inlineStr">
        <is>
          <t>VÄSTERNORRLANDS LÄN</t>
        </is>
      </c>
      <c r="E626" t="inlineStr">
        <is>
          <t>ÅNGE</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20024-2023</t>
        </is>
      </c>
      <c r="B627" s="1" t="n">
        <v>45051</v>
      </c>
      <c r="C627" s="1" t="n">
        <v>45911</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13164-2022</t>
        </is>
      </c>
      <c r="B628" s="1" t="n">
        <v>44644</v>
      </c>
      <c r="C628" s="1" t="n">
        <v>45911</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5456-2024</t>
        </is>
      </c>
      <c r="B629" s="1" t="n">
        <v>45331</v>
      </c>
      <c r="C629" s="1" t="n">
        <v>45911</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30055-2024</t>
        </is>
      </c>
      <c r="B630" s="1" t="n">
        <v>45488.94767361111</v>
      </c>
      <c r="C630" s="1" t="n">
        <v>45911</v>
      </c>
      <c r="D630" t="inlineStr">
        <is>
          <t>VÄSTERNORRLANDS LÄN</t>
        </is>
      </c>
      <c r="E630" t="inlineStr">
        <is>
          <t>ÅNGE</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30474-2024</t>
        </is>
      </c>
      <c r="B631" s="1" t="n">
        <v>45491</v>
      </c>
      <c r="C631" s="1" t="n">
        <v>45911</v>
      </c>
      <c r="D631" t="inlineStr">
        <is>
          <t>VÄSTERNORRLANDS LÄN</t>
        </is>
      </c>
      <c r="E631" t="inlineStr">
        <is>
          <t>ÅNGE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30475-2024</t>
        </is>
      </c>
      <c r="B632" s="1" t="n">
        <v>45491</v>
      </c>
      <c r="C632" s="1" t="n">
        <v>45911</v>
      </c>
      <c r="D632" t="inlineStr">
        <is>
          <t>VÄSTERNORRLANDS LÄN</t>
        </is>
      </c>
      <c r="E632" t="inlineStr">
        <is>
          <t>ÅNGE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26389-2025</t>
        </is>
      </c>
      <c r="B633" s="1" t="n">
        <v>45806.51078703703</v>
      </c>
      <c r="C633" s="1" t="n">
        <v>45911</v>
      </c>
      <c r="D633" t="inlineStr">
        <is>
          <t>VÄSTERNORRLANDS LÄN</t>
        </is>
      </c>
      <c r="E633" t="inlineStr">
        <is>
          <t>ÅNGE</t>
        </is>
      </c>
      <c r="F633" t="inlineStr">
        <is>
          <t>SCA</t>
        </is>
      </c>
      <c r="G633" t="n">
        <v>11.9</v>
      </c>
      <c r="H633" t="n">
        <v>0</v>
      </c>
      <c r="I633" t="n">
        <v>0</v>
      </c>
      <c r="J633" t="n">
        <v>0</v>
      </c>
      <c r="K633" t="n">
        <v>0</v>
      </c>
      <c r="L633" t="n">
        <v>0</v>
      </c>
      <c r="M633" t="n">
        <v>0</v>
      </c>
      <c r="N633" t="n">
        <v>0</v>
      </c>
      <c r="O633" t="n">
        <v>0</v>
      </c>
      <c r="P633" t="n">
        <v>0</v>
      </c>
      <c r="Q633" t="n">
        <v>0</v>
      </c>
      <c r="R633" s="2" t="inlineStr"/>
    </row>
    <row r="634" ht="15" customHeight="1">
      <c r="A634" t="inlineStr">
        <is>
          <t>A 21262-2025</t>
        </is>
      </c>
      <c r="B634" s="1" t="n">
        <v>45779</v>
      </c>
      <c r="C634" s="1" t="n">
        <v>45911</v>
      </c>
      <c r="D634" t="inlineStr">
        <is>
          <t>VÄSTERNORRLANDS LÄN</t>
        </is>
      </c>
      <c r="E634" t="inlineStr">
        <is>
          <t>ÅNGE</t>
        </is>
      </c>
      <c r="F634" t="inlineStr">
        <is>
          <t>Sveaskog</t>
        </is>
      </c>
      <c r="G634" t="n">
        <v>9</v>
      </c>
      <c r="H634" t="n">
        <v>0</v>
      </c>
      <c r="I634" t="n">
        <v>0</v>
      </c>
      <c r="J634" t="n">
        <v>0</v>
      </c>
      <c r="K634" t="n">
        <v>0</v>
      </c>
      <c r="L634" t="n">
        <v>0</v>
      </c>
      <c r="M634" t="n">
        <v>0</v>
      </c>
      <c r="N634" t="n">
        <v>0</v>
      </c>
      <c r="O634" t="n">
        <v>0</v>
      </c>
      <c r="P634" t="n">
        <v>0</v>
      </c>
      <c r="Q634" t="n">
        <v>0</v>
      </c>
      <c r="R634" s="2" t="inlineStr"/>
    </row>
    <row r="635" ht="15" customHeight="1">
      <c r="A635" t="inlineStr">
        <is>
          <t>A 26011-2024</t>
        </is>
      </c>
      <c r="B635" s="1" t="n">
        <v>45467.95828703704</v>
      </c>
      <c r="C635" s="1" t="n">
        <v>45911</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26014-2024</t>
        </is>
      </c>
      <c r="B636" s="1" t="n">
        <v>45467.95862268518</v>
      </c>
      <c r="C636" s="1" t="n">
        <v>45911</v>
      </c>
      <c r="D636" t="inlineStr">
        <is>
          <t>VÄSTERNORRLANDS LÄN</t>
        </is>
      </c>
      <c r="E636" t="inlineStr">
        <is>
          <t>ÅNGE</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26019-2024</t>
        </is>
      </c>
      <c r="B637" s="1" t="n">
        <v>45467.96015046296</v>
      </c>
      <c r="C637" s="1" t="n">
        <v>45911</v>
      </c>
      <c r="D637" t="inlineStr">
        <is>
          <t>VÄSTERNORRLANDS LÄN</t>
        </is>
      </c>
      <c r="E637" t="inlineStr">
        <is>
          <t>ÅNGE</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26366-2025</t>
        </is>
      </c>
      <c r="B638" s="1" t="n">
        <v>45806.34424768519</v>
      </c>
      <c r="C638" s="1" t="n">
        <v>45911</v>
      </c>
      <c r="D638" t="inlineStr">
        <is>
          <t>VÄSTERNORRLANDS LÄN</t>
        </is>
      </c>
      <c r="E638" t="inlineStr">
        <is>
          <t>ÅNGE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3-2025</t>
        </is>
      </c>
      <c r="B639" s="1" t="n">
        <v>45658.49819444444</v>
      </c>
      <c r="C639" s="1" t="n">
        <v>45911</v>
      </c>
      <c r="D639" t="inlineStr">
        <is>
          <t>VÄSTERNORRLANDS LÄN</t>
        </is>
      </c>
      <c r="E639" t="inlineStr">
        <is>
          <t>ÅNGE</t>
        </is>
      </c>
      <c r="G639" t="n">
        <v>2</v>
      </c>
      <c r="H639" t="n">
        <v>0</v>
      </c>
      <c r="I639" t="n">
        <v>0</v>
      </c>
      <c r="J639" t="n">
        <v>0</v>
      </c>
      <c r="K639" t="n">
        <v>0</v>
      </c>
      <c r="L639" t="n">
        <v>0</v>
      </c>
      <c r="M639" t="n">
        <v>0</v>
      </c>
      <c r="N639" t="n">
        <v>0</v>
      </c>
      <c r="O639" t="n">
        <v>0</v>
      </c>
      <c r="P639" t="n">
        <v>0</v>
      </c>
      <c r="Q639" t="n">
        <v>0</v>
      </c>
      <c r="R639" s="2" t="inlineStr"/>
    </row>
    <row r="640" ht="15" customHeight="1">
      <c r="A640" t="inlineStr">
        <is>
          <t>A 71965-2021</t>
        </is>
      </c>
      <c r="B640" s="1" t="n">
        <v>44544.32483796297</v>
      </c>
      <c r="C640" s="1" t="n">
        <v>45911</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56574-2024</t>
        </is>
      </c>
      <c r="B641" s="1" t="n">
        <v>45625.59616898148</v>
      </c>
      <c r="C641" s="1" t="n">
        <v>45911</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58087-2024</t>
        </is>
      </c>
      <c r="B642" s="1" t="n">
        <v>45632.34502314815</v>
      </c>
      <c r="C642" s="1" t="n">
        <v>45911</v>
      </c>
      <c r="D642" t="inlineStr">
        <is>
          <t>VÄSTERNORRLANDS LÄN</t>
        </is>
      </c>
      <c r="E642" t="inlineStr">
        <is>
          <t>ÅNGE</t>
        </is>
      </c>
      <c r="G642" t="n">
        <v>2.6</v>
      </c>
      <c r="H642" t="n">
        <v>0</v>
      </c>
      <c r="I642" t="n">
        <v>0</v>
      </c>
      <c r="J642" t="n">
        <v>0</v>
      </c>
      <c r="K642" t="n">
        <v>0</v>
      </c>
      <c r="L642" t="n">
        <v>0</v>
      </c>
      <c r="M642" t="n">
        <v>0</v>
      </c>
      <c r="N642" t="n">
        <v>0</v>
      </c>
      <c r="O642" t="n">
        <v>0</v>
      </c>
      <c r="P642" t="n">
        <v>0</v>
      </c>
      <c r="Q642" t="n">
        <v>0</v>
      </c>
      <c r="R642" s="2" t="inlineStr"/>
    </row>
    <row r="643" ht="15" customHeight="1">
      <c r="A643" t="inlineStr">
        <is>
          <t>A 14889-2022</t>
        </is>
      </c>
      <c r="B643" s="1" t="n">
        <v>44656</v>
      </c>
      <c r="C643" s="1" t="n">
        <v>45911</v>
      </c>
      <c r="D643" t="inlineStr">
        <is>
          <t>VÄSTERNORRLANDS LÄN</t>
        </is>
      </c>
      <c r="E643" t="inlineStr">
        <is>
          <t>ÅNGE</t>
        </is>
      </c>
      <c r="G643" t="n">
        <v>14</v>
      </c>
      <c r="H643" t="n">
        <v>0</v>
      </c>
      <c r="I643" t="n">
        <v>0</v>
      </c>
      <c r="J643" t="n">
        <v>0</v>
      </c>
      <c r="K643" t="n">
        <v>0</v>
      </c>
      <c r="L643" t="n">
        <v>0</v>
      </c>
      <c r="M643" t="n">
        <v>0</v>
      </c>
      <c r="N643" t="n">
        <v>0</v>
      </c>
      <c r="O643" t="n">
        <v>0</v>
      </c>
      <c r="P643" t="n">
        <v>0</v>
      </c>
      <c r="Q643" t="n">
        <v>0</v>
      </c>
      <c r="R643" s="2" t="inlineStr"/>
    </row>
    <row r="644" ht="15" customHeight="1">
      <c r="A644" t="inlineStr">
        <is>
          <t>A 50231-2024</t>
        </is>
      </c>
      <c r="B644" s="1" t="n">
        <v>45600.55251157407</v>
      </c>
      <c r="C644" s="1" t="n">
        <v>45911</v>
      </c>
      <c r="D644" t="inlineStr">
        <is>
          <t>VÄSTERNORRLANDS LÄN</t>
        </is>
      </c>
      <c r="E644" t="inlineStr">
        <is>
          <t>ÅNGE</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60817-2024</t>
        </is>
      </c>
      <c r="B645" s="1" t="n">
        <v>45644</v>
      </c>
      <c r="C645" s="1" t="n">
        <v>45911</v>
      </c>
      <c r="D645" t="inlineStr">
        <is>
          <t>VÄSTERNORRLANDS LÄN</t>
        </is>
      </c>
      <c r="E645" t="inlineStr">
        <is>
          <t>ÅNGE</t>
        </is>
      </c>
      <c r="G645" t="n">
        <v>3.2</v>
      </c>
      <c r="H645" t="n">
        <v>0</v>
      </c>
      <c r="I645" t="n">
        <v>0</v>
      </c>
      <c r="J645" t="n">
        <v>0</v>
      </c>
      <c r="K645" t="n">
        <v>0</v>
      </c>
      <c r="L645" t="n">
        <v>0</v>
      </c>
      <c r="M645" t="n">
        <v>0</v>
      </c>
      <c r="N645" t="n">
        <v>0</v>
      </c>
      <c r="O645" t="n">
        <v>0</v>
      </c>
      <c r="P645" t="n">
        <v>0</v>
      </c>
      <c r="Q645" t="n">
        <v>0</v>
      </c>
      <c r="R645" s="2" t="inlineStr"/>
    </row>
    <row r="646" ht="15" customHeight="1">
      <c r="A646" t="inlineStr">
        <is>
          <t>A 23225-2024</t>
        </is>
      </c>
      <c r="B646" s="1" t="n">
        <v>45452.9490162037</v>
      </c>
      <c r="C646" s="1" t="n">
        <v>45911</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10025-2025</t>
        </is>
      </c>
      <c r="B647" s="1" t="n">
        <v>45719.49002314815</v>
      </c>
      <c r="C647" s="1" t="n">
        <v>45911</v>
      </c>
      <c r="D647" t="inlineStr">
        <is>
          <t>VÄSTERNORRLANDS LÄN</t>
        </is>
      </c>
      <c r="E647" t="inlineStr">
        <is>
          <t>ÅNGE</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33305-2024</t>
        </is>
      </c>
      <c r="B648" s="1" t="n">
        <v>45518</v>
      </c>
      <c r="C648" s="1" t="n">
        <v>45911</v>
      </c>
      <c r="D648" t="inlineStr">
        <is>
          <t>VÄSTERNORRLANDS LÄN</t>
        </is>
      </c>
      <c r="E648" t="inlineStr">
        <is>
          <t>ÅNGE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33306-2024</t>
        </is>
      </c>
      <c r="B649" s="1" t="n">
        <v>45518</v>
      </c>
      <c r="C649" s="1" t="n">
        <v>45911</v>
      </c>
      <c r="D649" t="inlineStr">
        <is>
          <t>VÄSTERNORRLANDS LÄN</t>
        </is>
      </c>
      <c r="E649" t="inlineStr">
        <is>
          <t>ÅNGE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26655-2025</t>
        </is>
      </c>
      <c r="B650" s="1" t="n">
        <v>45810.39047453704</v>
      </c>
      <c r="C650" s="1" t="n">
        <v>45911</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7535-2023</t>
        </is>
      </c>
      <c r="B651" s="1" t="n">
        <v>44971</v>
      </c>
      <c r="C651" s="1" t="n">
        <v>45911</v>
      </c>
      <c r="D651" t="inlineStr">
        <is>
          <t>VÄSTERNORRLANDS LÄN</t>
        </is>
      </c>
      <c r="E651" t="inlineStr">
        <is>
          <t>ÅNGE</t>
        </is>
      </c>
      <c r="F651" t="inlineStr">
        <is>
          <t>SCA</t>
        </is>
      </c>
      <c r="G651" t="n">
        <v>14.6</v>
      </c>
      <c r="H651" t="n">
        <v>0</v>
      </c>
      <c r="I651" t="n">
        <v>0</v>
      </c>
      <c r="J651" t="n">
        <v>0</v>
      </c>
      <c r="K651" t="n">
        <v>0</v>
      </c>
      <c r="L651" t="n">
        <v>0</v>
      </c>
      <c r="M651" t="n">
        <v>0</v>
      </c>
      <c r="N651" t="n">
        <v>0</v>
      </c>
      <c r="O651" t="n">
        <v>0</v>
      </c>
      <c r="P651" t="n">
        <v>0</v>
      </c>
      <c r="Q651" t="n">
        <v>0</v>
      </c>
      <c r="R651" s="2" t="inlineStr"/>
    </row>
    <row r="652" ht="15" customHeight="1">
      <c r="A652" t="inlineStr">
        <is>
          <t>A 37038-2024</t>
        </is>
      </c>
      <c r="B652" s="1" t="n">
        <v>45539.40881944444</v>
      </c>
      <c r="C652" s="1" t="n">
        <v>45911</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59600-2024</t>
        </is>
      </c>
      <c r="B653" s="1" t="n">
        <v>45638.71763888889</v>
      </c>
      <c r="C653" s="1" t="n">
        <v>45911</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25973-2022</t>
        </is>
      </c>
      <c r="B654" s="1" t="n">
        <v>44734</v>
      </c>
      <c r="C654" s="1" t="n">
        <v>45911</v>
      </c>
      <c r="D654" t="inlineStr">
        <is>
          <t>VÄSTERNORRLANDS LÄN</t>
        </is>
      </c>
      <c r="E654" t="inlineStr">
        <is>
          <t>ÅNGE</t>
        </is>
      </c>
      <c r="G654" t="n">
        <v>4.1</v>
      </c>
      <c r="H654" t="n">
        <v>0</v>
      </c>
      <c r="I654" t="n">
        <v>0</v>
      </c>
      <c r="J654" t="n">
        <v>0</v>
      </c>
      <c r="K654" t="n">
        <v>0</v>
      </c>
      <c r="L654" t="n">
        <v>0</v>
      </c>
      <c r="M654" t="n">
        <v>0</v>
      </c>
      <c r="N654" t="n">
        <v>0</v>
      </c>
      <c r="O654" t="n">
        <v>0</v>
      </c>
      <c r="P654" t="n">
        <v>0</v>
      </c>
      <c r="Q654" t="n">
        <v>0</v>
      </c>
      <c r="R654" s="2" t="inlineStr"/>
    </row>
    <row r="655" ht="15" customHeight="1">
      <c r="A655" t="inlineStr">
        <is>
          <t>A 3133-2024</t>
        </is>
      </c>
      <c r="B655" s="1" t="n">
        <v>45316.55885416667</v>
      </c>
      <c r="C655" s="1" t="n">
        <v>45911</v>
      </c>
      <c r="D655" t="inlineStr">
        <is>
          <t>VÄSTERNORRLANDS LÄN</t>
        </is>
      </c>
      <c r="E655" t="inlineStr">
        <is>
          <t>ÅNGE</t>
        </is>
      </c>
      <c r="F655" t="inlineStr">
        <is>
          <t>Holmen skog AB</t>
        </is>
      </c>
      <c r="G655" t="n">
        <v>1.1</v>
      </c>
      <c r="H655" t="n">
        <v>0</v>
      </c>
      <c r="I655" t="n">
        <v>0</v>
      </c>
      <c r="J655" t="n">
        <v>0</v>
      </c>
      <c r="K655" t="n">
        <v>0</v>
      </c>
      <c r="L655" t="n">
        <v>0</v>
      </c>
      <c r="M655" t="n">
        <v>0</v>
      </c>
      <c r="N655" t="n">
        <v>0</v>
      </c>
      <c r="O655" t="n">
        <v>0</v>
      </c>
      <c r="P655" t="n">
        <v>0</v>
      </c>
      <c r="Q655" t="n">
        <v>0</v>
      </c>
      <c r="R655" s="2" t="inlineStr"/>
    </row>
    <row r="656" ht="15" customHeight="1">
      <c r="A656" t="inlineStr">
        <is>
          <t>A 17210-2022</t>
        </is>
      </c>
      <c r="B656" s="1" t="n">
        <v>44677.92701388889</v>
      </c>
      <c r="C656" s="1" t="n">
        <v>45911</v>
      </c>
      <c r="D656" t="inlineStr">
        <is>
          <t>VÄSTERNORRLANDS LÄN</t>
        </is>
      </c>
      <c r="E656" t="inlineStr">
        <is>
          <t>ÅNGE</t>
        </is>
      </c>
      <c r="G656" t="n">
        <v>1.8</v>
      </c>
      <c r="H656" t="n">
        <v>0</v>
      </c>
      <c r="I656" t="n">
        <v>0</v>
      </c>
      <c r="J656" t="n">
        <v>0</v>
      </c>
      <c r="K656" t="n">
        <v>0</v>
      </c>
      <c r="L656" t="n">
        <v>0</v>
      </c>
      <c r="M656" t="n">
        <v>0</v>
      </c>
      <c r="N656" t="n">
        <v>0</v>
      </c>
      <c r="O656" t="n">
        <v>0</v>
      </c>
      <c r="P656" t="n">
        <v>0</v>
      </c>
      <c r="Q656" t="n">
        <v>0</v>
      </c>
      <c r="R656" s="2" t="inlineStr"/>
    </row>
    <row r="657" ht="15" customHeight="1">
      <c r="A657" t="inlineStr">
        <is>
          <t>A 10195-2024</t>
        </is>
      </c>
      <c r="B657" s="1" t="n">
        <v>45364</v>
      </c>
      <c r="C657" s="1" t="n">
        <v>45911</v>
      </c>
      <c r="D657" t="inlineStr">
        <is>
          <t>VÄSTERNORRLANDS LÄN</t>
        </is>
      </c>
      <c r="E657" t="inlineStr">
        <is>
          <t>ÅNGE</t>
        </is>
      </c>
      <c r="G657" t="n">
        <v>0.7</v>
      </c>
      <c r="H657" t="n">
        <v>0</v>
      </c>
      <c r="I657" t="n">
        <v>0</v>
      </c>
      <c r="J657" t="n">
        <v>0</v>
      </c>
      <c r="K657" t="n">
        <v>0</v>
      </c>
      <c r="L657" t="n">
        <v>0</v>
      </c>
      <c r="M657" t="n">
        <v>0</v>
      </c>
      <c r="N657" t="n">
        <v>0</v>
      </c>
      <c r="O657" t="n">
        <v>0</v>
      </c>
      <c r="P657" t="n">
        <v>0</v>
      </c>
      <c r="Q657" t="n">
        <v>0</v>
      </c>
      <c r="R657" s="2" t="inlineStr"/>
    </row>
    <row r="658" ht="15" customHeight="1">
      <c r="A658" t="inlineStr">
        <is>
          <t>A 26608-2025</t>
        </is>
      </c>
      <c r="B658" s="1" t="n">
        <v>45809.98600694445</v>
      </c>
      <c r="C658" s="1" t="n">
        <v>45911</v>
      </c>
      <c r="D658" t="inlineStr">
        <is>
          <t>VÄSTERNORRLANDS LÄN</t>
        </is>
      </c>
      <c r="E658" t="inlineStr">
        <is>
          <t>ÅNGE</t>
        </is>
      </c>
      <c r="G658" t="n">
        <v>4.5</v>
      </c>
      <c r="H658" t="n">
        <v>0</v>
      </c>
      <c r="I658" t="n">
        <v>0</v>
      </c>
      <c r="J658" t="n">
        <v>0</v>
      </c>
      <c r="K658" t="n">
        <v>0</v>
      </c>
      <c r="L658" t="n">
        <v>0</v>
      </c>
      <c r="M658" t="n">
        <v>0</v>
      </c>
      <c r="N658" t="n">
        <v>0</v>
      </c>
      <c r="O658" t="n">
        <v>0</v>
      </c>
      <c r="P658" t="n">
        <v>0</v>
      </c>
      <c r="Q658" t="n">
        <v>0</v>
      </c>
      <c r="R658" s="2" t="inlineStr"/>
    </row>
    <row r="659" ht="15" customHeight="1">
      <c r="A659" t="inlineStr">
        <is>
          <t>A 361-2025</t>
        </is>
      </c>
      <c r="B659" s="1" t="n">
        <v>45660</v>
      </c>
      <c r="C659" s="1" t="n">
        <v>45911</v>
      </c>
      <c r="D659" t="inlineStr">
        <is>
          <t>VÄSTERNORRLANDS LÄN</t>
        </is>
      </c>
      <c r="E659" t="inlineStr">
        <is>
          <t>ÅNGE</t>
        </is>
      </c>
      <c r="G659" t="n">
        <v>4.2</v>
      </c>
      <c r="H659" t="n">
        <v>0</v>
      </c>
      <c r="I659" t="n">
        <v>0</v>
      </c>
      <c r="J659" t="n">
        <v>0</v>
      </c>
      <c r="K659" t="n">
        <v>0</v>
      </c>
      <c r="L659" t="n">
        <v>0</v>
      </c>
      <c r="M659" t="n">
        <v>0</v>
      </c>
      <c r="N659" t="n">
        <v>0</v>
      </c>
      <c r="O659" t="n">
        <v>0</v>
      </c>
      <c r="P659" t="n">
        <v>0</v>
      </c>
      <c r="Q659" t="n">
        <v>0</v>
      </c>
      <c r="R659" s="2" t="inlineStr"/>
    </row>
    <row r="660" ht="15" customHeight="1">
      <c r="A660" t="inlineStr">
        <is>
          <t>A 12021-2022</t>
        </is>
      </c>
      <c r="B660" s="1" t="n">
        <v>44635</v>
      </c>
      <c r="C660" s="1" t="n">
        <v>45911</v>
      </c>
      <c r="D660" t="inlineStr">
        <is>
          <t>VÄSTERNORRLANDS LÄN</t>
        </is>
      </c>
      <c r="E660" t="inlineStr">
        <is>
          <t>ÅNGE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60401-2020</t>
        </is>
      </c>
      <c r="B661" s="1" t="n">
        <v>44152</v>
      </c>
      <c r="C661" s="1" t="n">
        <v>45911</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42242-2023</t>
        </is>
      </c>
      <c r="B662" s="1" t="n">
        <v>45180.35025462963</v>
      </c>
      <c r="C662" s="1" t="n">
        <v>45911</v>
      </c>
      <c r="D662" t="inlineStr">
        <is>
          <t>VÄSTERNORRLANDS LÄN</t>
        </is>
      </c>
      <c r="E662" t="inlineStr">
        <is>
          <t>ÅNGE</t>
        </is>
      </c>
      <c r="G662" t="n">
        <v>5.7</v>
      </c>
      <c r="H662" t="n">
        <v>0</v>
      </c>
      <c r="I662" t="n">
        <v>0</v>
      </c>
      <c r="J662" t="n">
        <v>0</v>
      </c>
      <c r="K662" t="n">
        <v>0</v>
      </c>
      <c r="L662" t="n">
        <v>0</v>
      </c>
      <c r="M662" t="n">
        <v>0</v>
      </c>
      <c r="N662" t="n">
        <v>0</v>
      </c>
      <c r="O662" t="n">
        <v>0</v>
      </c>
      <c r="P662" t="n">
        <v>0</v>
      </c>
      <c r="Q662" t="n">
        <v>0</v>
      </c>
      <c r="R662" s="2" t="inlineStr"/>
    </row>
    <row r="663" ht="15" customHeight="1">
      <c r="A663" t="inlineStr">
        <is>
          <t>A 56189-2024</t>
        </is>
      </c>
      <c r="B663" s="1" t="n">
        <v>45624.57805555555</v>
      </c>
      <c r="C663" s="1" t="n">
        <v>45911</v>
      </c>
      <c r="D663" t="inlineStr">
        <is>
          <t>VÄSTERNORRLANDS LÄN</t>
        </is>
      </c>
      <c r="E663" t="inlineStr">
        <is>
          <t>ÅNGE</t>
        </is>
      </c>
      <c r="G663" t="n">
        <v>1.5</v>
      </c>
      <c r="H663" t="n">
        <v>0</v>
      </c>
      <c r="I663" t="n">
        <v>0</v>
      </c>
      <c r="J663" t="n">
        <v>0</v>
      </c>
      <c r="K663" t="n">
        <v>0</v>
      </c>
      <c r="L663" t="n">
        <v>0</v>
      </c>
      <c r="M663" t="n">
        <v>0</v>
      </c>
      <c r="N663" t="n">
        <v>0</v>
      </c>
      <c r="O663" t="n">
        <v>0</v>
      </c>
      <c r="P663" t="n">
        <v>0</v>
      </c>
      <c r="Q663" t="n">
        <v>0</v>
      </c>
      <c r="R663" s="2" t="inlineStr"/>
    </row>
    <row r="664" ht="15" customHeight="1">
      <c r="A664" t="inlineStr">
        <is>
          <t>A 56191-2024</t>
        </is>
      </c>
      <c r="B664" s="1" t="n">
        <v>45624.57814814815</v>
      </c>
      <c r="C664" s="1" t="n">
        <v>45911</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6690-2024</t>
        </is>
      </c>
      <c r="B665" s="1" t="n">
        <v>45341</v>
      </c>
      <c r="C665" s="1" t="n">
        <v>45911</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3834-2025</t>
        </is>
      </c>
      <c r="B666" s="1" t="n">
        <v>45682.34517361111</v>
      </c>
      <c r="C666" s="1" t="n">
        <v>45911</v>
      </c>
      <c r="D666" t="inlineStr">
        <is>
          <t>VÄSTERNORRLANDS LÄN</t>
        </is>
      </c>
      <c r="E666" t="inlineStr">
        <is>
          <t>ÅNGE</t>
        </is>
      </c>
      <c r="G666" t="n">
        <v>6.4</v>
      </c>
      <c r="H666" t="n">
        <v>0</v>
      </c>
      <c r="I666" t="n">
        <v>0</v>
      </c>
      <c r="J666" t="n">
        <v>0</v>
      </c>
      <c r="K666" t="n">
        <v>0</v>
      </c>
      <c r="L666" t="n">
        <v>0</v>
      </c>
      <c r="M666" t="n">
        <v>0</v>
      </c>
      <c r="N666" t="n">
        <v>0</v>
      </c>
      <c r="O666" t="n">
        <v>0</v>
      </c>
      <c r="P666" t="n">
        <v>0</v>
      </c>
      <c r="Q666" t="n">
        <v>0</v>
      </c>
      <c r="R666" s="2" t="inlineStr"/>
    </row>
    <row r="667" ht="15" customHeight="1">
      <c r="A667" t="inlineStr">
        <is>
          <t>A 3977-2025</t>
        </is>
      </c>
      <c r="B667" s="1" t="n">
        <v>45684</v>
      </c>
      <c r="C667" s="1" t="n">
        <v>45911</v>
      </c>
      <c r="D667" t="inlineStr">
        <is>
          <t>VÄSTERNORRLANDS LÄN</t>
        </is>
      </c>
      <c r="E667" t="inlineStr">
        <is>
          <t>ÅNGE</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59626-2022</t>
        </is>
      </c>
      <c r="B668" s="1" t="n">
        <v>44907.92354166666</v>
      </c>
      <c r="C668" s="1" t="n">
        <v>45911</v>
      </c>
      <c r="D668" t="inlineStr">
        <is>
          <t>VÄSTERNORRLANDS LÄN</t>
        </is>
      </c>
      <c r="E668" t="inlineStr">
        <is>
          <t>ÅNGE</t>
        </is>
      </c>
      <c r="G668" t="n">
        <v>1.4</v>
      </c>
      <c r="H668" t="n">
        <v>0</v>
      </c>
      <c r="I668" t="n">
        <v>0</v>
      </c>
      <c r="J668" t="n">
        <v>0</v>
      </c>
      <c r="K668" t="n">
        <v>0</v>
      </c>
      <c r="L668" t="n">
        <v>0</v>
      </c>
      <c r="M668" t="n">
        <v>0</v>
      </c>
      <c r="N668" t="n">
        <v>0</v>
      </c>
      <c r="O668" t="n">
        <v>0</v>
      </c>
      <c r="P668" t="n">
        <v>0</v>
      </c>
      <c r="Q668" t="n">
        <v>0</v>
      </c>
      <c r="R668" s="2" t="inlineStr"/>
    </row>
    <row r="669" ht="15" customHeight="1">
      <c r="A669" t="inlineStr">
        <is>
          <t>A 3249-2024</t>
        </is>
      </c>
      <c r="B669" s="1" t="n">
        <v>45316</v>
      </c>
      <c r="C669" s="1" t="n">
        <v>45911</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9759-2024</t>
        </is>
      </c>
      <c r="B670" s="1" t="n">
        <v>45362</v>
      </c>
      <c r="C670" s="1" t="n">
        <v>45911</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14976-2025</t>
        </is>
      </c>
      <c r="B671" s="1" t="n">
        <v>45743</v>
      </c>
      <c r="C671" s="1" t="n">
        <v>45911</v>
      </c>
      <c r="D671" t="inlineStr">
        <is>
          <t>VÄSTERNORRLANDS LÄN</t>
        </is>
      </c>
      <c r="E671" t="inlineStr">
        <is>
          <t>ÅNGE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5249-2025</t>
        </is>
      </c>
      <c r="B672" s="1" t="n">
        <v>45692.34465277778</v>
      </c>
      <c r="C672" s="1" t="n">
        <v>45911</v>
      </c>
      <c r="D672" t="inlineStr">
        <is>
          <t>VÄSTERNORRLANDS LÄN</t>
        </is>
      </c>
      <c r="E672" t="inlineStr">
        <is>
          <t>ÅNGE</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36790-2023</t>
        </is>
      </c>
      <c r="B673" s="1" t="n">
        <v>45154.36418981481</v>
      </c>
      <c r="C673" s="1" t="n">
        <v>45911</v>
      </c>
      <c r="D673" t="inlineStr">
        <is>
          <t>VÄSTERNORRLANDS LÄN</t>
        </is>
      </c>
      <c r="E673" t="inlineStr">
        <is>
          <t>ÅNGE</t>
        </is>
      </c>
      <c r="G673" t="n">
        <v>1.4</v>
      </c>
      <c r="H673" t="n">
        <v>0</v>
      </c>
      <c r="I673" t="n">
        <v>0</v>
      </c>
      <c r="J673" t="n">
        <v>0</v>
      </c>
      <c r="K673" t="n">
        <v>0</v>
      </c>
      <c r="L673" t="n">
        <v>0</v>
      </c>
      <c r="M673" t="n">
        <v>0</v>
      </c>
      <c r="N673" t="n">
        <v>0</v>
      </c>
      <c r="O673" t="n">
        <v>0</v>
      </c>
      <c r="P673" t="n">
        <v>0</v>
      </c>
      <c r="Q673" t="n">
        <v>0</v>
      </c>
      <c r="R673" s="2" t="inlineStr"/>
    </row>
    <row r="674" ht="15" customHeight="1">
      <c r="A674" t="inlineStr">
        <is>
          <t>A 26734-2025</t>
        </is>
      </c>
      <c r="B674" s="1" t="n">
        <v>45810.51087962963</v>
      </c>
      <c r="C674" s="1" t="n">
        <v>45911</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57271-2024</t>
        </is>
      </c>
      <c r="B675" s="1" t="n">
        <v>45629.57364583333</v>
      </c>
      <c r="C675" s="1" t="n">
        <v>45911</v>
      </c>
      <c r="D675" t="inlineStr">
        <is>
          <t>VÄSTERNORRLANDS LÄN</t>
        </is>
      </c>
      <c r="E675" t="inlineStr">
        <is>
          <t>ÅNGE</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42953-2024</t>
        </is>
      </c>
      <c r="B676" s="1" t="n">
        <v>45567</v>
      </c>
      <c r="C676" s="1" t="n">
        <v>45911</v>
      </c>
      <c r="D676" t="inlineStr">
        <is>
          <t>VÄSTERNORRLANDS LÄN</t>
        </is>
      </c>
      <c r="E676" t="inlineStr">
        <is>
          <t>ÅNGE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42968-2024</t>
        </is>
      </c>
      <c r="B677" s="1" t="n">
        <v>45567</v>
      </c>
      <c r="C677" s="1" t="n">
        <v>45911</v>
      </c>
      <c r="D677" t="inlineStr">
        <is>
          <t>VÄSTERNORRLANDS LÄN</t>
        </is>
      </c>
      <c r="E677" t="inlineStr">
        <is>
          <t>ÅNGE</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5369-2022</t>
        </is>
      </c>
      <c r="B678" s="1" t="n">
        <v>44594.92113425926</v>
      </c>
      <c r="C678" s="1" t="n">
        <v>45911</v>
      </c>
      <c r="D678" t="inlineStr">
        <is>
          <t>VÄSTERNORRLANDS LÄN</t>
        </is>
      </c>
      <c r="E678" t="inlineStr">
        <is>
          <t>ÅNGE</t>
        </is>
      </c>
      <c r="G678" t="n">
        <v>1.3</v>
      </c>
      <c r="H678" t="n">
        <v>0</v>
      </c>
      <c r="I678" t="n">
        <v>0</v>
      </c>
      <c r="J678" t="n">
        <v>0</v>
      </c>
      <c r="K678" t="n">
        <v>0</v>
      </c>
      <c r="L678" t="n">
        <v>0</v>
      </c>
      <c r="M678" t="n">
        <v>0</v>
      </c>
      <c r="N678" t="n">
        <v>0</v>
      </c>
      <c r="O678" t="n">
        <v>0</v>
      </c>
      <c r="P678" t="n">
        <v>0</v>
      </c>
      <c r="Q678" t="n">
        <v>0</v>
      </c>
      <c r="R678" s="2" t="inlineStr"/>
    </row>
    <row r="679" ht="15" customHeight="1">
      <c r="A679" t="inlineStr">
        <is>
          <t>A 22755-2023</t>
        </is>
      </c>
      <c r="B679" s="1" t="n">
        <v>45071.94127314815</v>
      </c>
      <c r="C679" s="1" t="n">
        <v>45911</v>
      </c>
      <c r="D679" t="inlineStr">
        <is>
          <t>VÄSTERNORRLANDS LÄN</t>
        </is>
      </c>
      <c r="E679" t="inlineStr">
        <is>
          <t>ÅNGE</t>
        </is>
      </c>
      <c r="F679" t="inlineStr">
        <is>
          <t>SCA</t>
        </is>
      </c>
      <c r="G679" t="n">
        <v>12.6</v>
      </c>
      <c r="H679" t="n">
        <v>0</v>
      </c>
      <c r="I679" t="n">
        <v>0</v>
      </c>
      <c r="J679" t="n">
        <v>0</v>
      </c>
      <c r="K679" t="n">
        <v>0</v>
      </c>
      <c r="L679" t="n">
        <v>0</v>
      </c>
      <c r="M679" t="n">
        <v>0</v>
      </c>
      <c r="N679" t="n">
        <v>0</v>
      </c>
      <c r="O679" t="n">
        <v>0</v>
      </c>
      <c r="P679" t="n">
        <v>0</v>
      </c>
      <c r="Q679" t="n">
        <v>0</v>
      </c>
      <c r="R679" s="2" t="inlineStr"/>
    </row>
    <row r="680" ht="15" customHeight="1">
      <c r="A680" t="inlineStr">
        <is>
          <t>A 27023-2025</t>
        </is>
      </c>
      <c r="B680" s="1" t="n">
        <v>45811.57342592593</v>
      </c>
      <c r="C680" s="1" t="n">
        <v>45911</v>
      </c>
      <c r="D680" t="inlineStr">
        <is>
          <t>VÄSTERNORRLANDS LÄN</t>
        </is>
      </c>
      <c r="E680" t="inlineStr">
        <is>
          <t>ÅNGE</t>
        </is>
      </c>
      <c r="G680" t="n">
        <v>0.3</v>
      </c>
      <c r="H680" t="n">
        <v>0</v>
      </c>
      <c r="I680" t="n">
        <v>0</v>
      </c>
      <c r="J680" t="n">
        <v>0</v>
      </c>
      <c r="K680" t="n">
        <v>0</v>
      </c>
      <c r="L680" t="n">
        <v>0</v>
      </c>
      <c r="M680" t="n">
        <v>0</v>
      </c>
      <c r="N680" t="n">
        <v>0</v>
      </c>
      <c r="O680" t="n">
        <v>0</v>
      </c>
      <c r="P680" t="n">
        <v>0</v>
      </c>
      <c r="Q680" t="n">
        <v>0</v>
      </c>
      <c r="R680" s="2" t="inlineStr"/>
    </row>
    <row r="681" ht="15" customHeight="1">
      <c r="A681" t="inlineStr">
        <is>
          <t>A 27164-2025</t>
        </is>
      </c>
      <c r="B681" s="1" t="n">
        <v>45812.34430555555</v>
      </c>
      <c r="C681" s="1" t="n">
        <v>45911</v>
      </c>
      <c r="D681" t="inlineStr">
        <is>
          <t>VÄSTERNORRLANDS LÄN</t>
        </is>
      </c>
      <c r="E681" t="inlineStr">
        <is>
          <t>ÅNGE</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50419-2022</t>
        </is>
      </c>
      <c r="B682" s="1" t="n">
        <v>44861</v>
      </c>
      <c r="C682" s="1" t="n">
        <v>45911</v>
      </c>
      <c r="D682" t="inlineStr">
        <is>
          <t>VÄSTERNORRLANDS LÄN</t>
        </is>
      </c>
      <c r="E682" t="inlineStr">
        <is>
          <t>ÅNGE</t>
        </is>
      </c>
      <c r="G682" t="n">
        <v>1.3</v>
      </c>
      <c r="H682" t="n">
        <v>0</v>
      </c>
      <c r="I682" t="n">
        <v>0</v>
      </c>
      <c r="J682" t="n">
        <v>0</v>
      </c>
      <c r="K682" t="n">
        <v>0</v>
      </c>
      <c r="L682" t="n">
        <v>0</v>
      </c>
      <c r="M682" t="n">
        <v>0</v>
      </c>
      <c r="N682" t="n">
        <v>0</v>
      </c>
      <c r="O682" t="n">
        <v>0</v>
      </c>
      <c r="P682" t="n">
        <v>0</v>
      </c>
      <c r="Q682" t="n">
        <v>0</v>
      </c>
      <c r="R682" s="2" t="inlineStr"/>
    </row>
    <row r="683" ht="15" customHeight="1">
      <c r="A683" t="inlineStr">
        <is>
          <t>A 42881-2023</t>
        </is>
      </c>
      <c r="B683" s="1" t="n">
        <v>45182.45256944445</v>
      </c>
      <c r="C683" s="1" t="n">
        <v>45911</v>
      </c>
      <c r="D683" t="inlineStr">
        <is>
          <t>VÄSTERNORRLANDS LÄN</t>
        </is>
      </c>
      <c r="E683" t="inlineStr">
        <is>
          <t>ÅNGE</t>
        </is>
      </c>
      <c r="G683" t="n">
        <v>3.9</v>
      </c>
      <c r="H683" t="n">
        <v>0</v>
      </c>
      <c r="I683" t="n">
        <v>0</v>
      </c>
      <c r="J683" t="n">
        <v>0</v>
      </c>
      <c r="K683" t="n">
        <v>0</v>
      </c>
      <c r="L683" t="n">
        <v>0</v>
      </c>
      <c r="M683" t="n">
        <v>0</v>
      </c>
      <c r="N683" t="n">
        <v>0</v>
      </c>
      <c r="O683" t="n">
        <v>0</v>
      </c>
      <c r="P683" t="n">
        <v>0</v>
      </c>
      <c r="Q683" t="n">
        <v>0</v>
      </c>
      <c r="R683" s="2" t="inlineStr"/>
    </row>
    <row r="684" ht="15" customHeight="1">
      <c r="A684" t="inlineStr">
        <is>
          <t>A 26901-2025</t>
        </is>
      </c>
      <c r="B684" s="1" t="n">
        <v>45811.34457175926</v>
      </c>
      <c r="C684" s="1" t="n">
        <v>45911</v>
      </c>
      <c r="D684" t="inlineStr">
        <is>
          <t>VÄSTERNORRLANDS LÄN</t>
        </is>
      </c>
      <c r="E684" t="inlineStr">
        <is>
          <t>ÅNGE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16450-2025</t>
        </is>
      </c>
      <c r="B685" s="1" t="n">
        <v>45751.51081018519</v>
      </c>
      <c r="C685" s="1" t="n">
        <v>45911</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33750-2024</t>
        </is>
      </c>
      <c r="B686" s="1" t="n">
        <v>45520.56475694444</v>
      </c>
      <c r="C686" s="1" t="n">
        <v>45911</v>
      </c>
      <c r="D686" t="inlineStr">
        <is>
          <t>VÄSTERNORRLANDS LÄN</t>
        </is>
      </c>
      <c r="E686" t="inlineStr">
        <is>
          <t>ÅNGE</t>
        </is>
      </c>
      <c r="G686" t="n">
        <v>1.3</v>
      </c>
      <c r="H686" t="n">
        <v>0</v>
      </c>
      <c r="I686" t="n">
        <v>0</v>
      </c>
      <c r="J686" t="n">
        <v>0</v>
      </c>
      <c r="K686" t="n">
        <v>0</v>
      </c>
      <c r="L686" t="n">
        <v>0</v>
      </c>
      <c r="M686" t="n">
        <v>0</v>
      </c>
      <c r="N686" t="n">
        <v>0</v>
      </c>
      <c r="O686" t="n">
        <v>0</v>
      </c>
      <c r="P686" t="n">
        <v>0</v>
      </c>
      <c r="Q686" t="n">
        <v>0</v>
      </c>
      <c r="R686" s="2" t="inlineStr"/>
    </row>
    <row r="687" ht="15" customHeight="1">
      <c r="A687" t="inlineStr">
        <is>
          <t>A 18430-2025</t>
        </is>
      </c>
      <c r="B687" s="1" t="n">
        <v>45762.63576388889</v>
      </c>
      <c r="C687" s="1" t="n">
        <v>45911</v>
      </c>
      <c r="D687" t="inlineStr">
        <is>
          <t>VÄSTERNORRLANDS LÄN</t>
        </is>
      </c>
      <c r="E687" t="inlineStr">
        <is>
          <t>ÅNGE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27165-2025</t>
        </is>
      </c>
      <c r="B688" s="1" t="n">
        <v>45812.34440972222</v>
      </c>
      <c r="C688" s="1" t="n">
        <v>45911</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43916-2023</t>
        </is>
      </c>
      <c r="B689" s="1" t="n">
        <v>45187.72152777778</v>
      </c>
      <c r="C689" s="1" t="n">
        <v>45911</v>
      </c>
      <c r="D689" t="inlineStr">
        <is>
          <t>VÄSTERNORRLANDS LÄN</t>
        </is>
      </c>
      <c r="E689" t="inlineStr">
        <is>
          <t>ÅNGE</t>
        </is>
      </c>
      <c r="G689" t="n">
        <v>3.1</v>
      </c>
      <c r="H689" t="n">
        <v>0</v>
      </c>
      <c r="I689" t="n">
        <v>0</v>
      </c>
      <c r="J689" t="n">
        <v>0</v>
      </c>
      <c r="K689" t="n">
        <v>0</v>
      </c>
      <c r="L689" t="n">
        <v>0</v>
      </c>
      <c r="M689" t="n">
        <v>0</v>
      </c>
      <c r="N689" t="n">
        <v>0</v>
      </c>
      <c r="O689" t="n">
        <v>0</v>
      </c>
      <c r="P689" t="n">
        <v>0</v>
      </c>
      <c r="Q689" t="n">
        <v>0</v>
      </c>
      <c r="R689" s="2" t="inlineStr"/>
    </row>
    <row r="690" ht="15" customHeight="1">
      <c r="A690" t="inlineStr">
        <is>
          <t>A 5931-2025</t>
        </is>
      </c>
      <c r="B690" s="1" t="n">
        <v>45695.44827546296</v>
      </c>
      <c r="C690" s="1" t="n">
        <v>45911</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42100-2023</t>
        </is>
      </c>
      <c r="B691" s="1" t="n">
        <v>45174</v>
      </c>
      <c r="C691" s="1" t="n">
        <v>45911</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51411-2023</t>
        </is>
      </c>
      <c r="B692" s="1" t="n">
        <v>45219</v>
      </c>
      <c r="C692" s="1" t="n">
        <v>45911</v>
      </c>
      <c r="D692" t="inlineStr">
        <is>
          <t>VÄSTERNORRLANDS LÄN</t>
        </is>
      </c>
      <c r="E692" t="inlineStr">
        <is>
          <t>ÅNGE</t>
        </is>
      </c>
      <c r="G692" t="n">
        <v>2.5</v>
      </c>
      <c r="H692" t="n">
        <v>0</v>
      </c>
      <c r="I692" t="n">
        <v>0</v>
      </c>
      <c r="J692" t="n">
        <v>0</v>
      </c>
      <c r="K692" t="n">
        <v>0</v>
      </c>
      <c r="L692" t="n">
        <v>0</v>
      </c>
      <c r="M692" t="n">
        <v>0</v>
      </c>
      <c r="N692" t="n">
        <v>0</v>
      </c>
      <c r="O692" t="n">
        <v>0</v>
      </c>
      <c r="P692" t="n">
        <v>0</v>
      </c>
      <c r="Q692" t="n">
        <v>0</v>
      </c>
      <c r="R692" s="2" t="inlineStr"/>
    </row>
    <row r="693" ht="15" customHeight="1">
      <c r="A693" t="inlineStr">
        <is>
          <t>A 1869-2022</t>
        </is>
      </c>
      <c r="B693" s="1" t="n">
        <v>44574</v>
      </c>
      <c r="C693" s="1" t="n">
        <v>45911</v>
      </c>
      <c r="D693" t="inlineStr">
        <is>
          <t>VÄSTERNORRLANDS LÄN</t>
        </is>
      </c>
      <c r="E693" t="inlineStr">
        <is>
          <t>ÅNGE</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65149-2020</t>
        </is>
      </c>
      <c r="B694" s="1" t="n">
        <v>44172</v>
      </c>
      <c r="C694" s="1" t="n">
        <v>45911</v>
      </c>
      <c r="D694" t="inlineStr">
        <is>
          <t>VÄSTERNORRLANDS LÄN</t>
        </is>
      </c>
      <c r="E694" t="inlineStr">
        <is>
          <t>ÅNGE</t>
        </is>
      </c>
      <c r="G694" t="n">
        <v>9.5</v>
      </c>
      <c r="H694" t="n">
        <v>0</v>
      </c>
      <c r="I694" t="n">
        <v>0</v>
      </c>
      <c r="J694" t="n">
        <v>0</v>
      </c>
      <c r="K694" t="n">
        <v>0</v>
      </c>
      <c r="L694" t="n">
        <v>0</v>
      </c>
      <c r="M694" t="n">
        <v>0</v>
      </c>
      <c r="N694" t="n">
        <v>0</v>
      </c>
      <c r="O694" t="n">
        <v>0</v>
      </c>
      <c r="P694" t="n">
        <v>0</v>
      </c>
      <c r="Q694" t="n">
        <v>0</v>
      </c>
      <c r="R694" s="2" t="inlineStr"/>
    </row>
    <row r="695" ht="15" customHeight="1">
      <c r="A695" t="inlineStr">
        <is>
          <t>A 20255-2023</t>
        </is>
      </c>
      <c r="B695" s="1" t="n">
        <v>45055</v>
      </c>
      <c r="C695" s="1" t="n">
        <v>45911</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27545-2025</t>
        </is>
      </c>
      <c r="B696" s="1" t="n">
        <v>45813.46942129629</v>
      </c>
      <c r="C696" s="1" t="n">
        <v>45911</v>
      </c>
      <c r="D696" t="inlineStr">
        <is>
          <t>VÄSTERNORRLANDS LÄN</t>
        </is>
      </c>
      <c r="E696" t="inlineStr">
        <is>
          <t>ÅNGE</t>
        </is>
      </c>
      <c r="F696" t="inlineStr">
        <is>
          <t>SCA</t>
        </is>
      </c>
      <c r="G696" t="n">
        <v>14.3</v>
      </c>
      <c r="H696" t="n">
        <v>0</v>
      </c>
      <c r="I696" t="n">
        <v>0</v>
      </c>
      <c r="J696" t="n">
        <v>0</v>
      </c>
      <c r="K696" t="n">
        <v>0</v>
      </c>
      <c r="L696" t="n">
        <v>0</v>
      </c>
      <c r="M696" t="n">
        <v>0</v>
      </c>
      <c r="N696" t="n">
        <v>0</v>
      </c>
      <c r="O696" t="n">
        <v>0</v>
      </c>
      <c r="P696" t="n">
        <v>0</v>
      </c>
      <c r="Q696" t="n">
        <v>0</v>
      </c>
      <c r="R696" s="2" t="inlineStr"/>
    </row>
    <row r="697" ht="15" customHeight="1">
      <c r="A697" t="inlineStr">
        <is>
          <t>A 54429-2024</t>
        </is>
      </c>
      <c r="B697" s="1" t="n">
        <v>45617.49087962963</v>
      </c>
      <c r="C697" s="1" t="n">
        <v>45911</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59222-2020</t>
        </is>
      </c>
      <c r="B698" s="1" t="n">
        <v>44147</v>
      </c>
      <c r="C698" s="1" t="n">
        <v>45911</v>
      </c>
      <c r="D698" t="inlineStr">
        <is>
          <t>VÄSTERNORRLANDS LÄN</t>
        </is>
      </c>
      <c r="E698" t="inlineStr">
        <is>
          <t>ÅNGE</t>
        </is>
      </c>
      <c r="G698" t="n">
        <v>7.6</v>
      </c>
      <c r="H698" t="n">
        <v>0</v>
      </c>
      <c r="I698" t="n">
        <v>0</v>
      </c>
      <c r="J698" t="n">
        <v>0</v>
      </c>
      <c r="K698" t="n">
        <v>0</v>
      </c>
      <c r="L698" t="n">
        <v>0</v>
      </c>
      <c r="M698" t="n">
        <v>0</v>
      </c>
      <c r="N698" t="n">
        <v>0</v>
      </c>
      <c r="O698" t="n">
        <v>0</v>
      </c>
      <c r="P698" t="n">
        <v>0</v>
      </c>
      <c r="Q698" t="n">
        <v>0</v>
      </c>
      <c r="R698" s="2" t="inlineStr"/>
    </row>
    <row r="699" ht="15" customHeight="1">
      <c r="A699" t="inlineStr">
        <is>
          <t>A 4095-2023</t>
        </is>
      </c>
      <c r="B699" s="1" t="n">
        <v>44952</v>
      </c>
      <c r="C699" s="1" t="n">
        <v>45911</v>
      </c>
      <c r="D699" t="inlineStr">
        <is>
          <t>VÄSTERNORRLANDS LÄN</t>
        </is>
      </c>
      <c r="E699" t="inlineStr">
        <is>
          <t>ÅNGE</t>
        </is>
      </c>
      <c r="G699" t="n">
        <v>13.4</v>
      </c>
      <c r="H699" t="n">
        <v>0</v>
      </c>
      <c r="I699" t="n">
        <v>0</v>
      </c>
      <c r="J699" t="n">
        <v>0</v>
      </c>
      <c r="K699" t="n">
        <v>0</v>
      </c>
      <c r="L699" t="n">
        <v>0</v>
      </c>
      <c r="M699" t="n">
        <v>0</v>
      </c>
      <c r="N699" t="n">
        <v>0</v>
      </c>
      <c r="O699" t="n">
        <v>0</v>
      </c>
      <c r="P699" t="n">
        <v>0</v>
      </c>
      <c r="Q699" t="n">
        <v>0</v>
      </c>
      <c r="R699" s="2" t="inlineStr"/>
    </row>
    <row r="700" ht="15" customHeight="1">
      <c r="A700" t="inlineStr">
        <is>
          <t>A 5367-2022</t>
        </is>
      </c>
      <c r="B700" s="1" t="n">
        <v>44594.92111111111</v>
      </c>
      <c r="C700" s="1" t="n">
        <v>45911</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27572-2025</t>
        </is>
      </c>
      <c r="B701" s="1" t="n">
        <v>45813.49049768518</v>
      </c>
      <c r="C701" s="1" t="n">
        <v>45911</v>
      </c>
      <c r="D701" t="inlineStr">
        <is>
          <t>VÄSTERNORRLANDS LÄN</t>
        </is>
      </c>
      <c r="E701" t="inlineStr">
        <is>
          <t>ÅNGE</t>
        </is>
      </c>
      <c r="F701" t="inlineStr">
        <is>
          <t>SCA</t>
        </is>
      </c>
      <c r="G701" t="n">
        <v>14.3</v>
      </c>
      <c r="H701" t="n">
        <v>0</v>
      </c>
      <c r="I701" t="n">
        <v>0</v>
      </c>
      <c r="J701" t="n">
        <v>0</v>
      </c>
      <c r="K701" t="n">
        <v>0</v>
      </c>
      <c r="L701" t="n">
        <v>0</v>
      </c>
      <c r="M701" t="n">
        <v>0</v>
      </c>
      <c r="N701" t="n">
        <v>0</v>
      </c>
      <c r="O701" t="n">
        <v>0</v>
      </c>
      <c r="P701" t="n">
        <v>0</v>
      </c>
      <c r="Q701" t="n">
        <v>0</v>
      </c>
      <c r="R701" s="2" t="inlineStr"/>
    </row>
    <row r="702" ht="15" customHeight="1">
      <c r="A702" t="inlineStr">
        <is>
          <t>A 27606-2025</t>
        </is>
      </c>
      <c r="B702" s="1" t="n">
        <v>45813.53200231482</v>
      </c>
      <c r="C702" s="1" t="n">
        <v>45911</v>
      </c>
      <c r="D702" t="inlineStr">
        <is>
          <t>VÄSTERNORRLANDS LÄN</t>
        </is>
      </c>
      <c r="E702" t="inlineStr">
        <is>
          <t>ÅNGE</t>
        </is>
      </c>
      <c r="F702" t="inlineStr">
        <is>
          <t>SCA</t>
        </is>
      </c>
      <c r="G702" t="n">
        <v>6.3</v>
      </c>
      <c r="H702" t="n">
        <v>0</v>
      </c>
      <c r="I702" t="n">
        <v>0</v>
      </c>
      <c r="J702" t="n">
        <v>0</v>
      </c>
      <c r="K702" t="n">
        <v>0</v>
      </c>
      <c r="L702" t="n">
        <v>0</v>
      </c>
      <c r="M702" t="n">
        <v>0</v>
      </c>
      <c r="N702" t="n">
        <v>0</v>
      </c>
      <c r="O702" t="n">
        <v>0</v>
      </c>
      <c r="P702" t="n">
        <v>0</v>
      </c>
      <c r="Q702" t="n">
        <v>0</v>
      </c>
      <c r="R702" s="2" t="inlineStr"/>
    </row>
    <row r="703" ht="15" customHeight="1">
      <c r="A703" t="inlineStr">
        <is>
          <t>A 72239-2021</t>
        </is>
      </c>
      <c r="B703" s="1" t="n">
        <v>44544.9203587963</v>
      </c>
      <c r="C703" s="1" t="n">
        <v>45911</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55882-2022</t>
        </is>
      </c>
      <c r="B704" s="1" t="n">
        <v>44888</v>
      </c>
      <c r="C704" s="1" t="n">
        <v>45911</v>
      </c>
      <c r="D704" t="inlineStr">
        <is>
          <t>VÄSTERNORRLANDS LÄN</t>
        </is>
      </c>
      <c r="E704" t="inlineStr">
        <is>
          <t>ÅNGE</t>
        </is>
      </c>
      <c r="G704" t="n">
        <v>2.7</v>
      </c>
      <c r="H704" t="n">
        <v>0</v>
      </c>
      <c r="I704" t="n">
        <v>0</v>
      </c>
      <c r="J704" t="n">
        <v>0</v>
      </c>
      <c r="K704" t="n">
        <v>0</v>
      </c>
      <c r="L704" t="n">
        <v>0</v>
      </c>
      <c r="M704" t="n">
        <v>0</v>
      </c>
      <c r="N704" t="n">
        <v>0</v>
      </c>
      <c r="O704" t="n">
        <v>0</v>
      </c>
      <c r="P704" t="n">
        <v>0</v>
      </c>
      <c r="Q704" t="n">
        <v>0</v>
      </c>
      <c r="R704" s="2" t="inlineStr"/>
    </row>
    <row r="705" ht="15" customHeight="1">
      <c r="A705" t="inlineStr">
        <is>
          <t>A 36492-2023</t>
        </is>
      </c>
      <c r="B705" s="1" t="n">
        <v>45152.92479166666</v>
      </c>
      <c r="C705" s="1" t="n">
        <v>45911</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27639-2025</t>
        </is>
      </c>
      <c r="B706" s="1" t="n">
        <v>45813</v>
      </c>
      <c r="C706" s="1" t="n">
        <v>45911</v>
      </c>
      <c r="D706" t="inlineStr">
        <is>
          <t>VÄSTERNORRLANDS LÄN</t>
        </is>
      </c>
      <c r="E706" t="inlineStr">
        <is>
          <t>ÅNGE</t>
        </is>
      </c>
      <c r="G706" t="n">
        <v>22.9</v>
      </c>
      <c r="H706" t="n">
        <v>0</v>
      </c>
      <c r="I706" t="n">
        <v>0</v>
      </c>
      <c r="J706" t="n">
        <v>0</v>
      </c>
      <c r="K706" t="n">
        <v>0</v>
      </c>
      <c r="L706" t="n">
        <v>0</v>
      </c>
      <c r="M706" t="n">
        <v>0</v>
      </c>
      <c r="N706" t="n">
        <v>0</v>
      </c>
      <c r="O706" t="n">
        <v>0</v>
      </c>
      <c r="P706" t="n">
        <v>0</v>
      </c>
      <c r="Q706" t="n">
        <v>0</v>
      </c>
      <c r="R706" s="2" t="inlineStr"/>
    </row>
    <row r="707" ht="15" customHeight="1">
      <c r="A707" t="inlineStr">
        <is>
          <t>A 8650-2024</t>
        </is>
      </c>
      <c r="B707" s="1" t="n">
        <v>45356</v>
      </c>
      <c r="C707" s="1" t="n">
        <v>45911</v>
      </c>
      <c r="D707" t="inlineStr">
        <is>
          <t>VÄSTERNORRLANDS LÄN</t>
        </is>
      </c>
      <c r="E707" t="inlineStr">
        <is>
          <t>ÅNGE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46249-2024</t>
        </is>
      </c>
      <c r="B708" s="1" t="n">
        <v>45581.59409722222</v>
      </c>
      <c r="C708" s="1" t="n">
        <v>45911</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28070-2025</t>
        </is>
      </c>
      <c r="B709" s="1" t="n">
        <v>45817.67739583334</v>
      </c>
      <c r="C709" s="1" t="n">
        <v>45911</v>
      </c>
      <c r="D709" t="inlineStr">
        <is>
          <t>VÄSTERNORRLANDS LÄN</t>
        </is>
      </c>
      <c r="E709" t="inlineStr">
        <is>
          <t>ÅNGE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38272-2024</t>
        </is>
      </c>
      <c r="B710" s="1" t="n">
        <v>45545.60392361111</v>
      </c>
      <c r="C710" s="1" t="n">
        <v>45911</v>
      </c>
      <c r="D710" t="inlineStr">
        <is>
          <t>VÄSTERNORRLANDS LÄN</t>
        </is>
      </c>
      <c r="E710" t="inlineStr">
        <is>
          <t>ÅNGE</t>
        </is>
      </c>
      <c r="G710" t="n">
        <v>1.7</v>
      </c>
      <c r="H710" t="n">
        <v>0</v>
      </c>
      <c r="I710" t="n">
        <v>0</v>
      </c>
      <c r="J710" t="n">
        <v>0</v>
      </c>
      <c r="K710" t="n">
        <v>0</v>
      </c>
      <c r="L710" t="n">
        <v>0</v>
      </c>
      <c r="M710" t="n">
        <v>0</v>
      </c>
      <c r="N710" t="n">
        <v>0</v>
      </c>
      <c r="O710" t="n">
        <v>0</v>
      </c>
      <c r="P710" t="n">
        <v>0</v>
      </c>
      <c r="Q710" t="n">
        <v>0</v>
      </c>
      <c r="R710" s="2" t="inlineStr"/>
    </row>
    <row r="711" ht="15" customHeight="1">
      <c r="A711" t="inlineStr">
        <is>
          <t>A 16593-2023</t>
        </is>
      </c>
      <c r="B711" s="1" t="n">
        <v>45030</v>
      </c>
      <c r="C711" s="1" t="n">
        <v>45911</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16600-2023</t>
        </is>
      </c>
      <c r="B712" s="1" t="n">
        <v>45030</v>
      </c>
      <c r="C712" s="1" t="n">
        <v>45911</v>
      </c>
      <c r="D712" t="inlineStr">
        <is>
          <t>VÄSTERNORRLANDS LÄN</t>
        </is>
      </c>
      <c r="E712" t="inlineStr">
        <is>
          <t>ÅNGE</t>
        </is>
      </c>
      <c r="G712" t="n">
        <v>0.1</v>
      </c>
      <c r="H712" t="n">
        <v>0</v>
      </c>
      <c r="I712" t="n">
        <v>0</v>
      </c>
      <c r="J712" t="n">
        <v>0</v>
      </c>
      <c r="K712" t="n">
        <v>0</v>
      </c>
      <c r="L712" t="n">
        <v>0</v>
      </c>
      <c r="M712" t="n">
        <v>0</v>
      </c>
      <c r="N712" t="n">
        <v>0</v>
      </c>
      <c r="O712" t="n">
        <v>0</v>
      </c>
      <c r="P712" t="n">
        <v>0</v>
      </c>
      <c r="Q712" t="n">
        <v>0</v>
      </c>
      <c r="R712" s="2" t="inlineStr"/>
    </row>
    <row r="713" ht="15" customHeight="1">
      <c r="A713" t="inlineStr">
        <is>
          <t>A 42488-2024</t>
        </is>
      </c>
      <c r="B713" s="1" t="n">
        <v>45565.49420138889</v>
      </c>
      <c r="C713" s="1" t="n">
        <v>45911</v>
      </c>
      <c r="D713" t="inlineStr">
        <is>
          <t>VÄSTERNORRLANDS LÄN</t>
        </is>
      </c>
      <c r="E713" t="inlineStr">
        <is>
          <t>ÅNGE</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35399-2024</t>
        </is>
      </c>
      <c r="B714" s="1" t="n">
        <v>45531.40438657408</v>
      </c>
      <c r="C714" s="1" t="n">
        <v>45911</v>
      </c>
      <c r="D714" t="inlineStr">
        <is>
          <t>VÄSTERNORRLANDS LÄN</t>
        </is>
      </c>
      <c r="E714" t="inlineStr">
        <is>
          <t>ÅNGE</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56569-2024</t>
        </is>
      </c>
      <c r="B715" s="1" t="n">
        <v>45625</v>
      </c>
      <c r="C715" s="1" t="n">
        <v>45911</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28085-2025</t>
        </is>
      </c>
      <c r="B716" s="1" t="n">
        <v>45817.71924768519</v>
      </c>
      <c r="C716" s="1" t="n">
        <v>45911</v>
      </c>
      <c r="D716" t="inlineStr">
        <is>
          <t>VÄSTERNORRLANDS LÄN</t>
        </is>
      </c>
      <c r="E716" t="inlineStr">
        <is>
          <t>ÅNGE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57529-2024</t>
        </is>
      </c>
      <c r="B717" s="1" t="n">
        <v>45630</v>
      </c>
      <c r="C717" s="1" t="n">
        <v>45911</v>
      </c>
      <c r="D717" t="inlineStr">
        <is>
          <t>VÄSTERNORRLANDS LÄN</t>
        </is>
      </c>
      <c r="E717" t="inlineStr">
        <is>
          <t>ÅNGE</t>
        </is>
      </c>
      <c r="G717" t="n">
        <v>1.4</v>
      </c>
      <c r="H717" t="n">
        <v>0</v>
      </c>
      <c r="I717" t="n">
        <v>0</v>
      </c>
      <c r="J717" t="n">
        <v>0</v>
      </c>
      <c r="K717" t="n">
        <v>0</v>
      </c>
      <c r="L717" t="n">
        <v>0</v>
      </c>
      <c r="M717" t="n">
        <v>0</v>
      </c>
      <c r="N717" t="n">
        <v>0</v>
      </c>
      <c r="O717" t="n">
        <v>0</v>
      </c>
      <c r="P717" t="n">
        <v>0</v>
      </c>
      <c r="Q717" t="n">
        <v>0</v>
      </c>
      <c r="R717" s="2" t="inlineStr"/>
    </row>
    <row r="718" ht="15" customHeight="1">
      <c r="A718" t="inlineStr">
        <is>
          <t>A 4872-2025</t>
        </is>
      </c>
      <c r="B718" s="1" t="n">
        <v>45688.67619212963</v>
      </c>
      <c r="C718" s="1" t="n">
        <v>45911</v>
      </c>
      <c r="D718" t="inlineStr">
        <is>
          <t>VÄSTERNORRLANDS LÄN</t>
        </is>
      </c>
      <c r="E718" t="inlineStr">
        <is>
          <t>ÅNGE</t>
        </is>
      </c>
      <c r="F718" t="inlineStr">
        <is>
          <t>SCA</t>
        </is>
      </c>
      <c r="G718" t="n">
        <v>31.3</v>
      </c>
      <c r="H718" t="n">
        <v>0</v>
      </c>
      <c r="I718" t="n">
        <v>0</v>
      </c>
      <c r="J718" t="n">
        <v>0</v>
      </c>
      <c r="K718" t="n">
        <v>0</v>
      </c>
      <c r="L718" t="n">
        <v>0</v>
      </c>
      <c r="M718" t="n">
        <v>0</v>
      </c>
      <c r="N718" t="n">
        <v>0</v>
      </c>
      <c r="O718" t="n">
        <v>0</v>
      </c>
      <c r="P718" t="n">
        <v>0</v>
      </c>
      <c r="Q718" t="n">
        <v>0</v>
      </c>
      <c r="R718" s="2" t="inlineStr"/>
    </row>
    <row r="719" ht="15" customHeight="1">
      <c r="A719" t="inlineStr">
        <is>
          <t>A 39682-2024</t>
        </is>
      </c>
      <c r="B719" s="1" t="n">
        <v>45552</v>
      </c>
      <c r="C719" s="1" t="n">
        <v>45911</v>
      </c>
      <c r="D719" t="inlineStr">
        <is>
          <t>VÄSTERNORRLANDS LÄN</t>
        </is>
      </c>
      <c r="E719" t="inlineStr">
        <is>
          <t>ÅNGE</t>
        </is>
      </c>
      <c r="G719" t="n">
        <v>35.4</v>
      </c>
      <c r="H719" t="n">
        <v>0</v>
      </c>
      <c r="I719" t="n">
        <v>0</v>
      </c>
      <c r="J719" t="n">
        <v>0</v>
      </c>
      <c r="K719" t="n">
        <v>0</v>
      </c>
      <c r="L719" t="n">
        <v>0</v>
      </c>
      <c r="M719" t="n">
        <v>0</v>
      </c>
      <c r="N719" t="n">
        <v>0</v>
      </c>
      <c r="O719" t="n">
        <v>0</v>
      </c>
      <c r="P719" t="n">
        <v>0</v>
      </c>
      <c r="Q719" t="n">
        <v>0</v>
      </c>
      <c r="R719" s="2" t="inlineStr"/>
    </row>
    <row r="720" ht="15" customHeight="1">
      <c r="A720" t="inlineStr">
        <is>
          <t>A 16973-2025</t>
        </is>
      </c>
      <c r="B720" s="1" t="n">
        <v>45755.46967592592</v>
      </c>
      <c r="C720" s="1" t="n">
        <v>45911</v>
      </c>
      <c r="D720" t="inlineStr">
        <is>
          <t>VÄSTERNORRLANDS LÄN</t>
        </is>
      </c>
      <c r="E720" t="inlineStr">
        <is>
          <t>ÅNGE</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17668-2023</t>
        </is>
      </c>
      <c r="B721" s="1" t="n">
        <v>45036</v>
      </c>
      <c r="C721" s="1" t="n">
        <v>45911</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28143-2025</t>
        </is>
      </c>
      <c r="B722" s="1" t="n">
        <v>45818.34546296296</v>
      </c>
      <c r="C722" s="1" t="n">
        <v>45911</v>
      </c>
      <c r="D722" t="inlineStr">
        <is>
          <t>VÄSTERNORRLANDS LÄN</t>
        </is>
      </c>
      <c r="E722" t="inlineStr">
        <is>
          <t>ÅNGE</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8406-2023</t>
        </is>
      </c>
      <c r="B723" s="1" t="n">
        <v>44971</v>
      </c>
      <c r="C723" s="1" t="n">
        <v>45911</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4651-2022</t>
        </is>
      </c>
      <c r="B724" s="1" t="n">
        <v>44592</v>
      </c>
      <c r="C724" s="1" t="n">
        <v>45911</v>
      </c>
      <c r="D724" t="inlineStr">
        <is>
          <t>VÄSTERNORRLANDS LÄN</t>
        </is>
      </c>
      <c r="E724" t="inlineStr">
        <is>
          <t>ÅNGE</t>
        </is>
      </c>
      <c r="G724" t="n">
        <v>1.7</v>
      </c>
      <c r="H724" t="n">
        <v>0</v>
      </c>
      <c r="I724" t="n">
        <v>0</v>
      </c>
      <c r="J724" t="n">
        <v>0</v>
      </c>
      <c r="K724" t="n">
        <v>0</v>
      </c>
      <c r="L724" t="n">
        <v>0</v>
      </c>
      <c r="M724" t="n">
        <v>0</v>
      </c>
      <c r="N724" t="n">
        <v>0</v>
      </c>
      <c r="O724" t="n">
        <v>0</v>
      </c>
      <c r="P724" t="n">
        <v>0</v>
      </c>
      <c r="Q724" t="n">
        <v>0</v>
      </c>
      <c r="R724" s="2" t="inlineStr"/>
    </row>
    <row r="725" ht="15" customHeight="1">
      <c r="A725" t="inlineStr">
        <is>
          <t>A 45933-2023</t>
        </is>
      </c>
      <c r="B725" s="1" t="n">
        <v>45195</v>
      </c>
      <c r="C725" s="1" t="n">
        <v>45911</v>
      </c>
      <c r="D725" t="inlineStr">
        <is>
          <t>VÄSTERNORRLANDS LÄN</t>
        </is>
      </c>
      <c r="E725" t="inlineStr">
        <is>
          <t>ÅNGE</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57601-2022</t>
        </is>
      </c>
      <c r="B726" s="1" t="n">
        <v>44896</v>
      </c>
      <c r="C726" s="1" t="n">
        <v>45911</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48632-2023</t>
        </is>
      </c>
      <c r="B727" s="1" t="n">
        <v>45208.57944444445</v>
      </c>
      <c r="C727" s="1" t="n">
        <v>45911</v>
      </c>
      <c r="D727" t="inlineStr">
        <is>
          <t>VÄSTERNORRLANDS LÄN</t>
        </is>
      </c>
      <c r="E727" t="inlineStr">
        <is>
          <t>ÅNGE</t>
        </is>
      </c>
      <c r="G727" t="n">
        <v>2.2</v>
      </c>
      <c r="H727" t="n">
        <v>0</v>
      </c>
      <c r="I727" t="n">
        <v>0</v>
      </c>
      <c r="J727" t="n">
        <v>0</v>
      </c>
      <c r="K727" t="n">
        <v>0</v>
      </c>
      <c r="L727" t="n">
        <v>0</v>
      </c>
      <c r="M727" t="n">
        <v>0</v>
      </c>
      <c r="N727" t="n">
        <v>0</v>
      </c>
      <c r="O727" t="n">
        <v>0</v>
      </c>
      <c r="P727" t="n">
        <v>0</v>
      </c>
      <c r="Q727" t="n">
        <v>0</v>
      </c>
      <c r="R727" s="2" t="inlineStr"/>
    </row>
    <row r="728" ht="15" customHeight="1">
      <c r="A728" t="inlineStr">
        <is>
          <t>A 34649-2024</t>
        </is>
      </c>
      <c r="B728" s="1" t="n">
        <v>45526.48325231481</v>
      </c>
      <c r="C728" s="1" t="n">
        <v>45911</v>
      </c>
      <c r="D728" t="inlineStr">
        <is>
          <t>VÄSTERNORRLANDS LÄN</t>
        </is>
      </c>
      <c r="E728" t="inlineStr">
        <is>
          <t>ÅNGE</t>
        </is>
      </c>
      <c r="G728" t="n">
        <v>1.2</v>
      </c>
      <c r="H728" t="n">
        <v>0</v>
      </c>
      <c r="I728" t="n">
        <v>0</v>
      </c>
      <c r="J728" t="n">
        <v>0</v>
      </c>
      <c r="K728" t="n">
        <v>0</v>
      </c>
      <c r="L728" t="n">
        <v>0</v>
      </c>
      <c r="M728" t="n">
        <v>0</v>
      </c>
      <c r="N728" t="n">
        <v>0</v>
      </c>
      <c r="O728" t="n">
        <v>0</v>
      </c>
      <c r="P728" t="n">
        <v>0</v>
      </c>
      <c r="Q728" t="n">
        <v>0</v>
      </c>
      <c r="R728" s="2" t="inlineStr"/>
    </row>
    <row r="729" ht="15" customHeight="1">
      <c r="A729" t="inlineStr">
        <is>
          <t>A 28404-2025</t>
        </is>
      </c>
      <c r="B729" s="1" t="n">
        <v>45819.34532407407</v>
      </c>
      <c r="C729" s="1" t="n">
        <v>45911</v>
      </c>
      <c r="D729" t="inlineStr">
        <is>
          <t>VÄSTERNORRLANDS LÄN</t>
        </is>
      </c>
      <c r="E729" t="inlineStr">
        <is>
          <t>ÅNGE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28896-2025</t>
        </is>
      </c>
      <c r="B730" s="1" t="n">
        <v>45820.63584490741</v>
      </c>
      <c r="C730" s="1" t="n">
        <v>45911</v>
      </c>
      <c r="D730" t="inlineStr">
        <is>
          <t>VÄSTERNORRLANDS LÄN</t>
        </is>
      </c>
      <c r="E730" t="inlineStr">
        <is>
          <t>ÅNGE</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8747-2022</t>
        </is>
      </c>
      <c r="B731" s="1" t="n">
        <v>44614.33912037037</v>
      </c>
      <c r="C731" s="1" t="n">
        <v>45911</v>
      </c>
      <c r="D731" t="inlineStr">
        <is>
          <t>VÄSTERNORRLANDS LÄN</t>
        </is>
      </c>
      <c r="E731" t="inlineStr">
        <is>
          <t>ÅNGE</t>
        </is>
      </c>
      <c r="G731" t="n">
        <v>1.5</v>
      </c>
      <c r="H731" t="n">
        <v>0</v>
      </c>
      <c r="I731" t="n">
        <v>0</v>
      </c>
      <c r="J731" t="n">
        <v>0</v>
      </c>
      <c r="K731" t="n">
        <v>0</v>
      </c>
      <c r="L731" t="n">
        <v>0</v>
      </c>
      <c r="M731" t="n">
        <v>0</v>
      </c>
      <c r="N731" t="n">
        <v>0</v>
      </c>
      <c r="O731" t="n">
        <v>0</v>
      </c>
      <c r="P731" t="n">
        <v>0</v>
      </c>
      <c r="Q731" t="n">
        <v>0</v>
      </c>
      <c r="R731" s="2" t="inlineStr"/>
    </row>
    <row r="732" ht="15" customHeight="1">
      <c r="A732" t="inlineStr">
        <is>
          <t>A 14888-2022</t>
        </is>
      </c>
      <c r="B732" s="1" t="n">
        <v>44656</v>
      </c>
      <c r="C732" s="1" t="n">
        <v>45911</v>
      </c>
      <c r="D732" t="inlineStr">
        <is>
          <t>VÄSTERNORRLANDS LÄN</t>
        </is>
      </c>
      <c r="E732" t="inlineStr">
        <is>
          <t>ÅNGE</t>
        </is>
      </c>
      <c r="G732" t="n">
        <v>6.2</v>
      </c>
      <c r="H732" t="n">
        <v>0</v>
      </c>
      <c r="I732" t="n">
        <v>0</v>
      </c>
      <c r="J732" t="n">
        <v>0</v>
      </c>
      <c r="K732" t="n">
        <v>0</v>
      </c>
      <c r="L732" t="n">
        <v>0</v>
      </c>
      <c r="M732" t="n">
        <v>0</v>
      </c>
      <c r="N732" t="n">
        <v>0</v>
      </c>
      <c r="O732" t="n">
        <v>0</v>
      </c>
      <c r="P732" t="n">
        <v>0</v>
      </c>
      <c r="Q732" t="n">
        <v>0</v>
      </c>
      <c r="R732" s="2" t="inlineStr"/>
    </row>
    <row r="733" ht="15" customHeight="1">
      <c r="A733" t="inlineStr">
        <is>
          <t>A 28819-2025</t>
        </is>
      </c>
      <c r="B733" s="1" t="n">
        <v>45820.53758101852</v>
      </c>
      <c r="C733" s="1" t="n">
        <v>45911</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28845-2025</t>
        </is>
      </c>
      <c r="B734" s="1" t="n">
        <v>45820.57324074074</v>
      </c>
      <c r="C734" s="1" t="n">
        <v>45911</v>
      </c>
      <c r="D734" t="inlineStr">
        <is>
          <t>VÄSTERNORRLANDS LÄN</t>
        </is>
      </c>
      <c r="E734" t="inlineStr">
        <is>
          <t>ÅNGE</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28814-2025</t>
        </is>
      </c>
      <c r="B735" s="1" t="n">
        <v>45820.52846064815</v>
      </c>
      <c r="C735" s="1" t="n">
        <v>45911</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28717-2025</t>
        </is>
      </c>
      <c r="B736" s="1" t="n">
        <v>45820</v>
      </c>
      <c r="C736" s="1" t="n">
        <v>45911</v>
      </c>
      <c r="D736" t="inlineStr">
        <is>
          <t>VÄSTERNORRLANDS LÄN</t>
        </is>
      </c>
      <c r="E736" t="inlineStr">
        <is>
          <t>ÅNGE</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55329-2023</t>
        </is>
      </c>
      <c r="B737" s="1" t="n">
        <v>45237</v>
      </c>
      <c r="C737" s="1" t="n">
        <v>45911</v>
      </c>
      <c r="D737" t="inlineStr">
        <is>
          <t>VÄSTERNORRLANDS LÄN</t>
        </is>
      </c>
      <c r="E737" t="inlineStr">
        <is>
          <t>ÅNGE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3986-2025</t>
        </is>
      </c>
      <c r="B738" s="1" t="n">
        <v>45684.55262731481</v>
      </c>
      <c r="C738" s="1" t="n">
        <v>45911</v>
      </c>
      <c r="D738" t="inlineStr">
        <is>
          <t>VÄSTERNORRLANDS LÄN</t>
        </is>
      </c>
      <c r="E738" t="inlineStr">
        <is>
          <t>ÅNGE</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29350-2025</t>
        </is>
      </c>
      <c r="B739" s="1" t="n">
        <v>45824.53206018519</v>
      </c>
      <c r="C739" s="1" t="n">
        <v>45911</v>
      </c>
      <c r="D739" t="inlineStr">
        <is>
          <t>VÄSTERNORRLANDS LÄN</t>
        </is>
      </c>
      <c r="E739" t="inlineStr">
        <is>
          <t>ÅNGE</t>
        </is>
      </c>
      <c r="G739" t="n">
        <v>8.6</v>
      </c>
      <c r="H739" t="n">
        <v>0</v>
      </c>
      <c r="I739" t="n">
        <v>0</v>
      </c>
      <c r="J739" t="n">
        <v>0</v>
      </c>
      <c r="K739" t="n">
        <v>0</v>
      </c>
      <c r="L739" t="n">
        <v>0</v>
      </c>
      <c r="M739" t="n">
        <v>0</v>
      </c>
      <c r="N739" t="n">
        <v>0</v>
      </c>
      <c r="O739" t="n">
        <v>0</v>
      </c>
      <c r="P739" t="n">
        <v>0</v>
      </c>
      <c r="Q739" t="n">
        <v>0</v>
      </c>
      <c r="R739" s="2" t="inlineStr"/>
    </row>
    <row r="740" ht="15" customHeight="1">
      <c r="A740" t="inlineStr">
        <is>
          <t>A 34679-2024</t>
        </is>
      </c>
      <c r="B740" s="1" t="n">
        <v>45526</v>
      </c>
      <c r="C740" s="1" t="n">
        <v>45911</v>
      </c>
      <c r="D740" t="inlineStr">
        <is>
          <t>VÄSTERNORRLANDS LÄN</t>
        </is>
      </c>
      <c r="E740" t="inlineStr">
        <is>
          <t>ÅNGE</t>
        </is>
      </c>
      <c r="G740" t="n">
        <v>1.4</v>
      </c>
      <c r="H740" t="n">
        <v>0</v>
      </c>
      <c r="I740" t="n">
        <v>0</v>
      </c>
      <c r="J740" t="n">
        <v>0</v>
      </c>
      <c r="K740" t="n">
        <v>0</v>
      </c>
      <c r="L740" t="n">
        <v>0</v>
      </c>
      <c r="M740" t="n">
        <v>0</v>
      </c>
      <c r="N740" t="n">
        <v>0</v>
      </c>
      <c r="O740" t="n">
        <v>0</v>
      </c>
      <c r="P740" t="n">
        <v>0</v>
      </c>
      <c r="Q740" t="n">
        <v>0</v>
      </c>
      <c r="R740" s="2" t="inlineStr"/>
    </row>
    <row r="741" ht="15" customHeight="1">
      <c r="A741" t="inlineStr">
        <is>
          <t>A 58445-2022</t>
        </is>
      </c>
      <c r="B741" s="1" t="n">
        <v>44901.95453703704</v>
      </c>
      <c r="C741" s="1" t="n">
        <v>45911</v>
      </c>
      <c r="D741" t="inlineStr">
        <is>
          <t>VÄSTERNORRLANDS LÄN</t>
        </is>
      </c>
      <c r="E741" t="inlineStr">
        <is>
          <t>ÅNGE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23058-2024</t>
        </is>
      </c>
      <c r="B742" s="1" t="n">
        <v>45450.44020833333</v>
      </c>
      <c r="C742" s="1" t="n">
        <v>45911</v>
      </c>
      <c r="D742" t="inlineStr">
        <is>
          <t>VÄSTERNORRLANDS LÄN</t>
        </is>
      </c>
      <c r="E742" t="inlineStr">
        <is>
          <t>ÅNGE</t>
        </is>
      </c>
      <c r="G742" t="n">
        <v>3.9</v>
      </c>
      <c r="H742" t="n">
        <v>0</v>
      </c>
      <c r="I742" t="n">
        <v>0</v>
      </c>
      <c r="J742" t="n">
        <v>0</v>
      </c>
      <c r="K742" t="n">
        <v>0</v>
      </c>
      <c r="L742" t="n">
        <v>0</v>
      </c>
      <c r="M742" t="n">
        <v>0</v>
      </c>
      <c r="N742" t="n">
        <v>0</v>
      </c>
      <c r="O742" t="n">
        <v>0</v>
      </c>
      <c r="P742" t="n">
        <v>0</v>
      </c>
      <c r="Q742" t="n">
        <v>0</v>
      </c>
      <c r="R742" s="2" t="inlineStr"/>
    </row>
    <row r="743" ht="15" customHeight="1">
      <c r="A743" t="inlineStr">
        <is>
          <t>A 29153-2025</t>
        </is>
      </c>
      <c r="B743" s="1" t="n">
        <v>45821.63574074074</v>
      </c>
      <c r="C743" s="1" t="n">
        <v>45911</v>
      </c>
      <c r="D743" t="inlineStr">
        <is>
          <t>VÄSTERNORRLANDS LÄN</t>
        </is>
      </c>
      <c r="E743" t="inlineStr">
        <is>
          <t>ÅNGE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64946-2023</t>
        </is>
      </c>
      <c r="B744" s="1" t="n">
        <v>45282.94678240741</v>
      </c>
      <c r="C744" s="1" t="n">
        <v>45911</v>
      </c>
      <c r="D744" t="inlineStr">
        <is>
          <t>VÄSTERNORRLANDS LÄN</t>
        </is>
      </c>
      <c r="E744" t="inlineStr">
        <is>
          <t>ÅNGE</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46795-2023</t>
        </is>
      </c>
      <c r="B745" s="1" t="n">
        <v>45198</v>
      </c>
      <c r="C745" s="1" t="n">
        <v>45911</v>
      </c>
      <c r="D745" t="inlineStr">
        <is>
          <t>VÄSTERNORRLANDS LÄN</t>
        </is>
      </c>
      <c r="E745" t="inlineStr">
        <is>
          <t>ÅNGE</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4094-2025</t>
        </is>
      </c>
      <c r="B746" s="1" t="n">
        <v>45684.6778125</v>
      </c>
      <c r="C746" s="1" t="n">
        <v>45911</v>
      </c>
      <c r="D746" t="inlineStr">
        <is>
          <t>VÄSTERNORRLANDS LÄN</t>
        </is>
      </c>
      <c r="E746" t="inlineStr">
        <is>
          <t>ÅNGE</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29862-2025</t>
        </is>
      </c>
      <c r="B747" s="1" t="n">
        <v>45826.3465625</v>
      </c>
      <c r="C747" s="1" t="n">
        <v>45911</v>
      </c>
      <c r="D747" t="inlineStr">
        <is>
          <t>VÄSTERNORRLANDS LÄN</t>
        </is>
      </c>
      <c r="E747" t="inlineStr">
        <is>
          <t>ÅNGE</t>
        </is>
      </c>
      <c r="G747" t="n">
        <v>0.8</v>
      </c>
      <c r="H747" t="n">
        <v>0</v>
      </c>
      <c r="I747" t="n">
        <v>0</v>
      </c>
      <c r="J747" t="n">
        <v>0</v>
      </c>
      <c r="K747" t="n">
        <v>0</v>
      </c>
      <c r="L747" t="n">
        <v>0</v>
      </c>
      <c r="M747" t="n">
        <v>0</v>
      </c>
      <c r="N747" t="n">
        <v>0</v>
      </c>
      <c r="O747" t="n">
        <v>0</v>
      </c>
      <c r="P747" t="n">
        <v>0</v>
      </c>
      <c r="Q747" t="n">
        <v>0</v>
      </c>
      <c r="R747" s="2" t="inlineStr"/>
    </row>
    <row r="748" ht="15" customHeight="1">
      <c r="A748" t="inlineStr">
        <is>
          <t>A 29880-2025</t>
        </is>
      </c>
      <c r="B748" s="1" t="n">
        <v>45826.36510416667</v>
      </c>
      <c r="C748" s="1" t="n">
        <v>45911</v>
      </c>
      <c r="D748" t="inlineStr">
        <is>
          <t>VÄSTERNORRLANDS LÄN</t>
        </is>
      </c>
      <c r="E748" t="inlineStr">
        <is>
          <t>ÅNGE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29882-2025</t>
        </is>
      </c>
      <c r="B749" s="1" t="n">
        <v>45826.36548611111</v>
      </c>
      <c r="C749" s="1" t="n">
        <v>45911</v>
      </c>
      <c r="D749" t="inlineStr">
        <is>
          <t>VÄSTERNORRLANDS LÄN</t>
        </is>
      </c>
      <c r="E749" t="inlineStr">
        <is>
          <t>ÅNGE</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39973-2023</t>
        </is>
      </c>
      <c r="B750" s="1" t="n">
        <v>45168.5858912037</v>
      </c>
      <c r="C750" s="1" t="n">
        <v>45911</v>
      </c>
      <c r="D750" t="inlineStr">
        <is>
          <t>VÄSTERNORRLANDS LÄN</t>
        </is>
      </c>
      <c r="E750" t="inlineStr">
        <is>
          <t>ÅNGE</t>
        </is>
      </c>
      <c r="G750" t="n">
        <v>3.6</v>
      </c>
      <c r="H750" t="n">
        <v>0</v>
      </c>
      <c r="I750" t="n">
        <v>0</v>
      </c>
      <c r="J750" t="n">
        <v>0</v>
      </c>
      <c r="K750" t="n">
        <v>0</v>
      </c>
      <c r="L750" t="n">
        <v>0</v>
      </c>
      <c r="M750" t="n">
        <v>0</v>
      </c>
      <c r="N750" t="n">
        <v>0</v>
      </c>
      <c r="O750" t="n">
        <v>0</v>
      </c>
      <c r="P750" t="n">
        <v>0</v>
      </c>
      <c r="Q750" t="n">
        <v>0</v>
      </c>
      <c r="R750" s="2" t="inlineStr"/>
    </row>
    <row r="751" ht="15" customHeight="1">
      <c r="A751" t="inlineStr">
        <is>
          <t>A 29916-2025</t>
        </is>
      </c>
      <c r="B751" s="1" t="n">
        <v>45826.41822916667</v>
      </c>
      <c r="C751" s="1" t="n">
        <v>45911</v>
      </c>
      <c r="D751" t="inlineStr">
        <is>
          <t>VÄSTERNORRLANDS LÄN</t>
        </is>
      </c>
      <c r="E751" t="inlineStr">
        <is>
          <t>ÅNGE</t>
        </is>
      </c>
      <c r="G751" t="n">
        <v>3.4</v>
      </c>
      <c r="H751" t="n">
        <v>0</v>
      </c>
      <c r="I751" t="n">
        <v>0</v>
      </c>
      <c r="J751" t="n">
        <v>0</v>
      </c>
      <c r="K751" t="n">
        <v>0</v>
      </c>
      <c r="L751" t="n">
        <v>0</v>
      </c>
      <c r="M751" t="n">
        <v>0</v>
      </c>
      <c r="N751" t="n">
        <v>0</v>
      </c>
      <c r="O751" t="n">
        <v>0</v>
      </c>
      <c r="P751" t="n">
        <v>0</v>
      </c>
      <c r="Q751" t="n">
        <v>0</v>
      </c>
      <c r="R751" s="2" t="inlineStr"/>
    </row>
    <row r="752" ht="15" customHeight="1">
      <c r="A752" t="inlineStr">
        <is>
          <t>A 58637-2023</t>
        </is>
      </c>
      <c r="B752" s="1" t="n">
        <v>45251</v>
      </c>
      <c r="C752" s="1" t="n">
        <v>45911</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29560-2025</t>
        </is>
      </c>
      <c r="B753" s="1" t="n">
        <v>45825.36497685185</v>
      </c>
      <c r="C753" s="1" t="n">
        <v>45911</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46681-2023</t>
        </is>
      </c>
      <c r="B754" s="1" t="n">
        <v>45198</v>
      </c>
      <c r="C754" s="1" t="n">
        <v>45911</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41586-2024</t>
        </is>
      </c>
      <c r="B755" s="1" t="n">
        <v>45560.56089120371</v>
      </c>
      <c r="C755" s="1" t="n">
        <v>45911</v>
      </c>
      <c r="D755" t="inlineStr">
        <is>
          <t>VÄSTERNORRLANDS LÄN</t>
        </is>
      </c>
      <c r="E755" t="inlineStr">
        <is>
          <t>ÅNGE</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29786-2025</t>
        </is>
      </c>
      <c r="B756" s="1" t="n">
        <v>45825.65663194445</v>
      </c>
      <c r="C756" s="1" t="n">
        <v>45911</v>
      </c>
      <c r="D756" t="inlineStr">
        <is>
          <t>VÄSTERNORRLANDS LÄN</t>
        </is>
      </c>
      <c r="E756" t="inlineStr">
        <is>
          <t>ÅNGE</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48946-2024</t>
        </is>
      </c>
      <c r="B757" s="1" t="n">
        <v>45594.42736111111</v>
      </c>
      <c r="C757" s="1" t="n">
        <v>45911</v>
      </c>
      <c r="D757" t="inlineStr">
        <is>
          <t>VÄSTERNORRLANDS LÄN</t>
        </is>
      </c>
      <c r="E757" t="inlineStr">
        <is>
          <t>ÅNGE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22988-2024</t>
        </is>
      </c>
      <c r="B758" s="1" t="n">
        <v>45449.94530092592</v>
      </c>
      <c r="C758" s="1" t="n">
        <v>45911</v>
      </c>
      <c r="D758" t="inlineStr">
        <is>
          <t>VÄSTERNORRLANDS LÄN</t>
        </is>
      </c>
      <c r="E758" t="inlineStr">
        <is>
          <t>ÅNGE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3023-2023</t>
        </is>
      </c>
      <c r="B759" s="1" t="n">
        <v>44945</v>
      </c>
      <c r="C759" s="1" t="n">
        <v>45911</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3025-2023</t>
        </is>
      </c>
      <c r="B760" s="1" t="n">
        <v>44945</v>
      </c>
      <c r="C760" s="1" t="n">
        <v>45911</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30475-2025</t>
        </is>
      </c>
      <c r="B761" s="1" t="n">
        <v>45828.34444444445</v>
      </c>
      <c r="C761" s="1" t="n">
        <v>45911</v>
      </c>
      <c r="D761" t="inlineStr">
        <is>
          <t>VÄSTERNORRLANDS LÄN</t>
        </is>
      </c>
      <c r="E761" t="inlineStr">
        <is>
          <t>ÅNGE</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36457-2025</t>
        </is>
      </c>
      <c r="B762" s="1" t="n">
        <v>45869.44842592593</v>
      </c>
      <c r="C762" s="1" t="n">
        <v>45911</v>
      </c>
      <c r="D762" t="inlineStr">
        <is>
          <t>VÄSTERNORRLANDS LÄN</t>
        </is>
      </c>
      <c r="E762" t="inlineStr">
        <is>
          <t>ÅNGE</t>
        </is>
      </c>
      <c r="F762" t="inlineStr">
        <is>
          <t>SCA</t>
        </is>
      </c>
      <c r="G762" t="n">
        <v>6.3</v>
      </c>
      <c r="H762" t="n">
        <v>0</v>
      </c>
      <c r="I762" t="n">
        <v>0</v>
      </c>
      <c r="J762" t="n">
        <v>0</v>
      </c>
      <c r="K762" t="n">
        <v>0</v>
      </c>
      <c r="L762" t="n">
        <v>0</v>
      </c>
      <c r="M762" t="n">
        <v>0</v>
      </c>
      <c r="N762" t="n">
        <v>0</v>
      </c>
      <c r="O762" t="n">
        <v>0</v>
      </c>
      <c r="P762" t="n">
        <v>0</v>
      </c>
      <c r="Q762" t="n">
        <v>0</v>
      </c>
      <c r="R762" s="2" t="inlineStr"/>
    </row>
    <row r="763" ht="15" customHeight="1">
      <c r="A763" t="inlineStr">
        <is>
          <t>A 38002-2024</t>
        </is>
      </c>
      <c r="B763" s="1" t="n">
        <v>45544.61484953704</v>
      </c>
      <c r="C763" s="1" t="n">
        <v>45911</v>
      </c>
      <c r="D763" t="inlineStr">
        <is>
          <t>VÄSTERNORRLANDS LÄN</t>
        </is>
      </c>
      <c r="E763" t="inlineStr">
        <is>
          <t>ÅNGE</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31568-2024</t>
        </is>
      </c>
      <c r="B764" s="1" t="n">
        <v>45505.96721064814</v>
      </c>
      <c r="C764" s="1" t="n">
        <v>45911</v>
      </c>
      <c r="D764" t="inlineStr">
        <is>
          <t>VÄSTERNORRLANDS LÄN</t>
        </is>
      </c>
      <c r="E764" t="inlineStr">
        <is>
          <t>ÅNGE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4236-2025</t>
        </is>
      </c>
      <c r="B765" s="1" t="n">
        <v>45685.56534722223</v>
      </c>
      <c r="C765" s="1" t="n">
        <v>45911</v>
      </c>
      <c r="D765" t="inlineStr">
        <is>
          <t>VÄSTERNORRLANDS LÄN</t>
        </is>
      </c>
      <c r="E765" t="inlineStr">
        <is>
          <t>ÅNGE</t>
        </is>
      </c>
      <c r="G765" t="n">
        <v>2.4</v>
      </c>
      <c r="H765" t="n">
        <v>0</v>
      </c>
      <c r="I765" t="n">
        <v>0</v>
      </c>
      <c r="J765" t="n">
        <v>0</v>
      </c>
      <c r="K765" t="n">
        <v>0</v>
      </c>
      <c r="L765" t="n">
        <v>0</v>
      </c>
      <c r="M765" t="n">
        <v>0</v>
      </c>
      <c r="N765" t="n">
        <v>0</v>
      </c>
      <c r="O765" t="n">
        <v>0</v>
      </c>
      <c r="P765" t="n">
        <v>0</v>
      </c>
      <c r="Q765" t="n">
        <v>0</v>
      </c>
      <c r="R765" s="2" t="inlineStr"/>
    </row>
    <row r="766" ht="15" customHeight="1">
      <c r="A766" t="inlineStr">
        <is>
          <t>A 44565-2024</t>
        </is>
      </c>
      <c r="B766" s="1" t="n">
        <v>45574.47518518518</v>
      </c>
      <c r="C766" s="1" t="n">
        <v>45911</v>
      </c>
      <c r="D766" t="inlineStr">
        <is>
          <t>VÄSTERNORRLANDS LÄN</t>
        </is>
      </c>
      <c r="E766" t="inlineStr">
        <is>
          <t>ÅNGE</t>
        </is>
      </c>
      <c r="G766" t="n">
        <v>1.8</v>
      </c>
      <c r="H766" t="n">
        <v>0</v>
      </c>
      <c r="I766" t="n">
        <v>0</v>
      </c>
      <c r="J766" t="n">
        <v>0</v>
      </c>
      <c r="K766" t="n">
        <v>0</v>
      </c>
      <c r="L766" t="n">
        <v>0</v>
      </c>
      <c r="M766" t="n">
        <v>0</v>
      </c>
      <c r="N766" t="n">
        <v>0</v>
      </c>
      <c r="O766" t="n">
        <v>0</v>
      </c>
      <c r="P766" t="n">
        <v>0</v>
      </c>
      <c r="Q766" t="n">
        <v>0</v>
      </c>
      <c r="R766" s="2" t="inlineStr"/>
    </row>
    <row r="767" ht="15" customHeight="1">
      <c r="A767" t="inlineStr">
        <is>
          <t>A 19997-2023</t>
        </is>
      </c>
      <c r="B767" s="1" t="n">
        <v>45054</v>
      </c>
      <c r="C767" s="1" t="n">
        <v>45911</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3352-2021</t>
        </is>
      </c>
      <c r="B768" s="1" t="n">
        <v>44217</v>
      </c>
      <c r="C768" s="1" t="n">
        <v>45911</v>
      </c>
      <c r="D768" t="inlineStr">
        <is>
          <t>VÄSTERNORRLANDS LÄN</t>
        </is>
      </c>
      <c r="E768" t="inlineStr">
        <is>
          <t>ÅNGE</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51131-2022</t>
        </is>
      </c>
      <c r="B769" s="1" t="n">
        <v>44868</v>
      </c>
      <c r="C769" s="1" t="n">
        <v>45911</v>
      </c>
      <c r="D769" t="inlineStr">
        <is>
          <t>VÄSTERNORRLANDS LÄN</t>
        </is>
      </c>
      <c r="E769" t="inlineStr">
        <is>
          <t>ÅNGE</t>
        </is>
      </c>
      <c r="G769" t="n">
        <v>11.1</v>
      </c>
      <c r="H769" t="n">
        <v>0</v>
      </c>
      <c r="I769" t="n">
        <v>0</v>
      </c>
      <c r="J769" t="n">
        <v>0</v>
      </c>
      <c r="K769" t="n">
        <v>0</v>
      </c>
      <c r="L769" t="n">
        <v>0</v>
      </c>
      <c r="M769" t="n">
        <v>0</v>
      </c>
      <c r="N769" t="n">
        <v>0</v>
      </c>
      <c r="O769" t="n">
        <v>0</v>
      </c>
      <c r="P769" t="n">
        <v>0</v>
      </c>
      <c r="Q769" t="n">
        <v>0</v>
      </c>
      <c r="R769" s="2" t="inlineStr"/>
    </row>
    <row r="770" ht="15" customHeight="1">
      <c r="A770" t="inlineStr">
        <is>
          <t>A 34959-2023</t>
        </is>
      </c>
      <c r="B770" s="1" t="n">
        <v>45142</v>
      </c>
      <c r="C770" s="1" t="n">
        <v>45911</v>
      </c>
      <c r="D770" t="inlineStr">
        <is>
          <t>VÄSTERNORRLANDS LÄN</t>
        </is>
      </c>
      <c r="E770" t="inlineStr">
        <is>
          <t>ÅNGE</t>
        </is>
      </c>
      <c r="F770" t="inlineStr">
        <is>
          <t>Sveaskog</t>
        </is>
      </c>
      <c r="G770" t="n">
        <v>6.6</v>
      </c>
      <c r="H770" t="n">
        <v>0</v>
      </c>
      <c r="I770" t="n">
        <v>0</v>
      </c>
      <c r="J770" t="n">
        <v>0</v>
      </c>
      <c r="K770" t="n">
        <v>0</v>
      </c>
      <c r="L770" t="n">
        <v>0</v>
      </c>
      <c r="M770" t="n">
        <v>0</v>
      </c>
      <c r="N770" t="n">
        <v>0</v>
      </c>
      <c r="O770" t="n">
        <v>0</v>
      </c>
      <c r="P770" t="n">
        <v>0</v>
      </c>
      <c r="Q770" t="n">
        <v>0</v>
      </c>
      <c r="R770" s="2" t="inlineStr"/>
    </row>
    <row r="771" ht="15" customHeight="1">
      <c r="A771" t="inlineStr">
        <is>
          <t>A 5999-2025</t>
        </is>
      </c>
      <c r="B771" s="1" t="n">
        <v>45695</v>
      </c>
      <c r="C771" s="1" t="n">
        <v>45911</v>
      </c>
      <c r="D771" t="inlineStr">
        <is>
          <t>VÄSTERNORRLANDS LÄN</t>
        </is>
      </c>
      <c r="E771" t="inlineStr">
        <is>
          <t>ÅNGE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36491-2025</t>
        </is>
      </c>
      <c r="B772" s="1" t="n">
        <v>45869.53173611111</v>
      </c>
      <c r="C772" s="1" t="n">
        <v>45911</v>
      </c>
      <c r="D772" t="inlineStr">
        <is>
          <t>VÄSTERNORRLANDS LÄN</t>
        </is>
      </c>
      <c r="E772" t="inlineStr">
        <is>
          <t>ÅNGE</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54346-2023</t>
        </is>
      </c>
      <c r="B773" s="1" t="n">
        <v>45232.96087962963</v>
      </c>
      <c r="C773" s="1" t="n">
        <v>45911</v>
      </c>
      <c r="D773" t="inlineStr">
        <is>
          <t>VÄSTERNORRLANDS LÄN</t>
        </is>
      </c>
      <c r="E773" t="inlineStr">
        <is>
          <t>ÅNGE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26015-2024</t>
        </is>
      </c>
      <c r="B774" s="1" t="n">
        <v>45467.95872685185</v>
      </c>
      <c r="C774" s="1" t="n">
        <v>45911</v>
      </c>
      <c r="D774" t="inlineStr">
        <is>
          <t>VÄSTERNORRLANDS LÄN</t>
        </is>
      </c>
      <c r="E774" t="inlineStr">
        <is>
          <t>ÅNGE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26010-2024</t>
        </is>
      </c>
      <c r="B775" s="1" t="n">
        <v>45467.95819444444</v>
      </c>
      <c r="C775" s="1" t="n">
        <v>45911</v>
      </c>
      <c r="D775" t="inlineStr">
        <is>
          <t>VÄSTERNORRLANDS LÄN</t>
        </is>
      </c>
      <c r="E775" t="inlineStr">
        <is>
          <t>ÅNGE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36456-2025</t>
        </is>
      </c>
      <c r="B776" s="1" t="n">
        <v>45869.44827546296</v>
      </c>
      <c r="C776" s="1" t="n">
        <v>45911</v>
      </c>
      <c r="D776" t="inlineStr">
        <is>
          <t>VÄSTERNORRLANDS LÄN</t>
        </is>
      </c>
      <c r="E776" t="inlineStr">
        <is>
          <t>ÅNGE</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55328-2023</t>
        </is>
      </c>
      <c r="B777" s="1" t="n">
        <v>45237</v>
      </c>
      <c r="C777" s="1" t="n">
        <v>45911</v>
      </c>
      <c r="D777" t="inlineStr">
        <is>
          <t>VÄSTERNORRLANDS LÄN</t>
        </is>
      </c>
      <c r="E777" t="inlineStr">
        <is>
          <t>ÅNGE</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60365-2024</t>
        </is>
      </c>
      <c r="B778" s="1" t="n">
        <v>45643</v>
      </c>
      <c r="C778" s="1" t="n">
        <v>45911</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30875-2025</t>
        </is>
      </c>
      <c r="B779" s="1" t="n">
        <v>45832.34447916667</v>
      </c>
      <c r="C779" s="1" t="n">
        <v>45911</v>
      </c>
      <c r="D779" t="inlineStr">
        <is>
          <t>VÄSTERNORRLANDS LÄN</t>
        </is>
      </c>
      <c r="E779" t="inlineStr">
        <is>
          <t>ÅNGE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31211-2025</t>
        </is>
      </c>
      <c r="B780" s="1" t="n">
        <v>45832.71938657408</v>
      </c>
      <c r="C780" s="1" t="n">
        <v>45911</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11871-2025</t>
        </is>
      </c>
      <c r="B781" s="1" t="n">
        <v>45728.42740740741</v>
      </c>
      <c r="C781" s="1" t="n">
        <v>45911</v>
      </c>
      <c r="D781" t="inlineStr">
        <is>
          <t>VÄSTERNORRLANDS LÄN</t>
        </is>
      </c>
      <c r="E781" t="inlineStr">
        <is>
          <t>ÅNGE</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11531-2023</t>
        </is>
      </c>
      <c r="B782" s="1" t="n">
        <v>44993.77038194444</v>
      </c>
      <c r="C782" s="1" t="n">
        <v>45911</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11532-2023</t>
        </is>
      </c>
      <c r="B783" s="1" t="n">
        <v>44993.77212962963</v>
      </c>
      <c r="C783" s="1" t="n">
        <v>45911</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41355-2024</t>
        </is>
      </c>
      <c r="B784" s="1" t="n">
        <v>45559.69833333333</v>
      </c>
      <c r="C784" s="1" t="n">
        <v>45911</v>
      </c>
      <c r="D784" t="inlineStr">
        <is>
          <t>VÄSTERNORRLANDS LÄN</t>
        </is>
      </c>
      <c r="E784" t="inlineStr">
        <is>
          <t>ÅNGE</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15799-2025</t>
        </is>
      </c>
      <c r="B785" s="1" t="n">
        <v>45748.64768518518</v>
      </c>
      <c r="C785" s="1" t="n">
        <v>45911</v>
      </c>
      <c r="D785" t="inlineStr">
        <is>
          <t>VÄSTERNORRLANDS LÄN</t>
        </is>
      </c>
      <c r="E785" t="inlineStr">
        <is>
          <t>ÅNGE</t>
        </is>
      </c>
      <c r="G785" t="n">
        <v>2.3</v>
      </c>
      <c r="H785" t="n">
        <v>0</v>
      </c>
      <c r="I785" t="n">
        <v>0</v>
      </c>
      <c r="J785" t="n">
        <v>0</v>
      </c>
      <c r="K785" t="n">
        <v>0</v>
      </c>
      <c r="L785" t="n">
        <v>0</v>
      </c>
      <c r="M785" t="n">
        <v>0</v>
      </c>
      <c r="N785" t="n">
        <v>0</v>
      </c>
      <c r="O785" t="n">
        <v>0</v>
      </c>
      <c r="P785" t="n">
        <v>0</v>
      </c>
      <c r="Q785" t="n">
        <v>0</v>
      </c>
      <c r="R785" s="2" t="inlineStr"/>
    </row>
    <row r="786" ht="15" customHeight="1">
      <c r="A786" t="inlineStr">
        <is>
          <t>A 47488-2023</t>
        </is>
      </c>
      <c r="B786" s="1" t="n">
        <v>45202.94168981481</v>
      </c>
      <c r="C786" s="1" t="n">
        <v>45911</v>
      </c>
      <c r="D786" t="inlineStr">
        <is>
          <t>VÄSTERNORRLANDS LÄN</t>
        </is>
      </c>
      <c r="E786" t="inlineStr">
        <is>
          <t>ÅNGE</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54982-2023</t>
        </is>
      </c>
      <c r="B787" s="1" t="n">
        <v>45236</v>
      </c>
      <c r="C787" s="1" t="n">
        <v>45911</v>
      </c>
      <c r="D787" t="inlineStr">
        <is>
          <t>VÄSTERNORRLANDS LÄN</t>
        </is>
      </c>
      <c r="E787" t="inlineStr">
        <is>
          <t>ÅNGE</t>
        </is>
      </c>
      <c r="F787" t="inlineStr">
        <is>
          <t>SCA</t>
        </is>
      </c>
      <c r="G787" t="n">
        <v>26.2</v>
      </c>
      <c r="H787" t="n">
        <v>0</v>
      </c>
      <c r="I787" t="n">
        <v>0</v>
      </c>
      <c r="J787" t="n">
        <v>0</v>
      </c>
      <c r="K787" t="n">
        <v>0</v>
      </c>
      <c r="L787" t="n">
        <v>0</v>
      </c>
      <c r="M787" t="n">
        <v>0</v>
      </c>
      <c r="N787" t="n">
        <v>0</v>
      </c>
      <c r="O787" t="n">
        <v>0</v>
      </c>
      <c r="P787" t="n">
        <v>0</v>
      </c>
      <c r="Q787" t="n">
        <v>0</v>
      </c>
      <c r="R787" s="2" t="inlineStr"/>
    </row>
    <row r="788" ht="15" customHeight="1">
      <c r="A788" t="inlineStr">
        <is>
          <t>A 34727-2024</t>
        </is>
      </c>
      <c r="B788" s="1" t="n">
        <v>45526.5734375</v>
      </c>
      <c r="C788" s="1" t="n">
        <v>45911</v>
      </c>
      <c r="D788" t="inlineStr">
        <is>
          <t>VÄSTERNORRLANDS LÄN</t>
        </is>
      </c>
      <c r="E788" t="inlineStr">
        <is>
          <t>ÅNGE</t>
        </is>
      </c>
      <c r="G788" t="n">
        <v>3.6</v>
      </c>
      <c r="H788" t="n">
        <v>0</v>
      </c>
      <c r="I788" t="n">
        <v>0</v>
      </c>
      <c r="J788" t="n">
        <v>0</v>
      </c>
      <c r="K788" t="n">
        <v>0</v>
      </c>
      <c r="L788" t="n">
        <v>0</v>
      </c>
      <c r="M788" t="n">
        <v>0</v>
      </c>
      <c r="N788" t="n">
        <v>0</v>
      </c>
      <c r="O788" t="n">
        <v>0</v>
      </c>
      <c r="P788" t="n">
        <v>0</v>
      </c>
      <c r="Q788" t="n">
        <v>0</v>
      </c>
      <c r="R788" s="2" t="inlineStr"/>
    </row>
    <row r="789" ht="15" customHeight="1">
      <c r="A789" t="inlineStr">
        <is>
          <t>A 57560-2023</t>
        </is>
      </c>
      <c r="B789" s="1" t="n">
        <v>45243</v>
      </c>
      <c r="C789" s="1" t="n">
        <v>45911</v>
      </c>
      <c r="D789" t="inlineStr">
        <is>
          <t>VÄSTERNORRLANDS LÄN</t>
        </is>
      </c>
      <c r="E789" t="inlineStr">
        <is>
          <t>ÅNGE</t>
        </is>
      </c>
      <c r="G789" t="n">
        <v>7.4</v>
      </c>
      <c r="H789" t="n">
        <v>0</v>
      </c>
      <c r="I789" t="n">
        <v>0</v>
      </c>
      <c r="J789" t="n">
        <v>0</v>
      </c>
      <c r="K789" t="n">
        <v>0</v>
      </c>
      <c r="L789" t="n">
        <v>0</v>
      </c>
      <c r="M789" t="n">
        <v>0</v>
      </c>
      <c r="N789" t="n">
        <v>0</v>
      </c>
      <c r="O789" t="n">
        <v>0</v>
      </c>
      <c r="P789" t="n">
        <v>0</v>
      </c>
      <c r="Q789" t="n">
        <v>0</v>
      </c>
      <c r="R789" s="2" t="inlineStr"/>
    </row>
    <row r="790" ht="15" customHeight="1">
      <c r="A790" t="inlineStr">
        <is>
          <t>A 57568-2023</t>
        </is>
      </c>
      <c r="B790" s="1" t="n">
        <v>45246.50484953704</v>
      </c>
      <c r="C790" s="1" t="n">
        <v>45911</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36740-2025</t>
        </is>
      </c>
      <c r="B791" s="1" t="n">
        <v>45873.53237268519</v>
      </c>
      <c r="C791" s="1" t="n">
        <v>45911</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30618-2025</t>
        </is>
      </c>
      <c r="B792" s="1" t="n">
        <v>45831.46909722222</v>
      </c>
      <c r="C792" s="1" t="n">
        <v>45911</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45631-2021</t>
        </is>
      </c>
      <c r="B793" s="1" t="n">
        <v>44440.98045138889</v>
      </c>
      <c r="C793" s="1" t="n">
        <v>45911</v>
      </c>
      <c r="D793" t="inlineStr">
        <is>
          <t>VÄSTERNORRLANDS LÄN</t>
        </is>
      </c>
      <c r="E793" t="inlineStr">
        <is>
          <t>ÅNGE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31188-2025</t>
        </is>
      </c>
      <c r="B794" s="1" t="n">
        <v>45832.67842592593</v>
      </c>
      <c r="C794" s="1" t="n">
        <v>45911</v>
      </c>
      <c r="D794" t="inlineStr">
        <is>
          <t>VÄSTERNORRLANDS LÄN</t>
        </is>
      </c>
      <c r="E794" t="inlineStr">
        <is>
          <t>ÅNGE</t>
        </is>
      </c>
      <c r="F794" t="inlineStr">
        <is>
          <t>SCA</t>
        </is>
      </c>
      <c r="G794" t="n">
        <v>14.9</v>
      </c>
      <c r="H794" t="n">
        <v>0</v>
      </c>
      <c r="I794" t="n">
        <v>0</v>
      </c>
      <c r="J794" t="n">
        <v>0</v>
      </c>
      <c r="K794" t="n">
        <v>0</v>
      </c>
      <c r="L794" t="n">
        <v>0</v>
      </c>
      <c r="M794" t="n">
        <v>0</v>
      </c>
      <c r="N794" t="n">
        <v>0</v>
      </c>
      <c r="O794" t="n">
        <v>0</v>
      </c>
      <c r="P794" t="n">
        <v>0</v>
      </c>
      <c r="Q794" t="n">
        <v>0</v>
      </c>
      <c r="R794" s="2" t="inlineStr"/>
    </row>
    <row r="795" ht="15" customHeight="1">
      <c r="A795" t="inlineStr">
        <is>
          <t>A 57592-2022</t>
        </is>
      </c>
      <c r="B795" s="1" t="n">
        <v>44896.97841435186</v>
      </c>
      <c r="C795" s="1" t="n">
        <v>45911</v>
      </c>
      <c r="D795" t="inlineStr">
        <is>
          <t>VÄSTERNORRLANDS LÄN</t>
        </is>
      </c>
      <c r="E795" t="inlineStr">
        <is>
          <t>ÅNGE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57602-2022</t>
        </is>
      </c>
      <c r="B796" s="1" t="n">
        <v>44896</v>
      </c>
      <c r="C796" s="1" t="n">
        <v>45911</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20231-2022</t>
        </is>
      </c>
      <c r="B797" s="1" t="n">
        <v>44698</v>
      </c>
      <c r="C797" s="1" t="n">
        <v>45911</v>
      </c>
      <c r="D797" t="inlineStr">
        <is>
          <t>VÄSTERNORRLANDS LÄN</t>
        </is>
      </c>
      <c r="E797" t="inlineStr">
        <is>
          <t>ÅNGE</t>
        </is>
      </c>
      <c r="G797" t="n">
        <v>4.2</v>
      </c>
      <c r="H797" t="n">
        <v>0</v>
      </c>
      <c r="I797" t="n">
        <v>0</v>
      </c>
      <c r="J797" t="n">
        <v>0</v>
      </c>
      <c r="K797" t="n">
        <v>0</v>
      </c>
      <c r="L797" t="n">
        <v>0</v>
      </c>
      <c r="M797" t="n">
        <v>0</v>
      </c>
      <c r="N797" t="n">
        <v>0</v>
      </c>
      <c r="O797" t="n">
        <v>0</v>
      </c>
      <c r="P797" t="n">
        <v>0</v>
      </c>
      <c r="Q797" t="n">
        <v>0</v>
      </c>
      <c r="R797" s="2" t="inlineStr"/>
    </row>
    <row r="798" ht="15" customHeight="1">
      <c r="A798" t="inlineStr">
        <is>
          <t>A 39985-2023</t>
        </is>
      </c>
      <c r="B798" s="1" t="n">
        <v>45168</v>
      </c>
      <c r="C798" s="1" t="n">
        <v>45911</v>
      </c>
      <c r="D798" t="inlineStr">
        <is>
          <t>VÄSTERNORRLANDS LÄN</t>
        </is>
      </c>
      <c r="E798" t="inlineStr">
        <is>
          <t>ÅNGE</t>
        </is>
      </c>
      <c r="G798" t="n">
        <v>0.1</v>
      </c>
      <c r="H798" t="n">
        <v>0</v>
      </c>
      <c r="I798" t="n">
        <v>0</v>
      </c>
      <c r="J798" t="n">
        <v>0</v>
      </c>
      <c r="K798" t="n">
        <v>0</v>
      </c>
      <c r="L798" t="n">
        <v>0</v>
      </c>
      <c r="M798" t="n">
        <v>0</v>
      </c>
      <c r="N798" t="n">
        <v>0</v>
      </c>
      <c r="O798" t="n">
        <v>0</v>
      </c>
      <c r="P798" t="n">
        <v>0</v>
      </c>
      <c r="Q798" t="n">
        <v>0</v>
      </c>
      <c r="R798" s="2" t="inlineStr"/>
    </row>
    <row r="799" ht="15" customHeight="1">
      <c r="A799" t="inlineStr">
        <is>
          <t>A 58748-2023</t>
        </is>
      </c>
      <c r="B799" s="1" t="n">
        <v>45251.92936342592</v>
      </c>
      <c r="C799" s="1" t="n">
        <v>45911</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31042-2025</t>
        </is>
      </c>
      <c r="B800" s="1" t="n">
        <v>45832.55267361111</v>
      </c>
      <c r="C800" s="1" t="n">
        <v>45911</v>
      </c>
      <c r="D800" t="inlineStr">
        <is>
          <t>VÄSTERNORRLANDS LÄN</t>
        </is>
      </c>
      <c r="E800" t="inlineStr">
        <is>
          <t>ÅNGE</t>
        </is>
      </c>
      <c r="F800" t="inlineStr">
        <is>
          <t>SCA</t>
        </is>
      </c>
      <c r="G800" t="n">
        <v>11.8</v>
      </c>
      <c r="H800" t="n">
        <v>0</v>
      </c>
      <c r="I800" t="n">
        <v>0</v>
      </c>
      <c r="J800" t="n">
        <v>0</v>
      </c>
      <c r="K800" t="n">
        <v>0</v>
      </c>
      <c r="L800" t="n">
        <v>0</v>
      </c>
      <c r="M800" t="n">
        <v>0</v>
      </c>
      <c r="N800" t="n">
        <v>0</v>
      </c>
      <c r="O800" t="n">
        <v>0</v>
      </c>
      <c r="P800" t="n">
        <v>0</v>
      </c>
      <c r="Q800" t="n">
        <v>0</v>
      </c>
      <c r="R800" s="2" t="inlineStr"/>
    </row>
    <row r="801" ht="15" customHeight="1">
      <c r="A801" t="inlineStr">
        <is>
          <t>A 43552-2023</t>
        </is>
      </c>
      <c r="B801" s="1" t="n">
        <v>45181</v>
      </c>
      <c r="C801" s="1" t="n">
        <v>45911</v>
      </c>
      <c r="D801" t="inlineStr">
        <is>
          <t>VÄSTERNORRLANDS LÄN</t>
        </is>
      </c>
      <c r="E801" t="inlineStr">
        <is>
          <t>ÅNGE</t>
        </is>
      </c>
      <c r="F801" t="inlineStr">
        <is>
          <t>SCA</t>
        </is>
      </c>
      <c r="G801" t="n">
        <v>7.3</v>
      </c>
      <c r="H801" t="n">
        <v>0</v>
      </c>
      <c r="I801" t="n">
        <v>0</v>
      </c>
      <c r="J801" t="n">
        <v>0</v>
      </c>
      <c r="K801" t="n">
        <v>0</v>
      </c>
      <c r="L801" t="n">
        <v>0</v>
      </c>
      <c r="M801" t="n">
        <v>0</v>
      </c>
      <c r="N801" t="n">
        <v>0</v>
      </c>
      <c r="O801" t="n">
        <v>0</v>
      </c>
      <c r="P801" t="n">
        <v>0</v>
      </c>
      <c r="Q801" t="n">
        <v>0</v>
      </c>
      <c r="R801" s="2" t="inlineStr"/>
    </row>
    <row r="802" ht="15" customHeight="1">
      <c r="A802" t="inlineStr">
        <is>
          <t>A 46775-2024</t>
        </is>
      </c>
      <c r="B802" s="1" t="n">
        <v>45583.49711805556</v>
      </c>
      <c r="C802" s="1" t="n">
        <v>45911</v>
      </c>
      <c r="D802" t="inlineStr">
        <is>
          <t>VÄSTERNORRLANDS LÄN</t>
        </is>
      </c>
      <c r="E802" t="inlineStr">
        <is>
          <t>ÅNGE</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46780-2024</t>
        </is>
      </c>
      <c r="B803" s="1" t="n">
        <v>45583.51076388889</v>
      </c>
      <c r="C803" s="1" t="n">
        <v>45911</v>
      </c>
      <c r="D803" t="inlineStr">
        <is>
          <t>VÄSTERNORRLANDS LÄN</t>
        </is>
      </c>
      <c r="E803" t="inlineStr">
        <is>
          <t>ÅNGE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31135-2025</t>
        </is>
      </c>
      <c r="B804" s="1" t="n">
        <v>45832.63581018519</v>
      </c>
      <c r="C804" s="1" t="n">
        <v>45911</v>
      </c>
      <c r="D804" t="inlineStr">
        <is>
          <t>VÄSTERNORRLANDS LÄN</t>
        </is>
      </c>
      <c r="E804" t="inlineStr">
        <is>
          <t>ÅNGE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30892-2025</t>
        </is>
      </c>
      <c r="B805" s="1" t="n">
        <v>45832.34663194444</v>
      </c>
      <c r="C805" s="1" t="n">
        <v>45911</v>
      </c>
      <c r="D805" t="inlineStr">
        <is>
          <t>VÄSTERNORRLANDS LÄN</t>
        </is>
      </c>
      <c r="E805" t="inlineStr">
        <is>
          <t>ÅNGE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18880-2024</t>
        </is>
      </c>
      <c r="B806" s="1" t="n">
        <v>45426</v>
      </c>
      <c r="C806" s="1" t="n">
        <v>45911</v>
      </c>
      <c r="D806" t="inlineStr">
        <is>
          <t>VÄSTERNORRLANDS LÄN</t>
        </is>
      </c>
      <c r="E806" t="inlineStr">
        <is>
          <t>ÅNGE</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30598-2025</t>
        </is>
      </c>
      <c r="B807" s="1" t="n">
        <v>45831.44834490741</v>
      </c>
      <c r="C807" s="1" t="n">
        <v>45911</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55558-2024</t>
        </is>
      </c>
      <c r="B808" s="1" t="n">
        <v>45622.52586805556</v>
      </c>
      <c r="C808" s="1" t="n">
        <v>45911</v>
      </c>
      <c r="D808" t="inlineStr">
        <is>
          <t>VÄSTERNORRLANDS LÄN</t>
        </is>
      </c>
      <c r="E808" t="inlineStr">
        <is>
          <t>ÅNGE</t>
        </is>
      </c>
      <c r="F808" t="inlineStr">
        <is>
          <t>Holmen skog AB</t>
        </is>
      </c>
      <c r="G808" t="n">
        <v>1.3</v>
      </c>
      <c r="H808" t="n">
        <v>0</v>
      </c>
      <c r="I808" t="n">
        <v>0</v>
      </c>
      <c r="J808" t="n">
        <v>0</v>
      </c>
      <c r="K808" t="n">
        <v>0</v>
      </c>
      <c r="L808" t="n">
        <v>0</v>
      </c>
      <c r="M808" t="n">
        <v>0</v>
      </c>
      <c r="N808" t="n">
        <v>0</v>
      </c>
      <c r="O808" t="n">
        <v>0</v>
      </c>
      <c r="P808" t="n">
        <v>0</v>
      </c>
      <c r="Q808" t="n">
        <v>0</v>
      </c>
      <c r="R808" s="2" t="inlineStr"/>
    </row>
    <row r="809" ht="15" customHeight="1">
      <c r="A809" t="inlineStr">
        <is>
          <t>A 36873-2025</t>
        </is>
      </c>
      <c r="B809" s="1" t="n">
        <v>45874.42935185185</v>
      </c>
      <c r="C809" s="1" t="n">
        <v>45911</v>
      </c>
      <c r="D809" t="inlineStr">
        <is>
          <t>VÄSTERNORRLANDS LÄN</t>
        </is>
      </c>
      <c r="E809" t="inlineStr">
        <is>
          <t>ÅNGE</t>
        </is>
      </c>
      <c r="F809" t="inlineStr">
        <is>
          <t>SCA</t>
        </is>
      </c>
      <c r="G809" t="n">
        <v>16.9</v>
      </c>
      <c r="H809" t="n">
        <v>0</v>
      </c>
      <c r="I809" t="n">
        <v>0</v>
      </c>
      <c r="J809" t="n">
        <v>0</v>
      </c>
      <c r="K809" t="n">
        <v>0</v>
      </c>
      <c r="L809" t="n">
        <v>0</v>
      </c>
      <c r="M809" t="n">
        <v>0</v>
      </c>
      <c r="N809" t="n">
        <v>0</v>
      </c>
      <c r="O809" t="n">
        <v>0</v>
      </c>
      <c r="P809" t="n">
        <v>0</v>
      </c>
      <c r="Q809" t="n">
        <v>0</v>
      </c>
      <c r="R809" s="2" t="inlineStr"/>
    </row>
    <row r="810" ht="15" customHeight="1">
      <c r="A810" t="inlineStr">
        <is>
          <t>A 20229-2022</t>
        </is>
      </c>
      <c r="B810" s="1" t="n">
        <v>44698.61150462963</v>
      </c>
      <c r="C810" s="1" t="n">
        <v>45911</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31041-2025</t>
        </is>
      </c>
      <c r="B811" s="1" t="n">
        <v>45832.55247685185</v>
      </c>
      <c r="C811" s="1" t="n">
        <v>45911</v>
      </c>
      <c r="D811" t="inlineStr">
        <is>
          <t>VÄSTERNORRLANDS LÄN</t>
        </is>
      </c>
      <c r="E811" t="inlineStr">
        <is>
          <t>ÅNGE</t>
        </is>
      </c>
      <c r="F811" t="inlineStr">
        <is>
          <t>SCA</t>
        </is>
      </c>
      <c r="G811" t="n">
        <v>15.1</v>
      </c>
      <c r="H811" t="n">
        <v>0</v>
      </c>
      <c r="I811" t="n">
        <v>0</v>
      </c>
      <c r="J811" t="n">
        <v>0</v>
      </c>
      <c r="K811" t="n">
        <v>0</v>
      </c>
      <c r="L811" t="n">
        <v>0</v>
      </c>
      <c r="M811" t="n">
        <v>0</v>
      </c>
      <c r="N811" t="n">
        <v>0</v>
      </c>
      <c r="O811" t="n">
        <v>0</v>
      </c>
      <c r="P811" t="n">
        <v>0</v>
      </c>
      <c r="Q811" t="n">
        <v>0</v>
      </c>
      <c r="R811" s="2" t="inlineStr"/>
    </row>
    <row r="812" ht="15" customHeight="1">
      <c r="A812" t="inlineStr">
        <is>
          <t>A 31139-2025</t>
        </is>
      </c>
      <c r="B812" s="1" t="n">
        <v>45832.63633101852</v>
      </c>
      <c r="C812" s="1" t="n">
        <v>45911</v>
      </c>
      <c r="D812" t="inlineStr">
        <is>
          <t>VÄSTERNORRLANDS LÄN</t>
        </is>
      </c>
      <c r="E812" t="inlineStr">
        <is>
          <t>ÅNGE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30877-2025</t>
        </is>
      </c>
      <c r="B813" s="1" t="n">
        <v>45832.34478009259</v>
      </c>
      <c r="C813" s="1" t="n">
        <v>45911</v>
      </c>
      <c r="D813" t="inlineStr">
        <is>
          <t>VÄSTERNORRLANDS LÄN</t>
        </is>
      </c>
      <c r="E813" t="inlineStr">
        <is>
          <t>ÅNGE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58639-2023</t>
        </is>
      </c>
      <c r="B814" s="1" t="n">
        <v>45251</v>
      </c>
      <c r="C814" s="1" t="n">
        <v>45911</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35498-2022</t>
        </is>
      </c>
      <c r="B815" s="1" t="n">
        <v>44798.94810185185</v>
      </c>
      <c r="C815" s="1" t="n">
        <v>45911</v>
      </c>
      <c r="D815" t="inlineStr">
        <is>
          <t>VÄSTERNORRLANDS LÄN</t>
        </is>
      </c>
      <c r="E815" t="inlineStr">
        <is>
          <t>ÅNGE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36735-2025</t>
        </is>
      </c>
      <c r="B816" s="1" t="n">
        <v>45873.52310185185</v>
      </c>
      <c r="C816" s="1" t="n">
        <v>45911</v>
      </c>
      <c r="D816" t="inlineStr">
        <is>
          <t>VÄSTERNORRLANDS LÄN</t>
        </is>
      </c>
      <c r="E816" t="inlineStr">
        <is>
          <t>ÅNGE</t>
        </is>
      </c>
      <c r="F816" t="inlineStr">
        <is>
          <t>Övriga Aktiebolag</t>
        </is>
      </c>
      <c r="G816" t="n">
        <v>2.6</v>
      </c>
      <c r="H816" t="n">
        <v>0</v>
      </c>
      <c r="I816" t="n">
        <v>0</v>
      </c>
      <c r="J816" t="n">
        <v>0</v>
      </c>
      <c r="K816" t="n">
        <v>0</v>
      </c>
      <c r="L816" t="n">
        <v>0</v>
      </c>
      <c r="M816" t="n">
        <v>0</v>
      </c>
      <c r="N816" t="n">
        <v>0</v>
      </c>
      <c r="O816" t="n">
        <v>0</v>
      </c>
      <c r="P816" t="n">
        <v>0</v>
      </c>
      <c r="Q816" t="n">
        <v>0</v>
      </c>
      <c r="R816" s="2" t="inlineStr"/>
    </row>
    <row r="817" ht="15" customHeight="1">
      <c r="A817" t="inlineStr">
        <is>
          <t>A 36674-2025</t>
        </is>
      </c>
      <c r="B817" s="1" t="n">
        <v>45873.3930787037</v>
      </c>
      <c r="C817" s="1" t="n">
        <v>45911</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36723-2025</t>
        </is>
      </c>
      <c r="B818" s="1" t="n">
        <v>45873.47770833333</v>
      </c>
      <c r="C818" s="1" t="n">
        <v>45911</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30888-2025</t>
        </is>
      </c>
      <c r="B819" s="1" t="n">
        <v>45832.34606481482</v>
      </c>
      <c r="C819" s="1" t="n">
        <v>45911</v>
      </c>
      <c r="D819" t="inlineStr">
        <is>
          <t>VÄSTERNORRLANDS LÄN</t>
        </is>
      </c>
      <c r="E819" t="inlineStr">
        <is>
          <t>ÅNGE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37233-2025</t>
        </is>
      </c>
      <c r="B820" s="1" t="n">
        <v>45876.34474537037</v>
      </c>
      <c r="C820" s="1" t="n">
        <v>45911</v>
      </c>
      <c r="D820" t="inlineStr">
        <is>
          <t>VÄSTERNORRLANDS LÄN</t>
        </is>
      </c>
      <c r="E820" t="inlineStr">
        <is>
          <t>ÅNGE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18112-2025</t>
        </is>
      </c>
      <c r="B821" s="1" t="n">
        <v>45761.57350694444</v>
      </c>
      <c r="C821" s="1" t="n">
        <v>45911</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37275-2025</t>
        </is>
      </c>
      <c r="B822" s="1" t="n">
        <v>45876.49003472222</v>
      </c>
      <c r="C822" s="1" t="n">
        <v>45911</v>
      </c>
      <c r="D822" t="inlineStr">
        <is>
          <t>VÄSTERNORRLANDS LÄN</t>
        </is>
      </c>
      <c r="E822" t="inlineStr">
        <is>
          <t>ÅNGE</t>
        </is>
      </c>
      <c r="G822" t="n">
        <v>3.5</v>
      </c>
      <c r="H822" t="n">
        <v>0</v>
      </c>
      <c r="I822" t="n">
        <v>0</v>
      </c>
      <c r="J822" t="n">
        <v>0</v>
      </c>
      <c r="K822" t="n">
        <v>0</v>
      </c>
      <c r="L822" t="n">
        <v>0</v>
      </c>
      <c r="M822" t="n">
        <v>0</v>
      </c>
      <c r="N822" t="n">
        <v>0</v>
      </c>
      <c r="O822" t="n">
        <v>0</v>
      </c>
      <c r="P822" t="n">
        <v>0</v>
      </c>
      <c r="Q822" t="n">
        <v>0</v>
      </c>
      <c r="R822" s="2" t="inlineStr"/>
    </row>
    <row r="823" ht="15" customHeight="1">
      <c r="A823" t="inlineStr">
        <is>
          <t>A 3347-2024</t>
        </is>
      </c>
      <c r="B823" s="1" t="n">
        <v>45317</v>
      </c>
      <c r="C823" s="1" t="n">
        <v>45911</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63530-2023</t>
        </is>
      </c>
      <c r="B824" s="1" t="n">
        <v>45274</v>
      </c>
      <c r="C824" s="1" t="n">
        <v>45911</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9382-2025</t>
        </is>
      </c>
      <c r="B825" s="1" t="n">
        <v>45715.34425925926</v>
      </c>
      <c r="C825" s="1" t="n">
        <v>45911</v>
      </c>
      <c r="D825" t="inlineStr">
        <is>
          <t>VÄSTERNORRLANDS LÄN</t>
        </is>
      </c>
      <c r="E825" t="inlineStr">
        <is>
          <t>ÅNGE</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3253-2024</t>
        </is>
      </c>
      <c r="B826" s="1" t="n">
        <v>45316</v>
      </c>
      <c r="C826" s="1" t="n">
        <v>45911</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1711-2025</t>
        </is>
      </c>
      <c r="B827" s="1" t="n">
        <v>45671.31184027778</v>
      </c>
      <c r="C827" s="1" t="n">
        <v>45911</v>
      </c>
      <c r="D827" t="inlineStr">
        <is>
          <t>VÄSTERNORRLANDS LÄN</t>
        </is>
      </c>
      <c r="E827" t="inlineStr">
        <is>
          <t>ÅNGE</t>
        </is>
      </c>
      <c r="G827" t="n">
        <v>2.8</v>
      </c>
      <c r="H827" t="n">
        <v>0</v>
      </c>
      <c r="I827" t="n">
        <v>0</v>
      </c>
      <c r="J827" t="n">
        <v>0</v>
      </c>
      <c r="K827" t="n">
        <v>0</v>
      </c>
      <c r="L827" t="n">
        <v>0</v>
      </c>
      <c r="M827" t="n">
        <v>0</v>
      </c>
      <c r="N827" t="n">
        <v>0</v>
      </c>
      <c r="O827" t="n">
        <v>0</v>
      </c>
      <c r="P827" t="n">
        <v>0</v>
      </c>
      <c r="Q827" t="n">
        <v>0</v>
      </c>
      <c r="R827" s="2" t="inlineStr"/>
    </row>
    <row r="828" ht="15" customHeight="1">
      <c r="A828" t="inlineStr">
        <is>
          <t>A 49945-2023</t>
        </is>
      </c>
      <c r="B828" s="1" t="n">
        <v>45215.3625462963</v>
      </c>
      <c r="C828" s="1" t="n">
        <v>45911</v>
      </c>
      <c r="D828" t="inlineStr">
        <is>
          <t>VÄSTERNORRLANDS LÄN</t>
        </is>
      </c>
      <c r="E828" t="inlineStr">
        <is>
          <t>ÅNGE</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42043-2024</t>
        </is>
      </c>
      <c r="B829" s="1" t="n">
        <v>45561</v>
      </c>
      <c r="C829" s="1" t="n">
        <v>45911</v>
      </c>
      <c r="D829" t="inlineStr">
        <is>
          <t>VÄSTERNORRLANDS LÄN</t>
        </is>
      </c>
      <c r="E829" t="inlineStr">
        <is>
          <t>ÅNGE</t>
        </is>
      </c>
      <c r="G829" t="n">
        <v>3.1</v>
      </c>
      <c r="H829" t="n">
        <v>0</v>
      </c>
      <c r="I829" t="n">
        <v>0</v>
      </c>
      <c r="J829" t="n">
        <v>0</v>
      </c>
      <c r="K829" t="n">
        <v>0</v>
      </c>
      <c r="L829" t="n">
        <v>0</v>
      </c>
      <c r="M829" t="n">
        <v>0</v>
      </c>
      <c r="N829" t="n">
        <v>0</v>
      </c>
      <c r="O829" t="n">
        <v>0</v>
      </c>
      <c r="P829" t="n">
        <v>0</v>
      </c>
      <c r="Q829" t="n">
        <v>0</v>
      </c>
      <c r="R829" s="2" t="inlineStr"/>
    </row>
    <row r="830" ht="15" customHeight="1">
      <c r="A830" t="inlineStr">
        <is>
          <t>A 42046-2024</t>
        </is>
      </c>
      <c r="B830" s="1" t="n">
        <v>45561.83422453704</v>
      </c>
      <c r="C830" s="1" t="n">
        <v>45911</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25903-2022</t>
        </is>
      </c>
      <c r="B831" s="1" t="n">
        <v>44733</v>
      </c>
      <c r="C831" s="1" t="n">
        <v>45911</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31275-2025</t>
        </is>
      </c>
      <c r="B832" s="1" t="n">
        <v>45833.34459490741</v>
      </c>
      <c r="C832" s="1" t="n">
        <v>45911</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19709-2025</t>
        </is>
      </c>
      <c r="B833" s="1" t="n">
        <v>45771.34263888889</v>
      </c>
      <c r="C833" s="1" t="n">
        <v>45911</v>
      </c>
      <c r="D833" t="inlineStr">
        <is>
          <t>VÄSTERNORRLANDS LÄN</t>
        </is>
      </c>
      <c r="E833" t="inlineStr">
        <is>
          <t>ÅNGE</t>
        </is>
      </c>
      <c r="G833" t="n">
        <v>3.8</v>
      </c>
      <c r="H833" t="n">
        <v>0</v>
      </c>
      <c r="I833" t="n">
        <v>0</v>
      </c>
      <c r="J833" t="n">
        <v>0</v>
      </c>
      <c r="K833" t="n">
        <v>0</v>
      </c>
      <c r="L833" t="n">
        <v>0</v>
      </c>
      <c r="M833" t="n">
        <v>0</v>
      </c>
      <c r="N833" t="n">
        <v>0</v>
      </c>
      <c r="O833" t="n">
        <v>0</v>
      </c>
      <c r="P833" t="n">
        <v>0</v>
      </c>
      <c r="Q833" t="n">
        <v>0</v>
      </c>
      <c r="R833" s="2" t="inlineStr"/>
    </row>
    <row r="834" ht="15" customHeight="1">
      <c r="A834" t="inlineStr">
        <is>
          <t>A 19723-2025</t>
        </is>
      </c>
      <c r="B834" s="1" t="n">
        <v>45771.36490740741</v>
      </c>
      <c r="C834" s="1" t="n">
        <v>45911</v>
      </c>
      <c r="D834" t="inlineStr">
        <is>
          <t>VÄSTERNORRLANDS LÄN</t>
        </is>
      </c>
      <c r="E834" t="inlineStr">
        <is>
          <t>ÅNGE</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37303-2025</t>
        </is>
      </c>
      <c r="B835" s="1" t="n">
        <v>45876.59445601852</v>
      </c>
      <c r="C835" s="1" t="n">
        <v>45911</v>
      </c>
      <c r="D835" t="inlineStr">
        <is>
          <t>VÄSTERNORRLANDS LÄN</t>
        </is>
      </c>
      <c r="E835" t="inlineStr">
        <is>
          <t>ÅNGE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37045-2025</t>
        </is>
      </c>
      <c r="B836" s="1" t="n">
        <v>45875.34451388889</v>
      </c>
      <c r="C836" s="1" t="n">
        <v>45911</v>
      </c>
      <c r="D836" t="inlineStr">
        <is>
          <t>VÄSTERNORRLANDS LÄN</t>
        </is>
      </c>
      <c r="E836" t="inlineStr">
        <is>
          <t>ÅNGE</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31452-2025</t>
        </is>
      </c>
      <c r="B837" s="1" t="n">
        <v>45833.53179398148</v>
      </c>
      <c r="C837" s="1" t="n">
        <v>45911</v>
      </c>
      <c r="D837" t="inlineStr">
        <is>
          <t>VÄSTERNORRLANDS LÄN</t>
        </is>
      </c>
      <c r="E837" t="inlineStr">
        <is>
          <t>ÅNGE</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55751-2024</t>
        </is>
      </c>
      <c r="B838" s="1" t="n">
        <v>45623.34409722222</v>
      </c>
      <c r="C838" s="1" t="n">
        <v>45911</v>
      </c>
      <c r="D838" t="inlineStr">
        <is>
          <t>VÄSTERNORRLANDS LÄN</t>
        </is>
      </c>
      <c r="E838" t="inlineStr">
        <is>
          <t>ÅNGE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37047-2025</t>
        </is>
      </c>
      <c r="B839" s="1" t="n">
        <v>45875.34489583333</v>
      </c>
      <c r="C839" s="1" t="n">
        <v>45911</v>
      </c>
      <c r="D839" t="inlineStr">
        <is>
          <t>VÄSTERNORRLANDS LÄN</t>
        </is>
      </c>
      <c r="E839" t="inlineStr">
        <is>
          <t>ÅNGE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31544-2025</t>
        </is>
      </c>
      <c r="B840" s="1" t="n">
        <v>45833.63597222222</v>
      </c>
      <c r="C840" s="1" t="n">
        <v>45911</v>
      </c>
      <c r="D840" t="inlineStr">
        <is>
          <t>VÄSTERNORRLANDS LÄN</t>
        </is>
      </c>
      <c r="E840" t="inlineStr">
        <is>
          <t>ÅNGE</t>
        </is>
      </c>
      <c r="G840" t="n">
        <v>2.1</v>
      </c>
      <c r="H840" t="n">
        <v>0</v>
      </c>
      <c r="I840" t="n">
        <v>0</v>
      </c>
      <c r="J840" t="n">
        <v>0</v>
      </c>
      <c r="K840" t="n">
        <v>0</v>
      </c>
      <c r="L840" t="n">
        <v>0</v>
      </c>
      <c r="M840" t="n">
        <v>0</v>
      </c>
      <c r="N840" t="n">
        <v>0</v>
      </c>
      <c r="O840" t="n">
        <v>0</v>
      </c>
      <c r="P840" t="n">
        <v>0</v>
      </c>
      <c r="Q840" t="n">
        <v>0</v>
      </c>
      <c r="R840" s="2" t="inlineStr"/>
    </row>
    <row r="841" ht="15" customHeight="1">
      <c r="A841" t="inlineStr">
        <is>
          <t>A 31646-2025</t>
        </is>
      </c>
      <c r="B841" s="1" t="n">
        <v>45834.34563657407</v>
      </c>
      <c r="C841" s="1" t="n">
        <v>45911</v>
      </c>
      <c r="D841" t="inlineStr">
        <is>
          <t>VÄSTERNORRLANDS LÄN</t>
        </is>
      </c>
      <c r="E841" t="inlineStr">
        <is>
          <t>ÅNGE</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31484-2025</t>
        </is>
      </c>
      <c r="B842" s="1" t="n">
        <v>45833.57418981481</v>
      </c>
      <c r="C842" s="1" t="n">
        <v>45911</v>
      </c>
      <c r="D842" t="inlineStr">
        <is>
          <t>VÄSTERNORRLANDS LÄN</t>
        </is>
      </c>
      <c r="E842" t="inlineStr">
        <is>
          <t>ÅNGE</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37177-2025</t>
        </is>
      </c>
      <c r="B843" s="1" t="n">
        <v>45875.61539351852</v>
      </c>
      <c r="C843" s="1" t="n">
        <v>45911</v>
      </c>
      <c r="D843" t="inlineStr">
        <is>
          <t>VÄSTERNORRLANDS LÄN</t>
        </is>
      </c>
      <c r="E843" t="inlineStr">
        <is>
          <t>ÅNGE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56232-2024</t>
        </is>
      </c>
      <c r="B844" s="1" t="n">
        <v>45624</v>
      </c>
      <c r="C844" s="1" t="n">
        <v>45911</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44635-2024</t>
        </is>
      </c>
      <c r="B845" s="1" t="n">
        <v>45574.51488425926</v>
      </c>
      <c r="C845" s="1" t="n">
        <v>45911</v>
      </c>
      <c r="D845" t="inlineStr">
        <is>
          <t>VÄSTERNORRLANDS LÄN</t>
        </is>
      </c>
      <c r="E845" t="inlineStr">
        <is>
          <t>ÅNGE</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24324-2022</t>
        </is>
      </c>
      <c r="B846" s="1" t="n">
        <v>44725.945</v>
      </c>
      <c r="C846" s="1" t="n">
        <v>45911</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24325-2022</t>
        </is>
      </c>
      <c r="B847" s="1" t="n">
        <v>44725.94506944445</v>
      </c>
      <c r="C847" s="1" t="n">
        <v>45911</v>
      </c>
      <c r="D847" t="inlineStr">
        <is>
          <t>VÄSTERNORRLANDS LÄN</t>
        </is>
      </c>
      <c r="E847" t="inlineStr">
        <is>
          <t>ÅNGE</t>
        </is>
      </c>
      <c r="G847" t="n">
        <v>1.6</v>
      </c>
      <c r="H847" t="n">
        <v>0</v>
      </c>
      <c r="I847" t="n">
        <v>0</v>
      </c>
      <c r="J847" t="n">
        <v>0</v>
      </c>
      <c r="K847" t="n">
        <v>0</v>
      </c>
      <c r="L847" t="n">
        <v>0</v>
      </c>
      <c r="M847" t="n">
        <v>0</v>
      </c>
      <c r="N847" t="n">
        <v>0</v>
      </c>
      <c r="O847" t="n">
        <v>0</v>
      </c>
      <c r="P847" t="n">
        <v>0</v>
      </c>
      <c r="Q847" t="n">
        <v>0</v>
      </c>
      <c r="R847" s="2" t="inlineStr"/>
    </row>
    <row r="848" ht="15" customHeight="1">
      <c r="A848" t="inlineStr">
        <is>
          <t>A 30803-2022</t>
        </is>
      </c>
      <c r="B848" s="1" t="n">
        <v>44764</v>
      </c>
      <c r="C848" s="1" t="n">
        <v>45911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31642-2025</t>
        </is>
      </c>
      <c r="B849" s="1" t="n">
        <v>45834.34474537037</v>
      </c>
      <c r="C849" s="1" t="n">
        <v>45911</v>
      </c>
      <c r="D849" t="inlineStr">
        <is>
          <t>VÄSTERNORRLANDS LÄN</t>
        </is>
      </c>
      <c r="E849" t="inlineStr">
        <is>
          <t>ÅNGE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17744-2025</t>
        </is>
      </c>
      <c r="B850" s="1" t="n">
        <v>45758</v>
      </c>
      <c r="C850" s="1" t="n">
        <v>45911</v>
      </c>
      <c r="D850" t="inlineStr">
        <is>
          <t>VÄSTERNORRLANDS LÄN</t>
        </is>
      </c>
      <c r="E850" t="inlineStr">
        <is>
          <t>ÅNGE</t>
        </is>
      </c>
      <c r="G850" t="n">
        <v>5</v>
      </c>
      <c r="H850" t="n">
        <v>0</v>
      </c>
      <c r="I850" t="n">
        <v>0</v>
      </c>
      <c r="J850" t="n">
        <v>0</v>
      </c>
      <c r="K850" t="n">
        <v>0</v>
      </c>
      <c r="L850" t="n">
        <v>0</v>
      </c>
      <c r="M850" t="n">
        <v>0</v>
      </c>
      <c r="N850" t="n">
        <v>0</v>
      </c>
      <c r="O850" t="n">
        <v>0</v>
      </c>
      <c r="P850" t="n">
        <v>0</v>
      </c>
      <c r="Q850" t="n">
        <v>0</v>
      </c>
      <c r="R850" s="2" t="inlineStr"/>
    </row>
    <row r="851" ht="15" customHeight="1">
      <c r="A851" t="inlineStr">
        <is>
          <t>A 2433-2024</t>
        </is>
      </c>
      <c r="B851" s="1" t="n">
        <v>45310</v>
      </c>
      <c r="C851" s="1" t="n">
        <v>45911</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31666-2025</t>
        </is>
      </c>
      <c r="B852" s="1" t="n">
        <v>45834.36519675926</v>
      </c>
      <c r="C852" s="1" t="n">
        <v>45911</v>
      </c>
      <c r="D852" t="inlineStr">
        <is>
          <t>VÄSTERNORRLANDS LÄN</t>
        </is>
      </c>
      <c r="E852" t="inlineStr">
        <is>
          <t>ÅNGE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16191-2023</t>
        </is>
      </c>
      <c r="B853" s="1" t="n">
        <v>45027.94111111111</v>
      </c>
      <c r="C853" s="1" t="n">
        <v>45911</v>
      </c>
      <c r="D853" t="inlineStr">
        <is>
          <t>VÄSTERNORRLANDS LÄN</t>
        </is>
      </c>
      <c r="E853" t="inlineStr">
        <is>
          <t>ÅNGE</t>
        </is>
      </c>
      <c r="F853" t="inlineStr">
        <is>
          <t>SCA</t>
        </is>
      </c>
      <c r="G853" t="n">
        <v>6.8</v>
      </c>
      <c r="H853" t="n">
        <v>0</v>
      </c>
      <c r="I853" t="n">
        <v>0</v>
      </c>
      <c r="J853" t="n">
        <v>0</v>
      </c>
      <c r="K853" t="n">
        <v>0</v>
      </c>
      <c r="L853" t="n">
        <v>0</v>
      </c>
      <c r="M853" t="n">
        <v>0</v>
      </c>
      <c r="N853" t="n">
        <v>0</v>
      </c>
      <c r="O853" t="n">
        <v>0</v>
      </c>
      <c r="P853" t="n">
        <v>0</v>
      </c>
      <c r="Q853" t="n">
        <v>0</v>
      </c>
      <c r="R853" s="2" t="inlineStr"/>
    </row>
    <row r="854" ht="15" customHeight="1">
      <c r="A854" t="inlineStr">
        <is>
          <t>A 56615-2023</t>
        </is>
      </c>
      <c r="B854" s="1" t="n">
        <v>45243</v>
      </c>
      <c r="C854" s="1" t="n">
        <v>45911</v>
      </c>
      <c r="D854" t="inlineStr">
        <is>
          <t>VÄSTERNORRLANDS LÄN</t>
        </is>
      </c>
      <c r="E854" t="inlineStr">
        <is>
          <t>ÅNGE</t>
        </is>
      </c>
      <c r="G854" t="n">
        <v>7.4</v>
      </c>
      <c r="H854" t="n">
        <v>0</v>
      </c>
      <c r="I854" t="n">
        <v>0</v>
      </c>
      <c r="J854" t="n">
        <v>0</v>
      </c>
      <c r="K854" t="n">
        <v>0</v>
      </c>
      <c r="L854" t="n">
        <v>0</v>
      </c>
      <c r="M854" t="n">
        <v>0</v>
      </c>
      <c r="N854" t="n">
        <v>0</v>
      </c>
      <c r="O854" t="n">
        <v>0</v>
      </c>
      <c r="P854" t="n">
        <v>0</v>
      </c>
      <c r="Q854" t="n">
        <v>0</v>
      </c>
      <c r="R854" s="2" t="inlineStr"/>
    </row>
    <row r="855" ht="15" customHeight="1">
      <c r="A855" t="inlineStr">
        <is>
          <t>A 61461-2023</t>
        </is>
      </c>
      <c r="B855" s="1" t="n">
        <v>45264.9261574074</v>
      </c>
      <c r="C855" s="1" t="n">
        <v>45911</v>
      </c>
      <c r="D855" t="inlineStr">
        <is>
          <t>VÄSTERNORRLANDS LÄN</t>
        </is>
      </c>
      <c r="E855" t="inlineStr">
        <is>
          <t>ÅNGE</t>
        </is>
      </c>
      <c r="G855" t="n">
        <v>0.9</v>
      </c>
      <c r="H855" t="n">
        <v>0</v>
      </c>
      <c r="I855" t="n">
        <v>0</v>
      </c>
      <c r="J855" t="n">
        <v>0</v>
      </c>
      <c r="K855" t="n">
        <v>0</v>
      </c>
      <c r="L855" t="n">
        <v>0</v>
      </c>
      <c r="M855" t="n">
        <v>0</v>
      </c>
      <c r="N855" t="n">
        <v>0</v>
      </c>
      <c r="O855" t="n">
        <v>0</v>
      </c>
      <c r="P855" t="n">
        <v>0</v>
      </c>
      <c r="Q855" t="n">
        <v>0</v>
      </c>
      <c r="R855" s="2" t="inlineStr"/>
    </row>
    <row r="856" ht="15" customHeight="1">
      <c r="A856" t="inlineStr">
        <is>
          <t>A 17670-2023</t>
        </is>
      </c>
      <c r="B856" s="1" t="n">
        <v>45036</v>
      </c>
      <c r="C856" s="1" t="n">
        <v>45911</v>
      </c>
      <c r="D856" t="inlineStr">
        <is>
          <t>VÄSTERNORRLANDS LÄN</t>
        </is>
      </c>
      <c r="E856" t="inlineStr">
        <is>
          <t>ÅNGE</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51059-2024</t>
        </is>
      </c>
      <c r="B857" s="1" t="n">
        <v>45603</v>
      </c>
      <c r="C857" s="1" t="n">
        <v>45911</v>
      </c>
      <c r="D857" t="inlineStr">
        <is>
          <t>VÄSTERNORRLANDS LÄN</t>
        </is>
      </c>
      <c r="E857" t="inlineStr">
        <is>
          <t>ÅNGE</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59412-2024</t>
        </is>
      </c>
      <c r="B858" s="1" t="n">
        <v>45638</v>
      </c>
      <c r="C858" s="1" t="n">
        <v>45911</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27661-2024</t>
        </is>
      </c>
      <c r="B859" s="1" t="n">
        <v>45474.95365740741</v>
      </c>
      <c r="C859" s="1" t="n">
        <v>45911</v>
      </c>
      <c r="D859" t="inlineStr">
        <is>
          <t>VÄSTERNORRLANDS LÄN</t>
        </is>
      </c>
      <c r="E859" t="inlineStr">
        <is>
          <t>ÅNGE</t>
        </is>
      </c>
      <c r="F859" t="inlineStr">
        <is>
          <t>SCA</t>
        </is>
      </c>
      <c r="G859" t="n">
        <v>19.1</v>
      </c>
      <c r="H859" t="n">
        <v>0</v>
      </c>
      <c r="I859" t="n">
        <v>0</v>
      </c>
      <c r="J859" t="n">
        <v>0</v>
      </c>
      <c r="K859" t="n">
        <v>0</v>
      </c>
      <c r="L859" t="n">
        <v>0</v>
      </c>
      <c r="M859" t="n">
        <v>0</v>
      </c>
      <c r="N859" t="n">
        <v>0</v>
      </c>
      <c r="O859" t="n">
        <v>0</v>
      </c>
      <c r="P859" t="n">
        <v>0</v>
      </c>
      <c r="Q859" t="n">
        <v>0</v>
      </c>
      <c r="R859" s="2" t="inlineStr"/>
    </row>
    <row r="860" ht="15" customHeight="1">
      <c r="A860" t="inlineStr">
        <is>
          <t>A 44518-2024</t>
        </is>
      </c>
      <c r="B860" s="1" t="n">
        <v>45574.43376157407</v>
      </c>
      <c r="C860" s="1" t="n">
        <v>45911</v>
      </c>
      <c r="D860" t="inlineStr">
        <is>
          <t>VÄSTERNORRLANDS LÄN</t>
        </is>
      </c>
      <c r="E860" t="inlineStr">
        <is>
          <t>ÅNGE</t>
        </is>
      </c>
      <c r="G860" t="n">
        <v>2.6</v>
      </c>
      <c r="H860" t="n">
        <v>0</v>
      </c>
      <c r="I860" t="n">
        <v>0</v>
      </c>
      <c r="J860" t="n">
        <v>0</v>
      </c>
      <c r="K860" t="n">
        <v>0</v>
      </c>
      <c r="L860" t="n">
        <v>0</v>
      </c>
      <c r="M860" t="n">
        <v>0</v>
      </c>
      <c r="N860" t="n">
        <v>0</v>
      </c>
      <c r="O860" t="n">
        <v>0</v>
      </c>
      <c r="P860" t="n">
        <v>0</v>
      </c>
      <c r="Q860" t="n">
        <v>0</v>
      </c>
      <c r="R860" s="2" t="inlineStr"/>
    </row>
    <row r="861" ht="15" customHeight="1">
      <c r="A861" t="inlineStr">
        <is>
          <t>A 51124-2024</t>
        </is>
      </c>
      <c r="B861" s="1" t="n">
        <v>45603.50716435185</v>
      </c>
      <c r="C861" s="1" t="n">
        <v>45911</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45890-2021</t>
        </is>
      </c>
      <c r="B862" s="1" t="n">
        <v>44441</v>
      </c>
      <c r="C862" s="1" t="n">
        <v>45911</v>
      </c>
      <c r="D862" t="inlineStr">
        <is>
          <t>VÄSTERNORRLANDS LÄN</t>
        </is>
      </c>
      <c r="E862" t="inlineStr">
        <is>
          <t>ÅNGE</t>
        </is>
      </c>
      <c r="G862" t="n">
        <v>0.9</v>
      </c>
      <c r="H862" t="n">
        <v>0</v>
      </c>
      <c r="I862" t="n">
        <v>0</v>
      </c>
      <c r="J862" t="n">
        <v>0</v>
      </c>
      <c r="K862" t="n">
        <v>0</v>
      </c>
      <c r="L862" t="n">
        <v>0</v>
      </c>
      <c r="M862" t="n">
        <v>0</v>
      </c>
      <c r="N862" t="n">
        <v>0</v>
      </c>
      <c r="O862" t="n">
        <v>0</v>
      </c>
      <c r="P862" t="n">
        <v>0</v>
      </c>
      <c r="Q862" t="n">
        <v>0</v>
      </c>
      <c r="R862" s="2" t="inlineStr"/>
    </row>
    <row r="863" ht="15" customHeight="1">
      <c r="A863" t="inlineStr">
        <is>
          <t>A 50674-2024</t>
        </is>
      </c>
      <c r="B863" s="1" t="n">
        <v>45601.85402777778</v>
      </c>
      <c r="C863" s="1" t="n">
        <v>45911</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54720-2024</t>
        </is>
      </c>
      <c r="B864" s="1" t="n">
        <v>45618.43715277778</v>
      </c>
      <c r="C864" s="1" t="n">
        <v>45911</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53336-2024</t>
        </is>
      </c>
      <c r="B865" s="1" t="n">
        <v>45614.42753472222</v>
      </c>
      <c r="C865" s="1" t="n">
        <v>45911</v>
      </c>
      <c r="D865" t="inlineStr">
        <is>
          <t>VÄSTERNORRLANDS LÄN</t>
        </is>
      </c>
      <c r="E865" t="inlineStr">
        <is>
          <t>ÅNGE</t>
        </is>
      </c>
      <c r="G865" t="n">
        <v>1.5</v>
      </c>
      <c r="H865" t="n">
        <v>0</v>
      </c>
      <c r="I865" t="n">
        <v>0</v>
      </c>
      <c r="J865" t="n">
        <v>0</v>
      </c>
      <c r="K865" t="n">
        <v>0</v>
      </c>
      <c r="L865" t="n">
        <v>0</v>
      </c>
      <c r="M865" t="n">
        <v>0</v>
      </c>
      <c r="N865" t="n">
        <v>0</v>
      </c>
      <c r="O865" t="n">
        <v>0</v>
      </c>
      <c r="P865" t="n">
        <v>0</v>
      </c>
      <c r="Q865" t="n">
        <v>0</v>
      </c>
      <c r="R865" s="2" t="inlineStr"/>
    </row>
    <row r="866" ht="15" customHeight="1">
      <c r="A866" t="inlineStr">
        <is>
          <t>A 37371-2025</t>
        </is>
      </c>
      <c r="B866" s="1" t="n">
        <v>45877.34472222222</v>
      </c>
      <c r="C866" s="1" t="n">
        <v>45911</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37383-2025</t>
        </is>
      </c>
      <c r="B867" s="1" t="n">
        <v>45877.38581018519</v>
      </c>
      <c r="C867" s="1" t="n">
        <v>45911</v>
      </c>
      <c r="D867" t="inlineStr">
        <is>
          <t>VÄSTERNORRLANDS LÄN</t>
        </is>
      </c>
      <c r="E867" t="inlineStr">
        <is>
          <t>ÅNGE</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37450-2025</t>
        </is>
      </c>
      <c r="B868" s="1" t="n">
        <v>45877.55261574074</v>
      </c>
      <c r="C868" s="1" t="n">
        <v>45911</v>
      </c>
      <c r="D868" t="inlineStr">
        <is>
          <t>VÄSTERNORRLANDS LÄN</t>
        </is>
      </c>
      <c r="E868" t="inlineStr">
        <is>
          <t>ÅNGE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60003-2023</t>
        </is>
      </c>
      <c r="B869" s="1" t="n">
        <v>45257</v>
      </c>
      <c r="C869" s="1" t="n">
        <v>45911</v>
      </c>
      <c r="D869" t="inlineStr">
        <is>
          <t>VÄSTERNORRLANDS LÄN</t>
        </is>
      </c>
      <c r="E869" t="inlineStr">
        <is>
          <t>ÅNGE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57598-2022</t>
        </is>
      </c>
      <c r="B870" s="1" t="n">
        <v>44896</v>
      </c>
      <c r="C870" s="1" t="n">
        <v>45911</v>
      </c>
      <c r="D870" t="inlineStr">
        <is>
          <t>VÄSTERNORRLANDS LÄN</t>
        </is>
      </c>
      <c r="E870" t="inlineStr">
        <is>
          <t>ÅNGE</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213-2024</t>
        </is>
      </c>
      <c r="B871" s="1" t="n">
        <v>45293</v>
      </c>
      <c r="C871" s="1" t="n">
        <v>45911</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40788-2024</t>
        </is>
      </c>
      <c r="B872" s="1" t="n">
        <v>45558.50974537037</v>
      </c>
      <c r="C872" s="1" t="n">
        <v>45911</v>
      </c>
      <c r="D872" t="inlineStr">
        <is>
          <t>VÄSTERNORRLANDS LÄN</t>
        </is>
      </c>
      <c r="E872" t="inlineStr">
        <is>
          <t>ÅNGE</t>
        </is>
      </c>
      <c r="G872" t="n">
        <v>4.2</v>
      </c>
      <c r="H872" t="n">
        <v>0</v>
      </c>
      <c r="I872" t="n">
        <v>0</v>
      </c>
      <c r="J872" t="n">
        <v>0</v>
      </c>
      <c r="K872" t="n">
        <v>0</v>
      </c>
      <c r="L872" t="n">
        <v>0</v>
      </c>
      <c r="M872" t="n">
        <v>0</v>
      </c>
      <c r="N872" t="n">
        <v>0</v>
      </c>
      <c r="O872" t="n">
        <v>0</v>
      </c>
      <c r="P872" t="n">
        <v>0</v>
      </c>
      <c r="Q872" t="n">
        <v>0</v>
      </c>
      <c r="R872" s="2" t="inlineStr"/>
    </row>
    <row r="873" ht="15" customHeight="1">
      <c r="A873" t="inlineStr">
        <is>
          <t>A 741-2024</t>
        </is>
      </c>
      <c r="B873" s="1" t="n">
        <v>45300.46591435185</v>
      </c>
      <c r="C873" s="1" t="n">
        <v>45911</v>
      </c>
      <c r="D873" t="inlineStr">
        <is>
          <t>VÄSTERNORRLANDS LÄN</t>
        </is>
      </c>
      <c r="E873" t="inlineStr">
        <is>
          <t>ÅNGE</t>
        </is>
      </c>
      <c r="G873" t="n">
        <v>8</v>
      </c>
      <c r="H873" t="n">
        <v>0</v>
      </c>
      <c r="I873" t="n">
        <v>0</v>
      </c>
      <c r="J873" t="n">
        <v>0</v>
      </c>
      <c r="K873" t="n">
        <v>0</v>
      </c>
      <c r="L873" t="n">
        <v>0</v>
      </c>
      <c r="M873" t="n">
        <v>0</v>
      </c>
      <c r="N873" t="n">
        <v>0</v>
      </c>
      <c r="O873" t="n">
        <v>0</v>
      </c>
      <c r="P873" t="n">
        <v>0</v>
      </c>
      <c r="Q873" t="n">
        <v>0</v>
      </c>
      <c r="R873" s="2" t="inlineStr"/>
    </row>
    <row r="874" ht="15" customHeight="1">
      <c r="A874" t="inlineStr">
        <is>
          <t>A 54611-2023</t>
        </is>
      </c>
      <c r="B874" s="1" t="n">
        <v>45233</v>
      </c>
      <c r="C874" s="1" t="n">
        <v>45911</v>
      </c>
      <c r="D874" t="inlineStr">
        <is>
          <t>VÄSTERNORRLANDS LÄN</t>
        </is>
      </c>
      <c r="E874" t="inlineStr">
        <is>
          <t>ÅNGE</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32025-2025</t>
        </is>
      </c>
      <c r="B875" s="1" t="n">
        <v>45835.40721064815</v>
      </c>
      <c r="C875" s="1" t="n">
        <v>45911</v>
      </c>
      <c r="D875" t="inlineStr">
        <is>
          <t>VÄSTERNORRLANDS LÄN</t>
        </is>
      </c>
      <c r="E875" t="inlineStr">
        <is>
          <t>ÅNGE</t>
        </is>
      </c>
      <c r="G875" t="n">
        <v>1.6</v>
      </c>
      <c r="H875" t="n">
        <v>0</v>
      </c>
      <c r="I875" t="n">
        <v>0</v>
      </c>
      <c r="J875" t="n">
        <v>0</v>
      </c>
      <c r="K875" t="n">
        <v>0</v>
      </c>
      <c r="L875" t="n">
        <v>0</v>
      </c>
      <c r="M875" t="n">
        <v>0</v>
      </c>
      <c r="N875" t="n">
        <v>0</v>
      </c>
      <c r="O875" t="n">
        <v>0</v>
      </c>
      <c r="P875" t="n">
        <v>0</v>
      </c>
      <c r="Q875" t="n">
        <v>0</v>
      </c>
      <c r="R875" s="2" t="inlineStr"/>
    </row>
    <row r="876" ht="15" customHeight="1">
      <c r="A876" t="inlineStr">
        <is>
          <t>A 1975-2025</t>
        </is>
      </c>
      <c r="B876" s="1" t="n">
        <v>45672.39332175926</v>
      </c>
      <c r="C876" s="1" t="n">
        <v>45911</v>
      </c>
      <c r="D876" t="inlineStr">
        <is>
          <t>VÄSTERNORRLANDS LÄN</t>
        </is>
      </c>
      <c r="E876" t="inlineStr">
        <is>
          <t>ÅNGE</t>
        </is>
      </c>
      <c r="G876" t="n">
        <v>6.2</v>
      </c>
      <c r="H876" t="n">
        <v>0</v>
      </c>
      <c r="I876" t="n">
        <v>0</v>
      </c>
      <c r="J876" t="n">
        <v>0</v>
      </c>
      <c r="K876" t="n">
        <v>0</v>
      </c>
      <c r="L876" t="n">
        <v>0</v>
      </c>
      <c r="M876" t="n">
        <v>0</v>
      </c>
      <c r="N876" t="n">
        <v>0</v>
      </c>
      <c r="O876" t="n">
        <v>0</v>
      </c>
      <c r="P876" t="n">
        <v>0</v>
      </c>
      <c r="Q876" t="n">
        <v>0</v>
      </c>
      <c r="R876" s="2" t="inlineStr"/>
    </row>
    <row r="877" ht="15" customHeight="1">
      <c r="A877" t="inlineStr">
        <is>
          <t>A 37719-2025</t>
        </is>
      </c>
      <c r="B877" s="1" t="n">
        <v>45880.61505787037</v>
      </c>
      <c r="C877" s="1" t="n">
        <v>45911</v>
      </c>
      <c r="D877" t="inlineStr">
        <is>
          <t>VÄSTERNORRLANDS LÄN</t>
        </is>
      </c>
      <c r="E877" t="inlineStr">
        <is>
          <t>ÅNGE</t>
        </is>
      </c>
      <c r="G877" t="n">
        <v>1.7</v>
      </c>
      <c r="H877" t="n">
        <v>0</v>
      </c>
      <c r="I877" t="n">
        <v>0</v>
      </c>
      <c r="J877" t="n">
        <v>0</v>
      </c>
      <c r="K877" t="n">
        <v>0</v>
      </c>
      <c r="L877" t="n">
        <v>0</v>
      </c>
      <c r="M877" t="n">
        <v>0</v>
      </c>
      <c r="N877" t="n">
        <v>0</v>
      </c>
      <c r="O877" t="n">
        <v>0</v>
      </c>
      <c r="P877" t="n">
        <v>0</v>
      </c>
      <c r="Q877" t="n">
        <v>0</v>
      </c>
      <c r="R877" s="2" t="inlineStr"/>
    </row>
    <row r="878" ht="15" customHeight="1">
      <c r="A878" t="inlineStr">
        <is>
          <t>A 37723-2025</t>
        </is>
      </c>
      <c r="B878" s="1" t="n">
        <v>45880.61528935185</v>
      </c>
      <c r="C878" s="1" t="n">
        <v>45911</v>
      </c>
      <c r="D878" t="inlineStr">
        <is>
          <t>VÄSTERNORRLANDS LÄN</t>
        </is>
      </c>
      <c r="E878" t="inlineStr">
        <is>
          <t>ÅNGE</t>
        </is>
      </c>
      <c r="G878" t="n">
        <v>3</v>
      </c>
      <c r="H878" t="n">
        <v>0</v>
      </c>
      <c r="I878" t="n">
        <v>0</v>
      </c>
      <c r="J878" t="n">
        <v>0</v>
      </c>
      <c r="K878" t="n">
        <v>0</v>
      </c>
      <c r="L878" t="n">
        <v>0</v>
      </c>
      <c r="M878" t="n">
        <v>0</v>
      </c>
      <c r="N878" t="n">
        <v>0</v>
      </c>
      <c r="O878" t="n">
        <v>0</v>
      </c>
      <c r="P878" t="n">
        <v>0</v>
      </c>
      <c r="Q878" t="n">
        <v>0</v>
      </c>
      <c r="R878" s="2" t="inlineStr"/>
    </row>
    <row r="879" ht="15" customHeight="1">
      <c r="A879" t="inlineStr">
        <is>
          <t>A 33429-2023</t>
        </is>
      </c>
      <c r="B879" s="1" t="n">
        <v>45128.94983796297</v>
      </c>
      <c r="C879" s="1" t="n">
        <v>45911</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26092-2025</t>
        </is>
      </c>
      <c r="B880" s="1" t="n">
        <v>45805</v>
      </c>
      <c r="C880" s="1" t="n">
        <v>45911</v>
      </c>
      <c r="D880" t="inlineStr">
        <is>
          <t>VÄSTERNORRLANDS LÄN</t>
        </is>
      </c>
      <c r="E880" t="inlineStr">
        <is>
          <t>ÅNGE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20576-2021</t>
        </is>
      </c>
      <c r="B881" s="1" t="n">
        <v>44316.3290162037</v>
      </c>
      <c r="C881" s="1" t="n">
        <v>45911</v>
      </c>
      <c r="D881" t="inlineStr">
        <is>
          <t>VÄSTERNORRLANDS LÄN</t>
        </is>
      </c>
      <c r="E881" t="inlineStr">
        <is>
          <t>ÅNGE</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1235-2023</t>
        </is>
      </c>
      <c r="B882" s="1" t="n">
        <v>44935</v>
      </c>
      <c r="C882" s="1" t="n">
        <v>45911</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13501-2021</t>
        </is>
      </c>
      <c r="B883" s="1" t="n">
        <v>44273</v>
      </c>
      <c r="C883" s="1" t="n">
        <v>45911</v>
      </c>
      <c r="D883" t="inlineStr">
        <is>
          <t>VÄSTERNORRLANDS LÄN</t>
        </is>
      </c>
      <c r="E883" t="inlineStr">
        <is>
          <t>ÅNGE</t>
        </is>
      </c>
      <c r="G883" t="n">
        <v>0.4</v>
      </c>
      <c r="H883" t="n">
        <v>0</v>
      </c>
      <c r="I883" t="n">
        <v>0</v>
      </c>
      <c r="J883" t="n">
        <v>0</v>
      </c>
      <c r="K883" t="n">
        <v>0</v>
      </c>
      <c r="L883" t="n">
        <v>0</v>
      </c>
      <c r="M883" t="n">
        <v>0</v>
      </c>
      <c r="N883" t="n">
        <v>0</v>
      </c>
      <c r="O883" t="n">
        <v>0</v>
      </c>
      <c r="P883" t="n">
        <v>0</v>
      </c>
      <c r="Q883" t="n">
        <v>0</v>
      </c>
      <c r="R883" s="2" t="inlineStr"/>
    </row>
    <row r="884" ht="15" customHeight="1">
      <c r="A884" t="inlineStr">
        <is>
          <t>A 33302-2024</t>
        </is>
      </c>
      <c r="B884" s="1" t="n">
        <v>45518.96967592592</v>
      </c>
      <c r="C884" s="1" t="n">
        <v>45911</v>
      </c>
      <c r="D884" t="inlineStr">
        <is>
          <t>VÄSTERNORRLANDS LÄN</t>
        </is>
      </c>
      <c r="E884" t="inlineStr">
        <is>
          <t>ÅNGE</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7528-2023</t>
        </is>
      </c>
      <c r="B885" s="1" t="n">
        <v>44971.97662037037</v>
      </c>
      <c r="C885" s="1" t="n">
        <v>45911</v>
      </c>
      <c r="D885" t="inlineStr">
        <is>
          <t>VÄSTERNORRLANDS LÄN</t>
        </is>
      </c>
      <c r="E885" t="inlineStr">
        <is>
          <t>ÅNGE</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14673-2025</t>
        </is>
      </c>
      <c r="B886" s="1" t="n">
        <v>45742.55309027778</v>
      </c>
      <c r="C886" s="1" t="n">
        <v>45911</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15032-2025</t>
        </is>
      </c>
      <c r="B887" s="1" t="n">
        <v>45743.67748842593</v>
      </c>
      <c r="C887" s="1" t="n">
        <v>45911</v>
      </c>
      <c r="D887" t="inlineStr">
        <is>
          <t>VÄSTERNORRLANDS LÄN</t>
        </is>
      </c>
      <c r="E887" t="inlineStr">
        <is>
          <t>ÅNGE</t>
        </is>
      </c>
      <c r="F887" t="inlineStr">
        <is>
          <t>SCA</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32024-2025</t>
        </is>
      </c>
      <c r="B888" s="1" t="n">
        <v>45835.40706018519</v>
      </c>
      <c r="C888" s="1" t="n">
        <v>45911</v>
      </c>
      <c r="D888" t="inlineStr">
        <is>
          <t>VÄSTERNORRLANDS LÄN</t>
        </is>
      </c>
      <c r="E888" t="inlineStr">
        <is>
          <t>ÅNGE</t>
        </is>
      </c>
      <c r="F888" t="inlineStr">
        <is>
          <t>SCA</t>
        </is>
      </c>
      <c r="G888" t="n">
        <v>12.3</v>
      </c>
      <c r="H888" t="n">
        <v>0</v>
      </c>
      <c r="I888" t="n">
        <v>0</v>
      </c>
      <c r="J888" t="n">
        <v>0</v>
      </c>
      <c r="K888" t="n">
        <v>0</v>
      </c>
      <c r="L888" t="n">
        <v>0</v>
      </c>
      <c r="M888" t="n">
        <v>0</v>
      </c>
      <c r="N888" t="n">
        <v>0</v>
      </c>
      <c r="O888" t="n">
        <v>0</v>
      </c>
      <c r="P888" t="n">
        <v>0</v>
      </c>
      <c r="Q888" t="n">
        <v>0</v>
      </c>
      <c r="R888" s="2" t="inlineStr"/>
    </row>
    <row r="889" ht="15" customHeight="1">
      <c r="A889" t="inlineStr">
        <is>
          <t>A 32051-2025</t>
        </is>
      </c>
      <c r="B889" s="1" t="n">
        <v>45835.44185185185</v>
      </c>
      <c r="C889" s="1" t="n">
        <v>45911</v>
      </c>
      <c r="D889" t="inlineStr">
        <is>
          <t>VÄSTERNORRLANDS LÄN</t>
        </is>
      </c>
      <c r="E889" t="inlineStr">
        <is>
          <t>ÅNGE</t>
        </is>
      </c>
      <c r="G889" t="n">
        <v>4</v>
      </c>
      <c r="H889" t="n">
        <v>0</v>
      </c>
      <c r="I889" t="n">
        <v>0</v>
      </c>
      <c r="J889" t="n">
        <v>0</v>
      </c>
      <c r="K889" t="n">
        <v>0</v>
      </c>
      <c r="L889" t="n">
        <v>0</v>
      </c>
      <c r="M889" t="n">
        <v>0</v>
      </c>
      <c r="N889" t="n">
        <v>0</v>
      </c>
      <c r="O889" t="n">
        <v>0</v>
      </c>
      <c r="P889" t="n">
        <v>0</v>
      </c>
      <c r="Q889" t="n">
        <v>0</v>
      </c>
      <c r="R889" s="2" t="inlineStr"/>
    </row>
    <row r="890" ht="15" customHeight="1">
      <c r="A890" t="inlineStr">
        <is>
          <t>A 7692-2024</t>
        </is>
      </c>
      <c r="B890" s="1" t="n">
        <v>45349</v>
      </c>
      <c r="C890" s="1" t="n">
        <v>45911</v>
      </c>
      <c r="D890" t="inlineStr">
        <is>
          <t>VÄSTERNORRLANDS LÄN</t>
        </is>
      </c>
      <c r="E890" t="inlineStr">
        <is>
          <t>ÅNGE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29673-2024</t>
        </is>
      </c>
      <c r="B891" s="1" t="n">
        <v>45484.94210648148</v>
      </c>
      <c r="C891" s="1" t="n">
        <v>45911</v>
      </c>
      <c r="D891" t="inlineStr">
        <is>
          <t>VÄSTERNORRLANDS LÄN</t>
        </is>
      </c>
      <c r="E891" t="inlineStr">
        <is>
          <t>ÅNGE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5602-2025</t>
        </is>
      </c>
      <c r="B892" s="1" t="n">
        <v>45693</v>
      </c>
      <c r="C892" s="1" t="n">
        <v>45911</v>
      </c>
      <c r="D892" t="inlineStr">
        <is>
          <t>VÄSTERNORRLANDS LÄN</t>
        </is>
      </c>
      <c r="E892" t="inlineStr">
        <is>
          <t>ÅNGE</t>
        </is>
      </c>
      <c r="G892" t="n">
        <v>2.5</v>
      </c>
      <c r="H892" t="n">
        <v>0</v>
      </c>
      <c r="I892" t="n">
        <v>0</v>
      </c>
      <c r="J892" t="n">
        <v>0</v>
      </c>
      <c r="K892" t="n">
        <v>0</v>
      </c>
      <c r="L892" t="n">
        <v>0</v>
      </c>
      <c r="M892" t="n">
        <v>0</v>
      </c>
      <c r="N892" t="n">
        <v>0</v>
      </c>
      <c r="O892" t="n">
        <v>0</v>
      </c>
      <c r="P892" t="n">
        <v>0</v>
      </c>
      <c r="Q892" t="n">
        <v>0</v>
      </c>
      <c r="R892" s="2" t="inlineStr"/>
    </row>
    <row r="893" ht="15" customHeight="1">
      <c r="A893" t="inlineStr">
        <is>
          <t>A 30751-2024</t>
        </is>
      </c>
      <c r="B893" s="1" t="n">
        <v>45496.69339120371</v>
      </c>
      <c r="C893" s="1" t="n">
        <v>45911</v>
      </c>
      <c r="D893" t="inlineStr">
        <is>
          <t>VÄSTERNORRLANDS LÄN</t>
        </is>
      </c>
      <c r="E893" t="inlineStr">
        <is>
          <t>ÅNGE</t>
        </is>
      </c>
      <c r="G893" t="n">
        <v>0.3</v>
      </c>
      <c r="H893" t="n">
        <v>0</v>
      </c>
      <c r="I893" t="n">
        <v>0</v>
      </c>
      <c r="J893" t="n">
        <v>0</v>
      </c>
      <c r="K893" t="n">
        <v>0</v>
      </c>
      <c r="L893" t="n">
        <v>0</v>
      </c>
      <c r="M893" t="n">
        <v>0</v>
      </c>
      <c r="N893" t="n">
        <v>0</v>
      </c>
      <c r="O893" t="n">
        <v>0</v>
      </c>
      <c r="P893" t="n">
        <v>0</v>
      </c>
      <c r="Q893" t="n">
        <v>0</v>
      </c>
      <c r="R893" s="2" t="inlineStr"/>
    </row>
    <row r="894" ht="15" customHeight="1">
      <c r="A894" t="inlineStr">
        <is>
          <t>A 37663-2025</t>
        </is>
      </c>
      <c r="B894" s="1" t="n">
        <v>45880.51079861111</v>
      </c>
      <c r="C894" s="1" t="n">
        <v>45911</v>
      </c>
      <c r="D894" t="inlineStr">
        <is>
          <t>VÄSTERNORRLANDS LÄN</t>
        </is>
      </c>
      <c r="E894" t="inlineStr">
        <is>
          <t>ÅNGE</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37384-2025</t>
        </is>
      </c>
      <c r="B895" s="1" t="n">
        <v>45877.3859837963</v>
      </c>
      <c r="C895" s="1" t="n">
        <v>45911</v>
      </c>
      <c r="D895" t="inlineStr">
        <is>
          <t>VÄSTERNORRLANDS LÄN</t>
        </is>
      </c>
      <c r="E895" t="inlineStr">
        <is>
          <t>ÅNGE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38099-2024</t>
        </is>
      </c>
      <c r="B896" s="1" t="n">
        <v>45545.35920138889</v>
      </c>
      <c r="C896" s="1" t="n">
        <v>45911</v>
      </c>
      <c r="D896" t="inlineStr">
        <is>
          <t>VÄSTERNORRLANDS LÄN</t>
        </is>
      </c>
      <c r="E896" t="inlineStr">
        <is>
          <t>ÅNGE</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44636-2024</t>
        </is>
      </c>
      <c r="B897" s="1" t="n">
        <v>45574.51491898148</v>
      </c>
      <c r="C897" s="1" t="n">
        <v>45911</v>
      </c>
      <c r="D897" t="inlineStr">
        <is>
          <t>VÄSTERNORRLANDS LÄN</t>
        </is>
      </c>
      <c r="E897" t="inlineStr">
        <is>
          <t>ÅNGE</t>
        </is>
      </c>
      <c r="F897" t="inlineStr">
        <is>
          <t>SCA</t>
        </is>
      </c>
      <c r="G897" t="n">
        <v>0.5</v>
      </c>
      <c r="H897" t="n">
        <v>0</v>
      </c>
      <c r="I897" t="n">
        <v>0</v>
      </c>
      <c r="J897" t="n">
        <v>0</v>
      </c>
      <c r="K897" t="n">
        <v>0</v>
      </c>
      <c r="L897" t="n">
        <v>0</v>
      </c>
      <c r="M897" t="n">
        <v>0</v>
      </c>
      <c r="N897" t="n">
        <v>0</v>
      </c>
      <c r="O897" t="n">
        <v>0</v>
      </c>
      <c r="P897" t="n">
        <v>0</v>
      </c>
      <c r="Q897" t="n">
        <v>0</v>
      </c>
      <c r="R897" s="2" t="inlineStr"/>
    </row>
    <row r="898" ht="15" customHeight="1">
      <c r="A898" t="inlineStr">
        <is>
          <t>A 64375-2023</t>
        </is>
      </c>
      <c r="B898" s="1" t="n">
        <v>45280</v>
      </c>
      <c r="C898" s="1" t="n">
        <v>45911</v>
      </c>
      <c r="D898" t="inlineStr">
        <is>
          <t>VÄSTERNORRLANDS LÄN</t>
        </is>
      </c>
      <c r="E898" t="inlineStr">
        <is>
          <t>ÅNGE</t>
        </is>
      </c>
      <c r="G898" t="n">
        <v>7.5</v>
      </c>
      <c r="H898" t="n">
        <v>0</v>
      </c>
      <c r="I898" t="n">
        <v>0</v>
      </c>
      <c r="J898" t="n">
        <v>0</v>
      </c>
      <c r="K898" t="n">
        <v>0</v>
      </c>
      <c r="L898" t="n">
        <v>0</v>
      </c>
      <c r="M898" t="n">
        <v>0</v>
      </c>
      <c r="N898" t="n">
        <v>0</v>
      </c>
      <c r="O898" t="n">
        <v>0</v>
      </c>
      <c r="P898" t="n">
        <v>0</v>
      </c>
      <c r="Q898" t="n">
        <v>0</v>
      </c>
      <c r="R898" s="2" t="inlineStr"/>
    </row>
    <row r="899" ht="15" customHeight="1">
      <c r="A899" t="inlineStr">
        <is>
          <t>A 60296-2021</t>
        </is>
      </c>
      <c r="B899" s="1" t="n">
        <v>44495</v>
      </c>
      <c r="C899" s="1" t="n">
        <v>45911</v>
      </c>
      <c r="D899" t="inlineStr">
        <is>
          <t>VÄSTERNORRLANDS LÄN</t>
        </is>
      </c>
      <c r="E899" t="inlineStr">
        <is>
          <t>ÅNGE</t>
        </is>
      </c>
      <c r="G899" t="n">
        <v>0.4</v>
      </c>
      <c r="H899" t="n">
        <v>0</v>
      </c>
      <c r="I899" t="n">
        <v>0</v>
      </c>
      <c r="J899" t="n">
        <v>0</v>
      </c>
      <c r="K899" t="n">
        <v>0</v>
      </c>
      <c r="L899" t="n">
        <v>0</v>
      </c>
      <c r="M899" t="n">
        <v>0</v>
      </c>
      <c r="N899" t="n">
        <v>0</v>
      </c>
      <c r="O899" t="n">
        <v>0</v>
      </c>
      <c r="P899" t="n">
        <v>0</v>
      </c>
      <c r="Q899" t="n">
        <v>0</v>
      </c>
      <c r="R899" s="2" t="inlineStr"/>
    </row>
    <row r="900" ht="15" customHeight="1">
      <c r="A900" t="inlineStr">
        <is>
          <t>A 63556-2021</t>
        </is>
      </c>
      <c r="B900" s="1" t="n">
        <v>44508.70231481481</v>
      </c>
      <c r="C900" s="1" t="n">
        <v>45911</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10922-2024</t>
        </is>
      </c>
      <c r="B901" s="1" t="n">
        <v>45370</v>
      </c>
      <c r="C901" s="1" t="n">
        <v>45911</v>
      </c>
      <c r="D901" t="inlineStr">
        <is>
          <t>VÄSTERNORRLANDS LÄN</t>
        </is>
      </c>
      <c r="E901" t="inlineStr">
        <is>
          <t>ÅNGE</t>
        </is>
      </c>
      <c r="G901" t="n">
        <v>1.5</v>
      </c>
      <c r="H901" t="n">
        <v>0</v>
      </c>
      <c r="I901" t="n">
        <v>0</v>
      </c>
      <c r="J901" t="n">
        <v>0</v>
      </c>
      <c r="K901" t="n">
        <v>0</v>
      </c>
      <c r="L901" t="n">
        <v>0</v>
      </c>
      <c r="M901" t="n">
        <v>0</v>
      </c>
      <c r="N901" t="n">
        <v>0</v>
      </c>
      <c r="O901" t="n">
        <v>0</v>
      </c>
      <c r="P901" t="n">
        <v>0</v>
      </c>
      <c r="Q901" t="n">
        <v>0</v>
      </c>
      <c r="R901" s="2" t="inlineStr"/>
    </row>
    <row r="902" ht="15" customHeight="1">
      <c r="A902" t="inlineStr">
        <is>
          <t>A 32847-2025</t>
        </is>
      </c>
      <c r="B902" s="1" t="n">
        <v>45839.57354166666</v>
      </c>
      <c r="C902" s="1" t="n">
        <v>45911</v>
      </c>
      <c r="D902" t="inlineStr">
        <is>
          <t>VÄSTERNORRLANDS LÄN</t>
        </is>
      </c>
      <c r="E902" t="inlineStr">
        <is>
          <t>ÅNGE</t>
        </is>
      </c>
      <c r="F902" t="inlineStr">
        <is>
          <t>SCA</t>
        </is>
      </c>
      <c r="G902" t="n">
        <v>9.4</v>
      </c>
      <c r="H902" t="n">
        <v>0</v>
      </c>
      <c r="I902" t="n">
        <v>0</v>
      </c>
      <c r="J902" t="n">
        <v>0</v>
      </c>
      <c r="K902" t="n">
        <v>0</v>
      </c>
      <c r="L902" t="n">
        <v>0</v>
      </c>
      <c r="M902" t="n">
        <v>0</v>
      </c>
      <c r="N902" t="n">
        <v>0</v>
      </c>
      <c r="O902" t="n">
        <v>0</v>
      </c>
      <c r="P902" t="n">
        <v>0</v>
      </c>
      <c r="Q902" t="n">
        <v>0</v>
      </c>
      <c r="R902" s="2" t="inlineStr"/>
    </row>
    <row r="903" ht="15" customHeight="1">
      <c r="A903" t="inlineStr">
        <is>
          <t>A 21089-2024</t>
        </is>
      </c>
      <c r="B903" s="1" t="n">
        <v>45439.94987268518</v>
      </c>
      <c r="C903" s="1" t="n">
        <v>45911</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64950-2023</t>
        </is>
      </c>
      <c r="B904" s="1" t="n">
        <v>45282</v>
      </c>
      <c r="C904" s="1" t="n">
        <v>45911</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20393-2022</t>
        </is>
      </c>
      <c r="B905" s="1" t="n">
        <v>44699</v>
      </c>
      <c r="C905" s="1" t="n">
        <v>45911</v>
      </c>
      <c r="D905" t="inlineStr">
        <is>
          <t>VÄSTERNORRLANDS LÄN</t>
        </is>
      </c>
      <c r="E905" t="inlineStr">
        <is>
          <t>ÅNGE</t>
        </is>
      </c>
      <c r="G905" t="n">
        <v>6.9</v>
      </c>
      <c r="H905" t="n">
        <v>0</v>
      </c>
      <c r="I905" t="n">
        <v>0</v>
      </c>
      <c r="J905" t="n">
        <v>0</v>
      </c>
      <c r="K905" t="n">
        <v>0</v>
      </c>
      <c r="L905" t="n">
        <v>0</v>
      </c>
      <c r="M905" t="n">
        <v>0</v>
      </c>
      <c r="N905" t="n">
        <v>0</v>
      </c>
      <c r="O905" t="n">
        <v>0</v>
      </c>
      <c r="P905" t="n">
        <v>0</v>
      </c>
      <c r="Q905" t="n">
        <v>0</v>
      </c>
      <c r="R905" s="2" t="inlineStr"/>
    </row>
    <row r="906" ht="15" customHeight="1">
      <c r="A906" t="inlineStr">
        <is>
          <t>A 34851-2023</t>
        </is>
      </c>
      <c r="B906" s="1" t="n">
        <v>45141</v>
      </c>
      <c r="C906" s="1" t="n">
        <v>45911</v>
      </c>
      <c r="D906" t="inlineStr">
        <is>
          <t>VÄSTERNORRLANDS LÄN</t>
        </is>
      </c>
      <c r="E906" t="inlineStr">
        <is>
          <t>ÅNGE</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4727-2023</t>
        </is>
      </c>
      <c r="B907" s="1" t="n">
        <v>44953</v>
      </c>
      <c r="C907" s="1" t="n">
        <v>45911</v>
      </c>
      <c r="D907" t="inlineStr">
        <is>
          <t>VÄSTERNORRLANDS LÄN</t>
        </is>
      </c>
      <c r="E907" t="inlineStr">
        <is>
          <t>ÅNGE</t>
        </is>
      </c>
      <c r="G907" t="n">
        <v>0.4</v>
      </c>
      <c r="H907" t="n">
        <v>0</v>
      </c>
      <c r="I907" t="n">
        <v>0</v>
      </c>
      <c r="J907" t="n">
        <v>0</v>
      </c>
      <c r="K907" t="n">
        <v>0</v>
      </c>
      <c r="L907" t="n">
        <v>0</v>
      </c>
      <c r="M907" t="n">
        <v>0</v>
      </c>
      <c r="N907" t="n">
        <v>0</v>
      </c>
      <c r="O907" t="n">
        <v>0</v>
      </c>
      <c r="P907" t="n">
        <v>0</v>
      </c>
      <c r="Q907" t="n">
        <v>0</v>
      </c>
      <c r="R907" s="2" t="inlineStr"/>
    </row>
    <row r="908" ht="15" customHeight="1">
      <c r="A908" t="inlineStr">
        <is>
          <t>A 35650-2024</t>
        </is>
      </c>
      <c r="B908" s="1" t="n">
        <v>45532.34123842593</v>
      </c>
      <c r="C908" s="1" t="n">
        <v>45911</v>
      </c>
      <c r="D908" t="inlineStr">
        <is>
          <t>VÄSTERNORRLANDS LÄN</t>
        </is>
      </c>
      <c r="E908" t="inlineStr">
        <is>
          <t>ÅNGE</t>
        </is>
      </c>
      <c r="G908" t="n">
        <v>3.8</v>
      </c>
      <c r="H908" t="n">
        <v>0</v>
      </c>
      <c r="I908" t="n">
        <v>0</v>
      </c>
      <c r="J908" t="n">
        <v>0</v>
      </c>
      <c r="K908" t="n">
        <v>0</v>
      </c>
      <c r="L908" t="n">
        <v>0</v>
      </c>
      <c r="M908" t="n">
        <v>0</v>
      </c>
      <c r="N908" t="n">
        <v>0</v>
      </c>
      <c r="O908" t="n">
        <v>0</v>
      </c>
      <c r="P908" t="n">
        <v>0</v>
      </c>
      <c r="Q908" t="n">
        <v>0</v>
      </c>
      <c r="R908" s="2" t="inlineStr"/>
    </row>
    <row r="909" ht="15" customHeight="1">
      <c r="A909" t="inlineStr">
        <is>
          <t>A 3357-2024</t>
        </is>
      </c>
      <c r="B909" s="1" t="n">
        <v>45317</v>
      </c>
      <c r="C909" s="1" t="n">
        <v>45911</v>
      </c>
      <c r="D909" t="inlineStr">
        <is>
          <t>VÄSTERNORRLANDS LÄN</t>
        </is>
      </c>
      <c r="E909" t="inlineStr">
        <is>
          <t>ÅNGE</t>
        </is>
      </c>
      <c r="G909" t="n">
        <v>8</v>
      </c>
      <c r="H909" t="n">
        <v>0</v>
      </c>
      <c r="I909" t="n">
        <v>0</v>
      </c>
      <c r="J909" t="n">
        <v>0</v>
      </c>
      <c r="K909" t="n">
        <v>0</v>
      </c>
      <c r="L909" t="n">
        <v>0</v>
      </c>
      <c r="M909" t="n">
        <v>0</v>
      </c>
      <c r="N909" t="n">
        <v>0</v>
      </c>
      <c r="O909" t="n">
        <v>0</v>
      </c>
      <c r="P909" t="n">
        <v>0</v>
      </c>
      <c r="Q909" t="n">
        <v>0</v>
      </c>
      <c r="R909" s="2" t="inlineStr"/>
    </row>
    <row r="910" ht="15" customHeight="1">
      <c r="A910" t="inlineStr">
        <is>
          <t>A 46332-2023</t>
        </is>
      </c>
      <c r="B910" s="1" t="n">
        <v>45196</v>
      </c>
      <c r="C910" s="1" t="n">
        <v>45911</v>
      </c>
      <c r="D910" t="inlineStr">
        <is>
          <t>VÄSTERNORRLANDS LÄN</t>
        </is>
      </c>
      <c r="E910" t="inlineStr">
        <is>
          <t>ÅNGE</t>
        </is>
      </c>
      <c r="F910" t="inlineStr">
        <is>
          <t>SCA</t>
        </is>
      </c>
      <c r="G910" t="n">
        <v>6.1</v>
      </c>
      <c r="H910" t="n">
        <v>0</v>
      </c>
      <c r="I910" t="n">
        <v>0</v>
      </c>
      <c r="J910" t="n">
        <v>0</v>
      </c>
      <c r="K910" t="n">
        <v>0</v>
      </c>
      <c r="L910" t="n">
        <v>0</v>
      </c>
      <c r="M910" t="n">
        <v>0</v>
      </c>
      <c r="N910" t="n">
        <v>0</v>
      </c>
      <c r="O910" t="n">
        <v>0</v>
      </c>
      <c r="P910" t="n">
        <v>0</v>
      </c>
      <c r="Q910" t="n">
        <v>0</v>
      </c>
      <c r="R910" s="2" t="inlineStr"/>
    </row>
    <row r="911" ht="15" customHeight="1">
      <c r="A911" t="inlineStr">
        <is>
          <t>A 37919-2025</t>
        </is>
      </c>
      <c r="B911" s="1" t="n">
        <v>45881.57478009259</v>
      </c>
      <c r="C911" s="1" t="n">
        <v>45911</v>
      </c>
      <c r="D911" t="inlineStr">
        <is>
          <t>VÄSTERNORRLANDS LÄN</t>
        </is>
      </c>
      <c r="E911" t="inlineStr">
        <is>
          <t>ÅNGE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38078-2025</t>
        </is>
      </c>
      <c r="B912" s="1" t="n">
        <v>45882.46918981482</v>
      </c>
      <c r="C912" s="1" t="n">
        <v>45911</v>
      </c>
      <c r="D912" t="inlineStr">
        <is>
          <t>VÄSTERNORRLANDS LÄN</t>
        </is>
      </c>
      <c r="E912" t="inlineStr">
        <is>
          <t>ÅNGE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37802-2025</t>
        </is>
      </c>
      <c r="B913" s="1" t="n">
        <v>45881.34447916667</v>
      </c>
      <c r="C913" s="1" t="n">
        <v>45911</v>
      </c>
      <c r="D913" t="inlineStr">
        <is>
          <t>VÄSTERNORRLANDS LÄN</t>
        </is>
      </c>
      <c r="E913" t="inlineStr">
        <is>
          <t>ÅNGE</t>
        </is>
      </c>
      <c r="F913" t="inlineStr">
        <is>
          <t>SCA</t>
        </is>
      </c>
      <c r="G913" t="n">
        <v>4.2</v>
      </c>
      <c r="H913" t="n">
        <v>0</v>
      </c>
      <c r="I913" t="n">
        <v>0</v>
      </c>
      <c r="J913" t="n">
        <v>0</v>
      </c>
      <c r="K913" t="n">
        <v>0</v>
      </c>
      <c r="L913" t="n">
        <v>0</v>
      </c>
      <c r="M913" t="n">
        <v>0</v>
      </c>
      <c r="N913" t="n">
        <v>0</v>
      </c>
      <c r="O913" t="n">
        <v>0</v>
      </c>
      <c r="P913" t="n">
        <v>0</v>
      </c>
      <c r="Q913" t="n">
        <v>0</v>
      </c>
      <c r="R913" s="2" t="inlineStr"/>
    </row>
    <row r="914" ht="15" customHeight="1">
      <c r="A914" t="inlineStr">
        <is>
          <t>A 64945-2023</t>
        </is>
      </c>
      <c r="B914" s="1" t="n">
        <v>45282.94668981482</v>
      </c>
      <c r="C914" s="1" t="n">
        <v>45911</v>
      </c>
      <c r="D914" t="inlineStr">
        <is>
          <t>VÄSTERNORRLANDS LÄN</t>
        </is>
      </c>
      <c r="E914" t="inlineStr">
        <is>
          <t>ÅNGE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26018-2024</t>
        </is>
      </c>
      <c r="B915" s="1" t="n">
        <v>45467.95998842592</v>
      </c>
      <c r="C915" s="1" t="n">
        <v>45911</v>
      </c>
      <c r="D915" t="inlineStr">
        <is>
          <t>VÄSTERNORRLANDS LÄN</t>
        </is>
      </c>
      <c r="E915" t="inlineStr">
        <is>
          <t>ÅNGE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26021-2024</t>
        </is>
      </c>
      <c r="B916" s="1" t="n">
        <v>45467</v>
      </c>
      <c r="C916" s="1" t="n">
        <v>45911</v>
      </c>
      <c r="D916" t="inlineStr">
        <is>
          <t>VÄSTERNORRLANDS LÄN</t>
        </is>
      </c>
      <c r="E916" t="inlineStr">
        <is>
          <t>ÅNGE</t>
        </is>
      </c>
      <c r="F916" t="inlineStr">
        <is>
          <t>SCA</t>
        </is>
      </c>
      <c r="G916" t="n">
        <v>7.7</v>
      </c>
      <c r="H916" t="n">
        <v>0</v>
      </c>
      <c r="I916" t="n">
        <v>0</v>
      </c>
      <c r="J916" t="n">
        <v>0</v>
      </c>
      <c r="K916" t="n">
        <v>0</v>
      </c>
      <c r="L916" t="n">
        <v>0</v>
      </c>
      <c r="M916" t="n">
        <v>0</v>
      </c>
      <c r="N916" t="n">
        <v>0</v>
      </c>
      <c r="O916" t="n">
        <v>0</v>
      </c>
      <c r="P916" t="n">
        <v>0</v>
      </c>
      <c r="Q916" t="n">
        <v>0</v>
      </c>
      <c r="R916" s="2" t="inlineStr"/>
    </row>
    <row r="917" ht="15" customHeight="1">
      <c r="A917" t="inlineStr">
        <is>
          <t>A 38273-2025</t>
        </is>
      </c>
      <c r="B917" s="1" t="n">
        <v>45883.40740740741</v>
      </c>
      <c r="C917" s="1" t="n">
        <v>45911</v>
      </c>
      <c r="D917" t="inlineStr">
        <is>
          <t>VÄSTERNORRLANDS LÄN</t>
        </is>
      </c>
      <c r="E917" t="inlineStr">
        <is>
          <t>ÅNGE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23018-2021</t>
        </is>
      </c>
      <c r="B918" s="1" t="n">
        <v>44328</v>
      </c>
      <c r="C918" s="1" t="n">
        <v>45911</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31866-2024</t>
        </is>
      </c>
      <c r="B919" s="1" t="n">
        <v>45509</v>
      </c>
      <c r="C919" s="1" t="n">
        <v>45911</v>
      </c>
      <c r="D919" t="inlineStr">
        <is>
          <t>VÄSTERNORRLANDS LÄN</t>
        </is>
      </c>
      <c r="E919" t="inlineStr">
        <is>
          <t>ÅNGE</t>
        </is>
      </c>
      <c r="G919" t="n">
        <v>1.9</v>
      </c>
      <c r="H919" t="n">
        <v>0</v>
      </c>
      <c r="I919" t="n">
        <v>0</v>
      </c>
      <c r="J919" t="n">
        <v>0</v>
      </c>
      <c r="K919" t="n">
        <v>0</v>
      </c>
      <c r="L919" t="n">
        <v>0</v>
      </c>
      <c r="M919" t="n">
        <v>0</v>
      </c>
      <c r="N919" t="n">
        <v>0</v>
      </c>
      <c r="O919" t="n">
        <v>0</v>
      </c>
      <c r="P919" t="n">
        <v>0</v>
      </c>
      <c r="Q919" t="n">
        <v>0</v>
      </c>
      <c r="R919" s="2" t="inlineStr"/>
    </row>
    <row r="920" ht="15" customHeight="1">
      <c r="A920" t="inlineStr">
        <is>
          <t>A 31867-2024</t>
        </is>
      </c>
      <c r="B920" s="1" t="n">
        <v>45509</v>
      </c>
      <c r="C920" s="1" t="n">
        <v>45911</v>
      </c>
      <c r="D920" t="inlineStr">
        <is>
          <t>VÄSTERNORRLANDS LÄN</t>
        </is>
      </c>
      <c r="E920" t="inlineStr">
        <is>
          <t>ÅNGE</t>
        </is>
      </c>
      <c r="G920" t="n">
        <v>7.8</v>
      </c>
      <c r="H920" t="n">
        <v>0</v>
      </c>
      <c r="I920" t="n">
        <v>0</v>
      </c>
      <c r="J920" t="n">
        <v>0</v>
      </c>
      <c r="K920" t="n">
        <v>0</v>
      </c>
      <c r="L920" t="n">
        <v>0</v>
      </c>
      <c r="M920" t="n">
        <v>0</v>
      </c>
      <c r="N920" t="n">
        <v>0</v>
      </c>
      <c r="O920" t="n">
        <v>0</v>
      </c>
      <c r="P920" t="n">
        <v>0</v>
      </c>
      <c r="Q920" t="n">
        <v>0</v>
      </c>
      <c r="R920" s="2" t="inlineStr"/>
    </row>
    <row r="921" ht="15" customHeight="1">
      <c r="A921" t="inlineStr">
        <is>
          <t>A 39178-2024</t>
        </is>
      </c>
      <c r="B921" s="1" t="n">
        <v>45548.65692129629</v>
      </c>
      <c r="C921" s="1" t="n">
        <v>45911</v>
      </c>
      <c r="D921" t="inlineStr">
        <is>
          <t>VÄSTERNORRLANDS LÄN</t>
        </is>
      </c>
      <c r="E921" t="inlineStr">
        <is>
          <t>ÅNGE</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33719-2025</t>
        </is>
      </c>
      <c r="B922" s="1" t="n">
        <v>45841.90143518519</v>
      </c>
      <c r="C922" s="1" t="n">
        <v>45911</v>
      </c>
      <c r="D922" t="inlineStr">
        <is>
          <t>VÄSTERNORRLANDS LÄN</t>
        </is>
      </c>
      <c r="E922" t="inlineStr">
        <is>
          <t>ÅNGE</t>
        </is>
      </c>
      <c r="G922" t="n">
        <v>5.8</v>
      </c>
      <c r="H922" t="n">
        <v>0</v>
      </c>
      <c r="I922" t="n">
        <v>0</v>
      </c>
      <c r="J922" t="n">
        <v>0</v>
      </c>
      <c r="K922" t="n">
        <v>0</v>
      </c>
      <c r="L922" t="n">
        <v>0</v>
      </c>
      <c r="M922" t="n">
        <v>0</v>
      </c>
      <c r="N922" t="n">
        <v>0</v>
      </c>
      <c r="O922" t="n">
        <v>0</v>
      </c>
      <c r="P922" t="n">
        <v>0</v>
      </c>
      <c r="Q922" t="n">
        <v>0</v>
      </c>
      <c r="R922" s="2" t="inlineStr"/>
    </row>
    <row r="923" ht="15" customHeight="1">
      <c r="A923" t="inlineStr">
        <is>
          <t>A 45932-2023</t>
        </is>
      </c>
      <c r="B923" s="1" t="n">
        <v>45195</v>
      </c>
      <c r="C923" s="1" t="n">
        <v>45911</v>
      </c>
      <c r="D923" t="inlineStr">
        <is>
          <t>VÄSTERNORRLANDS LÄN</t>
        </is>
      </c>
      <c r="E923" t="inlineStr">
        <is>
          <t>ÅNGE</t>
        </is>
      </c>
      <c r="F923" t="inlineStr">
        <is>
          <t>SCA</t>
        </is>
      </c>
      <c r="G923" t="n">
        <v>0.1</v>
      </c>
      <c r="H923" t="n">
        <v>0</v>
      </c>
      <c r="I923" t="n">
        <v>0</v>
      </c>
      <c r="J923" t="n">
        <v>0</v>
      </c>
      <c r="K923" t="n">
        <v>0</v>
      </c>
      <c r="L923" t="n">
        <v>0</v>
      </c>
      <c r="M923" t="n">
        <v>0</v>
      </c>
      <c r="N923" t="n">
        <v>0</v>
      </c>
      <c r="O923" t="n">
        <v>0</v>
      </c>
      <c r="P923" t="n">
        <v>0</v>
      </c>
      <c r="Q923" t="n">
        <v>0</v>
      </c>
      <c r="R923" s="2" t="inlineStr"/>
    </row>
    <row r="924" ht="15" customHeight="1">
      <c r="A924" t="inlineStr">
        <is>
          <t>A 33782-2025</t>
        </is>
      </c>
      <c r="B924" s="1" t="n">
        <v>45842.40678240741</v>
      </c>
      <c r="C924" s="1" t="n">
        <v>45911</v>
      </c>
      <c r="D924" t="inlineStr">
        <is>
          <t>VÄSTERNORRLANDS LÄN</t>
        </is>
      </c>
      <c r="E924" t="inlineStr">
        <is>
          <t>ÅNGE</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6-2025</t>
        </is>
      </c>
      <c r="B925" s="1" t="n">
        <v>45658.50759259259</v>
      </c>
      <c r="C925" s="1" t="n">
        <v>45911</v>
      </c>
      <c r="D925" t="inlineStr">
        <is>
          <t>VÄSTERNORRLANDS LÄN</t>
        </is>
      </c>
      <c r="E925" t="inlineStr">
        <is>
          <t>ÅNGE</t>
        </is>
      </c>
      <c r="G925" t="n">
        <v>4.3</v>
      </c>
      <c r="H925" t="n">
        <v>0</v>
      </c>
      <c r="I925" t="n">
        <v>0</v>
      </c>
      <c r="J925" t="n">
        <v>0</v>
      </c>
      <c r="K925" t="n">
        <v>0</v>
      </c>
      <c r="L925" t="n">
        <v>0</v>
      </c>
      <c r="M925" t="n">
        <v>0</v>
      </c>
      <c r="N925" t="n">
        <v>0</v>
      </c>
      <c r="O925" t="n">
        <v>0</v>
      </c>
      <c r="P925" t="n">
        <v>0</v>
      </c>
      <c r="Q925" t="n">
        <v>0</v>
      </c>
      <c r="R925" s="2" t="inlineStr"/>
    </row>
    <row r="926" ht="15" customHeight="1">
      <c r="A926" t="inlineStr">
        <is>
          <t>A 39764-2024</t>
        </is>
      </c>
      <c r="B926" s="1" t="n">
        <v>45552.7190162037</v>
      </c>
      <c r="C926" s="1" t="n">
        <v>45911</v>
      </c>
      <c r="D926" t="inlineStr">
        <is>
          <t>VÄSTERNORRLANDS LÄN</t>
        </is>
      </c>
      <c r="E926" t="inlineStr">
        <is>
          <t>ÅNGE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53988-2024</t>
        </is>
      </c>
      <c r="B927" s="1" t="n">
        <v>45616.34408564815</v>
      </c>
      <c r="C927" s="1" t="n">
        <v>45911</v>
      </c>
      <c r="D927" t="inlineStr">
        <is>
          <t>VÄSTERNORRLANDS LÄN</t>
        </is>
      </c>
      <c r="E927" t="inlineStr">
        <is>
          <t>ÅNGE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54002-2024</t>
        </is>
      </c>
      <c r="B928" s="1" t="n">
        <v>45616.36491898148</v>
      </c>
      <c r="C928" s="1" t="n">
        <v>45911</v>
      </c>
      <c r="D928" t="inlineStr">
        <is>
          <t>VÄSTERNORRLANDS LÄN</t>
        </is>
      </c>
      <c r="E928" t="inlineStr">
        <is>
          <t>ÅNGE</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29193-2024</t>
        </is>
      </c>
      <c r="B929" s="1" t="n">
        <v>45482.56510416666</v>
      </c>
      <c r="C929" s="1" t="n">
        <v>45911</v>
      </c>
      <c r="D929" t="inlineStr">
        <is>
          <t>VÄSTERNORRLANDS LÄN</t>
        </is>
      </c>
      <c r="E929" t="inlineStr">
        <is>
          <t>ÅNGE</t>
        </is>
      </c>
      <c r="G929" t="n">
        <v>5.6</v>
      </c>
      <c r="H929" t="n">
        <v>0</v>
      </c>
      <c r="I929" t="n">
        <v>0</v>
      </c>
      <c r="J929" t="n">
        <v>0</v>
      </c>
      <c r="K929" t="n">
        <v>0</v>
      </c>
      <c r="L929" t="n">
        <v>0</v>
      </c>
      <c r="M929" t="n">
        <v>0</v>
      </c>
      <c r="N929" t="n">
        <v>0</v>
      </c>
      <c r="O929" t="n">
        <v>0</v>
      </c>
      <c r="P929" t="n">
        <v>0</v>
      </c>
      <c r="Q929" t="n">
        <v>0</v>
      </c>
      <c r="R929" s="2" t="inlineStr"/>
    </row>
    <row r="930" ht="15" customHeight="1">
      <c r="A930" t="inlineStr">
        <is>
          <t>A 42040-2024</t>
        </is>
      </c>
      <c r="B930" s="1" t="n">
        <v>45561.80983796297</v>
      </c>
      <c r="C930" s="1" t="n">
        <v>45911</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38386-2025</t>
        </is>
      </c>
      <c r="B931" s="1" t="n">
        <v>45883.57430555556</v>
      </c>
      <c r="C931" s="1" t="n">
        <v>45911</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34691-2024</t>
        </is>
      </c>
      <c r="B932" s="1" t="n">
        <v>45526.54516203704</v>
      </c>
      <c r="C932" s="1" t="n">
        <v>45911</v>
      </c>
      <c r="D932" t="inlineStr">
        <is>
          <t>VÄSTERNORRLANDS LÄN</t>
        </is>
      </c>
      <c r="E932" t="inlineStr">
        <is>
          <t>ÅNGE</t>
        </is>
      </c>
      <c r="G932" t="n">
        <v>0.5</v>
      </c>
      <c r="H932" t="n">
        <v>0</v>
      </c>
      <c r="I932" t="n">
        <v>0</v>
      </c>
      <c r="J932" t="n">
        <v>0</v>
      </c>
      <c r="K932" t="n">
        <v>0</v>
      </c>
      <c r="L932" t="n">
        <v>0</v>
      </c>
      <c r="M932" t="n">
        <v>0</v>
      </c>
      <c r="N932" t="n">
        <v>0</v>
      </c>
      <c r="O932" t="n">
        <v>0</v>
      </c>
      <c r="P932" t="n">
        <v>0</v>
      </c>
      <c r="Q932" t="n">
        <v>0</v>
      </c>
      <c r="R932" s="2" t="inlineStr"/>
    </row>
    <row r="933" ht="15" customHeight="1">
      <c r="A933" t="inlineStr">
        <is>
          <t>A 33720-2025</t>
        </is>
      </c>
      <c r="B933" s="1" t="n">
        <v>45841.90605324074</v>
      </c>
      <c r="C933" s="1" t="n">
        <v>45911</v>
      </c>
      <c r="D933" t="inlineStr">
        <is>
          <t>VÄSTERNORRLANDS LÄN</t>
        </is>
      </c>
      <c r="E933" t="inlineStr">
        <is>
          <t>ÅNGE</t>
        </is>
      </c>
      <c r="G933" t="n">
        <v>6.4</v>
      </c>
      <c r="H933" t="n">
        <v>0</v>
      </c>
      <c r="I933" t="n">
        <v>0</v>
      </c>
      <c r="J933" t="n">
        <v>0</v>
      </c>
      <c r="K933" t="n">
        <v>0</v>
      </c>
      <c r="L933" t="n">
        <v>0</v>
      </c>
      <c r="M933" t="n">
        <v>0</v>
      </c>
      <c r="N933" t="n">
        <v>0</v>
      </c>
      <c r="O933" t="n">
        <v>0</v>
      </c>
      <c r="P933" t="n">
        <v>0</v>
      </c>
      <c r="Q933" t="n">
        <v>0</v>
      </c>
      <c r="R933" s="2" t="inlineStr"/>
    </row>
    <row r="934" ht="15" customHeight="1">
      <c r="A934" t="inlineStr">
        <is>
          <t>A 54210-2024</t>
        </is>
      </c>
      <c r="B934" s="1" t="n">
        <v>45616.65662037037</v>
      </c>
      <c r="C934" s="1" t="n">
        <v>45911</v>
      </c>
      <c r="D934" t="inlineStr">
        <is>
          <t>VÄSTERNORRLANDS LÄN</t>
        </is>
      </c>
      <c r="E934" t="inlineStr">
        <is>
          <t>ÅNGE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38686-2025</t>
        </is>
      </c>
      <c r="B935" s="1" t="n">
        <v>45884.65658564815</v>
      </c>
      <c r="C935" s="1" t="n">
        <v>45911</v>
      </c>
      <c r="D935" t="inlineStr">
        <is>
          <t>VÄSTERNORRLANDS LÄN</t>
        </is>
      </c>
      <c r="E935" t="inlineStr">
        <is>
          <t>ÅNGE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48697-2024</t>
        </is>
      </c>
      <c r="B936" s="1" t="n">
        <v>45593.51136574074</v>
      </c>
      <c r="C936" s="1" t="n">
        <v>45911</v>
      </c>
      <c r="D936" t="inlineStr">
        <is>
          <t>VÄSTERNORRLANDS LÄN</t>
        </is>
      </c>
      <c r="E936" t="inlineStr">
        <is>
          <t>ÅNGE</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52805-2024</t>
        </is>
      </c>
      <c r="B937" s="1" t="n">
        <v>45610.57344907407</v>
      </c>
      <c r="C937" s="1" t="n">
        <v>45911</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38693-2025</t>
        </is>
      </c>
      <c r="B938" s="1" t="n">
        <v>45884.69829861111</v>
      </c>
      <c r="C938" s="1" t="n">
        <v>45911</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38283-2025</t>
        </is>
      </c>
      <c r="B939" s="1" t="n">
        <v>45883.42740740741</v>
      </c>
      <c r="C939" s="1" t="n">
        <v>45911</v>
      </c>
      <c r="D939" t="inlineStr">
        <is>
          <t>VÄSTERNORRLANDS LÄN</t>
        </is>
      </c>
      <c r="E939" t="inlineStr">
        <is>
          <t>ÅNGE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38332-2025</t>
        </is>
      </c>
      <c r="B940" s="1" t="n">
        <v>45883.49151620371</v>
      </c>
      <c r="C940" s="1" t="n">
        <v>45911</v>
      </c>
      <c r="D940" t="inlineStr">
        <is>
          <t>VÄSTERNORRLANDS LÄN</t>
        </is>
      </c>
      <c r="E940" t="inlineStr">
        <is>
          <t>ÅNGE</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61577-2023</t>
        </is>
      </c>
      <c r="B941" s="1" t="n">
        <v>45265.47366898148</v>
      </c>
      <c r="C941" s="1" t="n">
        <v>45911</v>
      </c>
      <c r="D941" t="inlineStr">
        <is>
          <t>VÄSTERNORRLANDS LÄN</t>
        </is>
      </c>
      <c r="E941" t="inlineStr">
        <is>
          <t>ÅNGE</t>
        </is>
      </c>
      <c r="G941" t="n">
        <v>2.9</v>
      </c>
      <c r="H941" t="n">
        <v>0</v>
      </c>
      <c r="I941" t="n">
        <v>0</v>
      </c>
      <c r="J941" t="n">
        <v>0</v>
      </c>
      <c r="K941" t="n">
        <v>0</v>
      </c>
      <c r="L941" t="n">
        <v>0</v>
      </c>
      <c r="M941" t="n">
        <v>0</v>
      </c>
      <c r="N941" t="n">
        <v>0</v>
      </c>
      <c r="O941" t="n">
        <v>0</v>
      </c>
      <c r="P941" t="n">
        <v>0</v>
      </c>
      <c r="Q941" t="n">
        <v>0</v>
      </c>
      <c r="R941" s="2" t="inlineStr"/>
    </row>
    <row r="942" ht="15" customHeight="1">
      <c r="A942" t="inlineStr">
        <is>
          <t>A 1735-2025</t>
        </is>
      </c>
      <c r="B942" s="1" t="n">
        <v>45671.38594907407</v>
      </c>
      <c r="C942" s="1" t="n">
        <v>45911</v>
      </c>
      <c r="D942" t="inlineStr">
        <is>
          <t>VÄSTERNORRLANDS LÄN</t>
        </is>
      </c>
      <c r="E942" t="inlineStr">
        <is>
          <t>ÅNGE</t>
        </is>
      </c>
      <c r="G942" t="n">
        <v>0.6</v>
      </c>
      <c r="H942" t="n">
        <v>0</v>
      </c>
      <c r="I942" t="n">
        <v>0</v>
      </c>
      <c r="J942" t="n">
        <v>0</v>
      </c>
      <c r="K942" t="n">
        <v>0</v>
      </c>
      <c r="L942" t="n">
        <v>0</v>
      </c>
      <c r="M942" t="n">
        <v>0</v>
      </c>
      <c r="N942" t="n">
        <v>0</v>
      </c>
      <c r="O942" t="n">
        <v>0</v>
      </c>
      <c r="P942" t="n">
        <v>0</v>
      </c>
      <c r="Q942" t="n">
        <v>0</v>
      </c>
      <c r="R942" s="2" t="inlineStr"/>
    </row>
    <row r="943" ht="15" customHeight="1">
      <c r="A943" t="inlineStr">
        <is>
          <t>A 45939-2023</t>
        </is>
      </c>
      <c r="B943" s="1" t="n">
        <v>45195.94578703704</v>
      </c>
      <c r="C943" s="1" t="n">
        <v>45911</v>
      </c>
      <c r="D943" t="inlineStr">
        <is>
          <t>VÄSTERNORRLANDS LÄN</t>
        </is>
      </c>
      <c r="E943" t="inlineStr">
        <is>
          <t>ÅNGE</t>
        </is>
      </c>
      <c r="F943" t="inlineStr">
        <is>
          <t>SCA</t>
        </is>
      </c>
      <c r="G943" t="n">
        <v>5.7</v>
      </c>
      <c r="H943" t="n">
        <v>0</v>
      </c>
      <c r="I943" t="n">
        <v>0</v>
      </c>
      <c r="J943" t="n">
        <v>0</v>
      </c>
      <c r="K943" t="n">
        <v>0</v>
      </c>
      <c r="L943" t="n">
        <v>0</v>
      </c>
      <c r="M943" t="n">
        <v>0</v>
      </c>
      <c r="N943" t="n">
        <v>0</v>
      </c>
      <c r="O943" t="n">
        <v>0</v>
      </c>
      <c r="P943" t="n">
        <v>0</v>
      </c>
      <c r="Q943" t="n">
        <v>0</v>
      </c>
      <c r="R943" s="2" t="inlineStr"/>
    </row>
    <row r="944" ht="15" customHeight="1">
      <c r="A944" t="inlineStr">
        <is>
          <t>A 33806-2025</t>
        </is>
      </c>
      <c r="B944" s="1" t="n">
        <v>45842.44865740741</v>
      </c>
      <c r="C944" s="1" t="n">
        <v>45911</v>
      </c>
      <c r="D944" t="inlineStr">
        <is>
          <t>VÄSTERNORRLANDS LÄN</t>
        </is>
      </c>
      <c r="E944" t="inlineStr">
        <is>
          <t>ÅNGE</t>
        </is>
      </c>
      <c r="F944" t="inlineStr">
        <is>
          <t>SCA</t>
        </is>
      </c>
      <c r="G944" t="n">
        <v>24.6</v>
      </c>
      <c r="H944" t="n">
        <v>0</v>
      </c>
      <c r="I944" t="n">
        <v>0</v>
      </c>
      <c r="J944" t="n">
        <v>0</v>
      </c>
      <c r="K944" t="n">
        <v>0</v>
      </c>
      <c r="L944" t="n">
        <v>0</v>
      </c>
      <c r="M944" t="n">
        <v>0</v>
      </c>
      <c r="N944" t="n">
        <v>0</v>
      </c>
      <c r="O944" t="n">
        <v>0</v>
      </c>
      <c r="P944" t="n">
        <v>0</v>
      </c>
      <c r="Q944" t="n">
        <v>0</v>
      </c>
      <c r="R944" s="2" t="inlineStr"/>
    </row>
    <row r="945" ht="15" customHeight="1">
      <c r="A945" t="inlineStr">
        <is>
          <t>A 61585-2022</t>
        </is>
      </c>
      <c r="B945" s="1" t="n">
        <v>44916.63380787037</v>
      </c>
      <c r="C945" s="1" t="n">
        <v>45911</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11764-2024</t>
        </is>
      </c>
      <c r="B946" s="1" t="n">
        <v>45373.94837962963</v>
      </c>
      <c r="C946" s="1" t="n">
        <v>45911</v>
      </c>
      <c r="D946" t="inlineStr">
        <is>
          <t>VÄSTERNORRLANDS LÄN</t>
        </is>
      </c>
      <c r="E946" t="inlineStr">
        <is>
          <t>ÅNGE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3574-2025</t>
        </is>
      </c>
      <c r="B947" s="1" t="n">
        <v>45680.71916666667</v>
      </c>
      <c r="C947" s="1" t="n">
        <v>45911</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33717-2025</t>
        </is>
      </c>
      <c r="B948" s="1" t="n">
        <v>45841.89357638889</v>
      </c>
      <c r="C948" s="1" t="n">
        <v>45911</v>
      </c>
      <c r="D948" t="inlineStr">
        <is>
          <t>VÄSTERNORRLANDS LÄN</t>
        </is>
      </c>
      <c r="E948" t="inlineStr">
        <is>
          <t>ÅNGE</t>
        </is>
      </c>
      <c r="G948" t="n">
        <v>14.3</v>
      </c>
      <c r="H948" t="n">
        <v>0</v>
      </c>
      <c r="I948" t="n">
        <v>0</v>
      </c>
      <c r="J948" t="n">
        <v>0</v>
      </c>
      <c r="K948" t="n">
        <v>0</v>
      </c>
      <c r="L948" t="n">
        <v>0</v>
      </c>
      <c r="M948" t="n">
        <v>0</v>
      </c>
      <c r="N948" t="n">
        <v>0</v>
      </c>
      <c r="O948" t="n">
        <v>0</v>
      </c>
      <c r="P948" t="n">
        <v>0</v>
      </c>
      <c r="Q948" t="n">
        <v>0</v>
      </c>
      <c r="R948" s="2" t="inlineStr"/>
    </row>
    <row r="949" ht="15" customHeight="1">
      <c r="A949" t="inlineStr">
        <is>
          <t>A 33738-2025</t>
        </is>
      </c>
      <c r="B949" s="1" t="n">
        <v>45842.33795138889</v>
      </c>
      <c r="C949" s="1" t="n">
        <v>45911</v>
      </c>
      <c r="D949" t="inlineStr">
        <is>
          <t>VÄSTERNORRLANDS LÄN</t>
        </is>
      </c>
      <c r="E949" t="inlineStr">
        <is>
          <t>ÅNGE</t>
        </is>
      </c>
      <c r="G949" t="n">
        <v>0.6</v>
      </c>
      <c r="H949" t="n">
        <v>0</v>
      </c>
      <c r="I949" t="n">
        <v>0</v>
      </c>
      <c r="J949" t="n">
        <v>0</v>
      </c>
      <c r="K949" t="n">
        <v>0</v>
      </c>
      <c r="L949" t="n">
        <v>0</v>
      </c>
      <c r="M949" t="n">
        <v>0</v>
      </c>
      <c r="N949" t="n">
        <v>0</v>
      </c>
      <c r="O949" t="n">
        <v>0</v>
      </c>
      <c r="P949" t="n">
        <v>0</v>
      </c>
      <c r="Q949" t="n">
        <v>0</v>
      </c>
      <c r="R949" s="2" t="inlineStr"/>
    </row>
    <row r="950" ht="15" customHeight="1">
      <c r="A950" t="inlineStr">
        <is>
          <t>A 54059-2024</t>
        </is>
      </c>
      <c r="B950" s="1" t="n">
        <v>45616.46943287037</v>
      </c>
      <c r="C950" s="1" t="n">
        <v>45911</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38703-2025</t>
        </is>
      </c>
      <c r="B951" s="1" t="n">
        <v>45885.34440972222</v>
      </c>
      <c r="C951" s="1" t="n">
        <v>45911</v>
      </c>
      <c r="D951" t="inlineStr">
        <is>
          <t>VÄSTERNORRLANDS LÄN</t>
        </is>
      </c>
      <c r="E951" t="inlineStr">
        <is>
          <t>ÅNGE</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29048-2021</t>
        </is>
      </c>
      <c r="B952" s="1" t="n">
        <v>44358</v>
      </c>
      <c r="C952" s="1" t="n">
        <v>45911</v>
      </c>
      <c r="D952" t="inlineStr">
        <is>
          <t>VÄSTERNORRLANDS LÄN</t>
        </is>
      </c>
      <c r="E952" t="inlineStr">
        <is>
          <t>ÅNGE</t>
        </is>
      </c>
      <c r="G952" t="n">
        <v>2.5</v>
      </c>
      <c r="H952" t="n">
        <v>0</v>
      </c>
      <c r="I952" t="n">
        <v>0</v>
      </c>
      <c r="J952" t="n">
        <v>0</v>
      </c>
      <c r="K952" t="n">
        <v>0</v>
      </c>
      <c r="L952" t="n">
        <v>0</v>
      </c>
      <c r="M952" t="n">
        <v>0</v>
      </c>
      <c r="N952" t="n">
        <v>0</v>
      </c>
      <c r="O952" t="n">
        <v>0</v>
      </c>
      <c r="P952" t="n">
        <v>0</v>
      </c>
      <c r="Q952" t="n">
        <v>0</v>
      </c>
      <c r="R952" s="2" t="inlineStr"/>
    </row>
    <row r="953" ht="15" customHeight="1">
      <c r="A953" t="inlineStr">
        <is>
          <t>A 44158-2024</t>
        </is>
      </c>
      <c r="B953" s="1" t="n">
        <v>45572</v>
      </c>
      <c r="C953" s="1" t="n">
        <v>45911</v>
      </c>
      <c r="D953" t="inlineStr">
        <is>
          <t>VÄSTERNORRLANDS LÄN</t>
        </is>
      </c>
      <c r="E953" t="inlineStr">
        <is>
          <t>ÅNGE</t>
        </is>
      </c>
      <c r="G953" t="n">
        <v>2.6</v>
      </c>
      <c r="H953" t="n">
        <v>0</v>
      </c>
      <c r="I953" t="n">
        <v>0</v>
      </c>
      <c r="J953" t="n">
        <v>0</v>
      </c>
      <c r="K953" t="n">
        <v>0</v>
      </c>
      <c r="L953" t="n">
        <v>0</v>
      </c>
      <c r="M953" t="n">
        <v>0</v>
      </c>
      <c r="N953" t="n">
        <v>0</v>
      </c>
      <c r="O953" t="n">
        <v>0</v>
      </c>
      <c r="P953" t="n">
        <v>0</v>
      </c>
      <c r="Q953" t="n">
        <v>0</v>
      </c>
      <c r="R953" s="2" t="inlineStr"/>
    </row>
    <row r="954" ht="15" customHeight="1">
      <c r="A954" t="inlineStr">
        <is>
          <t>A 2299-2025</t>
        </is>
      </c>
      <c r="B954" s="1" t="n">
        <v>45673.59516203704</v>
      </c>
      <c r="C954" s="1" t="n">
        <v>45911</v>
      </c>
      <c r="D954" t="inlineStr">
        <is>
          <t>VÄSTERNORRLANDS LÄN</t>
        </is>
      </c>
      <c r="E954" t="inlineStr">
        <is>
          <t>ÅNGE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3022-2023</t>
        </is>
      </c>
      <c r="B955" s="1" t="n">
        <v>44945</v>
      </c>
      <c r="C955" s="1" t="n">
        <v>45911</v>
      </c>
      <c r="D955" t="inlineStr">
        <is>
          <t>VÄSTERNORRLANDS LÄN</t>
        </is>
      </c>
      <c r="E955" t="inlineStr">
        <is>
          <t>ÅNGE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39021-2024</t>
        </is>
      </c>
      <c r="B956" s="1" t="n">
        <v>45548</v>
      </c>
      <c r="C956" s="1" t="n">
        <v>45911</v>
      </c>
      <c r="D956" t="inlineStr">
        <is>
          <t>VÄSTERNORRLANDS LÄN</t>
        </is>
      </c>
      <c r="E956" t="inlineStr">
        <is>
          <t>ÅNGE</t>
        </is>
      </c>
      <c r="G956" t="n">
        <v>2.5</v>
      </c>
      <c r="H956" t="n">
        <v>0</v>
      </c>
      <c r="I956" t="n">
        <v>0</v>
      </c>
      <c r="J956" t="n">
        <v>0</v>
      </c>
      <c r="K956" t="n">
        <v>0</v>
      </c>
      <c r="L956" t="n">
        <v>0</v>
      </c>
      <c r="M956" t="n">
        <v>0</v>
      </c>
      <c r="N956" t="n">
        <v>0</v>
      </c>
      <c r="O956" t="n">
        <v>0</v>
      </c>
      <c r="P956" t="n">
        <v>0</v>
      </c>
      <c r="Q956" t="n">
        <v>0</v>
      </c>
      <c r="R956" s="2" t="inlineStr"/>
    </row>
    <row r="957" ht="15" customHeight="1">
      <c r="A957" t="inlineStr">
        <is>
          <t>A 38711-2025</t>
        </is>
      </c>
      <c r="B957" s="1" t="n">
        <v>45886.34450231482</v>
      </c>
      <c r="C957" s="1" t="n">
        <v>45911</v>
      </c>
      <c r="D957" t="inlineStr">
        <is>
          <t>VÄSTERNORRLANDS LÄN</t>
        </is>
      </c>
      <c r="E957" t="inlineStr">
        <is>
          <t>ÅNGE</t>
        </is>
      </c>
      <c r="F957" t="inlineStr">
        <is>
          <t>SCA</t>
        </is>
      </c>
      <c r="G957" t="n">
        <v>3.6</v>
      </c>
      <c r="H957" t="n">
        <v>0</v>
      </c>
      <c r="I957" t="n">
        <v>0</v>
      </c>
      <c r="J957" t="n">
        <v>0</v>
      </c>
      <c r="K957" t="n">
        <v>0</v>
      </c>
      <c r="L957" t="n">
        <v>0</v>
      </c>
      <c r="M957" t="n">
        <v>0</v>
      </c>
      <c r="N957" t="n">
        <v>0</v>
      </c>
      <c r="O957" t="n">
        <v>0</v>
      </c>
      <c r="P957" t="n">
        <v>0</v>
      </c>
      <c r="Q957" t="n">
        <v>0</v>
      </c>
      <c r="R957" s="2" t="inlineStr"/>
    </row>
    <row r="958" ht="15" customHeight="1">
      <c r="A958" t="inlineStr">
        <is>
          <t>A 44639-2023</t>
        </is>
      </c>
      <c r="B958" s="1" t="n">
        <v>45184</v>
      </c>
      <c r="C958" s="1" t="n">
        <v>45911</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13875-2022</t>
        </is>
      </c>
      <c r="B959" s="1" t="n">
        <v>44649</v>
      </c>
      <c r="C959" s="1" t="n">
        <v>45911</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52637-2020</t>
        </is>
      </c>
      <c r="B960" s="1" t="n">
        <v>44118</v>
      </c>
      <c r="C960" s="1" t="n">
        <v>45911</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34019-2025</t>
        </is>
      </c>
      <c r="B961" s="1" t="n">
        <v>45845.34416666667</v>
      </c>
      <c r="C961" s="1" t="n">
        <v>45911</v>
      </c>
      <c r="D961" t="inlineStr">
        <is>
          <t>VÄSTERNORRLANDS LÄN</t>
        </is>
      </c>
      <c r="E961" t="inlineStr">
        <is>
          <t>ÅNGE</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17009-2023</t>
        </is>
      </c>
      <c r="B962" s="1" t="n">
        <v>45033.9455787037</v>
      </c>
      <c r="C962" s="1" t="n">
        <v>45911</v>
      </c>
      <c r="D962" t="inlineStr">
        <is>
          <t>VÄSTERNORRLANDS LÄN</t>
        </is>
      </c>
      <c r="E962" t="inlineStr">
        <is>
          <t>ÅNGE</t>
        </is>
      </c>
      <c r="F962" t="inlineStr">
        <is>
          <t>SCA</t>
        </is>
      </c>
      <c r="G962" t="n">
        <v>5.8</v>
      </c>
      <c r="H962" t="n">
        <v>0</v>
      </c>
      <c r="I962" t="n">
        <v>0</v>
      </c>
      <c r="J962" t="n">
        <v>0</v>
      </c>
      <c r="K962" t="n">
        <v>0</v>
      </c>
      <c r="L962" t="n">
        <v>0</v>
      </c>
      <c r="M962" t="n">
        <v>0</v>
      </c>
      <c r="N962" t="n">
        <v>0</v>
      </c>
      <c r="O962" t="n">
        <v>0</v>
      </c>
      <c r="P962" t="n">
        <v>0</v>
      </c>
      <c r="Q962" t="n">
        <v>0</v>
      </c>
      <c r="R962" s="2" t="inlineStr"/>
    </row>
    <row r="963" ht="15" customHeight="1">
      <c r="A963" t="inlineStr">
        <is>
          <t>A 60578-2024</t>
        </is>
      </c>
      <c r="B963" s="1" t="n">
        <v>45644.34434027778</v>
      </c>
      <c r="C963" s="1" t="n">
        <v>45911</v>
      </c>
      <c r="D963" t="inlineStr">
        <is>
          <t>VÄSTERNORRLANDS LÄN</t>
        </is>
      </c>
      <c r="E963" t="inlineStr">
        <is>
          <t>ÅNGE</t>
        </is>
      </c>
      <c r="F963" t="inlineStr">
        <is>
          <t>SCA</t>
        </is>
      </c>
      <c r="G963" t="n">
        <v>5.8</v>
      </c>
      <c r="H963" t="n">
        <v>0</v>
      </c>
      <c r="I963" t="n">
        <v>0</v>
      </c>
      <c r="J963" t="n">
        <v>0</v>
      </c>
      <c r="K963" t="n">
        <v>0</v>
      </c>
      <c r="L963" t="n">
        <v>0</v>
      </c>
      <c r="M963" t="n">
        <v>0</v>
      </c>
      <c r="N963" t="n">
        <v>0</v>
      </c>
      <c r="O963" t="n">
        <v>0</v>
      </c>
      <c r="P963" t="n">
        <v>0</v>
      </c>
      <c r="Q963" t="n">
        <v>0</v>
      </c>
      <c r="R963" s="2" t="inlineStr"/>
    </row>
    <row r="964" ht="15" customHeight="1">
      <c r="A964" t="inlineStr">
        <is>
          <t>A 34031-2025</t>
        </is>
      </c>
      <c r="B964" s="1" t="n">
        <v>45845.36508101852</v>
      </c>
      <c r="C964" s="1" t="n">
        <v>45911</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24977-2021</t>
        </is>
      </c>
      <c r="B965" s="1" t="n">
        <v>44341.51386574074</v>
      </c>
      <c r="C965" s="1" t="n">
        <v>45911</v>
      </c>
      <c r="D965" t="inlineStr">
        <is>
          <t>VÄSTERNORRLANDS LÄN</t>
        </is>
      </c>
      <c r="E965" t="inlineStr">
        <is>
          <t>ÅNGE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25034-2023</t>
        </is>
      </c>
      <c r="B966" s="1" t="n">
        <v>45085</v>
      </c>
      <c r="C966" s="1" t="n">
        <v>45911</v>
      </c>
      <c r="D966" t="inlineStr">
        <is>
          <t>VÄSTERNORRLANDS LÄN</t>
        </is>
      </c>
      <c r="E966" t="inlineStr">
        <is>
          <t>ÅNGE</t>
        </is>
      </c>
      <c r="G966" t="n">
        <v>0.6</v>
      </c>
      <c r="H966" t="n">
        <v>0</v>
      </c>
      <c r="I966" t="n">
        <v>0</v>
      </c>
      <c r="J966" t="n">
        <v>0</v>
      </c>
      <c r="K966" t="n">
        <v>0</v>
      </c>
      <c r="L966" t="n">
        <v>0</v>
      </c>
      <c r="M966" t="n">
        <v>0</v>
      </c>
      <c r="N966" t="n">
        <v>0</v>
      </c>
      <c r="O966" t="n">
        <v>0</v>
      </c>
      <c r="P966" t="n">
        <v>0</v>
      </c>
      <c r="Q966" t="n">
        <v>0</v>
      </c>
      <c r="R966" s="2" t="inlineStr"/>
    </row>
    <row r="967" ht="15" customHeight="1">
      <c r="A967" t="inlineStr">
        <is>
          <t>A 38715-2025</t>
        </is>
      </c>
      <c r="B967" s="1" t="n">
        <v>45886.34501157407</v>
      </c>
      <c r="C967" s="1" t="n">
        <v>45911</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4876-2023</t>
        </is>
      </c>
      <c r="B968" s="1" t="n">
        <v>44957.94023148148</v>
      </c>
      <c r="C968" s="1" t="n">
        <v>45911</v>
      </c>
      <c r="D968" t="inlineStr">
        <is>
          <t>VÄSTERNORRLANDS LÄN</t>
        </is>
      </c>
      <c r="E968" t="inlineStr">
        <is>
          <t>ÅNGE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3362-2023</t>
        </is>
      </c>
      <c r="B969" s="1" t="n">
        <v>44945</v>
      </c>
      <c r="C969" s="1" t="n">
        <v>45911</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44415-2021</t>
        </is>
      </c>
      <c r="B970" s="1" t="n">
        <v>44435</v>
      </c>
      <c r="C970" s="1" t="n">
        <v>45911</v>
      </c>
      <c r="D970" t="inlineStr">
        <is>
          <t>VÄSTERNORRLANDS LÄN</t>
        </is>
      </c>
      <c r="E970" t="inlineStr">
        <is>
          <t>ÅNGE</t>
        </is>
      </c>
      <c r="G970" t="n">
        <v>5.2</v>
      </c>
      <c r="H970" t="n">
        <v>0</v>
      </c>
      <c r="I970" t="n">
        <v>0</v>
      </c>
      <c r="J970" t="n">
        <v>0</v>
      </c>
      <c r="K970" t="n">
        <v>0</v>
      </c>
      <c r="L970" t="n">
        <v>0</v>
      </c>
      <c r="M970" t="n">
        <v>0</v>
      </c>
      <c r="N970" t="n">
        <v>0</v>
      </c>
      <c r="O970" t="n">
        <v>0</v>
      </c>
      <c r="P970" t="n">
        <v>0</v>
      </c>
      <c r="Q970" t="n">
        <v>0</v>
      </c>
      <c r="R970" s="2" t="inlineStr"/>
    </row>
    <row r="971" ht="15" customHeight="1">
      <c r="A971" t="inlineStr">
        <is>
          <t>A 22597-2021</t>
        </is>
      </c>
      <c r="B971" s="1" t="n">
        <v>44326</v>
      </c>
      <c r="C971" s="1" t="n">
        <v>45911</v>
      </c>
      <c r="D971" t="inlineStr">
        <is>
          <t>VÄSTERNORRLANDS LÄN</t>
        </is>
      </c>
      <c r="E971" t="inlineStr">
        <is>
          <t>ÅNGE</t>
        </is>
      </c>
      <c r="G971" t="n">
        <v>0.9</v>
      </c>
      <c r="H971" t="n">
        <v>0</v>
      </c>
      <c r="I971" t="n">
        <v>0</v>
      </c>
      <c r="J971" t="n">
        <v>0</v>
      </c>
      <c r="K971" t="n">
        <v>0</v>
      </c>
      <c r="L971" t="n">
        <v>0</v>
      </c>
      <c r="M971" t="n">
        <v>0</v>
      </c>
      <c r="N971" t="n">
        <v>0</v>
      </c>
      <c r="O971" t="n">
        <v>0</v>
      </c>
      <c r="P971" t="n">
        <v>0</v>
      </c>
      <c r="Q971" t="n">
        <v>0</v>
      </c>
      <c r="R971" s="2" t="inlineStr"/>
    </row>
    <row r="972" ht="15" customHeight="1">
      <c r="A972" t="inlineStr">
        <is>
          <t>A 10282-2025</t>
        </is>
      </c>
      <c r="B972" s="1" t="n">
        <v>45720.40659722222</v>
      </c>
      <c r="C972" s="1" t="n">
        <v>45911</v>
      </c>
      <c r="D972" t="inlineStr">
        <is>
          <t>VÄSTERNORRLANDS LÄN</t>
        </is>
      </c>
      <c r="E972" t="inlineStr">
        <is>
          <t>ÅNGE</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137-2025</t>
        </is>
      </c>
      <c r="B973" s="1" t="n">
        <v>45659.57684027778</v>
      </c>
      <c r="C973" s="1" t="n">
        <v>45911</v>
      </c>
      <c r="D973" t="inlineStr">
        <is>
          <t>VÄSTERNORRLANDS LÄN</t>
        </is>
      </c>
      <c r="E973" t="inlineStr">
        <is>
          <t>ÅNGE</t>
        </is>
      </c>
      <c r="G973" t="n">
        <v>0.2</v>
      </c>
      <c r="H973" t="n">
        <v>0</v>
      </c>
      <c r="I973" t="n">
        <v>0</v>
      </c>
      <c r="J973" t="n">
        <v>0</v>
      </c>
      <c r="K973" t="n">
        <v>0</v>
      </c>
      <c r="L973" t="n">
        <v>0</v>
      </c>
      <c r="M973" t="n">
        <v>0</v>
      </c>
      <c r="N973" t="n">
        <v>0</v>
      </c>
      <c r="O973" t="n">
        <v>0</v>
      </c>
      <c r="P973" t="n">
        <v>0</v>
      </c>
      <c r="Q973" t="n">
        <v>0</v>
      </c>
      <c r="R973" s="2" t="inlineStr"/>
    </row>
    <row r="974" ht="15" customHeight="1">
      <c r="A974" t="inlineStr">
        <is>
          <t>A 39434-2025</t>
        </is>
      </c>
      <c r="B974" s="1" t="n">
        <v>45889.67811342593</v>
      </c>
      <c r="C974" s="1" t="n">
        <v>45911</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10071-2023</t>
        </is>
      </c>
      <c r="B975" s="1" t="n">
        <v>44985.92418981482</v>
      </c>
      <c r="C975" s="1" t="n">
        <v>45911</v>
      </c>
      <c r="D975" t="inlineStr">
        <is>
          <t>VÄSTERNORRLANDS LÄN</t>
        </is>
      </c>
      <c r="E975" t="inlineStr">
        <is>
          <t>ÅNGE</t>
        </is>
      </c>
      <c r="G975" t="n">
        <v>1</v>
      </c>
      <c r="H975" t="n">
        <v>0</v>
      </c>
      <c r="I975" t="n">
        <v>0</v>
      </c>
      <c r="J975" t="n">
        <v>0</v>
      </c>
      <c r="K975" t="n">
        <v>0</v>
      </c>
      <c r="L975" t="n">
        <v>0</v>
      </c>
      <c r="M975" t="n">
        <v>0</v>
      </c>
      <c r="N975" t="n">
        <v>0</v>
      </c>
      <c r="O975" t="n">
        <v>0</v>
      </c>
      <c r="P975" t="n">
        <v>0</v>
      </c>
      <c r="Q975" t="n">
        <v>0</v>
      </c>
      <c r="R975" s="2" t="inlineStr"/>
    </row>
    <row r="976" ht="15" customHeight="1">
      <c r="A976" t="inlineStr">
        <is>
          <t>A 34785-2025</t>
        </is>
      </c>
      <c r="B976" s="1" t="n">
        <v>45848.67771990741</v>
      </c>
      <c r="C976" s="1" t="n">
        <v>45911</v>
      </c>
      <c r="D976" t="inlineStr">
        <is>
          <t>VÄSTERNORRLANDS LÄN</t>
        </is>
      </c>
      <c r="E976" t="inlineStr">
        <is>
          <t>ÅNGE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5455-2023</t>
        </is>
      </c>
      <c r="B977" s="1" t="n">
        <v>44959.93983796296</v>
      </c>
      <c r="C977" s="1" t="n">
        <v>45911</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59986-2021</t>
        </is>
      </c>
      <c r="B978" s="1" t="n">
        <v>44494</v>
      </c>
      <c r="C978" s="1" t="n">
        <v>45911</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39444-2025</t>
        </is>
      </c>
      <c r="B979" s="1" t="n">
        <v>45889.69826388889</v>
      </c>
      <c r="C979" s="1" t="n">
        <v>45911</v>
      </c>
      <c r="D979" t="inlineStr">
        <is>
          <t>VÄSTERNORRLANDS LÄN</t>
        </is>
      </c>
      <c r="E979" t="inlineStr">
        <is>
          <t>ÅNGE</t>
        </is>
      </c>
      <c r="F979" t="inlineStr">
        <is>
          <t>SCA</t>
        </is>
      </c>
      <c r="G979" t="n">
        <v>7.9</v>
      </c>
      <c r="H979" t="n">
        <v>0</v>
      </c>
      <c r="I979" t="n">
        <v>0</v>
      </c>
      <c r="J979" t="n">
        <v>0</v>
      </c>
      <c r="K979" t="n">
        <v>0</v>
      </c>
      <c r="L979" t="n">
        <v>0</v>
      </c>
      <c r="M979" t="n">
        <v>0</v>
      </c>
      <c r="N979" t="n">
        <v>0</v>
      </c>
      <c r="O979" t="n">
        <v>0</v>
      </c>
      <c r="P979" t="n">
        <v>0</v>
      </c>
      <c r="Q979" t="n">
        <v>0</v>
      </c>
      <c r="R979" s="2" t="inlineStr"/>
    </row>
    <row r="980" ht="15" customHeight="1">
      <c r="A980" t="inlineStr">
        <is>
          <t>A 34629-2025</t>
        </is>
      </c>
      <c r="B980" s="1" t="n">
        <v>45847.93006944445</v>
      </c>
      <c r="C980" s="1" t="n">
        <v>45911</v>
      </c>
      <c r="D980" t="inlineStr">
        <is>
          <t>VÄSTERNORRLANDS LÄN</t>
        </is>
      </c>
      <c r="E980" t="inlineStr">
        <is>
          <t>ÅNGE</t>
        </is>
      </c>
      <c r="G980" t="n">
        <v>0.2</v>
      </c>
      <c r="H980" t="n">
        <v>0</v>
      </c>
      <c r="I980" t="n">
        <v>0</v>
      </c>
      <c r="J980" t="n">
        <v>0</v>
      </c>
      <c r="K980" t="n">
        <v>0</v>
      </c>
      <c r="L980" t="n">
        <v>0</v>
      </c>
      <c r="M980" t="n">
        <v>0</v>
      </c>
      <c r="N980" t="n">
        <v>0</v>
      </c>
      <c r="O980" t="n">
        <v>0</v>
      </c>
      <c r="P980" t="n">
        <v>0</v>
      </c>
      <c r="Q980" t="n">
        <v>0</v>
      </c>
      <c r="R980" s="2" t="inlineStr"/>
    </row>
    <row r="981" ht="15" customHeight="1">
      <c r="A981" t="inlineStr">
        <is>
          <t>A 34591-2025</t>
        </is>
      </c>
      <c r="B981" s="1" t="n">
        <v>45847.62920138889</v>
      </c>
      <c r="C981" s="1" t="n">
        <v>45911</v>
      </c>
      <c r="D981" t="inlineStr">
        <is>
          <t>VÄSTERNORRLANDS LÄN</t>
        </is>
      </c>
      <c r="E981" t="inlineStr">
        <is>
          <t>ÅNGE</t>
        </is>
      </c>
      <c r="G981" t="n">
        <v>0.9</v>
      </c>
      <c r="H981" t="n">
        <v>0</v>
      </c>
      <c r="I981" t="n">
        <v>0</v>
      </c>
      <c r="J981" t="n">
        <v>0</v>
      </c>
      <c r="K981" t="n">
        <v>0</v>
      </c>
      <c r="L981" t="n">
        <v>0</v>
      </c>
      <c r="M981" t="n">
        <v>0</v>
      </c>
      <c r="N981" t="n">
        <v>0</v>
      </c>
      <c r="O981" t="n">
        <v>0</v>
      </c>
      <c r="P981" t="n">
        <v>0</v>
      </c>
      <c r="Q981" t="n">
        <v>0</v>
      </c>
      <c r="R981" s="2" t="inlineStr"/>
    </row>
    <row r="982" ht="15" customHeight="1">
      <c r="A982" t="inlineStr">
        <is>
          <t>A 34593-2025</t>
        </is>
      </c>
      <c r="B982" s="1" t="n">
        <v>45847.6316087963</v>
      </c>
      <c r="C982" s="1" t="n">
        <v>45911</v>
      </c>
      <c r="D982" t="inlineStr">
        <is>
          <t>VÄSTERNORRLANDS LÄN</t>
        </is>
      </c>
      <c r="E982" t="inlineStr">
        <is>
          <t>ÅNGE</t>
        </is>
      </c>
      <c r="G982" t="n">
        <v>5.3</v>
      </c>
      <c r="H982" t="n">
        <v>0</v>
      </c>
      <c r="I982" t="n">
        <v>0</v>
      </c>
      <c r="J982" t="n">
        <v>0</v>
      </c>
      <c r="K982" t="n">
        <v>0</v>
      </c>
      <c r="L982" t="n">
        <v>0</v>
      </c>
      <c r="M982" t="n">
        <v>0</v>
      </c>
      <c r="N982" t="n">
        <v>0</v>
      </c>
      <c r="O982" t="n">
        <v>0</v>
      </c>
      <c r="P982" t="n">
        <v>0</v>
      </c>
      <c r="Q982" t="n">
        <v>0</v>
      </c>
      <c r="R982" s="2" t="inlineStr"/>
    </row>
    <row r="983" ht="15" customHeight="1">
      <c r="A983" t="inlineStr">
        <is>
          <t>A 16362-2023</t>
        </is>
      </c>
      <c r="B983" s="1" t="n">
        <v>45028.9250462963</v>
      </c>
      <c r="C983" s="1" t="n">
        <v>45911</v>
      </c>
      <c r="D983" t="inlineStr">
        <is>
          <t>VÄSTERNORRLANDS LÄN</t>
        </is>
      </c>
      <c r="E983" t="inlineStr">
        <is>
          <t>ÅNGE</t>
        </is>
      </c>
      <c r="G983" t="n">
        <v>4.8</v>
      </c>
      <c r="H983" t="n">
        <v>0</v>
      </c>
      <c r="I983" t="n">
        <v>0</v>
      </c>
      <c r="J983" t="n">
        <v>0</v>
      </c>
      <c r="K983" t="n">
        <v>0</v>
      </c>
      <c r="L983" t="n">
        <v>0</v>
      </c>
      <c r="M983" t="n">
        <v>0</v>
      </c>
      <c r="N983" t="n">
        <v>0</v>
      </c>
      <c r="O983" t="n">
        <v>0</v>
      </c>
      <c r="P983" t="n">
        <v>0</v>
      </c>
      <c r="Q983" t="n">
        <v>0</v>
      </c>
      <c r="R983" s="2" t="inlineStr"/>
    </row>
    <row r="984" ht="15" customHeight="1">
      <c r="A984" t="inlineStr">
        <is>
          <t>A 50235-2021</t>
        </is>
      </c>
      <c r="B984" s="1" t="n">
        <v>44457</v>
      </c>
      <c r="C984" s="1" t="n">
        <v>45911</v>
      </c>
      <c r="D984" t="inlineStr">
        <is>
          <t>VÄSTERNORRLANDS LÄN</t>
        </is>
      </c>
      <c r="E984" t="inlineStr">
        <is>
          <t>ÅNGE</t>
        </is>
      </c>
      <c r="G984" t="n">
        <v>3.8</v>
      </c>
      <c r="H984" t="n">
        <v>0</v>
      </c>
      <c r="I984" t="n">
        <v>0</v>
      </c>
      <c r="J984" t="n">
        <v>0</v>
      </c>
      <c r="K984" t="n">
        <v>0</v>
      </c>
      <c r="L984" t="n">
        <v>0</v>
      </c>
      <c r="M984" t="n">
        <v>0</v>
      </c>
      <c r="N984" t="n">
        <v>0</v>
      </c>
      <c r="O984" t="n">
        <v>0</v>
      </c>
      <c r="P984" t="n">
        <v>0</v>
      </c>
      <c r="Q984" t="n">
        <v>0</v>
      </c>
      <c r="R984" s="2" t="inlineStr"/>
    </row>
    <row r="985" ht="15" customHeight="1">
      <c r="A985" t="inlineStr">
        <is>
          <t>A 47950-2024</t>
        </is>
      </c>
      <c r="B985" s="1" t="n">
        <v>45589.36511574074</v>
      </c>
      <c r="C985" s="1" t="n">
        <v>45911</v>
      </c>
      <c r="D985" t="inlineStr">
        <is>
          <t>VÄSTERNORRLANDS LÄN</t>
        </is>
      </c>
      <c r="E985" t="inlineStr">
        <is>
          <t>ÅNGE</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28779-2023</t>
        </is>
      </c>
      <c r="B986" s="1" t="n">
        <v>45104.34314814815</v>
      </c>
      <c r="C986" s="1" t="n">
        <v>45911</v>
      </c>
      <c r="D986" t="inlineStr">
        <is>
          <t>VÄSTERNORRLANDS LÄN</t>
        </is>
      </c>
      <c r="E986" t="inlineStr">
        <is>
          <t>ÅNGE</t>
        </is>
      </c>
      <c r="G986" t="n">
        <v>1.3</v>
      </c>
      <c r="H986" t="n">
        <v>0</v>
      </c>
      <c r="I986" t="n">
        <v>0</v>
      </c>
      <c r="J986" t="n">
        <v>0</v>
      </c>
      <c r="K986" t="n">
        <v>0</v>
      </c>
      <c r="L986" t="n">
        <v>0</v>
      </c>
      <c r="M986" t="n">
        <v>0</v>
      </c>
      <c r="N986" t="n">
        <v>0</v>
      </c>
      <c r="O986" t="n">
        <v>0</v>
      </c>
      <c r="P986" t="n">
        <v>0</v>
      </c>
      <c r="Q986" t="n">
        <v>0</v>
      </c>
      <c r="R986" s="2" t="inlineStr"/>
    </row>
    <row r="987" ht="15" customHeight="1">
      <c r="A987" t="inlineStr">
        <is>
          <t>A 63607-2021</t>
        </is>
      </c>
      <c r="B987" s="1" t="n">
        <v>44508.94650462963</v>
      </c>
      <c r="C987" s="1" t="n">
        <v>45911</v>
      </c>
      <c r="D987" t="inlineStr">
        <is>
          <t>VÄSTERNORRLANDS LÄN</t>
        </is>
      </c>
      <c r="E987" t="inlineStr">
        <is>
          <t>ÅNGE</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30235-2024</t>
        </is>
      </c>
      <c r="B988" s="1" t="n">
        <v>45490.49040509259</v>
      </c>
      <c r="C988" s="1" t="n">
        <v>45911</v>
      </c>
      <c r="D988" t="inlineStr">
        <is>
          <t>VÄSTERNORRLANDS LÄN</t>
        </is>
      </c>
      <c r="E988" t="inlineStr">
        <is>
          <t>ÅNGE</t>
        </is>
      </c>
      <c r="G988" t="n">
        <v>3.7</v>
      </c>
      <c r="H988" t="n">
        <v>0</v>
      </c>
      <c r="I988" t="n">
        <v>0</v>
      </c>
      <c r="J988" t="n">
        <v>0</v>
      </c>
      <c r="K988" t="n">
        <v>0</v>
      </c>
      <c r="L988" t="n">
        <v>0</v>
      </c>
      <c r="M988" t="n">
        <v>0</v>
      </c>
      <c r="N988" t="n">
        <v>0</v>
      </c>
      <c r="O988" t="n">
        <v>0</v>
      </c>
      <c r="P988" t="n">
        <v>0</v>
      </c>
      <c r="Q988" t="n">
        <v>0</v>
      </c>
      <c r="R988" s="2" t="inlineStr"/>
    </row>
    <row r="989" ht="15" customHeight="1">
      <c r="A989" t="inlineStr">
        <is>
          <t>A 11299-2023</t>
        </is>
      </c>
      <c r="B989" s="1" t="n">
        <v>44993.01074074074</v>
      </c>
      <c r="C989" s="1" t="n">
        <v>45911</v>
      </c>
      <c r="D989" t="inlineStr">
        <is>
          <t>VÄSTERNORRLANDS LÄN</t>
        </is>
      </c>
      <c r="E989" t="inlineStr">
        <is>
          <t>ÅNGE</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11309-2023</t>
        </is>
      </c>
      <c r="B990" s="1" t="n">
        <v>44993.0118287037</v>
      </c>
      <c r="C990" s="1" t="n">
        <v>45911</v>
      </c>
      <c r="D990" t="inlineStr">
        <is>
          <t>VÄSTERNORRLANDS LÄN</t>
        </is>
      </c>
      <c r="E990" t="inlineStr">
        <is>
          <t>ÅNGE</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62834-2021</t>
        </is>
      </c>
      <c r="B991" s="1" t="n">
        <v>44503</v>
      </c>
      <c r="C991" s="1" t="n">
        <v>45911</v>
      </c>
      <c r="D991" t="inlineStr">
        <is>
          <t>VÄSTERNORRLANDS LÄN</t>
        </is>
      </c>
      <c r="E991" t="inlineStr">
        <is>
          <t>ÅNGE</t>
        </is>
      </c>
      <c r="F991" t="inlineStr">
        <is>
          <t>Övriga statliga verk och myndigheter</t>
        </is>
      </c>
      <c r="G991" t="n">
        <v>2.6</v>
      </c>
      <c r="H991" t="n">
        <v>0</v>
      </c>
      <c r="I991" t="n">
        <v>0</v>
      </c>
      <c r="J991" t="n">
        <v>0</v>
      </c>
      <c r="K991" t="n">
        <v>0</v>
      </c>
      <c r="L991" t="n">
        <v>0</v>
      </c>
      <c r="M991" t="n">
        <v>0</v>
      </c>
      <c r="N991" t="n">
        <v>0</v>
      </c>
      <c r="O991" t="n">
        <v>0</v>
      </c>
      <c r="P991" t="n">
        <v>0</v>
      </c>
      <c r="Q991" t="n">
        <v>0</v>
      </c>
      <c r="R991" s="2" t="inlineStr"/>
    </row>
    <row r="992" ht="15" customHeight="1">
      <c r="A992" t="inlineStr">
        <is>
          <t>A 10557-2023</t>
        </is>
      </c>
      <c r="B992" s="1" t="n">
        <v>44987</v>
      </c>
      <c r="C992" s="1" t="n">
        <v>45911</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39729-2025</t>
        </is>
      </c>
      <c r="B993" s="1" t="n">
        <v>45891.34512731482</v>
      </c>
      <c r="C993" s="1" t="n">
        <v>45911</v>
      </c>
      <c r="D993" t="inlineStr">
        <is>
          <t>VÄSTERNORRLANDS LÄN</t>
        </is>
      </c>
      <c r="E993" t="inlineStr">
        <is>
          <t>ÅNGE</t>
        </is>
      </c>
      <c r="G993" t="n">
        <v>2.3</v>
      </c>
      <c r="H993" t="n">
        <v>0</v>
      </c>
      <c r="I993" t="n">
        <v>0</v>
      </c>
      <c r="J993" t="n">
        <v>0</v>
      </c>
      <c r="K993" t="n">
        <v>0</v>
      </c>
      <c r="L993" t="n">
        <v>0</v>
      </c>
      <c r="M993" t="n">
        <v>0</v>
      </c>
      <c r="N993" t="n">
        <v>0</v>
      </c>
      <c r="O993" t="n">
        <v>0</v>
      </c>
      <c r="P993" t="n">
        <v>0</v>
      </c>
      <c r="Q993" t="n">
        <v>0</v>
      </c>
      <c r="R993" s="2" t="inlineStr"/>
    </row>
    <row r="994" ht="15" customHeight="1">
      <c r="A994" t="inlineStr">
        <is>
          <t>A 8418-2023</t>
        </is>
      </c>
      <c r="B994" s="1" t="n">
        <v>44971</v>
      </c>
      <c r="C994" s="1" t="n">
        <v>45911</v>
      </c>
      <c r="D994" t="inlineStr">
        <is>
          <t>VÄSTERNORRLANDS LÄN</t>
        </is>
      </c>
      <c r="E994" t="inlineStr">
        <is>
          <t>ÅNGE</t>
        </is>
      </c>
      <c r="G994" t="n">
        <v>8.6</v>
      </c>
      <c r="H994" t="n">
        <v>0</v>
      </c>
      <c r="I994" t="n">
        <v>0</v>
      </c>
      <c r="J994" t="n">
        <v>0</v>
      </c>
      <c r="K994" t="n">
        <v>0</v>
      </c>
      <c r="L994" t="n">
        <v>0</v>
      </c>
      <c r="M994" t="n">
        <v>0</v>
      </c>
      <c r="N994" t="n">
        <v>0</v>
      </c>
      <c r="O994" t="n">
        <v>0</v>
      </c>
      <c r="P994" t="n">
        <v>0</v>
      </c>
      <c r="Q994" t="n">
        <v>0</v>
      </c>
      <c r="R994" s="2" t="inlineStr"/>
    </row>
    <row r="995" ht="15" customHeight="1">
      <c r="A995" t="inlineStr">
        <is>
          <t>A 4006-2022</t>
        </is>
      </c>
      <c r="B995" s="1" t="n">
        <v>44587.92019675926</v>
      </c>
      <c r="C995" s="1" t="n">
        <v>45911</v>
      </c>
      <c r="D995" t="inlineStr">
        <is>
          <t>VÄSTERNORRLANDS LÄN</t>
        </is>
      </c>
      <c r="E995" t="inlineStr">
        <is>
          <t>ÅNGE</t>
        </is>
      </c>
      <c r="G995" t="n">
        <v>5</v>
      </c>
      <c r="H995" t="n">
        <v>0</v>
      </c>
      <c r="I995" t="n">
        <v>0</v>
      </c>
      <c r="J995" t="n">
        <v>0</v>
      </c>
      <c r="K995" t="n">
        <v>0</v>
      </c>
      <c r="L995" t="n">
        <v>0</v>
      </c>
      <c r="M995" t="n">
        <v>0</v>
      </c>
      <c r="N995" t="n">
        <v>0</v>
      </c>
      <c r="O995" t="n">
        <v>0</v>
      </c>
      <c r="P995" t="n">
        <v>0</v>
      </c>
      <c r="Q995" t="n">
        <v>0</v>
      </c>
      <c r="R995" s="2" t="inlineStr"/>
    </row>
    <row r="996" ht="15" customHeight="1">
      <c r="A996" t="inlineStr">
        <is>
          <t>A 41370-2023</t>
        </is>
      </c>
      <c r="B996" s="1" t="n">
        <v>45174.85951388889</v>
      </c>
      <c r="C996" s="1" t="n">
        <v>45911</v>
      </c>
      <c r="D996" t="inlineStr">
        <is>
          <t>VÄSTERNORRLANDS LÄN</t>
        </is>
      </c>
      <c r="E996" t="inlineStr">
        <is>
          <t>ÅNGE</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14927-2025</t>
        </is>
      </c>
      <c r="B997" s="1" t="n">
        <v>45743</v>
      </c>
      <c r="C997" s="1" t="n">
        <v>45911</v>
      </c>
      <c r="D997" t="inlineStr">
        <is>
          <t>VÄSTERNORRLANDS LÄN</t>
        </is>
      </c>
      <c r="E997" t="inlineStr">
        <is>
          <t>ÅNGE</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14933-2025</t>
        </is>
      </c>
      <c r="B998" s="1" t="n">
        <v>45743.55380787037</v>
      </c>
      <c r="C998" s="1" t="n">
        <v>45911</v>
      </c>
      <c r="D998" t="inlineStr">
        <is>
          <t>VÄSTERNORRLANDS LÄN</t>
        </is>
      </c>
      <c r="E998" t="inlineStr">
        <is>
          <t>ÅNGE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38284-2022</t>
        </is>
      </c>
      <c r="B999" s="1" t="n">
        <v>44812.55149305556</v>
      </c>
      <c r="C999" s="1" t="n">
        <v>45911</v>
      </c>
      <c r="D999" t="inlineStr">
        <is>
          <t>VÄSTERNORRLANDS LÄN</t>
        </is>
      </c>
      <c r="E999" t="inlineStr">
        <is>
          <t>ÅNGE</t>
        </is>
      </c>
      <c r="G999" t="n">
        <v>2.4</v>
      </c>
      <c r="H999" t="n">
        <v>0</v>
      </c>
      <c r="I999" t="n">
        <v>0</v>
      </c>
      <c r="J999" t="n">
        <v>0</v>
      </c>
      <c r="K999" t="n">
        <v>0</v>
      </c>
      <c r="L999" t="n">
        <v>0</v>
      </c>
      <c r="M999" t="n">
        <v>0</v>
      </c>
      <c r="N999" t="n">
        <v>0</v>
      </c>
      <c r="O999" t="n">
        <v>0</v>
      </c>
      <c r="P999" t="n">
        <v>0</v>
      </c>
      <c r="Q999" t="n">
        <v>0</v>
      </c>
      <c r="R999" s="2" t="inlineStr"/>
    </row>
    <row r="1000" ht="15" customHeight="1">
      <c r="A1000" t="inlineStr">
        <is>
          <t>A 30353-2024</t>
        </is>
      </c>
      <c r="B1000" s="1" t="n">
        <v>45490.95567129629</v>
      </c>
      <c r="C1000" s="1" t="n">
        <v>45911</v>
      </c>
      <c r="D1000" t="inlineStr">
        <is>
          <t>VÄSTERNORRLANDS LÄN</t>
        </is>
      </c>
      <c r="E1000" t="inlineStr">
        <is>
          <t>ÅNGE</t>
        </is>
      </c>
      <c r="F1000" t="inlineStr">
        <is>
          <t>SCA</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48725-2024</t>
        </is>
      </c>
      <c r="B1001" s="1" t="n">
        <v>45593.55793981482</v>
      </c>
      <c r="C1001" s="1" t="n">
        <v>45911</v>
      </c>
      <c r="D1001" t="inlineStr">
        <is>
          <t>VÄSTERNORRLANDS LÄN</t>
        </is>
      </c>
      <c r="E1001" t="inlineStr">
        <is>
          <t>ÅNGE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16606-2023</t>
        </is>
      </c>
      <c r="B1002" s="1" t="n">
        <v>45030.3990625</v>
      </c>
      <c r="C1002" s="1" t="n">
        <v>45911</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35143-2025</t>
        </is>
      </c>
      <c r="B1003" s="1" t="n">
        <v>45852.65660879629</v>
      </c>
      <c r="C1003" s="1" t="n">
        <v>45911</v>
      </c>
      <c r="D1003" t="inlineStr">
        <is>
          <t>VÄSTERNORRLANDS LÄN</t>
        </is>
      </c>
      <c r="E1003" t="inlineStr">
        <is>
          <t>ÅNGE</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39768-2025</t>
        </is>
      </c>
      <c r="B1004" s="1" t="n">
        <v>45891.44842592593</v>
      </c>
      <c r="C1004" s="1" t="n">
        <v>45911</v>
      </c>
      <c r="D1004" t="inlineStr">
        <is>
          <t>VÄSTERNORRLANDS LÄN</t>
        </is>
      </c>
      <c r="E1004" t="inlineStr">
        <is>
          <t>ÅNGE</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35061-2025</t>
        </is>
      </c>
      <c r="B1005" s="1" t="n">
        <v>45852</v>
      </c>
      <c r="C1005" s="1" t="n">
        <v>45911</v>
      </c>
      <c r="D1005" t="inlineStr">
        <is>
          <t>VÄSTERNORRLANDS LÄN</t>
        </is>
      </c>
      <c r="E1005" t="inlineStr">
        <is>
          <t>ÅNGE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48988-2021</t>
        </is>
      </c>
      <c r="B1006" s="1" t="n">
        <v>44453.43</v>
      </c>
      <c r="C1006" s="1" t="n">
        <v>45911</v>
      </c>
      <c r="D1006" t="inlineStr">
        <is>
          <t>VÄSTERNORRLANDS LÄN</t>
        </is>
      </c>
      <c r="E1006" t="inlineStr">
        <is>
          <t>ÅNGE</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25047-2023</t>
        </is>
      </c>
      <c r="B1007" s="1" t="n">
        <v>45085.94569444445</v>
      </c>
      <c r="C1007" s="1" t="n">
        <v>45911</v>
      </c>
      <c r="D1007" t="inlineStr">
        <is>
          <t>VÄSTERNORRLANDS LÄN</t>
        </is>
      </c>
      <c r="E1007" t="inlineStr">
        <is>
          <t>ÅNGE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1886-2024</t>
        </is>
      </c>
      <c r="B1008" s="1" t="n">
        <v>45307.96335648148</v>
      </c>
      <c r="C1008" s="1" t="n">
        <v>45911</v>
      </c>
      <c r="D1008" t="inlineStr">
        <is>
          <t>VÄSTERNORRLANDS LÄN</t>
        </is>
      </c>
      <c r="E1008" t="inlineStr">
        <is>
          <t>ÅNGE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44979-2023</t>
        </is>
      </c>
      <c r="B1009" s="1" t="n">
        <v>45190.95752314815</v>
      </c>
      <c r="C1009" s="1" t="n">
        <v>45911</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15791-2025</t>
        </is>
      </c>
      <c r="B1010" s="1" t="n">
        <v>45748.631875</v>
      </c>
      <c r="C1010" s="1" t="n">
        <v>45911</v>
      </c>
      <c r="D1010" t="inlineStr">
        <is>
          <t>VÄSTERNORRLANDS LÄN</t>
        </is>
      </c>
      <c r="E1010" t="inlineStr">
        <is>
          <t>ÅNGE</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17923-2025</t>
        </is>
      </c>
      <c r="B1011" s="1" t="n">
        <v>45759.34415509259</v>
      </c>
      <c r="C1011" s="1" t="n">
        <v>45911</v>
      </c>
      <c r="D1011" t="inlineStr">
        <is>
          <t>VÄSTERNORRLANDS LÄN</t>
        </is>
      </c>
      <c r="E1011" t="inlineStr">
        <is>
          <t>ÅNGE</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55007-2022</t>
        </is>
      </c>
      <c r="B1012" s="1" t="n">
        <v>44881</v>
      </c>
      <c r="C1012" s="1" t="n">
        <v>45911</v>
      </c>
      <c r="D1012" t="inlineStr">
        <is>
          <t>VÄSTERNORRLANDS LÄN</t>
        </is>
      </c>
      <c r="E1012" t="inlineStr">
        <is>
          <t>ÅNGE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16281-2023</t>
        </is>
      </c>
      <c r="B1013" s="1" t="n">
        <v>45028</v>
      </c>
      <c r="C1013" s="1" t="n">
        <v>45911</v>
      </c>
      <c r="D1013" t="inlineStr">
        <is>
          <t>VÄSTERNORRLANDS LÄN</t>
        </is>
      </c>
      <c r="E1013" t="inlineStr">
        <is>
          <t>ÅNGE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45459-2022</t>
        </is>
      </c>
      <c r="B1014" s="1" t="n">
        <v>44845</v>
      </c>
      <c r="C1014" s="1" t="n">
        <v>45911</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40665-2025</t>
        </is>
      </c>
      <c r="B1015" s="1" t="n">
        <v>45896.65663194445</v>
      </c>
      <c r="C1015" s="1" t="n">
        <v>45911</v>
      </c>
      <c r="D1015" t="inlineStr">
        <is>
          <t>VÄSTERNORRLANDS LÄN</t>
        </is>
      </c>
      <c r="E1015" t="inlineStr">
        <is>
          <t>ÅNGE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1582-2025</t>
        </is>
      </c>
      <c r="B1016" s="1" t="n">
        <v>45670</v>
      </c>
      <c r="C1016" s="1" t="n">
        <v>45911</v>
      </c>
      <c r="D1016" t="inlineStr">
        <is>
          <t>VÄSTERNORRLANDS LÄN</t>
        </is>
      </c>
      <c r="E1016" t="inlineStr">
        <is>
          <t>ÅNGE</t>
        </is>
      </c>
      <c r="G1016" t="n">
        <v>7.3</v>
      </c>
      <c r="H1016" t="n">
        <v>0</v>
      </c>
      <c r="I1016" t="n">
        <v>0</v>
      </c>
      <c r="J1016" t="n">
        <v>0</v>
      </c>
      <c r="K1016" t="n">
        <v>0</v>
      </c>
      <c r="L1016" t="n">
        <v>0</v>
      </c>
      <c r="M1016" t="n">
        <v>0</v>
      </c>
      <c r="N1016" t="n">
        <v>0</v>
      </c>
      <c r="O1016" t="n">
        <v>0</v>
      </c>
      <c r="P1016" t="n">
        <v>0</v>
      </c>
      <c r="Q1016" t="n">
        <v>0</v>
      </c>
      <c r="R1016" s="2" t="inlineStr"/>
      <c r="U1016">
        <f>HYPERLINK("https://klasma.github.io/Logging_2260/knärot/A 1582-2025 karta knärot.png", "A 1582-2025")</f>
        <v/>
      </c>
      <c r="V1016">
        <f>HYPERLINK("https://klasma.github.io/Logging_2260/klagomål/A 1582-2025 FSC-klagomål.docx", "A 1582-2025")</f>
        <v/>
      </c>
      <c r="W1016">
        <f>HYPERLINK("https://klasma.github.io/Logging_2260/klagomålsmail/A 1582-2025 FSC-klagomål mail.docx", "A 1582-2025")</f>
        <v/>
      </c>
      <c r="X1016">
        <f>HYPERLINK("https://klasma.github.io/Logging_2260/tillsyn/A 1582-2025 tillsynsbegäran.docx", "A 1582-2025")</f>
        <v/>
      </c>
      <c r="Y1016">
        <f>HYPERLINK("https://klasma.github.io/Logging_2260/tillsynsmail/A 1582-2025 tillsynsbegäran mail.docx", "A 1582-2025")</f>
        <v/>
      </c>
    </row>
    <row r="1017" ht="15" customHeight="1">
      <c r="A1017" t="inlineStr">
        <is>
          <t>A 54908-2021</t>
        </is>
      </c>
      <c r="B1017" s="1" t="n">
        <v>44474.39769675926</v>
      </c>
      <c r="C1017" s="1" t="n">
        <v>45911</v>
      </c>
      <c r="D1017" t="inlineStr">
        <is>
          <t>VÄSTERNORRLANDS LÄN</t>
        </is>
      </c>
      <c r="E1017" t="inlineStr">
        <is>
          <t>ÅNGE</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27951-2021</t>
        </is>
      </c>
      <c r="B1018" s="1" t="n">
        <v>44354</v>
      </c>
      <c r="C1018" s="1" t="n">
        <v>45911</v>
      </c>
      <c r="D1018" t="inlineStr">
        <is>
          <t>VÄSTERNORRLANDS LÄN</t>
        </is>
      </c>
      <c r="E1018" t="inlineStr">
        <is>
          <t>ÅNGE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22990-2024</t>
        </is>
      </c>
      <c r="B1019" s="1" t="n">
        <v>45449.94548611111</v>
      </c>
      <c r="C1019" s="1" t="n">
        <v>45911</v>
      </c>
      <c r="D1019" t="inlineStr">
        <is>
          <t>VÄSTERNORRLANDS LÄN</t>
        </is>
      </c>
      <c r="E1019" t="inlineStr">
        <is>
          <t>ÅNGE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2984-2025</t>
        </is>
      </c>
      <c r="B1020" s="1" t="n">
        <v>45678.51094907407</v>
      </c>
      <c r="C1020" s="1" t="n">
        <v>45911</v>
      </c>
      <c r="D1020" t="inlineStr">
        <is>
          <t>VÄSTERNORRLANDS LÄN</t>
        </is>
      </c>
      <c r="E1020" t="inlineStr">
        <is>
          <t>ÅNGE</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40898-2025</t>
        </is>
      </c>
      <c r="B1021" s="1" t="n">
        <v>45897.61503472222</v>
      </c>
      <c r="C1021" s="1" t="n">
        <v>45911</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10017-2025</t>
        </is>
      </c>
      <c r="B1022" s="1" t="n">
        <v>45719.46957175926</v>
      </c>
      <c r="C1022" s="1" t="n">
        <v>45911</v>
      </c>
      <c r="D1022" t="inlineStr">
        <is>
          <t>VÄSTERNORRLANDS LÄN</t>
        </is>
      </c>
      <c r="E1022" t="inlineStr">
        <is>
          <t>ÅNGE</t>
        </is>
      </c>
      <c r="F1022" t="inlineStr">
        <is>
          <t>SCA</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40830-2025</t>
        </is>
      </c>
      <c r="B1023" s="1" t="n">
        <v>45897.51079861111</v>
      </c>
      <c r="C1023" s="1" t="n">
        <v>45911</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40872-2025</t>
        </is>
      </c>
      <c r="B1024" s="1" t="n">
        <v>45897.574375</v>
      </c>
      <c r="C1024" s="1" t="n">
        <v>45911</v>
      </c>
      <c r="D1024" t="inlineStr">
        <is>
          <t>VÄSTERNORRLANDS LÄN</t>
        </is>
      </c>
      <c r="E1024" t="inlineStr">
        <is>
          <t>ÅNGE</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35503-2025</t>
        </is>
      </c>
      <c r="B1025" s="1" t="n">
        <v>45856</v>
      </c>
      <c r="C1025" s="1" t="n">
        <v>45911</v>
      </c>
      <c r="D1025" t="inlineStr">
        <is>
          <t>VÄSTERNORRLANDS LÄN</t>
        </is>
      </c>
      <c r="E1025" t="inlineStr">
        <is>
          <t>ÅNGE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35540-2025</t>
        </is>
      </c>
      <c r="B1026" s="1" t="n">
        <v>45856.46912037037</v>
      </c>
      <c r="C1026" s="1" t="n">
        <v>45911</v>
      </c>
      <c r="D1026" t="inlineStr">
        <is>
          <t>VÄSTERNORRLANDS LÄN</t>
        </is>
      </c>
      <c r="E1026" t="inlineStr">
        <is>
          <t>ÅNGE</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20110-2023</t>
        </is>
      </c>
      <c r="B1027" s="1" t="n">
        <v>45051</v>
      </c>
      <c r="C1027" s="1" t="n">
        <v>45911</v>
      </c>
      <c r="D1027" t="inlineStr">
        <is>
          <t>VÄSTERNORRLANDS LÄN</t>
        </is>
      </c>
      <c r="E1027" t="inlineStr">
        <is>
          <t>ÅNGE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41173-2025</t>
        </is>
      </c>
      <c r="B1028" s="1" t="n">
        <v>45898.54853009259</v>
      </c>
      <c r="C1028" s="1" t="n">
        <v>45911</v>
      </c>
      <c r="D1028" t="inlineStr">
        <is>
          <t>VÄSTERNORRLANDS LÄN</t>
        </is>
      </c>
      <c r="E1028" t="inlineStr">
        <is>
          <t>ÅNGE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41179-2025</t>
        </is>
      </c>
      <c r="B1029" s="1" t="n">
        <v>45898.55277777778</v>
      </c>
      <c r="C1029" s="1" t="n">
        <v>45911</v>
      </c>
      <c r="D1029" t="inlineStr">
        <is>
          <t>VÄSTERNORRLANDS LÄN</t>
        </is>
      </c>
      <c r="E1029" t="inlineStr">
        <is>
          <t>ÅNGE</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29270-2024</t>
        </is>
      </c>
      <c r="B1030" s="1" t="n">
        <v>45482.94979166667</v>
      </c>
      <c r="C1030" s="1" t="n">
        <v>45911</v>
      </c>
      <c r="D1030" t="inlineStr">
        <is>
          <t>VÄSTERNORRLANDS LÄN</t>
        </is>
      </c>
      <c r="E1030" t="inlineStr">
        <is>
          <t>ÅNGE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29696-2024</t>
        </is>
      </c>
      <c r="B1031" s="1" t="n">
        <v>45484.94524305555</v>
      </c>
      <c r="C1031" s="1" t="n">
        <v>45911</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39589-2022</t>
        </is>
      </c>
      <c r="B1032" s="1" t="n">
        <v>44818</v>
      </c>
      <c r="C1032" s="1" t="n">
        <v>45911</v>
      </c>
      <c r="D1032" t="inlineStr">
        <is>
          <t>VÄSTERNORRLANDS LÄN</t>
        </is>
      </c>
      <c r="E1032" t="inlineStr">
        <is>
          <t>ÅNGE</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40899-2025</t>
        </is>
      </c>
      <c r="B1033" s="1" t="n">
        <v>45897.61528935185</v>
      </c>
      <c r="C1033" s="1" t="n">
        <v>45911</v>
      </c>
      <c r="D1033" t="inlineStr">
        <is>
          <t>VÄSTERNORRLANDS LÄN</t>
        </is>
      </c>
      <c r="E1033" t="inlineStr">
        <is>
          <t>ÅNGE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35548-2025</t>
        </is>
      </c>
      <c r="B1034" s="1" t="n">
        <v>45856.48995370371</v>
      </c>
      <c r="C1034" s="1" t="n">
        <v>45911</v>
      </c>
      <c r="D1034" t="inlineStr">
        <is>
          <t>VÄSTERNORRLANDS LÄN</t>
        </is>
      </c>
      <c r="E1034" t="inlineStr">
        <is>
          <t>ÅNGE</t>
        </is>
      </c>
      <c r="F1034" t="inlineStr">
        <is>
          <t>SCA</t>
        </is>
      </c>
      <c r="G1034" t="n">
        <v>14.6</v>
      </c>
      <c r="H1034" t="n">
        <v>0</v>
      </c>
      <c r="I1034" t="n">
        <v>0</v>
      </c>
      <c r="J1034" t="n">
        <v>0</v>
      </c>
      <c r="K1034" t="n">
        <v>0</v>
      </c>
      <c r="L1034" t="n">
        <v>0</v>
      </c>
      <c r="M1034" t="n">
        <v>0</v>
      </c>
      <c r="N1034" t="n">
        <v>0</v>
      </c>
      <c r="O1034" t="n">
        <v>0</v>
      </c>
      <c r="P1034" t="n">
        <v>0</v>
      </c>
      <c r="Q1034" t="n">
        <v>0</v>
      </c>
      <c r="R1034" s="2" t="inlineStr"/>
    </row>
    <row r="1035" ht="15" customHeight="1">
      <c r="A1035" t="inlineStr">
        <is>
          <t>A 35575-2025</t>
        </is>
      </c>
      <c r="B1035" s="1" t="n">
        <v>45856.63591435185</v>
      </c>
      <c r="C1035" s="1" t="n">
        <v>45911</v>
      </c>
      <c r="D1035" t="inlineStr">
        <is>
          <t>VÄSTERNORRLANDS LÄN</t>
        </is>
      </c>
      <c r="E1035" t="inlineStr">
        <is>
          <t>ÅNGE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35578-2025</t>
        </is>
      </c>
      <c r="B1036" s="1" t="n">
        <v>45856.67797453704</v>
      </c>
      <c r="C1036" s="1" t="n">
        <v>45911</v>
      </c>
      <c r="D1036" t="inlineStr">
        <is>
          <t>VÄSTERNORRLANDS LÄN</t>
        </is>
      </c>
      <c r="E1036" t="inlineStr">
        <is>
          <t>ÅNGE</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33062-2022</t>
        </is>
      </c>
      <c r="B1037" s="1" t="n">
        <v>44785</v>
      </c>
      <c r="C1037" s="1" t="n">
        <v>45911</v>
      </c>
      <c r="D1037" t="inlineStr">
        <is>
          <t>VÄSTERNORRLANDS LÄN</t>
        </is>
      </c>
      <c r="E1037" t="inlineStr">
        <is>
          <t>ÅNGE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35497-2025</t>
        </is>
      </c>
      <c r="B1038" s="1" t="n">
        <v>45856.29752314815</v>
      </c>
      <c r="C1038" s="1" t="n">
        <v>45911</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40818-2025</t>
        </is>
      </c>
      <c r="B1039" s="1" t="n">
        <v>45897.48881944444</v>
      </c>
      <c r="C1039" s="1" t="n">
        <v>45911</v>
      </c>
      <c r="D1039" t="inlineStr">
        <is>
          <t>VÄSTERNORRLANDS LÄN</t>
        </is>
      </c>
      <c r="E1039" t="inlineStr">
        <is>
          <t>ÅNGE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25320-2023</t>
        </is>
      </c>
      <c r="B1040" s="1" t="n">
        <v>45086.93929398148</v>
      </c>
      <c r="C1040" s="1" t="n">
        <v>45911</v>
      </c>
      <c r="D1040" t="inlineStr">
        <is>
          <t>VÄSTERNORRLANDS LÄN</t>
        </is>
      </c>
      <c r="E1040" t="inlineStr">
        <is>
          <t>ÅNGE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24541-2023</t>
        </is>
      </c>
      <c r="B1041" s="1" t="n">
        <v>45082.94135416667</v>
      </c>
      <c r="C1041" s="1" t="n">
        <v>45911</v>
      </c>
      <c r="D1041" t="inlineStr">
        <is>
          <t>VÄSTERNORRLANDS LÄN</t>
        </is>
      </c>
      <c r="E1041" t="inlineStr">
        <is>
          <t>ÅNGE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24552-2023</t>
        </is>
      </c>
      <c r="B1042" s="1" t="n">
        <v>45082.94226851852</v>
      </c>
      <c r="C1042" s="1" t="n">
        <v>45911</v>
      </c>
      <c r="D1042" t="inlineStr">
        <is>
          <t>VÄSTERNORRLANDS LÄN</t>
        </is>
      </c>
      <c r="E1042" t="inlineStr">
        <is>
          <t>ÅNGE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18542-2022</t>
        </is>
      </c>
      <c r="B1043" s="1" t="n">
        <v>44686</v>
      </c>
      <c r="C1043" s="1" t="n">
        <v>45911</v>
      </c>
      <c r="D1043" t="inlineStr">
        <is>
          <t>VÄSTERNORRLANDS LÄN</t>
        </is>
      </c>
      <c r="E1043" t="inlineStr">
        <is>
          <t>ÅNGE</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44600-2024</t>
        </is>
      </c>
      <c r="B1044" s="1" t="n">
        <v>45574.51113425926</v>
      </c>
      <c r="C1044" s="1" t="n">
        <v>45911</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26013-2024</t>
        </is>
      </c>
      <c r="B1045" s="1" t="n">
        <v>45467</v>
      </c>
      <c r="C1045" s="1" t="n">
        <v>45911</v>
      </c>
      <c r="D1045" t="inlineStr">
        <is>
          <t>VÄSTERNORRLANDS LÄN</t>
        </is>
      </c>
      <c r="E1045" t="inlineStr">
        <is>
          <t>ÅNGE</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25377-2024</t>
        </is>
      </c>
      <c r="B1046" s="1" t="n">
        <v>45462.96211805556</v>
      </c>
      <c r="C1046" s="1" t="n">
        <v>45911</v>
      </c>
      <c r="D1046" t="inlineStr">
        <is>
          <t>VÄSTERNORRLANDS LÄN</t>
        </is>
      </c>
      <c r="E1046" t="inlineStr">
        <is>
          <t>ÅNGE</t>
        </is>
      </c>
      <c r="F1046" t="inlineStr">
        <is>
          <t>SCA</t>
        </is>
      </c>
      <c r="G1046" t="n">
        <v>20.7</v>
      </c>
      <c r="H1046" t="n">
        <v>0</v>
      </c>
      <c r="I1046" t="n">
        <v>0</v>
      </c>
      <c r="J1046" t="n">
        <v>0</v>
      </c>
      <c r="K1046" t="n">
        <v>0</v>
      </c>
      <c r="L1046" t="n">
        <v>0</v>
      </c>
      <c r="M1046" t="n">
        <v>0</v>
      </c>
      <c r="N1046" t="n">
        <v>0</v>
      </c>
      <c r="O1046" t="n">
        <v>0</v>
      </c>
      <c r="P1046" t="n">
        <v>0</v>
      </c>
      <c r="Q1046" t="n">
        <v>0</v>
      </c>
      <c r="R1046" s="2" t="inlineStr"/>
    </row>
    <row r="1047" ht="15" customHeight="1">
      <c r="A1047" t="inlineStr">
        <is>
          <t>A 27002-2023</t>
        </is>
      </c>
      <c r="B1047" s="1" t="n">
        <v>45093</v>
      </c>
      <c r="C1047" s="1" t="n">
        <v>45911</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35432-2025</t>
        </is>
      </c>
      <c r="B1048" s="1" t="n">
        <v>45855.44831018519</v>
      </c>
      <c r="C1048" s="1" t="n">
        <v>45911</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63170-2023</t>
        </is>
      </c>
      <c r="B1049" s="1" t="n">
        <v>45273.57087962963</v>
      </c>
      <c r="C1049" s="1" t="n">
        <v>45911</v>
      </c>
      <c r="D1049" t="inlineStr">
        <is>
          <t>VÄSTERNORRLANDS LÄN</t>
        </is>
      </c>
      <c r="E1049" t="inlineStr">
        <is>
          <t>ÅNGE</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30273-2023</t>
        </is>
      </c>
      <c r="B1050" s="1" t="n">
        <v>45099</v>
      </c>
      <c r="C1050" s="1" t="n">
        <v>45911</v>
      </c>
      <c r="D1050" t="inlineStr">
        <is>
          <t>VÄSTERNORRLANDS LÄN</t>
        </is>
      </c>
      <c r="E1050" t="inlineStr">
        <is>
          <t>ÅNGE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56956-2022</t>
        </is>
      </c>
      <c r="B1051" s="1" t="n">
        <v>44894</v>
      </c>
      <c r="C1051" s="1" t="n">
        <v>45911</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35577-2025</t>
        </is>
      </c>
      <c r="B1052" s="1" t="n">
        <v>45856.67762731481</v>
      </c>
      <c r="C1052" s="1" t="n">
        <v>45911</v>
      </c>
      <c r="D1052" t="inlineStr">
        <is>
          <t>VÄSTERNORRLANDS LÄN</t>
        </is>
      </c>
      <c r="E1052" t="inlineStr">
        <is>
          <t>ÅNGE</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60368-2024</t>
        </is>
      </c>
      <c r="B1053" s="1" t="n">
        <v>45643</v>
      </c>
      <c r="C1053" s="1" t="n">
        <v>45911</v>
      </c>
      <c r="D1053" t="inlineStr">
        <is>
          <t>VÄSTERNORRLANDS LÄN</t>
        </is>
      </c>
      <c r="E1053" t="inlineStr">
        <is>
          <t>ÅNGE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31729-2024</t>
        </is>
      </c>
      <c r="B1054" s="1" t="n">
        <v>45509.35844907408</v>
      </c>
      <c r="C1054" s="1" t="n">
        <v>45911</v>
      </c>
      <c r="D1054" t="inlineStr">
        <is>
          <t>VÄSTERNORRLANDS LÄN</t>
        </is>
      </c>
      <c r="E1054" t="inlineStr">
        <is>
          <t>ÅNGE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5035-2025</t>
        </is>
      </c>
      <c r="B1055" s="1" t="n">
        <v>45691</v>
      </c>
      <c r="C1055" s="1" t="n">
        <v>45911</v>
      </c>
      <c r="D1055" t="inlineStr">
        <is>
          <t>VÄSTERNORRLANDS LÄN</t>
        </is>
      </c>
      <c r="E1055" t="inlineStr">
        <is>
          <t>ÅNGE</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34783-2021</t>
        </is>
      </c>
      <c r="B1056" s="1" t="n">
        <v>44382</v>
      </c>
      <c r="C1056" s="1" t="n">
        <v>45911</v>
      </c>
      <c r="D1056" t="inlineStr">
        <is>
          <t>VÄSTERNORRLANDS LÄN</t>
        </is>
      </c>
      <c r="E1056" t="inlineStr">
        <is>
          <t>ÅNGE</t>
        </is>
      </c>
      <c r="F1056" t="inlineStr">
        <is>
          <t>SCA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4187-2025</t>
        </is>
      </c>
      <c r="B1057" s="1" t="n">
        <v>45685.44842592593</v>
      </c>
      <c r="C1057" s="1" t="n">
        <v>45911</v>
      </c>
      <c r="D1057" t="inlineStr">
        <is>
          <t>VÄSTERNORRLANDS LÄN</t>
        </is>
      </c>
      <c r="E1057" t="inlineStr">
        <is>
          <t>ÅNGE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35690-2025</t>
        </is>
      </c>
      <c r="B1058" s="1" t="n">
        <v>45860.34421296296</v>
      </c>
      <c r="C1058" s="1" t="n">
        <v>45911</v>
      </c>
      <c r="D1058" t="inlineStr">
        <is>
          <t>VÄSTERNORRLANDS LÄN</t>
        </is>
      </c>
      <c r="E1058" t="inlineStr">
        <is>
          <t>ÅNGE</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35781-2025</t>
        </is>
      </c>
      <c r="B1059" s="1" t="n">
        <v>45860.70613425926</v>
      </c>
      <c r="C1059" s="1" t="n">
        <v>45911</v>
      </c>
      <c r="D1059" t="inlineStr">
        <is>
          <t>VÄSTERNORRLANDS LÄN</t>
        </is>
      </c>
      <c r="E1059" t="inlineStr">
        <is>
          <t>ÅNGE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4883-2023</t>
        </is>
      </c>
      <c r="B1060" s="1" t="n">
        <v>44957</v>
      </c>
      <c r="C1060" s="1" t="n">
        <v>45911</v>
      </c>
      <c r="D1060" t="inlineStr">
        <is>
          <t>VÄSTERNORRLANDS LÄN</t>
        </is>
      </c>
      <c r="E1060" t="inlineStr">
        <is>
          <t>ÅNGE</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34726-2024</t>
        </is>
      </c>
      <c r="B1061" s="1" t="n">
        <v>45526.5733912037</v>
      </c>
      <c r="C1061" s="1" t="n">
        <v>45911</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8755-2022</t>
        </is>
      </c>
      <c r="B1062" s="1" t="n">
        <v>44614</v>
      </c>
      <c r="C1062" s="1" t="n">
        <v>45911</v>
      </c>
      <c r="D1062" t="inlineStr">
        <is>
          <t>VÄSTERNORRLANDS LÄN</t>
        </is>
      </c>
      <c r="E1062" t="inlineStr">
        <is>
          <t>ÅNGE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35766-2025</t>
        </is>
      </c>
      <c r="B1063" s="1" t="n">
        <v>45860.63077546296</v>
      </c>
      <c r="C1063" s="1" t="n">
        <v>45911</v>
      </c>
      <c r="D1063" t="inlineStr">
        <is>
          <t>VÄSTERNORRLANDS LÄN</t>
        </is>
      </c>
      <c r="E1063" t="inlineStr">
        <is>
          <t>ÅNGE</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41355-2025</t>
        </is>
      </c>
      <c r="B1064" s="1" t="n">
        <v>45900.34425925926</v>
      </c>
      <c r="C1064" s="1" t="n">
        <v>45911</v>
      </c>
      <c r="D1064" t="inlineStr">
        <is>
          <t>VÄSTERNORRLANDS LÄN</t>
        </is>
      </c>
      <c r="E1064" t="inlineStr">
        <is>
          <t>ÅNGE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30747-2024</t>
        </is>
      </c>
      <c r="B1065" s="1" t="n">
        <v>45496</v>
      </c>
      <c r="C1065" s="1" t="n">
        <v>45911</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12807-2025</t>
        </is>
      </c>
      <c r="B1066" s="1" t="n">
        <v>45733.61537037037</v>
      </c>
      <c r="C1066" s="1" t="n">
        <v>45911</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58929-2024</t>
        </is>
      </c>
      <c r="B1067" s="1" t="n">
        <v>45636.51090277778</v>
      </c>
      <c r="C1067" s="1" t="n">
        <v>45911</v>
      </c>
      <c r="D1067" t="inlineStr">
        <is>
          <t>VÄSTERNORRLANDS LÄN</t>
        </is>
      </c>
      <c r="E1067" t="inlineStr">
        <is>
          <t>ÅNGE</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18668-2023</t>
        </is>
      </c>
      <c r="B1068" s="1" t="n">
        <v>45043.57108796296</v>
      </c>
      <c r="C1068" s="1" t="n">
        <v>45911</v>
      </c>
      <c r="D1068" t="inlineStr">
        <is>
          <t>VÄSTERNORRLANDS LÄN</t>
        </is>
      </c>
      <c r="E1068" t="inlineStr">
        <is>
          <t>ÅNGE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44922.94378472222</v>
      </c>
      <c r="C1069" s="1" t="n">
        <v>45911</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16524-2025</t>
        </is>
      </c>
      <c r="B1070" s="1" t="n">
        <v>45751.64310185185</v>
      </c>
      <c r="C1070" s="1" t="n">
        <v>45911</v>
      </c>
      <c r="D1070" t="inlineStr">
        <is>
          <t>VÄSTERNORRLANDS LÄN</t>
        </is>
      </c>
      <c r="E1070" t="inlineStr">
        <is>
          <t>ÅNGE</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47779-2023</t>
        </is>
      </c>
      <c r="B1071" s="1" t="n">
        <v>45203.92232638889</v>
      </c>
      <c r="C1071" s="1" t="n">
        <v>45911</v>
      </c>
      <c r="D1071" t="inlineStr">
        <is>
          <t>VÄSTERNORRLANDS LÄN</t>
        </is>
      </c>
      <c r="E1071" t="inlineStr">
        <is>
          <t>ÅNGE</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46254-2023</t>
        </is>
      </c>
      <c r="B1072" s="1" t="n">
        <v>45196</v>
      </c>
      <c r="C1072" s="1" t="n">
        <v>45911</v>
      </c>
      <c r="D1072" t="inlineStr">
        <is>
          <t>VÄSTERNORRLANDS LÄN</t>
        </is>
      </c>
      <c r="E1072" t="inlineStr">
        <is>
          <t>ÅNGE</t>
        </is>
      </c>
      <c r="F1072" t="inlineStr">
        <is>
          <t>SCA</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46262-2023</t>
        </is>
      </c>
      <c r="B1073" s="1" t="n">
        <v>45196.93855324074</v>
      </c>
      <c r="C1073" s="1" t="n">
        <v>45911</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45027-2023</t>
        </is>
      </c>
      <c r="B1074" s="1" t="n">
        <v>45190.96303240741</v>
      </c>
      <c r="C1074" s="1" t="n">
        <v>45911</v>
      </c>
      <c r="D1074" t="inlineStr">
        <is>
          <t>VÄSTERNORRLANDS LÄN</t>
        </is>
      </c>
      <c r="E1074" t="inlineStr">
        <is>
          <t>ÅNGE</t>
        </is>
      </c>
      <c r="F1074" t="inlineStr">
        <is>
          <t>SCA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21409-2022</t>
        </is>
      </c>
      <c r="B1075" s="1" t="n">
        <v>44705.9406712963</v>
      </c>
      <c r="C1075" s="1" t="n">
        <v>45911</v>
      </c>
      <c r="D1075" t="inlineStr">
        <is>
          <t>VÄSTERNORRLANDS LÄN</t>
        </is>
      </c>
      <c r="E1075" t="inlineStr">
        <is>
          <t>ÅNGE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55380-2024</t>
        </is>
      </c>
      <c r="B1076" s="1" t="n">
        <v>45622.28810185185</v>
      </c>
      <c r="C1076" s="1" t="n">
        <v>45911</v>
      </c>
      <c r="D1076" t="inlineStr">
        <is>
          <t>VÄSTERNORRLANDS LÄN</t>
        </is>
      </c>
      <c r="E1076" t="inlineStr">
        <is>
          <t>ÅNGE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49502-2022</t>
        </is>
      </c>
      <c r="B1077" s="1" t="n">
        <v>44861.92613425926</v>
      </c>
      <c r="C1077" s="1" t="n">
        <v>45911</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4873-2025</t>
        </is>
      </c>
      <c r="B1078" s="1" t="n">
        <v>45688.67633101852</v>
      </c>
      <c r="C1078" s="1" t="n">
        <v>45911</v>
      </c>
      <c r="D1078" t="inlineStr">
        <is>
          <t>VÄSTERNORRLANDS LÄN</t>
        </is>
      </c>
      <c r="E1078" t="inlineStr">
        <is>
          <t>ÅNGE</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41872-2025</t>
        </is>
      </c>
      <c r="B1079" s="1" t="n">
        <v>45903.34497685185</v>
      </c>
      <c r="C1079" s="1" t="n">
        <v>45911</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22678-2024</t>
        </is>
      </c>
      <c r="B1080" s="1" t="n">
        <v>45447.94533564815</v>
      </c>
      <c r="C1080" s="1" t="n">
        <v>45911</v>
      </c>
      <c r="D1080" t="inlineStr">
        <is>
          <t>VÄSTERNORRLANDS LÄN</t>
        </is>
      </c>
      <c r="E1080" t="inlineStr">
        <is>
          <t>ÅNGE</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41825-2022</t>
        </is>
      </c>
      <c r="B1081" s="1" t="n">
        <v>44827</v>
      </c>
      <c r="C1081" s="1" t="n">
        <v>45911</v>
      </c>
      <c r="D1081" t="inlineStr">
        <is>
          <t>VÄSTERNORRLANDS LÄN</t>
        </is>
      </c>
      <c r="E1081" t="inlineStr">
        <is>
          <t>ÅNGE</t>
        </is>
      </c>
      <c r="F1081" t="inlineStr">
        <is>
          <t>SCA</t>
        </is>
      </c>
      <c r="G1081" t="n">
        <v>3.3</v>
      </c>
      <c r="H1081" t="n">
        <v>0</v>
      </c>
      <c r="I1081" t="n">
        <v>0</v>
      </c>
      <c r="J1081" t="n">
        <v>0</v>
      </c>
      <c r="K1081" t="n">
        <v>0</v>
      </c>
      <c r="L1081" t="n">
        <v>0</v>
      </c>
      <c r="M1081" t="n">
        <v>0</v>
      </c>
      <c r="N1081" t="n">
        <v>0</v>
      </c>
      <c r="O1081" t="n">
        <v>0</v>
      </c>
      <c r="P1081" t="n">
        <v>0</v>
      </c>
      <c r="Q1081" t="n">
        <v>0</v>
      </c>
      <c r="R1081" s="2" t="inlineStr"/>
      <c r="U1081">
        <f>HYPERLINK("https://klasma.github.io/Logging_2260/knärot/A 41825-2022 karta knärot.png", "A 41825-2022")</f>
        <v/>
      </c>
      <c r="V1081">
        <f>HYPERLINK("https://klasma.github.io/Logging_2260/klagomål/A 41825-2022 FSC-klagomål.docx", "A 41825-2022")</f>
        <v/>
      </c>
      <c r="W1081">
        <f>HYPERLINK("https://klasma.github.io/Logging_2260/klagomålsmail/A 41825-2022 FSC-klagomål mail.docx", "A 41825-2022")</f>
        <v/>
      </c>
      <c r="X1081">
        <f>HYPERLINK("https://klasma.github.io/Logging_2260/tillsyn/A 41825-2022 tillsynsbegäran.docx", "A 41825-2022")</f>
        <v/>
      </c>
      <c r="Y1081">
        <f>HYPERLINK("https://klasma.github.io/Logging_2260/tillsynsmail/A 41825-2022 tillsynsbegäran mail.docx", "A 41825-2022")</f>
        <v/>
      </c>
    </row>
    <row r="1082" ht="15" customHeight="1">
      <c r="A1082" t="inlineStr">
        <is>
          <t>A 10084-2023</t>
        </is>
      </c>
      <c r="B1082" s="1" t="n">
        <v>44985.94465277778</v>
      </c>
      <c r="C1082" s="1" t="n">
        <v>45911</v>
      </c>
      <c r="D1082" t="inlineStr">
        <is>
          <t>VÄSTERNORRLANDS LÄN</t>
        </is>
      </c>
      <c r="E1082" t="inlineStr">
        <is>
          <t>ÅNGE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47041-2020</t>
        </is>
      </c>
      <c r="B1083" s="1" t="n">
        <v>44091</v>
      </c>
      <c r="C1083" s="1" t="n">
        <v>45911</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42958-2024</t>
        </is>
      </c>
      <c r="B1084" s="1" t="n">
        <v>45567.37131944444</v>
      </c>
      <c r="C1084" s="1" t="n">
        <v>45911</v>
      </c>
      <c r="D1084" t="inlineStr">
        <is>
          <t>VÄSTERNORRLANDS LÄN</t>
        </is>
      </c>
      <c r="E1084" t="inlineStr">
        <is>
          <t>ÅNGE</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39991-2023</t>
        </is>
      </c>
      <c r="B1085" s="1" t="n">
        <v>45168.6043287037</v>
      </c>
      <c r="C1085" s="1" t="n">
        <v>45911</v>
      </c>
      <c r="D1085" t="inlineStr">
        <is>
          <t>VÄSTERNORRLANDS LÄN</t>
        </is>
      </c>
      <c r="E1085" t="inlineStr">
        <is>
          <t>ÅNGE</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35826-2025</t>
        </is>
      </c>
      <c r="B1086" s="1" t="n">
        <v>45861.48997685185</v>
      </c>
      <c r="C1086" s="1" t="n">
        <v>45911</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34861-2024</t>
        </is>
      </c>
      <c r="B1087" s="1" t="n">
        <v>45527.339375</v>
      </c>
      <c r="C1087" s="1" t="n">
        <v>45911</v>
      </c>
      <c r="D1087" t="inlineStr">
        <is>
          <t>VÄSTERNORRLANDS LÄN</t>
        </is>
      </c>
      <c r="E1087" t="inlineStr">
        <is>
          <t>ÅNGE</t>
        </is>
      </c>
      <c r="F1087" t="inlineStr">
        <is>
          <t>SCA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17601-2024</t>
        </is>
      </c>
      <c r="B1088" s="1" t="n">
        <v>45415</v>
      </c>
      <c r="C1088" s="1" t="n">
        <v>45911</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35838-2025</t>
        </is>
      </c>
      <c r="B1089" s="1" t="n">
        <v>45861.53829861111</v>
      </c>
      <c r="C1089" s="1" t="n">
        <v>45911</v>
      </c>
      <c r="D1089" t="inlineStr">
        <is>
          <t>VÄSTERNORRLANDS LÄN</t>
        </is>
      </c>
      <c r="E1089" t="inlineStr">
        <is>
          <t>ÅNGE</t>
        </is>
      </c>
      <c r="F1089" t="inlineStr">
        <is>
          <t>Sveaskog</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15167-2025</t>
        </is>
      </c>
      <c r="B1090" s="1" t="n">
        <v>45744.49009259259</v>
      </c>
      <c r="C1090" s="1" t="n">
        <v>45911</v>
      </c>
      <c r="D1090" t="inlineStr">
        <is>
          <t>VÄSTERNORRLANDS LÄN</t>
        </is>
      </c>
      <c r="E1090" t="inlineStr">
        <is>
          <t>ÅNGE</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30556-2023</t>
        </is>
      </c>
      <c r="B1091" s="1" t="n">
        <v>45111.87935185185</v>
      </c>
      <c r="C1091" s="1" t="n">
        <v>45911</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57846-2022</t>
        </is>
      </c>
      <c r="B1092" s="1" t="n">
        <v>44897.95008101852</v>
      </c>
      <c r="C1092" s="1" t="n">
        <v>45911</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36342-2024</t>
        </is>
      </c>
      <c r="B1093" s="1" t="n">
        <v>45534.64315972223</v>
      </c>
      <c r="C1093" s="1" t="n">
        <v>45911</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5393-2025</t>
        </is>
      </c>
      <c r="B1094" s="1" t="n">
        <v>45692.63574074074</v>
      </c>
      <c r="C1094" s="1" t="n">
        <v>45911</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41870-2025</t>
        </is>
      </c>
      <c r="B1095" s="1" t="n">
        <v>45903.3446412037</v>
      </c>
      <c r="C1095" s="1" t="n">
        <v>45911</v>
      </c>
      <c r="D1095" t="inlineStr">
        <is>
          <t>VÄSTERNORRLANDS LÄN</t>
        </is>
      </c>
      <c r="E1095" t="inlineStr">
        <is>
          <t>ÅNGE</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35827-2025</t>
        </is>
      </c>
      <c r="B1096" s="1" t="n">
        <v>45861.49017361111</v>
      </c>
      <c r="C1096" s="1" t="n">
        <v>45911</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34971-2023</t>
        </is>
      </c>
      <c r="B1097" s="1" t="n">
        <v>45142.61635416667</v>
      </c>
      <c r="C1097" s="1" t="n">
        <v>45911</v>
      </c>
      <c r="D1097" t="inlineStr">
        <is>
          <t>VÄSTERNORRLANDS LÄN</t>
        </is>
      </c>
      <c r="E1097" t="inlineStr">
        <is>
          <t>ÅNGE</t>
        </is>
      </c>
      <c r="F1097" t="inlineStr">
        <is>
          <t>Sveaskog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9480-2022</t>
        </is>
      </c>
      <c r="B1098" s="1" t="n">
        <v>44616</v>
      </c>
      <c r="C1098" s="1" t="n">
        <v>45911</v>
      </c>
      <c r="D1098" t="inlineStr">
        <is>
          <t>VÄSTERNORRLANDS LÄN</t>
        </is>
      </c>
      <c r="E1098" t="inlineStr">
        <is>
          <t>ÅNGE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54771-2023</t>
        </is>
      </c>
      <c r="B1099" s="1" t="n">
        <v>45229</v>
      </c>
      <c r="C1099" s="1" t="n">
        <v>45911</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18617-2024</t>
        </is>
      </c>
      <c r="B1100" s="1" t="n">
        <v>45425</v>
      </c>
      <c r="C1100" s="1" t="n">
        <v>45911</v>
      </c>
      <c r="D1100" t="inlineStr">
        <is>
          <t>VÄSTERNORRLANDS LÄN</t>
        </is>
      </c>
      <c r="E1100" t="inlineStr">
        <is>
          <t>ÅNGE</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30683-2024</t>
        </is>
      </c>
      <c r="B1101" s="1" t="n">
        <v>45495</v>
      </c>
      <c r="C1101" s="1" t="n">
        <v>45911</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32922-2024</t>
        </is>
      </c>
      <c r="B1102" s="1" t="n">
        <v>45516.95263888889</v>
      </c>
      <c r="C1102" s="1" t="n">
        <v>45911</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42880-2025</t>
        </is>
      </c>
      <c r="B1103" s="1" t="n">
        <v>45908.63599537037</v>
      </c>
      <c r="C1103" s="1" t="n">
        <v>45911</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8868-2023</t>
        </is>
      </c>
      <c r="B1104" s="1" t="n">
        <v>44978</v>
      </c>
      <c r="C1104" s="1" t="n">
        <v>45911</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10917-2024</t>
        </is>
      </c>
      <c r="B1105" s="1" t="n">
        <v>45370</v>
      </c>
      <c r="C1105" s="1" t="n">
        <v>45911</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42889-2025</t>
        </is>
      </c>
      <c r="B1106" s="1" t="n">
        <v>45908.65546296296</v>
      </c>
      <c r="C1106" s="1" t="n">
        <v>45911</v>
      </c>
      <c r="D1106" t="inlineStr">
        <is>
          <t>VÄSTERNORRLANDS LÄN</t>
        </is>
      </c>
      <c r="E1106" t="inlineStr">
        <is>
          <t>ÅNGE</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20338-2025</t>
        </is>
      </c>
      <c r="B1107" s="1" t="n">
        <v>45775</v>
      </c>
      <c r="C1107" s="1" t="n">
        <v>45911</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36457-2021</t>
        </is>
      </c>
      <c r="B1108" s="1" t="n">
        <v>44390.93858796296</v>
      </c>
      <c r="C1108" s="1" t="n">
        <v>45911</v>
      </c>
      <c r="D1108" t="inlineStr">
        <is>
          <t>VÄSTERNORRLANDS LÄN</t>
        </is>
      </c>
      <c r="E1108" t="inlineStr">
        <is>
          <t>ÅNGE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42764-2025</t>
        </is>
      </c>
      <c r="B1109" s="1" t="n">
        <v>45908.46943287037</v>
      </c>
      <c r="C1109" s="1" t="n">
        <v>45911</v>
      </c>
      <c r="D1109" t="inlineStr">
        <is>
          <t>VÄSTERNORRLANDS LÄN</t>
        </is>
      </c>
      <c r="E1109" t="inlineStr">
        <is>
          <t>ÅNGE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42786-2025</t>
        </is>
      </c>
      <c r="B1110" s="1" t="n">
        <v>45908.51097222222</v>
      </c>
      <c r="C1110" s="1" t="n">
        <v>45911</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56699-2023</t>
        </is>
      </c>
      <c r="B1111" s="1" t="n">
        <v>45243</v>
      </c>
      <c r="C1111" s="1" t="n">
        <v>45911</v>
      </c>
      <c r="D1111" t="inlineStr">
        <is>
          <t>VÄSTERNORRLANDS LÄN</t>
        </is>
      </c>
      <c r="E1111" t="inlineStr">
        <is>
          <t>ÅNGE</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61928-2021</t>
        </is>
      </c>
      <c r="B1112" s="1" t="n">
        <v>44502.38475694445</v>
      </c>
      <c r="C1112" s="1" t="n">
        <v>45911</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16303-2025</t>
        </is>
      </c>
      <c r="B1113" s="1" t="n">
        <v>45751.3462037037</v>
      </c>
      <c r="C1113" s="1" t="n">
        <v>45911</v>
      </c>
      <c r="D1113" t="inlineStr">
        <is>
          <t>VÄSTERNORRLANDS LÄN</t>
        </is>
      </c>
      <c r="E1113" t="inlineStr">
        <is>
          <t>ÅNGE</t>
        </is>
      </c>
      <c r="F1113" t="inlineStr">
        <is>
          <t>SCA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37051-2021</t>
        </is>
      </c>
      <c r="B1114" s="1" t="n">
        <v>44393</v>
      </c>
      <c r="C1114" s="1" t="n">
        <v>45911</v>
      </c>
      <c r="D1114" t="inlineStr">
        <is>
          <t>VÄSTERNORRLANDS LÄN</t>
        </is>
      </c>
      <c r="E1114" t="inlineStr">
        <is>
          <t>ÅNGE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56908-2021</t>
        </is>
      </c>
      <c r="B1115" s="1" t="n">
        <v>44481.93844907408</v>
      </c>
      <c r="C1115" s="1" t="n">
        <v>45911</v>
      </c>
      <c r="D1115" t="inlineStr">
        <is>
          <t>VÄSTERNORRLANDS LÄN</t>
        </is>
      </c>
      <c r="E1115" t="inlineStr">
        <is>
          <t>ÅNGE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732-2023</t>
        </is>
      </c>
      <c r="B1116" s="1" t="n">
        <v>44931.29981481482</v>
      </c>
      <c r="C1116" s="1" t="n">
        <v>45911</v>
      </c>
      <c r="D1116" t="inlineStr">
        <is>
          <t>VÄSTERNORRLANDS LÄN</t>
        </is>
      </c>
      <c r="E1116" t="inlineStr">
        <is>
          <t>ÅNGE</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5520-2022</t>
        </is>
      </c>
      <c r="B1117" s="1" t="n">
        <v>44595</v>
      </c>
      <c r="C1117" s="1" t="n">
        <v>45911</v>
      </c>
      <c r="D1117" t="inlineStr">
        <is>
          <t>VÄSTERNORRLANDS LÄN</t>
        </is>
      </c>
      <c r="E1117" t="inlineStr">
        <is>
          <t>ÅNGE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42589-2025</t>
        </is>
      </c>
      <c r="B1118" s="1" t="n">
        <v>45905.63585648148</v>
      </c>
      <c r="C1118" s="1" t="n">
        <v>45911</v>
      </c>
      <c r="D1118" t="inlineStr">
        <is>
          <t>VÄSTERNORRLANDS LÄN</t>
        </is>
      </c>
      <c r="E1118" t="inlineStr">
        <is>
          <t>ÅNGE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36786-2024</t>
        </is>
      </c>
      <c r="B1119" s="1" t="n">
        <v>45538</v>
      </c>
      <c r="C1119" s="1" t="n">
        <v>45911</v>
      </c>
      <c r="D1119" t="inlineStr">
        <is>
          <t>VÄSTERNORRLANDS LÄN</t>
        </is>
      </c>
      <c r="E1119" t="inlineStr">
        <is>
          <t>ÅNGE</t>
        </is>
      </c>
      <c r="F1119" t="inlineStr">
        <is>
          <t>SCA</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53663-2022</t>
        </is>
      </c>
      <c r="B1120" s="1" t="n">
        <v>44879</v>
      </c>
      <c r="C1120" s="1" t="n">
        <v>45911</v>
      </c>
      <c r="D1120" t="inlineStr">
        <is>
          <t>VÄSTERNORRLANDS LÄN</t>
        </is>
      </c>
      <c r="E1120" t="inlineStr">
        <is>
          <t>ÅNGE</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43775-2022</t>
        </is>
      </c>
      <c r="B1121" s="1" t="n">
        <v>44837.95053240741</v>
      </c>
      <c r="C1121" s="1" t="n">
        <v>45911</v>
      </c>
      <c r="D1121" t="inlineStr">
        <is>
          <t>VÄSTERNORRLANDS LÄN</t>
        </is>
      </c>
      <c r="E1121" t="inlineStr">
        <is>
          <t>ÅNGE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42524-2025</t>
        </is>
      </c>
      <c r="B1122" s="1" t="n">
        <v>45905.55262731481</v>
      </c>
      <c r="C1122" s="1" t="n">
        <v>45911</v>
      </c>
      <c r="D1122" t="inlineStr">
        <is>
          <t>VÄSTERNORRLANDS LÄN</t>
        </is>
      </c>
      <c r="E1122" t="inlineStr">
        <is>
          <t>ÅNGE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42730-2025</t>
        </is>
      </c>
      <c r="B1123" s="1" t="n">
        <v>45908.40666666667</v>
      </c>
      <c r="C1123" s="1" t="n">
        <v>45911</v>
      </c>
      <c r="D1123" t="inlineStr">
        <is>
          <t>VÄSTERNORRLANDS LÄN</t>
        </is>
      </c>
      <c r="E1123" t="inlineStr">
        <is>
          <t>ÅNGE</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27306-2024</t>
        </is>
      </c>
      <c r="B1124" s="1" t="n">
        <v>45471.94454861111</v>
      </c>
      <c r="C1124" s="1" t="n">
        <v>45911</v>
      </c>
      <c r="D1124" t="inlineStr">
        <is>
          <t>VÄSTERNORRLANDS LÄN</t>
        </is>
      </c>
      <c r="E1124" t="inlineStr">
        <is>
          <t>ÅNGE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11396-2024</t>
        </is>
      </c>
      <c r="B1125" s="1" t="n">
        <v>45372</v>
      </c>
      <c r="C1125" s="1" t="n">
        <v>45911</v>
      </c>
      <c r="D1125" t="inlineStr">
        <is>
          <t>VÄSTERNORRLANDS LÄN</t>
        </is>
      </c>
      <c r="E1125" t="inlineStr">
        <is>
          <t>ÅNGE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42863-2025</t>
        </is>
      </c>
      <c r="B1126" s="1" t="n">
        <v>45908.61527777778</v>
      </c>
      <c r="C1126" s="1" t="n">
        <v>45911</v>
      </c>
      <c r="D1126" t="inlineStr">
        <is>
          <t>VÄSTERNORRLANDS LÄN</t>
        </is>
      </c>
      <c r="E1126" t="inlineStr">
        <is>
          <t>ÅNGE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49711-2024</t>
        </is>
      </c>
      <c r="B1127" s="1" t="n">
        <v>45596.69891203703</v>
      </c>
      <c r="C1127" s="1" t="n">
        <v>45911</v>
      </c>
      <c r="D1127" t="inlineStr">
        <is>
          <t>VÄSTERNORRLANDS LÄN</t>
        </is>
      </c>
      <c r="E1127" t="inlineStr">
        <is>
          <t>ÅNGE</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25680-2023</t>
        </is>
      </c>
      <c r="B1128" s="1" t="n">
        <v>45089</v>
      </c>
      <c r="C1128" s="1" t="n">
        <v>45911</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24293-2023</t>
        </is>
      </c>
      <c r="B1129" s="1" t="n">
        <v>45079.92756944444</v>
      </c>
      <c r="C1129" s="1" t="n">
        <v>45911</v>
      </c>
      <c r="D1129" t="inlineStr">
        <is>
          <t>VÄSTERNORRLANDS LÄN</t>
        </is>
      </c>
      <c r="E1129" t="inlineStr">
        <is>
          <t>ÅNGE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25779-2023</t>
        </is>
      </c>
      <c r="B1130" s="1" t="n">
        <v>45090.47439814815</v>
      </c>
      <c r="C1130" s="1" t="n">
        <v>45911</v>
      </c>
      <c r="D1130" t="inlineStr">
        <is>
          <t>VÄSTERNORRLANDS LÄN</t>
        </is>
      </c>
      <c r="E1130" t="inlineStr">
        <is>
          <t>ÅNGE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9211-2023</t>
        </is>
      </c>
      <c r="B1131" s="1" t="n">
        <v>44980</v>
      </c>
      <c r="C1131" s="1" t="n">
        <v>45911</v>
      </c>
      <c r="D1131" t="inlineStr">
        <is>
          <t>VÄSTERNORRLANDS LÄN</t>
        </is>
      </c>
      <c r="E1131" t="inlineStr">
        <is>
          <t>ÅNGE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42715-2025</t>
        </is>
      </c>
      <c r="B1132" s="1" t="n">
        <v>45908.3858912037</v>
      </c>
      <c r="C1132" s="1" t="n">
        <v>45911</v>
      </c>
      <c r="D1132" t="inlineStr">
        <is>
          <t>VÄSTERNORRLANDS LÄN</t>
        </is>
      </c>
      <c r="E1132" t="inlineStr">
        <is>
          <t>ÅNGE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45911</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42785-2025</t>
        </is>
      </c>
      <c r="B1134" s="1" t="n">
        <v>45908.51083333333</v>
      </c>
      <c r="C1134" s="1" t="n">
        <v>45911</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27260-2023</t>
        </is>
      </c>
      <c r="B1135" s="1" t="n">
        <v>45092</v>
      </c>
      <c r="C1135" s="1" t="n">
        <v>45911</v>
      </c>
      <c r="D1135" t="inlineStr">
        <is>
          <t>VÄSTERNORRLANDS LÄN</t>
        </is>
      </c>
      <c r="E1135" t="inlineStr">
        <is>
          <t>ÅNGE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59818-2024</t>
        </is>
      </c>
      <c r="B1136" s="1" t="n">
        <v>45639.63572916666</v>
      </c>
      <c r="C1136" s="1" t="n">
        <v>45911</v>
      </c>
      <c r="D1136" t="inlineStr">
        <is>
          <t>VÄSTERNORRLANDS LÄN</t>
        </is>
      </c>
      <c r="E1136" t="inlineStr">
        <is>
          <t>ÅNGE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16934-2025</t>
        </is>
      </c>
      <c r="B1137" s="1" t="n">
        <v>45755.40671296296</v>
      </c>
      <c r="C1137" s="1" t="n">
        <v>45911</v>
      </c>
      <c r="D1137" t="inlineStr">
        <is>
          <t>VÄSTERNORRLANDS LÄN</t>
        </is>
      </c>
      <c r="E1137" t="inlineStr">
        <is>
          <t>ÅNGE</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42731-2025</t>
        </is>
      </c>
      <c r="B1138" s="1" t="n">
        <v>45908.40686342592</v>
      </c>
      <c r="C1138" s="1" t="n">
        <v>45911</v>
      </c>
      <c r="D1138" t="inlineStr">
        <is>
          <t>VÄSTERNORRLANDS LÄN</t>
        </is>
      </c>
      <c r="E1138" t="inlineStr">
        <is>
          <t>ÅNGE</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56434-2021</t>
        </is>
      </c>
      <c r="B1139" s="1" t="n">
        <v>44477</v>
      </c>
      <c r="C1139" s="1" t="n">
        <v>45911</v>
      </c>
      <c r="D1139" t="inlineStr">
        <is>
          <t>VÄSTERNORRLANDS LÄN</t>
        </is>
      </c>
      <c r="E1139" t="inlineStr">
        <is>
          <t>ÅNGE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36205-2025</t>
        </is>
      </c>
      <c r="B1140" s="1" t="n">
        <v>45867.44855324074</v>
      </c>
      <c r="C1140" s="1" t="n">
        <v>45911</v>
      </c>
      <c r="D1140" t="inlineStr">
        <is>
          <t>VÄSTERNORRLANDS LÄN</t>
        </is>
      </c>
      <c r="E1140" t="inlineStr">
        <is>
          <t>ÅNGE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37108-2025</t>
        </is>
      </c>
      <c r="B1141" s="1" t="n">
        <v>45875</v>
      </c>
      <c r="C1141" s="1" t="n">
        <v>45911</v>
      </c>
      <c r="D1141" t="inlineStr">
        <is>
          <t>VÄSTERNORRLANDS LÄN</t>
        </is>
      </c>
      <c r="E1141" t="inlineStr">
        <is>
          <t>ÅNGE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1769-2023</t>
        </is>
      </c>
      <c r="B1142" s="1" t="n">
        <v>44938.58025462963</v>
      </c>
      <c r="C1142" s="1" t="n">
        <v>45911</v>
      </c>
      <c r="D1142" t="inlineStr">
        <is>
          <t>VÄSTERNORRLANDS LÄN</t>
        </is>
      </c>
      <c r="E1142" t="inlineStr">
        <is>
          <t>ÅNGE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1775-2023</t>
        </is>
      </c>
      <c r="B1143" s="1" t="n">
        <v>44938</v>
      </c>
      <c r="C1143" s="1" t="n">
        <v>45911</v>
      </c>
      <c r="D1143" t="inlineStr">
        <is>
          <t>VÄSTERNORRLANDS LÄN</t>
        </is>
      </c>
      <c r="E1143" t="inlineStr">
        <is>
          <t>ÅNGE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10878-2024</t>
        </is>
      </c>
      <c r="B1144" s="1" t="n">
        <v>45370</v>
      </c>
      <c r="C1144" s="1" t="n">
        <v>45911</v>
      </c>
      <c r="D1144" t="inlineStr">
        <is>
          <t>VÄSTERNORRLANDS LÄN</t>
        </is>
      </c>
      <c r="E1144" t="inlineStr">
        <is>
          <t>ÅNGE</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19066-2024</t>
        </is>
      </c>
      <c r="B1145" s="1" t="n">
        <v>45427</v>
      </c>
      <c r="C1145" s="1" t="n">
        <v>45911</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43221-2025</t>
        </is>
      </c>
      <c r="B1146" s="1" t="n">
        <v>45910.47981481482</v>
      </c>
      <c r="C1146" s="1" t="n">
        <v>45911</v>
      </c>
      <c r="D1146" t="inlineStr">
        <is>
          <t>VÄSTERNORRLANDS LÄN</t>
        </is>
      </c>
      <c r="E1146" t="inlineStr">
        <is>
          <t>ÅNGE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3629-2023</t>
        </is>
      </c>
      <c r="B1147" s="1" t="n">
        <v>44950</v>
      </c>
      <c r="C1147" s="1" t="n">
        <v>45911</v>
      </c>
      <c r="D1147" t="inlineStr">
        <is>
          <t>VÄSTERNORRLANDS LÄN</t>
        </is>
      </c>
      <c r="E1147" t="inlineStr">
        <is>
          <t>ÅNGE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3631-2023</t>
        </is>
      </c>
      <c r="B1148" s="1" t="n">
        <v>44950</v>
      </c>
      <c r="C1148" s="1" t="n">
        <v>45911</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31177-2024</t>
        </is>
      </c>
      <c r="B1149" s="1" t="n">
        <v>45503</v>
      </c>
      <c r="C1149" s="1" t="n">
        <v>45911</v>
      </c>
      <c r="D1149" t="inlineStr">
        <is>
          <t>VÄSTERNORRLANDS LÄN</t>
        </is>
      </c>
      <c r="E1149" t="inlineStr">
        <is>
          <t>ÅNGE</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50179-2024</t>
        </is>
      </c>
      <c r="B1150" s="1" t="n">
        <v>45600</v>
      </c>
      <c r="C1150" s="1" t="n">
        <v>45911</v>
      </c>
      <c r="D1150" t="inlineStr">
        <is>
          <t>VÄSTERNORRLANDS LÄN</t>
        </is>
      </c>
      <c r="E1150" t="inlineStr">
        <is>
          <t>ÅNGE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43237-2025</t>
        </is>
      </c>
      <c r="B1151" s="1" t="n">
        <v>45910.51670138889</v>
      </c>
      <c r="C1151" s="1" t="n">
        <v>45911</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2140-2023</t>
        </is>
      </c>
      <c r="B1152" s="1" t="n">
        <v>44940</v>
      </c>
      <c r="C1152" s="1" t="n">
        <v>45911</v>
      </c>
      <c r="D1152" t="inlineStr">
        <is>
          <t>VÄSTERNORRLANDS LÄN</t>
        </is>
      </c>
      <c r="E1152" t="inlineStr">
        <is>
          <t>ÅNGE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54946-2021</t>
        </is>
      </c>
      <c r="B1153" s="1" t="n">
        <v>44474.46466435185</v>
      </c>
      <c r="C1153" s="1" t="n">
        <v>45911</v>
      </c>
      <c r="D1153" t="inlineStr">
        <is>
          <t>VÄSTERNORRLANDS LÄN</t>
        </is>
      </c>
      <c r="E1153" t="inlineStr">
        <is>
          <t>ÅNGE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30347-2024</t>
        </is>
      </c>
      <c r="B1154" s="1" t="n">
        <v>45490.95515046296</v>
      </c>
      <c r="C1154" s="1" t="n">
        <v>45911</v>
      </c>
      <c r="D1154" t="inlineStr">
        <is>
          <t>VÄSTERNORRLANDS LÄN</t>
        </is>
      </c>
      <c r="E1154" t="inlineStr">
        <is>
          <t>ÅNGE</t>
        </is>
      </c>
      <c r="F1154" t="inlineStr">
        <is>
          <t>SCA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57109-2023</t>
        </is>
      </c>
      <c r="B1155" s="1" t="n">
        <v>45239</v>
      </c>
      <c r="C1155" s="1" t="n">
        <v>45911</v>
      </c>
      <c r="D1155" t="inlineStr">
        <is>
          <t>VÄSTERNORRLANDS LÄN</t>
        </is>
      </c>
      <c r="E1155" t="inlineStr">
        <is>
          <t>ÅNGE</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36240-2025</t>
        </is>
      </c>
      <c r="B1156" s="1" t="n">
        <v>45867.55298611111</v>
      </c>
      <c r="C1156" s="1" t="n">
        <v>45911</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36210-2025</t>
        </is>
      </c>
      <c r="B1157" s="1" t="n">
        <v>45867.46930555555</v>
      </c>
      <c r="C1157" s="1" t="n">
        <v>45911</v>
      </c>
      <c r="D1157" t="inlineStr">
        <is>
          <t>VÄSTERNORRLANDS LÄN</t>
        </is>
      </c>
      <c r="E1157" t="inlineStr">
        <is>
          <t>ÅNGE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36236-2025</t>
        </is>
      </c>
      <c r="B1158" s="1" t="n">
        <v>45867.55245370371</v>
      </c>
      <c r="C1158" s="1" t="n">
        <v>45911</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55177-2024</t>
        </is>
      </c>
      <c r="B1159" s="1" t="n">
        <v>45621.53179398148</v>
      </c>
      <c r="C1159" s="1" t="n">
        <v>45911</v>
      </c>
      <c r="D1159" t="inlineStr">
        <is>
          <t>VÄSTERNORRLANDS LÄN</t>
        </is>
      </c>
      <c r="E1159" t="inlineStr">
        <is>
          <t>ÅNGE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42346-2023</t>
        </is>
      </c>
      <c r="B1160" s="1" t="n">
        <v>45180</v>
      </c>
      <c r="C1160" s="1" t="n">
        <v>45911</v>
      </c>
      <c r="D1160" t="inlineStr">
        <is>
          <t>VÄSTERNORRLANDS LÄN</t>
        </is>
      </c>
      <c r="E1160" t="inlineStr">
        <is>
          <t>ÅNGE</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43252-2025</t>
        </is>
      </c>
      <c r="B1161" s="1" t="n">
        <v>45910.55292824074</v>
      </c>
      <c r="C1161" s="1" t="n">
        <v>45911</v>
      </c>
      <c r="D1161" t="inlineStr">
        <is>
          <t>VÄSTERNORRLANDS LÄN</t>
        </is>
      </c>
      <c r="E1161" t="inlineStr">
        <is>
          <t>ÅNGE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16563-2025</t>
        </is>
      </c>
      <c r="B1162" s="1" t="n">
        <v>45752.34430555555</v>
      </c>
      <c r="C1162" s="1" t="n">
        <v>45911</v>
      </c>
      <c r="D1162" t="inlineStr">
        <is>
          <t>VÄSTERNORRLANDS LÄN</t>
        </is>
      </c>
      <c r="E1162" t="inlineStr">
        <is>
          <t>ÅNGE</t>
        </is>
      </c>
      <c r="F1162" t="inlineStr">
        <is>
          <t>SCA</t>
        </is>
      </c>
      <c r="G1162" t="n">
        <v>24.7</v>
      </c>
      <c r="H1162" t="n">
        <v>0</v>
      </c>
      <c r="I1162" t="n">
        <v>0</v>
      </c>
      <c r="J1162" t="n">
        <v>0</v>
      </c>
      <c r="K1162" t="n">
        <v>0</v>
      </c>
      <c r="L1162" t="n">
        <v>0</v>
      </c>
      <c r="M1162" t="n">
        <v>0</v>
      </c>
      <c r="N1162" t="n">
        <v>0</v>
      </c>
      <c r="O1162" t="n">
        <v>0</v>
      </c>
      <c r="P1162" t="n">
        <v>0</v>
      </c>
      <c r="Q1162" t="n">
        <v>0</v>
      </c>
      <c r="R1162" s="2" t="inlineStr"/>
    </row>
    <row r="1163" ht="15" customHeight="1">
      <c r="A1163" t="inlineStr">
        <is>
          <t>A 36248-2025</t>
        </is>
      </c>
      <c r="B1163" s="1" t="n">
        <v>45867.57326388889</v>
      </c>
      <c r="C1163" s="1" t="n">
        <v>45911</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36249-2025</t>
        </is>
      </c>
      <c r="B1164" s="1" t="n">
        <v>45867</v>
      </c>
      <c r="C1164" s="1" t="n">
        <v>45911</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43096-2023</t>
        </is>
      </c>
      <c r="B1165" s="1" t="n">
        <v>45182</v>
      </c>
      <c r="C1165" s="1" t="n">
        <v>45911</v>
      </c>
      <c r="D1165" t="inlineStr">
        <is>
          <t>VÄSTERNORRLANDS LÄN</t>
        </is>
      </c>
      <c r="E1165" t="inlineStr">
        <is>
          <t>ÅNGE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3322-2025</t>
        </is>
      </c>
      <c r="B1166" s="1" t="n">
        <v>45679.6989699074</v>
      </c>
      <c r="C1166" s="1" t="n">
        <v>45911</v>
      </c>
      <c r="D1166" t="inlineStr">
        <is>
          <t>VÄSTERNORRLANDS LÄN</t>
        </is>
      </c>
      <c r="E1166" t="inlineStr">
        <is>
          <t>ÅNGE</t>
        </is>
      </c>
      <c r="F1166" t="inlineStr">
        <is>
          <t>SCA</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3327-2025</t>
        </is>
      </c>
      <c r="B1167" s="1" t="n">
        <v>45679.69967592593</v>
      </c>
      <c r="C1167" s="1" t="n">
        <v>45911</v>
      </c>
      <c r="D1167" t="inlineStr">
        <is>
          <t>VÄSTERNORRLANDS LÄN</t>
        </is>
      </c>
      <c r="E1167" t="inlineStr">
        <is>
          <t>ÅNGE</t>
        </is>
      </c>
      <c r="F1167" t="inlineStr">
        <is>
          <t>SCA</t>
        </is>
      </c>
      <c r="G1167" t="n">
        <v>12.9</v>
      </c>
      <c r="H1167" t="n">
        <v>0</v>
      </c>
      <c r="I1167" t="n">
        <v>0</v>
      </c>
      <c r="J1167" t="n">
        <v>0</v>
      </c>
      <c r="K1167" t="n">
        <v>0</v>
      </c>
      <c r="L1167" t="n">
        <v>0</v>
      </c>
      <c r="M1167" t="n">
        <v>0</v>
      </c>
      <c r="N1167" t="n">
        <v>0</v>
      </c>
      <c r="O1167" t="n">
        <v>0</v>
      </c>
      <c r="P1167" t="n">
        <v>0</v>
      </c>
      <c r="Q1167" t="n">
        <v>0</v>
      </c>
      <c r="R1167" s="2" t="inlineStr"/>
    </row>
    <row r="1168" ht="15" customHeight="1">
      <c r="A1168" t="inlineStr">
        <is>
          <t>A 36237-2025</t>
        </is>
      </c>
      <c r="B1168" s="1" t="n">
        <v>45867.55263888889</v>
      </c>
      <c r="C1168" s="1" t="n">
        <v>45911</v>
      </c>
      <c r="D1168" t="inlineStr">
        <is>
          <t>VÄSTERNORRLANDS LÄN</t>
        </is>
      </c>
      <c r="E1168" t="inlineStr">
        <is>
          <t>ÅNGE</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15368-2024</t>
        </is>
      </c>
      <c r="B1169" s="1" t="n">
        <v>45400.92284722222</v>
      </c>
      <c r="C1169" s="1" t="n">
        <v>45911</v>
      </c>
      <c r="D1169" t="inlineStr">
        <is>
          <t>VÄSTERNORRLANDS LÄN</t>
        </is>
      </c>
      <c r="E1169" t="inlineStr">
        <is>
          <t>ÅNGE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43265-2025</t>
        </is>
      </c>
      <c r="B1170" s="1" t="n">
        <v>45910.57377314815</v>
      </c>
      <c r="C1170" s="1" t="n">
        <v>45911</v>
      </c>
      <c r="D1170" t="inlineStr">
        <is>
          <t>VÄSTERNORRLANDS LÄN</t>
        </is>
      </c>
      <c r="E1170" t="inlineStr">
        <is>
          <t>ÅNGE</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57636-2022</t>
        </is>
      </c>
      <c r="B1171" s="1" t="n">
        <v>44897</v>
      </c>
      <c r="C1171" s="1" t="n">
        <v>45911</v>
      </c>
      <c r="D1171" t="inlineStr">
        <is>
          <t>VÄSTERNORRLANDS LÄN</t>
        </is>
      </c>
      <c r="E1171" t="inlineStr">
        <is>
          <t>ÅNGE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36193-2025</t>
        </is>
      </c>
      <c r="B1172" s="1" t="n">
        <v>45867.42741898148</v>
      </c>
      <c r="C1172" s="1" t="n">
        <v>45911</v>
      </c>
      <c r="D1172" t="inlineStr">
        <is>
          <t>VÄSTERNORRLANDS LÄN</t>
        </is>
      </c>
      <c r="E1172" t="inlineStr">
        <is>
          <t>ÅNGE</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43091-2025</t>
        </is>
      </c>
      <c r="B1173" s="1" t="n">
        <v>45909.62511574074</v>
      </c>
      <c r="C1173" s="1" t="n">
        <v>45911</v>
      </c>
      <c r="D1173" t="inlineStr">
        <is>
          <t>VÄSTERNORRLANDS LÄN</t>
        </is>
      </c>
      <c r="E1173" t="inlineStr">
        <is>
          <t>ÅNGE</t>
        </is>
      </c>
      <c r="F1173" t="inlineStr">
        <is>
          <t>Kyrkan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36336-2025</t>
        </is>
      </c>
      <c r="B1174" s="1" t="n">
        <v>45868.44751157407</v>
      </c>
      <c r="C1174" s="1" t="n">
        <v>45911</v>
      </c>
      <c r="D1174" t="inlineStr">
        <is>
          <t>VÄSTERNORRLANDS LÄN</t>
        </is>
      </c>
      <c r="E1174" t="inlineStr">
        <is>
          <t>ÅNGE</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52685-2024</t>
        </is>
      </c>
      <c r="B1175" s="1" t="n">
        <v>45610</v>
      </c>
      <c r="C1175" s="1" t="n">
        <v>45911</v>
      </c>
      <c r="D1175" t="inlineStr">
        <is>
          <t>VÄSTERNORRLANDS LÄN</t>
        </is>
      </c>
      <c r="E1175" t="inlineStr">
        <is>
          <t>ÅNGE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3947-2025</t>
        </is>
      </c>
      <c r="B1176" s="1" t="n">
        <v>45684.49001157407</v>
      </c>
      <c r="C1176" s="1" t="n">
        <v>45911</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55664-2023</t>
        </is>
      </c>
      <c r="B1177" s="1" t="n">
        <v>45238.96748842593</v>
      </c>
      <c r="C1177" s="1" t="n">
        <v>45911</v>
      </c>
      <c r="D1177" t="inlineStr">
        <is>
          <t>VÄSTERNORRLANDS LÄN</t>
        </is>
      </c>
      <c r="E1177" t="inlineStr">
        <is>
          <t>ÅNGE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43250-2025</t>
        </is>
      </c>
      <c r="B1178" s="1" t="n">
        <v>45910.5525462963</v>
      </c>
      <c r="C1178" s="1" t="n">
        <v>45911</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15603-2024</t>
        </is>
      </c>
      <c r="B1179" s="1" t="n">
        <v>45401.92501157407</v>
      </c>
      <c r="C1179" s="1" t="n">
        <v>45911</v>
      </c>
      <c r="D1179" t="inlineStr">
        <is>
          <t>VÄSTERNORRLANDS LÄN</t>
        </is>
      </c>
      <c r="E1179" t="inlineStr">
        <is>
          <t>ÅNGE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43077-2025</t>
        </is>
      </c>
      <c r="B1180" s="1" t="n">
        <v>45909.6046412037</v>
      </c>
      <c r="C1180" s="1" t="n">
        <v>45911</v>
      </c>
      <c r="D1180" t="inlineStr">
        <is>
          <t>VÄSTERNORRLANDS LÄN</t>
        </is>
      </c>
      <c r="E1180" t="inlineStr">
        <is>
          <t>ÅNGE</t>
        </is>
      </c>
      <c r="F1180" t="inlineStr">
        <is>
          <t>Kyrkan</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52804-2024</t>
        </is>
      </c>
      <c r="B1181" s="1" t="n">
        <v>45610.57322916666</v>
      </c>
      <c r="C1181" s="1" t="n">
        <v>45911</v>
      </c>
      <c r="D1181" t="inlineStr">
        <is>
          <t>VÄSTERNORRLANDS LÄN</t>
        </is>
      </c>
      <c r="E1181" t="inlineStr">
        <is>
          <t>ÅNGE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21151-2024</t>
        </is>
      </c>
      <c r="B1182" s="1" t="n">
        <v>45440</v>
      </c>
      <c r="C1182" s="1" t="n">
        <v>45911</v>
      </c>
      <c r="D1182" t="inlineStr">
        <is>
          <t>VÄSTERNORRLANDS LÄN</t>
        </is>
      </c>
      <c r="E1182" t="inlineStr">
        <is>
          <t>ÅNGE</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58275-2022</t>
        </is>
      </c>
      <c r="B1183" s="1" t="n">
        <v>44901.47865740741</v>
      </c>
      <c r="C1183" s="1" t="n">
        <v>45911</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13706-2023</t>
        </is>
      </c>
      <c r="B1184" s="1" t="n">
        <v>45006</v>
      </c>
      <c r="C1184" s="1" t="n">
        <v>45911</v>
      </c>
      <c r="D1184" t="inlineStr">
        <is>
          <t>VÄSTERNORRLANDS LÄN</t>
        </is>
      </c>
      <c r="E1184" t="inlineStr">
        <is>
          <t>ÅNGE</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6462-2024</t>
        </is>
      </c>
      <c r="B1185" s="1" t="n">
        <v>45338</v>
      </c>
      <c r="C1185" s="1" t="n">
        <v>45911</v>
      </c>
      <c r="D1185" t="inlineStr">
        <is>
          <t>VÄSTERNORRLANDS LÄN</t>
        </is>
      </c>
      <c r="E1185" t="inlineStr">
        <is>
          <t>ÅNGE</t>
        </is>
      </c>
      <c r="F1185" t="inlineStr">
        <is>
          <t>Kyrkan</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26490-2024</t>
        </is>
      </c>
      <c r="B1186" s="1" t="n">
        <v>45469</v>
      </c>
      <c r="C1186" s="1" t="n">
        <v>45911</v>
      </c>
      <c r="D1186" t="inlineStr">
        <is>
          <t>VÄSTERNORRLANDS LÄN</t>
        </is>
      </c>
      <c r="E1186" t="inlineStr">
        <is>
          <t>ÅNGE</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29063-2023</t>
        </is>
      </c>
      <c r="B1187" s="1" t="n">
        <v>45104.94068287037</v>
      </c>
      <c r="C1187" s="1" t="n">
        <v>45911</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51609-2023</t>
        </is>
      </c>
      <c r="B1188" s="1" t="n">
        <v>45215</v>
      </c>
      <c r="C1188" s="1" t="n">
        <v>45911</v>
      </c>
      <c r="D1188" t="inlineStr">
        <is>
          <t>VÄSTERNORRLANDS LÄN</t>
        </is>
      </c>
      <c r="E1188" t="inlineStr">
        <is>
          <t>ÅNGE</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33747-2024</t>
        </is>
      </c>
      <c r="B1189" s="1" t="n">
        <v>45520</v>
      </c>
      <c r="C1189" s="1" t="n">
        <v>45911</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34754-2024</t>
        </is>
      </c>
      <c r="B1190" s="1" t="n">
        <v>45526</v>
      </c>
      <c r="C1190" s="1" t="n">
        <v>45911</v>
      </c>
      <c r="D1190" t="inlineStr">
        <is>
          <t>VÄSTERNORRLANDS LÄN</t>
        </is>
      </c>
      <c r="E1190" t="inlineStr">
        <is>
          <t>ÅNGE</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22411-2023</t>
        </is>
      </c>
      <c r="B1191" s="1" t="n">
        <v>45070</v>
      </c>
      <c r="C1191" s="1" t="n">
        <v>45911</v>
      </c>
      <c r="D1191" t="inlineStr">
        <is>
          <t>VÄSTERNORRLANDS LÄN</t>
        </is>
      </c>
      <c r="E1191" t="inlineStr">
        <is>
          <t>ÅNGE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53970-2021</t>
        </is>
      </c>
      <c r="B1192" s="1" t="n">
        <v>44469</v>
      </c>
      <c r="C1192" s="1" t="n">
        <v>45911</v>
      </c>
      <c r="D1192" t="inlineStr">
        <is>
          <t>VÄSTERNORRLANDS LÄN</t>
        </is>
      </c>
      <c r="E1192" t="inlineStr">
        <is>
          <t>ÅNGE</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2415-2024</t>
        </is>
      </c>
      <c r="B1193" s="1" t="n">
        <v>45310</v>
      </c>
      <c r="C1193" s="1" t="n">
        <v>45911</v>
      </c>
      <c r="D1193" t="inlineStr">
        <is>
          <t>VÄSTERNORRLANDS LÄN</t>
        </is>
      </c>
      <c r="E1193" t="inlineStr">
        <is>
          <t>ÅNGE</t>
        </is>
      </c>
      <c r="F1193" t="inlineStr">
        <is>
          <t>Kyrkan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5606-2025</t>
        </is>
      </c>
      <c r="B1194" s="1" t="n">
        <v>45693.59403935185</v>
      </c>
      <c r="C1194" s="1" t="n">
        <v>45911</v>
      </c>
      <c r="D1194" t="inlineStr">
        <is>
          <t>VÄSTERNORRLANDS LÄN</t>
        </is>
      </c>
      <c r="E1194" t="inlineStr">
        <is>
          <t>ÅNGE</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6686-2024</t>
        </is>
      </c>
      <c r="B1195" s="1" t="n">
        <v>45341</v>
      </c>
      <c r="C1195" s="1" t="n">
        <v>45911</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4071-2025</t>
        </is>
      </c>
      <c r="B1196" s="1" t="n">
        <v>45684.63579861111</v>
      </c>
      <c r="C1196" s="1" t="n">
        <v>45911</v>
      </c>
      <c r="D1196" t="inlineStr">
        <is>
          <t>VÄSTERNORRLANDS LÄN</t>
        </is>
      </c>
      <c r="E1196" t="inlineStr">
        <is>
          <t>ÅNGE</t>
        </is>
      </c>
      <c r="F1196" t="inlineStr">
        <is>
          <t>SCA</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30682-2024</t>
        </is>
      </c>
      <c r="B1197" s="1" t="n">
        <v>45495.95109953704</v>
      </c>
      <c r="C1197" s="1" t="n">
        <v>45911</v>
      </c>
      <c r="D1197" t="inlineStr">
        <is>
          <t>VÄSTERNORRLANDS LÄN</t>
        </is>
      </c>
      <c r="E1197" t="inlineStr">
        <is>
          <t>ÅNGE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6619-2025</t>
        </is>
      </c>
      <c r="B1198" s="1" t="n">
        <v>45700.36541666667</v>
      </c>
      <c r="C1198" s="1" t="n">
        <v>45911</v>
      </c>
      <c r="D1198" t="inlineStr">
        <is>
          <t>VÄSTERNORRLANDS LÄN</t>
        </is>
      </c>
      <c r="E1198" t="inlineStr">
        <is>
          <t>ÅNGE</t>
        </is>
      </c>
      <c r="F1198" t="inlineStr">
        <is>
          <t>SCA</t>
        </is>
      </c>
      <c r="G1198" t="n">
        <v>10.3</v>
      </c>
      <c r="H1198" t="n">
        <v>0</v>
      </c>
      <c r="I1198" t="n">
        <v>0</v>
      </c>
      <c r="J1198" t="n">
        <v>0</v>
      </c>
      <c r="K1198" t="n">
        <v>0</v>
      </c>
      <c r="L1198" t="n">
        <v>0</v>
      </c>
      <c r="M1198" t="n">
        <v>0</v>
      </c>
      <c r="N1198" t="n">
        <v>0</v>
      </c>
      <c r="O1198" t="n">
        <v>0</v>
      </c>
      <c r="P1198" t="n">
        <v>0</v>
      </c>
      <c r="Q1198" t="n">
        <v>0</v>
      </c>
      <c r="R1198" s="2" t="inlineStr"/>
    </row>
    <row r="1199" ht="15" customHeight="1">
      <c r="A1199" t="inlineStr">
        <is>
          <t>A 30753-2024</t>
        </is>
      </c>
      <c r="B1199" s="1" t="n">
        <v>45496</v>
      </c>
      <c r="C1199" s="1" t="n">
        <v>45911</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30754-2024</t>
        </is>
      </c>
      <c r="B1200" s="1" t="n">
        <v>45496</v>
      </c>
      <c r="C1200" s="1" t="n">
        <v>45911</v>
      </c>
      <c r="D1200" t="inlineStr">
        <is>
          <t>VÄSTERNORRLANDS LÄN</t>
        </is>
      </c>
      <c r="E1200" t="inlineStr">
        <is>
          <t>ÅNGE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38960-2021</t>
        </is>
      </c>
      <c r="B1201" s="1" t="n">
        <v>44411</v>
      </c>
      <c r="C1201" s="1" t="n">
        <v>45911</v>
      </c>
      <c r="D1201" t="inlineStr">
        <is>
          <t>VÄSTERNORRLANDS LÄN</t>
        </is>
      </c>
      <c r="E1201" t="inlineStr">
        <is>
          <t>ÅNGE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35581-2024</t>
        </is>
      </c>
      <c r="B1202" s="1" t="n">
        <v>45531</v>
      </c>
      <c r="C1202" s="1" t="n">
        <v>45911</v>
      </c>
      <c r="D1202" t="inlineStr">
        <is>
          <t>VÄSTERNORRLANDS LÄN</t>
        </is>
      </c>
      <c r="E1202" t="inlineStr">
        <is>
          <t>ÅNGE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65633-2021</t>
        </is>
      </c>
      <c r="B1203" s="1" t="n">
        <v>44516.56181712963</v>
      </c>
      <c r="C1203" s="1" t="n">
        <v>45911</v>
      </c>
      <c r="D1203" t="inlineStr">
        <is>
          <t>VÄSTERNORRLANDS LÄN</t>
        </is>
      </c>
      <c r="E1203" t="inlineStr">
        <is>
          <t>ÅNGE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15868-2025</t>
        </is>
      </c>
      <c r="B1204" s="1" t="n">
        <v>45749.36928240741</v>
      </c>
      <c r="C1204" s="1" t="n">
        <v>45911</v>
      </c>
      <c r="D1204" t="inlineStr">
        <is>
          <t>VÄSTERNORRLANDS LÄN</t>
        </is>
      </c>
      <c r="E1204" t="inlineStr">
        <is>
          <t>ÅNGE</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53856-2024</t>
        </is>
      </c>
      <c r="B1205" s="1" t="n">
        <v>45615</v>
      </c>
      <c r="C1205" s="1" t="n">
        <v>45911</v>
      </c>
      <c r="D1205" t="inlineStr">
        <is>
          <t>VÄSTERNORRLANDS LÄN</t>
        </is>
      </c>
      <c r="E1205" t="inlineStr">
        <is>
          <t>ÅNGE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53858-2024</t>
        </is>
      </c>
      <c r="B1206" s="1" t="n">
        <v>45615</v>
      </c>
      <c r="C1206" s="1" t="n">
        <v>45911</v>
      </c>
      <c r="D1206" t="inlineStr">
        <is>
          <t>VÄSTERNORRLANDS LÄN</t>
        </is>
      </c>
      <c r="E1206" t="inlineStr">
        <is>
          <t>ÅNGE</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8070-2022</t>
        </is>
      </c>
      <c r="B1207" s="1" t="n">
        <v>44609.48665509259</v>
      </c>
      <c r="C1207" s="1" t="n">
        <v>45911</v>
      </c>
      <c r="D1207" t="inlineStr">
        <is>
          <t>VÄSTERNORRLANDS LÄN</t>
        </is>
      </c>
      <c r="E1207" t="inlineStr">
        <is>
          <t>ÅNGE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22997-2023</t>
        </is>
      </c>
      <c r="B1208" s="1" t="n">
        <v>45072.94211805556</v>
      </c>
      <c r="C1208" s="1" t="n">
        <v>45911</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41507-2024</t>
        </is>
      </c>
      <c r="B1209" s="1" t="n">
        <v>45560</v>
      </c>
      <c r="C1209" s="1" t="n">
        <v>45911</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6487-2021</t>
        </is>
      </c>
      <c r="B1210" s="1" t="n">
        <v>44235</v>
      </c>
      <c r="C1210" s="1" t="n">
        <v>45911</v>
      </c>
      <c r="D1210" t="inlineStr">
        <is>
          <t>VÄSTERNORRLANDS LÄN</t>
        </is>
      </c>
      <c r="E1210" t="inlineStr">
        <is>
          <t>ÅNGE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17749-2025</t>
        </is>
      </c>
      <c r="B1211" s="1" t="n">
        <v>45758.48380787037</v>
      </c>
      <c r="C1211" s="1" t="n">
        <v>45911</v>
      </c>
      <c r="D1211" t="inlineStr">
        <is>
          <t>VÄSTERNORRLANDS LÄN</t>
        </is>
      </c>
      <c r="E1211" t="inlineStr">
        <is>
          <t>ÅNGE</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42044-2024</t>
        </is>
      </c>
      <c r="B1212" s="1" t="n">
        <v>45561</v>
      </c>
      <c r="C1212" s="1" t="n">
        <v>45911</v>
      </c>
      <c r="D1212" t="inlineStr">
        <is>
          <t>VÄSTERNORRLANDS LÄN</t>
        </is>
      </c>
      <c r="E1212" t="inlineStr">
        <is>
          <t>ÅNGE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3256-2024</t>
        </is>
      </c>
      <c r="B1213" s="1" t="n">
        <v>45316</v>
      </c>
      <c r="C1213" s="1" t="n">
        <v>45911</v>
      </c>
      <c r="D1213" t="inlineStr">
        <is>
          <t>VÄSTERNORRLANDS LÄN</t>
        </is>
      </c>
      <c r="E1213" t="inlineStr">
        <is>
          <t>ÅNGE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14097-2022</t>
        </is>
      </c>
      <c r="B1214" s="1" t="n">
        <v>44651</v>
      </c>
      <c r="C1214" s="1" t="n">
        <v>45911</v>
      </c>
      <c r="D1214" t="inlineStr">
        <is>
          <t>VÄSTERNORRLANDS LÄN</t>
        </is>
      </c>
      <c r="E1214" t="inlineStr">
        <is>
          <t>ÅNGE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29667-2024</t>
        </is>
      </c>
      <c r="B1215" s="1" t="n">
        <v>45484.94041666666</v>
      </c>
      <c r="C1215" s="1" t="n">
        <v>45911</v>
      </c>
      <c r="D1215" t="inlineStr">
        <is>
          <t>VÄSTERNORRLANDS LÄN</t>
        </is>
      </c>
      <c r="E1215" t="inlineStr">
        <is>
          <t>ÅNGE</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39975-2023</t>
        </is>
      </c>
      <c r="B1216" s="1" t="n">
        <v>45168.58844907407</v>
      </c>
      <c r="C1216" s="1" t="n">
        <v>45911</v>
      </c>
      <c r="D1216" t="inlineStr">
        <is>
          <t>VÄSTERNORRLANDS LÄN</t>
        </is>
      </c>
      <c r="E1216" t="inlineStr">
        <is>
          <t>ÅNGE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2451-2024</t>
        </is>
      </c>
      <c r="B1217" s="1" t="n">
        <v>45312.58627314815</v>
      </c>
      <c r="C1217" s="1" t="n">
        <v>45911</v>
      </c>
      <c r="D1217" t="inlineStr">
        <is>
          <t>VÄSTERNORRLANDS LÄN</t>
        </is>
      </c>
      <c r="E1217" t="inlineStr">
        <is>
          <t>ÅNGE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32776-2022</t>
        </is>
      </c>
      <c r="B1218" s="1" t="n">
        <v>44783.94607638889</v>
      </c>
      <c r="C1218" s="1" t="n">
        <v>45911</v>
      </c>
      <c r="D1218" t="inlineStr">
        <is>
          <t>VÄSTERNORRLANDS LÄN</t>
        </is>
      </c>
      <c r="E1218" t="inlineStr">
        <is>
          <t>ÅNGE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11032-2025</t>
        </is>
      </c>
      <c r="B1219" s="1" t="n">
        <v>45723.47601851852</v>
      </c>
      <c r="C1219" s="1" t="n">
        <v>45911</v>
      </c>
      <c r="D1219" t="inlineStr">
        <is>
          <t>VÄSTERNORRLANDS LÄN</t>
        </is>
      </c>
      <c r="E1219" t="inlineStr">
        <is>
          <t>ÅNGE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56874-2024</t>
        </is>
      </c>
      <c r="B1220" s="1" t="n">
        <v>45628</v>
      </c>
      <c r="C1220" s="1" t="n">
        <v>45911</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18081-2025</t>
        </is>
      </c>
      <c r="B1221" s="1" t="n">
        <v>45761.51086805556</v>
      </c>
      <c r="C1221" s="1" t="n">
        <v>45911</v>
      </c>
      <c r="D1221" t="inlineStr">
        <is>
          <t>VÄSTERNORRLANDS LÄN</t>
        </is>
      </c>
      <c r="E1221" t="inlineStr">
        <is>
          <t>ÅNGE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14751-2025</t>
        </is>
      </c>
      <c r="B1222" s="1" t="n">
        <v>45742.65863425926</v>
      </c>
      <c r="C1222" s="1" t="n">
        <v>45911</v>
      </c>
      <c r="D1222" t="inlineStr">
        <is>
          <t>VÄSTERNORRLANDS LÄN</t>
        </is>
      </c>
      <c r="E1222" t="inlineStr">
        <is>
          <t>ÅNGE</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10339-2025</t>
        </is>
      </c>
      <c r="B1223" s="1" t="n">
        <v>45720</v>
      </c>
      <c r="C1223" s="1" t="n">
        <v>45911</v>
      </c>
      <c r="D1223" t="inlineStr">
        <is>
          <t>VÄSTERNORRLANDS LÄN</t>
        </is>
      </c>
      <c r="E1223" t="inlineStr">
        <is>
          <t>ÅNGE</t>
        </is>
      </c>
      <c r="F1223" t="inlineStr">
        <is>
          <t>SCA</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16657-2025</t>
        </is>
      </c>
      <c r="B1224" s="1" t="n">
        <v>45754.40700231482</v>
      </c>
      <c r="C1224" s="1" t="n">
        <v>45911</v>
      </c>
      <c r="D1224" t="inlineStr">
        <is>
          <t>VÄSTERNORRLANDS LÄN</t>
        </is>
      </c>
      <c r="E1224" t="inlineStr">
        <is>
          <t>ÅNGE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6608-2025</t>
        </is>
      </c>
      <c r="B1225" s="1" t="n">
        <v>45700.34415509259</v>
      </c>
      <c r="C1225" s="1" t="n">
        <v>45911</v>
      </c>
      <c r="D1225" t="inlineStr">
        <is>
          <t>VÄSTERNORRLANDS LÄN</t>
        </is>
      </c>
      <c r="E1225" t="inlineStr">
        <is>
          <t>ÅNGE</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41083-2024</t>
        </is>
      </c>
      <c r="B1226" s="1" t="n">
        <v>45559.40684027778</v>
      </c>
      <c r="C1226" s="1" t="n">
        <v>45911</v>
      </c>
      <c r="D1226" t="inlineStr">
        <is>
          <t>VÄSTERNORRLANDS LÄN</t>
        </is>
      </c>
      <c r="E1226" t="inlineStr">
        <is>
          <t>ÅNGE</t>
        </is>
      </c>
      <c r="F1226" t="inlineStr">
        <is>
          <t>SCA</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41766-2024</t>
        </is>
      </c>
      <c r="B1227" s="1" t="n">
        <v>45561.34594907407</v>
      </c>
      <c r="C1227" s="1" t="n">
        <v>45911</v>
      </c>
      <c r="D1227" t="inlineStr">
        <is>
          <t>VÄSTERNORRLANDS LÄN</t>
        </is>
      </c>
      <c r="E1227" t="inlineStr">
        <is>
          <t>ÅNGE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18067-2025</t>
        </is>
      </c>
      <c r="B1228" s="1" t="n">
        <v>45761.49016203704</v>
      </c>
      <c r="C1228" s="1" t="n">
        <v>45911</v>
      </c>
      <c r="D1228" t="inlineStr">
        <is>
          <t>VÄSTERNORRLANDS LÄN</t>
        </is>
      </c>
      <c r="E1228" t="inlineStr">
        <is>
          <t>ÅNGE</t>
        </is>
      </c>
      <c r="F1228" t="inlineStr">
        <is>
          <t>SCA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51871-2024</t>
        </is>
      </c>
      <c r="B1229" s="1" t="n">
        <v>45607</v>
      </c>
      <c r="C1229" s="1" t="n">
        <v>45911</v>
      </c>
      <c r="D1229" t="inlineStr">
        <is>
          <t>VÄSTERNORRLANDS LÄN</t>
        </is>
      </c>
      <c r="E1229" t="inlineStr">
        <is>
          <t>ÅNGE</t>
        </is>
      </c>
      <c r="F1229" t="inlineStr">
        <is>
          <t>SCA</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51024-2024</t>
        </is>
      </c>
      <c r="B1230" s="1" t="n">
        <v>45603.4141087963</v>
      </c>
      <c r="C1230" s="1" t="n">
        <v>45911</v>
      </c>
      <c r="D1230" t="inlineStr">
        <is>
          <t>VÄSTERNORRLANDS LÄN</t>
        </is>
      </c>
      <c r="E1230" t="inlineStr">
        <is>
          <t>ÅNGE</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19065-2025</t>
        </is>
      </c>
      <c r="B1231" s="1" t="n">
        <v>45765</v>
      </c>
      <c r="C1231" s="1" t="n">
        <v>45911</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1095-2023</t>
        </is>
      </c>
      <c r="B1232" s="1" t="n">
        <v>44929</v>
      </c>
      <c r="C1232" s="1" t="n">
        <v>45911</v>
      </c>
      <c r="D1232" t="inlineStr">
        <is>
          <t>VÄSTERNORRLANDS LÄN</t>
        </is>
      </c>
      <c r="E1232" t="inlineStr">
        <is>
          <t>ÅNGE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36290-2023</t>
        </is>
      </c>
      <c r="B1233" s="1" t="n">
        <v>45152.35467592593</v>
      </c>
      <c r="C1233" s="1" t="n">
        <v>45911</v>
      </c>
      <c r="D1233" t="inlineStr">
        <is>
          <t>VÄSTERNORRLANDS LÄN</t>
        </is>
      </c>
      <c r="E1233" t="inlineStr">
        <is>
          <t>ÅNGE</t>
        </is>
      </c>
      <c r="F1233" t="inlineStr">
        <is>
          <t>Övriga Aktiebolag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64121-2021</t>
        </is>
      </c>
      <c r="B1234" s="1" t="n">
        <v>44510.4730787037</v>
      </c>
      <c r="C1234" s="1" t="n">
        <v>45911</v>
      </c>
      <c r="D1234" t="inlineStr">
        <is>
          <t>VÄSTERNORRLANDS LÄN</t>
        </is>
      </c>
      <c r="E1234" t="inlineStr">
        <is>
          <t>ÅNGE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48369-2024</t>
        </is>
      </c>
      <c r="B1235" s="1" t="n">
        <v>45590.57960648148</v>
      </c>
      <c r="C1235" s="1" t="n">
        <v>45911</v>
      </c>
      <c r="D1235" t="inlineStr">
        <is>
          <t>VÄSTERNORRLANDS LÄN</t>
        </is>
      </c>
      <c r="E1235" t="inlineStr">
        <is>
          <t>ÅNGE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42881-2024</t>
        </is>
      </c>
      <c r="B1236" s="1" t="n">
        <v>45566.70916666667</v>
      </c>
      <c r="C1236" s="1" t="n">
        <v>45911</v>
      </c>
      <c r="D1236" t="inlineStr">
        <is>
          <t>VÄSTERNORRLANDS LÄN</t>
        </is>
      </c>
      <c r="E1236" t="inlineStr">
        <is>
          <t>ÅNGE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1714-2025</t>
        </is>
      </c>
      <c r="B1237" s="1" t="n">
        <v>45671.32474537037</v>
      </c>
      <c r="C1237" s="1" t="n">
        <v>45911</v>
      </c>
      <c r="D1237" t="inlineStr">
        <is>
          <t>VÄSTERNORRLANDS LÄN</t>
        </is>
      </c>
      <c r="E1237" t="inlineStr">
        <is>
          <t>ÅNGE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11529-2023</t>
        </is>
      </c>
      <c r="B1238" s="1" t="n">
        <v>44993</v>
      </c>
      <c r="C1238" s="1" t="n">
        <v>45911</v>
      </c>
      <c r="D1238" t="inlineStr">
        <is>
          <t>VÄSTERNORRLANDS LÄN</t>
        </is>
      </c>
      <c r="E1238" t="inlineStr">
        <is>
          <t>ÅNGE</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50651-2021</t>
        </is>
      </c>
      <c r="B1239" s="1" t="n">
        <v>44459</v>
      </c>
      <c r="C1239" s="1" t="n">
        <v>45911</v>
      </c>
      <c r="D1239" t="inlineStr">
        <is>
          <t>VÄSTERNORRLANDS LÄN</t>
        </is>
      </c>
      <c r="E1239" t="inlineStr">
        <is>
          <t>ÅNGE</t>
        </is>
      </c>
      <c r="G1239" t="n">
        <v>20.6</v>
      </c>
      <c r="H1239" t="n">
        <v>0</v>
      </c>
      <c r="I1239" t="n">
        <v>0</v>
      </c>
      <c r="J1239" t="n">
        <v>0</v>
      </c>
      <c r="K1239" t="n">
        <v>0</v>
      </c>
      <c r="L1239" t="n">
        <v>0</v>
      </c>
      <c r="M1239" t="n">
        <v>0</v>
      </c>
      <c r="N1239" t="n">
        <v>0</v>
      </c>
      <c r="O1239" t="n">
        <v>0</v>
      </c>
      <c r="P1239" t="n">
        <v>0</v>
      </c>
      <c r="Q1239" t="n">
        <v>0</v>
      </c>
      <c r="R1239" s="2" t="inlineStr"/>
    </row>
    <row r="1240" ht="15" customHeight="1">
      <c r="A1240" t="inlineStr">
        <is>
          <t>A 22752-2023</t>
        </is>
      </c>
      <c r="B1240" s="1" t="n">
        <v>45071.94104166667</v>
      </c>
      <c r="C1240" s="1" t="n">
        <v>45911</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31182-2024</t>
        </is>
      </c>
      <c r="B1241" s="1" t="n">
        <v>45503</v>
      </c>
      <c r="C1241" s="1" t="n">
        <v>45911</v>
      </c>
      <c r="D1241" t="inlineStr">
        <is>
          <t>VÄSTERNORRLANDS LÄN</t>
        </is>
      </c>
      <c r="E1241" t="inlineStr">
        <is>
          <t>ÅNGE</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60779-2024</t>
        </is>
      </c>
      <c r="B1242" s="1" t="n">
        <v>45644</v>
      </c>
      <c r="C1242" s="1" t="n">
        <v>45911</v>
      </c>
      <c r="D1242" t="inlineStr">
        <is>
          <t>VÄSTERNORRLANDS LÄN</t>
        </is>
      </c>
      <c r="E1242" t="inlineStr">
        <is>
          <t>ÅNGE</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28428-2023</t>
        </is>
      </c>
      <c r="B1243" s="1" t="n">
        <v>45102</v>
      </c>
      <c r="C1243" s="1" t="n">
        <v>45911</v>
      </c>
      <c r="D1243" t="inlineStr">
        <is>
          <t>VÄSTERNORRLANDS LÄN</t>
        </is>
      </c>
      <c r="E1243" t="inlineStr">
        <is>
          <t>ÅNGE</t>
        </is>
      </c>
      <c r="F1243" t="inlineStr">
        <is>
          <t>Kyrkan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43366-2024</t>
        </is>
      </c>
      <c r="B1244" s="1" t="n">
        <v>45568</v>
      </c>
      <c r="C1244" s="1" t="n">
        <v>45911</v>
      </c>
      <c r="D1244" t="inlineStr">
        <is>
          <t>VÄSTERNORRLANDS LÄN</t>
        </is>
      </c>
      <c r="E1244" t="inlineStr">
        <is>
          <t>ÅNGE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34491-2023</t>
        </is>
      </c>
      <c r="B1245" s="1" t="n">
        <v>45139.94775462963</v>
      </c>
      <c r="C1245" s="1" t="n">
        <v>45911</v>
      </c>
      <c r="D1245" t="inlineStr">
        <is>
          <t>VÄSTERNORRLANDS LÄN</t>
        </is>
      </c>
      <c r="E1245" t="inlineStr">
        <is>
          <t>ÅNGE</t>
        </is>
      </c>
      <c r="F1245" t="inlineStr">
        <is>
          <t>SCA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10089-2023</t>
        </is>
      </c>
      <c r="B1246" s="1" t="n">
        <v>44985</v>
      </c>
      <c r="C1246" s="1" t="n">
        <v>45911</v>
      </c>
      <c r="D1246" t="inlineStr">
        <is>
          <t>VÄSTERNORRLANDS LÄN</t>
        </is>
      </c>
      <c r="E1246" t="inlineStr">
        <is>
          <t>ÅNGE</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10090-2023</t>
        </is>
      </c>
      <c r="B1247" s="1" t="n">
        <v>44985.94511574074</v>
      </c>
      <c r="C1247" s="1" t="n">
        <v>45911</v>
      </c>
      <c r="D1247" t="inlineStr">
        <is>
          <t>VÄSTERNORRLANDS LÄN</t>
        </is>
      </c>
      <c r="E1247" t="inlineStr">
        <is>
          <t>ÅNGE</t>
        </is>
      </c>
      <c r="F1247" t="inlineStr">
        <is>
          <t>SCA</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39005-2024</t>
        </is>
      </c>
      <c r="B1248" s="1" t="n">
        <v>45548.42743055556</v>
      </c>
      <c r="C1248" s="1" t="n">
        <v>45911</v>
      </c>
      <c r="D1248" t="inlineStr">
        <is>
          <t>VÄSTERNORRLANDS LÄN</t>
        </is>
      </c>
      <c r="E1248" t="inlineStr">
        <is>
          <t>ÅNGE</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41758-2024</t>
        </is>
      </c>
      <c r="B1249" s="1" t="n">
        <v>45561.34478009259</v>
      </c>
      <c r="C1249" s="1" t="n">
        <v>45911</v>
      </c>
      <c r="D1249" t="inlineStr">
        <is>
          <t>VÄSTERNORRLANDS LÄN</t>
        </is>
      </c>
      <c r="E1249" t="inlineStr">
        <is>
          <t>ÅNGE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5433-2024</t>
        </is>
      </c>
      <c r="B1250" s="1" t="n">
        <v>45331</v>
      </c>
      <c r="C1250" s="1" t="n">
        <v>45911</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19926-2025</t>
        </is>
      </c>
      <c r="B1251" s="1" t="n">
        <v>45771.6357175926</v>
      </c>
      <c r="C1251" s="1" t="n">
        <v>45911</v>
      </c>
      <c r="D1251" t="inlineStr">
        <is>
          <t>VÄSTERNORRLANDS LÄN</t>
        </is>
      </c>
      <c r="E1251" t="inlineStr">
        <is>
          <t>ÅNGE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51055-2023</t>
        </is>
      </c>
      <c r="B1252" s="1" t="n">
        <v>45218</v>
      </c>
      <c r="C1252" s="1" t="n">
        <v>45911</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6684-2024</t>
        </is>
      </c>
      <c r="B1253" s="1" t="n">
        <v>45341.92555555556</v>
      </c>
      <c r="C1253" s="1" t="n">
        <v>45911</v>
      </c>
      <c r="D1253" t="inlineStr">
        <is>
          <t>VÄSTERNORRLANDS LÄN</t>
        </is>
      </c>
      <c r="E1253" t="inlineStr">
        <is>
          <t>ÅNGE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57593-2022</t>
        </is>
      </c>
      <c r="B1254" s="1" t="n">
        <v>44896.97847222222</v>
      </c>
      <c r="C1254" s="1" t="n">
        <v>45911</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57596-2022</t>
        </is>
      </c>
      <c r="B1255" s="1" t="n">
        <v>44896.97871527778</v>
      </c>
      <c r="C1255" s="1" t="n">
        <v>45911</v>
      </c>
      <c r="D1255" t="inlineStr">
        <is>
          <t>VÄSTERNORRLANDS LÄN</t>
        </is>
      </c>
      <c r="E1255" t="inlineStr">
        <is>
          <t>ÅNGE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41222-2024</t>
        </is>
      </c>
      <c r="B1256" s="1" t="n">
        <v>45559.55306712963</v>
      </c>
      <c r="C1256" s="1" t="n">
        <v>45911</v>
      </c>
      <c r="D1256" t="inlineStr">
        <is>
          <t>VÄSTERNORRLANDS LÄN</t>
        </is>
      </c>
      <c r="E1256" t="inlineStr">
        <is>
          <t>ÅNGE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13091-2024</t>
        </is>
      </c>
      <c r="B1257" s="1" t="n">
        <v>45385</v>
      </c>
      <c r="C1257" s="1" t="n">
        <v>45911</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3624-2024</t>
        </is>
      </c>
      <c r="B1258" s="1" t="n">
        <v>45320.95305555555</v>
      </c>
      <c r="C1258" s="1" t="n">
        <v>45911</v>
      </c>
      <c r="D1258" t="inlineStr">
        <is>
          <t>VÄSTERNORRLANDS LÄN</t>
        </is>
      </c>
      <c r="E1258" t="inlineStr">
        <is>
          <t>ÅNGE</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1127-2023</t>
        </is>
      </c>
      <c r="B1259" s="1" t="n">
        <v>44929</v>
      </c>
      <c r="C1259" s="1" t="n">
        <v>45911</v>
      </c>
      <c r="D1259" t="inlineStr">
        <is>
          <t>VÄSTERNORRLANDS LÄN</t>
        </is>
      </c>
      <c r="E1259" t="inlineStr">
        <is>
          <t>ÅNGE</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113-2025</t>
        </is>
      </c>
      <c r="B1260" s="1" t="n">
        <v>45659.5106712963</v>
      </c>
      <c r="C1260" s="1" t="n">
        <v>45911</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1403-2025</t>
        </is>
      </c>
      <c r="B1261" s="1" t="n">
        <v>45667.70548611111</v>
      </c>
      <c r="C1261" s="1" t="n">
        <v>45911</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39619-2024</t>
        </is>
      </c>
      <c r="B1262" s="1" t="n">
        <v>45552</v>
      </c>
      <c r="C1262" s="1" t="n">
        <v>45911</v>
      </c>
      <c r="D1262" t="inlineStr">
        <is>
          <t>VÄSTERNORRLANDS LÄN</t>
        </is>
      </c>
      <c r="E1262" t="inlineStr">
        <is>
          <t>ÅNGE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41781-2024</t>
        </is>
      </c>
      <c r="B1263" s="1" t="n">
        <v>45561.34938657407</v>
      </c>
      <c r="C1263" s="1" t="n">
        <v>45911</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58469-2023</t>
        </is>
      </c>
      <c r="B1264" s="1" t="n">
        <v>45250</v>
      </c>
      <c r="C1264" s="1" t="n">
        <v>45911</v>
      </c>
      <c r="D1264" t="inlineStr">
        <is>
          <t>VÄSTERNORRLANDS LÄN</t>
        </is>
      </c>
      <c r="E1264" t="inlineStr">
        <is>
          <t>ÅNGE</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42090-2024</t>
        </is>
      </c>
      <c r="B1265" s="1" t="n">
        <v>45562</v>
      </c>
      <c r="C1265" s="1" t="n">
        <v>45911</v>
      </c>
      <c r="D1265" t="inlineStr">
        <is>
          <t>VÄSTERNORRLANDS LÄN</t>
        </is>
      </c>
      <c r="E1265" t="inlineStr">
        <is>
          <t>ÅNGE</t>
        </is>
      </c>
      <c r="F1265" t="inlineStr">
        <is>
          <t>SCA</t>
        </is>
      </c>
      <c r="G1265" t="n">
        <v>20.2</v>
      </c>
      <c r="H1265" t="n">
        <v>0</v>
      </c>
      <c r="I1265" t="n">
        <v>0</v>
      </c>
      <c r="J1265" t="n">
        <v>0</v>
      </c>
      <c r="K1265" t="n">
        <v>0</v>
      </c>
      <c r="L1265" t="n">
        <v>0</v>
      </c>
      <c r="M1265" t="n">
        <v>0</v>
      </c>
      <c r="N1265" t="n">
        <v>0</v>
      </c>
      <c r="O1265" t="n">
        <v>0</v>
      </c>
      <c r="P1265" t="n">
        <v>0</v>
      </c>
      <c r="Q1265" t="n">
        <v>0</v>
      </c>
      <c r="R1265" s="2" t="inlineStr"/>
    </row>
    <row r="1266" ht="15" customHeight="1">
      <c r="A1266" t="inlineStr">
        <is>
          <t>A 42098-2024</t>
        </is>
      </c>
      <c r="B1266" s="1" t="n">
        <v>45562.34532407407</v>
      </c>
      <c r="C1266" s="1" t="n">
        <v>45911</v>
      </c>
      <c r="D1266" t="inlineStr">
        <is>
          <t>VÄSTERNORRLANDS LÄN</t>
        </is>
      </c>
      <c r="E1266" t="inlineStr">
        <is>
          <t>ÅNGE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55324-2023</t>
        </is>
      </c>
      <c r="B1267" s="1" t="n">
        <v>45237.9734837963</v>
      </c>
      <c r="C1267" s="1" t="n">
        <v>45911</v>
      </c>
      <c r="D1267" t="inlineStr">
        <is>
          <t>VÄSTERNORRLANDS LÄN</t>
        </is>
      </c>
      <c r="E1267" t="inlineStr">
        <is>
          <t>ÅNGE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4361-2024</t>
        </is>
      </c>
      <c r="B1268" s="1" t="n">
        <v>45325.65047453704</v>
      </c>
      <c r="C1268" s="1" t="n">
        <v>45911</v>
      </c>
      <c r="D1268" t="inlineStr">
        <is>
          <t>VÄSTERNORRLANDS LÄN</t>
        </is>
      </c>
      <c r="E1268" t="inlineStr">
        <is>
          <t>ÅNGE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58774-2023</t>
        </is>
      </c>
      <c r="B1269" s="1" t="n">
        <v>45251</v>
      </c>
      <c r="C1269" s="1" t="n">
        <v>45911</v>
      </c>
      <c r="D1269" t="inlineStr">
        <is>
          <t>VÄSTERNORRLANDS LÄN</t>
        </is>
      </c>
      <c r="E1269" t="inlineStr">
        <is>
          <t>ÅNGE</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65229-2021</t>
        </is>
      </c>
      <c r="B1270" s="1" t="n">
        <v>44515</v>
      </c>
      <c r="C1270" s="1" t="n">
        <v>45911</v>
      </c>
      <c r="D1270" t="inlineStr">
        <is>
          <t>VÄSTERNORRLANDS LÄN</t>
        </is>
      </c>
      <c r="E1270" t="inlineStr">
        <is>
          <t>ÅNGE</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45911</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19829-2025</t>
        </is>
      </c>
      <c r="B1272" s="1" t="n">
        <v>45771.46944444445</v>
      </c>
      <c r="C1272" s="1" t="n">
        <v>45911</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4359-2025</t>
        </is>
      </c>
      <c r="B1273" s="1" t="n">
        <v>45686.33072916666</v>
      </c>
      <c r="C1273" s="1" t="n">
        <v>45911</v>
      </c>
      <c r="D1273" t="inlineStr">
        <is>
          <t>VÄSTERNORRLANDS LÄN</t>
        </is>
      </c>
      <c r="E1273" t="inlineStr">
        <is>
          <t>ÅNGE</t>
        </is>
      </c>
      <c r="F1273" t="inlineStr">
        <is>
          <t>Holmen skog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46015-2024</t>
        </is>
      </c>
      <c r="B1274" s="1" t="n">
        <v>45580.67760416667</v>
      </c>
      <c r="C1274" s="1" t="n">
        <v>45911</v>
      </c>
      <c r="D1274" t="inlineStr">
        <is>
          <t>VÄSTERNORRLANDS LÄN</t>
        </is>
      </c>
      <c r="E1274" t="inlineStr">
        <is>
          <t>ÅNGE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11399-2025</t>
        </is>
      </c>
      <c r="B1275" s="1" t="n">
        <v>45726.57364583333</v>
      </c>
      <c r="C1275" s="1" t="n">
        <v>45911</v>
      </c>
      <c r="D1275" t="inlineStr">
        <is>
          <t>VÄSTERNORRLANDS LÄN</t>
        </is>
      </c>
      <c r="E1275" t="inlineStr">
        <is>
          <t>ÅNGE</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41302-2024</t>
        </is>
      </c>
      <c r="B1276" s="1" t="n">
        <v>45559.62077546296</v>
      </c>
      <c r="C1276" s="1" t="n">
        <v>45911</v>
      </c>
      <c r="D1276" t="inlineStr">
        <is>
          <t>VÄSTERNORRLANDS LÄN</t>
        </is>
      </c>
      <c r="E1276" t="inlineStr">
        <is>
          <t>ÅNGE</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16576-2023</t>
        </is>
      </c>
      <c r="B1277" s="1" t="n">
        <v>45029.94251157407</v>
      </c>
      <c r="C1277" s="1" t="n">
        <v>45911</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37503-2023</t>
        </is>
      </c>
      <c r="B1278" s="1" t="n">
        <v>45157.5796875</v>
      </c>
      <c r="C1278" s="1" t="n">
        <v>45911</v>
      </c>
      <c r="D1278" t="inlineStr">
        <is>
          <t>VÄSTERNORRLANDS LÄN</t>
        </is>
      </c>
      <c r="E1278" t="inlineStr">
        <is>
          <t>ÅNGE</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15822-2025</t>
        </is>
      </c>
      <c r="B1279" s="1" t="n">
        <v>45748.70172453704</v>
      </c>
      <c r="C1279" s="1" t="n">
        <v>45911</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3323-2023</t>
        </is>
      </c>
      <c r="B1280" s="1" t="n">
        <v>44945</v>
      </c>
      <c r="C1280" s="1" t="n">
        <v>45911</v>
      </c>
      <c r="D1280" t="inlineStr">
        <is>
          <t>VÄSTERNORRLANDS LÄN</t>
        </is>
      </c>
      <c r="E1280" t="inlineStr">
        <is>
          <t>ÅNGE</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57591-2022</t>
        </is>
      </c>
      <c r="B1281" s="1" t="n">
        <v>44896.97834490741</v>
      </c>
      <c r="C1281" s="1" t="n">
        <v>45911</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17044-2023</t>
        </is>
      </c>
      <c r="B1282" s="1" t="n">
        <v>45034</v>
      </c>
      <c r="C1282" s="1" t="n">
        <v>45911</v>
      </c>
      <c r="D1282" t="inlineStr">
        <is>
          <t>VÄSTERNORRLANDS LÄN</t>
        </is>
      </c>
      <c r="E1282" t="inlineStr">
        <is>
          <t>ÅNGE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51377-2024</t>
        </is>
      </c>
      <c r="B1283" s="1" t="n">
        <v>45604.38142361111</v>
      </c>
      <c r="C1283" s="1" t="n">
        <v>45911</v>
      </c>
      <c r="D1283" t="inlineStr">
        <is>
          <t>VÄSTERNORRLANDS LÄN</t>
        </is>
      </c>
      <c r="E1283" t="inlineStr">
        <is>
          <t>ÅNGE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60812-2024</t>
        </is>
      </c>
      <c r="B1284" s="1" t="n">
        <v>45644</v>
      </c>
      <c r="C1284" s="1" t="n">
        <v>45911</v>
      </c>
      <c r="D1284" t="inlineStr">
        <is>
          <t>VÄSTERNORRLANDS LÄN</t>
        </is>
      </c>
      <c r="E1284" t="inlineStr">
        <is>
          <t>ÅNGE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60860-2022</t>
        </is>
      </c>
      <c r="B1285" s="1" t="n">
        <v>44914</v>
      </c>
      <c r="C1285" s="1" t="n">
        <v>45911</v>
      </c>
      <c r="D1285" t="inlineStr">
        <is>
          <t>VÄSTERNORRLANDS LÄN</t>
        </is>
      </c>
      <c r="E1285" t="inlineStr">
        <is>
          <t>ÅNGE</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58943-2022</t>
        </is>
      </c>
      <c r="B1286" s="1" t="n">
        <v>44903.64400462963</v>
      </c>
      <c r="C1286" s="1" t="n">
        <v>45911</v>
      </c>
      <c r="D1286" t="inlineStr">
        <is>
          <t>VÄSTERNORRLANDS LÄN</t>
        </is>
      </c>
      <c r="E1286" t="inlineStr">
        <is>
          <t>ÅNGE</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57286-2022</t>
        </is>
      </c>
      <c r="B1287" s="1" t="n">
        <v>44895.94991898148</v>
      </c>
      <c r="C1287" s="1" t="n">
        <v>45911</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16572-2023</t>
        </is>
      </c>
      <c r="B1288" s="1" t="n">
        <v>45029.94224537037</v>
      </c>
      <c r="C1288" s="1" t="n">
        <v>45911</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16365-2023</t>
        </is>
      </c>
      <c r="B1289" s="1" t="n">
        <v>45028</v>
      </c>
      <c r="C1289" s="1" t="n">
        <v>45911</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1103-2023</t>
        </is>
      </c>
      <c r="B1290" s="1" t="n">
        <v>44929</v>
      </c>
      <c r="C1290" s="1" t="n">
        <v>45911</v>
      </c>
      <c r="D1290" t="inlineStr">
        <is>
          <t>VÄSTERNORRLANDS LÄN</t>
        </is>
      </c>
      <c r="E1290" t="inlineStr">
        <is>
          <t>ÅNGE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24063-2023</t>
        </is>
      </c>
      <c r="B1291" s="1" t="n">
        <v>45078.94140046297</v>
      </c>
      <c r="C1291" s="1" t="n">
        <v>45911</v>
      </c>
      <c r="D1291" t="inlineStr">
        <is>
          <t>VÄSTERNORRLANDS LÄN</t>
        </is>
      </c>
      <c r="E1291" t="inlineStr">
        <is>
          <t>ÅNGE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57526-2024</t>
        </is>
      </c>
      <c r="B1292" s="1" t="n">
        <v>45630</v>
      </c>
      <c r="C1292" s="1" t="n">
        <v>45911</v>
      </c>
      <c r="D1292" t="inlineStr">
        <is>
          <t>VÄSTERNORRLANDS LÄN</t>
        </is>
      </c>
      <c r="E1292" t="inlineStr">
        <is>
          <t>ÅNGE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18456-2024</t>
        </is>
      </c>
      <c r="B1293" s="1" t="n">
        <v>45425.46831018518</v>
      </c>
      <c r="C1293" s="1" t="n">
        <v>45911</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44180-2023</t>
        </is>
      </c>
      <c r="B1294" s="1" t="n">
        <v>45183</v>
      </c>
      <c r="C1294" s="1" t="n">
        <v>45911</v>
      </c>
      <c r="D1294" t="inlineStr">
        <is>
          <t>VÄSTERNORRLANDS LÄN</t>
        </is>
      </c>
      <c r="E1294" t="inlineStr">
        <is>
          <t>ÅNGE</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5197-2025</t>
        </is>
      </c>
      <c r="B1295" s="1" t="n">
        <v>45691.65701388889</v>
      </c>
      <c r="C1295" s="1" t="n">
        <v>45911</v>
      </c>
      <c r="D1295" t="inlineStr">
        <is>
          <t>VÄSTERNORRLANDS LÄN</t>
        </is>
      </c>
      <c r="E1295" t="inlineStr">
        <is>
          <t>ÅNGE</t>
        </is>
      </c>
      <c r="F1295" t="inlineStr">
        <is>
          <t>SCA</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5246-2025</t>
        </is>
      </c>
      <c r="B1296" s="1" t="n">
        <v>45692.34427083333</v>
      </c>
      <c r="C1296" s="1" t="n">
        <v>45911</v>
      </c>
      <c r="D1296" t="inlineStr">
        <is>
          <t>VÄSTERNORRLANDS LÄN</t>
        </is>
      </c>
      <c r="E1296" t="inlineStr">
        <is>
          <t>ÅNGE</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41829-2021</t>
        </is>
      </c>
      <c r="B1297" s="1" t="n">
        <v>44425.92202546296</v>
      </c>
      <c r="C1297" s="1" t="n">
        <v>45911</v>
      </c>
      <c r="D1297" t="inlineStr">
        <is>
          <t>VÄSTERNORRLANDS LÄN</t>
        </is>
      </c>
      <c r="E1297" t="inlineStr">
        <is>
          <t>ÅNGE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50612-2024</t>
        </is>
      </c>
      <c r="B1298" s="1" t="n">
        <v>45601</v>
      </c>
      <c r="C1298" s="1" t="n">
        <v>45911</v>
      </c>
      <c r="D1298" t="inlineStr">
        <is>
          <t>VÄSTERNORRLANDS LÄN</t>
        </is>
      </c>
      <c r="E1298" t="inlineStr">
        <is>
          <t>ÅNGE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13491-2023</t>
        </is>
      </c>
      <c r="B1299" s="1" t="n">
        <v>45005.93929398148</v>
      </c>
      <c r="C1299" s="1" t="n">
        <v>45911</v>
      </c>
      <c r="D1299" t="inlineStr">
        <is>
          <t>VÄSTERNORRLANDS LÄN</t>
        </is>
      </c>
      <c r="E1299" t="inlineStr">
        <is>
          <t>ÅNGE</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47243-2024</t>
        </is>
      </c>
      <c r="B1300" s="1" t="n">
        <v>45586.6987962963</v>
      </c>
      <c r="C1300" s="1" t="n">
        <v>45911</v>
      </c>
      <c r="D1300" t="inlineStr">
        <is>
          <t>VÄSTERNORRLANDS LÄN</t>
        </is>
      </c>
      <c r="E1300" t="inlineStr">
        <is>
          <t>ÅNGE</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37540-2024</t>
        </is>
      </c>
      <c r="B1301" s="1" t="n">
        <v>45541.42111111111</v>
      </c>
      <c r="C1301" s="1" t="n">
        <v>45911</v>
      </c>
      <c r="D1301" t="inlineStr">
        <is>
          <t>VÄSTERNORRLANDS LÄN</t>
        </is>
      </c>
      <c r="E1301" t="inlineStr">
        <is>
          <t>ÅNGE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42948-2024</t>
        </is>
      </c>
      <c r="B1302" s="1" t="n">
        <v>45567.36628472222</v>
      </c>
      <c r="C1302" s="1" t="n">
        <v>45911</v>
      </c>
      <c r="D1302" t="inlineStr">
        <is>
          <t>VÄSTERNORRLANDS LÄN</t>
        </is>
      </c>
      <c r="E1302" t="inlineStr">
        <is>
          <t>ÅNGE</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54585-2024</t>
        </is>
      </c>
      <c r="B1303" s="1" t="n">
        <v>45617.65762731482</v>
      </c>
      <c r="C1303" s="1" t="n">
        <v>45911</v>
      </c>
      <c r="D1303" t="inlineStr">
        <is>
          <t>VÄSTERNORRLANDS LÄN</t>
        </is>
      </c>
      <c r="E1303" t="inlineStr">
        <is>
          <t>ÅNGE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15404-2025</t>
        </is>
      </c>
      <c r="B1304" s="1" t="n">
        <v>45747.44665509259</v>
      </c>
      <c r="C1304" s="1" t="n">
        <v>45911</v>
      </c>
      <c r="D1304" t="inlineStr">
        <is>
          <t>VÄSTERNORRLANDS LÄN</t>
        </is>
      </c>
      <c r="E1304" t="inlineStr">
        <is>
          <t>ÅNGE</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17703-2025</t>
        </is>
      </c>
      <c r="B1305" s="1" t="n">
        <v>45758.4275462963</v>
      </c>
      <c r="C1305" s="1" t="n">
        <v>45911</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42529-2024</t>
        </is>
      </c>
      <c r="B1306" s="1" t="n">
        <v>45565.57324074074</v>
      </c>
      <c r="C1306" s="1" t="n">
        <v>45911</v>
      </c>
      <c r="D1306" t="inlineStr">
        <is>
          <t>VÄSTERNORRLANDS LÄN</t>
        </is>
      </c>
      <c r="E1306" t="inlineStr">
        <is>
          <t>ÅNGE</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3966-2025</t>
        </is>
      </c>
      <c r="B1307" s="1" t="n">
        <v>45684.51072916666</v>
      </c>
      <c r="C1307" s="1" t="n">
        <v>45911</v>
      </c>
      <c r="D1307" t="inlineStr">
        <is>
          <t>VÄSTERNORRLANDS LÄN</t>
        </is>
      </c>
      <c r="E1307" t="inlineStr">
        <is>
          <t>ÅNGE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54316-2024</t>
        </is>
      </c>
      <c r="B1308" s="1" t="n">
        <v>45617.34443287037</v>
      </c>
      <c r="C1308" s="1" t="n">
        <v>45911</v>
      </c>
      <c r="D1308" t="inlineStr">
        <is>
          <t>VÄSTERNORRLANDS LÄN</t>
        </is>
      </c>
      <c r="E1308" t="inlineStr">
        <is>
          <t>ÅNGE</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4186-2025</t>
        </is>
      </c>
      <c r="B1309" s="1" t="n">
        <v>45685.44827546296</v>
      </c>
      <c r="C1309" s="1" t="n">
        <v>45911</v>
      </c>
      <c r="D1309" t="inlineStr">
        <is>
          <t>VÄSTERNORRLANDS LÄN</t>
        </is>
      </c>
      <c r="E1309" t="inlineStr">
        <is>
          <t>ÅNGE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53209-2024</t>
        </is>
      </c>
      <c r="B1310" s="1" t="n">
        <v>45612.51079861111</v>
      </c>
      <c r="C1310" s="1" t="n">
        <v>45911</v>
      </c>
      <c r="D1310" t="inlineStr">
        <is>
          <t>VÄSTERNORRLANDS LÄN</t>
        </is>
      </c>
      <c r="E1310" t="inlineStr">
        <is>
          <t>ÅNGE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15778-2025</t>
        </is>
      </c>
      <c r="B1311" s="1" t="n">
        <v>45748.60030092593</v>
      </c>
      <c r="C1311" s="1" t="n">
        <v>45911</v>
      </c>
      <c r="D1311" t="inlineStr">
        <is>
          <t>VÄSTERNORRLANDS LÄN</t>
        </is>
      </c>
      <c r="E1311" t="inlineStr">
        <is>
          <t>ÅNGE</t>
        </is>
      </c>
      <c r="F1311" t="inlineStr">
        <is>
          <t>SCA</t>
        </is>
      </c>
      <c r="G1311" t="n">
        <v>13.6</v>
      </c>
      <c r="H1311" t="n">
        <v>0</v>
      </c>
      <c r="I1311" t="n">
        <v>0</v>
      </c>
      <c r="J1311" t="n">
        <v>0</v>
      </c>
      <c r="K1311" t="n">
        <v>0</v>
      </c>
      <c r="L1311" t="n">
        <v>0</v>
      </c>
      <c r="M1311" t="n">
        <v>0</v>
      </c>
      <c r="N1311" t="n">
        <v>0</v>
      </c>
      <c r="O1311" t="n">
        <v>0</v>
      </c>
      <c r="P1311" t="n">
        <v>0</v>
      </c>
      <c r="Q1311" t="n">
        <v>0</v>
      </c>
      <c r="R1311" s="2" t="inlineStr"/>
    </row>
    <row r="1312" ht="15" customHeight="1">
      <c r="A1312" t="inlineStr">
        <is>
          <t>A 17718-2025</t>
        </is>
      </c>
      <c r="B1312" s="1" t="n">
        <v>45758.44815972223</v>
      </c>
      <c r="C1312" s="1" t="n">
        <v>45911</v>
      </c>
      <c r="D1312" t="inlineStr">
        <is>
          <t>VÄSTERNORRLANDS LÄN</t>
        </is>
      </c>
      <c r="E1312" t="inlineStr">
        <is>
          <t>ÅNGE</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38246-2024</t>
        </is>
      </c>
      <c r="B1313" s="1" t="n">
        <v>45545.57327546296</v>
      </c>
      <c r="C1313" s="1" t="n">
        <v>45911</v>
      </c>
      <c r="D1313" t="inlineStr">
        <is>
          <t>VÄSTERNORRLANDS LÄN</t>
        </is>
      </c>
      <c r="E1313" t="inlineStr">
        <is>
          <t>ÅNGE</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26943-2024</t>
        </is>
      </c>
      <c r="B1314" s="1" t="n">
        <v>45470</v>
      </c>
      <c r="C1314" s="1" t="n">
        <v>45911</v>
      </c>
      <c r="D1314" t="inlineStr">
        <is>
          <t>VÄSTERNORRLANDS LÄN</t>
        </is>
      </c>
      <c r="E1314" t="inlineStr">
        <is>
          <t>ÅNGE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53512-2023</t>
        </is>
      </c>
      <c r="B1315" s="1" t="n">
        <v>45230</v>
      </c>
      <c r="C1315" s="1" t="n">
        <v>45911</v>
      </c>
      <c r="D1315" t="inlineStr">
        <is>
          <t>VÄSTERNORRLANDS LÄN</t>
        </is>
      </c>
      <c r="E1315" t="inlineStr">
        <is>
          <t>ÅNGE</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20716-2025</t>
        </is>
      </c>
      <c r="B1316" s="1" t="n">
        <v>45776.49026620371</v>
      </c>
      <c r="C1316" s="1" t="n">
        <v>45911</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20717-2025</t>
        </is>
      </c>
      <c r="B1317" s="1" t="n">
        <v>45776.49040509259</v>
      </c>
      <c r="C1317" s="1" t="n">
        <v>45911</v>
      </c>
      <c r="D1317" t="inlineStr">
        <is>
          <t>VÄSTERNORRLANDS LÄN</t>
        </is>
      </c>
      <c r="E1317" t="inlineStr">
        <is>
          <t>ÅNGE</t>
        </is>
      </c>
      <c r="F1317" t="inlineStr">
        <is>
          <t>SCA</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20776-2025</t>
        </is>
      </c>
      <c r="B1318" s="1" t="n">
        <v>45776.59410879629</v>
      </c>
      <c r="C1318" s="1" t="n">
        <v>45911</v>
      </c>
      <c r="D1318" t="inlineStr">
        <is>
          <t>VÄSTERNORRLANDS LÄN</t>
        </is>
      </c>
      <c r="E1318" t="inlineStr">
        <is>
          <t>ÅNGE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20718-2025</t>
        </is>
      </c>
      <c r="B1319" s="1" t="n">
        <v>45776.49047453704</v>
      </c>
      <c r="C1319" s="1" t="n">
        <v>45911</v>
      </c>
      <c r="D1319" t="inlineStr">
        <is>
          <t>VÄSTERNORRLANDS LÄN</t>
        </is>
      </c>
      <c r="E1319" t="inlineStr">
        <is>
          <t>ÅNGE</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20864-2025</t>
        </is>
      </c>
      <c r="B1320" s="1" t="n">
        <v>45777.34417824074</v>
      </c>
      <c r="C1320" s="1" t="n">
        <v>45911</v>
      </c>
      <c r="D1320" t="inlineStr">
        <is>
          <t>VÄSTERNORRLANDS LÄN</t>
        </is>
      </c>
      <c r="E1320" t="inlineStr">
        <is>
          <t>ÅNGE</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21068-2025</t>
        </is>
      </c>
      <c r="B1321" s="1" t="n">
        <v>45777.59413194445</v>
      </c>
      <c r="C1321" s="1" t="n">
        <v>45911</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20868-2025</t>
        </is>
      </c>
      <c r="B1322" s="1" t="n">
        <v>45777.34483796296</v>
      </c>
      <c r="C1322" s="1" t="n">
        <v>45911</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21176-2025</t>
        </is>
      </c>
      <c r="B1323" s="1" t="n">
        <v>45779.42798611111</v>
      </c>
      <c r="C1323" s="1" t="n">
        <v>45911</v>
      </c>
      <c r="D1323" t="inlineStr">
        <is>
          <t>VÄSTERNORRLANDS LÄN</t>
        </is>
      </c>
      <c r="E1323" t="inlineStr">
        <is>
          <t>ÅNGE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21454-2025</t>
        </is>
      </c>
      <c r="B1324" s="1" t="n">
        <v>45782.55322916667</v>
      </c>
      <c r="C1324" s="1" t="n">
        <v>45911</v>
      </c>
      <c r="D1324" t="inlineStr">
        <is>
          <t>VÄSTERNORRLANDS LÄN</t>
        </is>
      </c>
      <c r="E1324" t="inlineStr">
        <is>
          <t>ÅNGE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21456-2025</t>
        </is>
      </c>
      <c r="B1325" s="1" t="n">
        <v>45782.55342592593</v>
      </c>
      <c r="C1325" s="1" t="n">
        <v>45911</v>
      </c>
      <c r="D1325" t="inlineStr">
        <is>
          <t>VÄSTERNORRLANDS LÄN</t>
        </is>
      </c>
      <c r="E1325" t="inlineStr">
        <is>
          <t>ÅNGE</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21197-2025</t>
        </is>
      </c>
      <c r="B1326" s="1" t="n">
        <v>45779.46949074074</v>
      </c>
      <c r="C1326" s="1" t="n">
        <v>45911</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21563-2025</t>
        </is>
      </c>
      <c r="B1327" s="1" t="n">
        <v>45782.69822916666</v>
      </c>
      <c r="C1327" s="1" t="n">
        <v>45911</v>
      </c>
      <c r="D1327" t="inlineStr">
        <is>
          <t>VÄSTERNORRLANDS LÄN</t>
        </is>
      </c>
      <c r="E1327" t="inlineStr">
        <is>
          <t>ÅNGE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45030-2024</t>
        </is>
      </c>
      <c r="B1328" s="1" t="n">
        <v>45575.52089120371</v>
      </c>
      <c r="C1328" s="1" t="n">
        <v>45911</v>
      </c>
      <c r="D1328" t="inlineStr">
        <is>
          <t>VÄSTERNORRLANDS LÄN</t>
        </is>
      </c>
      <c r="E1328" t="inlineStr">
        <is>
          <t>ÅNGE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21263-2025</t>
        </is>
      </c>
      <c r="B1329" s="1" t="n">
        <v>45779.61233796296</v>
      </c>
      <c r="C1329" s="1" t="n">
        <v>45911</v>
      </c>
      <c r="D1329" t="inlineStr">
        <is>
          <t>VÄSTERNORRLANDS LÄN</t>
        </is>
      </c>
      <c r="E1329" t="inlineStr">
        <is>
          <t>ÅNGE</t>
        </is>
      </c>
      <c r="F1329" t="inlineStr">
        <is>
          <t>Sveaskog</t>
        </is>
      </c>
      <c r="G1329" t="n">
        <v>14.9</v>
      </c>
      <c r="H1329" t="n">
        <v>0</v>
      </c>
      <c r="I1329" t="n">
        <v>0</v>
      </c>
      <c r="J1329" t="n">
        <v>0</v>
      </c>
      <c r="K1329" t="n">
        <v>0</v>
      </c>
      <c r="L1329" t="n">
        <v>0</v>
      </c>
      <c r="M1329" t="n">
        <v>0</v>
      </c>
      <c r="N1329" t="n">
        <v>0</v>
      </c>
      <c r="O1329" t="n">
        <v>0</v>
      </c>
      <c r="P1329" t="n">
        <v>0</v>
      </c>
      <c r="Q1329" t="n">
        <v>0</v>
      </c>
      <c r="R1329" s="2" t="inlineStr"/>
    </row>
    <row r="1330" ht="15" customHeight="1">
      <c r="A1330" t="inlineStr">
        <is>
          <t>A 21174-2025</t>
        </is>
      </c>
      <c r="B1330" s="1" t="n">
        <v>45779.42746527777</v>
      </c>
      <c r="C1330" s="1" t="n">
        <v>45911</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21251-2025</t>
        </is>
      </c>
      <c r="B1331" s="1" t="n">
        <v>45779.57417824074</v>
      </c>
      <c r="C1331" s="1" t="n">
        <v>45911</v>
      </c>
      <c r="D1331" t="inlineStr">
        <is>
          <t>VÄSTERNORRLANDS LÄN</t>
        </is>
      </c>
      <c r="E1331" t="inlineStr">
        <is>
          <t>ÅNGE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21791-2025</t>
        </is>
      </c>
      <c r="B1332" s="1" t="n">
        <v>45783.67771990741</v>
      </c>
      <c r="C1332" s="1" t="n">
        <v>45911</v>
      </c>
      <c r="D1332" t="inlineStr">
        <is>
          <t>VÄSTERNORRLANDS LÄN</t>
        </is>
      </c>
      <c r="E1332" t="inlineStr">
        <is>
          <t>ÅNGE</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21712-2025</t>
        </is>
      </c>
      <c r="B1333" s="1" t="n">
        <v>45783.53210648148</v>
      </c>
      <c r="C1333" s="1" t="n">
        <v>45911</v>
      </c>
      <c r="D1333" t="inlineStr">
        <is>
          <t>VÄSTERNORRLANDS LÄN</t>
        </is>
      </c>
      <c r="E1333" t="inlineStr">
        <is>
          <t>ÅNGE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2539-2025</t>
        </is>
      </c>
      <c r="B1334" s="1" t="n">
        <v>45674.61581018518</v>
      </c>
      <c r="C1334" s="1" t="n">
        <v>45911</v>
      </c>
      <c r="D1334" t="inlineStr">
        <is>
          <t>VÄSTERNORRLANDS LÄN</t>
        </is>
      </c>
      <c r="E1334" t="inlineStr">
        <is>
          <t>ÅNGE</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22187-2024</t>
        </is>
      </c>
      <c r="B1335" s="1" t="n">
        <v>45446.35222222222</v>
      </c>
      <c r="C1335" s="1" t="n">
        <v>45911</v>
      </c>
      <c r="D1335" t="inlineStr">
        <is>
          <t>VÄSTERNORRLANDS LÄN</t>
        </is>
      </c>
      <c r="E1335" t="inlineStr">
        <is>
          <t>ÅNGE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21883-2025</t>
        </is>
      </c>
      <c r="B1336" s="1" t="n">
        <v>45784.41361111111</v>
      </c>
      <c r="C1336" s="1" t="n">
        <v>45911</v>
      </c>
      <c r="D1336" t="inlineStr">
        <is>
          <t>VÄSTERNORRLANDS LÄN</t>
        </is>
      </c>
      <c r="E1336" t="inlineStr">
        <is>
          <t>ÅNGE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21597-2025</t>
        </is>
      </c>
      <c r="B1337" s="1" t="n">
        <v>45783.34493055556</v>
      </c>
      <c r="C1337" s="1" t="n">
        <v>45911</v>
      </c>
      <c r="D1337" t="inlineStr">
        <is>
          <t>VÄSTERNORRLANDS LÄN</t>
        </is>
      </c>
      <c r="E1337" t="inlineStr">
        <is>
          <t>ÅNGE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25867-2024</t>
        </is>
      </c>
      <c r="B1338" s="1" t="n">
        <v>45463</v>
      </c>
      <c r="C1338" s="1" t="n">
        <v>45911</v>
      </c>
      <c r="D1338" t="inlineStr">
        <is>
          <t>VÄSTERNORRLANDS LÄN</t>
        </is>
      </c>
      <c r="E1338" t="inlineStr">
        <is>
          <t>ÅNGE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17669-2023</t>
        </is>
      </c>
      <c r="B1339" s="1" t="n">
        <v>45036.94457175926</v>
      </c>
      <c r="C1339" s="1" t="n">
        <v>45911</v>
      </c>
      <c r="D1339" t="inlineStr">
        <is>
          <t>VÄSTERNORRLANDS LÄN</t>
        </is>
      </c>
      <c r="E1339" t="inlineStr">
        <is>
          <t>ÅNGE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45106.4359837963</v>
      </c>
      <c r="C1340" s="1" t="n">
        <v>45911</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21862-2025</t>
        </is>
      </c>
      <c r="B1341" s="1" t="n">
        <v>45784.36519675926</v>
      </c>
      <c r="C1341" s="1" t="n">
        <v>45911</v>
      </c>
      <c r="D1341" t="inlineStr">
        <is>
          <t>VÄSTERNORRLANDS LÄN</t>
        </is>
      </c>
      <c r="E1341" t="inlineStr">
        <is>
          <t>ÅNGE</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21982-2025</t>
        </is>
      </c>
      <c r="B1342" s="1" t="n">
        <v>45784.65660879629</v>
      </c>
      <c r="C1342" s="1" t="n">
        <v>45911</v>
      </c>
      <c r="D1342" t="inlineStr">
        <is>
          <t>VÄSTERNORRLANDS LÄN</t>
        </is>
      </c>
      <c r="E1342" t="inlineStr">
        <is>
          <t>ÅNGE</t>
        </is>
      </c>
      <c r="F1342" t="inlineStr">
        <is>
          <t>SCA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21792-2025</t>
        </is>
      </c>
      <c r="B1343" s="1" t="n">
        <v>45783.6778587963</v>
      </c>
      <c r="C1343" s="1" t="n">
        <v>45911</v>
      </c>
      <c r="D1343" t="inlineStr">
        <is>
          <t>VÄSTERNORRLANDS LÄN</t>
        </is>
      </c>
      <c r="E1343" t="inlineStr">
        <is>
          <t>ÅNGE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54295-2024</t>
        </is>
      </c>
      <c r="B1344" s="1" t="n">
        <v>45617</v>
      </c>
      <c r="C1344" s="1" t="n">
        <v>45911</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21686-2025</t>
        </is>
      </c>
      <c r="B1345" s="1" t="n">
        <v>45783.490625</v>
      </c>
      <c r="C1345" s="1" t="n">
        <v>45911</v>
      </c>
      <c r="D1345" t="inlineStr">
        <is>
          <t>VÄSTERNORRLANDS LÄN</t>
        </is>
      </c>
      <c r="E1345" t="inlineStr">
        <is>
          <t>ÅNGE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21741-2025</t>
        </is>
      </c>
      <c r="B1346" s="1" t="n">
        <v>45783.59415509259</v>
      </c>
      <c r="C1346" s="1" t="n">
        <v>45911</v>
      </c>
      <c r="D1346" t="inlineStr">
        <is>
          <t>VÄSTERNORRLANDS LÄN</t>
        </is>
      </c>
      <c r="E1346" t="inlineStr">
        <is>
          <t>ÅNGE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39119-2024</t>
        </is>
      </c>
      <c r="B1347" s="1" t="n">
        <v>45548.58939814815</v>
      </c>
      <c r="C1347" s="1" t="n">
        <v>45911</v>
      </c>
      <c r="D1347" t="inlineStr">
        <is>
          <t>VÄSTERNORRLANDS LÄN</t>
        </is>
      </c>
      <c r="E1347" t="inlineStr">
        <is>
          <t>ÅNGE</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21685-2025</t>
        </is>
      </c>
      <c r="B1348" s="1" t="n">
        <v>45783.49050925926</v>
      </c>
      <c r="C1348" s="1" t="n">
        <v>45911</v>
      </c>
      <c r="D1348" t="inlineStr">
        <is>
          <t>VÄSTERNORRLANDS LÄN</t>
        </is>
      </c>
      <c r="E1348" t="inlineStr">
        <is>
          <t>ÅNGE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32257-2024</t>
        </is>
      </c>
      <c r="B1349" s="1" t="n">
        <v>45511</v>
      </c>
      <c r="C1349" s="1" t="n">
        <v>45911</v>
      </c>
      <c r="D1349" t="inlineStr">
        <is>
          <t>VÄSTERNORRLANDS LÄN</t>
        </is>
      </c>
      <c r="E1349" t="inlineStr">
        <is>
          <t>ÅNGE</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31492-2024</t>
        </is>
      </c>
      <c r="B1350" s="1" t="n">
        <v>45505</v>
      </c>
      <c r="C1350" s="1" t="n">
        <v>45911</v>
      </c>
      <c r="D1350" t="inlineStr">
        <is>
          <t>VÄSTERNORRLANDS LÄN</t>
        </is>
      </c>
      <c r="E1350" t="inlineStr">
        <is>
          <t>ÅNGE</t>
        </is>
      </c>
      <c r="F1350" t="inlineStr">
        <is>
          <t>SCA</t>
        </is>
      </c>
      <c r="G1350" t="n">
        <v>5.5</v>
      </c>
      <c r="H1350" t="n">
        <v>0</v>
      </c>
      <c r="I1350" t="n">
        <v>0</v>
      </c>
      <c r="J1350" t="n">
        <v>0</v>
      </c>
      <c r="K1350" t="n">
        <v>0</v>
      </c>
      <c r="L1350" t="n">
        <v>0</v>
      </c>
      <c r="M1350" t="n">
        <v>0</v>
      </c>
      <c r="N1350" t="n">
        <v>0</v>
      </c>
      <c r="O1350" t="n">
        <v>0</v>
      </c>
      <c r="P1350" t="n">
        <v>0</v>
      </c>
      <c r="Q1350" t="n">
        <v>0</v>
      </c>
      <c r="R1350" s="2" t="inlineStr"/>
    </row>
    <row r="1351">
      <c r="A1351" t="inlineStr">
        <is>
          <t>A 38800-2024</t>
        </is>
      </c>
      <c r="B1351" s="1" t="n">
        <v>45547</v>
      </c>
      <c r="C1351" s="1" t="n">
        <v>45911</v>
      </c>
      <c r="D1351" t="inlineStr">
        <is>
          <t>VÄSTERNORRLANDS LÄN</t>
        </is>
      </c>
      <c r="E1351" t="inlineStr">
        <is>
          <t>ÅNGE</t>
        </is>
      </c>
      <c r="G1351" t="n">
        <v>2.6</v>
      </c>
      <c r="H1351" t="n">
        <v>0</v>
      </c>
      <c r="I1351" t="n">
        <v>0</v>
      </c>
      <c r="J1351" t="n">
        <v>0</v>
      </c>
      <c r="K1351" t="n">
        <v>0</v>
      </c>
      <c r="L1351" t="n">
        <v>0</v>
      </c>
      <c r="M1351" t="n">
        <v>0</v>
      </c>
      <c r="N1351" t="n">
        <v>0</v>
      </c>
      <c r="O1351" t="n">
        <v>0</v>
      </c>
      <c r="P1351" t="n">
        <v>0</v>
      </c>
      <c r="Q1351" t="n">
        <v>0</v>
      </c>
      <c r="R1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2025-09-11T08:55:48Z</dcterms:created>
  <dcterms:modified xmlns:dcterms="http://purl.org/dc/terms/" xmlns:xsi="http://www.w3.org/2001/XMLSchema-instance" xsi:type="dcterms:W3CDTF">2025-09-11T08:55:49Z</dcterms:modified>
</cp:coreProperties>
</file>