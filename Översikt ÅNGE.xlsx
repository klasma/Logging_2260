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45649</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45649</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45649</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45649</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45649</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45649</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45649</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45649</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45649</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45649</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45649</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45649</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45649</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45649</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45649</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45649</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45649</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45649</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45649</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45649</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45649</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45649</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45649</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45649</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45649</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45649</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45649</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45649</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45649</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45649</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45649</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45649</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45649</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45649</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45649</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45649</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45649</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45649</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45649</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45649</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45649</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45649</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45649</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45649</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45649</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45649</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45649</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45649</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45649</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45649</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45649</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45649</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45649</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45649</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45649</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45649</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45649</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45649</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45649</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45649</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45649</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45649</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45649</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45649</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45649</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45649</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45649</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45649</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45649</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45649</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45649</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45649</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45649</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45649</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45649</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45649</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45649</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45649</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45649</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45649</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45649</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45649</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45649</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45649</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45649</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45649</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45649</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45649</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45649</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45649</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45649</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45649</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45649</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45649</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45649</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45649</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45649</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45649</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45649</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45649</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45649</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45649</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45649</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45649</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45649</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45649</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45649</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45649</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45649</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45649</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45649</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45649</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45649</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45649</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45649</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45649</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6564-2020</t>
        </is>
      </c>
      <c r="B219" s="1" t="n">
        <v>43867</v>
      </c>
      <c r="C219" s="1" t="n">
        <v>45649</v>
      </c>
      <c r="D219" t="inlineStr">
        <is>
          <t>VÄSTERNORRLANDS LÄN</t>
        </is>
      </c>
      <c r="E219" t="inlineStr">
        <is>
          <t>ÅNGE</t>
        </is>
      </c>
      <c r="G219" t="n">
        <v>4.2</v>
      </c>
      <c r="H219" t="n">
        <v>1</v>
      </c>
      <c r="I219" t="n">
        <v>0</v>
      </c>
      <c r="J219" t="n">
        <v>0</v>
      </c>
      <c r="K219" t="n">
        <v>0</v>
      </c>
      <c r="L219" t="n">
        <v>0</v>
      </c>
      <c r="M219" t="n">
        <v>0</v>
      </c>
      <c r="N219" t="n">
        <v>0</v>
      </c>
      <c r="O219" t="n">
        <v>0</v>
      </c>
      <c r="P219" t="n">
        <v>0</v>
      </c>
      <c r="Q219" t="n">
        <v>1</v>
      </c>
      <c r="R219" s="2" t="inlineStr">
        <is>
          <t>Huggorm</t>
        </is>
      </c>
      <c r="S219">
        <f>HYPERLINK("https://klasma.github.io/Logging_2260/artfynd/A 6564-2020 artfynd.xlsx", "A 6564-2020")</f>
        <v/>
      </c>
      <c r="T219">
        <f>HYPERLINK("https://klasma.github.io/Logging_2260/kartor/A 6564-2020 karta.png", "A 6564-2020")</f>
        <v/>
      </c>
      <c r="V219">
        <f>HYPERLINK("https://klasma.github.io/Logging_2260/klagomål/A 6564-2020 FSC-klagomål.docx", "A 6564-2020")</f>
        <v/>
      </c>
      <c r="W219">
        <f>HYPERLINK("https://klasma.github.io/Logging_2260/klagomålsmail/A 6564-2020 FSC-klagomål mail.docx", "A 6564-2020")</f>
        <v/>
      </c>
      <c r="X219">
        <f>HYPERLINK("https://klasma.github.io/Logging_2260/tillsyn/A 6564-2020 tillsynsbegäran.docx", "A 6564-2020")</f>
        <v/>
      </c>
      <c r="Y219">
        <f>HYPERLINK("https://klasma.github.io/Logging_2260/tillsynsmail/A 6564-2020 tillsynsbegäran mail.docx", "A 6564-2020")</f>
        <v/>
      </c>
    </row>
    <row r="220" ht="15" customHeight="1">
      <c r="A220" t="inlineStr">
        <is>
          <t>A 19275-2020</t>
        </is>
      </c>
      <c r="B220" s="1" t="n">
        <v>43937</v>
      </c>
      <c r="C220" s="1" t="n">
        <v>45649</v>
      </c>
      <c r="D220" t="inlineStr">
        <is>
          <t>VÄSTERNORRLANDS LÄN</t>
        </is>
      </c>
      <c r="E220" t="inlineStr">
        <is>
          <t>ÅNGE</t>
        </is>
      </c>
      <c r="G220" t="n">
        <v>1.8</v>
      </c>
      <c r="H220" t="n">
        <v>1</v>
      </c>
      <c r="I220" t="n">
        <v>0</v>
      </c>
      <c r="J220" t="n">
        <v>0</v>
      </c>
      <c r="K220" t="n">
        <v>0</v>
      </c>
      <c r="L220" t="n">
        <v>0</v>
      </c>
      <c r="M220" t="n">
        <v>0</v>
      </c>
      <c r="N220" t="n">
        <v>0</v>
      </c>
      <c r="O220" t="n">
        <v>0</v>
      </c>
      <c r="P220" t="n">
        <v>0</v>
      </c>
      <c r="Q220" t="n">
        <v>1</v>
      </c>
      <c r="R220" s="2" t="inlineStr">
        <is>
          <t>Käppkrokmossa</t>
        </is>
      </c>
      <c r="S220">
        <f>HYPERLINK("https://klasma.github.io/Logging_2260/artfynd/A 19275-2020 artfynd.xlsx", "A 19275-2020")</f>
        <v/>
      </c>
      <c r="T220">
        <f>HYPERLINK("https://klasma.github.io/Logging_2260/kartor/A 19275-2020 karta.png", "A 19275-2020")</f>
        <v/>
      </c>
      <c r="V220">
        <f>HYPERLINK("https://klasma.github.io/Logging_2260/klagomål/A 19275-2020 FSC-klagomål.docx", "A 19275-2020")</f>
        <v/>
      </c>
      <c r="W220">
        <f>HYPERLINK("https://klasma.github.io/Logging_2260/klagomålsmail/A 19275-2020 FSC-klagomål mail.docx", "A 19275-2020")</f>
        <v/>
      </c>
      <c r="X220">
        <f>HYPERLINK("https://klasma.github.io/Logging_2260/tillsyn/A 19275-2020 tillsynsbegäran.docx", "A 19275-2020")</f>
        <v/>
      </c>
      <c r="Y220">
        <f>HYPERLINK("https://klasma.github.io/Logging_2260/tillsynsmail/A 19275-2020 tillsynsbegäran mail.docx", "A 19275-2020")</f>
        <v/>
      </c>
    </row>
    <row r="221" ht="15" customHeight="1">
      <c r="A221" t="inlineStr">
        <is>
          <t>A 22692-2020</t>
        </is>
      </c>
      <c r="B221" s="1" t="n">
        <v>43963</v>
      </c>
      <c r="C221" s="1" t="n">
        <v>45649</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22692-2020 artfynd.xlsx", "A 22692-2020")</f>
        <v/>
      </c>
      <c r="T221">
        <f>HYPERLINK("https://klasma.github.io/Logging_2260/kartor/A 22692-2020 karta.png", "A 22692-2020")</f>
        <v/>
      </c>
      <c r="V221">
        <f>HYPERLINK("https://klasma.github.io/Logging_2260/klagomål/A 22692-2020 FSC-klagomål.docx", "A 22692-2020")</f>
        <v/>
      </c>
      <c r="W221">
        <f>HYPERLINK("https://klasma.github.io/Logging_2260/klagomålsmail/A 22692-2020 FSC-klagomål mail.docx", "A 22692-2020")</f>
        <v/>
      </c>
      <c r="X221">
        <f>HYPERLINK("https://klasma.github.io/Logging_2260/tillsyn/A 22692-2020 tillsynsbegäran.docx", "A 22692-2020")</f>
        <v/>
      </c>
      <c r="Y221">
        <f>HYPERLINK("https://klasma.github.io/Logging_2260/tillsynsmail/A 22692-2020 tillsynsbegäran mail.docx", "A 22692-2020")</f>
        <v/>
      </c>
    </row>
    <row r="222" ht="15" customHeight="1">
      <c r="A222" t="inlineStr">
        <is>
          <t>A 32755-2020</t>
        </is>
      </c>
      <c r="B222" s="1" t="n">
        <v>44019</v>
      </c>
      <c r="C222" s="1" t="n">
        <v>45649</v>
      </c>
      <c r="D222" t="inlineStr">
        <is>
          <t>VÄSTERNORRLANDS LÄN</t>
        </is>
      </c>
      <c r="E222" t="inlineStr">
        <is>
          <t>ÅNGE</t>
        </is>
      </c>
      <c r="F222" t="inlineStr">
        <is>
          <t>SCA</t>
        </is>
      </c>
      <c r="G222" t="n">
        <v>6.1</v>
      </c>
      <c r="H222" t="n">
        <v>0</v>
      </c>
      <c r="I222" t="n">
        <v>0</v>
      </c>
      <c r="J222" t="n">
        <v>1</v>
      </c>
      <c r="K222" t="n">
        <v>0</v>
      </c>
      <c r="L222" t="n">
        <v>0</v>
      </c>
      <c r="M222" t="n">
        <v>0</v>
      </c>
      <c r="N222" t="n">
        <v>0</v>
      </c>
      <c r="O222" t="n">
        <v>1</v>
      </c>
      <c r="P222" t="n">
        <v>0</v>
      </c>
      <c r="Q222" t="n">
        <v>1</v>
      </c>
      <c r="R222" s="2" t="inlineStr">
        <is>
          <t>Ullticka</t>
        </is>
      </c>
      <c r="S222">
        <f>HYPERLINK("https://klasma.github.io/Logging_2260/artfynd/A 32755-2020 artfynd.xlsx", "A 32755-2020")</f>
        <v/>
      </c>
      <c r="T222">
        <f>HYPERLINK("https://klasma.github.io/Logging_2260/kartor/A 32755-2020 karta.png", "A 32755-2020")</f>
        <v/>
      </c>
      <c r="V222">
        <f>HYPERLINK("https://klasma.github.io/Logging_2260/klagomål/A 32755-2020 FSC-klagomål.docx", "A 32755-2020")</f>
        <v/>
      </c>
      <c r="W222">
        <f>HYPERLINK("https://klasma.github.io/Logging_2260/klagomålsmail/A 32755-2020 FSC-klagomål mail.docx", "A 32755-2020")</f>
        <v/>
      </c>
      <c r="X222">
        <f>HYPERLINK("https://klasma.github.io/Logging_2260/tillsyn/A 32755-2020 tillsynsbegäran.docx", "A 32755-2020")</f>
        <v/>
      </c>
      <c r="Y222">
        <f>HYPERLINK("https://klasma.github.io/Logging_2260/tillsynsmail/A 32755-2020 tillsynsbegäran mail.docx", "A 32755-2020")</f>
        <v/>
      </c>
    </row>
    <row r="223" ht="15" customHeight="1">
      <c r="A223" t="inlineStr">
        <is>
          <t>A 40416-2020</t>
        </is>
      </c>
      <c r="B223" s="1" t="n">
        <v>44068</v>
      </c>
      <c r="C223" s="1" t="n">
        <v>45649</v>
      </c>
      <c r="D223" t="inlineStr">
        <is>
          <t>VÄSTERNORRLANDS LÄN</t>
        </is>
      </c>
      <c r="E223" t="inlineStr">
        <is>
          <t>ÅNGE</t>
        </is>
      </c>
      <c r="F223" t="inlineStr">
        <is>
          <t>SCA</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HYPERLINK("https://klasma.github.io/Logging_2260/artfynd/A 40416-2020 artfynd.xlsx", "A 40416-2020")</f>
        <v/>
      </c>
      <c r="T223">
        <f>HYPERLINK("https://klasma.github.io/Logging_2260/kartor/A 40416-2020 karta.png", "A 40416-2020")</f>
        <v/>
      </c>
      <c r="U223">
        <f>HYPERLINK("https://klasma.github.io/Logging_2260/knärot/A 40416-2020 karta knärot.png", "A 40416-2020")</f>
        <v/>
      </c>
      <c r="V223">
        <f>HYPERLINK("https://klasma.github.io/Logging_2260/klagomål/A 40416-2020 FSC-klagomål.docx", "A 40416-2020")</f>
        <v/>
      </c>
      <c r="W223">
        <f>HYPERLINK("https://klasma.github.io/Logging_2260/klagomålsmail/A 40416-2020 FSC-klagomål mail.docx", "A 40416-2020")</f>
        <v/>
      </c>
      <c r="X223">
        <f>HYPERLINK("https://klasma.github.io/Logging_2260/tillsyn/A 40416-2020 tillsynsbegäran.docx", "A 40416-2020")</f>
        <v/>
      </c>
      <c r="Y223">
        <f>HYPERLINK("https://klasma.github.io/Logging_2260/tillsynsmail/A 40416-2020 tillsynsbegäran mail.docx", "A 40416-2020")</f>
        <v/>
      </c>
    </row>
    <row r="224" ht="15" customHeight="1">
      <c r="A224" t="inlineStr">
        <is>
          <t>A 63983-2020</t>
        </is>
      </c>
      <c r="B224" s="1" t="n">
        <v>44167</v>
      </c>
      <c r="C224" s="1" t="n">
        <v>45649</v>
      </c>
      <c r="D224" t="inlineStr">
        <is>
          <t>VÄSTERNORRLANDS LÄN</t>
        </is>
      </c>
      <c r="E224" t="inlineStr">
        <is>
          <t>ÅNGE</t>
        </is>
      </c>
      <c r="F224" t="inlineStr">
        <is>
          <t>Kommuner</t>
        </is>
      </c>
      <c r="G224" t="n">
        <v>27.1</v>
      </c>
      <c r="H224" t="n">
        <v>1</v>
      </c>
      <c r="I224" t="n">
        <v>0</v>
      </c>
      <c r="J224" t="n">
        <v>0</v>
      </c>
      <c r="K224" t="n">
        <v>1</v>
      </c>
      <c r="L224" t="n">
        <v>0</v>
      </c>
      <c r="M224" t="n">
        <v>0</v>
      </c>
      <c r="N224" t="n">
        <v>0</v>
      </c>
      <c r="O224" t="n">
        <v>1</v>
      </c>
      <c r="P224" t="n">
        <v>1</v>
      </c>
      <c r="Q224" t="n">
        <v>1</v>
      </c>
      <c r="R224" s="2" t="inlineStr">
        <is>
          <t>Knärot</t>
        </is>
      </c>
      <c r="S224">
        <f>HYPERLINK("https://klasma.github.io/Logging_2260/artfynd/A 63983-2020 artfynd.xlsx", "A 63983-2020")</f>
        <v/>
      </c>
      <c r="T224">
        <f>HYPERLINK("https://klasma.github.io/Logging_2260/kartor/A 63983-2020 karta.png", "A 63983-2020")</f>
        <v/>
      </c>
      <c r="U224">
        <f>HYPERLINK("https://klasma.github.io/Logging_2260/knärot/A 63983-2020 karta knärot.png", "A 63983-2020")</f>
        <v/>
      </c>
      <c r="V224">
        <f>HYPERLINK("https://klasma.github.io/Logging_2260/klagomål/A 63983-2020 FSC-klagomål.docx", "A 63983-2020")</f>
        <v/>
      </c>
      <c r="W224">
        <f>HYPERLINK("https://klasma.github.io/Logging_2260/klagomålsmail/A 63983-2020 FSC-klagomål mail.docx", "A 63983-2020")</f>
        <v/>
      </c>
      <c r="X224">
        <f>HYPERLINK("https://klasma.github.io/Logging_2260/tillsyn/A 63983-2020 tillsynsbegäran.docx", "A 63983-2020")</f>
        <v/>
      </c>
      <c r="Y224">
        <f>HYPERLINK("https://klasma.github.io/Logging_2260/tillsynsmail/A 63983-2020 tillsynsbegäran mail.docx", "A 63983-2020")</f>
        <v/>
      </c>
    </row>
    <row r="225" ht="15" customHeight="1">
      <c r="A225" t="inlineStr">
        <is>
          <t>A 5558-2021</t>
        </is>
      </c>
      <c r="B225" s="1" t="n">
        <v>44230</v>
      </c>
      <c r="C225" s="1" t="n">
        <v>45649</v>
      </c>
      <c r="D225" t="inlineStr">
        <is>
          <t>VÄSTERNORRLANDS LÄN</t>
        </is>
      </c>
      <c r="E225" t="inlineStr">
        <is>
          <t>ÅNGE</t>
        </is>
      </c>
      <c r="G225" t="n">
        <v>60.6</v>
      </c>
      <c r="H225" t="n">
        <v>0</v>
      </c>
      <c r="I225" t="n">
        <v>0</v>
      </c>
      <c r="J225" t="n">
        <v>1</v>
      </c>
      <c r="K225" t="n">
        <v>0</v>
      </c>
      <c r="L225" t="n">
        <v>0</v>
      </c>
      <c r="M225" t="n">
        <v>0</v>
      </c>
      <c r="N225" t="n">
        <v>0</v>
      </c>
      <c r="O225" t="n">
        <v>1</v>
      </c>
      <c r="P225" t="n">
        <v>0</v>
      </c>
      <c r="Q225" t="n">
        <v>1</v>
      </c>
      <c r="R225" s="2" t="inlineStr">
        <is>
          <t>Garnlav</t>
        </is>
      </c>
      <c r="S225">
        <f>HYPERLINK("https://klasma.github.io/Logging_2260/artfynd/A 5558-2021 artfynd.xlsx", "A 5558-2021")</f>
        <v/>
      </c>
      <c r="T225">
        <f>HYPERLINK("https://klasma.github.io/Logging_2260/kartor/A 5558-2021 karta.png", "A 5558-2021")</f>
        <v/>
      </c>
      <c r="V225">
        <f>HYPERLINK("https://klasma.github.io/Logging_2260/klagomål/A 5558-2021 FSC-klagomål.docx", "A 5558-2021")</f>
        <v/>
      </c>
      <c r="W225">
        <f>HYPERLINK("https://klasma.github.io/Logging_2260/klagomålsmail/A 5558-2021 FSC-klagomål mail.docx", "A 5558-2021")</f>
        <v/>
      </c>
      <c r="X225">
        <f>HYPERLINK("https://klasma.github.io/Logging_2260/tillsyn/A 5558-2021 tillsynsbegäran.docx", "A 5558-2021")</f>
        <v/>
      </c>
      <c r="Y225">
        <f>HYPERLINK("https://klasma.github.io/Logging_2260/tillsynsmail/A 5558-2021 tillsynsbegäran mail.docx", "A 5558-2021")</f>
        <v/>
      </c>
    </row>
    <row r="226" ht="15" customHeight="1">
      <c r="A226" t="inlineStr">
        <is>
          <t>A 31578-2021</t>
        </is>
      </c>
      <c r="B226" s="1" t="n">
        <v>44369</v>
      </c>
      <c r="C226" s="1" t="n">
        <v>45649</v>
      </c>
      <c r="D226" t="inlineStr">
        <is>
          <t>VÄSTERNORRLANDS LÄN</t>
        </is>
      </c>
      <c r="E226" t="inlineStr">
        <is>
          <t>ÅNGE</t>
        </is>
      </c>
      <c r="G226" t="n">
        <v>25.8</v>
      </c>
      <c r="H226" t="n">
        <v>1</v>
      </c>
      <c r="I226" t="n">
        <v>0</v>
      </c>
      <c r="J226" t="n">
        <v>0</v>
      </c>
      <c r="K226" t="n">
        <v>1</v>
      </c>
      <c r="L226" t="n">
        <v>0</v>
      </c>
      <c r="M226" t="n">
        <v>0</v>
      </c>
      <c r="N226" t="n">
        <v>0</v>
      </c>
      <c r="O226" t="n">
        <v>1</v>
      </c>
      <c r="P226" t="n">
        <v>1</v>
      </c>
      <c r="Q226" t="n">
        <v>1</v>
      </c>
      <c r="R226" s="2" t="inlineStr">
        <is>
          <t>Knärot</t>
        </is>
      </c>
      <c r="S226">
        <f>HYPERLINK("https://klasma.github.io/Logging_2260/artfynd/A 31578-2021 artfynd.xlsx", "A 31578-2021")</f>
        <v/>
      </c>
      <c r="T226">
        <f>HYPERLINK("https://klasma.github.io/Logging_2260/kartor/A 31578-2021 karta.png", "A 31578-2021")</f>
        <v/>
      </c>
      <c r="U226">
        <f>HYPERLINK("https://klasma.github.io/Logging_2260/knärot/A 31578-2021 karta knärot.png", "A 31578-2021")</f>
        <v/>
      </c>
      <c r="V226">
        <f>HYPERLINK("https://klasma.github.io/Logging_2260/klagomål/A 31578-2021 FSC-klagomål.docx", "A 31578-2021")</f>
        <v/>
      </c>
      <c r="W226">
        <f>HYPERLINK("https://klasma.github.io/Logging_2260/klagomålsmail/A 31578-2021 FSC-klagomål mail.docx", "A 31578-2021")</f>
        <v/>
      </c>
      <c r="X226">
        <f>HYPERLINK("https://klasma.github.io/Logging_2260/tillsyn/A 31578-2021 tillsynsbegäran.docx", "A 31578-2021")</f>
        <v/>
      </c>
      <c r="Y226">
        <f>HYPERLINK("https://klasma.github.io/Logging_2260/tillsynsmail/A 31578-2021 tillsynsbegäran mail.docx", "A 31578-2021")</f>
        <v/>
      </c>
    </row>
    <row r="227" ht="15" customHeight="1">
      <c r="A227" t="inlineStr">
        <is>
          <t>A 35018-2021</t>
        </is>
      </c>
      <c r="B227" s="1" t="n">
        <v>44383</v>
      </c>
      <c r="C227" s="1" t="n">
        <v>45649</v>
      </c>
      <c r="D227" t="inlineStr">
        <is>
          <t>VÄSTERNORRLANDS LÄN</t>
        </is>
      </c>
      <c r="E227" t="inlineStr">
        <is>
          <t>ÅNGE</t>
        </is>
      </c>
      <c r="F227" t="inlineStr">
        <is>
          <t>Sveaskog</t>
        </is>
      </c>
      <c r="G227" t="n">
        <v>9.5</v>
      </c>
      <c r="H227" t="n">
        <v>1</v>
      </c>
      <c r="I227" t="n">
        <v>0</v>
      </c>
      <c r="J227" t="n">
        <v>1</v>
      </c>
      <c r="K227" t="n">
        <v>0</v>
      </c>
      <c r="L227" t="n">
        <v>0</v>
      </c>
      <c r="M227" t="n">
        <v>0</v>
      </c>
      <c r="N227" t="n">
        <v>0</v>
      </c>
      <c r="O227" t="n">
        <v>1</v>
      </c>
      <c r="P227" t="n">
        <v>0</v>
      </c>
      <c r="Q227" t="n">
        <v>1</v>
      </c>
      <c r="R227" s="2" t="inlineStr">
        <is>
          <t>Utter</t>
        </is>
      </c>
      <c r="S227">
        <f>HYPERLINK("https://klasma.github.io/Logging_2260/artfynd/A 35018-2021 artfynd.xlsx", "A 35018-2021")</f>
        <v/>
      </c>
      <c r="T227">
        <f>HYPERLINK("https://klasma.github.io/Logging_2260/kartor/A 35018-2021 karta.png", "A 35018-2021")</f>
        <v/>
      </c>
      <c r="V227">
        <f>HYPERLINK("https://klasma.github.io/Logging_2260/klagomål/A 35018-2021 FSC-klagomål.docx", "A 35018-2021")</f>
        <v/>
      </c>
      <c r="W227">
        <f>HYPERLINK("https://klasma.github.io/Logging_2260/klagomålsmail/A 35018-2021 FSC-klagomål mail.docx", "A 35018-2021")</f>
        <v/>
      </c>
      <c r="X227">
        <f>HYPERLINK("https://klasma.github.io/Logging_2260/tillsyn/A 35018-2021 tillsynsbegäran.docx", "A 35018-2021")</f>
        <v/>
      </c>
      <c r="Y227">
        <f>HYPERLINK("https://klasma.github.io/Logging_2260/tillsynsmail/A 35018-2021 tillsynsbegäran mail.docx", "A 35018-2021")</f>
        <v/>
      </c>
    </row>
    <row r="228" ht="15" customHeight="1">
      <c r="A228" t="inlineStr">
        <is>
          <t>A 41493-2021</t>
        </is>
      </c>
      <c r="B228" s="1" t="n">
        <v>44424</v>
      </c>
      <c r="C228" s="1" t="n">
        <v>45649</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45355-2021</t>
        </is>
      </c>
      <c r="B229" s="1" t="n">
        <v>44439</v>
      </c>
      <c r="C229" s="1" t="n">
        <v>45649</v>
      </c>
      <c r="D229" t="inlineStr">
        <is>
          <t>VÄSTERNORRLANDS LÄN</t>
        </is>
      </c>
      <c r="E229" t="inlineStr">
        <is>
          <t>ÅNGE</t>
        </is>
      </c>
      <c r="F229" t="inlineStr">
        <is>
          <t>SCA</t>
        </is>
      </c>
      <c r="G229" t="n">
        <v>1.7</v>
      </c>
      <c r="H229" t="n">
        <v>0</v>
      </c>
      <c r="I229" t="n">
        <v>0</v>
      </c>
      <c r="J229" t="n">
        <v>1</v>
      </c>
      <c r="K229" t="n">
        <v>0</v>
      </c>
      <c r="L229" t="n">
        <v>0</v>
      </c>
      <c r="M229" t="n">
        <v>0</v>
      </c>
      <c r="N229" t="n">
        <v>0</v>
      </c>
      <c r="O229" t="n">
        <v>1</v>
      </c>
      <c r="P229" t="n">
        <v>0</v>
      </c>
      <c r="Q229" t="n">
        <v>1</v>
      </c>
      <c r="R229" s="2" t="inlineStr">
        <is>
          <t>Stiftgelélav</t>
        </is>
      </c>
      <c r="S229">
        <f>HYPERLINK("https://klasma.github.io/Logging_2260/artfynd/A 45355-2021 artfynd.xlsx", "A 45355-2021")</f>
        <v/>
      </c>
      <c r="T229">
        <f>HYPERLINK("https://klasma.github.io/Logging_2260/kartor/A 45355-2021 karta.png", "A 45355-2021")</f>
        <v/>
      </c>
      <c r="V229">
        <f>HYPERLINK("https://klasma.github.io/Logging_2260/klagomål/A 45355-2021 FSC-klagomål.docx", "A 45355-2021")</f>
        <v/>
      </c>
      <c r="W229">
        <f>HYPERLINK("https://klasma.github.io/Logging_2260/klagomålsmail/A 45355-2021 FSC-klagomål mail.docx", "A 45355-2021")</f>
        <v/>
      </c>
      <c r="X229">
        <f>HYPERLINK("https://klasma.github.io/Logging_2260/tillsyn/A 45355-2021 tillsynsbegäran.docx", "A 45355-2021")</f>
        <v/>
      </c>
      <c r="Y229">
        <f>HYPERLINK("https://klasma.github.io/Logging_2260/tillsynsmail/A 45355-2021 tillsynsbegäran mail.docx", "A 45355-2021")</f>
        <v/>
      </c>
    </row>
    <row r="230" ht="15" customHeight="1">
      <c r="A230" t="inlineStr">
        <is>
          <t>A 54751-2021</t>
        </is>
      </c>
      <c r="B230" s="1" t="n">
        <v>44473</v>
      </c>
      <c r="C230" s="1" t="n">
        <v>45649</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57562-2021</t>
        </is>
      </c>
      <c r="B231" s="1" t="n">
        <v>44483</v>
      </c>
      <c r="C231" s="1" t="n">
        <v>45649</v>
      </c>
      <c r="D231" t="inlineStr">
        <is>
          <t>VÄSTERNORRLANDS LÄN</t>
        </is>
      </c>
      <c r="E231" t="inlineStr">
        <is>
          <t>ÅNGE</t>
        </is>
      </c>
      <c r="F231" t="inlineStr">
        <is>
          <t>SCA</t>
        </is>
      </c>
      <c r="G231" t="n">
        <v>10.7</v>
      </c>
      <c r="H231" t="n">
        <v>0</v>
      </c>
      <c r="I231" t="n">
        <v>1</v>
      </c>
      <c r="J231" t="n">
        <v>0</v>
      </c>
      <c r="K231" t="n">
        <v>0</v>
      </c>
      <c r="L231" t="n">
        <v>0</v>
      </c>
      <c r="M231" t="n">
        <v>0</v>
      </c>
      <c r="N231" t="n">
        <v>0</v>
      </c>
      <c r="O231" t="n">
        <v>0</v>
      </c>
      <c r="P231" t="n">
        <v>0</v>
      </c>
      <c r="Q231" t="n">
        <v>1</v>
      </c>
      <c r="R231" s="2" t="inlineStr">
        <is>
          <t>Ögonpyrola</t>
        </is>
      </c>
      <c r="S231">
        <f>HYPERLINK("https://klasma.github.io/Logging_2260/artfynd/A 57562-2021 artfynd.xlsx", "A 57562-2021")</f>
        <v/>
      </c>
      <c r="T231">
        <f>HYPERLINK("https://klasma.github.io/Logging_2260/kartor/A 57562-2021 karta.png", "A 57562-2021")</f>
        <v/>
      </c>
      <c r="V231">
        <f>HYPERLINK("https://klasma.github.io/Logging_2260/klagomål/A 57562-2021 FSC-klagomål.docx", "A 57562-2021")</f>
        <v/>
      </c>
      <c r="W231">
        <f>HYPERLINK("https://klasma.github.io/Logging_2260/klagomålsmail/A 57562-2021 FSC-klagomål mail.docx", "A 57562-2021")</f>
        <v/>
      </c>
      <c r="X231">
        <f>HYPERLINK("https://klasma.github.io/Logging_2260/tillsyn/A 57562-2021 tillsynsbegäran.docx", "A 57562-2021")</f>
        <v/>
      </c>
      <c r="Y231">
        <f>HYPERLINK("https://klasma.github.io/Logging_2260/tillsynsmail/A 57562-2021 tillsynsbegäran mail.docx", "A 57562-2021")</f>
        <v/>
      </c>
    </row>
    <row r="232" ht="15" customHeight="1">
      <c r="A232" t="inlineStr">
        <is>
          <t>A 60767-2021</t>
        </is>
      </c>
      <c r="B232" s="1" t="n">
        <v>44496</v>
      </c>
      <c r="C232" s="1" t="n">
        <v>45649</v>
      </c>
      <c r="D232" t="inlineStr">
        <is>
          <t>VÄSTERNORRLANDS LÄN</t>
        </is>
      </c>
      <c r="E232" t="inlineStr">
        <is>
          <t>ÅNGE</t>
        </is>
      </c>
      <c r="F232" t="inlineStr">
        <is>
          <t>SCA</t>
        </is>
      </c>
      <c r="G232" t="n">
        <v>4.5</v>
      </c>
      <c r="H232" t="n">
        <v>1</v>
      </c>
      <c r="I232" t="n">
        <v>0</v>
      </c>
      <c r="J232" t="n">
        <v>0</v>
      </c>
      <c r="K232" t="n">
        <v>1</v>
      </c>
      <c r="L232" t="n">
        <v>0</v>
      </c>
      <c r="M232" t="n">
        <v>0</v>
      </c>
      <c r="N232" t="n">
        <v>0</v>
      </c>
      <c r="O232" t="n">
        <v>1</v>
      </c>
      <c r="P232" t="n">
        <v>1</v>
      </c>
      <c r="Q232" t="n">
        <v>1</v>
      </c>
      <c r="R232" s="2" t="inlineStr">
        <is>
          <t>Knärot</t>
        </is>
      </c>
      <c r="S232">
        <f>HYPERLINK("https://klasma.github.io/Logging_2260/artfynd/A 60767-2021 artfynd.xlsx", "A 60767-2021")</f>
        <v/>
      </c>
      <c r="T232">
        <f>HYPERLINK("https://klasma.github.io/Logging_2260/kartor/A 60767-2021 karta.png", "A 60767-2021")</f>
        <v/>
      </c>
      <c r="U232">
        <f>HYPERLINK("https://klasma.github.io/Logging_2260/knärot/A 60767-2021 karta knärot.png", "A 60767-2021")</f>
        <v/>
      </c>
      <c r="V232">
        <f>HYPERLINK("https://klasma.github.io/Logging_2260/klagomål/A 60767-2021 FSC-klagomål.docx", "A 60767-2021")</f>
        <v/>
      </c>
      <c r="W232">
        <f>HYPERLINK("https://klasma.github.io/Logging_2260/klagomålsmail/A 60767-2021 FSC-klagomål mail.docx", "A 60767-2021")</f>
        <v/>
      </c>
      <c r="X232">
        <f>HYPERLINK("https://klasma.github.io/Logging_2260/tillsyn/A 60767-2021 tillsynsbegäran.docx", "A 60767-2021")</f>
        <v/>
      </c>
      <c r="Y232">
        <f>HYPERLINK("https://klasma.github.io/Logging_2260/tillsynsmail/A 60767-2021 tillsynsbegäran mail.docx", "A 60767-2021")</f>
        <v/>
      </c>
    </row>
    <row r="233" ht="15" customHeight="1">
      <c r="A233" t="inlineStr">
        <is>
          <t>A 61458-2021</t>
        </is>
      </c>
      <c r="B233" s="1" t="n">
        <v>44500</v>
      </c>
      <c r="C233" s="1" t="n">
        <v>45649</v>
      </c>
      <c r="D233" t="inlineStr">
        <is>
          <t>VÄSTERNORRLANDS LÄN</t>
        </is>
      </c>
      <c r="E233" t="inlineStr">
        <is>
          <t>ÅNGE</t>
        </is>
      </c>
      <c r="F233" t="inlineStr">
        <is>
          <t>SCA</t>
        </is>
      </c>
      <c r="G233" t="n">
        <v>11.1</v>
      </c>
      <c r="H233" t="n">
        <v>1</v>
      </c>
      <c r="I233" t="n">
        <v>0</v>
      </c>
      <c r="J233" t="n">
        <v>0</v>
      </c>
      <c r="K233" t="n">
        <v>1</v>
      </c>
      <c r="L233" t="n">
        <v>0</v>
      </c>
      <c r="M233" t="n">
        <v>0</v>
      </c>
      <c r="N233" t="n">
        <v>0</v>
      </c>
      <c r="O233" t="n">
        <v>1</v>
      </c>
      <c r="P233" t="n">
        <v>1</v>
      </c>
      <c r="Q233" t="n">
        <v>1</v>
      </c>
      <c r="R233" s="2" t="inlineStr">
        <is>
          <t>Knärot</t>
        </is>
      </c>
      <c r="S233">
        <f>HYPERLINK("https://klasma.github.io/Logging_2260/artfynd/A 61458-2021 artfynd.xlsx", "A 61458-2021")</f>
        <v/>
      </c>
      <c r="T233">
        <f>HYPERLINK("https://klasma.github.io/Logging_2260/kartor/A 61458-2021 karta.png", "A 61458-2021")</f>
        <v/>
      </c>
      <c r="U233">
        <f>HYPERLINK("https://klasma.github.io/Logging_2260/knärot/A 61458-2021 karta knärot.png", "A 61458-2021")</f>
        <v/>
      </c>
      <c r="V233">
        <f>HYPERLINK("https://klasma.github.io/Logging_2260/klagomål/A 61458-2021 FSC-klagomål.docx", "A 61458-2021")</f>
        <v/>
      </c>
      <c r="W233">
        <f>HYPERLINK("https://klasma.github.io/Logging_2260/klagomålsmail/A 61458-2021 FSC-klagomål mail.docx", "A 61458-2021")</f>
        <v/>
      </c>
      <c r="X233">
        <f>HYPERLINK("https://klasma.github.io/Logging_2260/tillsyn/A 61458-2021 tillsynsbegäran.docx", "A 61458-2021")</f>
        <v/>
      </c>
      <c r="Y233">
        <f>HYPERLINK("https://klasma.github.io/Logging_2260/tillsynsmail/A 61458-2021 tillsynsbegäran mail.docx", "A 61458-2021")</f>
        <v/>
      </c>
    </row>
    <row r="234" ht="15" customHeight="1">
      <c r="A234" t="inlineStr">
        <is>
          <t>A 61479-2021</t>
        </is>
      </c>
      <c r="B234" s="1" t="n">
        <v>44500</v>
      </c>
      <c r="C234" s="1" t="n">
        <v>45649</v>
      </c>
      <c r="D234" t="inlineStr">
        <is>
          <t>VÄSTERNORRLANDS LÄN</t>
        </is>
      </c>
      <c r="E234" t="inlineStr">
        <is>
          <t>ÅNGE</t>
        </is>
      </c>
      <c r="F234" t="inlineStr">
        <is>
          <t>SCA</t>
        </is>
      </c>
      <c r="G234" t="n">
        <v>7.2</v>
      </c>
      <c r="H234" t="n">
        <v>1</v>
      </c>
      <c r="I234" t="n">
        <v>0</v>
      </c>
      <c r="J234" t="n">
        <v>0</v>
      </c>
      <c r="K234" t="n">
        <v>1</v>
      </c>
      <c r="L234" t="n">
        <v>0</v>
      </c>
      <c r="M234" t="n">
        <v>0</v>
      </c>
      <c r="N234" t="n">
        <v>0</v>
      </c>
      <c r="O234" t="n">
        <v>1</v>
      </c>
      <c r="P234" t="n">
        <v>1</v>
      </c>
      <c r="Q234" t="n">
        <v>1</v>
      </c>
      <c r="R234" s="2" t="inlineStr">
        <is>
          <t>Knärot</t>
        </is>
      </c>
      <c r="S234">
        <f>HYPERLINK("https://klasma.github.io/Logging_2260/artfynd/A 61479-2021 artfynd.xlsx", "A 61479-2021")</f>
        <v/>
      </c>
      <c r="T234">
        <f>HYPERLINK("https://klasma.github.io/Logging_2260/kartor/A 61479-2021 karta.png", "A 61479-2021")</f>
        <v/>
      </c>
      <c r="U234">
        <f>HYPERLINK("https://klasma.github.io/Logging_2260/knärot/A 61479-2021 karta knärot.png", "A 61479-2021")</f>
        <v/>
      </c>
      <c r="V234">
        <f>HYPERLINK("https://klasma.github.io/Logging_2260/klagomål/A 61479-2021 FSC-klagomål.docx", "A 61479-2021")</f>
        <v/>
      </c>
      <c r="W234">
        <f>HYPERLINK("https://klasma.github.io/Logging_2260/klagomålsmail/A 61479-2021 FSC-klagomål mail.docx", "A 61479-2021")</f>
        <v/>
      </c>
      <c r="X234">
        <f>HYPERLINK("https://klasma.github.io/Logging_2260/tillsyn/A 61479-2021 tillsynsbegäran.docx", "A 61479-2021")</f>
        <v/>
      </c>
      <c r="Y234">
        <f>HYPERLINK("https://klasma.github.io/Logging_2260/tillsynsmail/A 61479-2021 tillsynsbegäran mail.docx", "A 61479-2021")</f>
        <v/>
      </c>
    </row>
    <row r="235" ht="15" customHeight="1">
      <c r="A235" t="inlineStr">
        <is>
          <t>A 71366-2021</t>
        </is>
      </c>
      <c r="B235" s="1" t="n">
        <v>44539</v>
      </c>
      <c r="C235" s="1" t="n">
        <v>45649</v>
      </c>
      <c r="D235" t="inlineStr">
        <is>
          <t>VÄSTERNORRLANDS LÄN</t>
        </is>
      </c>
      <c r="E235" t="inlineStr">
        <is>
          <t>ÅNGE</t>
        </is>
      </c>
      <c r="F235" t="inlineStr">
        <is>
          <t>SCA</t>
        </is>
      </c>
      <c r="G235" t="n">
        <v>2.3</v>
      </c>
      <c r="H235" t="n">
        <v>1</v>
      </c>
      <c r="I235" t="n">
        <v>0</v>
      </c>
      <c r="J235" t="n">
        <v>0</v>
      </c>
      <c r="K235" t="n">
        <v>1</v>
      </c>
      <c r="L235" t="n">
        <v>0</v>
      </c>
      <c r="M235" t="n">
        <v>0</v>
      </c>
      <c r="N235" t="n">
        <v>0</v>
      </c>
      <c r="O235" t="n">
        <v>1</v>
      </c>
      <c r="P235" t="n">
        <v>1</v>
      </c>
      <c r="Q235" t="n">
        <v>1</v>
      </c>
      <c r="R235" s="2" t="inlineStr">
        <is>
          <t>Knärot</t>
        </is>
      </c>
      <c r="S235">
        <f>HYPERLINK("https://klasma.github.io/Logging_2260/artfynd/A 71366-2021 artfynd.xlsx", "A 71366-2021")</f>
        <v/>
      </c>
      <c r="T235">
        <f>HYPERLINK("https://klasma.github.io/Logging_2260/kartor/A 71366-2021 karta.png", "A 71366-2021")</f>
        <v/>
      </c>
      <c r="U235">
        <f>HYPERLINK("https://klasma.github.io/Logging_2260/knärot/A 71366-2021 karta knärot.png", "A 71366-2021")</f>
        <v/>
      </c>
      <c r="V235">
        <f>HYPERLINK("https://klasma.github.io/Logging_2260/klagomål/A 71366-2021 FSC-klagomål.docx", "A 71366-2021")</f>
        <v/>
      </c>
      <c r="W235">
        <f>HYPERLINK("https://klasma.github.io/Logging_2260/klagomålsmail/A 71366-2021 FSC-klagomål mail.docx", "A 71366-2021")</f>
        <v/>
      </c>
      <c r="X235">
        <f>HYPERLINK("https://klasma.github.io/Logging_2260/tillsyn/A 71366-2021 tillsynsbegäran.docx", "A 71366-2021")</f>
        <v/>
      </c>
      <c r="Y235">
        <f>HYPERLINK("https://klasma.github.io/Logging_2260/tillsynsmail/A 71366-2021 tillsynsbegäran mail.docx", "A 71366-2021")</f>
        <v/>
      </c>
    </row>
    <row r="236" ht="15" customHeight="1">
      <c r="A236" t="inlineStr">
        <is>
          <t>A 14834-2022</t>
        </is>
      </c>
      <c r="B236" s="1" t="n">
        <v>44656</v>
      </c>
      <c r="C236" s="1" t="n">
        <v>45649</v>
      </c>
      <c r="D236" t="inlineStr">
        <is>
          <t>VÄSTERNORRLANDS LÄN</t>
        </is>
      </c>
      <c r="E236" t="inlineStr">
        <is>
          <t>ÅNGE</t>
        </is>
      </c>
      <c r="G236" t="n">
        <v>3.3</v>
      </c>
      <c r="H236" t="n">
        <v>1</v>
      </c>
      <c r="I236" t="n">
        <v>0</v>
      </c>
      <c r="J236" t="n">
        <v>0</v>
      </c>
      <c r="K236" t="n">
        <v>0</v>
      </c>
      <c r="L236" t="n">
        <v>0</v>
      </c>
      <c r="M236" t="n">
        <v>0</v>
      </c>
      <c r="N236" t="n">
        <v>0</v>
      </c>
      <c r="O236" t="n">
        <v>0</v>
      </c>
      <c r="P236" t="n">
        <v>0</v>
      </c>
      <c r="Q236" t="n">
        <v>1</v>
      </c>
      <c r="R236" s="2" t="inlineStr">
        <is>
          <t>Orre</t>
        </is>
      </c>
      <c r="S236">
        <f>HYPERLINK("https://klasma.github.io/Logging_2260/artfynd/A 14834-2022 artfynd.xlsx", "A 14834-2022")</f>
        <v/>
      </c>
      <c r="T236">
        <f>HYPERLINK("https://klasma.github.io/Logging_2260/kartor/A 14834-2022 karta.png", "A 14834-2022")</f>
        <v/>
      </c>
      <c r="V236">
        <f>HYPERLINK("https://klasma.github.io/Logging_2260/klagomål/A 14834-2022 FSC-klagomål.docx", "A 14834-2022")</f>
        <v/>
      </c>
      <c r="W236">
        <f>HYPERLINK("https://klasma.github.io/Logging_2260/klagomålsmail/A 14834-2022 FSC-klagomål mail.docx", "A 14834-2022")</f>
        <v/>
      </c>
      <c r="X236">
        <f>HYPERLINK("https://klasma.github.io/Logging_2260/tillsyn/A 14834-2022 tillsynsbegäran.docx", "A 14834-2022")</f>
        <v/>
      </c>
      <c r="Y236">
        <f>HYPERLINK("https://klasma.github.io/Logging_2260/tillsynsmail/A 14834-2022 tillsynsbegäran mail.docx", "A 14834-2022")</f>
        <v/>
      </c>
      <c r="Z236">
        <f>HYPERLINK("https://klasma.github.io/Logging_2260/fåglar/A 14834-2022 prioriterade fågelarter.docx", "A 14834-2022")</f>
        <v/>
      </c>
    </row>
    <row r="237" ht="15" customHeight="1">
      <c r="A237" t="inlineStr">
        <is>
          <t>A 16053-2022</t>
        </is>
      </c>
      <c r="B237" s="1" t="n">
        <v>44665</v>
      </c>
      <c r="C237" s="1" t="n">
        <v>45649</v>
      </c>
      <c r="D237" t="inlineStr">
        <is>
          <t>VÄSTERNORRLANDS LÄN</t>
        </is>
      </c>
      <c r="E237" t="inlineStr">
        <is>
          <t>ÅNGE</t>
        </is>
      </c>
      <c r="G237" t="n">
        <v>3.8</v>
      </c>
      <c r="H237" t="n">
        <v>1</v>
      </c>
      <c r="I237" t="n">
        <v>0</v>
      </c>
      <c r="J237" t="n">
        <v>1</v>
      </c>
      <c r="K237" t="n">
        <v>0</v>
      </c>
      <c r="L237" t="n">
        <v>0</v>
      </c>
      <c r="M237" t="n">
        <v>0</v>
      </c>
      <c r="N237" t="n">
        <v>0</v>
      </c>
      <c r="O237" t="n">
        <v>1</v>
      </c>
      <c r="P237" t="n">
        <v>0</v>
      </c>
      <c r="Q237" t="n">
        <v>1</v>
      </c>
      <c r="R237" s="2" t="inlineStr">
        <is>
          <t>Järpe</t>
        </is>
      </c>
      <c r="S237">
        <f>HYPERLINK("https://klasma.github.io/Logging_2260/artfynd/A 16053-2022 artfynd.xlsx", "A 16053-2022")</f>
        <v/>
      </c>
      <c r="T237">
        <f>HYPERLINK("https://klasma.github.io/Logging_2260/kartor/A 16053-2022 karta.png", "A 16053-2022")</f>
        <v/>
      </c>
      <c r="V237">
        <f>HYPERLINK("https://klasma.github.io/Logging_2260/klagomål/A 16053-2022 FSC-klagomål.docx", "A 16053-2022")</f>
        <v/>
      </c>
      <c r="W237">
        <f>HYPERLINK("https://klasma.github.io/Logging_2260/klagomålsmail/A 16053-2022 FSC-klagomål mail.docx", "A 16053-2022")</f>
        <v/>
      </c>
      <c r="X237">
        <f>HYPERLINK("https://klasma.github.io/Logging_2260/tillsyn/A 16053-2022 tillsynsbegäran.docx", "A 16053-2022")</f>
        <v/>
      </c>
      <c r="Y237">
        <f>HYPERLINK("https://klasma.github.io/Logging_2260/tillsynsmail/A 16053-2022 tillsynsbegäran mail.docx", "A 16053-2022")</f>
        <v/>
      </c>
      <c r="Z237">
        <f>HYPERLINK("https://klasma.github.io/Logging_2260/fåglar/A 16053-2022 prioriterade fågelarter.docx", "A 16053-2022")</f>
        <v/>
      </c>
    </row>
    <row r="238" ht="15" customHeight="1">
      <c r="A238" t="inlineStr">
        <is>
          <t>A 20367-2022</t>
        </is>
      </c>
      <c r="B238" s="1" t="n">
        <v>44699</v>
      </c>
      <c r="C238" s="1" t="n">
        <v>45649</v>
      </c>
      <c r="D238" t="inlineStr">
        <is>
          <t>VÄSTERNORRLANDS LÄN</t>
        </is>
      </c>
      <c r="E238" t="inlineStr">
        <is>
          <t>ÅNGE</t>
        </is>
      </c>
      <c r="G238" t="n">
        <v>9.6</v>
      </c>
      <c r="H238" t="n">
        <v>1</v>
      </c>
      <c r="I238" t="n">
        <v>0</v>
      </c>
      <c r="J238" t="n">
        <v>0</v>
      </c>
      <c r="K238" t="n">
        <v>0</v>
      </c>
      <c r="L238" t="n">
        <v>0</v>
      </c>
      <c r="M238" t="n">
        <v>0</v>
      </c>
      <c r="N238" t="n">
        <v>0</v>
      </c>
      <c r="O238" t="n">
        <v>0</v>
      </c>
      <c r="P238" t="n">
        <v>0</v>
      </c>
      <c r="Q238" t="n">
        <v>1</v>
      </c>
      <c r="R238" s="2" t="inlineStr">
        <is>
          <t>Fläcknycklar</t>
        </is>
      </c>
      <c r="S238">
        <f>HYPERLINK("https://klasma.github.io/Logging_2260/artfynd/A 20367-2022 artfynd.xlsx", "A 20367-2022")</f>
        <v/>
      </c>
      <c r="T238">
        <f>HYPERLINK("https://klasma.github.io/Logging_2260/kartor/A 20367-2022 karta.png", "A 20367-2022")</f>
        <v/>
      </c>
      <c r="V238">
        <f>HYPERLINK("https://klasma.github.io/Logging_2260/klagomål/A 20367-2022 FSC-klagomål.docx", "A 20367-2022")</f>
        <v/>
      </c>
      <c r="W238">
        <f>HYPERLINK("https://klasma.github.io/Logging_2260/klagomålsmail/A 20367-2022 FSC-klagomål mail.docx", "A 20367-2022")</f>
        <v/>
      </c>
      <c r="X238">
        <f>HYPERLINK("https://klasma.github.io/Logging_2260/tillsyn/A 20367-2022 tillsynsbegäran.docx", "A 20367-2022")</f>
        <v/>
      </c>
      <c r="Y238">
        <f>HYPERLINK("https://klasma.github.io/Logging_2260/tillsynsmail/A 20367-2022 tillsynsbegäran mail.docx", "A 20367-2022")</f>
        <v/>
      </c>
    </row>
    <row r="239" ht="15" customHeight="1">
      <c r="A239" t="inlineStr">
        <is>
          <t>A 39933-2022</t>
        </is>
      </c>
      <c r="B239" s="1" t="n">
        <v>44819</v>
      </c>
      <c r="C239" s="1" t="n">
        <v>45649</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47784-2022</t>
        </is>
      </c>
      <c r="B240" s="1" t="n">
        <v>44854</v>
      </c>
      <c r="C240" s="1" t="n">
        <v>45649</v>
      </c>
      <c r="D240" t="inlineStr">
        <is>
          <t>VÄSTERNORRLANDS LÄN</t>
        </is>
      </c>
      <c r="E240" t="inlineStr">
        <is>
          <t>ÅNGE</t>
        </is>
      </c>
      <c r="F240" t="inlineStr">
        <is>
          <t>SCA</t>
        </is>
      </c>
      <c r="G240" t="n">
        <v>14.8</v>
      </c>
      <c r="H240" t="n">
        <v>0</v>
      </c>
      <c r="I240" t="n">
        <v>0</v>
      </c>
      <c r="J240" t="n">
        <v>1</v>
      </c>
      <c r="K240" t="n">
        <v>0</v>
      </c>
      <c r="L240" t="n">
        <v>0</v>
      </c>
      <c r="M240" t="n">
        <v>0</v>
      </c>
      <c r="N240" t="n">
        <v>0</v>
      </c>
      <c r="O240" t="n">
        <v>1</v>
      </c>
      <c r="P240" t="n">
        <v>0</v>
      </c>
      <c r="Q240" t="n">
        <v>1</v>
      </c>
      <c r="R240" s="2" t="inlineStr">
        <is>
          <t>Reliktbock</t>
        </is>
      </c>
      <c r="S240">
        <f>HYPERLINK("https://klasma.github.io/Logging_2260/artfynd/A 47784-2022 artfynd.xlsx", "A 47784-2022")</f>
        <v/>
      </c>
      <c r="T240">
        <f>HYPERLINK("https://klasma.github.io/Logging_2260/kartor/A 47784-2022 karta.png", "A 47784-2022")</f>
        <v/>
      </c>
      <c r="V240">
        <f>HYPERLINK("https://klasma.github.io/Logging_2260/klagomål/A 47784-2022 FSC-klagomål.docx", "A 47784-2022")</f>
        <v/>
      </c>
      <c r="W240">
        <f>HYPERLINK("https://klasma.github.io/Logging_2260/klagomålsmail/A 47784-2022 FSC-klagomål mail.docx", "A 47784-2022")</f>
        <v/>
      </c>
      <c r="X240">
        <f>HYPERLINK("https://klasma.github.io/Logging_2260/tillsyn/A 47784-2022 tillsynsbegäran.docx", "A 47784-2022")</f>
        <v/>
      </c>
      <c r="Y240">
        <f>HYPERLINK("https://klasma.github.io/Logging_2260/tillsynsmail/A 47784-2022 tillsynsbegäran mail.docx", "A 47784-2022")</f>
        <v/>
      </c>
    </row>
    <row r="241" ht="15" customHeight="1">
      <c r="A241" t="inlineStr">
        <is>
          <t>A 7485-2023</t>
        </is>
      </c>
      <c r="B241" s="1" t="n">
        <v>44964</v>
      </c>
      <c r="C241" s="1" t="n">
        <v>45649</v>
      </c>
      <c r="D241" t="inlineStr">
        <is>
          <t>VÄSTERNORRLANDS LÄN</t>
        </is>
      </c>
      <c r="E241" t="inlineStr">
        <is>
          <t>ÅNGE</t>
        </is>
      </c>
      <c r="G241" t="n">
        <v>2.9</v>
      </c>
      <c r="H241" t="n">
        <v>0</v>
      </c>
      <c r="I241" t="n">
        <v>0</v>
      </c>
      <c r="J241" t="n">
        <v>1</v>
      </c>
      <c r="K241" t="n">
        <v>0</v>
      </c>
      <c r="L241" t="n">
        <v>0</v>
      </c>
      <c r="M241" t="n">
        <v>0</v>
      </c>
      <c r="N241" t="n">
        <v>0</v>
      </c>
      <c r="O241" t="n">
        <v>1</v>
      </c>
      <c r="P241" t="n">
        <v>0</v>
      </c>
      <c r="Q241" t="n">
        <v>1</v>
      </c>
      <c r="R241" s="2" t="inlineStr">
        <is>
          <t>Rosenticka</t>
        </is>
      </c>
      <c r="S241">
        <f>HYPERLINK("https://klasma.github.io/Logging_2260/artfynd/A 7485-2023 artfynd.xlsx", "A 7485-2023")</f>
        <v/>
      </c>
      <c r="T241">
        <f>HYPERLINK("https://klasma.github.io/Logging_2260/kartor/A 7485-2023 karta.png", "A 7485-2023")</f>
        <v/>
      </c>
      <c r="V241">
        <f>HYPERLINK("https://klasma.github.io/Logging_2260/klagomål/A 7485-2023 FSC-klagomål.docx", "A 7485-2023")</f>
        <v/>
      </c>
      <c r="W241">
        <f>HYPERLINK("https://klasma.github.io/Logging_2260/klagomålsmail/A 7485-2023 FSC-klagomål mail.docx", "A 7485-2023")</f>
        <v/>
      </c>
      <c r="X241">
        <f>HYPERLINK("https://klasma.github.io/Logging_2260/tillsyn/A 7485-2023 tillsynsbegäran.docx", "A 7485-2023")</f>
        <v/>
      </c>
      <c r="Y241">
        <f>HYPERLINK("https://klasma.github.io/Logging_2260/tillsynsmail/A 7485-2023 tillsynsbegäran mail.docx", "A 7485-2023")</f>
        <v/>
      </c>
    </row>
    <row r="242" ht="15" customHeight="1">
      <c r="A242" t="inlineStr">
        <is>
          <t>A 22998-2023</t>
        </is>
      </c>
      <c r="B242" s="1" t="n">
        <v>45072</v>
      </c>
      <c r="C242" s="1" t="n">
        <v>45649</v>
      </c>
      <c r="D242" t="inlineStr">
        <is>
          <t>VÄSTERNORRLANDS LÄN</t>
        </is>
      </c>
      <c r="E242" t="inlineStr">
        <is>
          <t>ÅNGE</t>
        </is>
      </c>
      <c r="F242" t="inlineStr">
        <is>
          <t>SCA</t>
        </is>
      </c>
      <c r="G242" t="n">
        <v>3.8</v>
      </c>
      <c r="H242" t="n">
        <v>0</v>
      </c>
      <c r="I242" t="n">
        <v>0</v>
      </c>
      <c r="J242" t="n">
        <v>1</v>
      </c>
      <c r="K242" t="n">
        <v>0</v>
      </c>
      <c r="L242" t="n">
        <v>0</v>
      </c>
      <c r="M242" t="n">
        <v>0</v>
      </c>
      <c r="N242" t="n">
        <v>0</v>
      </c>
      <c r="O242" t="n">
        <v>1</v>
      </c>
      <c r="P242" t="n">
        <v>0</v>
      </c>
      <c r="Q242" t="n">
        <v>1</v>
      </c>
      <c r="R242" s="2" t="inlineStr">
        <is>
          <t>Blågrå svartspik</t>
        </is>
      </c>
      <c r="S242">
        <f>HYPERLINK("https://klasma.github.io/Logging_2260/artfynd/A 22998-2023 artfynd.xlsx", "A 22998-2023")</f>
        <v/>
      </c>
      <c r="T242">
        <f>HYPERLINK("https://klasma.github.io/Logging_2260/kartor/A 22998-2023 karta.png", "A 22998-2023")</f>
        <v/>
      </c>
      <c r="V242">
        <f>HYPERLINK("https://klasma.github.io/Logging_2260/klagomål/A 22998-2023 FSC-klagomål.docx", "A 22998-2023")</f>
        <v/>
      </c>
      <c r="W242">
        <f>HYPERLINK("https://klasma.github.io/Logging_2260/klagomålsmail/A 22998-2023 FSC-klagomål mail.docx", "A 22998-2023")</f>
        <v/>
      </c>
      <c r="X242">
        <f>HYPERLINK("https://klasma.github.io/Logging_2260/tillsyn/A 22998-2023 tillsynsbegäran.docx", "A 22998-2023")</f>
        <v/>
      </c>
      <c r="Y242">
        <f>HYPERLINK("https://klasma.github.io/Logging_2260/tillsynsmail/A 22998-2023 tillsynsbegäran mail.docx", "A 22998-2023")</f>
        <v/>
      </c>
    </row>
    <row r="243" ht="15" customHeight="1">
      <c r="A243" t="inlineStr">
        <is>
          <t>A 25322-2023</t>
        </is>
      </c>
      <c r="B243" s="1" t="n">
        <v>45086</v>
      </c>
      <c r="C243" s="1" t="n">
        <v>45649</v>
      </c>
      <c r="D243" t="inlineStr">
        <is>
          <t>VÄSTERNORRLANDS LÄN</t>
        </is>
      </c>
      <c r="E243" t="inlineStr">
        <is>
          <t>ÅNGE</t>
        </is>
      </c>
      <c r="F243" t="inlineStr">
        <is>
          <t>SCA</t>
        </is>
      </c>
      <c r="G243" t="n">
        <v>6.9</v>
      </c>
      <c r="H243" t="n">
        <v>0</v>
      </c>
      <c r="I243" t="n">
        <v>0</v>
      </c>
      <c r="J243" t="n">
        <v>1</v>
      </c>
      <c r="K243" t="n">
        <v>0</v>
      </c>
      <c r="L243" t="n">
        <v>0</v>
      </c>
      <c r="M243" t="n">
        <v>0</v>
      </c>
      <c r="N243" t="n">
        <v>0</v>
      </c>
      <c r="O243" t="n">
        <v>1</v>
      </c>
      <c r="P243" t="n">
        <v>0</v>
      </c>
      <c r="Q243" t="n">
        <v>1</v>
      </c>
      <c r="R243" s="2" t="inlineStr">
        <is>
          <t>Lunglav</t>
        </is>
      </c>
      <c r="S243">
        <f>HYPERLINK("https://klasma.github.io/Logging_2260/artfynd/A 25322-2023 artfynd.xlsx", "A 25322-2023")</f>
        <v/>
      </c>
      <c r="T243">
        <f>HYPERLINK("https://klasma.github.io/Logging_2260/kartor/A 25322-2023 karta.png", "A 25322-2023")</f>
        <v/>
      </c>
      <c r="V243">
        <f>HYPERLINK("https://klasma.github.io/Logging_2260/klagomål/A 25322-2023 FSC-klagomål.docx", "A 25322-2023")</f>
        <v/>
      </c>
      <c r="W243">
        <f>HYPERLINK("https://klasma.github.io/Logging_2260/klagomålsmail/A 25322-2023 FSC-klagomål mail.docx", "A 25322-2023")</f>
        <v/>
      </c>
      <c r="X243">
        <f>HYPERLINK("https://klasma.github.io/Logging_2260/tillsyn/A 25322-2023 tillsynsbegäran.docx", "A 25322-2023")</f>
        <v/>
      </c>
      <c r="Y243">
        <f>HYPERLINK("https://klasma.github.io/Logging_2260/tillsynsmail/A 25322-2023 tillsynsbegäran mail.docx", "A 25322-2023")</f>
        <v/>
      </c>
    </row>
    <row r="244" ht="15" customHeight="1">
      <c r="A244" t="inlineStr">
        <is>
          <t>A 26514-2023</t>
        </is>
      </c>
      <c r="B244" s="1" t="n">
        <v>45092</v>
      </c>
      <c r="C244" s="1" t="n">
        <v>45649</v>
      </c>
      <c r="D244" t="inlineStr">
        <is>
          <t>VÄSTERNORRLANDS LÄN</t>
        </is>
      </c>
      <c r="E244" t="inlineStr">
        <is>
          <t>ÅNGE</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HYPERLINK("https://klasma.github.io/Logging_2260/artfynd/A 26514-2023 artfynd.xlsx", "A 26514-2023")</f>
        <v/>
      </c>
      <c r="T244">
        <f>HYPERLINK("https://klasma.github.io/Logging_2260/kartor/A 26514-2023 karta.png", "A 26514-2023")</f>
        <v/>
      </c>
      <c r="V244">
        <f>HYPERLINK("https://klasma.github.io/Logging_2260/klagomål/A 26514-2023 FSC-klagomål.docx", "A 26514-2023")</f>
        <v/>
      </c>
      <c r="W244">
        <f>HYPERLINK("https://klasma.github.io/Logging_2260/klagomålsmail/A 26514-2023 FSC-klagomål mail.docx", "A 26514-2023")</f>
        <v/>
      </c>
      <c r="X244">
        <f>HYPERLINK("https://klasma.github.io/Logging_2260/tillsyn/A 26514-2023 tillsynsbegäran.docx", "A 26514-2023")</f>
        <v/>
      </c>
      <c r="Y244">
        <f>HYPERLINK("https://klasma.github.io/Logging_2260/tillsynsmail/A 26514-2023 tillsynsbegäran mail.docx", "A 26514-2023")</f>
        <v/>
      </c>
    </row>
    <row r="245" ht="15" customHeight="1">
      <c r="A245" t="inlineStr">
        <is>
          <t>A 29327-2023</t>
        </is>
      </c>
      <c r="B245" s="1" t="n">
        <v>45106</v>
      </c>
      <c r="C245" s="1" t="n">
        <v>45649</v>
      </c>
      <c r="D245" t="inlineStr">
        <is>
          <t>VÄSTERNORRLANDS LÄN</t>
        </is>
      </c>
      <c r="E245" t="inlineStr">
        <is>
          <t>ÅNGE</t>
        </is>
      </c>
      <c r="G245" t="n">
        <v>7.8</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29327-2023 artfynd.xlsx", "A 29327-2023")</f>
        <v/>
      </c>
      <c r="T245">
        <f>HYPERLINK("https://klasma.github.io/Logging_2260/kartor/A 29327-2023 karta.png", "A 29327-2023")</f>
        <v/>
      </c>
      <c r="V245">
        <f>HYPERLINK("https://klasma.github.io/Logging_2260/klagomål/A 29327-2023 FSC-klagomål.docx", "A 29327-2023")</f>
        <v/>
      </c>
      <c r="W245">
        <f>HYPERLINK("https://klasma.github.io/Logging_2260/klagomålsmail/A 29327-2023 FSC-klagomål mail.docx", "A 29327-2023")</f>
        <v/>
      </c>
      <c r="X245">
        <f>HYPERLINK("https://klasma.github.io/Logging_2260/tillsyn/A 29327-2023 tillsynsbegäran.docx", "A 29327-2023")</f>
        <v/>
      </c>
      <c r="Y245">
        <f>HYPERLINK("https://klasma.github.io/Logging_2260/tillsynsmail/A 29327-2023 tillsynsbegäran mail.docx", "A 29327-2023")</f>
        <v/>
      </c>
    </row>
    <row r="246" ht="15" customHeight="1">
      <c r="A246" t="inlineStr">
        <is>
          <t>A 30838-2023</t>
        </is>
      </c>
      <c r="B246" s="1" t="n">
        <v>45112</v>
      </c>
      <c r="C246" s="1" t="n">
        <v>45649</v>
      </c>
      <c r="D246" t="inlineStr">
        <is>
          <t>VÄSTERNORRLANDS LÄN</t>
        </is>
      </c>
      <c r="E246" t="inlineStr">
        <is>
          <t>ÅNGE</t>
        </is>
      </c>
      <c r="F246" t="inlineStr">
        <is>
          <t>SCA</t>
        </is>
      </c>
      <c r="G246" t="n">
        <v>5.6</v>
      </c>
      <c r="H246" t="n">
        <v>0</v>
      </c>
      <c r="I246" t="n">
        <v>0</v>
      </c>
      <c r="J246" t="n">
        <v>1</v>
      </c>
      <c r="K246" t="n">
        <v>0</v>
      </c>
      <c r="L246" t="n">
        <v>0</v>
      </c>
      <c r="M246" t="n">
        <v>0</v>
      </c>
      <c r="N246" t="n">
        <v>0</v>
      </c>
      <c r="O246" t="n">
        <v>1</v>
      </c>
      <c r="P246" t="n">
        <v>0</v>
      </c>
      <c r="Q246" t="n">
        <v>1</v>
      </c>
      <c r="R246" s="2" t="inlineStr">
        <is>
          <t>Kortskaftad ärgspik</t>
        </is>
      </c>
      <c r="S246">
        <f>HYPERLINK("https://klasma.github.io/Logging_2260/artfynd/A 30838-2023 artfynd.xlsx", "A 30838-2023")</f>
        <v/>
      </c>
      <c r="T246">
        <f>HYPERLINK("https://klasma.github.io/Logging_2260/kartor/A 30838-2023 karta.png", "A 30838-2023")</f>
        <v/>
      </c>
      <c r="U246">
        <f>HYPERLINK("https://klasma.github.io/Logging_2260/knärot/A 30838-2023 karta knärot.png", "A 30838-2023")</f>
        <v/>
      </c>
      <c r="V246">
        <f>HYPERLINK("https://klasma.github.io/Logging_2260/klagomål/A 30838-2023 FSC-klagomål.docx", "A 30838-2023")</f>
        <v/>
      </c>
      <c r="W246">
        <f>HYPERLINK("https://klasma.github.io/Logging_2260/klagomålsmail/A 30838-2023 FSC-klagomål mail.docx", "A 30838-2023")</f>
        <v/>
      </c>
      <c r="X246">
        <f>HYPERLINK("https://klasma.github.io/Logging_2260/tillsyn/A 30838-2023 tillsynsbegäran.docx", "A 30838-2023")</f>
        <v/>
      </c>
      <c r="Y246">
        <f>HYPERLINK("https://klasma.github.io/Logging_2260/tillsynsmail/A 30838-2023 tillsynsbegäran mail.docx", "A 30838-2023")</f>
        <v/>
      </c>
    </row>
    <row r="247" ht="15" customHeight="1">
      <c r="A247" t="inlineStr">
        <is>
          <t>A 34489-2023</t>
        </is>
      </c>
      <c r="B247" s="1" t="n">
        <v>45139</v>
      </c>
      <c r="C247" s="1" t="n">
        <v>45649</v>
      </c>
      <c r="D247" t="inlineStr">
        <is>
          <t>VÄSTERNORRLANDS LÄN</t>
        </is>
      </c>
      <c r="E247" t="inlineStr">
        <is>
          <t>ÅNGE</t>
        </is>
      </c>
      <c r="F247" t="inlineStr">
        <is>
          <t>SCA</t>
        </is>
      </c>
      <c r="G247" t="n">
        <v>11.1</v>
      </c>
      <c r="H247" t="n">
        <v>1</v>
      </c>
      <c r="I247" t="n">
        <v>0</v>
      </c>
      <c r="J247" t="n">
        <v>0</v>
      </c>
      <c r="K247" t="n">
        <v>1</v>
      </c>
      <c r="L247" t="n">
        <v>0</v>
      </c>
      <c r="M247" t="n">
        <v>0</v>
      </c>
      <c r="N247" t="n">
        <v>0</v>
      </c>
      <c r="O247" t="n">
        <v>1</v>
      </c>
      <c r="P247" t="n">
        <v>1</v>
      </c>
      <c r="Q247" t="n">
        <v>1</v>
      </c>
      <c r="R247" s="2" t="inlineStr">
        <is>
          <t>Knärot</t>
        </is>
      </c>
      <c r="S247">
        <f>HYPERLINK("https://klasma.github.io/Logging_2260/artfynd/A 34489-2023 artfynd.xlsx", "A 34489-2023")</f>
        <v/>
      </c>
      <c r="T247">
        <f>HYPERLINK("https://klasma.github.io/Logging_2260/kartor/A 34489-2023 karta.png", "A 34489-2023")</f>
        <v/>
      </c>
      <c r="U247">
        <f>HYPERLINK("https://klasma.github.io/Logging_2260/knärot/A 34489-2023 karta knärot.png", "A 34489-2023")</f>
        <v/>
      </c>
      <c r="V247">
        <f>HYPERLINK("https://klasma.github.io/Logging_2260/klagomål/A 34489-2023 FSC-klagomål.docx", "A 34489-2023")</f>
        <v/>
      </c>
      <c r="W247">
        <f>HYPERLINK("https://klasma.github.io/Logging_2260/klagomålsmail/A 34489-2023 FSC-klagomål mail.docx", "A 34489-2023")</f>
        <v/>
      </c>
      <c r="X247">
        <f>HYPERLINK("https://klasma.github.io/Logging_2260/tillsyn/A 34489-2023 tillsynsbegäran.docx", "A 34489-2023")</f>
        <v/>
      </c>
      <c r="Y247">
        <f>HYPERLINK("https://klasma.github.io/Logging_2260/tillsynsmail/A 34489-2023 tillsynsbegäran mail.docx", "A 34489-2023")</f>
        <v/>
      </c>
    </row>
    <row r="248" ht="15" customHeight="1">
      <c r="A248" t="inlineStr">
        <is>
          <t>A 35973-2023</t>
        </is>
      </c>
      <c r="B248" s="1" t="n">
        <v>45148</v>
      </c>
      <c r="C248" s="1" t="n">
        <v>45649</v>
      </c>
      <c r="D248" t="inlineStr">
        <is>
          <t>VÄSTERNORRLANDS LÄN</t>
        </is>
      </c>
      <c r="E248" t="inlineStr">
        <is>
          <t>ÅNGE</t>
        </is>
      </c>
      <c r="F248" t="inlineStr">
        <is>
          <t>SCA</t>
        </is>
      </c>
      <c r="G248" t="n">
        <v>1.3</v>
      </c>
      <c r="H248" t="n">
        <v>1</v>
      </c>
      <c r="I248" t="n">
        <v>1</v>
      </c>
      <c r="J248" t="n">
        <v>0</v>
      </c>
      <c r="K248" t="n">
        <v>0</v>
      </c>
      <c r="L248" t="n">
        <v>0</v>
      </c>
      <c r="M248" t="n">
        <v>0</v>
      </c>
      <c r="N248" t="n">
        <v>0</v>
      </c>
      <c r="O248" t="n">
        <v>0</v>
      </c>
      <c r="P248" t="n">
        <v>0</v>
      </c>
      <c r="Q248" t="n">
        <v>1</v>
      </c>
      <c r="R248" s="2" t="inlineStr">
        <is>
          <t>Korallrot</t>
        </is>
      </c>
      <c r="S248">
        <f>HYPERLINK("https://klasma.github.io/Logging_2260/artfynd/A 35973-2023 artfynd.xlsx", "A 35973-2023")</f>
        <v/>
      </c>
      <c r="T248">
        <f>HYPERLINK("https://klasma.github.io/Logging_2260/kartor/A 35973-2023 karta.png", "A 35973-2023")</f>
        <v/>
      </c>
      <c r="V248">
        <f>HYPERLINK("https://klasma.github.io/Logging_2260/klagomål/A 35973-2023 FSC-klagomål.docx", "A 35973-2023")</f>
        <v/>
      </c>
      <c r="W248">
        <f>HYPERLINK("https://klasma.github.io/Logging_2260/klagomålsmail/A 35973-2023 FSC-klagomål mail.docx", "A 35973-2023")</f>
        <v/>
      </c>
      <c r="X248">
        <f>HYPERLINK("https://klasma.github.io/Logging_2260/tillsyn/A 35973-2023 tillsynsbegäran.docx", "A 35973-2023")</f>
        <v/>
      </c>
      <c r="Y248">
        <f>HYPERLINK("https://klasma.github.io/Logging_2260/tillsynsmail/A 35973-2023 tillsynsbegäran mail.docx", "A 35973-2023")</f>
        <v/>
      </c>
    </row>
    <row r="249" ht="15" customHeight="1">
      <c r="A249" t="inlineStr">
        <is>
          <t>A 36230-2023</t>
        </is>
      </c>
      <c r="B249" s="1" t="n">
        <v>45150</v>
      </c>
      <c r="C249" s="1" t="n">
        <v>45649</v>
      </c>
      <c r="D249" t="inlineStr">
        <is>
          <t>VÄSTERNORRLANDS LÄN</t>
        </is>
      </c>
      <c r="E249" t="inlineStr">
        <is>
          <t>ÅNGE</t>
        </is>
      </c>
      <c r="F249" t="inlineStr">
        <is>
          <t>SCA</t>
        </is>
      </c>
      <c r="G249" t="n">
        <v>6.3</v>
      </c>
      <c r="H249" t="n">
        <v>1</v>
      </c>
      <c r="I249" t="n">
        <v>0</v>
      </c>
      <c r="J249" t="n">
        <v>0</v>
      </c>
      <c r="K249" t="n">
        <v>1</v>
      </c>
      <c r="L249" t="n">
        <v>0</v>
      </c>
      <c r="M249" t="n">
        <v>0</v>
      </c>
      <c r="N249" t="n">
        <v>0</v>
      </c>
      <c r="O249" t="n">
        <v>1</v>
      </c>
      <c r="P249" t="n">
        <v>1</v>
      </c>
      <c r="Q249" t="n">
        <v>1</v>
      </c>
      <c r="R249" s="2" t="inlineStr">
        <is>
          <t>Lappuggla</t>
        </is>
      </c>
      <c r="S249">
        <f>HYPERLINK("https://klasma.github.io/Logging_2260/artfynd/A 36230-2023 artfynd.xlsx", "A 36230-2023")</f>
        <v/>
      </c>
      <c r="T249">
        <f>HYPERLINK("https://klasma.github.io/Logging_2260/kartor/A 36230-2023 karta.png", "A 36230-2023")</f>
        <v/>
      </c>
      <c r="V249">
        <f>HYPERLINK("https://klasma.github.io/Logging_2260/klagomål/A 36230-2023 FSC-klagomål.docx", "A 36230-2023")</f>
        <v/>
      </c>
      <c r="W249">
        <f>HYPERLINK("https://klasma.github.io/Logging_2260/klagomålsmail/A 36230-2023 FSC-klagomål mail.docx", "A 36230-2023")</f>
        <v/>
      </c>
      <c r="X249">
        <f>HYPERLINK("https://klasma.github.io/Logging_2260/tillsyn/A 36230-2023 tillsynsbegäran.docx", "A 36230-2023")</f>
        <v/>
      </c>
      <c r="Y249">
        <f>HYPERLINK("https://klasma.github.io/Logging_2260/tillsynsmail/A 36230-2023 tillsynsbegäran mail.docx", "A 36230-2023")</f>
        <v/>
      </c>
      <c r="Z249">
        <f>HYPERLINK("https://klasma.github.io/Logging_2260/fåglar/A 36230-2023 prioriterade fågelarter.docx", "A 36230-2023")</f>
        <v/>
      </c>
    </row>
    <row r="250" ht="15" customHeight="1">
      <c r="A250" t="inlineStr">
        <is>
          <t>A 37502-2023</t>
        </is>
      </c>
      <c r="B250" s="1" t="n">
        <v>45157</v>
      </c>
      <c r="C250" s="1" t="n">
        <v>45649</v>
      </c>
      <c r="D250" t="inlineStr">
        <is>
          <t>VÄSTERNORRLANDS LÄN</t>
        </is>
      </c>
      <c r="E250" t="inlineStr">
        <is>
          <t>ÅNGE</t>
        </is>
      </c>
      <c r="F250" t="inlineStr">
        <is>
          <t>Sveaskog</t>
        </is>
      </c>
      <c r="G250" t="n">
        <v>0.7</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37502-2023 artfynd.xlsx", "A 37502-2023")</f>
        <v/>
      </c>
      <c r="T250">
        <f>HYPERLINK("https://klasma.github.io/Logging_2260/kartor/A 37502-2023 karta.png", "A 37502-2023")</f>
        <v/>
      </c>
      <c r="V250">
        <f>HYPERLINK("https://klasma.github.io/Logging_2260/klagomål/A 37502-2023 FSC-klagomål.docx", "A 37502-2023")</f>
        <v/>
      </c>
      <c r="W250">
        <f>HYPERLINK("https://klasma.github.io/Logging_2260/klagomålsmail/A 37502-2023 FSC-klagomål mail.docx", "A 37502-2023")</f>
        <v/>
      </c>
      <c r="X250">
        <f>HYPERLINK("https://klasma.github.io/Logging_2260/tillsyn/A 37502-2023 tillsynsbegäran.docx", "A 37502-2023")</f>
        <v/>
      </c>
      <c r="Y250">
        <f>HYPERLINK("https://klasma.github.io/Logging_2260/tillsynsmail/A 37502-2023 tillsynsbegäran mail.docx", "A 37502-2023")</f>
        <v/>
      </c>
    </row>
    <row r="251" ht="15" customHeight="1">
      <c r="A251" t="inlineStr">
        <is>
          <t>A 39499-2023</t>
        </is>
      </c>
      <c r="B251" s="1" t="n">
        <v>45166</v>
      </c>
      <c r="C251" s="1" t="n">
        <v>45649</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45649</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45649</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45649</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45649</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45649</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45649</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45649</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45649</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45649</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45649</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45649</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45649</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45649</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45649</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45649</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45649</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45649</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45649</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45649</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45649</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45649</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45649</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45649</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45649</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45649</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45649</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45649</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45649</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45649</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45649</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45649</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45649</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45649</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45649</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45649</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45649</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45649</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45649</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45649</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45649</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45649</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45649</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45649</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45649</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45649</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45649</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45649</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45649</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45649</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45649</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45649</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45649</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45649</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45649</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45649</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45649</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45649</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45649</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45649</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45649</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45649</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45649</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45649</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45649</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45649</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45649</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45649</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45649</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45649</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45649</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45649</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45649</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45649</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45649</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45649</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45649</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45649</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45649</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45649</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45649</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45649</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45649</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45649</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45649</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45649</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45649</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45649</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45649</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45649</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45649</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45649</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45649</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45649</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45649</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45649</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45649</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45649</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45649</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45649</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45649</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45649</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45649</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45649</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45649</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45649</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45649</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45649</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45649</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45649</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45649</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45649</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45649</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45649</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45649</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45649</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45649</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45649</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45649</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45649</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45649</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45649</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45649</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45649</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45649</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45649</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45649</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45649</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45649</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45649</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45649</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45649</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45649</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45649</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45649</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45649</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45649</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45649</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45649</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45649</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45649</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45649</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45649</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45649</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45649</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45649</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45649</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45649</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45649</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45649</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45649</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45649</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45649</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45649</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45649</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45649</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45649</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45649</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45649</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45649</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45649</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45649</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45649</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45649</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45649</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45649</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45649</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45649</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45649</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45649</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45649</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45649</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45649</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45649</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45649</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45649</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45649</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45649</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45649</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45649</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45649</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45649</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45649</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45649</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45649</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45649</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45649</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45649</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45649</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45649</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45649</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45649</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45649</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45649</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45649</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45649</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45649</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45649</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45649</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45649</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45649</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45649</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45649</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45649</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45649</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45649</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45649</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45649</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45649</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45649</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45649</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45649</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45649</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45649</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45649</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45649</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45649</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45649</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45649</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45649</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45649</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45649</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45649</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45649</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45649</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45649</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45649</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45649</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45649</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45649</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45649</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45649</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45649</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45649</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45649</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45649</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45649</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45649</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45649</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45649</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45649</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45649</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45649</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45649</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45649</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45649</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45649</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45649</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45649</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45649</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45649</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45649</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45649</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45649</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45649</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45649</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45649</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45649</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45649</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45649</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45649</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45649</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45649</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45649</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45649</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45649</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45649</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45649</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45649</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45649</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45649</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45649</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45649</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45649</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45649</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45649</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45649</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45649</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45649</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45649</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45649</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45649</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45649</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45649</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45649</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45649</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45649</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45649</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45649</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45649</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45649</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45649</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45649</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45649</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45649</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45649</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45649</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45649</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45649</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45649</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45649</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45649</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45649</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45649</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45649</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45649</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45649</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45649</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45649</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45649</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45649</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45649</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45649</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45649</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45649</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45649</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45649</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45649</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45649</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45649</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45649</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45649</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45649</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45649</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45649</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45649</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45649</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45649</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45649</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45649</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45649</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45649</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45649</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45649</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45649</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45649</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45649</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45649</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45649</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45649</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45649</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45649</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45649</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45649</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45649</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45649</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45649</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45649</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45649</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45649</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45649</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45649</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45649</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45649</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45649</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45649</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45649</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45649</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45649</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45649</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45649</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45649</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45649</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45649</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45649</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45649</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45649</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45649</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45649</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45649</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45649</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45649</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45649</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45649</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45649</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45649</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45649</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45649</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45649</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45649</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45649</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45649</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45649</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45649</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45649</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45649</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45649</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45649</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45649</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45649</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45649</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45649</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45649</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45649</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45649</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45649</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45649</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45649</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45649</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45649</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45649</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45649</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45649</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45649</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45649</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45649</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45649</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45649</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45649</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45649</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45649</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45649</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45649</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45649</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45649</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45649</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45649</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45649</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45649</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45649</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45649</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45649</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45649</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45649</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45649</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45649</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45649</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45649</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45649</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45649</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45649</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45649</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45649</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45649</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45649</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45649</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45649</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45649</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45649</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45649</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45649</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45649</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45649</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45649</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45649</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45649</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45649</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45649</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45649</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45649</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45649</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45649</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45649</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45649</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45649</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45649</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45649</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45649</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45649</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45649</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45649</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45649</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45649</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45649</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45649</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45649</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45649</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45649</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45649</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45649</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45649</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45649</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45649</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45649</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45649</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45649</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45649</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45649</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45649</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45649</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45649</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45649</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45649</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45649</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45649</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45649</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45649</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45649</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45649</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45649</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45649</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45649</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45649</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45649</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45649</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45649</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45649</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45649</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45649</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45649</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45649</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45649</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45649</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45649</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45649</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45649</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45649</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45649</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45649</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45649</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45649</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45649</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45649</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45649</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45649</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45649</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45649</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45649</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45649</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45649</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45649</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45649</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45649</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45649</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45649</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45649</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45649</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45649</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45649</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45649</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45649</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45649</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45649</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45649</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45649</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45649</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45649</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45649</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45649</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45649</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45649</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45649</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45649</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45649</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45649</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45649</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45649</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45649</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45649</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45649</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45649</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45649</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45649</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45649</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45649</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45649</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45649</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45649</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45649</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45649</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45649</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45649</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45649</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45649</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45649</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45649</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45649</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45649</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45649</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45649</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45649</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45649</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45649</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45649</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45649</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45649</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45649</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45649</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45649</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45649</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45649</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45649</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45649</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45649</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45649</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45649</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45649</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45649</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45649</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45649</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45649</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45649</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45649</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45649</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45649</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45649</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45649</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45649</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45649</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45649</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45649</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45649</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45649</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45649</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45649</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45649</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45649</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45649</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45649</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45649</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45649</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45649</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45649</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45649</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45649</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45649</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45649</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45649</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45649</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45649</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45649</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45649</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45649</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45649</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45649</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45649</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45649</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45649</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45649</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45649</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45649</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45649</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45649</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45649</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45649</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45649</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45649</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45649</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45649</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45649</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45649</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45649</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45649</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45649</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45649</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45649</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45649</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45649</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45649</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45649</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45649</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45649</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45649</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45649</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45649</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45649</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45649</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45649</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45649</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45649</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45649</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45649</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45649</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45649</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45649</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45649</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45649</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45649</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45649</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45649</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45649</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45649</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45649</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45649</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45649</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45649</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45649</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45649</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45649</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45649</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45649</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45649</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45649</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45649</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45649</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45649</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45649</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45649</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45649</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45649</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45649</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45649</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45649</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45649</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45649</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45649</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45649</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45649</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45649</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45649</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45649</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45649</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45649</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45649</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45649</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45649</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45649</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45649</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45649</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45649</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45649</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45649</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45649</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45649</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45649</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45649</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45649</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45649</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45649</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45649</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45649</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45649</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45649</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45649</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45649</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45649</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45649</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45649</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45649</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45649</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45649</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45649</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45649</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45649</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45649</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45649</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45649</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45649</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45649</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45649</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45649</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45649</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45649</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45649</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45649</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45649</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45649</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45649</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45649</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45649</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45649</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45649</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45649</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45649</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45649</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45649</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45649</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45649</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45649</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45649</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45649</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45649</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45649</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45649</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45649</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45649</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45649</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45649</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45649</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45649</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45649</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45649</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45649</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45649</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45649</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45649</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45649</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45649</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45649</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45649</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45649</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45649</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45649</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45649</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45649</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45649</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45649</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45649</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45649</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45649</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45649</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45649</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45649</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45649</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45649</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45649</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45649</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45649</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45649</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45649</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45649</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45649</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45649</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45649</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45649</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45649</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45649</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45649</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45649</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45649</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45649</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45649</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45649</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45649</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45649</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45649</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45649</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45649</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45649</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45649</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45649</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45649</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45649</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45649</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45649</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45649</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45649</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45649</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45649</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45649</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45649</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45649</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45649</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45649</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45649</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45649</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45649</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45649</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45649</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45649</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45649</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45649</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45649</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45649</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45649</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45649</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45649</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45649</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45649</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45649</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45649</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45649</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45649</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45649</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45649</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45649</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45649</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45649</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45649</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45649</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45649</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45649</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45649</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45649</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45649</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45649</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45649</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45649</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45649</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45649</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45649</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45649</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45649</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45649</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45649</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45649</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45649</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45649</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45649</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45649</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45649</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45649</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45649</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45649</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45649</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45649</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45649</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45649</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45649</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45649</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45649</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45649</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45649</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45649</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45649</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45649</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45649</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45649</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45649</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45649</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45649</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45649</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45649</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45649</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45649</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45649</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45649</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45649</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45649</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45649</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45649</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45649</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45649</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45649</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45649</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45649</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45649</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45649</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45649</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45649</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45649</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45649</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45649</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45649</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45649</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45649</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45649</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45649</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45649</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45649</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45649</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45649</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45649</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45649</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45649</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45649</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45649</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45649</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45649</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45649</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45649</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45649</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45649</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45649</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45649</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45649</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45649</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45649</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45649</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45649</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45649</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45649</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45649</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45649</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45649</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45649</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45649</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45649</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45649</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45649</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45649</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45649</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45649</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45649</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45649</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45649</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45649</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45649</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45649</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45649</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45649</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45649</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45649</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45649</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45649</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45649</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45649</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45649</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45649</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45649</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45649</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45649</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45649</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45649</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45649</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45649</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45649</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45649</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45649</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45649</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45649</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45649</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45649</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45649</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45649</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45649</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45649</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45649</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45649</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45649</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45649</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45649</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45649</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45649</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45649</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45649</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45649</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45649</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45649</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45649</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45649</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45649</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45649</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45649</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45649</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45649</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45649</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45649</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45649</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45649</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45649</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45649</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45649</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45649</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45649</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45649</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45649</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45649</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45649</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45649</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45649</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45649</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45649</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45649</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45649</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45649</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45649</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45649</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45649</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45649</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45649</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45649</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45649</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45649</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45649</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45649</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45649</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45649</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45649</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45649</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45649</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45649</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45649</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45649</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45649</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45649</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45649</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45649</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45649</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45649</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45649</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45649</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45649</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45649</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45649</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45649</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45649</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45649</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45649</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45649</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45649</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45649</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45649</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45649</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45649</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45649</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45649</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45649</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45649</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45649</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45649</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45649</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45649</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45649</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45649</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45649</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45649</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45649</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45649</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45649</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45649</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45649</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45649</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45649</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45649</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45649</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45649</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45649</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45649</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45649</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45649</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45649</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45649</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45649</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45649</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45649</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45649</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45649</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45649</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45649</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45649</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45649</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45649</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45649</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45649</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45649</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45649</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45649</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45649</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45649</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45649</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45649</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45649</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45649</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45649</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45649</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45649</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45649</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45649</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45649</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45649</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45649</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45649</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45649</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45649</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45649</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45649</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45649</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45649</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45649</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45649</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45649</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45649</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45649</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45649</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45649</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45649</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45649</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45649</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45649</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45649</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45649</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45649</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45649</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45649</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45649</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45649</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45649</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45649</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45649</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45649</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45649</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45649</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45649</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45649</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45649</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45649</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45649</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45649</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45649</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45649</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45649</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45649</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45649</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45649</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45649</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45649</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45649</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45649</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45649</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45649</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45649</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45649</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45649</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45649</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45649</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45649</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45649</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45649</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45649</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45649</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45649</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45649</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45649</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45649</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45649</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45649</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45649</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45649</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45649</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45649</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45649</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45649</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45649</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45649</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45649</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45649</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45649</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45649</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45649</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45649</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45649</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45649</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45649</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45649</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45649</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45649</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45649</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45649</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45649</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45649</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45649</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45649</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45649</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45649</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45649</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45649</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45649</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45649</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45649</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45649</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45649</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45649</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45649</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45649</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45649</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45649</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45649</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45649</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45649</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45649</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45649</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45649</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45649</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45649</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45649</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45649</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45649</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45649</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45649</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45649</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45649</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45649</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45649</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45649</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45649</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45649</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45649</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45649</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45649</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45649</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45649</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45649</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45649</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45649</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45649</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45649</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45649</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45649</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45649</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45649</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45649</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45649</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45649</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45649</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45649</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45649</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45649</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45649</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45649</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45649</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45649</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45649</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45649</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45649</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45649</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45649</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45649</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45649</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45649</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45649</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45649</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45649</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45649</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45649</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45649</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45649</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45649</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45649</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45649</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45649</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45649</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45649</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45649</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45649</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45649</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45649</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45649</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45649</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45649</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45649</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45649</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45649</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45649</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45649</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45649</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45649</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45649</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45649</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45649</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45649</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45649</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45649</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45649</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45649</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45649</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45649</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45649</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45649</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45649</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45649</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45649</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45649</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45649</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45649</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45649</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45649</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45649</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45649</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45649</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45649</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45649</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45649</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45649</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45649</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45649</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45649</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45649</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45649</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45649</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45649</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45649</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45649</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45649</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45649</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45649</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45649</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45649</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45649</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45649</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45649</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45649</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45649</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45649</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45649</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45649</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45649</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45649</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45649</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45649</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45649</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45649</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45649</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45649</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45649</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45649</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45649</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45649</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45649</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45649</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45649</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45649</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45649</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45649</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45649</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45649</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45649</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45649</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45649</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45649</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45649</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45649</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45649</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45649</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45649</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45649</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45649</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45649</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45649</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45649</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45649</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45649</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45649</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45649</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45649</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45649</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45649</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45649</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45649</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45649</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45649</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45649</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45649</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45649</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45649</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45649</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45649</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45649</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45649</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45649</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45649</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45649</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45649</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45649</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45649</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45649</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45649</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45649</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45649</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45649</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45649</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45649</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45649</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45649</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45649</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45649</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45649</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45649</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45649</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45649</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45649</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45649</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45649</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45649</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45649</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45649</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45649</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45649</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45649</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45649</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45649</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45649</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45649</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45649</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45649</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45649</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45649</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45649</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45649</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45649</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45649</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45649</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45649</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45649</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45649</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45649</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45649</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45649</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45649</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45649</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45649</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45649</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45649</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45649</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45649</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45649</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45649</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45649</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45649</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45649</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45649</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45649</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45649</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45649</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45649</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45649</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45649</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45649</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45649</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45649</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45649</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45649</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45649</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45649</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45649</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45649</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45649</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45649</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45649</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45649</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45649</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45649</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45649</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45649</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45649</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45649</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45649</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45649</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45649</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45649</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45649</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45649</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45649</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45649</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45649</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45649</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45649</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45649</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45649</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45649</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45649</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45649</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45649</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45649</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45649</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45649</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45649</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45649</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45649</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45649</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45649</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45649</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45649</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45649</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45649</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45649</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45649</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45649</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45649</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45649</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45649</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45649</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45649</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45649</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45649</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45649</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45649</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45649</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45649</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45649</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45649</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45649</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45649</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45649</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45649</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45649</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45649</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45649</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45649</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45649</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45649</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45649</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45649</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45649</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45649</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45649</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45649</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45649</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45649</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45649</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45649</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45649</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45649</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45649</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45649</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45649</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45649</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45649</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45649</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45649</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45649</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45649</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45649</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45649</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45649</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45649</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45649</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45649</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45649</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45649</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45649</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45649</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45649</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45649</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45649</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45649</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45649</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45649</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45649</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45649</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45649</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45649</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45649</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45649</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45649</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45649</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45649</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45649</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45649</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45649</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45649</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45649</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45649</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45649</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45649</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45649</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45649</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45649</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45649</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45649</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45649</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45649</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45649</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45649</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45649</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45649</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45649</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45649</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45649</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45649</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45649</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45649</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45649</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45649</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45649</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45649</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45649</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45649</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45649</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45649</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45649</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45649</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45649</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45649</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45649</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45649</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45649</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45649</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45649</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45649</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45649</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45649</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45649</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45649</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45649</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45649</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45649</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45649</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45649</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45649</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45649</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45649</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45649</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45649</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45649</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45649</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45649</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45649</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45649</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45649</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45649</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45649</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45649</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45649</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45649</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45649</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45649</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45649</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45649</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45649</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45649</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45649</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45649</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45649</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45649</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45649</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45649</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45649</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45649</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45649</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45649</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45649</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45649</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45649</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45649</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45649</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45649</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45649</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45649</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45649</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45649</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45649</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45649</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45649</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45649</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45649</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45649</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45649</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45649</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45649</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45649</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45649</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45649</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45649</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45649</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45649</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45649</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45649</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45649</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45649</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45649</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45649</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45649</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45649</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45649</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45649</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45649</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45649</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45649</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45649</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45649</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45649</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45649</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45649</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45649</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45649</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45649</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45649</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45649</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45649</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45649</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45649</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45649</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45649</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45649</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45649</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45649</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45649</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45649</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45649</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45649</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45649</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45649</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45649</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45649</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45649</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45649</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45649</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45649</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45649</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45649</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45649</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45649</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45649</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45649</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45649</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45649</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45649</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45649</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45649</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45649</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45649</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45649</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45649</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45649</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45649</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45649</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45649</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45649</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45649</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45649</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45649</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45649</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45649</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45649</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45649</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45649</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45649</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45649</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45649</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45649</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45649</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45649</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45649</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45649</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45649</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45649</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45649</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45649</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45649</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45649</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45649</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45649</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45649</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45649</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45649</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45649</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45649</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45649</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45649</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45649</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45649</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45649</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45649</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45649</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45649</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45649</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45649</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45649</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45649</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45649</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45649</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45649</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45649</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45649</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45649</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45649</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45649</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45649</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45649</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45649</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45649</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45649</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45649</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45649</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45649</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45649</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45649</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45649</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45649</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45649</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45649</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45649</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45649</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45649</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45649</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45649</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45649</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45649</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45649</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45649</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45649</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45649</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45649</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45649</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45649</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45649</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45649</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45649</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45649</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45649</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45649</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45649</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45649</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45649</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45649</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45649</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45649</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45649</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45649</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45649</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45649</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45649</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45649</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45649</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45649</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45649</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45649</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45649</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45649</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45649</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45649</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45649</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45649</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45649</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45649</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45649</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45649</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45649</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45649</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45649</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45649</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45649</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45649</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45649</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45649</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45649</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45649</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45649</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45649</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45649</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45649</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45649</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45649</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45649</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45649</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45649</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45649</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45649</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45649</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45649</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45649</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45649</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45649</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45649</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45649</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45649</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45649</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45649</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45649</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45649</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45649</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45649</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45649</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45649</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45649</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45649</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45649</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45649</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45649</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45649</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45649</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45649</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45649</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45649</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45649</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45649</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45649</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45649</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45649</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45649</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45649</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45649</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45649</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45649</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45649</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45649</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45649</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45649</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45649</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45649</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45649</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45649</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45649</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45649</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45649</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45649</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45649</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45649</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45649</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45649</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45649</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45649</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45649</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45649</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45649</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45649</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45649</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45649</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45649</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53988-2024</t>
        </is>
      </c>
      <c r="B2221" s="1" t="n">
        <v>45616</v>
      </c>
      <c r="C2221" s="1" t="n">
        <v>45649</v>
      </c>
      <c r="D2221" t="inlineStr">
        <is>
          <t>VÄSTERNORRLANDS LÄN</t>
        </is>
      </c>
      <c r="E2221" t="inlineStr">
        <is>
          <t>ÅNGE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45649</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45649</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45649</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45649</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54585-2024</t>
        </is>
      </c>
      <c r="B2226" s="1" t="n">
        <v>45617</v>
      </c>
      <c r="C2226" s="1" t="n">
        <v>45649</v>
      </c>
      <c r="D2226" t="inlineStr">
        <is>
          <t>VÄSTERNORRLANDS LÄN</t>
        </is>
      </c>
      <c r="E2226" t="inlineStr">
        <is>
          <t>ÅNGE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45649</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54720-2024</t>
        </is>
      </c>
      <c r="B2228" s="1" t="n">
        <v>45618</v>
      </c>
      <c r="C2228" s="1" t="n">
        <v>45649</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45649</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55592-2024</t>
        </is>
      </c>
      <c r="B2230" s="1" t="n">
        <v>45622</v>
      </c>
      <c r="C2230" s="1" t="n">
        <v>45649</v>
      </c>
      <c r="D2230" t="inlineStr">
        <is>
          <t>VÄSTERNORRLANDS LÄN</t>
        </is>
      </c>
      <c r="E2230" t="inlineStr">
        <is>
          <t>ÅNGE</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45649</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55380-2024</t>
        </is>
      </c>
      <c r="B2232" s="1" t="n">
        <v>45622</v>
      </c>
      <c r="C2232" s="1" t="n">
        <v>45649</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55664-2024</t>
        </is>
      </c>
      <c r="B2233" s="1" t="n">
        <v>45622</v>
      </c>
      <c r="C2233" s="1" t="n">
        <v>45649</v>
      </c>
      <c r="D2233" t="inlineStr">
        <is>
          <t>VÄSTERNORRLANDS LÄN</t>
        </is>
      </c>
      <c r="E2233" t="inlineStr">
        <is>
          <t>ÅNGE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45649</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56044-2024</t>
        </is>
      </c>
      <c r="B2235" s="1" t="n">
        <v>45624</v>
      </c>
      <c r="C2235" s="1" t="n">
        <v>45649</v>
      </c>
      <c r="D2235" t="inlineStr">
        <is>
          <t>VÄSTERNORRLANDS LÄN</t>
        </is>
      </c>
      <c r="E2235" t="inlineStr">
        <is>
          <t>ÅNGE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56111-2024</t>
        </is>
      </c>
      <c r="B2236" s="1" t="n">
        <v>45624</v>
      </c>
      <c r="C2236" s="1" t="n">
        <v>45649</v>
      </c>
      <c r="D2236" t="inlineStr">
        <is>
          <t>VÄSTERNORRLANDS LÄN</t>
        </is>
      </c>
      <c r="E2236" t="inlineStr">
        <is>
          <t>ÅNGE</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56042-2024</t>
        </is>
      </c>
      <c r="B2237" s="1" t="n">
        <v>45624</v>
      </c>
      <c r="C2237" s="1" t="n">
        <v>45649</v>
      </c>
      <c r="D2237" t="inlineStr">
        <is>
          <t>VÄSTERNORRLANDS LÄN</t>
        </is>
      </c>
      <c r="E2237" t="inlineStr">
        <is>
          <t>ÅNGE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56189-2024</t>
        </is>
      </c>
      <c r="B2238" s="1" t="n">
        <v>45624</v>
      </c>
      <c r="C2238" s="1" t="n">
        <v>45649</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56199-2024</t>
        </is>
      </c>
      <c r="B2239" s="1" t="n">
        <v>45624</v>
      </c>
      <c r="C2239" s="1" t="n">
        <v>45649</v>
      </c>
      <c r="D2239" t="inlineStr">
        <is>
          <t>VÄSTERNORRLANDS LÄN</t>
        </is>
      </c>
      <c r="E2239" t="inlineStr">
        <is>
          <t>ÅNGE</t>
        </is>
      </c>
      <c r="F2239" t="inlineStr">
        <is>
          <t>SCA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56271-2024</t>
        </is>
      </c>
      <c r="B2240" s="1" t="n">
        <v>45624</v>
      </c>
      <c r="C2240" s="1" t="n">
        <v>45649</v>
      </c>
      <c r="D2240" t="inlineStr">
        <is>
          <t>VÄSTERNORRLANDS LÄN</t>
        </is>
      </c>
      <c r="E2240" t="inlineStr">
        <is>
          <t>ÅNGE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56191-2024</t>
        </is>
      </c>
      <c r="B2241" s="1" t="n">
        <v>45624</v>
      </c>
      <c r="C2241" s="1" t="n">
        <v>45649</v>
      </c>
      <c r="D2241" t="inlineStr">
        <is>
          <t>VÄSTERNORRLANDS LÄN</t>
        </is>
      </c>
      <c r="E2241" t="inlineStr">
        <is>
          <t>ÅNGE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56188-2024</t>
        </is>
      </c>
      <c r="B2242" s="1" t="n">
        <v>45624</v>
      </c>
      <c r="C2242" s="1" t="n">
        <v>45649</v>
      </c>
      <c r="D2242" t="inlineStr">
        <is>
          <t>VÄSTERNORRLANDS LÄN</t>
        </is>
      </c>
      <c r="E2242" t="inlineStr">
        <is>
          <t>ÅNGE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45649</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45649</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56574-2024</t>
        </is>
      </c>
      <c r="B2245" s="1" t="n">
        <v>45625</v>
      </c>
      <c r="C2245" s="1" t="n">
        <v>45649</v>
      </c>
      <c r="D2245" t="inlineStr">
        <is>
          <t>VÄSTERNORRLANDS LÄN</t>
        </is>
      </c>
      <c r="E2245" t="inlineStr">
        <is>
          <t>ÅNGE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45649</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45649</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57067-2024</t>
        </is>
      </c>
      <c r="B2248" s="1" t="n">
        <v>45629</v>
      </c>
      <c r="C2248" s="1" t="n">
        <v>45649</v>
      </c>
      <c r="D2248" t="inlineStr">
        <is>
          <t>VÄSTERNORRLANDS LÄN</t>
        </is>
      </c>
      <c r="E2248" t="inlineStr">
        <is>
          <t>ÅNGE</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57396-2024</t>
        </is>
      </c>
      <c r="B2249" s="1" t="n">
        <v>45629</v>
      </c>
      <c r="C2249" s="1" t="n">
        <v>45649</v>
      </c>
      <c r="D2249" t="inlineStr">
        <is>
          <t>VÄSTERNORRLANDS LÄN</t>
        </is>
      </c>
      <c r="E2249" t="inlineStr">
        <is>
          <t>ÅNGE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45649</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57529-2024</t>
        </is>
      </c>
      <c r="B2251" s="1" t="n">
        <v>45630</v>
      </c>
      <c r="C2251" s="1" t="n">
        <v>45649</v>
      </c>
      <c r="D2251" t="inlineStr">
        <is>
          <t>VÄSTERNORRLANDS LÄN</t>
        </is>
      </c>
      <c r="E2251" t="inlineStr">
        <is>
          <t>ÅNGE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45649</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45649</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58338-2024</t>
        </is>
      </c>
      <c r="B2254" s="1" t="n">
        <v>45632</v>
      </c>
      <c r="C2254" s="1" t="n">
        <v>45649</v>
      </c>
      <c r="D2254" t="inlineStr">
        <is>
          <t>VÄSTERNORRLANDS LÄN</t>
        </is>
      </c>
      <c r="E2254" t="inlineStr">
        <is>
          <t>ÅNGE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45649</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58929-2024</t>
        </is>
      </c>
      <c r="B2256" s="1" t="n">
        <v>45636</v>
      </c>
      <c r="C2256" s="1" t="n">
        <v>45649</v>
      </c>
      <c r="D2256" t="inlineStr">
        <is>
          <t>VÄSTERNORRLANDS LÄN</t>
        </is>
      </c>
      <c r="E2256" t="inlineStr">
        <is>
          <t>ÅNGE</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45649</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45649</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59818-2024</t>
        </is>
      </c>
      <c r="B2259" s="1" t="n">
        <v>45639</v>
      </c>
      <c r="C2259" s="1" t="n">
        <v>45649</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59820-2024</t>
        </is>
      </c>
      <c r="B2260" s="1" t="n">
        <v>45639</v>
      </c>
      <c r="C2260" s="1" t="n">
        <v>45649</v>
      </c>
      <c r="D2260" t="inlineStr">
        <is>
          <t>VÄSTERNORRLANDS LÄN</t>
        </is>
      </c>
      <c r="E2260" t="inlineStr">
        <is>
          <t>ÅNGE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60365-2024</t>
        </is>
      </c>
      <c r="B2261" s="1" t="n">
        <v>45643</v>
      </c>
      <c r="C2261" s="1" t="n">
        <v>45649</v>
      </c>
      <c r="D2261" t="inlineStr">
        <is>
          <t>VÄSTERNORRLANDS LÄN</t>
        </is>
      </c>
      <c r="E2261" t="inlineStr">
        <is>
          <t>ÅNGE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60514-2024</t>
        </is>
      </c>
      <c r="B2262" s="1" t="n">
        <v>45643</v>
      </c>
      <c r="C2262" s="1" t="n">
        <v>45649</v>
      </c>
      <c r="D2262" t="inlineStr">
        <is>
          <t>VÄSTERNORRLANDS LÄN</t>
        </is>
      </c>
      <c r="E2262" t="inlineStr">
        <is>
          <t>ÅNGE</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60368-2024</t>
        </is>
      </c>
      <c r="B2263" s="1" t="n">
        <v>45643</v>
      </c>
      <c r="C2263" s="1" t="n">
        <v>45649</v>
      </c>
      <c r="D2263" t="inlineStr">
        <is>
          <t>VÄSTERNORRLANDS LÄN</t>
        </is>
      </c>
      <c r="E2263" t="inlineStr">
        <is>
          <t>ÅNGE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60363-2024</t>
        </is>
      </c>
      <c r="B2264" s="1" t="n">
        <v>45643</v>
      </c>
      <c r="C2264" s="1" t="n">
        <v>45649</v>
      </c>
      <c r="D2264" t="inlineStr">
        <is>
          <t>VÄSTERNORRLANDS LÄN</t>
        </is>
      </c>
      <c r="E2264" t="inlineStr">
        <is>
          <t>ÅNGE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60812-2024</t>
        </is>
      </c>
      <c r="B2265" s="1" t="n">
        <v>45644</v>
      </c>
      <c r="C2265" s="1" t="n">
        <v>45649</v>
      </c>
      <c r="D2265" t="inlineStr">
        <is>
          <t>VÄSTERNORRLANDS LÄN</t>
        </is>
      </c>
      <c r="E2265" t="inlineStr">
        <is>
          <t>ÅNGE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60578-2024</t>
        </is>
      </c>
      <c r="B2266" s="1" t="n">
        <v>45644</v>
      </c>
      <c r="C2266" s="1" t="n">
        <v>45649</v>
      </c>
      <c r="D2266" t="inlineStr">
        <is>
          <t>VÄSTERNORRLANDS LÄN</t>
        </is>
      </c>
      <c r="E2266" t="inlineStr">
        <is>
          <t>ÅNGE</t>
        </is>
      </c>
      <c r="F2266" t="inlineStr">
        <is>
          <t>SCA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60779-2024</t>
        </is>
      </c>
      <c r="B2267" s="1" t="n">
        <v>45644</v>
      </c>
      <c r="C2267" s="1" t="n">
        <v>45649</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60817-2024</t>
        </is>
      </c>
      <c r="B2268" s="1" t="n">
        <v>45644</v>
      </c>
      <c r="C2268" s="1" t="n">
        <v>45649</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61057-2024</t>
        </is>
      </c>
      <c r="B2269" s="1" t="n">
        <v>45645</v>
      </c>
      <c r="C2269" s="1" t="n">
        <v>45649</v>
      </c>
      <c r="D2269" t="inlineStr">
        <is>
          <t>VÄSTERNORRLANDS LÄN</t>
        </is>
      </c>
      <c r="E2269" t="inlineStr">
        <is>
          <t>ÅNGE</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61100-2024</t>
        </is>
      </c>
      <c r="B2270" s="1" t="n">
        <v>45645</v>
      </c>
      <c r="C2270" s="1" t="n">
        <v>45649</v>
      </c>
      <c r="D2270" t="inlineStr">
        <is>
          <t>VÄSTERNORRLANDS LÄN</t>
        </is>
      </c>
      <c r="E2270" t="inlineStr">
        <is>
          <t>ÅNGE</t>
        </is>
      </c>
      <c r="F2270" t="inlineStr">
        <is>
          <t>SCA</t>
        </is>
      </c>
      <c r="G2270" t="n">
        <v>4.2</v>
      </c>
      <c r="H2270" t="n">
        <v>0</v>
      </c>
      <c r="I2270" t="n">
        <v>0</v>
      </c>
      <c r="J2270" t="n">
        <v>0</v>
      </c>
      <c r="K2270" t="n">
        <v>0</v>
      </c>
      <c r="L2270" t="n">
        <v>0</v>
      </c>
      <c r="M2270" t="n">
        <v>0</v>
      </c>
      <c r="N2270" t="n">
        <v>0</v>
      </c>
      <c r="O2270" t="n">
        <v>0</v>
      </c>
      <c r="P2270" t="n">
        <v>0</v>
      </c>
      <c r="Q2270" t="n">
        <v>0</v>
      </c>
      <c r="R2270" s="2" t="inlineStr"/>
    </row>
    <row r="2271">
      <c r="A2271" t="inlineStr">
        <is>
          <t>A 61208-2024</t>
        </is>
      </c>
      <c r="B2271" s="1" t="n">
        <v>45645</v>
      </c>
      <c r="C2271" s="1" t="n">
        <v>45649</v>
      </c>
      <c r="D2271" t="inlineStr">
        <is>
          <t>VÄSTERNORRLANDS LÄN</t>
        </is>
      </c>
      <c r="E2271" t="inlineStr">
        <is>
          <t>ÅNGE</t>
        </is>
      </c>
      <c r="G2271" t="n">
        <v>7.1</v>
      </c>
      <c r="H2271" t="n">
        <v>0</v>
      </c>
      <c r="I2271" t="n">
        <v>0</v>
      </c>
      <c r="J2271" t="n">
        <v>0</v>
      </c>
      <c r="K2271" t="n">
        <v>0</v>
      </c>
      <c r="L2271" t="n">
        <v>0</v>
      </c>
      <c r="M2271" t="n">
        <v>0</v>
      </c>
      <c r="N2271" t="n">
        <v>0</v>
      </c>
      <c r="O2271" t="n">
        <v>0</v>
      </c>
      <c r="P2271" t="n">
        <v>0</v>
      </c>
      <c r="Q2271" t="n">
        <v>0</v>
      </c>
      <c r="R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2024-12-23T15:53:11Z</dcterms:created>
  <dcterms:modified xmlns:dcterms="http://purl.org/dc/terms/" xmlns:xsi="http://www.w3.org/2001/XMLSchema-instance" xsi:type="dcterms:W3CDTF">2024-12-23T15:53:13Z</dcterms:modified>
</cp:coreProperties>
</file>