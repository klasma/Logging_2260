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45657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45657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45657</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45657</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45657</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45657</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45657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45657</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45657</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45657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45657</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45657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45657</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45657</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45657</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45657</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45657</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45657</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45657</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45657</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45657</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45657</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45657</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45657</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45657</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45657</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45657</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45657</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45657</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45657</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45657</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45657</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45657</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45657</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45657</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45657</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45657</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45657</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45657</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45657</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45657</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45657</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45657</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45657</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45657</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45657</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45657</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45657</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45657</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45657</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45657</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45657</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45657</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45657</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45657</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45657</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45657</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45657</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45657</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45657</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45657</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45657</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45657</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45657</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45657</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45657</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45657</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45657</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45657</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45657</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45657</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45657</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45657</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45657</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45657</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45657</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45657</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45657</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45657</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45657</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45657</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45657</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45657</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45657</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45657</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45657</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45657</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45657</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45657</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45657</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45657</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45657</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45657</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45657</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45657</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45657</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45657</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45657</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45657</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45657</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45657</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45657</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45657</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45657</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45657</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45657</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45657</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45657</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45657</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45657</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45657</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45657</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45657</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45657</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45657</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45657</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45657</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45657</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45657</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45657</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45657</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45657</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45657</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45657</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45657</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45657</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45657</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45657</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45657</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45657</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45657</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45657</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45657</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45657</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45657</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45657</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45657</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45657</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45657</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45657</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45657</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45657</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45657</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45657</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45657</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45657</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45657</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45657</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45657</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45657</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45657</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45657</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45657</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45657</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45657</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45657</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45657</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45657</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45657</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45657</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45657</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45657</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45657</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45657</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45657</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45657</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45657</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45657</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45657</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45657</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45657</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45657</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45657</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45657</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45657</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45657</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45657</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45657</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45657</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45657</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45657</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45657</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45657</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45657</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45657</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45657</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45657</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45657</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45657</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45657</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45657</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45657</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45657</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45657</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45657</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38774-2023</t>
        </is>
      </c>
      <c r="B197" s="1" t="n">
        <v>45163</v>
      </c>
      <c r="C197" s="1" t="n">
        <v>45657</v>
      </c>
      <c r="D197" t="inlineStr">
        <is>
          <t>VÄSTERNORRLANDS LÄN</t>
        </is>
      </c>
      <c r="E197" t="inlineStr">
        <is>
          <t>ÅNGE</t>
        </is>
      </c>
      <c r="G197" t="n">
        <v>7</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HYPERLINK("https://klasma.github.io/Logging_2260/artfynd/A 38774-2023 artfynd.xlsx", "A 38774-2023")</f>
        <v/>
      </c>
      <c r="T197">
        <f>HYPERLINK("https://klasma.github.io/Logging_2260/kartor/A 38774-2023 karta.png", "A 38774-2023")</f>
        <v/>
      </c>
      <c r="U197">
        <f>HYPERLINK("https://klasma.github.io/Logging_2260/knärot/A 38774-2023 karta knärot.png", "A 38774-2023")</f>
        <v/>
      </c>
      <c r="V197">
        <f>HYPERLINK("https://klasma.github.io/Logging_2260/klagomål/A 38774-2023 FSC-klagomål.docx", "A 38774-2023")</f>
        <v/>
      </c>
      <c r="W197">
        <f>HYPERLINK("https://klasma.github.io/Logging_2260/klagomålsmail/A 38774-2023 FSC-klagomål mail.docx", "A 38774-2023")</f>
        <v/>
      </c>
      <c r="X197">
        <f>HYPERLINK("https://klasma.github.io/Logging_2260/tillsyn/A 38774-2023 tillsynsbegäran.docx", "A 38774-2023")</f>
        <v/>
      </c>
      <c r="Y197">
        <f>HYPERLINK("https://klasma.github.io/Logging_2260/tillsynsmail/A 38774-2023 tillsynsbegäran mail.docx", "A 38774-2023")</f>
        <v/>
      </c>
      <c r="Z197">
        <f>HYPERLINK("https://klasma.github.io/Logging_2260/fåglar/A 38774-2023 prioriterade fågelarter.docx", "A 38774-2023")</f>
        <v/>
      </c>
    </row>
    <row r="198" ht="15" customHeight="1">
      <c r="A198" t="inlineStr">
        <is>
          <t>A 46734-2023</t>
        </is>
      </c>
      <c r="B198" s="1" t="n">
        <v>45198</v>
      </c>
      <c r="C198" s="1" t="n">
        <v>45657</v>
      </c>
      <c r="D198" t="inlineStr">
        <is>
          <t>VÄSTERNORRLANDS LÄN</t>
        </is>
      </c>
      <c r="E198" t="inlineStr">
        <is>
          <t>ÅNGE</t>
        </is>
      </c>
      <c r="F198" t="inlineStr">
        <is>
          <t>Holmen skog AB</t>
        </is>
      </c>
      <c r="G198" t="n">
        <v>9.300000000000001</v>
      </c>
      <c r="H198" t="n">
        <v>0</v>
      </c>
      <c r="I198" t="n">
        <v>1</v>
      </c>
      <c r="J198" t="n">
        <v>1</v>
      </c>
      <c r="K198" t="n">
        <v>0</v>
      </c>
      <c r="L198" t="n">
        <v>0</v>
      </c>
      <c r="M198" t="n">
        <v>0</v>
      </c>
      <c r="N198" t="n">
        <v>0</v>
      </c>
      <c r="O198" t="n">
        <v>1</v>
      </c>
      <c r="P198" t="n">
        <v>0</v>
      </c>
      <c r="Q198" t="n">
        <v>2</v>
      </c>
      <c r="R198" s="2" t="inlineStr">
        <is>
          <t>Lunglav
Stor aspticka</t>
        </is>
      </c>
      <c r="S198">
        <f>HYPERLINK("https://klasma.github.io/Logging_2260/artfynd/A 46734-2023 artfynd.xlsx", "A 46734-2023")</f>
        <v/>
      </c>
      <c r="T198">
        <f>HYPERLINK("https://klasma.github.io/Logging_2260/kartor/A 46734-2023 karta.png", "A 46734-2023")</f>
        <v/>
      </c>
      <c r="V198">
        <f>HYPERLINK("https://klasma.github.io/Logging_2260/klagomål/A 46734-2023 FSC-klagomål.docx", "A 46734-2023")</f>
        <v/>
      </c>
      <c r="W198">
        <f>HYPERLINK("https://klasma.github.io/Logging_2260/klagomålsmail/A 46734-2023 FSC-klagomål mail.docx", "A 46734-2023")</f>
        <v/>
      </c>
      <c r="X198">
        <f>HYPERLINK("https://klasma.github.io/Logging_2260/tillsyn/A 46734-2023 tillsynsbegäran.docx", "A 46734-2023")</f>
        <v/>
      </c>
      <c r="Y198">
        <f>HYPERLINK("https://klasma.github.io/Logging_2260/tillsynsmail/A 46734-2023 tillsynsbegäran mail.docx", "A 46734-2023")</f>
        <v/>
      </c>
    </row>
    <row r="199" ht="15" customHeight="1">
      <c r="A199" t="inlineStr">
        <is>
          <t>A 54688-2023</t>
        </is>
      </c>
      <c r="B199" s="1" t="n">
        <v>45235</v>
      </c>
      <c r="C199" s="1" t="n">
        <v>45657</v>
      </c>
      <c r="D199" t="inlineStr">
        <is>
          <t>VÄSTERNORRLANDS LÄN</t>
        </is>
      </c>
      <c r="E199" t="inlineStr">
        <is>
          <t>ÅNGE</t>
        </is>
      </c>
      <c r="F199" t="inlineStr">
        <is>
          <t>SCA</t>
        </is>
      </c>
      <c r="G199" t="n">
        <v>1.3</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54688-2023 artfynd.xlsx", "A 54688-2023")</f>
        <v/>
      </c>
      <c r="T199">
        <f>HYPERLINK("https://klasma.github.io/Logging_2260/kartor/A 54688-2023 karta.png", "A 54688-2023")</f>
        <v/>
      </c>
      <c r="V199">
        <f>HYPERLINK("https://klasma.github.io/Logging_2260/klagomål/A 54688-2023 FSC-klagomål.docx", "A 54688-2023")</f>
        <v/>
      </c>
      <c r="W199">
        <f>HYPERLINK("https://klasma.github.io/Logging_2260/klagomålsmail/A 54688-2023 FSC-klagomål mail.docx", "A 54688-2023")</f>
        <v/>
      </c>
      <c r="X199">
        <f>HYPERLINK("https://klasma.github.io/Logging_2260/tillsyn/A 54688-2023 tillsynsbegäran.docx", "A 54688-2023")</f>
        <v/>
      </c>
      <c r="Y199">
        <f>HYPERLINK("https://klasma.github.io/Logging_2260/tillsynsmail/A 54688-2023 tillsynsbegäran mail.docx", "A 54688-2023")</f>
        <v/>
      </c>
    </row>
    <row r="200" ht="15" customHeight="1">
      <c r="A200" t="inlineStr">
        <is>
          <t>A 2430-2024</t>
        </is>
      </c>
      <c r="B200" s="1" t="n">
        <v>45310</v>
      </c>
      <c r="C200" s="1" t="n">
        <v>45657</v>
      </c>
      <c r="D200" t="inlineStr">
        <is>
          <t>VÄSTERNORRLANDS LÄN</t>
        </is>
      </c>
      <c r="E200" t="inlineStr">
        <is>
          <t>ÅNGE</t>
        </is>
      </c>
      <c r="F200" t="inlineStr">
        <is>
          <t>SCA</t>
        </is>
      </c>
      <c r="G200" t="n">
        <v>11.9</v>
      </c>
      <c r="H200" t="n">
        <v>1</v>
      </c>
      <c r="I200" t="n">
        <v>0</v>
      </c>
      <c r="J200" t="n">
        <v>2</v>
      </c>
      <c r="K200" t="n">
        <v>0</v>
      </c>
      <c r="L200" t="n">
        <v>0</v>
      </c>
      <c r="M200" t="n">
        <v>0</v>
      </c>
      <c r="N200" t="n">
        <v>0</v>
      </c>
      <c r="O200" t="n">
        <v>2</v>
      </c>
      <c r="P200" t="n">
        <v>0</v>
      </c>
      <c r="Q200" t="n">
        <v>2</v>
      </c>
      <c r="R200" s="2" t="inlineStr">
        <is>
          <t>Dvärgbägarlav
Talltita</t>
        </is>
      </c>
      <c r="S200">
        <f>HYPERLINK("https://klasma.github.io/Logging_2260/artfynd/A 2430-2024 artfynd.xlsx", "A 2430-2024")</f>
        <v/>
      </c>
      <c r="T200">
        <f>HYPERLINK("https://klasma.github.io/Logging_2260/kartor/A 2430-2024 karta.png", "A 2430-2024")</f>
        <v/>
      </c>
      <c r="V200">
        <f>HYPERLINK("https://klasma.github.io/Logging_2260/klagomål/A 2430-2024 FSC-klagomål.docx", "A 2430-2024")</f>
        <v/>
      </c>
      <c r="W200">
        <f>HYPERLINK("https://klasma.github.io/Logging_2260/klagomålsmail/A 2430-2024 FSC-klagomål mail.docx", "A 2430-2024")</f>
        <v/>
      </c>
      <c r="X200">
        <f>HYPERLINK("https://klasma.github.io/Logging_2260/tillsyn/A 2430-2024 tillsynsbegäran.docx", "A 2430-2024")</f>
        <v/>
      </c>
      <c r="Y200">
        <f>HYPERLINK("https://klasma.github.io/Logging_2260/tillsynsmail/A 2430-2024 tillsynsbegäran mail.docx", "A 2430-2024")</f>
        <v/>
      </c>
      <c r="Z200">
        <f>HYPERLINK("https://klasma.github.io/Logging_2260/fåglar/A 2430-2024 prioriterade fågelarter.docx", "A 2430-2024")</f>
        <v/>
      </c>
    </row>
    <row r="201" ht="15" customHeight="1">
      <c r="A201" t="inlineStr">
        <is>
          <t>A 4173-2024</t>
        </is>
      </c>
      <c r="B201" s="1" t="n">
        <v>45323</v>
      </c>
      <c r="C201" s="1" t="n">
        <v>45657</v>
      </c>
      <c r="D201" t="inlineStr">
        <is>
          <t>VÄSTERNORRLANDS LÄN</t>
        </is>
      </c>
      <c r="E201" t="inlineStr">
        <is>
          <t>ÅNGE</t>
        </is>
      </c>
      <c r="F201" t="inlineStr">
        <is>
          <t>SCA</t>
        </is>
      </c>
      <c r="G201" t="n">
        <v>3.4</v>
      </c>
      <c r="H201" t="n">
        <v>0</v>
      </c>
      <c r="I201" t="n">
        <v>0</v>
      </c>
      <c r="J201" t="n">
        <v>2</v>
      </c>
      <c r="K201" t="n">
        <v>0</v>
      </c>
      <c r="L201" t="n">
        <v>0</v>
      </c>
      <c r="M201" t="n">
        <v>0</v>
      </c>
      <c r="N201" t="n">
        <v>0</v>
      </c>
      <c r="O201" t="n">
        <v>2</v>
      </c>
      <c r="P201" t="n">
        <v>0</v>
      </c>
      <c r="Q201" t="n">
        <v>2</v>
      </c>
      <c r="R201" s="2" t="inlineStr">
        <is>
          <t>Garnlav
Tallticka</t>
        </is>
      </c>
      <c r="S201">
        <f>HYPERLINK("https://klasma.github.io/Logging_2260/artfynd/A 4173-2024 artfynd.xlsx", "A 4173-2024")</f>
        <v/>
      </c>
      <c r="T201">
        <f>HYPERLINK("https://klasma.github.io/Logging_2260/kartor/A 4173-2024 karta.png", "A 4173-2024")</f>
        <v/>
      </c>
      <c r="V201">
        <f>HYPERLINK("https://klasma.github.io/Logging_2260/klagomål/A 4173-2024 FSC-klagomål.docx", "A 4173-2024")</f>
        <v/>
      </c>
      <c r="W201">
        <f>HYPERLINK("https://klasma.github.io/Logging_2260/klagomålsmail/A 4173-2024 FSC-klagomål mail.docx", "A 4173-2024")</f>
        <v/>
      </c>
      <c r="X201">
        <f>HYPERLINK("https://klasma.github.io/Logging_2260/tillsyn/A 4173-2024 tillsynsbegäran.docx", "A 4173-2024")</f>
        <v/>
      </c>
      <c r="Y201">
        <f>HYPERLINK("https://klasma.github.io/Logging_2260/tillsynsmail/A 4173-2024 tillsynsbegäran mail.docx", "A 4173-2024")</f>
        <v/>
      </c>
    </row>
    <row r="202" ht="15" customHeight="1">
      <c r="A202" t="inlineStr">
        <is>
          <t>A 5442-2024</t>
        </is>
      </c>
      <c r="B202" s="1" t="n">
        <v>45331</v>
      </c>
      <c r="C202" s="1" t="n">
        <v>45657</v>
      </c>
      <c r="D202" t="inlineStr">
        <is>
          <t>VÄSTERNORRLANDS LÄN</t>
        </is>
      </c>
      <c r="E202" t="inlineStr">
        <is>
          <t>ÅNGE</t>
        </is>
      </c>
      <c r="F202" t="inlineStr">
        <is>
          <t>SCA</t>
        </is>
      </c>
      <c r="G202" t="n">
        <v>14.6</v>
      </c>
      <c r="H202" t="n">
        <v>2</v>
      </c>
      <c r="I202" t="n">
        <v>0</v>
      </c>
      <c r="J202" t="n">
        <v>0</v>
      </c>
      <c r="K202" t="n">
        <v>0</v>
      </c>
      <c r="L202" t="n">
        <v>0</v>
      </c>
      <c r="M202" t="n">
        <v>0</v>
      </c>
      <c r="N202" t="n">
        <v>0</v>
      </c>
      <c r="O202" t="n">
        <v>0</v>
      </c>
      <c r="P202" t="n">
        <v>0</v>
      </c>
      <c r="Q202" t="n">
        <v>2</v>
      </c>
      <c r="R202" s="2" t="inlineStr">
        <is>
          <t>Tjäder
Revlummer</t>
        </is>
      </c>
      <c r="S202">
        <f>HYPERLINK("https://klasma.github.io/Logging_2260/artfynd/A 5442-2024 artfynd.xlsx", "A 5442-2024")</f>
        <v/>
      </c>
      <c r="T202">
        <f>HYPERLINK("https://klasma.github.io/Logging_2260/kartor/A 5442-2024 karta.png", "A 5442-2024")</f>
        <v/>
      </c>
      <c r="V202">
        <f>HYPERLINK("https://klasma.github.io/Logging_2260/klagomål/A 5442-2024 FSC-klagomål.docx", "A 5442-2024")</f>
        <v/>
      </c>
      <c r="W202">
        <f>HYPERLINK("https://klasma.github.io/Logging_2260/klagomålsmail/A 5442-2024 FSC-klagomål mail.docx", "A 5442-2024")</f>
        <v/>
      </c>
      <c r="X202">
        <f>HYPERLINK("https://klasma.github.io/Logging_2260/tillsyn/A 5442-2024 tillsynsbegäran.docx", "A 5442-2024")</f>
        <v/>
      </c>
      <c r="Y202">
        <f>HYPERLINK("https://klasma.github.io/Logging_2260/tillsynsmail/A 5442-2024 tillsynsbegäran mail.docx", "A 5442-2024")</f>
        <v/>
      </c>
      <c r="Z202">
        <f>HYPERLINK("https://klasma.github.io/Logging_2260/fåglar/A 5442-2024 prioriterade fågelarter.docx", "A 5442-2024")</f>
        <v/>
      </c>
    </row>
    <row r="203" ht="15" customHeight="1">
      <c r="A203" t="inlineStr">
        <is>
          <t>A 16704-2024</t>
        </is>
      </c>
      <c r="B203" s="1" t="n">
        <v>45409</v>
      </c>
      <c r="C203" s="1" t="n">
        <v>45657</v>
      </c>
      <c r="D203" t="inlineStr">
        <is>
          <t>VÄSTERNORRLANDS LÄN</t>
        </is>
      </c>
      <c r="E203" t="inlineStr">
        <is>
          <t>ÅNGE</t>
        </is>
      </c>
      <c r="F203" t="inlineStr">
        <is>
          <t>SCA</t>
        </is>
      </c>
      <c r="G203" t="n">
        <v>12.5</v>
      </c>
      <c r="H203" t="n">
        <v>2</v>
      </c>
      <c r="I203" t="n">
        <v>0</v>
      </c>
      <c r="J203" t="n">
        <v>1</v>
      </c>
      <c r="K203" t="n">
        <v>0</v>
      </c>
      <c r="L203" t="n">
        <v>0</v>
      </c>
      <c r="M203" t="n">
        <v>0</v>
      </c>
      <c r="N203" t="n">
        <v>0</v>
      </c>
      <c r="O203" t="n">
        <v>1</v>
      </c>
      <c r="P203" t="n">
        <v>0</v>
      </c>
      <c r="Q203" t="n">
        <v>2</v>
      </c>
      <c r="R203" s="2" t="inlineStr">
        <is>
          <t>Spillkråka
Revlummer</t>
        </is>
      </c>
      <c r="S203">
        <f>HYPERLINK("https://klasma.github.io/Logging_2260/artfynd/A 16704-2024 artfynd.xlsx", "A 16704-2024")</f>
        <v/>
      </c>
      <c r="T203">
        <f>HYPERLINK("https://klasma.github.io/Logging_2260/kartor/A 16704-2024 karta.png", "A 16704-2024")</f>
        <v/>
      </c>
      <c r="V203">
        <f>HYPERLINK("https://klasma.github.io/Logging_2260/klagomål/A 16704-2024 FSC-klagomål.docx", "A 16704-2024")</f>
        <v/>
      </c>
      <c r="W203">
        <f>HYPERLINK("https://klasma.github.io/Logging_2260/klagomålsmail/A 16704-2024 FSC-klagomål mail.docx", "A 16704-2024")</f>
        <v/>
      </c>
      <c r="X203">
        <f>HYPERLINK("https://klasma.github.io/Logging_2260/tillsyn/A 16704-2024 tillsynsbegäran.docx", "A 16704-2024")</f>
        <v/>
      </c>
      <c r="Y203">
        <f>HYPERLINK("https://klasma.github.io/Logging_2260/tillsynsmail/A 16704-2024 tillsynsbegäran mail.docx", "A 16704-2024")</f>
        <v/>
      </c>
      <c r="Z203">
        <f>HYPERLINK("https://klasma.github.io/Logging_2260/fåglar/A 16704-2024 prioriterade fågelarter.docx", "A 16704-2024")</f>
        <v/>
      </c>
    </row>
    <row r="204" ht="15" customHeight="1">
      <c r="A204" t="inlineStr">
        <is>
          <t>A 18654-2024</t>
        </is>
      </c>
      <c r="B204" s="1" t="n">
        <v>45425</v>
      </c>
      <c r="C204" s="1" t="n">
        <v>45657</v>
      </c>
      <c r="D204" t="inlineStr">
        <is>
          <t>VÄSTERNORRLANDS LÄN</t>
        </is>
      </c>
      <c r="E204" t="inlineStr">
        <is>
          <t>ÅNGE</t>
        </is>
      </c>
      <c r="F204" t="inlineStr">
        <is>
          <t>SCA</t>
        </is>
      </c>
      <c r="G204" t="n">
        <v>26.3</v>
      </c>
      <c r="H204" t="n">
        <v>1</v>
      </c>
      <c r="I204" t="n">
        <v>0</v>
      </c>
      <c r="J204" t="n">
        <v>0</v>
      </c>
      <c r="K204" t="n">
        <v>2</v>
      </c>
      <c r="L204" t="n">
        <v>0</v>
      </c>
      <c r="M204" t="n">
        <v>0</v>
      </c>
      <c r="N204" t="n">
        <v>0</v>
      </c>
      <c r="O204" t="n">
        <v>2</v>
      </c>
      <c r="P204" t="n">
        <v>2</v>
      </c>
      <c r="Q204" t="n">
        <v>2</v>
      </c>
      <c r="R204" s="2" t="inlineStr">
        <is>
          <t>Fläckporing
Knärot</t>
        </is>
      </c>
      <c r="S204">
        <f>HYPERLINK("https://klasma.github.io/Logging_2260/artfynd/A 18654-2024 artfynd.xlsx", "A 18654-2024")</f>
        <v/>
      </c>
      <c r="T204">
        <f>HYPERLINK("https://klasma.github.io/Logging_2260/kartor/A 18654-2024 karta.png", "A 18654-2024")</f>
        <v/>
      </c>
      <c r="U204">
        <f>HYPERLINK("https://klasma.github.io/Logging_2260/knärot/A 18654-2024 karta knärot.png", "A 18654-2024")</f>
        <v/>
      </c>
      <c r="V204">
        <f>HYPERLINK("https://klasma.github.io/Logging_2260/klagomål/A 18654-2024 FSC-klagomål.docx", "A 18654-2024")</f>
        <v/>
      </c>
      <c r="W204">
        <f>HYPERLINK("https://klasma.github.io/Logging_2260/klagomålsmail/A 18654-2024 FSC-klagomål mail.docx", "A 18654-2024")</f>
        <v/>
      </c>
      <c r="X204">
        <f>HYPERLINK("https://klasma.github.io/Logging_2260/tillsyn/A 18654-2024 tillsynsbegäran.docx", "A 18654-2024")</f>
        <v/>
      </c>
      <c r="Y204">
        <f>HYPERLINK("https://klasma.github.io/Logging_2260/tillsynsmail/A 18654-2024 tillsynsbegäran mail.docx", "A 18654-2024")</f>
        <v/>
      </c>
    </row>
    <row r="205" ht="15" customHeight="1">
      <c r="A205" t="inlineStr">
        <is>
          <t>A 19341-2024</t>
        </is>
      </c>
      <c r="B205" s="1" t="n">
        <v>45428</v>
      </c>
      <c r="C205" s="1" t="n">
        <v>45657</v>
      </c>
      <c r="D205" t="inlineStr">
        <is>
          <t>VÄSTERNORRLANDS LÄN</t>
        </is>
      </c>
      <c r="E205" t="inlineStr">
        <is>
          <t>ÅNGE</t>
        </is>
      </c>
      <c r="F205" t="inlineStr">
        <is>
          <t>SCA</t>
        </is>
      </c>
      <c r="G205" t="n">
        <v>2.5</v>
      </c>
      <c r="H205" t="n">
        <v>0</v>
      </c>
      <c r="I205" t="n">
        <v>0</v>
      </c>
      <c r="J205" t="n">
        <v>2</v>
      </c>
      <c r="K205" t="n">
        <v>0</v>
      </c>
      <c r="L205" t="n">
        <v>0</v>
      </c>
      <c r="M205" t="n">
        <v>0</v>
      </c>
      <c r="N205" t="n">
        <v>0</v>
      </c>
      <c r="O205" t="n">
        <v>2</v>
      </c>
      <c r="P205" t="n">
        <v>0</v>
      </c>
      <c r="Q205" t="n">
        <v>2</v>
      </c>
      <c r="R205" s="2" t="inlineStr">
        <is>
          <t>Granticka
Skrovellav</t>
        </is>
      </c>
      <c r="S205">
        <f>HYPERLINK("https://klasma.github.io/Logging_2260/artfynd/A 19341-2024 artfynd.xlsx", "A 19341-2024")</f>
        <v/>
      </c>
      <c r="T205">
        <f>HYPERLINK("https://klasma.github.io/Logging_2260/kartor/A 19341-2024 karta.png", "A 19341-2024")</f>
        <v/>
      </c>
      <c r="V205">
        <f>HYPERLINK("https://klasma.github.io/Logging_2260/klagomål/A 19341-2024 FSC-klagomål.docx", "A 19341-2024")</f>
        <v/>
      </c>
      <c r="W205">
        <f>HYPERLINK("https://klasma.github.io/Logging_2260/klagomålsmail/A 19341-2024 FSC-klagomål mail.docx", "A 19341-2024")</f>
        <v/>
      </c>
      <c r="X205">
        <f>HYPERLINK("https://klasma.github.io/Logging_2260/tillsyn/A 19341-2024 tillsynsbegäran.docx", "A 19341-2024")</f>
        <v/>
      </c>
      <c r="Y205">
        <f>HYPERLINK("https://klasma.github.io/Logging_2260/tillsynsmail/A 19341-2024 tillsynsbegäran mail.docx", "A 19341-2024")</f>
        <v/>
      </c>
    </row>
    <row r="206" ht="15" customHeight="1">
      <c r="A206" t="inlineStr">
        <is>
          <t>A 21091-2024</t>
        </is>
      </c>
      <c r="B206" s="1" t="n">
        <v>45439</v>
      </c>
      <c r="C206" s="1" t="n">
        <v>45657</v>
      </c>
      <c r="D206" t="inlineStr">
        <is>
          <t>VÄSTERNORRLANDS LÄN</t>
        </is>
      </c>
      <c r="E206" t="inlineStr">
        <is>
          <t>ÅNGE</t>
        </is>
      </c>
      <c r="F206" t="inlineStr">
        <is>
          <t>SCA</t>
        </is>
      </c>
      <c r="G206" t="n">
        <v>1.4</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21091-2024 artfynd.xlsx", "A 21091-2024")</f>
        <v/>
      </c>
      <c r="T206">
        <f>HYPERLINK("https://klasma.github.io/Logging_2260/kartor/A 21091-2024 karta.png", "A 21091-2024")</f>
        <v/>
      </c>
      <c r="V206">
        <f>HYPERLINK("https://klasma.github.io/Logging_2260/klagomål/A 21091-2024 FSC-klagomål.docx", "A 21091-2024")</f>
        <v/>
      </c>
      <c r="W206">
        <f>HYPERLINK("https://klasma.github.io/Logging_2260/klagomålsmail/A 21091-2024 FSC-klagomål mail.docx", "A 21091-2024")</f>
        <v/>
      </c>
      <c r="X206">
        <f>HYPERLINK("https://klasma.github.io/Logging_2260/tillsyn/A 21091-2024 tillsynsbegäran.docx", "A 21091-2024")</f>
        <v/>
      </c>
      <c r="Y206">
        <f>HYPERLINK("https://klasma.github.io/Logging_2260/tillsynsmail/A 21091-2024 tillsynsbegäran mail.docx", "A 21091-2024")</f>
        <v/>
      </c>
    </row>
    <row r="207" ht="15" customHeight="1">
      <c r="A207" t="inlineStr">
        <is>
          <t>A 22992-2024</t>
        </is>
      </c>
      <c r="B207" s="1" t="n">
        <v>45450</v>
      </c>
      <c r="C207" s="1" t="n">
        <v>45657</v>
      </c>
      <c r="D207" t="inlineStr">
        <is>
          <t>VÄSTERNORRLANDS LÄN</t>
        </is>
      </c>
      <c r="E207" t="inlineStr">
        <is>
          <t>ÅNGE</t>
        </is>
      </c>
      <c r="F207" t="inlineStr">
        <is>
          <t>SCA</t>
        </is>
      </c>
      <c r="G207" t="n">
        <v>2.4</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HYPERLINK("https://klasma.github.io/Logging_2260/artfynd/A 22992-2024 artfynd.xlsx", "A 22992-2024")</f>
        <v/>
      </c>
      <c r="T207">
        <f>HYPERLINK("https://klasma.github.io/Logging_2260/kartor/A 22992-2024 karta.png", "A 22992-2024")</f>
        <v/>
      </c>
      <c r="V207">
        <f>HYPERLINK("https://klasma.github.io/Logging_2260/klagomål/A 22992-2024 FSC-klagomål.docx", "A 22992-2024")</f>
        <v/>
      </c>
      <c r="W207">
        <f>HYPERLINK("https://klasma.github.io/Logging_2260/klagomålsmail/A 22992-2024 FSC-klagomål mail.docx", "A 22992-2024")</f>
        <v/>
      </c>
      <c r="X207">
        <f>HYPERLINK("https://klasma.github.io/Logging_2260/tillsyn/A 22992-2024 tillsynsbegäran.docx", "A 22992-2024")</f>
        <v/>
      </c>
      <c r="Y207">
        <f>HYPERLINK("https://klasma.github.io/Logging_2260/tillsynsmail/A 22992-2024 tillsynsbegäran mail.docx", "A 22992-2024")</f>
        <v/>
      </c>
    </row>
    <row r="208" ht="15" customHeight="1">
      <c r="A208" t="inlineStr">
        <is>
          <t>A 24795-2024</t>
        </is>
      </c>
      <c r="B208" s="1" t="n">
        <v>45461</v>
      </c>
      <c r="C208" s="1" t="n">
        <v>45657</v>
      </c>
      <c r="D208" t="inlineStr">
        <is>
          <t>VÄSTERNORRLANDS LÄN</t>
        </is>
      </c>
      <c r="E208" t="inlineStr">
        <is>
          <t>ÅNGE</t>
        </is>
      </c>
      <c r="F208" t="inlineStr">
        <is>
          <t>SCA</t>
        </is>
      </c>
      <c r="G208" t="n">
        <v>2.2</v>
      </c>
      <c r="H208" t="n">
        <v>0</v>
      </c>
      <c r="I208" t="n">
        <v>1</v>
      </c>
      <c r="J208" t="n">
        <v>1</v>
      </c>
      <c r="K208" t="n">
        <v>0</v>
      </c>
      <c r="L208" t="n">
        <v>0</v>
      </c>
      <c r="M208" t="n">
        <v>0</v>
      </c>
      <c r="N208" t="n">
        <v>0</v>
      </c>
      <c r="O208" t="n">
        <v>1</v>
      </c>
      <c r="P208" t="n">
        <v>0</v>
      </c>
      <c r="Q208" t="n">
        <v>2</v>
      </c>
      <c r="R208" s="2" t="inlineStr">
        <is>
          <t>Lunglav
Skinnlav</t>
        </is>
      </c>
      <c r="S208">
        <f>HYPERLINK("https://klasma.github.io/Logging_2260/artfynd/A 24795-2024 artfynd.xlsx", "A 24795-2024")</f>
        <v/>
      </c>
      <c r="T208">
        <f>HYPERLINK("https://klasma.github.io/Logging_2260/kartor/A 24795-2024 karta.png", "A 24795-2024")</f>
        <v/>
      </c>
      <c r="V208">
        <f>HYPERLINK("https://klasma.github.io/Logging_2260/klagomål/A 24795-2024 FSC-klagomål.docx", "A 24795-2024")</f>
        <v/>
      </c>
      <c r="W208">
        <f>HYPERLINK("https://klasma.github.io/Logging_2260/klagomålsmail/A 24795-2024 FSC-klagomål mail.docx", "A 24795-2024")</f>
        <v/>
      </c>
      <c r="X208">
        <f>HYPERLINK("https://klasma.github.io/Logging_2260/tillsyn/A 24795-2024 tillsynsbegäran.docx", "A 24795-2024")</f>
        <v/>
      </c>
      <c r="Y208">
        <f>HYPERLINK("https://klasma.github.io/Logging_2260/tillsynsmail/A 24795-2024 tillsynsbegäran mail.docx", "A 24795-2024")</f>
        <v/>
      </c>
    </row>
    <row r="209" ht="15" customHeight="1">
      <c r="A209" t="inlineStr">
        <is>
          <t>A 25034-2024</t>
        </is>
      </c>
      <c r="B209" s="1" t="n">
        <v>45462</v>
      </c>
      <c r="C209" s="1" t="n">
        <v>45657</v>
      </c>
      <c r="D209" t="inlineStr">
        <is>
          <t>VÄSTERNORRLANDS LÄN</t>
        </is>
      </c>
      <c r="E209" t="inlineStr">
        <is>
          <t>ÅNGE</t>
        </is>
      </c>
      <c r="F209" t="inlineStr">
        <is>
          <t>SCA</t>
        </is>
      </c>
      <c r="G209" t="n">
        <v>3.3</v>
      </c>
      <c r="H209" t="n">
        <v>0</v>
      </c>
      <c r="I209" t="n">
        <v>0</v>
      </c>
      <c r="J209" t="n">
        <v>2</v>
      </c>
      <c r="K209" t="n">
        <v>0</v>
      </c>
      <c r="L209" t="n">
        <v>0</v>
      </c>
      <c r="M209" t="n">
        <v>0</v>
      </c>
      <c r="N209" t="n">
        <v>0</v>
      </c>
      <c r="O209" t="n">
        <v>2</v>
      </c>
      <c r="P209" t="n">
        <v>0</v>
      </c>
      <c r="Q209" t="n">
        <v>2</v>
      </c>
      <c r="R209" s="2" t="inlineStr">
        <is>
          <t>Rosenticka
Ullticka</t>
        </is>
      </c>
      <c r="S209">
        <f>HYPERLINK("https://klasma.github.io/Logging_2260/artfynd/A 25034-2024 artfynd.xlsx", "A 25034-2024")</f>
        <v/>
      </c>
      <c r="T209">
        <f>HYPERLINK("https://klasma.github.io/Logging_2260/kartor/A 25034-2024 karta.png", "A 25034-2024")</f>
        <v/>
      </c>
      <c r="V209">
        <f>HYPERLINK("https://klasma.github.io/Logging_2260/klagomål/A 25034-2024 FSC-klagomål.docx", "A 25034-2024")</f>
        <v/>
      </c>
      <c r="W209">
        <f>HYPERLINK("https://klasma.github.io/Logging_2260/klagomålsmail/A 25034-2024 FSC-klagomål mail.docx", "A 25034-2024")</f>
        <v/>
      </c>
      <c r="X209">
        <f>HYPERLINK("https://klasma.github.io/Logging_2260/tillsyn/A 25034-2024 tillsynsbegäran.docx", "A 25034-2024")</f>
        <v/>
      </c>
      <c r="Y209">
        <f>HYPERLINK("https://klasma.github.io/Logging_2260/tillsynsmail/A 25034-2024 tillsynsbegäran mail.docx", "A 25034-2024")</f>
        <v/>
      </c>
    </row>
    <row r="210" ht="15" customHeight="1">
      <c r="A210" t="inlineStr">
        <is>
          <t>A 26020-2024</t>
        </is>
      </c>
      <c r="B210" s="1" t="n">
        <v>45468</v>
      </c>
      <c r="C210" s="1" t="n">
        <v>45657</v>
      </c>
      <c r="D210" t="inlineStr">
        <is>
          <t>VÄSTERNORRLANDS LÄN</t>
        </is>
      </c>
      <c r="E210" t="inlineStr">
        <is>
          <t>ÅNGE</t>
        </is>
      </c>
      <c r="F210" t="inlineStr">
        <is>
          <t>SCA</t>
        </is>
      </c>
      <c r="G210" t="n">
        <v>4.8</v>
      </c>
      <c r="H210" t="n">
        <v>0</v>
      </c>
      <c r="I210" t="n">
        <v>1</v>
      </c>
      <c r="J210" t="n">
        <v>1</v>
      </c>
      <c r="K210" t="n">
        <v>0</v>
      </c>
      <c r="L210" t="n">
        <v>0</v>
      </c>
      <c r="M210" t="n">
        <v>0</v>
      </c>
      <c r="N210" t="n">
        <v>0</v>
      </c>
      <c r="O210" t="n">
        <v>1</v>
      </c>
      <c r="P210" t="n">
        <v>0</v>
      </c>
      <c r="Q210" t="n">
        <v>2</v>
      </c>
      <c r="R210" s="2" t="inlineStr">
        <is>
          <t>Lunglav
Stuplav</t>
        </is>
      </c>
      <c r="S210">
        <f>HYPERLINK("https://klasma.github.io/Logging_2260/artfynd/A 26020-2024 artfynd.xlsx", "A 26020-2024")</f>
        <v/>
      </c>
      <c r="T210">
        <f>HYPERLINK("https://klasma.github.io/Logging_2260/kartor/A 26020-2024 karta.png", "A 26020-2024")</f>
        <v/>
      </c>
      <c r="V210">
        <f>HYPERLINK("https://klasma.github.io/Logging_2260/klagomål/A 26020-2024 FSC-klagomål.docx", "A 26020-2024")</f>
        <v/>
      </c>
      <c r="W210">
        <f>HYPERLINK("https://klasma.github.io/Logging_2260/klagomålsmail/A 26020-2024 FSC-klagomål mail.docx", "A 26020-2024")</f>
        <v/>
      </c>
      <c r="X210">
        <f>HYPERLINK("https://klasma.github.io/Logging_2260/tillsyn/A 26020-2024 tillsynsbegäran.docx", "A 26020-2024")</f>
        <v/>
      </c>
      <c r="Y210">
        <f>HYPERLINK("https://klasma.github.io/Logging_2260/tillsynsmail/A 26020-2024 tillsynsbegäran mail.docx", "A 26020-2024")</f>
        <v/>
      </c>
    </row>
    <row r="211" ht="15" customHeight="1">
      <c r="A211" t="inlineStr">
        <is>
          <t>A 31493-2024</t>
        </is>
      </c>
      <c r="B211" s="1" t="n">
        <v>45505</v>
      </c>
      <c r="C211" s="1" t="n">
        <v>45657</v>
      </c>
      <c r="D211" t="inlineStr">
        <is>
          <t>VÄSTERNORRLANDS LÄN</t>
        </is>
      </c>
      <c r="E211" t="inlineStr">
        <is>
          <t>ÅNGE</t>
        </is>
      </c>
      <c r="F211" t="inlineStr">
        <is>
          <t>SCA</t>
        </is>
      </c>
      <c r="G211" t="n">
        <v>4.4</v>
      </c>
      <c r="H211" t="n">
        <v>1</v>
      </c>
      <c r="I211" t="n">
        <v>1</v>
      </c>
      <c r="J211" t="n">
        <v>0</v>
      </c>
      <c r="K211" t="n">
        <v>1</v>
      </c>
      <c r="L211" t="n">
        <v>0</v>
      </c>
      <c r="M211" t="n">
        <v>0</v>
      </c>
      <c r="N211" t="n">
        <v>0</v>
      </c>
      <c r="O211" t="n">
        <v>1</v>
      </c>
      <c r="P211" t="n">
        <v>1</v>
      </c>
      <c r="Q211" t="n">
        <v>2</v>
      </c>
      <c r="R211" s="2" t="inlineStr">
        <is>
          <t>Knärot
Korallblylav</t>
        </is>
      </c>
      <c r="S211">
        <f>HYPERLINK("https://klasma.github.io/Logging_2260/artfynd/A 31493-2024 artfynd.xlsx", "A 31493-2024")</f>
        <v/>
      </c>
      <c r="T211">
        <f>HYPERLINK("https://klasma.github.io/Logging_2260/kartor/A 31493-2024 karta.png", "A 31493-2024")</f>
        <v/>
      </c>
      <c r="U211">
        <f>HYPERLINK("https://klasma.github.io/Logging_2260/knärot/A 31493-2024 karta knärot.png", "A 31493-2024")</f>
        <v/>
      </c>
      <c r="V211">
        <f>HYPERLINK("https://klasma.github.io/Logging_2260/klagomål/A 31493-2024 FSC-klagomål.docx", "A 31493-2024")</f>
        <v/>
      </c>
      <c r="W211">
        <f>HYPERLINK("https://klasma.github.io/Logging_2260/klagomålsmail/A 31493-2024 FSC-klagomål mail.docx", "A 31493-2024")</f>
        <v/>
      </c>
      <c r="X211">
        <f>HYPERLINK("https://klasma.github.io/Logging_2260/tillsyn/A 31493-2024 tillsynsbegäran.docx", "A 31493-2024")</f>
        <v/>
      </c>
      <c r="Y211">
        <f>HYPERLINK("https://klasma.github.io/Logging_2260/tillsynsmail/A 31493-2024 tillsynsbegäran mail.docx", "A 31493-2024")</f>
        <v/>
      </c>
    </row>
    <row r="212" ht="15" customHeight="1">
      <c r="A212" t="inlineStr">
        <is>
          <t>A 32648-2024</t>
        </is>
      </c>
      <c r="B212" s="1" t="n">
        <v>45513</v>
      </c>
      <c r="C212" s="1" t="n">
        <v>45657</v>
      </c>
      <c r="D212" t="inlineStr">
        <is>
          <t>VÄSTERNORRLANDS LÄN</t>
        </is>
      </c>
      <c r="E212" t="inlineStr">
        <is>
          <t>ÅNGE</t>
        </is>
      </c>
      <c r="F212" t="inlineStr">
        <is>
          <t>SCA</t>
        </is>
      </c>
      <c r="G212" t="n">
        <v>4.1</v>
      </c>
      <c r="H212" t="n">
        <v>0</v>
      </c>
      <c r="I212" t="n">
        <v>0</v>
      </c>
      <c r="J212" t="n">
        <v>2</v>
      </c>
      <c r="K212" t="n">
        <v>0</v>
      </c>
      <c r="L212" t="n">
        <v>0</v>
      </c>
      <c r="M212" t="n">
        <v>0</v>
      </c>
      <c r="N212" t="n">
        <v>0</v>
      </c>
      <c r="O212" t="n">
        <v>2</v>
      </c>
      <c r="P212" t="n">
        <v>0</v>
      </c>
      <c r="Q212" t="n">
        <v>2</v>
      </c>
      <c r="R212" s="2" t="inlineStr">
        <is>
          <t>Lunglav
Rosenticka</t>
        </is>
      </c>
      <c r="S212">
        <f>HYPERLINK("https://klasma.github.io/Logging_2260/artfynd/A 32648-2024 artfynd.xlsx", "A 32648-2024")</f>
        <v/>
      </c>
      <c r="T212">
        <f>HYPERLINK("https://klasma.github.io/Logging_2260/kartor/A 32648-2024 karta.png", "A 32648-2024")</f>
        <v/>
      </c>
      <c r="V212">
        <f>HYPERLINK("https://klasma.github.io/Logging_2260/klagomål/A 32648-2024 FSC-klagomål.docx", "A 32648-2024")</f>
        <v/>
      </c>
      <c r="W212">
        <f>HYPERLINK("https://klasma.github.io/Logging_2260/klagomålsmail/A 32648-2024 FSC-klagomål mail.docx", "A 32648-2024")</f>
        <v/>
      </c>
      <c r="X212">
        <f>HYPERLINK("https://klasma.github.io/Logging_2260/tillsyn/A 32648-2024 tillsynsbegäran.docx", "A 32648-2024")</f>
        <v/>
      </c>
      <c r="Y212">
        <f>HYPERLINK("https://klasma.github.io/Logging_2260/tillsynsmail/A 32648-2024 tillsynsbegäran mail.docx", "A 32648-2024")</f>
        <v/>
      </c>
    </row>
    <row r="213" ht="15" customHeight="1">
      <c r="A213" t="inlineStr">
        <is>
          <t>A 32659-2024</t>
        </is>
      </c>
      <c r="B213" s="1" t="n">
        <v>45513</v>
      </c>
      <c r="C213" s="1" t="n">
        <v>45657</v>
      </c>
      <c r="D213" t="inlineStr">
        <is>
          <t>VÄSTERNORRLANDS LÄN</t>
        </is>
      </c>
      <c r="E213" t="inlineStr">
        <is>
          <t>ÅNGE</t>
        </is>
      </c>
      <c r="F213" t="inlineStr">
        <is>
          <t>SCA</t>
        </is>
      </c>
      <c r="G213" t="n">
        <v>6.9</v>
      </c>
      <c r="H213" t="n">
        <v>0</v>
      </c>
      <c r="I213" t="n">
        <v>0</v>
      </c>
      <c r="J213" t="n">
        <v>2</v>
      </c>
      <c r="K213" t="n">
        <v>0</v>
      </c>
      <c r="L213" t="n">
        <v>0</v>
      </c>
      <c r="M213" t="n">
        <v>0</v>
      </c>
      <c r="N213" t="n">
        <v>0</v>
      </c>
      <c r="O213" t="n">
        <v>2</v>
      </c>
      <c r="P213" t="n">
        <v>0</v>
      </c>
      <c r="Q213" t="n">
        <v>2</v>
      </c>
      <c r="R213" s="2" t="inlineStr">
        <is>
          <t>Lunglav
Stjärntagging</t>
        </is>
      </c>
      <c r="S213">
        <f>HYPERLINK("https://klasma.github.io/Logging_2260/artfynd/A 32659-2024 artfynd.xlsx", "A 32659-2024")</f>
        <v/>
      </c>
      <c r="T213">
        <f>HYPERLINK("https://klasma.github.io/Logging_2260/kartor/A 32659-2024 karta.png", "A 32659-2024")</f>
        <v/>
      </c>
      <c r="V213">
        <f>HYPERLINK("https://klasma.github.io/Logging_2260/klagomål/A 32659-2024 FSC-klagomål.docx", "A 32659-2024")</f>
        <v/>
      </c>
      <c r="W213">
        <f>HYPERLINK("https://klasma.github.io/Logging_2260/klagomålsmail/A 32659-2024 FSC-klagomål mail.docx", "A 32659-2024")</f>
        <v/>
      </c>
      <c r="X213">
        <f>HYPERLINK("https://klasma.github.io/Logging_2260/tillsyn/A 32659-2024 tillsynsbegäran.docx", "A 32659-2024")</f>
        <v/>
      </c>
      <c r="Y213">
        <f>HYPERLINK("https://klasma.github.io/Logging_2260/tillsynsmail/A 32659-2024 tillsynsbegäran mail.docx", "A 32659-2024")</f>
        <v/>
      </c>
    </row>
    <row r="214" ht="15" customHeight="1">
      <c r="A214" t="inlineStr">
        <is>
          <t>A 47719-2024</t>
        </is>
      </c>
      <c r="B214" s="1" t="n">
        <v>45588</v>
      </c>
      <c r="C214" s="1" t="n">
        <v>45657</v>
      </c>
      <c r="D214" t="inlineStr">
        <is>
          <t>VÄSTERNORRLANDS LÄN</t>
        </is>
      </c>
      <c r="E214" t="inlineStr">
        <is>
          <t>ÅNGE</t>
        </is>
      </c>
      <c r="F214" t="inlineStr">
        <is>
          <t>SCA</t>
        </is>
      </c>
      <c r="G214" t="n">
        <v>1.4</v>
      </c>
      <c r="H214" t="n">
        <v>0</v>
      </c>
      <c r="I214" t="n">
        <v>0</v>
      </c>
      <c r="J214" t="n">
        <v>2</v>
      </c>
      <c r="K214" t="n">
        <v>0</v>
      </c>
      <c r="L214" t="n">
        <v>0</v>
      </c>
      <c r="M214" t="n">
        <v>0</v>
      </c>
      <c r="N214" t="n">
        <v>0</v>
      </c>
      <c r="O214" t="n">
        <v>2</v>
      </c>
      <c r="P214" t="n">
        <v>0</v>
      </c>
      <c r="Q214" t="n">
        <v>2</v>
      </c>
      <c r="R214" s="2" t="inlineStr">
        <is>
          <t>Dvärgbägarlav
Vedskivlav</t>
        </is>
      </c>
      <c r="S214">
        <f>HYPERLINK("https://klasma.github.io/Logging_2260/artfynd/A 47719-2024 artfynd.xlsx", "A 47719-2024")</f>
        <v/>
      </c>
      <c r="T214">
        <f>HYPERLINK("https://klasma.github.io/Logging_2260/kartor/A 47719-2024 karta.png", "A 47719-2024")</f>
        <v/>
      </c>
      <c r="V214">
        <f>HYPERLINK("https://klasma.github.io/Logging_2260/klagomål/A 47719-2024 FSC-klagomål.docx", "A 47719-2024")</f>
        <v/>
      </c>
      <c r="W214">
        <f>HYPERLINK("https://klasma.github.io/Logging_2260/klagomålsmail/A 47719-2024 FSC-klagomål mail.docx", "A 47719-2024")</f>
        <v/>
      </c>
      <c r="X214">
        <f>HYPERLINK("https://klasma.github.io/Logging_2260/tillsyn/A 47719-2024 tillsynsbegäran.docx", "A 47719-2024")</f>
        <v/>
      </c>
      <c r="Y214">
        <f>HYPERLINK("https://klasma.github.io/Logging_2260/tillsynsmail/A 47719-2024 tillsynsbegäran mail.docx", "A 47719-2024")</f>
        <v/>
      </c>
    </row>
    <row r="215" ht="15" customHeight="1">
      <c r="A215" t="inlineStr">
        <is>
          <t>A 48695-2024</t>
        </is>
      </c>
      <c r="B215" s="1" t="n">
        <v>45593</v>
      </c>
      <c r="C215" s="1" t="n">
        <v>45657</v>
      </c>
      <c r="D215" t="inlineStr">
        <is>
          <t>VÄSTERNORRLANDS LÄN</t>
        </is>
      </c>
      <c r="E215" t="inlineStr">
        <is>
          <t>ÅNGE</t>
        </is>
      </c>
      <c r="F215" t="inlineStr">
        <is>
          <t>SCA</t>
        </is>
      </c>
      <c r="G215" t="n">
        <v>1.2</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48695-2024 artfynd.xlsx", "A 48695-2024")</f>
        <v/>
      </c>
      <c r="T215">
        <f>HYPERLINK("https://klasma.github.io/Logging_2260/kartor/A 48695-2024 karta.png", "A 48695-2024")</f>
        <v/>
      </c>
      <c r="V215">
        <f>HYPERLINK("https://klasma.github.io/Logging_2260/klagomål/A 48695-2024 FSC-klagomål.docx", "A 48695-2024")</f>
        <v/>
      </c>
      <c r="W215">
        <f>HYPERLINK("https://klasma.github.io/Logging_2260/klagomålsmail/A 48695-2024 FSC-klagomål mail.docx", "A 48695-2024")</f>
        <v/>
      </c>
      <c r="X215">
        <f>HYPERLINK("https://klasma.github.io/Logging_2260/tillsyn/A 48695-2024 tillsynsbegäran.docx", "A 48695-2024")</f>
        <v/>
      </c>
      <c r="Y215">
        <f>HYPERLINK("https://klasma.github.io/Logging_2260/tillsynsmail/A 48695-2024 tillsynsbegäran mail.docx", "A 48695-2024")</f>
        <v/>
      </c>
    </row>
    <row r="216" ht="15" customHeight="1">
      <c r="A216" t="inlineStr">
        <is>
          <t>A 51868-2024</t>
        </is>
      </c>
      <c r="B216" s="1" t="n">
        <v>45607</v>
      </c>
      <c r="C216" s="1" t="n">
        <v>45657</v>
      </c>
      <c r="D216" t="inlineStr">
        <is>
          <t>VÄSTERNORRLANDS LÄN</t>
        </is>
      </c>
      <c r="E216" t="inlineStr">
        <is>
          <t>ÅNGE</t>
        </is>
      </c>
      <c r="F216" t="inlineStr">
        <is>
          <t>SCA</t>
        </is>
      </c>
      <c r="G216" t="n">
        <v>6.4</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51868-2024 artfynd.xlsx", "A 51868-2024")</f>
        <v/>
      </c>
      <c r="T216">
        <f>HYPERLINK("https://klasma.github.io/Logging_2260/kartor/A 51868-2024 karta.png", "A 51868-2024")</f>
        <v/>
      </c>
      <c r="V216">
        <f>HYPERLINK("https://klasma.github.io/Logging_2260/klagomål/A 51868-2024 FSC-klagomål.docx", "A 51868-2024")</f>
        <v/>
      </c>
      <c r="W216">
        <f>HYPERLINK("https://klasma.github.io/Logging_2260/klagomålsmail/A 51868-2024 FSC-klagomål mail.docx", "A 51868-2024")</f>
        <v/>
      </c>
      <c r="X216">
        <f>HYPERLINK("https://klasma.github.io/Logging_2260/tillsyn/A 51868-2024 tillsynsbegäran.docx", "A 51868-2024")</f>
        <v/>
      </c>
      <c r="Y216">
        <f>HYPERLINK("https://klasma.github.io/Logging_2260/tillsynsmail/A 51868-2024 tillsynsbegäran mail.docx", "A 51868-2024")</f>
        <v/>
      </c>
    </row>
    <row r="217" ht="15" customHeight="1">
      <c r="A217" t="inlineStr">
        <is>
          <t>A 55178-2024</t>
        </is>
      </c>
      <c r="B217" s="1" t="n">
        <v>45621</v>
      </c>
      <c r="C217" s="1" t="n">
        <v>45657</v>
      </c>
      <c r="D217" t="inlineStr">
        <is>
          <t>VÄSTERNORRLANDS LÄN</t>
        </is>
      </c>
      <c r="E217" t="inlineStr">
        <is>
          <t>ÅNGE</t>
        </is>
      </c>
      <c r="F217" t="inlineStr">
        <is>
          <t>SCA</t>
        </is>
      </c>
      <c r="G217" t="n">
        <v>4.8</v>
      </c>
      <c r="H217" t="n">
        <v>1</v>
      </c>
      <c r="I217" t="n">
        <v>0</v>
      </c>
      <c r="J217" t="n">
        <v>1</v>
      </c>
      <c r="K217" t="n">
        <v>1</v>
      </c>
      <c r="L217" t="n">
        <v>0</v>
      </c>
      <c r="M217" t="n">
        <v>0</v>
      </c>
      <c r="N217" t="n">
        <v>0</v>
      </c>
      <c r="O217" t="n">
        <v>2</v>
      </c>
      <c r="P217" t="n">
        <v>1</v>
      </c>
      <c r="Q217" t="n">
        <v>2</v>
      </c>
      <c r="R217" s="2" t="inlineStr">
        <is>
          <t>Knärot
Stiftgelélav</t>
        </is>
      </c>
      <c r="S217">
        <f>HYPERLINK("https://klasma.github.io/Logging_2260/artfynd/A 55178-2024 artfynd.xlsx", "A 55178-2024")</f>
        <v/>
      </c>
      <c r="T217">
        <f>HYPERLINK("https://klasma.github.io/Logging_2260/kartor/A 55178-2024 karta.png", "A 55178-2024")</f>
        <v/>
      </c>
      <c r="U217">
        <f>HYPERLINK("https://klasma.github.io/Logging_2260/knärot/A 55178-2024 karta knärot.png", "A 55178-2024")</f>
        <v/>
      </c>
      <c r="V217">
        <f>HYPERLINK("https://klasma.github.io/Logging_2260/klagomål/A 55178-2024 FSC-klagomål.docx", "A 55178-2024")</f>
        <v/>
      </c>
      <c r="W217">
        <f>HYPERLINK("https://klasma.github.io/Logging_2260/klagomålsmail/A 55178-2024 FSC-klagomål mail.docx", "A 55178-2024")</f>
        <v/>
      </c>
      <c r="X217">
        <f>HYPERLINK("https://klasma.github.io/Logging_2260/tillsyn/A 55178-2024 tillsynsbegäran.docx", "A 55178-2024")</f>
        <v/>
      </c>
      <c r="Y217">
        <f>HYPERLINK("https://klasma.github.io/Logging_2260/tillsynsmail/A 55178-2024 tillsynsbegäran mail.docx", "A 55178-2024")</f>
        <v/>
      </c>
    </row>
    <row r="218" ht="15" customHeight="1">
      <c r="A218" t="inlineStr">
        <is>
          <t>A 57089-2024</t>
        </is>
      </c>
      <c r="B218" s="1" t="n">
        <v>45629</v>
      </c>
      <c r="C218" s="1" t="n">
        <v>45657</v>
      </c>
      <c r="D218" t="inlineStr">
        <is>
          <t>VÄSTERNORRLANDS LÄN</t>
        </is>
      </c>
      <c r="E218" t="inlineStr">
        <is>
          <t>ÅNGE</t>
        </is>
      </c>
      <c r="F218" t="inlineStr">
        <is>
          <t>SCA</t>
        </is>
      </c>
      <c r="G218" t="n">
        <v>1.5</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57089-2024 artfynd.xlsx", "A 57089-2024")</f>
        <v/>
      </c>
      <c r="T218">
        <f>HYPERLINK("https://klasma.github.io/Logging_2260/kartor/A 57089-2024 karta.png", "A 57089-2024")</f>
        <v/>
      </c>
      <c r="V218">
        <f>HYPERLINK("https://klasma.github.io/Logging_2260/klagomål/A 57089-2024 FSC-klagomål.docx", "A 57089-2024")</f>
        <v/>
      </c>
      <c r="W218">
        <f>HYPERLINK("https://klasma.github.io/Logging_2260/klagomålsmail/A 57089-2024 FSC-klagomål mail.docx", "A 57089-2024")</f>
        <v/>
      </c>
      <c r="X218">
        <f>HYPERLINK("https://klasma.github.io/Logging_2260/tillsyn/A 57089-2024 tillsynsbegäran.docx", "A 57089-2024")</f>
        <v/>
      </c>
      <c r="Y218">
        <f>HYPERLINK("https://klasma.github.io/Logging_2260/tillsynsmail/A 57089-2024 tillsynsbegäran mail.docx", "A 57089-2024")</f>
        <v/>
      </c>
    </row>
    <row r="219" ht="15" customHeight="1">
      <c r="A219" t="inlineStr">
        <is>
          <t>A 6564-2020</t>
        </is>
      </c>
      <c r="B219" s="1" t="n">
        <v>43867</v>
      </c>
      <c r="C219" s="1" t="n">
        <v>45657</v>
      </c>
      <c r="D219" t="inlineStr">
        <is>
          <t>VÄSTERNORRLANDS LÄN</t>
        </is>
      </c>
      <c r="E219" t="inlineStr">
        <is>
          <t>ÅNGE</t>
        </is>
      </c>
      <c r="G219" t="n">
        <v>4.2</v>
      </c>
      <c r="H219" t="n">
        <v>1</v>
      </c>
      <c r="I219" t="n">
        <v>0</v>
      </c>
      <c r="J219" t="n">
        <v>0</v>
      </c>
      <c r="K219" t="n">
        <v>0</v>
      </c>
      <c r="L219" t="n">
        <v>0</v>
      </c>
      <c r="M219" t="n">
        <v>0</v>
      </c>
      <c r="N219" t="n">
        <v>0</v>
      </c>
      <c r="O219" t="n">
        <v>0</v>
      </c>
      <c r="P219" t="n">
        <v>0</v>
      </c>
      <c r="Q219" t="n">
        <v>1</v>
      </c>
      <c r="R219" s="2" t="inlineStr">
        <is>
          <t>Huggorm</t>
        </is>
      </c>
      <c r="S219">
        <f>HYPERLINK("https://klasma.github.io/Logging_2260/artfynd/A 6564-2020 artfynd.xlsx", "A 6564-2020")</f>
        <v/>
      </c>
      <c r="T219">
        <f>HYPERLINK("https://klasma.github.io/Logging_2260/kartor/A 6564-2020 karta.png", "A 6564-2020")</f>
        <v/>
      </c>
      <c r="V219">
        <f>HYPERLINK("https://klasma.github.io/Logging_2260/klagomål/A 6564-2020 FSC-klagomål.docx", "A 6564-2020")</f>
        <v/>
      </c>
      <c r="W219">
        <f>HYPERLINK("https://klasma.github.io/Logging_2260/klagomålsmail/A 6564-2020 FSC-klagomål mail.docx", "A 6564-2020")</f>
        <v/>
      </c>
      <c r="X219">
        <f>HYPERLINK("https://klasma.github.io/Logging_2260/tillsyn/A 6564-2020 tillsynsbegäran.docx", "A 6564-2020")</f>
        <v/>
      </c>
      <c r="Y219">
        <f>HYPERLINK("https://klasma.github.io/Logging_2260/tillsynsmail/A 6564-2020 tillsynsbegäran mail.docx", "A 6564-2020")</f>
        <v/>
      </c>
    </row>
    <row r="220" ht="15" customHeight="1">
      <c r="A220" t="inlineStr">
        <is>
          <t>A 19275-2020</t>
        </is>
      </c>
      <c r="B220" s="1" t="n">
        <v>43937</v>
      </c>
      <c r="C220" s="1" t="n">
        <v>45657</v>
      </c>
      <c r="D220" t="inlineStr">
        <is>
          <t>VÄSTERNORRLANDS LÄN</t>
        </is>
      </c>
      <c r="E220" t="inlineStr">
        <is>
          <t>ÅNGE</t>
        </is>
      </c>
      <c r="G220" t="n">
        <v>1.8</v>
      </c>
      <c r="H220" t="n">
        <v>1</v>
      </c>
      <c r="I220" t="n">
        <v>0</v>
      </c>
      <c r="J220" t="n">
        <v>0</v>
      </c>
      <c r="K220" t="n">
        <v>0</v>
      </c>
      <c r="L220" t="n">
        <v>0</v>
      </c>
      <c r="M220" t="n">
        <v>0</v>
      </c>
      <c r="N220" t="n">
        <v>0</v>
      </c>
      <c r="O220" t="n">
        <v>0</v>
      </c>
      <c r="P220" t="n">
        <v>0</v>
      </c>
      <c r="Q220" t="n">
        <v>1</v>
      </c>
      <c r="R220" s="2" t="inlineStr">
        <is>
          <t>Käppkrokmossa</t>
        </is>
      </c>
      <c r="S220">
        <f>HYPERLINK("https://klasma.github.io/Logging_2260/artfynd/A 19275-2020 artfynd.xlsx", "A 19275-2020")</f>
        <v/>
      </c>
      <c r="T220">
        <f>HYPERLINK("https://klasma.github.io/Logging_2260/kartor/A 19275-2020 karta.png", "A 19275-2020")</f>
        <v/>
      </c>
      <c r="V220">
        <f>HYPERLINK("https://klasma.github.io/Logging_2260/klagomål/A 19275-2020 FSC-klagomål.docx", "A 19275-2020")</f>
        <v/>
      </c>
      <c r="W220">
        <f>HYPERLINK("https://klasma.github.io/Logging_2260/klagomålsmail/A 19275-2020 FSC-klagomål mail.docx", "A 19275-2020")</f>
        <v/>
      </c>
      <c r="X220">
        <f>HYPERLINK("https://klasma.github.io/Logging_2260/tillsyn/A 19275-2020 tillsynsbegäran.docx", "A 19275-2020")</f>
        <v/>
      </c>
      <c r="Y220">
        <f>HYPERLINK("https://klasma.github.io/Logging_2260/tillsynsmail/A 19275-2020 tillsynsbegäran mail.docx", "A 19275-2020")</f>
        <v/>
      </c>
    </row>
    <row r="221" ht="15" customHeight="1">
      <c r="A221" t="inlineStr">
        <is>
          <t>A 22692-2020</t>
        </is>
      </c>
      <c r="B221" s="1" t="n">
        <v>43963</v>
      </c>
      <c r="C221" s="1" t="n">
        <v>45657</v>
      </c>
      <c r="D221" t="inlineStr">
        <is>
          <t>VÄSTERNORRLANDS LÄN</t>
        </is>
      </c>
      <c r="E221" t="inlineStr">
        <is>
          <t>ÅNGE</t>
        </is>
      </c>
      <c r="F221" t="inlineStr">
        <is>
          <t>SCA</t>
        </is>
      </c>
      <c r="G221" t="n">
        <v>5.4</v>
      </c>
      <c r="H221" t="n">
        <v>0</v>
      </c>
      <c r="I221" t="n">
        <v>0</v>
      </c>
      <c r="J221" t="n">
        <v>1</v>
      </c>
      <c r="K221" t="n">
        <v>0</v>
      </c>
      <c r="L221" t="n">
        <v>0</v>
      </c>
      <c r="M221" t="n">
        <v>0</v>
      </c>
      <c r="N221" t="n">
        <v>0</v>
      </c>
      <c r="O221" t="n">
        <v>1</v>
      </c>
      <c r="P221" t="n">
        <v>0</v>
      </c>
      <c r="Q221" t="n">
        <v>1</v>
      </c>
      <c r="R221" s="2" t="inlineStr">
        <is>
          <t>Orange taggsvamp</t>
        </is>
      </c>
      <c r="S221">
        <f>HYPERLINK("https://klasma.github.io/Logging_2260/artfynd/A 22692-2020 artfynd.xlsx", "A 22692-2020")</f>
        <v/>
      </c>
      <c r="T221">
        <f>HYPERLINK("https://klasma.github.io/Logging_2260/kartor/A 22692-2020 karta.png", "A 22692-2020")</f>
        <v/>
      </c>
      <c r="V221">
        <f>HYPERLINK("https://klasma.github.io/Logging_2260/klagomål/A 22692-2020 FSC-klagomål.docx", "A 22692-2020")</f>
        <v/>
      </c>
      <c r="W221">
        <f>HYPERLINK("https://klasma.github.io/Logging_2260/klagomålsmail/A 22692-2020 FSC-klagomål mail.docx", "A 22692-2020")</f>
        <v/>
      </c>
      <c r="X221">
        <f>HYPERLINK("https://klasma.github.io/Logging_2260/tillsyn/A 22692-2020 tillsynsbegäran.docx", "A 22692-2020")</f>
        <v/>
      </c>
      <c r="Y221">
        <f>HYPERLINK("https://klasma.github.io/Logging_2260/tillsynsmail/A 22692-2020 tillsynsbegäran mail.docx", "A 22692-2020")</f>
        <v/>
      </c>
    </row>
    <row r="222" ht="15" customHeight="1">
      <c r="A222" t="inlineStr">
        <is>
          <t>A 32755-2020</t>
        </is>
      </c>
      <c r="B222" s="1" t="n">
        <v>44019</v>
      </c>
      <c r="C222" s="1" t="n">
        <v>45657</v>
      </c>
      <c r="D222" t="inlineStr">
        <is>
          <t>VÄSTERNORRLANDS LÄN</t>
        </is>
      </c>
      <c r="E222" t="inlineStr">
        <is>
          <t>ÅNGE</t>
        </is>
      </c>
      <c r="F222" t="inlineStr">
        <is>
          <t>SCA</t>
        </is>
      </c>
      <c r="G222" t="n">
        <v>6.1</v>
      </c>
      <c r="H222" t="n">
        <v>0</v>
      </c>
      <c r="I222" t="n">
        <v>0</v>
      </c>
      <c r="J222" t="n">
        <v>1</v>
      </c>
      <c r="K222" t="n">
        <v>0</v>
      </c>
      <c r="L222" t="n">
        <v>0</v>
      </c>
      <c r="M222" t="n">
        <v>0</v>
      </c>
      <c r="N222" t="n">
        <v>0</v>
      </c>
      <c r="O222" t="n">
        <v>1</v>
      </c>
      <c r="P222" t="n">
        <v>0</v>
      </c>
      <c r="Q222" t="n">
        <v>1</v>
      </c>
      <c r="R222" s="2" t="inlineStr">
        <is>
          <t>Ullticka</t>
        </is>
      </c>
      <c r="S222">
        <f>HYPERLINK("https://klasma.github.io/Logging_2260/artfynd/A 32755-2020 artfynd.xlsx", "A 32755-2020")</f>
        <v/>
      </c>
      <c r="T222">
        <f>HYPERLINK("https://klasma.github.io/Logging_2260/kartor/A 32755-2020 karta.png", "A 32755-2020")</f>
        <v/>
      </c>
      <c r="V222">
        <f>HYPERLINK("https://klasma.github.io/Logging_2260/klagomål/A 32755-2020 FSC-klagomål.docx", "A 32755-2020")</f>
        <v/>
      </c>
      <c r="W222">
        <f>HYPERLINK("https://klasma.github.io/Logging_2260/klagomålsmail/A 32755-2020 FSC-klagomål mail.docx", "A 32755-2020")</f>
        <v/>
      </c>
      <c r="X222">
        <f>HYPERLINK("https://klasma.github.io/Logging_2260/tillsyn/A 32755-2020 tillsynsbegäran.docx", "A 32755-2020")</f>
        <v/>
      </c>
      <c r="Y222">
        <f>HYPERLINK("https://klasma.github.io/Logging_2260/tillsynsmail/A 32755-2020 tillsynsbegäran mail.docx", "A 32755-2020")</f>
        <v/>
      </c>
    </row>
    <row r="223" ht="15" customHeight="1">
      <c r="A223" t="inlineStr">
        <is>
          <t>A 40416-2020</t>
        </is>
      </c>
      <c r="B223" s="1" t="n">
        <v>44068</v>
      </c>
      <c r="C223" s="1" t="n">
        <v>45657</v>
      </c>
      <c r="D223" t="inlineStr">
        <is>
          <t>VÄSTERNORRLANDS LÄN</t>
        </is>
      </c>
      <c r="E223" t="inlineStr">
        <is>
          <t>ÅNGE</t>
        </is>
      </c>
      <c r="F223" t="inlineStr">
        <is>
          <t>SCA</t>
        </is>
      </c>
      <c r="G223" t="n">
        <v>7.7</v>
      </c>
      <c r="H223" t="n">
        <v>1</v>
      </c>
      <c r="I223" t="n">
        <v>0</v>
      </c>
      <c r="J223" t="n">
        <v>0</v>
      </c>
      <c r="K223" t="n">
        <v>1</v>
      </c>
      <c r="L223" t="n">
        <v>0</v>
      </c>
      <c r="M223" t="n">
        <v>0</v>
      </c>
      <c r="N223" t="n">
        <v>0</v>
      </c>
      <c r="O223" t="n">
        <v>1</v>
      </c>
      <c r="P223" t="n">
        <v>1</v>
      </c>
      <c r="Q223" t="n">
        <v>1</v>
      </c>
      <c r="R223" s="2" t="inlineStr">
        <is>
          <t>Knärot</t>
        </is>
      </c>
      <c r="S223">
        <f>HYPERLINK("https://klasma.github.io/Logging_2260/artfynd/A 40416-2020 artfynd.xlsx", "A 40416-2020")</f>
        <v/>
      </c>
      <c r="T223">
        <f>HYPERLINK("https://klasma.github.io/Logging_2260/kartor/A 40416-2020 karta.png", "A 40416-2020")</f>
        <v/>
      </c>
      <c r="U223">
        <f>HYPERLINK("https://klasma.github.io/Logging_2260/knärot/A 40416-2020 karta knärot.png", "A 40416-2020")</f>
        <v/>
      </c>
      <c r="V223">
        <f>HYPERLINK("https://klasma.github.io/Logging_2260/klagomål/A 40416-2020 FSC-klagomål.docx", "A 40416-2020")</f>
        <v/>
      </c>
      <c r="W223">
        <f>HYPERLINK("https://klasma.github.io/Logging_2260/klagomålsmail/A 40416-2020 FSC-klagomål mail.docx", "A 40416-2020")</f>
        <v/>
      </c>
      <c r="X223">
        <f>HYPERLINK("https://klasma.github.io/Logging_2260/tillsyn/A 40416-2020 tillsynsbegäran.docx", "A 40416-2020")</f>
        <v/>
      </c>
      <c r="Y223">
        <f>HYPERLINK("https://klasma.github.io/Logging_2260/tillsynsmail/A 40416-2020 tillsynsbegäran mail.docx", "A 40416-2020")</f>
        <v/>
      </c>
    </row>
    <row r="224" ht="15" customHeight="1">
      <c r="A224" t="inlineStr">
        <is>
          <t>A 63983-2020</t>
        </is>
      </c>
      <c r="B224" s="1" t="n">
        <v>44167</v>
      </c>
      <c r="C224" s="1" t="n">
        <v>45657</v>
      </c>
      <c r="D224" t="inlineStr">
        <is>
          <t>VÄSTERNORRLANDS LÄN</t>
        </is>
      </c>
      <c r="E224" t="inlineStr">
        <is>
          <t>ÅNGE</t>
        </is>
      </c>
      <c r="F224" t="inlineStr">
        <is>
          <t>Kommuner</t>
        </is>
      </c>
      <c r="G224" t="n">
        <v>27.1</v>
      </c>
      <c r="H224" t="n">
        <v>1</v>
      </c>
      <c r="I224" t="n">
        <v>0</v>
      </c>
      <c r="J224" t="n">
        <v>0</v>
      </c>
      <c r="K224" t="n">
        <v>1</v>
      </c>
      <c r="L224" t="n">
        <v>0</v>
      </c>
      <c r="M224" t="n">
        <v>0</v>
      </c>
      <c r="N224" t="n">
        <v>0</v>
      </c>
      <c r="O224" t="n">
        <v>1</v>
      </c>
      <c r="P224" t="n">
        <v>1</v>
      </c>
      <c r="Q224" t="n">
        <v>1</v>
      </c>
      <c r="R224" s="2" t="inlineStr">
        <is>
          <t>Knärot</t>
        </is>
      </c>
      <c r="S224">
        <f>HYPERLINK("https://klasma.github.io/Logging_2260/artfynd/A 63983-2020 artfynd.xlsx", "A 63983-2020")</f>
        <v/>
      </c>
      <c r="T224">
        <f>HYPERLINK("https://klasma.github.io/Logging_2260/kartor/A 63983-2020 karta.png", "A 63983-2020")</f>
        <v/>
      </c>
      <c r="U224">
        <f>HYPERLINK("https://klasma.github.io/Logging_2260/knärot/A 63983-2020 karta knärot.png", "A 63983-2020")</f>
        <v/>
      </c>
      <c r="V224">
        <f>HYPERLINK("https://klasma.github.io/Logging_2260/klagomål/A 63983-2020 FSC-klagomål.docx", "A 63983-2020")</f>
        <v/>
      </c>
      <c r="W224">
        <f>HYPERLINK("https://klasma.github.io/Logging_2260/klagomålsmail/A 63983-2020 FSC-klagomål mail.docx", "A 63983-2020")</f>
        <v/>
      </c>
      <c r="X224">
        <f>HYPERLINK("https://klasma.github.io/Logging_2260/tillsyn/A 63983-2020 tillsynsbegäran.docx", "A 63983-2020")</f>
        <v/>
      </c>
      <c r="Y224">
        <f>HYPERLINK("https://klasma.github.io/Logging_2260/tillsynsmail/A 63983-2020 tillsynsbegäran mail.docx", "A 63983-2020")</f>
        <v/>
      </c>
    </row>
    <row r="225" ht="15" customHeight="1">
      <c r="A225" t="inlineStr">
        <is>
          <t>A 5558-2021</t>
        </is>
      </c>
      <c r="B225" s="1" t="n">
        <v>44230</v>
      </c>
      <c r="C225" s="1" t="n">
        <v>45657</v>
      </c>
      <c r="D225" t="inlineStr">
        <is>
          <t>VÄSTERNORRLANDS LÄN</t>
        </is>
      </c>
      <c r="E225" t="inlineStr">
        <is>
          <t>ÅNGE</t>
        </is>
      </c>
      <c r="G225" t="n">
        <v>60.6</v>
      </c>
      <c r="H225" t="n">
        <v>0</v>
      </c>
      <c r="I225" t="n">
        <v>0</v>
      </c>
      <c r="J225" t="n">
        <v>1</v>
      </c>
      <c r="K225" t="n">
        <v>0</v>
      </c>
      <c r="L225" t="n">
        <v>0</v>
      </c>
      <c r="M225" t="n">
        <v>0</v>
      </c>
      <c r="N225" t="n">
        <v>0</v>
      </c>
      <c r="O225" t="n">
        <v>1</v>
      </c>
      <c r="P225" t="n">
        <v>0</v>
      </c>
      <c r="Q225" t="n">
        <v>1</v>
      </c>
      <c r="R225" s="2" t="inlineStr">
        <is>
          <t>Garnlav</t>
        </is>
      </c>
      <c r="S225">
        <f>HYPERLINK("https://klasma.github.io/Logging_2260/artfynd/A 5558-2021 artfynd.xlsx", "A 5558-2021")</f>
        <v/>
      </c>
      <c r="T225">
        <f>HYPERLINK("https://klasma.github.io/Logging_2260/kartor/A 5558-2021 karta.png", "A 5558-2021")</f>
        <v/>
      </c>
      <c r="V225">
        <f>HYPERLINK("https://klasma.github.io/Logging_2260/klagomål/A 5558-2021 FSC-klagomål.docx", "A 5558-2021")</f>
        <v/>
      </c>
      <c r="W225">
        <f>HYPERLINK("https://klasma.github.io/Logging_2260/klagomålsmail/A 5558-2021 FSC-klagomål mail.docx", "A 5558-2021")</f>
        <v/>
      </c>
      <c r="X225">
        <f>HYPERLINK("https://klasma.github.io/Logging_2260/tillsyn/A 5558-2021 tillsynsbegäran.docx", "A 5558-2021")</f>
        <v/>
      </c>
      <c r="Y225">
        <f>HYPERLINK("https://klasma.github.io/Logging_2260/tillsynsmail/A 5558-2021 tillsynsbegäran mail.docx", "A 5558-2021")</f>
        <v/>
      </c>
    </row>
    <row r="226" ht="15" customHeight="1">
      <c r="A226" t="inlineStr">
        <is>
          <t>A 31578-2021</t>
        </is>
      </c>
      <c r="B226" s="1" t="n">
        <v>44369</v>
      </c>
      <c r="C226" s="1" t="n">
        <v>45657</v>
      </c>
      <c r="D226" t="inlineStr">
        <is>
          <t>VÄSTERNORRLANDS LÄN</t>
        </is>
      </c>
      <c r="E226" t="inlineStr">
        <is>
          <t>ÅNGE</t>
        </is>
      </c>
      <c r="G226" t="n">
        <v>25.8</v>
      </c>
      <c r="H226" t="n">
        <v>1</v>
      </c>
      <c r="I226" t="n">
        <v>0</v>
      </c>
      <c r="J226" t="n">
        <v>0</v>
      </c>
      <c r="K226" t="n">
        <v>1</v>
      </c>
      <c r="L226" t="n">
        <v>0</v>
      </c>
      <c r="M226" t="n">
        <v>0</v>
      </c>
      <c r="N226" t="n">
        <v>0</v>
      </c>
      <c r="O226" t="n">
        <v>1</v>
      </c>
      <c r="P226" t="n">
        <v>1</v>
      </c>
      <c r="Q226" t="n">
        <v>1</v>
      </c>
      <c r="R226" s="2" t="inlineStr">
        <is>
          <t>Knärot</t>
        </is>
      </c>
      <c r="S226">
        <f>HYPERLINK("https://klasma.github.io/Logging_2260/artfynd/A 31578-2021 artfynd.xlsx", "A 31578-2021")</f>
        <v/>
      </c>
      <c r="T226">
        <f>HYPERLINK("https://klasma.github.io/Logging_2260/kartor/A 31578-2021 karta.png", "A 31578-2021")</f>
        <v/>
      </c>
      <c r="U226">
        <f>HYPERLINK("https://klasma.github.io/Logging_2260/knärot/A 31578-2021 karta knärot.png", "A 31578-2021")</f>
        <v/>
      </c>
      <c r="V226">
        <f>HYPERLINK("https://klasma.github.io/Logging_2260/klagomål/A 31578-2021 FSC-klagomål.docx", "A 31578-2021")</f>
        <v/>
      </c>
      <c r="W226">
        <f>HYPERLINK("https://klasma.github.io/Logging_2260/klagomålsmail/A 31578-2021 FSC-klagomål mail.docx", "A 31578-2021")</f>
        <v/>
      </c>
      <c r="X226">
        <f>HYPERLINK("https://klasma.github.io/Logging_2260/tillsyn/A 31578-2021 tillsynsbegäran.docx", "A 31578-2021")</f>
        <v/>
      </c>
      <c r="Y226">
        <f>HYPERLINK("https://klasma.github.io/Logging_2260/tillsynsmail/A 31578-2021 tillsynsbegäran mail.docx", "A 31578-2021")</f>
        <v/>
      </c>
    </row>
    <row r="227" ht="15" customHeight="1">
      <c r="A227" t="inlineStr">
        <is>
          <t>A 35018-2021</t>
        </is>
      </c>
      <c r="B227" s="1" t="n">
        <v>44383</v>
      </c>
      <c r="C227" s="1" t="n">
        <v>45657</v>
      </c>
      <c r="D227" t="inlineStr">
        <is>
          <t>VÄSTERNORRLANDS LÄN</t>
        </is>
      </c>
      <c r="E227" t="inlineStr">
        <is>
          <t>ÅNGE</t>
        </is>
      </c>
      <c r="F227" t="inlineStr">
        <is>
          <t>Sveaskog</t>
        </is>
      </c>
      <c r="G227" t="n">
        <v>9.5</v>
      </c>
      <c r="H227" t="n">
        <v>1</v>
      </c>
      <c r="I227" t="n">
        <v>0</v>
      </c>
      <c r="J227" t="n">
        <v>1</v>
      </c>
      <c r="K227" t="n">
        <v>0</v>
      </c>
      <c r="L227" t="n">
        <v>0</v>
      </c>
      <c r="M227" t="n">
        <v>0</v>
      </c>
      <c r="N227" t="n">
        <v>0</v>
      </c>
      <c r="O227" t="n">
        <v>1</v>
      </c>
      <c r="P227" t="n">
        <v>0</v>
      </c>
      <c r="Q227" t="n">
        <v>1</v>
      </c>
      <c r="R227" s="2" t="inlineStr">
        <is>
          <t>Utter</t>
        </is>
      </c>
      <c r="S227">
        <f>HYPERLINK("https://klasma.github.io/Logging_2260/artfynd/A 35018-2021 artfynd.xlsx", "A 35018-2021")</f>
        <v/>
      </c>
      <c r="T227">
        <f>HYPERLINK("https://klasma.github.io/Logging_2260/kartor/A 35018-2021 karta.png", "A 35018-2021")</f>
        <v/>
      </c>
      <c r="V227">
        <f>HYPERLINK("https://klasma.github.io/Logging_2260/klagomål/A 35018-2021 FSC-klagomål.docx", "A 35018-2021")</f>
        <v/>
      </c>
      <c r="W227">
        <f>HYPERLINK("https://klasma.github.io/Logging_2260/klagomålsmail/A 35018-2021 FSC-klagomål mail.docx", "A 35018-2021")</f>
        <v/>
      </c>
      <c r="X227">
        <f>HYPERLINK("https://klasma.github.io/Logging_2260/tillsyn/A 35018-2021 tillsynsbegäran.docx", "A 35018-2021")</f>
        <v/>
      </c>
      <c r="Y227">
        <f>HYPERLINK("https://klasma.github.io/Logging_2260/tillsynsmail/A 35018-2021 tillsynsbegäran mail.docx", "A 35018-2021")</f>
        <v/>
      </c>
    </row>
    <row r="228" ht="15" customHeight="1">
      <c r="A228" t="inlineStr">
        <is>
          <t>A 41493-2021</t>
        </is>
      </c>
      <c r="B228" s="1" t="n">
        <v>44424</v>
      </c>
      <c r="C228" s="1" t="n">
        <v>45657</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45355-2021</t>
        </is>
      </c>
      <c r="B229" s="1" t="n">
        <v>44439</v>
      </c>
      <c r="C229" s="1" t="n">
        <v>45657</v>
      </c>
      <c r="D229" t="inlineStr">
        <is>
          <t>VÄSTERNORRLANDS LÄN</t>
        </is>
      </c>
      <c r="E229" t="inlineStr">
        <is>
          <t>ÅNGE</t>
        </is>
      </c>
      <c r="F229" t="inlineStr">
        <is>
          <t>SCA</t>
        </is>
      </c>
      <c r="G229" t="n">
        <v>1.7</v>
      </c>
      <c r="H229" t="n">
        <v>0</v>
      </c>
      <c r="I229" t="n">
        <v>0</v>
      </c>
      <c r="J229" t="n">
        <v>1</v>
      </c>
      <c r="K229" t="n">
        <v>0</v>
      </c>
      <c r="L229" t="n">
        <v>0</v>
      </c>
      <c r="M229" t="n">
        <v>0</v>
      </c>
      <c r="N229" t="n">
        <v>0</v>
      </c>
      <c r="O229" t="n">
        <v>1</v>
      </c>
      <c r="P229" t="n">
        <v>0</v>
      </c>
      <c r="Q229" t="n">
        <v>1</v>
      </c>
      <c r="R229" s="2" t="inlineStr">
        <is>
          <t>Stiftgelélav</t>
        </is>
      </c>
      <c r="S229">
        <f>HYPERLINK("https://klasma.github.io/Logging_2260/artfynd/A 45355-2021 artfynd.xlsx", "A 45355-2021")</f>
        <v/>
      </c>
      <c r="T229">
        <f>HYPERLINK("https://klasma.github.io/Logging_2260/kartor/A 45355-2021 karta.png", "A 45355-2021")</f>
        <v/>
      </c>
      <c r="V229">
        <f>HYPERLINK("https://klasma.github.io/Logging_2260/klagomål/A 45355-2021 FSC-klagomål.docx", "A 45355-2021")</f>
        <v/>
      </c>
      <c r="W229">
        <f>HYPERLINK("https://klasma.github.io/Logging_2260/klagomålsmail/A 45355-2021 FSC-klagomål mail.docx", "A 45355-2021")</f>
        <v/>
      </c>
      <c r="X229">
        <f>HYPERLINK("https://klasma.github.io/Logging_2260/tillsyn/A 45355-2021 tillsynsbegäran.docx", "A 45355-2021")</f>
        <v/>
      </c>
      <c r="Y229">
        <f>HYPERLINK("https://klasma.github.io/Logging_2260/tillsynsmail/A 45355-2021 tillsynsbegäran mail.docx", "A 45355-2021")</f>
        <v/>
      </c>
    </row>
    <row r="230" ht="15" customHeight="1">
      <c r="A230" t="inlineStr">
        <is>
          <t>A 54751-2021</t>
        </is>
      </c>
      <c r="B230" s="1" t="n">
        <v>44473</v>
      </c>
      <c r="C230" s="1" t="n">
        <v>45657</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57562-2021</t>
        </is>
      </c>
      <c r="B231" s="1" t="n">
        <v>44483</v>
      </c>
      <c r="C231" s="1" t="n">
        <v>45657</v>
      </c>
      <c r="D231" t="inlineStr">
        <is>
          <t>VÄSTERNORRLANDS LÄN</t>
        </is>
      </c>
      <c r="E231" t="inlineStr">
        <is>
          <t>ÅNGE</t>
        </is>
      </c>
      <c r="F231" t="inlineStr">
        <is>
          <t>SCA</t>
        </is>
      </c>
      <c r="G231" t="n">
        <v>10.7</v>
      </c>
      <c r="H231" t="n">
        <v>0</v>
      </c>
      <c r="I231" t="n">
        <v>1</v>
      </c>
      <c r="J231" t="n">
        <v>0</v>
      </c>
      <c r="K231" t="n">
        <v>0</v>
      </c>
      <c r="L231" t="n">
        <v>0</v>
      </c>
      <c r="M231" t="n">
        <v>0</v>
      </c>
      <c r="N231" t="n">
        <v>0</v>
      </c>
      <c r="O231" t="n">
        <v>0</v>
      </c>
      <c r="P231" t="n">
        <v>0</v>
      </c>
      <c r="Q231" t="n">
        <v>1</v>
      </c>
      <c r="R231" s="2" t="inlineStr">
        <is>
          <t>Ögonpyrola</t>
        </is>
      </c>
      <c r="S231">
        <f>HYPERLINK("https://klasma.github.io/Logging_2260/artfynd/A 57562-2021 artfynd.xlsx", "A 57562-2021")</f>
        <v/>
      </c>
      <c r="T231">
        <f>HYPERLINK("https://klasma.github.io/Logging_2260/kartor/A 57562-2021 karta.png", "A 57562-2021")</f>
        <v/>
      </c>
      <c r="V231">
        <f>HYPERLINK("https://klasma.github.io/Logging_2260/klagomål/A 57562-2021 FSC-klagomål.docx", "A 57562-2021")</f>
        <v/>
      </c>
      <c r="W231">
        <f>HYPERLINK("https://klasma.github.io/Logging_2260/klagomålsmail/A 57562-2021 FSC-klagomål mail.docx", "A 57562-2021")</f>
        <v/>
      </c>
      <c r="X231">
        <f>HYPERLINK("https://klasma.github.io/Logging_2260/tillsyn/A 57562-2021 tillsynsbegäran.docx", "A 57562-2021")</f>
        <v/>
      </c>
      <c r="Y231">
        <f>HYPERLINK("https://klasma.github.io/Logging_2260/tillsynsmail/A 57562-2021 tillsynsbegäran mail.docx", "A 57562-2021")</f>
        <v/>
      </c>
    </row>
    <row r="232" ht="15" customHeight="1">
      <c r="A232" t="inlineStr">
        <is>
          <t>A 60767-2021</t>
        </is>
      </c>
      <c r="B232" s="1" t="n">
        <v>44496</v>
      </c>
      <c r="C232" s="1" t="n">
        <v>45657</v>
      </c>
      <c r="D232" t="inlineStr">
        <is>
          <t>VÄSTERNORRLANDS LÄN</t>
        </is>
      </c>
      <c r="E232" t="inlineStr">
        <is>
          <t>ÅNGE</t>
        </is>
      </c>
      <c r="F232" t="inlineStr">
        <is>
          <t>SCA</t>
        </is>
      </c>
      <c r="G232" t="n">
        <v>4.5</v>
      </c>
      <c r="H232" t="n">
        <v>1</v>
      </c>
      <c r="I232" t="n">
        <v>0</v>
      </c>
      <c r="J232" t="n">
        <v>0</v>
      </c>
      <c r="K232" t="n">
        <v>1</v>
      </c>
      <c r="L232" t="n">
        <v>0</v>
      </c>
      <c r="M232" t="n">
        <v>0</v>
      </c>
      <c r="N232" t="n">
        <v>0</v>
      </c>
      <c r="O232" t="n">
        <v>1</v>
      </c>
      <c r="P232" t="n">
        <v>1</v>
      </c>
      <c r="Q232" t="n">
        <v>1</v>
      </c>
      <c r="R232" s="2" t="inlineStr">
        <is>
          <t>Knärot</t>
        </is>
      </c>
      <c r="S232">
        <f>HYPERLINK("https://klasma.github.io/Logging_2260/artfynd/A 60767-2021 artfynd.xlsx", "A 60767-2021")</f>
        <v/>
      </c>
      <c r="T232">
        <f>HYPERLINK("https://klasma.github.io/Logging_2260/kartor/A 60767-2021 karta.png", "A 60767-2021")</f>
        <v/>
      </c>
      <c r="U232">
        <f>HYPERLINK("https://klasma.github.io/Logging_2260/knärot/A 60767-2021 karta knärot.png", "A 60767-2021")</f>
        <v/>
      </c>
      <c r="V232">
        <f>HYPERLINK("https://klasma.github.io/Logging_2260/klagomål/A 60767-2021 FSC-klagomål.docx", "A 60767-2021")</f>
        <v/>
      </c>
      <c r="W232">
        <f>HYPERLINK("https://klasma.github.io/Logging_2260/klagomålsmail/A 60767-2021 FSC-klagomål mail.docx", "A 60767-2021")</f>
        <v/>
      </c>
      <c r="X232">
        <f>HYPERLINK("https://klasma.github.io/Logging_2260/tillsyn/A 60767-2021 tillsynsbegäran.docx", "A 60767-2021")</f>
        <v/>
      </c>
      <c r="Y232">
        <f>HYPERLINK("https://klasma.github.io/Logging_2260/tillsynsmail/A 60767-2021 tillsynsbegäran mail.docx", "A 60767-2021")</f>
        <v/>
      </c>
    </row>
    <row r="233" ht="15" customHeight="1">
      <c r="A233" t="inlineStr">
        <is>
          <t>A 61458-2021</t>
        </is>
      </c>
      <c r="B233" s="1" t="n">
        <v>44500</v>
      </c>
      <c r="C233" s="1" t="n">
        <v>45657</v>
      </c>
      <c r="D233" t="inlineStr">
        <is>
          <t>VÄSTERNORRLANDS LÄN</t>
        </is>
      </c>
      <c r="E233" t="inlineStr">
        <is>
          <t>ÅNGE</t>
        </is>
      </c>
      <c r="F233" t="inlineStr">
        <is>
          <t>SCA</t>
        </is>
      </c>
      <c r="G233" t="n">
        <v>11.1</v>
      </c>
      <c r="H233" t="n">
        <v>1</v>
      </c>
      <c r="I233" t="n">
        <v>0</v>
      </c>
      <c r="J233" t="n">
        <v>0</v>
      </c>
      <c r="K233" t="n">
        <v>1</v>
      </c>
      <c r="L233" t="n">
        <v>0</v>
      </c>
      <c r="M233" t="n">
        <v>0</v>
      </c>
      <c r="N233" t="n">
        <v>0</v>
      </c>
      <c r="O233" t="n">
        <v>1</v>
      </c>
      <c r="P233" t="n">
        <v>1</v>
      </c>
      <c r="Q233" t="n">
        <v>1</v>
      </c>
      <c r="R233" s="2" t="inlineStr">
        <is>
          <t>Knärot</t>
        </is>
      </c>
      <c r="S233">
        <f>HYPERLINK("https://klasma.github.io/Logging_2260/artfynd/A 61458-2021 artfynd.xlsx", "A 61458-2021")</f>
        <v/>
      </c>
      <c r="T233">
        <f>HYPERLINK("https://klasma.github.io/Logging_2260/kartor/A 61458-2021 karta.png", "A 61458-2021")</f>
        <v/>
      </c>
      <c r="U233">
        <f>HYPERLINK("https://klasma.github.io/Logging_2260/knärot/A 61458-2021 karta knärot.png", "A 61458-2021")</f>
        <v/>
      </c>
      <c r="V233">
        <f>HYPERLINK("https://klasma.github.io/Logging_2260/klagomål/A 61458-2021 FSC-klagomål.docx", "A 61458-2021")</f>
        <v/>
      </c>
      <c r="W233">
        <f>HYPERLINK("https://klasma.github.io/Logging_2260/klagomålsmail/A 61458-2021 FSC-klagomål mail.docx", "A 61458-2021")</f>
        <v/>
      </c>
      <c r="X233">
        <f>HYPERLINK("https://klasma.github.io/Logging_2260/tillsyn/A 61458-2021 tillsynsbegäran.docx", "A 61458-2021")</f>
        <v/>
      </c>
      <c r="Y233">
        <f>HYPERLINK("https://klasma.github.io/Logging_2260/tillsynsmail/A 61458-2021 tillsynsbegäran mail.docx", "A 61458-2021")</f>
        <v/>
      </c>
    </row>
    <row r="234" ht="15" customHeight="1">
      <c r="A234" t="inlineStr">
        <is>
          <t>A 61479-2021</t>
        </is>
      </c>
      <c r="B234" s="1" t="n">
        <v>44500</v>
      </c>
      <c r="C234" s="1" t="n">
        <v>45657</v>
      </c>
      <c r="D234" t="inlineStr">
        <is>
          <t>VÄSTERNORRLANDS LÄN</t>
        </is>
      </c>
      <c r="E234" t="inlineStr">
        <is>
          <t>ÅNGE</t>
        </is>
      </c>
      <c r="F234" t="inlineStr">
        <is>
          <t>SCA</t>
        </is>
      </c>
      <c r="G234" t="n">
        <v>7.2</v>
      </c>
      <c r="H234" t="n">
        <v>1</v>
      </c>
      <c r="I234" t="n">
        <v>0</v>
      </c>
      <c r="J234" t="n">
        <v>0</v>
      </c>
      <c r="K234" t="n">
        <v>1</v>
      </c>
      <c r="L234" t="n">
        <v>0</v>
      </c>
      <c r="M234" t="n">
        <v>0</v>
      </c>
      <c r="N234" t="n">
        <v>0</v>
      </c>
      <c r="O234" t="n">
        <v>1</v>
      </c>
      <c r="P234" t="n">
        <v>1</v>
      </c>
      <c r="Q234" t="n">
        <v>1</v>
      </c>
      <c r="R234" s="2" t="inlineStr">
        <is>
          <t>Knärot</t>
        </is>
      </c>
      <c r="S234">
        <f>HYPERLINK("https://klasma.github.io/Logging_2260/artfynd/A 61479-2021 artfynd.xlsx", "A 61479-2021")</f>
        <v/>
      </c>
      <c r="T234">
        <f>HYPERLINK("https://klasma.github.io/Logging_2260/kartor/A 61479-2021 karta.png", "A 61479-2021")</f>
        <v/>
      </c>
      <c r="U234">
        <f>HYPERLINK("https://klasma.github.io/Logging_2260/knärot/A 61479-2021 karta knärot.png", "A 61479-2021")</f>
        <v/>
      </c>
      <c r="V234">
        <f>HYPERLINK("https://klasma.github.io/Logging_2260/klagomål/A 61479-2021 FSC-klagomål.docx", "A 61479-2021")</f>
        <v/>
      </c>
      <c r="W234">
        <f>HYPERLINK("https://klasma.github.io/Logging_2260/klagomålsmail/A 61479-2021 FSC-klagomål mail.docx", "A 61479-2021")</f>
        <v/>
      </c>
      <c r="X234">
        <f>HYPERLINK("https://klasma.github.io/Logging_2260/tillsyn/A 61479-2021 tillsynsbegäran.docx", "A 61479-2021")</f>
        <v/>
      </c>
      <c r="Y234">
        <f>HYPERLINK("https://klasma.github.io/Logging_2260/tillsynsmail/A 61479-2021 tillsynsbegäran mail.docx", "A 61479-2021")</f>
        <v/>
      </c>
    </row>
    <row r="235" ht="15" customHeight="1">
      <c r="A235" t="inlineStr">
        <is>
          <t>A 71366-2021</t>
        </is>
      </c>
      <c r="B235" s="1" t="n">
        <v>44539</v>
      </c>
      <c r="C235" s="1" t="n">
        <v>45657</v>
      </c>
      <c r="D235" t="inlineStr">
        <is>
          <t>VÄSTERNORRLANDS LÄN</t>
        </is>
      </c>
      <c r="E235" t="inlineStr">
        <is>
          <t>ÅNGE</t>
        </is>
      </c>
      <c r="F235" t="inlineStr">
        <is>
          <t>SCA</t>
        </is>
      </c>
      <c r="G235" t="n">
        <v>2.3</v>
      </c>
      <c r="H235" t="n">
        <v>1</v>
      </c>
      <c r="I235" t="n">
        <v>0</v>
      </c>
      <c r="J235" t="n">
        <v>0</v>
      </c>
      <c r="K235" t="n">
        <v>1</v>
      </c>
      <c r="L235" t="n">
        <v>0</v>
      </c>
      <c r="M235" t="n">
        <v>0</v>
      </c>
      <c r="N235" t="n">
        <v>0</v>
      </c>
      <c r="O235" t="n">
        <v>1</v>
      </c>
      <c r="P235" t="n">
        <v>1</v>
      </c>
      <c r="Q235" t="n">
        <v>1</v>
      </c>
      <c r="R235" s="2" t="inlineStr">
        <is>
          <t>Knärot</t>
        </is>
      </c>
      <c r="S235">
        <f>HYPERLINK("https://klasma.github.io/Logging_2260/artfynd/A 71366-2021 artfynd.xlsx", "A 71366-2021")</f>
        <v/>
      </c>
      <c r="T235">
        <f>HYPERLINK("https://klasma.github.io/Logging_2260/kartor/A 71366-2021 karta.png", "A 71366-2021")</f>
        <v/>
      </c>
      <c r="U235">
        <f>HYPERLINK("https://klasma.github.io/Logging_2260/knärot/A 71366-2021 karta knärot.png", "A 71366-2021")</f>
        <v/>
      </c>
      <c r="V235">
        <f>HYPERLINK("https://klasma.github.io/Logging_2260/klagomål/A 71366-2021 FSC-klagomål.docx", "A 71366-2021")</f>
        <v/>
      </c>
      <c r="W235">
        <f>HYPERLINK("https://klasma.github.io/Logging_2260/klagomålsmail/A 71366-2021 FSC-klagomål mail.docx", "A 71366-2021")</f>
        <v/>
      </c>
      <c r="X235">
        <f>HYPERLINK("https://klasma.github.io/Logging_2260/tillsyn/A 71366-2021 tillsynsbegäran.docx", "A 71366-2021")</f>
        <v/>
      </c>
      <c r="Y235">
        <f>HYPERLINK("https://klasma.github.io/Logging_2260/tillsynsmail/A 71366-2021 tillsynsbegäran mail.docx", "A 71366-2021")</f>
        <v/>
      </c>
    </row>
    <row r="236" ht="15" customHeight="1">
      <c r="A236" t="inlineStr">
        <is>
          <t>A 14834-2022</t>
        </is>
      </c>
      <c r="B236" s="1" t="n">
        <v>44656</v>
      </c>
      <c r="C236" s="1" t="n">
        <v>45657</v>
      </c>
      <c r="D236" t="inlineStr">
        <is>
          <t>VÄSTERNORRLANDS LÄN</t>
        </is>
      </c>
      <c r="E236" t="inlineStr">
        <is>
          <t>ÅNGE</t>
        </is>
      </c>
      <c r="G236" t="n">
        <v>3.3</v>
      </c>
      <c r="H236" t="n">
        <v>1</v>
      </c>
      <c r="I236" t="n">
        <v>0</v>
      </c>
      <c r="J236" t="n">
        <v>0</v>
      </c>
      <c r="K236" t="n">
        <v>0</v>
      </c>
      <c r="L236" t="n">
        <v>0</v>
      </c>
      <c r="M236" t="n">
        <v>0</v>
      </c>
      <c r="N236" t="n">
        <v>0</v>
      </c>
      <c r="O236" t="n">
        <v>0</v>
      </c>
      <c r="P236" t="n">
        <v>0</v>
      </c>
      <c r="Q236" t="n">
        <v>1</v>
      </c>
      <c r="R236" s="2" t="inlineStr">
        <is>
          <t>Orre</t>
        </is>
      </c>
      <c r="S236">
        <f>HYPERLINK("https://klasma.github.io/Logging_2260/artfynd/A 14834-2022 artfynd.xlsx", "A 14834-2022")</f>
        <v/>
      </c>
      <c r="T236">
        <f>HYPERLINK("https://klasma.github.io/Logging_2260/kartor/A 14834-2022 karta.png", "A 14834-2022")</f>
        <v/>
      </c>
      <c r="V236">
        <f>HYPERLINK("https://klasma.github.io/Logging_2260/klagomål/A 14834-2022 FSC-klagomål.docx", "A 14834-2022")</f>
        <v/>
      </c>
      <c r="W236">
        <f>HYPERLINK("https://klasma.github.io/Logging_2260/klagomålsmail/A 14834-2022 FSC-klagomål mail.docx", "A 14834-2022")</f>
        <v/>
      </c>
      <c r="X236">
        <f>HYPERLINK("https://klasma.github.io/Logging_2260/tillsyn/A 14834-2022 tillsynsbegäran.docx", "A 14834-2022")</f>
        <v/>
      </c>
      <c r="Y236">
        <f>HYPERLINK("https://klasma.github.io/Logging_2260/tillsynsmail/A 14834-2022 tillsynsbegäran mail.docx", "A 14834-2022")</f>
        <v/>
      </c>
      <c r="Z236">
        <f>HYPERLINK("https://klasma.github.io/Logging_2260/fåglar/A 14834-2022 prioriterade fågelarter.docx", "A 14834-2022")</f>
        <v/>
      </c>
    </row>
    <row r="237" ht="15" customHeight="1">
      <c r="A237" t="inlineStr">
        <is>
          <t>A 16053-2022</t>
        </is>
      </c>
      <c r="B237" s="1" t="n">
        <v>44665</v>
      </c>
      <c r="C237" s="1" t="n">
        <v>45657</v>
      </c>
      <c r="D237" t="inlineStr">
        <is>
          <t>VÄSTERNORRLANDS LÄN</t>
        </is>
      </c>
      <c r="E237" t="inlineStr">
        <is>
          <t>ÅNGE</t>
        </is>
      </c>
      <c r="G237" t="n">
        <v>3.8</v>
      </c>
      <c r="H237" t="n">
        <v>1</v>
      </c>
      <c r="I237" t="n">
        <v>0</v>
      </c>
      <c r="J237" t="n">
        <v>1</v>
      </c>
      <c r="K237" t="n">
        <v>0</v>
      </c>
      <c r="L237" t="n">
        <v>0</v>
      </c>
      <c r="M237" t="n">
        <v>0</v>
      </c>
      <c r="N237" t="n">
        <v>0</v>
      </c>
      <c r="O237" t="n">
        <v>1</v>
      </c>
      <c r="P237" t="n">
        <v>0</v>
      </c>
      <c r="Q237" t="n">
        <v>1</v>
      </c>
      <c r="R237" s="2" t="inlineStr">
        <is>
          <t>Järpe</t>
        </is>
      </c>
      <c r="S237">
        <f>HYPERLINK("https://klasma.github.io/Logging_2260/artfynd/A 16053-2022 artfynd.xlsx", "A 16053-2022")</f>
        <v/>
      </c>
      <c r="T237">
        <f>HYPERLINK("https://klasma.github.io/Logging_2260/kartor/A 16053-2022 karta.png", "A 16053-2022")</f>
        <v/>
      </c>
      <c r="V237">
        <f>HYPERLINK("https://klasma.github.io/Logging_2260/klagomål/A 16053-2022 FSC-klagomål.docx", "A 16053-2022")</f>
        <v/>
      </c>
      <c r="W237">
        <f>HYPERLINK("https://klasma.github.io/Logging_2260/klagomålsmail/A 16053-2022 FSC-klagomål mail.docx", "A 16053-2022")</f>
        <v/>
      </c>
      <c r="X237">
        <f>HYPERLINK("https://klasma.github.io/Logging_2260/tillsyn/A 16053-2022 tillsynsbegäran.docx", "A 16053-2022")</f>
        <v/>
      </c>
      <c r="Y237">
        <f>HYPERLINK("https://klasma.github.io/Logging_2260/tillsynsmail/A 16053-2022 tillsynsbegäran mail.docx", "A 16053-2022")</f>
        <v/>
      </c>
      <c r="Z237">
        <f>HYPERLINK("https://klasma.github.io/Logging_2260/fåglar/A 16053-2022 prioriterade fågelarter.docx", "A 16053-2022")</f>
        <v/>
      </c>
    </row>
    <row r="238" ht="15" customHeight="1">
      <c r="A238" t="inlineStr">
        <is>
          <t>A 20367-2022</t>
        </is>
      </c>
      <c r="B238" s="1" t="n">
        <v>44699</v>
      </c>
      <c r="C238" s="1" t="n">
        <v>45657</v>
      </c>
      <c r="D238" t="inlineStr">
        <is>
          <t>VÄSTERNORRLANDS LÄN</t>
        </is>
      </c>
      <c r="E238" t="inlineStr">
        <is>
          <t>ÅNGE</t>
        </is>
      </c>
      <c r="G238" t="n">
        <v>9.6</v>
      </c>
      <c r="H238" t="n">
        <v>1</v>
      </c>
      <c r="I238" t="n">
        <v>0</v>
      </c>
      <c r="J238" t="n">
        <v>0</v>
      </c>
      <c r="K238" t="n">
        <v>0</v>
      </c>
      <c r="L238" t="n">
        <v>0</v>
      </c>
      <c r="M238" t="n">
        <v>0</v>
      </c>
      <c r="N238" t="n">
        <v>0</v>
      </c>
      <c r="O238" t="n">
        <v>0</v>
      </c>
      <c r="P238" t="n">
        <v>0</v>
      </c>
      <c r="Q238" t="n">
        <v>1</v>
      </c>
      <c r="R238" s="2" t="inlineStr">
        <is>
          <t>Fläcknycklar</t>
        </is>
      </c>
      <c r="S238">
        <f>HYPERLINK("https://klasma.github.io/Logging_2260/artfynd/A 20367-2022 artfynd.xlsx", "A 20367-2022")</f>
        <v/>
      </c>
      <c r="T238">
        <f>HYPERLINK("https://klasma.github.io/Logging_2260/kartor/A 20367-2022 karta.png", "A 20367-2022")</f>
        <v/>
      </c>
      <c r="V238">
        <f>HYPERLINK("https://klasma.github.io/Logging_2260/klagomål/A 20367-2022 FSC-klagomål.docx", "A 20367-2022")</f>
        <v/>
      </c>
      <c r="W238">
        <f>HYPERLINK("https://klasma.github.io/Logging_2260/klagomålsmail/A 20367-2022 FSC-klagomål mail.docx", "A 20367-2022")</f>
        <v/>
      </c>
      <c r="X238">
        <f>HYPERLINK("https://klasma.github.io/Logging_2260/tillsyn/A 20367-2022 tillsynsbegäran.docx", "A 20367-2022")</f>
        <v/>
      </c>
      <c r="Y238">
        <f>HYPERLINK("https://klasma.github.io/Logging_2260/tillsynsmail/A 20367-2022 tillsynsbegäran mail.docx", "A 20367-2022")</f>
        <v/>
      </c>
    </row>
    <row r="239" ht="15" customHeight="1">
      <c r="A239" t="inlineStr">
        <is>
          <t>A 39933-2022</t>
        </is>
      </c>
      <c r="B239" s="1" t="n">
        <v>44819</v>
      </c>
      <c r="C239" s="1" t="n">
        <v>45657</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47784-2022</t>
        </is>
      </c>
      <c r="B240" s="1" t="n">
        <v>44854</v>
      </c>
      <c r="C240" s="1" t="n">
        <v>45657</v>
      </c>
      <c r="D240" t="inlineStr">
        <is>
          <t>VÄSTERNORRLANDS LÄN</t>
        </is>
      </c>
      <c r="E240" t="inlineStr">
        <is>
          <t>ÅNGE</t>
        </is>
      </c>
      <c r="F240" t="inlineStr">
        <is>
          <t>SCA</t>
        </is>
      </c>
      <c r="G240" t="n">
        <v>14.8</v>
      </c>
      <c r="H240" t="n">
        <v>0</v>
      </c>
      <c r="I240" t="n">
        <v>0</v>
      </c>
      <c r="J240" t="n">
        <v>1</v>
      </c>
      <c r="K240" t="n">
        <v>0</v>
      </c>
      <c r="L240" t="n">
        <v>0</v>
      </c>
      <c r="M240" t="n">
        <v>0</v>
      </c>
      <c r="N240" t="n">
        <v>0</v>
      </c>
      <c r="O240" t="n">
        <v>1</v>
      </c>
      <c r="P240" t="n">
        <v>0</v>
      </c>
      <c r="Q240" t="n">
        <v>1</v>
      </c>
      <c r="R240" s="2" t="inlineStr">
        <is>
          <t>Reliktbock</t>
        </is>
      </c>
      <c r="S240">
        <f>HYPERLINK("https://klasma.github.io/Logging_2260/artfynd/A 47784-2022 artfynd.xlsx", "A 47784-2022")</f>
        <v/>
      </c>
      <c r="T240">
        <f>HYPERLINK("https://klasma.github.io/Logging_2260/kartor/A 47784-2022 karta.png", "A 47784-2022")</f>
        <v/>
      </c>
      <c r="V240">
        <f>HYPERLINK("https://klasma.github.io/Logging_2260/klagomål/A 47784-2022 FSC-klagomål.docx", "A 47784-2022")</f>
        <v/>
      </c>
      <c r="W240">
        <f>HYPERLINK("https://klasma.github.io/Logging_2260/klagomålsmail/A 47784-2022 FSC-klagomål mail.docx", "A 47784-2022")</f>
        <v/>
      </c>
      <c r="X240">
        <f>HYPERLINK("https://klasma.github.io/Logging_2260/tillsyn/A 47784-2022 tillsynsbegäran.docx", "A 47784-2022")</f>
        <v/>
      </c>
      <c r="Y240">
        <f>HYPERLINK("https://klasma.github.io/Logging_2260/tillsynsmail/A 47784-2022 tillsynsbegäran mail.docx", "A 47784-2022")</f>
        <v/>
      </c>
    </row>
    <row r="241" ht="15" customHeight="1">
      <c r="A241" t="inlineStr">
        <is>
          <t>A 7485-2023</t>
        </is>
      </c>
      <c r="B241" s="1" t="n">
        <v>44964</v>
      </c>
      <c r="C241" s="1" t="n">
        <v>45657</v>
      </c>
      <c r="D241" t="inlineStr">
        <is>
          <t>VÄSTERNORRLANDS LÄN</t>
        </is>
      </c>
      <c r="E241" t="inlineStr">
        <is>
          <t>ÅNGE</t>
        </is>
      </c>
      <c r="G241" t="n">
        <v>2.9</v>
      </c>
      <c r="H241" t="n">
        <v>0</v>
      </c>
      <c r="I241" t="n">
        <v>0</v>
      </c>
      <c r="J241" t="n">
        <v>1</v>
      </c>
      <c r="K241" t="n">
        <v>0</v>
      </c>
      <c r="L241" t="n">
        <v>0</v>
      </c>
      <c r="M241" t="n">
        <v>0</v>
      </c>
      <c r="N241" t="n">
        <v>0</v>
      </c>
      <c r="O241" t="n">
        <v>1</v>
      </c>
      <c r="P241" t="n">
        <v>0</v>
      </c>
      <c r="Q241" t="n">
        <v>1</v>
      </c>
      <c r="R241" s="2" t="inlineStr">
        <is>
          <t>Rosenticka</t>
        </is>
      </c>
      <c r="S241">
        <f>HYPERLINK("https://klasma.github.io/Logging_2260/artfynd/A 7485-2023 artfynd.xlsx", "A 7485-2023")</f>
        <v/>
      </c>
      <c r="T241">
        <f>HYPERLINK("https://klasma.github.io/Logging_2260/kartor/A 7485-2023 karta.png", "A 7485-2023")</f>
        <v/>
      </c>
      <c r="V241">
        <f>HYPERLINK("https://klasma.github.io/Logging_2260/klagomål/A 7485-2023 FSC-klagomål.docx", "A 7485-2023")</f>
        <v/>
      </c>
      <c r="W241">
        <f>HYPERLINK("https://klasma.github.io/Logging_2260/klagomålsmail/A 7485-2023 FSC-klagomål mail.docx", "A 7485-2023")</f>
        <v/>
      </c>
      <c r="X241">
        <f>HYPERLINK("https://klasma.github.io/Logging_2260/tillsyn/A 7485-2023 tillsynsbegäran.docx", "A 7485-2023")</f>
        <v/>
      </c>
      <c r="Y241">
        <f>HYPERLINK("https://klasma.github.io/Logging_2260/tillsynsmail/A 7485-2023 tillsynsbegäran mail.docx", "A 7485-2023")</f>
        <v/>
      </c>
    </row>
    <row r="242" ht="15" customHeight="1">
      <c r="A242" t="inlineStr">
        <is>
          <t>A 22998-2023</t>
        </is>
      </c>
      <c r="B242" s="1" t="n">
        <v>45072</v>
      </c>
      <c r="C242" s="1" t="n">
        <v>45657</v>
      </c>
      <c r="D242" t="inlineStr">
        <is>
          <t>VÄSTERNORRLANDS LÄN</t>
        </is>
      </c>
      <c r="E242" t="inlineStr">
        <is>
          <t>ÅNGE</t>
        </is>
      </c>
      <c r="F242" t="inlineStr">
        <is>
          <t>SCA</t>
        </is>
      </c>
      <c r="G242" t="n">
        <v>3.8</v>
      </c>
      <c r="H242" t="n">
        <v>0</v>
      </c>
      <c r="I242" t="n">
        <v>0</v>
      </c>
      <c r="J242" t="n">
        <v>1</v>
      </c>
      <c r="K242" t="n">
        <v>0</v>
      </c>
      <c r="L242" t="n">
        <v>0</v>
      </c>
      <c r="M242" t="n">
        <v>0</v>
      </c>
      <c r="N242" t="n">
        <v>0</v>
      </c>
      <c r="O242" t="n">
        <v>1</v>
      </c>
      <c r="P242" t="n">
        <v>0</v>
      </c>
      <c r="Q242" t="n">
        <v>1</v>
      </c>
      <c r="R242" s="2" t="inlineStr">
        <is>
          <t>Blågrå svartspik</t>
        </is>
      </c>
      <c r="S242">
        <f>HYPERLINK("https://klasma.github.io/Logging_2260/artfynd/A 22998-2023 artfynd.xlsx", "A 22998-2023")</f>
        <v/>
      </c>
      <c r="T242">
        <f>HYPERLINK("https://klasma.github.io/Logging_2260/kartor/A 22998-2023 karta.png", "A 22998-2023")</f>
        <v/>
      </c>
      <c r="V242">
        <f>HYPERLINK("https://klasma.github.io/Logging_2260/klagomål/A 22998-2023 FSC-klagomål.docx", "A 22998-2023")</f>
        <v/>
      </c>
      <c r="W242">
        <f>HYPERLINK("https://klasma.github.io/Logging_2260/klagomålsmail/A 22998-2023 FSC-klagomål mail.docx", "A 22998-2023")</f>
        <v/>
      </c>
      <c r="X242">
        <f>HYPERLINK("https://klasma.github.io/Logging_2260/tillsyn/A 22998-2023 tillsynsbegäran.docx", "A 22998-2023")</f>
        <v/>
      </c>
      <c r="Y242">
        <f>HYPERLINK("https://klasma.github.io/Logging_2260/tillsynsmail/A 22998-2023 tillsynsbegäran mail.docx", "A 22998-2023")</f>
        <v/>
      </c>
    </row>
    <row r="243" ht="15" customHeight="1">
      <c r="A243" t="inlineStr">
        <is>
          <t>A 25322-2023</t>
        </is>
      </c>
      <c r="B243" s="1" t="n">
        <v>45086</v>
      </c>
      <c r="C243" s="1" t="n">
        <v>45657</v>
      </c>
      <c r="D243" t="inlineStr">
        <is>
          <t>VÄSTERNORRLANDS LÄN</t>
        </is>
      </c>
      <c r="E243" t="inlineStr">
        <is>
          <t>ÅNGE</t>
        </is>
      </c>
      <c r="F243" t="inlineStr">
        <is>
          <t>SCA</t>
        </is>
      </c>
      <c r="G243" t="n">
        <v>6.9</v>
      </c>
      <c r="H243" t="n">
        <v>0</v>
      </c>
      <c r="I243" t="n">
        <v>0</v>
      </c>
      <c r="J243" t="n">
        <v>1</v>
      </c>
      <c r="K243" t="n">
        <v>0</v>
      </c>
      <c r="L243" t="n">
        <v>0</v>
      </c>
      <c r="M243" t="n">
        <v>0</v>
      </c>
      <c r="N243" t="n">
        <v>0</v>
      </c>
      <c r="O243" t="n">
        <v>1</v>
      </c>
      <c r="P243" t="n">
        <v>0</v>
      </c>
      <c r="Q243" t="n">
        <v>1</v>
      </c>
      <c r="R243" s="2" t="inlineStr">
        <is>
          <t>Lunglav</t>
        </is>
      </c>
      <c r="S243">
        <f>HYPERLINK("https://klasma.github.io/Logging_2260/artfynd/A 25322-2023 artfynd.xlsx", "A 25322-2023")</f>
        <v/>
      </c>
      <c r="T243">
        <f>HYPERLINK("https://klasma.github.io/Logging_2260/kartor/A 25322-2023 karta.png", "A 25322-2023")</f>
        <v/>
      </c>
      <c r="V243">
        <f>HYPERLINK("https://klasma.github.io/Logging_2260/klagomål/A 25322-2023 FSC-klagomål.docx", "A 25322-2023")</f>
        <v/>
      </c>
      <c r="W243">
        <f>HYPERLINK("https://klasma.github.io/Logging_2260/klagomålsmail/A 25322-2023 FSC-klagomål mail.docx", "A 25322-2023")</f>
        <v/>
      </c>
      <c r="X243">
        <f>HYPERLINK("https://klasma.github.io/Logging_2260/tillsyn/A 25322-2023 tillsynsbegäran.docx", "A 25322-2023")</f>
        <v/>
      </c>
      <c r="Y243">
        <f>HYPERLINK("https://klasma.github.io/Logging_2260/tillsynsmail/A 25322-2023 tillsynsbegäran mail.docx", "A 25322-2023")</f>
        <v/>
      </c>
    </row>
    <row r="244" ht="15" customHeight="1">
      <c r="A244" t="inlineStr">
        <is>
          <t>A 26514-2023</t>
        </is>
      </c>
      <c r="B244" s="1" t="n">
        <v>45092</v>
      </c>
      <c r="C244" s="1" t="n">
        <v>45657</v>
      </c>
      <c r="D244" t="inlineStr">
        <is>
          <t>VÄSTERNORRLANDS LÄN</t>
        </is>
      </c>
      <c r="E244" t="inlineStr">
        <is>
          <t>ÅNGE</t>
        </is>
      </c>
      <c r="F244" t="inlineStr">
        <is>
          <t>Sveaskog</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HYPERLINK("https://klasma.github.io/Logging_2260/artfynd/A 26514-2023 artfynd.xlsx", "A 26514-2023")</f>
        <v/>
      </c>
      <c r="T244">
        <f>HYPERLINK("https://klasma.github.io/Logging_2260/kartor/A 26514-2023 karta.png", "A 26514-2023")</f>
        <v/>
      </c>
      <c r="V244">
        <f>HYPERLINK("https://klasma.github.io/Logging_2260/klagomål/A 26514-2023 FSC-klagomål.docx", "A 26514-2023")</f>
        <v/>
      </c>
      <c r="W244">
        <f>HYPERLINK("https://klasma.github.io/Logging_2260/klagomålsmail/A 26514-2023 FSC-klagomål mail.docx", "A 26514-2023")</f>
        <v/>
      </c>
      <c r="X244">
        <f>HYPERLINK("https://klasma.github.io/Logging_2260/tillsyn/A 26514-2023 tillsynsbegäran.docx", "A 26514-2023")</f>
        <v/>
      </c>
      <c r="Y244">
        <f>HYPERLINK("https://klasma.github.io/Logging_2260/tillsynsmail/A 26514-2023 tillsynsbegäran mail.docx", "A 26514-2023")</f>
        <v/>
      </c>
    </row>
    <row r="245" ht="15" customHeight="1">
      <c r="A245" t="inlineStr">
        <is>
          <t>A 29327-2023</t>
        </is>
      </c>
      <c r="B245" s="1" t="n">
        <v>45106</v>
      </c>
      <c r="C245" s="1" t="n">
        <v>45657</v>
      </c>
      <c r="D245" t="inlineStr">
        <is>
          <t>VÄSTERNORRLANDS LÄN</t>
        </is>
      </c>
      <c r="E245" t="inlineStr">
        <is>
          <t>ÅNGE</t>
        </is>
      </c>
      <c r="G245" t="n">
        <v>7.8</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29327-2023 artfynd.xlsx", "A 29327-2023")</f>
        <v/>
      </c>
      <c r="T245">
        <f>HYPERLINK("https://klasma.github.io/Logging_2260/kartor/A 29327-2023 karta.png", "A 29327-2023")</f>
        <v/>
      </c>
      <c r="V245">
        <f>HYPERLINK("https://klasma.github.io/Logging_2260/klagomål/A 29327-2023 FSC-klagomål.docx", "A 29327-2023")</f>
        <v/>
      </c>
      <c r="W245">
        <f>HYPERLINK("https://klasma.github.io/Logging_2260/klagomålsmail/A 29327-2023 FSC-klagomål mail.docx", "A 29327-2023")</f>
        <v/>
      </c>
      <c r="X245">
        <f>HYPERLINK("https://klasma.github.io/Logging_2260/tillsyn/A 29327-2023 tillsynsbegäran.docx", "A 29327-2023")</f>
        <v/>
      </c>
      <c r="Y245">
        <f>HYPERLINK("https://klasma.github.io/Logging_2260/tillsynsmail/A 29327-2023 tillsynsbegäran mail.docx", "A 29327-2023")</f>
        <v/>
      </c>
    </row>
    <row r="246" ht="15" customHeight="1">
      <c r="A246" t="inlineStr">
        <is>
          <t>A 30838-2023</t>
        </is>
      </c>
      <c r="B246" s="1" t="n">
        <v>45112</v>
      </c>
      <c r="C246" s="1" t="n">
        <v>45657</v>
      </c>
      <c r="D246" t="inlineStr">
        <is>
          <t>VÄSTERNORRLANDS LÄN</t>
        </is>
      </c>
      <c r="E246" t="inlineStr">
        <is>
          <t>ÅNGE</t>
        </is>
      </c>
      <c r="F246" t="inlineStr">
        <is>
          <t>SCA</t>
        </is>
      </c>
      <c r="G246" t="n">
        <v>5.6</v>
      </c>
      <c r="H246" t="n">
        <v>0</v>
      </c>
      <c r="I246" t="n">
        <v>0</v>
      </c>
      <c r="J246" t="n">
        <v>1</v>
      </c>
      <c r="K246" t="n">
        <v>0</v>
      </c>
      <c r="L246" t="n">
        <v>0</v>
      </c>
      <c r="M246" t="n">
        <v>0</v>
      </c>
      <c r="N246" t="n">
        <v>0</v>
      </c>
      <c r="O246" t="n">
        <v>1</v>
      </c>
      <c r="P246" t="n">
        <v>0</v>
      </c>
      <c r="Q246" t="n">
        <v>1</v>
      </c>
      <c r="R246" s="2" t="inlineStr">
        <is>
          <t>Kortskaftad ärgspik</t>
        </is>
      </c>
      <c r="S246">
        <f>HYPERLINK("https://klasma.github.io/Logging_2260/artfynd/A 30838-2023 artfynd.xlsx", "A 30838-2023")</f>
        <v/>
      </c>
      <c r="T246">
        <f>HYPERLINK("https://klasma.github.io/Logging_2260/kartor/A 30838-2023 karta.png", "A 30838-2023")</f>
        <v/>
      </c>
      <c r="U246">
        <f>HYPERLINK("https://klasma.github.io/Logging_2260/knärot/A 30838-2023 karta knärot.png", "A 30838-2023")</f>
        <v/>
      </c>
      <c r="V246">
        <f>HYPERLINK("https://klasma.github.io/Logging_2260/klagomål/A 30838-2023 FSC-klagomål.docx", "A 30838-2023")</f>
        <v/>
      </c>
      <c r="W246">
        <f>HYPERLINK("https://klasma.github.io/Logging_2260/klagomålsmail/A 30838-2023 FSC-klagomål mail.docx", "A 30838-2023")</f>
        <v/>
      </c>
      <c r="X246">
        <f>HYPERLINK("https://klasma.github.io/Logging_2260/tillsyn/A 30838-2023 tillsynsbegäran.docx", "A 30838-2023")</f>
        <v/>
      </c>
      <c r="Y246">
        <f>HYPERLINK("https://klasma.github.io/Logging_2260/tillsynsmail/A 30838-2023 tillsynsbegäran mail.docx", "A 30838-2023")</f>
        <v/>
      </c>
    </row>
    <row r="247" ht="15" customHeight="1">
      <c r="A247" t="inlineStr">
        <is>
          <t>A 34489-2023</t>
        </is>
      </c>
      <c r="B247" s="1" t="n">
        <v>45139</v>
      </c>
      <c r="C247" s="1" t="n">
        <v>45657</v>
      </c>
      <c r="D247" t="inlineStr">
        <is>
          <t>VÄSTERNORRLANDS LÄN</t>
        </is>
      </c>
      <c r="E247" t="inlineStr">
        <is>
          <t>ÅNGE</t>
        </is>
      </c>
      <c r="F247" t="inlineStr">
        <is>
          <t>SCA</t>
        </is>
      </c>
      <c r="G247" t="n">
        <v>11.1</v>
      </c>
      <c r="H247" t="n">
        <v>1</v>
      </c>
      <c r="I247" t="n">
        <v>0</v>
      </c>
      <c r="J247" t="n">
        <v>0</v>
      </c>
      <c r="K247" t="n">
        <v>1</v>
      </c>
      <c r="L247" t="n">
        <v>0</v>
      </c>
      <c r="M247" t="n">
        <v>0</v>
      </c>
      <c r="N247" t="n">
        <v>0</v>
      </c>
      <c r="O247" t="n">
        <v>1</v>
      </c>
      <c r="P247" t="n">
        <v>1</v>
      </c>
      <c r="Q247" t="n">
        <v>1</v>
      </c>
      <c r="R247" s="2" t="inlineStr">
        <is>
          <t>Knärot</t>
        </is>
      </c>
      <c r="S247">
        <f>HYPERLINK("https://klasma.github.io/Logging_2260/artfynd/A 34489-2023 artfynd.xlsx", "A 34489-2023")</f>
        <v/>
      </c>
      <c r="T247">
        <f>HYPERLINK("https://klasma.github.io/Logging_2260/kartor/A 34489-2023 karta.png", "A 34489-2023")</f>
        <v/>
      </c>
      <c r="U247">
        <f>HYPERLINK("https://klasma.github.io/Logging_2260/knärot/A 34489-2023 karta knärot.png", "A 34489-2023")</f>
        <v/>
      </c>
      <c r="V247">
        <f>HYPERLINK("https://klasma.github.io/Logging_2260/klagomål/A 34489-2023 FSC-klagomål.docx", "A 34489-2023")</f>
        <v/>
      </c>
      <c r="W247">
        <f>HYPERLINK("https://klasma.github.io/Logging_2260/klagomålsmail/A 34489-2023 FSC-klagomål mail.docx", "A 34489-2023")</f>
        <v/>
      </c>
      <c r="X247">
        <f>HYPERLINK("https://klasma.github.io/Logging_2260/tillsyn/A 34489-2023 tillsynsbegäran.docx", "A 34489-2023")</f>
        <v/>
      </c>
      <c r="Y247">
        <f>HYPERLINK("https://klasma.github.io/Logging_2260/tillsynsmail/A 34489-2023 tillsynsbegäran mail.docx", "A 34489-2023")</f>
        <v/>
      </c>
    </row>
    <row r="248" ht="15" customHeight="1">
      <c r="A248" t="inlineStr">
        <is>
          <t>A 35973-2023</t>
        </is>
      </c>
      <c r="B248" s="1" t="n">
        <v>45148</v>
      </c>
      <c r="C248" s="1" t="n">
        <v>45657</v>
      </c>
      <c r="D248" t="inlineStr">
        <is>
          <t>VÄSTERNORRLANDS LÄN</t>
        </is>
      </c>
      <c r="E248" t="inlineStr">
        <is>
          <t>ÅNGE</t>
        </is>
      </c>
      <c r="F248" t="inlineStr">
        <is>
          <t>SCA</t>
        </is>
      </c>
      <c r="G248" t="n">
        <v>1.3</v>
      </c>
      <c r="H248" t="n">
        <v>1</v>
      </c>
      <c r="I248" t="n">
        <v>1</v>
      </c>
      <c r="J248" t="n">
        <v>0</v>
      </c>
      <c r="K248" t="n">
        <v>0</v>
      </c>
      <c r="L248" t="n">
        <v>0</v>
      </c>
      <c r="M248" t="n">
        <v>0</v>
      </c>
      <c r="N248" t="n">
        <v>0</v>
      </c>
      <c r="O248" t="n">
        <v>0</v>
      </c>
      <c r="P248" t="n">
        <v>0</v>
      </c>
      <c r="Q248" t="n">
        <v>1</v>
      </c>
      <c r="R248" s="2" t="inlineStr">
        <is>
          <t>Korallrot</t>
        </is>
      </c>
      <c r="S248">
        <f>HYPERLINK("https://klasma.github.io/Logging_2260/artfynd/A 35973-2023 artfynd.xlsx", "A 35973-2023")</f>
        <v/>
      </c>
      <c r="T248">
        <f>HYPERLINK("https://klasma.github.io/Logging_2260/kartor/A 35973-2023 karta.png", "A 35973-2023")</f>
        <v/>
      </c>
      <c r="V248">
        <f>HYPERLINK("https://klasma.github.io/Logging_2260/klagomål/A 35973-2023 FSC-klagomål.docx", "A 35973-2023")</f>
        <v/>
      </c>
      <c r="W248">
        <f>HYPERLINK("https://klasma.github.io/Logging_2260/klagomålsmail/A 35973-2023 FSC-klagomål mail.docx", "A 35973-2023")</f>
        <v/>
      </c>
      <c r="X248">
        <f>HYPERLINK("https://klasma.github.io/Logging_2260/tillsyn/A 35973-2023 tillsynsbegäran.docx", "A 35973-2023")</f>
        <v/>
      </c>
      <c r="Y248">
        <f>HYPERLINK("https://klasma.github.io/Logging_2260/tillsynsmail/A 35973-2023 tillsynsbegäran mail.docx", "A 35973-2023")</f>
        <v/>
      </c>
    </row>
    <row r="249" ht="15" customHeight="1">
      <c r="A249" t="inlineStr">
        <is>
          <t>A 36230-2023</t>
        </is>
      </c>
      <c r="B249" s="1" t="n">
        <v>45150</v>
      </c>
      <c r="C249" s="1" t="n">
        <v>45657</v>
      </c>
      <c r="D249" t="inlineStr">
        <is>
          <t>VÄSTERNORRLANDS LÄN</t>
        </is>
      </c>
      <c r="E249" t="inlineStr">
        <is>
          <t>ÅNGE</t>
        </is>
      </c>
      <c r="F249" t="inlineStr">
        <is>
          <t>SCA</t>
        </is>
      </c>
      <c r="G249" t="n">
        <v>6.3</v>
      </c>
      <c r="H249" t="n">
        <v>1</v>
      </c>
      <c r="I249" t="n">
        <v>0</v>
      </c>
      <c r="J249" t="n">
        <v>0</v>
      </c>
      <c r="K249" t="n">
        <v>1</v>
      </c>
      <c r="L249" t="n">
        <v>0</v>
      </c>
      <c r="M249" t="n">
        <v>0</v>
      </c>
      <c r="N249" t="n">
        <v>0</v>
      </c>
      <c r="O249" t="n">
        <v>1</v>
      </c>
      <c r="P249" t="n">
        <v>1</v>
      </c>
      <c r="Q249" t="n">
        <v>1</v>
      </c>
      <c r="R249" s="2" t="inlineStr">
        <is>
          <t>Lappuggla</t>
        </is>
      </c>
      <c r="S249">
        <f>HYPERLINK("https://klasma.github.io/Logging_2260/artfynd/A 36230-2023 artfynd.xlsx", "A 36230-2023")</f>
        <v/>
      </c>
      <c r="T249">
        <f>HYPERLINK("https://klasma.github.io/Logging_2260/kartor/A 36230-2023 karta.png", "A 36230-2023")</f>
        <v/>
      </c>
      <c r="V249">
        <f>HYPERLINK("https://klasma.github.io/Logging_2260/klagomål/A 36230-2023 FSC-klagomål.docx", "A 36230-2023")</f>
        <v/>
      </c>
      <c r="W249">
        <f>HYPERLINK("https://klasma.github.io/Logging_2260/klagomålsmail/A 36230-2023 FSC-klagomål mail.docx", "A 36230-2023")</f>
        <v/>
      </c>
      <c r="X249">
        <f>HYPERLINK("https://klasma.github.io/Logging_2260/tillsyn/A 36230-2023 tillsynsbegäran.docx", "A 36230-2023")</f>
        <v/>
      </c>
      <c r="Y249">
        <f>HYPERLINK("https://klasma.github.io/Logging_2260/tillsynsmail/A 36230-2023 tillsynsbegäran mail.docx", "A 36230-2023")</f>
        <v/>
      </c>
      <c r="Z249">
        <f>HYPERLINK("https://klasma.github.io/Logging_2260/fåglar/A 36230-2023 prioriterade fågelarter.docx", "A 36230-2023")</f>
        <v/>
      </c>
    </row>
    <row r="250" ht="15" customHeight="1">
      <c r="A250" t="inlineStr">
        <is>
          <t>A 37502-2023</t>
        </is>
      </c>
      <c r="B250" s="1" t="n">
        <v>45157</v>
      </c>
      <c r="C250" s="1" t="n">
        <v>45657</v>
      </c>
      <c r="D250" t="inlineStr">
        <is>
          <t>VÄSTERNORRLANDS LÄN</t>
        </is>
      </c>
      <c r="E250" t="inlineStr">
        <is>
          <t>ÅNGE</t>
        </is>
      </c>
      <c r="F250" t="inlineStr">
        <is>
          <t>Sveaskog</t>
        </is>
      </c>
      <c r="G250" t="n">
        <v>0.7</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37502-2023 artfynd.xlsx", "A 37502-2023")</f>
        <v/>
      </c>
      <c r="T250">
        <f>HYPERLINK("https://klasma.github.io/Logging_2260/kartor/A 37502-2023 karta.png", "A 37502-2023")</f>
        <v/>
      </c>
      <c r="V250">
        <f>HYPERLINK("https://klasma.github.io/Logging_2260/klagomål/A 37502-2023 FSC-klagomål.docx", "A 37502-2023")</f>
        <v/>
      </c>
      <c r="W250">
        <f>HYPERLINK("https://klasma.github.io/Logging_2260/klagomålsmail/A 37502-2023 FSC-klagomål mail.docx", "A 37502-2023")</f>
        <v/>
      </c>
      <c r="X250">
        <f>HYPERLINK("https://klasma.github.io/Logging_2260/tillsyn/A 37502-2023 tillsynsbegäran.docx", "A 37502-2023")</f>
        <v/>
      </c>
      <c r="Y250">
        <f>HYPERLINK("https://klasma.github.io/Logging_2260/tillsynsmail/A 37502-2023 tillsynsbegäran mail.docx", "A 37502-2023")</f>
        <v/>
      </c>
    </row>
    <row r="251" ht="15" customHeight="1">
      <c r="A251" t="inlineStr">
        <is>
          <t>A 39499-2023</t>
        </is>
      </c>
      <c r="B251" s="1" t="n">
        <v>45166</v>
      </c>
      <c r="C251" s="1" t="n">
        <v>45657</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45657</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45657</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45657</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45657</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45657</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45657</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45657</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45657</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45657</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45657</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45657</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45657</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45657</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45657</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45657</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45657</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45657</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45657</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45657</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45657</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45657</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45657</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45657</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45657</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45657</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45657</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45657</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45657</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45657</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45657</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45657</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45657</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45657</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45657</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45657</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45657</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45657</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45657</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45657</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45657</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45657</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45657</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45657</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45657</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45657</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45657</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17854-2019</t>
        </is>
      </c>
      <c r="B298" s="1" t="n">
        <v>43556</v>
      </c>
      <c r="C298" s="1" t="n">
        <v>45657</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17857-2019</t>
        </is>
      </c>
      <c r="B299" s="1" t="n">
        <v>43556</v>
      </c>
      <c r="C299" s="1" t="n">
        <v>45657</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17764-2019</t>
        </is>
      </c>
      <c r="B300" s="1" t="n">
        <v>43556</v>
      </c>
      <c r="C300" s="1" t="n">
        <v>45657</v>
      </c>
      <c r="D300" t="inlineStr">
        <is>
          <t>VÄSTERNORRLANDS LÄN</t>
        </is>
      </c>
      <c r="E300" t="inlineStr">
        <is>
          <t>ÅNGE</t>
        </is>
      </c>
      <c r="F300" t="inlineStr">
        <is>
          <t>Kyrkan</t>
        </is>
      </c>
      <c r="G300" t="n">
        <v>20.7</v>
      </c>
      <c r="H300" t="n">
        <v>0</v>
      </c>
      <c r="I300" t="n">
        <v>0</v>
      </c>
      <c r="J300" t="n">
        <v>0</v>
      </c>
      <c r="K300" t="n">
        <v>0</v>
      </c>
      <c r="L300" t="n">
        <v>0</v>
      </c>
      <c r="M300" t="n">
        <v>0</v>
      </c>
      <c r="N300" t="n">
        <v>0</v>
      </c>
      <c r="O300" t="n">
        <v>0</v>
      </c>
      <c r="P300" t="n">
        <v>0</v>
      </c>
      <c r="Q300" t="n">
        <v>0</v>
      </c>
      <c r="R300" s="2" t="inlineStr"/>
    </row>
    <row r="301" ht="15" customHeight="1">
      <c r="A301" t="inlineStr">
        <is>
          <t>A 18069-2019</t>
        </is>
      </c>
      <c r="B301" s="1" t="n">
        <v>43557</v>
      </c>
      <c r="C301" s="1" t="n">
        <v>45657</v>
      </c>
      <c r="D301" t="inlineStr">
        <is>
          <t>VÄSTERNORRLANDS LÄN</t>
        </is>
      </c>
      <c r="E301" t="inlineStr">
        <is>
          <t>ÅNGE</t>
        </is>
      </c>
      <c r="F301" t="inlineStr">
        <is>
          <t>SCA</t>
        </is>
      </c>
      <c r="G301" t="n">
        <v>21.2</v>
      </c>
      <c r="H301" t="n">
        <v>0</v>
      </c>
      <c r="I301" t="n">
        <v>0</v>
      </c>
      <c r="J301" t="n">
        <v>0</v>
      </c>
      <c r="K301" t="n">
        <v>0</v>
      </c>
      <c r="L301" t="n">
        <v>0</v>
      </c>
      <c r="M301" t="n">
        <v>0</v>
      </c>
      <c r="N301" t="n">
        <v>0</v>
      </c>
      <c r="O301" t="n">
        <v>0</v>
      </c>
      <c r="P301" t="n">
        <v>0</v>
      </c>
      <c r="Q301" t="n">
        <v>0</v>
      </c>
      <c r="R301" s="2" t="inlineStr"/>
    </row>
    <row r="302" ht="15" customHeight="1">
      <c r="A302" t="inlineStr">
        <is>
          <t>A 18304-2019</t>
        </is>
      </c>
      <c r="B302" s="1" t="n">
        <v>43558</v>
      </c>
      <c r="C302" s="1" t="n">
        <v>45657</v>
      </c>
      <c r="D302" t="inlineStr">
        <is>
          <t>VÄSTERNORRLANDS LÄN</t>
        </is>
      </c>
      <c r="E302" t="inlineStr">
        <is>
          <t>ÅNGE</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19008-2019</t>
        </is>
      </c>
      <c r="B303" s="1" t="n">
        <v>43563</v>
      </c>
      <c r="C303" s="1" t="n">
        <v>45657</v>
      </c>
      <c r="D303" t="inlineStr">
        <is>
          <t>VÄSTERNORRLANDS LÄN</t>
        </is>
      </c>
      <c r="E303" t="inlineStr">
        <is>
          <t>ÅNGE</t>
        </is>
      </c>
      <c r="G303" t="n">
        <v>5.7</v>
      </c>
      <c r="H303" t="n">
        <v>0</v>
      </c>
      <c r="I303" t="n">
        <v>0</v>
      </c>
      <c r="J303" t="n">
        <v>0</v>
      </c>
      <c r="K303" t="n">
        <v>0</v>
      </c>
      <c r="L303" t="n">
        <v>0</v>
      </c>
      <c r="M303" t="n">
        <v>0</v>
      </c>
      <c r="N303" t="n">
        <v>0</v>
      </c>
      <c r="O303" t="n">
        <v>0</v>
      </c>
      <c r="P303" t="n">
        <v>0</v>
      </c>
      <c r="Q303" t="n">
        <v>0</v>
      </c>
      <c r="R303" s="2" t="inlineStr"/>
    </row>
    <row r="304" ht="15" customHeight="1">
      <c r="A304" t="inlineStr">
        <is>
          <t>A 19273-2019</t>
        </is>
      </c>
      <c r="B304" s="1" t="n">
        <v>43564</v>
      </c>
      <c r="C304" s="1" t="n">
        <v>45657</v>
      </c>
      <c r="D304" t="inlineStr">
        <is>
          <t>VÄSTERNORRLANDS LÄN</t>
        </is>
      </c>
      <c r="E304" t="inlineStr">
        <is>
          <t>ÅNGE</t>
        </is>
      </c>
      <c r="G304" t="n">
        <v>5.3</v>
      </c>
      <c r="H304" t="n">
        <v>0</v>
      </c>
      <c r="I304" t="n">
        <v>0</v>
      </c>
      <c r="J304" t="n">
        <v>0</v>
      </c>
      <c r="K304" t="n">
        <v>0</v>
      </c>
      <c r="L304" t="n">
        <v>0</v>
      </c>
      <c r="M304" t="n">
        <v>0</v>
      </c>
      <c r="N304" t="n">
        <v>0</v>
      </c>
      <c r="O304" t="n">
        <v>0</v>
      </c>
      <c r="P304" t="n">
        <v>0</v>
      </c>
      <c r="Q304" t="n">
        <v>0</v>
      </c>
      <c r="R304" s="2" t="inlineStr"/>
    </row>
    <row r="305" ht="15" customHeight="1">
      <c r="A305" t="inlineStr">
        <is>
          <t>A 19274-2019</t>
        </is>
      </c>
      <c r="B305" s="1" t="n">
        <v>43564</v>
      </c>
      <c r="C305" s="1" t="n">
        <v>45657</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19266-2019</t>
        </is>
      </c>
      <c r="B306" s="1" t="n">
        <v>43564</v>
      </c>
      <c r="C306" s="1" t="n">
        <v>45657</v>
      </c>
      <c r="D306" t="inlineStr">
        <is>
          <t>VÄSTERNORRLANDS LÄN</t>
        </is>
      </c>
      <c r="E306" t="inlineStr">
        <is>
          <t>ÅNGE</t>
        </is>
      </c>
      <c r="G306" t="n">
        <v>4</v>
      </c>
      <c r="H306" t="n">
        <v>0</v>
      </c>
      <c r="I306" t="n">
        <v>0</v>
      </c>
      <c r="J306" t="n">
        <v>0</v>
      </c>
      <c r="K306" t="n">
        <v>0</v>
      </c>
      <c r="L306" t="n">
        <v>0</v>
      </c>
      <c r="M306" t="n">
        <v>0</v>
      </c>
      <c r="N306" t="n">
        <v>0</v>
      </c>
      <c r="O306" t="n">
        <v>0</v>
      </c>
      <c r="P306" t="n">
        <v>0</v>
      </c>
      <c r="Q306" t="n">
        <v>0</v>
      </c>
      <c r="R306" s="2" t="inlineStr"/>
    </row>
    <row r="307" ht="15" customHeight="1">
      <c r="A307" t="inlineStr">
        <is>
          <t>A 19270-2019</t>
        </is>
      </c>
      <c r="B307" s="1" t="n">
        <v>43564</v>
      </c>
      <c r="C307" s="1" t="n">
        <v>45657</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19310-2019</t>
        </is>
      </c>
      <c r="B308" s="1" t="n">
        <v>43565</v>
      </c>
      <c r="C308" s="1" t="n">
        <v>45657</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20062-2019</t>
        </is>
      </c>
      <c r="B309" s="1" t="n">
        <v>43570</v>
      </c>
      <c r="C309" s="1" t="n">
        <v>45657</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20102-2019</t>
        </is>
      </c>
      <c r="B310" s="1" t="n">
        <v>43570</v>
      </c>
      <c r="C310" s="1" t="n">
        <v>45657</v>
      </c>
      <c r="D310" t="inlineStr">
        <is>
          <t>VÄSTERNORRLANDS LÄN</t>
        </is>
      </c>
      <c r="E310" t="inlineStr">
        <is>
          <t>ÅNGE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20397-2019</t>
        </is>
      </c>
      <c r="B311" s="1" t="n">
        <v>43571</v>
      </c>
      <c r="C311" s="1" t="n">
        <v>45657</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20400-2019</t>
        </is>
      </c>
      <c r="B312" s="1" t="n">
        <v>43571</v>
      </c>
      <c r="C312" s="1" t="n">
        <v>45657</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20600-2019</t>
        </is>
      </c>
      <c r="B313" s="1" t="n">
        <v>43572</v>
      </c>
      <c r="C313" s="1" t="n">
        <v>45657</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21375-2019</t>
        </is>
      </c>
      <c r="B314" s="1" t="n">
        <v>43579</v>
      </c>
      <c r="C314" s="1" t="n">
        <v>45657</v>
      </c>
      <c r="D314" t="inlineStr">
        <is>
          <t>VÄSTERNORRLANDS LÄN</t>
        </is>
      </c>
      <c r="E314" t="inlineStr">
        <is>
          <t>ÅNGE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21715-2019</t>
        </is>
      </c>
      <c r="B315" s="1" t="n">
        <v>43581</v>
      </c>
      <c r="C315" s="1" t="n">
        <v>45657</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21726-2019</t>
        </is>
      </c>
      <c r="B316" s="1" t="n">
        <v>43581</v>
      </c>
      <c r="C316" s="1" t="n">
        <v>45657</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21795-2019</t>
        </is>
      </c>
      <c r="B317" s="1" t="n">
        <v>43581</v>
      </c>
      <c r="C317" s="1" t="n">
        <v>45657</v>
      </c>
      <c r="D317" t="inlineStr">
        <is>
          <t>VÄSTERNORRLANDS LÄN</t>
        </is>
      </c>
      <c r="E317" t="inlineStr">
        <is>
          <t>ÅNGE</t>
        </is>
      </c>
      <c r="F317" t="inlineStr">
        <is>
          <t>SCA</t>
        </is>
      </c>
      <c r="G317" t="n">
        <v>7.2</v>
      </c>
      <c r="H317" t="n">
        <v>0</v>
      </c>
      <c r="I317" t="n">
        <v>0</v>
      </c>
      <c r="J317" t="n">
        <v>0</v>
      </c>
      <c r="K317" t="n">
        <v>0</v>
      </c>
      <c r="L317" t="n">
        <v>0</v>
      </c>
      <c r="M317" t="n">
        <v>0</v>
      </c>
      <c r="N317" t="n">
        <v>0</v>
      </c>
      <c r="O317" t="n">
        <v>0</v>
      </c>
      <c r="P317" t="n">
        <v>0</v>
      </c>
      <c r="Q317" t="n">
        <v>0</v>
      </c>
      <c r="R317" s="2" t="inlineStr"/>
    </row>
    <row r="318" ht="15" customHeight="1">
      <c r="A318" t="inlineStr">
        <is>
          <t>A 21633-2019</t>
        </is>
      </c>
      <c r="B318" s="1" t="n">
        <v>43581</v>
      </c>
      <c r="C318" s="1" t="n">
        <v>45657</v>
      </c>
      <c r="D318" t="inlineStr">
        <is>
          <t>VÄSTERNORRLANDS LÄN</t>
        </is>
      </c>
      <c r="E318" t="inlineStr">
        <is>
          <t>ÅNGE</t>
        </is>
      </c>
      <c r="G318" t="n">
        <v>7.1</v>
      </c>
      <c r="H318" t="n">
        <v>0</v>
      </c>
      <c r="I318" t="n">
        <v>0</v>
      </c>
      <c r="J318" t="n">
        <v>0</v>
      </c>
      <c r="K318" t="n">
        <v>0</v>
      </c>
      <c r="L318" t="n">
        <v>0</v>
      </c>
      <c r="M318" t="n">
        <v>0</v>
      </c>
      <c r="N318" t="n">
        <v>0</v>
      </c>
      <c r="O318" t="n">
        <v>0</v>
      </c>
      <c r="P318" t="n">
        <v>0</v>
      </c>
      <c r="Q318" t="n">
        <v>0</v>
      </c>
      <c r="R318" s="2" t="inlineStr"/>
    </row>
    <row r="319" ht="15" customHeight="1">
      <c r="A319" t="inlineStr">
        <is>
          <t>A 22202-2019</t>
        </is>
      </c>
      <c r="B319" s="1" t="n">
        <v>43585</v>
      </c>
      <c r="C319" s="1" t="n">
        <v>45657</v>
      </c>
      <c r="D319" t="inlineStr">
        <is>
          <t>VÄSTERNORRLANDS LÄN</t>
        </is>
      </c>
      <c r="E319" t="inlineStr">
        <is>
          <t>ÅNGE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23403-2019</t>
        </is>
      </c>
      <c r="B320" s="1" t="n">
        <v>43592</v>
      </c>
      <c r="C320" s="1" t="n">
        <v>45657</v>
      </c>
      <c r="D320" t="inlineStr">
        <is>
          <t>VÄSTERNORRLANDS LÄN</t>
        </is>
      </c>
      <c r="E320" t="inlineStr">
        <is>
          <t>ÅNGE</t>
        </is>
      </c>
      <c r="G320" t="n">
        <v>2.2</v>
      </c>
      <c r="H320" t="n">
        <v>0</v>
      </c>
      <c r="I320" t="n">
        <v>0</v>
      </c>
      <c r="J320" t="n">
        <v>0</v>
      </c>
      <c r="K320" t="n">
        <v>0</v>
      </c>
      <c r="L320" t="n">
        <v>0</v>
      </c>
      <c r="M320" t="n">
        <v>0</v>
      </c>
      <c r="N320" t="n">
        <v>0</v>
      </c>
      <c r="O320" t="n">
        <v>0</v>
      </c>
      <c r="P320" t="n">
        <v>0</v>
      </c>
      <c r="Q320" t="n">
        <v>0</v>
      </c>
      <c r="R320" s="2" t="inlineStr"/>
    </row>
    <row r="321" ht="15" customHeight="1">
      <c r="A321" t="inlineStr">
        <is>
          <t>A 23288-2019</t>
        </is>
      </c>
      <c r="B321" s="1" t="n">
        <v>43593</v>
      </c>
      <c r="C321" s="1" t="n">
        <v>45657</v>
      </c>
      <c r="D321" t="inlineStr">
        <is>
          <t>VÄSTERNORRLANDS LÄN</t>
        </is>
      </c>
      <c r="E321" t="inlineStr">
        <is>
          <t>ÅNGE</t>
        </is>
      </c>
      <c r="G321" t="n">
        <v>2.9</v>
      </c>
      <c r="H321" t="n">
        <v>0</v>
      </c>
      <c r="I321" t="n">
        <v>0</v>
      </c>
      <c r="J321" t="n">
        <v>0</v>
      </c>
      <c r="K321" t="n">
        <v>0</v>
      </c>
      <c r="L321" t="n">
        <v>0</v>
      </c>
      <c r="M321" t="n">
        <v>0</v>
      </c>
      <c r="N321" t="n">
        <v>0</v>
      </c>
      <c r="O321" t="n">
        <v>0</v>
      </c>
      <c r="P321" t="n">
        <v>0</v>
      </c>
      <c r="Q321" t="n">
        <v>0</v>
      </c>
      <c r="R321" s="2" t="inlineStr"/>
    </row>
    <row r="322" ht="15" customHeight="1">
      <c r="A322" t="inlineStr">
        <is>
          <t>A 24567-2019</t>
        </is>
      </c>
      <c r="B322" s="1" t="n">
        <v>43600</v>
      </c>
      <c r="C322" s="1" t="n">
        <v>45657</v>
      </c>
      <c r="D322" t="inlineStr">
        <is>
          <t>VÄSTERNORRLANDS LÄN</t>
        </is>
      </c>
      <c r="E322" t="inlineStr">
        <is>
          <t>ÅNGE</t>
        </is>
      </c>
      <c r="G322" t="n">
        <v>2.7</v>
      </c>
      <c r="H322" t="n">
        <v>0</v>
      </c>
      <c r="I322" t="n">
        <v>0</v>
      </c>
      <c r="J322" t="n">
        <v>0</v>
      </c>
      <c r="K322" t="n">
        <v>0</v>
      </c>
      <c r="L322" t="n">
        <v>0</v>
      </c>
      <c r="M322" t="n">
        <v>0</v>
      </c>
      <c r="N322" t="n">
        <v>0</v>
      </c>
      <c r="O322" t="n">
        <v>0</v>
      </c>
      <c r="P322" t="n">
        <v>0</v>
      </c>
      <c r="Q322" t="n">
        <v>0</v>
      </c>
      <c r="R322" s="2" t="inlineStr"/>
    </row>
    <row r="323" ht="15" customHeight="1">
      <c r="A323" t="inlineStr">
        <is>
          <t>A 24568-2019</t>
        </is>
      </c>
      <c r="B323" s="1" t="n">
        <v>43600</v>
      </c>
      <c r="C323" s="1" t="n">
        <v>45657</v>
      </c>
      <c r="D323" t="inlineStr">
        <is>
          <t>VÄSTERNORRLANDS LÄN</t>
        </is>
      </c>
      <c r="E323" t="inlineStr">
        <is>
          <t>ÅNGE</t>
        </is>
      </c>
      <c r="G323" t="n">
        <v>3.2</v>
      </c>
      <c r="H323" t="n">
        <v>0</v>
      </c>
      <c r="I323" t="n">
        <v>0</v>
      </c>
      <c r="J323" t="n">
        <v>0</v>
      </c>
      <c r="K323" t="n">
        <v>0</v>
      </c>
      <c r="L323" t="n">
        <v>0</v>
      </c>
      <c r="M323" t="n">
        <v>0</v>
      </c>
      <c r="N323" t="n">
        <v>0</v>
      </c>
      <c r="O323" t="n">
        <v>0</v>
      </c>
      <c r="P323" t="n">
        <v>0</v>
      </c>
      <c r="Q323" t="n">
        <v>0</v>
      </c>
      <c r="R323" s="2" t="inlineStr"/>
    </row>
    <row r="324" ht="15" customHeight="1">
      <c r="A324" t="inlineStr">
        <is>
          <t>A 24569-2019</t>
        </is>
      </c>
      <c r="B324" s="1" t="n">
        <v>43600</v>
      </c>
      <c r="C324" s="1" t="n">
        <v>45657</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24781-2019</t>
        </is>
      </c>
      <c r="B325" s="1" t="n">
        <v>43601</v>
      </c>
      <c r="C325" s="1" t="n">
        <v>45657</v>
      </c>
      <c r="D325" t="inlineStr">
        <is>
          <t>VÄSTERNORRLANDS LÄN</t>
        </is>
      </c>
      <c r="E325" t="inlineStr">
        <is>
          <t>ÅNGE</t>
        </is>
      </c>
      <c r="F325" t="inlineStr">
        <is>
          <t>SCA</t>
        </is>
      </c>
      <c r="G325" t="n">
        <v>14.6</v>
      </c>
      <c r="H325" t="n">
        <v>0</v>
      </c>
      <c r="I325" t="n">
        <v>0</v>
      </c>
      <c r="J325" t="n">
        <v>0</v>
      </c>
      <c r="K325" t="n">
        <v>0</v>
      </c>
      <c r="L325" t="n">
        <v>0</v>
      </c>
      <c r="M325" t="n">
        <v>0</v>
      </c>
      <c r="N325" t="n">
        <v>0</v>
      </c>
      <c r="O325" t="n">
        <v>0</v>
      </c>
      <c r="P325" t="n">
        <v>0</v>
      </c>
      <c r="Q325" t="n">
        <v>0</v>
      </c>
      <c r="R325" s="2" t="inlineStr"/>
    </row>
    <row r="326" ht="15" customHeight="1">
      <c r="A326" t="inlineStr">
        <is>
          <t>A 25453-2019</t>
        </is>
      </c>
      <c r="B326" s="1" t="n">
        <v>43606</v>
      </c>
      <c r="C326" s="1" t="n">
        <v>45657</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25549-2019</t>
        </is>
      </c>
      <c r="B327" s="1" t="n">
        <v>43607</v>
      </c>
      <c r="C327" s="1" t="n">
        <v>45657</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26545-2019</t>
        </is>
      </c>
      <c r="B328" s="1" t="n">
        <v>43612</v>
      </c>
      <c r="C328" s="1" t="n">
        <v>45657</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27211-2019</t>
        </is>
      </c>
      <c r="B329" s="1" t="n">
        <v>43614</v>
      </c>
      <c r="C329" s="1" t="n">
        <v>45657</v>
      </c>
      <c r="D329" t="inlineStr">
        <is>
          <t>VÄSTERNORRLANDS LÄN</t>
        </is>
      </c>
      <c r="E329" t="inlineStr">
        <is>
          <t>ÅNGE</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27759-2019</t>
        </is>
      </c>
      <c r="B330" s="1" t="n">
        <v>43619</v>
      </c>
      <c r="C330" s="1" t="n">
        <v>45657</v>
      </c>
      <c r="D330" t="inlineStr">
        <is>
          <t>VÄSTERNORRLANDS LÄN</t>
        </is>
      </c>
      <c r="E330" t="inlineStr">
        <is>
          <t>ÅNGE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28856-2019</t>
        </is>
      </c>
      <c r="B331" s="1" t="n">
        <v>43627</v>
      </c>
      <c r="C331" s="1" t="n">
        <v>45657</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28858-2019</t>
        </is>
      </c>
      <c r="B332" s="1" t="n">
        <v>43627</v>
      </c>
      <c r="C332" s="1" t="n">
        <v>45657</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28857-2019</t>
        </is>
      </c>
      <c r="B333" s="1" t="n">
        <v>43627</v>
      </c>
      <c r="C333" s="1" t="n">
        <v>45657</v>
      </c>
      <c r="D333" t="inlineStr">
        <is>
          <t>VÄSTERNORRLANDS LÄN</t>
        </is>
      </c>
      <c r="E333" t="inlineStr">
        <is>
          <t>ÅNGE</t>
        </is>
      </c>
      <c r="G333" t="n">
        <v>4.1</v>
      </c>
      <c r="H333" t="n">
        <v>0</v>
      </c>
      <c r="I333" t="n">
        <v>0</v>
      </c>
      <c r="J333" t="n">
        <v>0</v>
      </c>
      <c r="K333" t="n">
        <v>0</v>
      </c>
      <c r="L333" t="n">
        <v>0</v>
      </c>
      <c r="M333" t="n">
        <v>0</v>
      </c>
      <c r="N333" t="n">
        <v>0</v>
      </c>
      <c r="O333" t="n">
        <v>0</v>
      </c>
      <c r="P333" t="n">
        <v>0</v>
      </c>
      <c r="Q333" t="n">
        <v>0</v>
      </c>
      <c r="R333" s="2" t="inlineStr"/>
    </row>
    <row r="334" ht="15" customHeight="1">
      <c r="A334" t="inlineStr">
        <is>
          <t>A 28855-2019</t>
        </is>
      </c>
      <c r="B334" s="1" t="n">
        <v>43627</v>
      </c>
      <c r="C334" s="1" t="n">
        <v>45657</v>
      </c>
      <c r="D334" t="inlineStr">
        <is>
          <t>VÄSTERNORRLANDS LÄN</t>
        </is>
      </c>
      <c r="E334" t="inlineStr">
        <is>
          <t>ÅNGE</t>
        </is>
      </c>
      <c r="G334" t="n">
        <v>8.6</v>
      </c>
      <c r="H334" t="n">
        <v>0</v>
      </c>
      <c r="I334" t="n">
        <v>0</v>
      </c>
      <c r="J334" t="n">
        <v>0</v>
      </c>
      <c r="K334" t="n">
        <v>0</v>
      </c>
      <c r="L334" t="n">
        <v>0</v>
      </c>
      <c r="M334" t="n">
        <v>0</v>
      </c>
      <c r="N334" t="n">
        <v>0</v>
      </c>
      <c r="O334" t="n">
        <v>0</v>
      </c>
      <c r="P334" t="n">
        <v>0</v>
      </c>
      <c r="Q334" t="n">
        <v>0</v>
      </c>
      <c r="R334" s="2" t="inlineStr"/>
    </row>
    <row r="335" ht="15" customHeight="1">
      <c r="A335" t="inlineStr">
        <is>
          <t>A 29141-2019</t>
        </is>
      </c>
      <c r="B335" s="1" t="n">
        <v>43628</v>
      </c>
      <c r="C335" s="1" t="n">
        <v>45657</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29794-2019</t>
        </is>
      </c>
      <c r="B336" s="1" t="n">
        <v>43633</v>
      </c>
      <c r="C336" s="1" t="n">
        <v>45657</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29786-2019</t>
        </is>
      </c>
      <c r="B337" s="1" t="n">
        <v>43633</v>
      </c>
      <c r="C337" s="1" t="n">
        <v>45657</v>
      </c>
      <c r="D337" t="inlineStr">
        <is>
          <t>VÄSTERNORRLANDS LÄN</t>
        </is>
      </c>
      <c r="E337" t="inlineStr">
        <is>
          <t>ÅNGE</t>
        </is>
      </c>
      <c r="G337" t="n">
        <v>1.8</v>
      </c>
      <c r="H337" t="n">
        <v>0</v>
      </c>
      <c r="I337" t="n">
        <v>0</v>
      </c>
      <c r="J337" t="n">
        <v>0</v>
      </c>
      <c r="K337" t="n">
        <v>0</v>
      </c>
      <c r="L337" t="n">
        <v>0</v>
      </c>
      <c r="M337" t="n">
        <v>0</v>
      </c>
      <c r="N337" t="n">
        <v>0</v>
      </c>
      <c r="O337" t="n">
        <v>0</v>
      </c>
      <c r="P337" t="n">
        <v>0</v>
      </c>
      <c r="Q337" t="n">
        <v>0</v>
      </c>
      <c r="R337" s="2" t="inlineStr"/>
    </row>
    <row r="338" ht="15" customHeight="1">
      <c r="A338" t="inlineStr">
        <is>
          <t>A 31001-2019</t>
        </is>
      </c>
      <c r="B338" s="1" t="n">
        <v>43640</v>
      </c>
      <c r="C338" s="1" t="n">
        <v>45657</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31804-2019</t>
        </is>
      </c>
      <c r="B339" s="1" t="n">
        <v>43642</v>
      </c>
      <c r="C339" s="1" t="n">
        <v>45657</v>
      </c>
      <c r="D339" t="inlineStr">
        <is>
          <t>VÄSTERNORRLANDS LÄN</t>
        </is>
      </c>
      <c r="E339" t="inlineStr">
        <is>
          <t>ÅNGE</t>
        </is>
      </c>
      <c r="G339" t="n">
        <v>10.3</v>
      </c>
      <c r="H339" t="n">
        <v>0</v>
      </c>
      <c r="I339" t="n">
        <v>0</v>
      </c>
      <c r="J339" t="n">
        <v>0</v>
      </c>
      <c r="K339" t="n">
        <v>0</v>
      </c>
      <c r="L339" t="n">
        <v>0</v>
      </c>
      <c r="M339" t="n">
        <v>0</v>
      </c>
      <c r="N339" t="n">
        <v>0</v>
      </c>
      <c r="O339" t="n">
        <v>0</v>
      </c>
      <c r="P339" t="n">
        <v>0</v>
      </c>
      <c r="Q339" t="n">
        <v>0</v>
      </c>
      <c r="R339" s="2" t="inlineStr"/>
    </row>
    <row r="340" ht="15" customHeight="1">
      <c r="A340" t="inlineStr">
        <is>
          <t>A 32740-2019</t>
        </is>
      </c>
      <c r="B340" s="1" t="n">
        <v>43647</v>
      </c>
      <c r="C340" s="1" t="n">
        <v>45657</v>
      </c>
      <c r="D340" t="inlineStr">
        <is>
          <t>VÄSTERNORRLANDS LÄN</t>
        </is>
      </c>
      <c r="E340" t="inlineStr">
        <is>
          <t>ÅNGE</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33471-2019</t>
        </is>
      </c>
      <c r="B341" s="1" t="n">
        <v>43650</v>
      </c>
      <c r="C341" s="1" t="n">
        <v>45657</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33470-2019</t>
        </is>
      </c>
      <c r="B342" s="1" t="n">
        <v>43650</v>
      </c>
      <c r="C342" s="1" t="n">
        <v>45657</v>
      </c>
      <c r="D342" t="inlineStr">
        <is>
          <t>VÄSTERNORRLANDS LÄN</t>
        </is>
      </c>
      <c r="E342" t="inlineStr">
        <is>
          <t>ÅNGE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34135-2019</t>
        </is>
      </c>
      <c r="B343" s="1" t="n">
        <v>43654</v>
      </c>
      <c r="C343" s="1" t="n">
        <v>45657</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c r="U343">
        <f>HYPERLINK("https://klasma.github.io/Logging_2260/knärot/A 34135-2019 karta knärot.png", "A 34135-2019")</f>
        <v/>
      </c>
      <c r="V343">
        <f>HYPERLINK("https://klasma.github.io/Logging_2260/klagomål/A 34135-2019 FSC-klagomål.docx", "A 34135-2019")</f>
        <v/>
      </c>
      <c r="W343">
        <f>HYPERLINK("https://klasma.github.io/Logging_2260/klagomålsmail/A 34135-2019 FSC-klagomål mail.docx", "A 34135-2019")</f>
        <v/>
      </c>
      <c r="X343">
        <f>HYPERLINK("https://klasma.github.io/Logging_2260/tillsyn/A 34135-2019 tillsynsbegäran.docx", "A 34135-2019")</f>
        <v/>
      </c>
      <c r="Y343">
        <f>HYPERLINK("https://klasma.github.io/Logging_2260/tillsynsmail/A 34135-2019 tillsynsbegäran mail.docx", "A 34135-2019")</f>
        <v/>
      </c>
    </row>
    <row r="344" ht="15" customHeight="1">
      <c r="A344" t="inlineStr">
        <is>
          <t>A 36438-2019</t>
        </is>
      </c>
      <c r="B344" s="1" t="n">
        <v>43664</v>
      </c>
      <c r="C344" s="1" t="n">
        <v>45657</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36311-2019</t>
        </is>
      </c>
      <c r="B345" s="1" t="n">
        <v>43670</v>
      </c>
      <c r="C345" s="1" t="n">
        <v>45657</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37745-2019</t>
        </is>
      </c>
      <c r="B346" s="1" t="n">
        <v>43679</v>
      </c>
      <c r="C346" s="1" t="n">
        <v>45657</v>
      </c>
      <c r="D346" t="inlineStr">
        <is>
          <t>VÄSTERNORRLANDS LÄN</t>
        </is>
      </c>
      <c r="E346" t="inlineStr">
        <is>
          <t>ÅNGE</t>
        </is>
      </c>
      <c r="G346" t="n">
        <v>11.4</v>
      </c>
      <c r="H346" t="n">
        <v>0</v>
      </c>
      <c r="I346" t="n">
        <v>0</v>
      </c>
      <c r="J346" t="n">
        <v>0</v>
      </c>
      <c r="K346" t="n">
        <v>0</v>
      </c>
      <c r="L346" t="n">
        <v>0</v>
      </c>
      <c r="M346" t="n">
        <v>0</v>
      </c>
      <c r="N346" t="n">
        <v>0</v>
      </c>
      <c r="O346" t="n">
        <v>0</v>
      </c>
      <c r="P346" t="n">
        <v>0</v>
      </c>
      <c r="Q346" t="n">
        <v>0</v>
      </c>
      <c r="R346" s="2" t="inlineStr"/>
    </row>
    <row r="347" ht="15" customHeight="1">
      <c r="A347" t="inlineStr">
        <is>
          <t>A 37887-2019</t>
        </is>
      </c>
      <c r="B347" s="1" t="n">
        <v>43682</v>
      </c>
      <c r="C347" s="1" t="n">
        <v>45657</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37954-2019</t>
        </is>
      </c>
      <c r="B348" s="1" t="n">
        <v>43683</v>
      </c>
      <c r="C348" s="1" t="n">
        <v>45657</v>
      </c>
      <c r="D348" t="inlineStr">
        <is>
          <t>VÄSTERNORRLANDS LÄN</t>
        </is>
      </c>
      <c r="E348" t="inlineStr">
        <is>
          <t>ÅNGE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38222-2019</t>
        </is>
      </c>
      <c r="B349" s="1" t="n">
        <v>43684</v>
      </c>
      <c r="C349" s="1" t="n">
        <v>45657</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38215-2019</t>
        </is>
      </c>
      <c r="B350" s="1" t="n">
        <v>43684</v>
      </c>
      <c r="C350" s="1" t="n">
        <v>45657</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38310-2019</t>
        </is>
      </c>
      <c r="B351" s="1" t="n">
        <v>43684</v>
      </c>
      <c r="C351" s="1" t="n">
        <v>45657</v>
      </c>
      <c r="D351" t="inlineStr">
        <is>
          <t>VÄSTERNORRLANDS LÄN</t>
        </is>
      </c>
      <c r="E351" t="inlineStr">
        <is>
          <t>ÅNGE</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38573-2019</t>
        </is>
      </c>
      <c r="B352" s="1" t="n">
        <v>43685</v>
      </c>
      <c r="C352" s="1" t="n">
        <v>45657</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39403-2019</t>
        </is>
      </c>
      <c r="B353" s="1" t="n">
        <v>43690</v>
      </c>
      <c r="C353" s="1" t="n">
        <v>45657</v>
      </c>
      <c r="D353" t="inlineStr">
        <is>
          <t>VÄSTERNORRLANDS LÄN</t>
        </is>
      </c>
      <c r="E353" t="inlineStr">
        <is>
          <t>ÅNGE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41510-2019</t>
        </is>
      </c>
      <c r="B354" s="1" t="n">
        <v>43696</v>
      </c>
      <c r="C354" s="1" t="n">
        <v>45657</v>
      </c>
      <c r="D354" t="inlineStr">
        <is>
          <t>VÄSTERNORRLANDS LÄN</t>
        </is>
      </c>
      <c r="E354" t="inlineStr">
        <is>
          <t>ÅNGE</t>
        </is>
      </c>
      <c r="G354" t="n">
        <v>5.5</v>
      </c>
      <c r="H354" t="n">
        <v>0</v>
      </c>
      <c r="I354" t="n">
        <v>0</v>
      </c>
      <c r="J354" t="n">
        <v>0</v>
      </c>
      <c r="K354" t="n">
        <v>0</v>
      </c>
      <c r="L354" t="n">
        <v>0</v>
      </c>
      <c r="M354" t="n">
        <v>0</v>
      </c>
      <c r="N354" t="n">
        <v>0</v>
      </c>
      <c r="O354" t="n">
        <v>0</v>
      </c>
      <c r="P354" t="n">
        <v>0</v>
      </c>
      <c r="Q354" t="n">
        <v>0</v>
      </c>
      <c r="R354" s="2" t="inlineStr"/>
    </row>
    <row r="355" ht="15" customHeight="1">
      <c r="A355" t="inlineStr">
        <is>
          <t>A 41018-2019</t>
        </is>
      </c>
      <c r="B355" s="1" t="n">
        <v>43697</v>
      </c>
      <c r="C355" s="1" t="n">
        <v>45657</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42066-2019</t>
        </is>
      </c>
      <c r="B356" s="1" t="n">
        <v>43700</v>
      </c>
      <c r="C356" s="1" t="n">
        <v>45657</v>
      </c>
      <c r="D356" t="inlineStr">
        <is>
          <t>VÄSTERNORRLANDS LÄN</t>
        </is>
      </c>
      <c r="E356" t="inlineStr">
        <is>
          <t>ÅNGE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43240-2019</t>
        </is>
      </c>
      <c r="B357" s="1" t="n">
        <v>43706</v>
      </c>
      <c r="C357" s="1" t="n">
        <v>45657</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43250-2019</t>
        </is>
      </c>
      <c r="B358" s="1" t="n">
        <v>43706</v>
      </c>
      <c r="C358" s="1" t="n">
        <v>45657</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43236-2019</t>
        </is>
      </c>
      <c r="B359" s="1" t="n">
        <v>43706</v>
      </c>
      <c r="C359" s="1" t="n">
        <v>45657</v>
      </c>
      <c r="D359" t="inlineStr">
        <is>
          <t>VÄSTERNORRLANDS LÄN</t>
        </is>
      </c>
      <c r="E359" t="inlineStr">
        <is>
          <t>ÅNGE</t>
        </is>
      </c>
      <c r="G359" t="n">
        <v>33.1</v>
      </c>
      <c r="H359" t="n">
        <v>0</v>
      </c>
      <c r="I359" t="n">
        <v>0</v>
      </c>
      <c r="J359" t="n">
        <v>0</v>
      </c>
      <c r="K359" t="n">
        <v>0</v>
      </c>
      <c r="L359" t="n">
        <v>0</v>
      </c>
      <c r="M359" t="n">
        <v>0</v>
      </c>
      <c r="N359" t="n">
        <v>0</v>
      </c>
      <c r="O359" t="n">
        <v>0</v>
      </c>
      <c r="P359" t="n">
        <v>0</v>
      </c>
      <c r="Q359" t="n">
        <v>0</v>
      </c>
      <c r="R359" s="2" t="inlineStr"/>
    </row>
    <row r="360" ht="15" customHeight="1">
      <c r="A360" t="inlineStr">
        <is>
          <t>A 43248-2019</t>
        </is>
      </c>
      <c r="B360" s="1" t="n">
        <v>43706</v>
      </c>
      <c r="C360" s="1" t="n">
        <v>45657</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43241-2019</t>
        </is>
      </c>
      <c r="B361" s="1" t="n">
        <v>43706</v>
      </c>
      <c r="C361" s="1" t="n">
        <v>45657</v>
      </c>
      <c r="D361" t="inlineStr">
        <is>
          <t>VÄSTERNORRLANDS LÄN</t>
        </is>
      </c>
      <c r="E361" t="inlineStr">
        <is>
          <t>ÅNGE</t>
        </is>
      </c>
      <c r="G361" t="n">
        <v>8.1</v>
      </c>
      <c r="H361" t="n">
        <v>0</v>
      </c>
      <c r="I361" t="n">
        <v>0</v>
      </c>
      <c r="J361" t="n">
        <v>0</v>
      </c>
      <c r="K361" t="n">
        <v>0</v>
      </c>
      <c r="L361" t="n">
        <v>0</v>
      </c>
      <c r="M361" t="n">
        <v>0</v>
      </c>
      <c r="N361" t="n">
        <v>0</v>
      </c>
      <c r="O361" t="n">
        <v>0</v>
      </c>
      <c r="P361" t="n">
        <v>0</v>
      </c>
      <c r="Q361" t="n">
        <v>0</v>
      </c>
      <c r="R361" s="2" t="inlineStr"/>
    </row>
    <row r="362" ht="15" customHeight="1">
      <c r="A362" t="inlineStr">
        <is>
          <t>A 43254-2019</t>
        </is>
      </c>
      <c r="B362" s="1" t="n">
        <v>43706</v>
      </c>
      <c r="C362" s="1" t="n">
        <v>45657</v>
      </c>
      <c r="D362" t="inlineStr">
        <is>
          <t>VÄSTERNORRLANDS LÄN</t>
        </is>
      </c>
      <c r="E362" t="inlineStr">
        <is>
          <t>ÅNGE</t>
        </is>
      </c>
      <c r="G362" t="n">
        <v>2.6</v>
      </c>
      <c r="H362" t="n">
        <v>0</v>
      </c>
      <c r="I362" t="n">
        <v>0</v>
      </c>
      <c r="J362" t="n">
        <v>0</v>
      </c>
      <c r="K362" t="n">
        <v>0</v>
      </c>
      <c r="L362" t="n">
        <v>0</v>
      </c>
      <c r="M362" t="n">
        <v>0</v>
      </c>
      <c r="N362" t="n">
        <v>0</v>
      </c>
      <c r="O362" t="n">
        <v>0</v>
      </c>
      <c r="P362" t="n">
        <v>0</v>
      </c>
      <c r="Q362" t="n">
        <v>0</v>
      </c>
      <c r="R362" s="2" t="inlineStr"/>
    </row>
    <row r="363" ht="15" customHeight="1">
      <c r="A363" t="inlineStr">
        <is>
          <t>A 43509-2019</t>
        </is>
      </c>
      <c r="B363" s="1" t="n">
        <v>43706</v>
      </c>
      <c r="C363" s="1" t="n">
        <v>45657</v>
      </c>
      <c r="D363" t="inlineStr">
        <is>
          <t>VÄSTERNORRLANDS LÄN</t>
        </is>
      </c>
      <c r="E363" t="inlineStr">
        <is>
          <t>ÅNGE</t>
        </is>
      </c>
      <c r="G363" t="n">
        <v>4.2</v>
      </c>
      <c r="H363" t="n">
        <v>0</v>
      </c>
      <c r="I363" t="n">
        <v>0</v>
      </c>
      <c r="J363" t="n">
        <v>0</v>
      </c>
      <c r="K363" t="n">
        <v>0</v>
      </c>
      <c r="L363" t="n">
        <v>0</v>
      </c>
      <c r="M363" t="n">
        <v>0</v>
      </c>
      <c r="N363" t="n">
        <v>0</v>
      </c>
      <c r="O363" t="n">
        <v>0</v>
      </c>
      <c r="P363" t="n">
        <v>0</v>
      </c>
      <c r="Q363" t="n">
        <v>0</v>
      </c>
      <c r="R363" s="2" t="inlineStr"/>
    </row>
    <row r="364" ht="15" customHeight="1">
      <c r="A364" t="inlineStr">
        <is>
          <t>A 43517-2019</t>
        </is>
      </c>
      <c r="B364" s="1" t="n">
        <v>43706</v>
      </c>
      <c r="C364" s="1" t="n">
        <v>45657</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43895-2019</t>
        </is>
      </c>
      <c r="B365" s="1" t="n">
        <v>43707</v>
      </c>
      <c r="C365" s="1" t="n">
        <v>45657</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44313-2019</t>
        </is>
      </c>
      <c r="B366" s="1" t="n">
        <v>43710</v>
      </c>
      <c r="C366" s="1" t="n">
        <v>45657</v>
      </c>
      <c r="D366" t="inlineStr">
        <is>
          <t>VÄSTERNORRLANDS LÄN</t>
        </is>
      </c>
      <c r="E366" t="inlineStr">
        <is>
          <t>ÅNGE</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45274-2019</t>
        </is>
      </c>
      <c r="B367" s="1" t="n">
        <v>43713</v>
      </c>
      <c r="C367" s="1" t="n">
        <v>45657</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48958-2019</t>
        </is>
      </c>
      <c r="B368" s="1" t="n">
        <v>43728</v>
      </c>
      <c r="C368" s="1" t="n">
        <v>45657</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50278-2019</t>
        </is>
      </c>
      <c r="B369" s="1" t="n">
        <v>43734</v>
      </c>
      <c r="C369" s="1" t="n">
        <v>45657</v>
      </c>
      <c r="D369" t="inlineStr">
        <is>
          <t>VÄSTERNORRLANDS LÄN</t>
        </is>
      </c>
      <c r="E369" t="inlineStr">
        <is>
          <t>ÅNGE</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50280-2019</t>
        </is>
      </c>
      <c r="B370" s="1" t="n">
        <v>43734</v>
      </c>
      <c r="C370" s="1" t="n">
        <v>45657</v>
      </c>
      <c r="D370" t="inlineStr">
        <is>
          <t>VÄSTERNORRLANDS LÄN</t>
        </is>
      </c>
      <c r="E370" t="inlineStr">
        <is>
          <t>ÅNGE</t>
        </is>
      </c>
      <c r="F370" t="inlineStr">
        <is>
          <t>SCA</t>
        </is>
      </c>
      <c r="G370" t="n">
        <v>7.7</v>
      </c>
      <c r="H370" t="n">
        <v>0</v>
      </c>
      <c r="I370" t="n">
        <v>0</v>
      </c>
      <c r="J370" t="n">
        <v>0</v>
      </c>
      <c r="K370" t="n">
        <v>0</v>
      </c>
      <c r="L370" t="n">
        <v>0</v>
      </c>
      <c r="M370" t="n">
        <v>0</v>
      </c>
      <c r="N370" t="n">
        <v>0</v>
      </c>
      <c r="O370" t="n">
        <v>0</v>
      </c>
      <c r="P370" t="n">
        <v>0</v>
      </c>
      <c r="Q370" t="n">
        <v>0</v>
      </c>
      <c r="R370" s="2" t="inlineStr"/>
    </row>
    <row r="371" ht="15" customHeight="1">
      <c r="A371" t="inlineStr">
        <is>
          <t>A 50352-2019</t>
        </is>
      </c>
      <c r="B371" s="1" t="n">
        <v>43735</v>
      </c>
      <c r="C371" s="1" t="n">
        <v>45657</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50997-2019</t>
        </is>
      </c>
      <c r="B372" s="1" t="n">
        <v>43738</v>
      </c>
      <c r="C372" s="1" t="n">
        <v>45657</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52505-2019</t>
        </is>
      </c>
      <c r="B373" s="1" t="n">
        <v>43738</v>
      </c>
      <c r="C373" s="1" t="n">
        <v>45657</v>
      </c>
      <c r="D373" t="inlineStr">
        <is>
          <t>VÄSTERNORRLANDS LÄN</t>
        </is>
      </c>
      <c r="E373" t="inlineStr">
        <is>
          <t>ÅNGE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51321-2019</t>
        </is>
      </c>
      <c r="B374" s="1" t="n">
        <v>43739</v>
      </c>
      <c r="C374" s="1" t="n">
        <v>45657</v>
      </c>
      <c r="D374" t="inlineStr">
        <is>
          <t>VÄSTERNORRLANDS LÄN</t>
        </is>
      </c>
      <c r="E374" t="inlineStr">
        <is>
          <t>ÅNGE</t>
        </is>
      </c>
      <c r="G374" t="n">
        <v>9.4</v>
      </c>
      <c r="H374" t="n">
        <v>0</v>
      </c>
      <c r="I374" t="n">
        <v>0</v>
      </c>
      <c r="J374" t="n">
        <v>0</v>
      </c>
      <c r="K374" t="n">
        <v>0</v>
      </c>
      <c r="L374" t="n">
        <v>0</v>
      </c>
      <c r="M374" t="n">
        <v>0</v>
      </c>
      <c r="N374" t="n">
        <v>0</v>
      </c>
      <c r="O374" t="n">
        <v>0</v>
      </c>
      <c r="P374" t="n">
        <v>0</v>
      </c>
      <c r="Q374" t="n">
        <v>0</v>
      </c>
      <c r="R374" s="2" t="inlineStr"/>
    </row>
    <row r="375" ht="15" customHeight="1">
      <c r="A375" t="inlineStr">
        <is>
          <t>A 51947-2019</t>
        </is>
      </c>
      <c r="B375" s="1" t="n">
        <v>43741</v>
      </c>
      <c r="C375" s="1" t="n">
        <v>45657</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51946-2019</t>
        </is>
      </c>
      <c r="B376" s="1" t="n">
        <v>43741</v>
      </c>
      <c r="C376" s="1" t="n">
        <v>45657</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52171-2019</t>
        </is>
      </c>
      <c r="B377" s="1" t="n">
        <v>43742</v>
      </c>
      <c r="C377" s="1" t="n">
        <v>45657</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52684-2019</t>
        </is>
      </c>
      <c r="B378" s="1" t="n">
        <v>43746</v>
      </c>
      <c r="C378" s="1" t="n">
        <v>45657</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52660-2019</t>
        </is>
      </c>
      <c r="B379" s="1" t="n">
        <v>43746</v>
      </c>
      <c r="C379" s="1" t="n">
        <v>45657</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53107-2019</t>
        </is>
      </c>
      <c r="B380" s="1" t="n">
        <v>43747</v>
      </c>
      <c r="C380" s="1" t="n">
        <v>45657</v>
      </c>
      <c r="D380" t="inlineStr">
        <is>
          <t>VÄSTERNORRLANDS LÄN</t>
        </is>
      </c>
      <c r="E380" t="inlineStr">
        <is>
          <t>ÅNGE</t>
        </is>
      </c>
      <c r="G380" t="n">
        <v>2.1</v>
      </c>
      <c r="H380" t="n">
        <v>0</v>
      </c>
      <c r="I380" t="n">
        <v>0</v>
      </c>
      <c r="J380" t="n">
        <v>0</v>
      </c>
      <c r="K380" t="n">
        <v>0</v>
      </c>
      <c r="L380" t="n">
        <v>0</v>
      </c>
      <c r="M380" t="n">
        <v>0</v>
      </c>
      <c r="N380" t="n">
        <v>0</v>
      </c>
      <c r="O380" t="n">
        <v>0</v>
      </c>
      <c r="P380" t="n">
        <v>0</v>
      </c>
      <c r="Q380" t="n">
        <v>0</v>
      </c>
      <c r="R380" s="2" t="inlineStr"/>
    </row>
    <row r="381" ht="15" customHeight="1">
      <c r="A381" t="inlineStr">
        <is>
          <t>A 53579-2019</t>
        </is>
      </c>
      <c r="B381" s="1" t="n">
        <v>43749</v>
      </c>
      <c r="C381" s="1" t="n">
        <v>45657</v>
      </c>
      <c r="D381" t="inlineStr">
        <is>
          <t>VÄSTERNORRLANDS LÄN</t>
        </is>
      </c>
      <c r="E381" t="inlineStr">
        <is>
          <t>ÅNGE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54025-2019</t>
        </is>
      </c>
      <c r="B382" s="1" t="n">
        <v>43752</v>
      </c>
      <c r="C382" s="1" t="n">
        <v>45657</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54027-2019</t>
        </is>
      </c>
      <c r="B383" s="1" t="n">
        <v>43752</v>
      </c>
      <c r="C383" s="1" t="n">
        <v>45657</v>
      </c>
      <c r="D383" t="inlineStr">
        <is>
          <t>VÄSTERNORRLANDS LÄN</t>
        </is>
      </c>
      <c r="E383" t="inlineStr">
        <is>
          <t>ÅNGE</t>
        </is>
      </c>
      <c r="G383" t="n">
        <v>3.8</v>
      </c>
      <c r="H383" t="n">
        <v>0</v>
      </c>
      <c r="I383" t="n">
        <v>0</v>
      </c>
      <c r="J383" t="n">
        <v>0</v>
      </c>
      <c r="K383" t="n">
        <v>0</v>
      </c>
      <c r="L383" t="n">
        <v>0</v>
      </c>
      <c r="M383" t="n">
        <v>0</v>
      </c>
      <c r="N383" t="n">
        <v>0</v>
      </c>
      <c r="O383" t="n">
        <v>0</v>
      </c>
      <c r="P383" t="n">
        <v>0</v>
      </c>
      <c r="Q383" t="n">
        <v>0</v>
      </c>
      <c r="R383" s="2" t="inlineStr"/>
    </row>
    <row r="384" ht="15" customHeight="1">
      <c r="A384" t="inlineStr">
        <is>
          <t>A 55352-2019</t>
        </is>
      </c>
      <c r="B384" s="1" t="n">
        <v>43756</v>
      </c>
      <c r="C384" s="1" t="n">
        <v>45657</v>
      </c>
      <c r="D384" t="inlineStr">
        <is>
          <t>VÄSTERNORRLANDS LÄN</t>
        </is>
      </c>
      <c r="E384" t="inlineStr">
        <is>
          <t>ÅNGE</t>
        </is>
      </c>
      <c r="G384" t="n">
        <v>10.9</v>
      </c>
      <c r="H384" t="n">
        <v>0</v>
      </c>
      <c r="I384" t="n">
        <v>0</v>
      </c>
      <c r="J384" t="n">
        <v>0</v>
      </c>
      <c r="K384" t="n">
        <v>0</v>
      </c>
      <c r="L384" t="n">
        <v>0</v>
      </c>
      <c r="M384" t="n">
        <v>0</v>
      </c>
      <c r="N384" t="n">
        <v>0</v>
      </c>
      <c r="O384" t="n">
        <v>0</v>
      </c>
      <c r="P384" t="n">
        <v>0</v>
      </c>
      <c r="Q384" t="n">
        <v>0</v>
      </c>
      <c r="R384" s="2" t="inlineStr"/>
    </row>
    <row r="385" ht="15" customHeight="1">
      <c r="A385" t="inlineStr">
        <is>
          <t>A 55637-2019</t>
        </is>
      </c>
      <c r="B385" s="1" t="n">
        <v>43760</v>
      </c>
      <c r="C385" s="1" t="n">
        <v>45657</v>
      </c>
      <c r="D385" t="inlineStr">
        <is>
          <t>VÄSTERNORRLANDS LÄN</t>
        </is>
      </c>
      <c r="E385" t="inlineStr">
        <is>
          <t>ÅNGE</t>
        </is>
      </c>
      <c r="G385" t="n">
        <v>0.1</v>
      </c>
      <c r="H385" t="n">
        <v>0</v>
      </c>
      <c r="I385" t="n">
        <v>0</v>
      </c>
      <c r="J385" t="n">
        <v>0</v>
      </c>
      <c r="K385" t="n">
        <v>0</v>
      </c>
      <c r="L385" t="n">
        <v>0</v>
      </c>
      <c r="M385" t="n">
        <v>0</v>
      </c>
      <c r="N385" t="n">
        <v>0</v>
      </c>
      <c r="O385" t="n">
        <v>0</v>
      </c>
      <c r="P385" t="n">
        <v>0</v>
      </c>
      <c r="Q385" t="n">
        <v>0</v>
      </c>
      <c r="R385" s="2" t="inlineStr"/>
    </row>
    <row r="386" ht="15" customHeight="1">
      <c r="A386" t="inlineStr">
        <is>
          <t>A 55634-2019</t>
        </is>
      </c>
      <c r="B386" s="1" t="n">
        <v>43760</v>
      </c>
      <c r="C386" s="1" t="n">
        <v>45657</v>
      </c>
      <c r="D386" t="inlineStr">
        <is>
          <t>VÄSTERNORRLANDS LÄN</t>
        </is>
      </c>
      <c r="E386" t="inlineStr">
        <is>
          <t>ÅNGE</t>
        </is>
      </c>
      <c r="G386" t="n">
        <v>3.1</v>
      </c>
      <c r="H386" t="n">
        <v>0</v>
      </c>
      <c r="I386" t="n">
        <v>0</v>
      </c>
      <c r="J386" t="n">
        <v>0</v>
      </c>
      <c r="K386" t="n">
        <v>0</v>
      </c>
      <c r="L386" t="n">
        <v>0</v>
      </c>
      <c r="M386" t="n">
        <v>0</v>
      </c>
      <c r="N386" t="n">
        <v>0</v>
      </c>
      <c r="O386" t="n">
        <v>0</v>
      </c>
      <c r="P386" t="n">
        <v>0</v>
      </c>
      <c r="Q386" t="n">
        <v>0</v>
      </c>
      <c r="R386" s="2" t="inlineStr"/>
    </row>
    <row r="387" ht="15" customHeight="1">
      <c r="A387" t="inlineStr">
        <is>
          <t>A 55730-2019</t>
        </is>
      </c>
      <c r="B387" s="1" t="n">
        <v>43760</v>
      </c>
      <c r="C387" s="1" t="n">
        <v>45657</v>
      </c>
      <c r="D387" t="inlineStr">
        <is>
          <t>VÄSTERNORRLANDS LÄN</t>
        </is>
      </c>
      <c r="E387" t="inlineStr">
        <is>
          <t>ÅNGE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55729-2019</t>
        </is>
      </c>
      <c r="B388" s="1" t="n">
        <v>43760</v>
      </c>
      <c r="C388" s="1" t="n">
        <v>45657</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56137-2019</t>
        </is>
      </c>
      <c r="B389" s="1" t="n">
        <v>43761</v>
      </c>
      <c r="C389" s="1" t="n">
        <v>45657</v>
      </c>
      <c r="D389" t="inlineStr">
        <is>
          <t>VÄSTERNORRLANDS LÄN</t>
        </is>
      </c>
      <c r="E389" t="inlineStr">
        <is>
          <t>ÅNGE</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56171-2019</t>
        </is>
      </c>
      <c r="B390" s="1" t="n">
        <v>43761</v>
      </c>
      <c r="C390" s="1" t="n">
        <v>45657</v>
      </c>
      <c r="D390" t="inlineStr">
        <is>
          <t>VÄSTERNORRLANDS LÄN</t>
        </is>
      </c>
      <c r="E390" t="inlineStr">
        <is>
          <t>ÅNGE</t>
        </is>
      </c>
      <c r="G390" t="n">
        <v>5.1</v>
      </c>
      <c r="H390" t="n">
        <v>0</v>
      </c>
      <c r="I390" t="n">
        <v>0</v>
      </c>
      <c r="J390" t="n">
        <v>0</v>
      </c>
      <c r="K390" t="n">
        <v>0</v>
      </c>
      <c r="L390" t="n">
        <v>0</v>
      </c>
      <c r="M390" t="n">
        <v>0</v>
      </c>
      <c r="N390" t="n">
        <v>0</v>
      </c>
      <c r="O390" t="n">
        <v>0</v>
      </c>
      <c r="P390" t="n">
        <v>0</v>
      </c>
      <c r="Q390" t="n">
        <v>0</v>
      </c>
      <c r="R390" s="2" t="inlineStr"/>
    </row>
    <row r="391" ht="15" customHeight="1">
      <c r="A391" t="inlineStr">
        <is>
          <t>A 56186-2019</t>
        </is>
      </c>
      <c r="B391" s="1" t="n">
        <v>43761</v>
      </c>
      <c r="C391" s="1" t="n">
        <v>45657</v>
      </c>
      <c r="D391" t="inlineStr">
        <is>
          <t>VÄSTERNORRLANDS LÄN</t>
        </is>
      </c>
      <c r="E391" t="inlineStr">
        <is>
          <t>ÅNGE</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56490-2019</t>
        </is>
      </c>
      <c r="B392" s="1" t="n">
        <v>43762</v>
      </c>
      <c r="C392" s="1" t="n">
        <v>45657</v>
      </c>
      <c r="D392" t="inlineStr">
        <is>
          <t>VÄSTERNORRLANDS LÄN</t>
        </is>
      </c>
      <c r="E392" t="inlineStr">
        <is>
          <t>ÅNGE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57184-2019</t>
        </is>
      </c>
      <c r="B393" s="1" t="n">
        <v>43766</v>
      </c>
      <c r="C393" s="1" t="n">
        <v>45657</v>
      </c>
      <c r="D393" t="inlineStr">
        <is>
          <t>VÄSTERNORRLANDS LÄN</t>
        </is>
      </c>
      <c r="E393" t="inlineStr">
        <is>
          <t>ÅNGE</t>
        </is>
      </c>
      <c r="G393" t="n">
        <v>3.4</v>
      </c>
      <c r="H393" t="n">
        <v>0</v>
      </c>
      <c r="I393" t="n">
        <v>0</v>
      </c>
      <c r="J393" t="n">
        <v>0</v>
      </c>
      <c r="K393" t="n">
        <v>0</v>
      </c>
      <c r="L393" t="n">
        <v>0</v>
      </c>
      <c r="M393" t="n">
        <v>0</v>
      </c>
      <c r="N393" t="n">
        <v>0</v>
      </c>
      <c r="O393" t="n">
        <v>0</v>
      </c>
      <c r="P393" t="n">
        <v>0</v>
      </c>
      <c r="Q393" t="n">
        <v>0</v>
      </c>
      <c r="R393" s="2" t="inlineStr"/>
    </row>
    <row r="394" ht="15" customHeight="1">
      <c r="A394" t="inlineStr">
        <is>
          <t>A 57183-2019</t>
        </is>
      </c>
      <c r="B394" s="1" t="n">
        <v>43766</v>
      </c>
      <c r="C394" s="1" t="n">
        <v>45657</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58720-2019</t>
        </is>
      </c>
      <c r="B395" s="1" t="n">
        <v>43773</v>
      </c>
      <c r="C395" s="1" t="n">
        <v>45657</v>
      </c>
      <c r="D395" t="inlineStr">
        <is>
          <t>VÄSTERNORRLANDS LÄN</t>
        </is>
      </c>
      <c r="E395" t="inlineStr">
        <is>
          <t>ÅNGE</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58790-2019</t>
        </is>
      </c>
      <c r="B396" s="1" t="n">
        <v>43773</v>
      </c>
      <c r="C396" s="1" t="n">
        <v>45657</v>
      </c>
      <c r="D396" t="inlineStr">
        <is>
          <t>VÄSTERNORRLANDS LÄN</t>
        </is>
      </c>
      <c r="E396" t="inlineStr">
        <is>
          <t>ÅNGE</t>
        </is>
      </c>
      <c r="G396" t="n">
        <v>0.1</v>
      </c>
      <c r="H396" t="n">
        <v>0</v>
      </c>
      <c r="I396" t="n">
        <v>0</v>
      </c>
      <c r="J396" t="n">
        <v>0</v>
      </c>
      <c r="K396" t="n">
        <v>0</v>
      </c>
      <c r="L396" t="n">
        <v>0</v>
      </c>
      <c r="M396" t="n">
        <v>0</v>
      </c>
      <c r="N396" t="n">
        <v>0</v>
      </c>
      <c r="O396" t="n">
        <v>0</v>
      </c>
      <c r="P396" t="n">
        <v>0</v>
      </c>
      <c r="Q396" t="n">
        <v>0</v>
      </c>
      <c r="R396" s="2" t="inlineStr"/>
    </row>
    <row r="397" ht="15" customHeight="1">
      <c r="A397" t="inlineStr">
        <is>
          <t>A 58941-2019</t>
        </is>
      </c>
      <c r="B397" s="1" t="n">
        <v>43774</v>
      </c>
      <c r="C397" s="1" t="n">
        <v>45657</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58932-2019</t>
        </is>
      </c>
      <c r="B398" s="1" t="n">
        <v>43774</v>
      </c>
      <c r="C398" s="1" t="n">
        <v>45657</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58951-2019</t>
        </is>
      </c>
      <c r="B399" s="1" t="n">
        <v>43774</v>
      </c>
      <c r="C399" s="1" t="n">
        <v>45657</v>
      </c>
      <c r="D399" t="inlineStr">
        <is>
          <t>VÄSTERNORRLANDS LÄN</t>
        </is>
      </c>
      <c r="E399" t="inlineStr">
        <is>
          <t>ÅNGE</t>
        </is>
      </c>
      <c r="G399" t="n">
        <v>6.9</v>
      </c>
      <c r="H399" t="n">
        <v>0</v>
      </c>
      <c r="I399" t="n">
        <v>0</v>
      </c>
      <c r="J399" t="n">
        <v>0</v>
      </c>
      <c r="K399" t="n">
        <v>0</v>
      </c>
      <c r="L399" t="n">
        <v>0</v>
      </c>
      <c r="M399" t="n">
        <v>0</v>
      </c>
      <c r="N399" t="n">
        <v>0</v>
      </c>
      <c r="O399" t="n">
        <v>0</v>
      </c>
      <c r="P399" t="n">
        <v>0</v>
      </c>
      <c r="Q399" t="n">
        <v>0</v>
      </c>
      <c r="R399" s="2" t="inlineStr"/>
    </row>
    <row r="400" ht="15" customHeight="1">
      <c r="A400" t="inlineStr">
        <is>
          <t>A 60577-2019</t>
        </is>
      </c>
      <c r="B400" s="1" t="n">
        <v>43781</v>
      </c>
      <c r="C400" s="1" t="n">
        <v>45657</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60687-2019</t>
        </is>
      </c>
      <c r="B401" s="1" t="n">
        <v>43781</v>
      </c>
      <c r="C401" s="1" t="n">
        <v>45657</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60868-2019</t>
        </is>
      </c>
      <c r="B402" s="1" t="n">
        <v>43781</v>
      </c>
      <c r="C402" s="1" t="n">
        <v>45657</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61521-2019</t>
        </is>
      </c>
      <c r="B403" s="1" t="n">
        <v>43783</v>
      </c>
      <c r="C403" s="1" t="n">
        <v>45657</v>
      </c>
      <c r="D403" t="inlineStr">
        <is>
          <t>VÄSTERNORRLANDS LÄN</t>
        </is>
      </c>
      <c r="E403" t="inlineStr">
        <is>
          <t>ÅNGE</t>
        </is>
      </c>
      <c r="F403" t="inlineStr">
        <is>
          <t>SCA</t>
        </is>
      </c>
      <c r="G403" t="n">
        <v>40.5</v>
      </c>
      <c r="H403" t="n">
        <v>0</v>
      </c>
      <c r="I403" t="n">
        <v>0</v>
      </c>
      <c r="J403" t="n">
        <v>0</v>
      </c>
      <c r="K403" t="n">
        <v>0</v>
      </c>
      <c r="L403" t="n">
        <v>0</v>
      </c>
      <c r="M403" t="n">
        <v>0</v>
      </c>
      <c r="N403" t="n">
        <v>0</v>
      </c>
      <c r="O403" t="n">
        <v>0</v>
      </c>
      <c r="P403" t="n">
        <v>0</v>
      </c>
      <c r="Q403" t="n">
        <v>0</v>
      </c>
      <c r="R403" s="2" t="inlineStr"/>
    </row>
    <row r="404" ht="15" customHeight="1">
      <c r="A404" t="inlineStr">
        <is>
          <t>A 61520-2019</t>
        </is>
      </c>
      <c r="B404" s="1" t="n">
        <v>43783</v>
      </c>
      <c r="C404" s="1" t="n">
        <v>45657</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61918-2019</t>
        </is>
      </c>
      <c r="B405" s="1" t="n">
        <v>43787</v>
      </c>
      <c r="C405" s="1" t="n">
        <v>45657</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61862-2019</t>
        </is>
      </c>
      <c r="B406" s="1" t="n">
        <v>43787</v>
      </c>
      <c r="C406" s="1" t="n">
        <v>45657</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62222-2019</t>
        </is>
      </c>
      <c r="B407" s="1" t="n">
        <v>43788</v>
      </c>
      <c r="C407" s="1" t="n">
        <v>45657</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62925-2019</t>
        </is>
      </c>
      <c r="B408" s="1" t="n">
        <v>43790</v>
      </c>
      <c r="C408" s="1" t="n">
        <v>45657</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63300-2019</t>
        </is>
      </c>
      <c r="B409" s="1" t="n">
        <v>43794</v>
      </c>
      <c r="C409" s="1" t="n">
        <v>45657</v>
      </c>
      <c r="D409" t="inlineStr">
        <is>
          <t>VÄSTERNORRLANDS LÄN</t>
        </is>
      </c>
      <c r="E409" t="inlineStr">
        <is>
          <t>ÅNGE</t>
        </is>
      </c>
      <c r="G409" t="n">
        <v>3</v>
      </c>
      <c r="H409" t="n">
        <v>0</v>
      </c>
      <c r="I409" t="n">
        <v>0</v>
      </c>
      <c r="J409" t="n">
        <v>0</v>
      </c>
      <c r="K409" t="n">
        <v>0</v>
      </c>
      <c r="L409" t="n">
        <v>0</v>
      </c>
      <c r="M409" t="n">
        <v>0</v>
      </c>
      <c r="N409" t="n">
        <v>0</v>
      </c>
      <c r="O409" t="n">
        <v>0</v>
      </c>
      <c r="P409" t="n">
        <v>0</v>
      </c>
      <c r="Q409" t="n">
        <v>0</v>
      </c>
      <c r="R409" s="2" t="inlineStr"/>
    </row>
    <row r="410" ht="15" customHeight="1">
      <c r="A410" t="inlineStr">
        <is>
          <t>A 63329-2019</t>
        </is>
      </c>
      <c r="B410" s="1" t="n">
        <v>43794</v>
      </c>
      <c r="C410" s="1" t="n">
        <v>45657</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63453-2019</t>
        </is>
      </c>
      <c r="B411" s="1" t="n">
        <v>43794</v>
      </c>
      <c r="C411" s="1" t="n">
        <v>45657</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63324-2019</t>
        </is>
      </c>
      <c r="B412" s="1" t="n">
        <v>43794</v>
      </c>
      <c r="C412" s="1" t="n">
        <v>45657</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63549-2019</t>
        </is>
      </c>
      <c r="B413" s="1" t="n">
        <v>43794</v>
      </c>
      <c r="C413" s="1" t="n">
        <v>45657</v>
      </c>
      <c r="D413" t="inlineStr">
        <is>
          <t>VÄSTERNORRLANDS LÄN</t>
        </is>
      </c>
      <c r="E413" t="inlineStr">
        <is>
          <t>ÅNGE</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63454-2019</t>
        </is>
      </c>
      <c r="B414" s="1" t="n">
        <v>43794</v>
      </c>
      <c r="C414" s="1" t="n">
        <v>45657</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63679-2019</t>
        </is>
      </c>
      <c r="B415" s="1" t="n">
        <v>43795</v>
      </c>
      <c r="C415" s="1" t="n">
        <v>45657</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63677-2019</t>
        </is>
      </c>
      <c r="B416" s="1" t="n">
        <v>43795</v>
      </c>
      <c r="C416" s="1" t="n">
        <v>45657</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63683-2019</t>
        </is>
      </c>
      <c r="B417" s="1" t="n">
        <v>43795</v>
      </c>
      <c r="C417" s="1" t="n">
        <v>45657</v>
      </c>
      <c r="D417" t="inlineStr">
        <is>
          <t>VÄSTERNORRLANDS LÄN</t>
        </is>
      </c>
      <c r="E417" t="inlineStr">
        <is>
          <t>ÅNGE</t>
        </is>
      </c>
      <c r="G417" t="n">
        <v>2.4</v>
      </c>
      <c r="H417" t="n">
        <v>0</v>
      </c>
      <c r="I417" t="n">
        <v>0</v>
      </c>
      <c r="J417" t="n">
        <v>0</v>
      </c>
      <c r="K417" t="n">
        <v>0</v>
      </c>
      <c r="L417" t="n">
        <v>0</v>
      </c>
      <c r="M417" t="n">
        <v>0</v>
      </c>
      <c r="N417" t="n">
        <v>0</v>
      </c>
      <c r="O417" t="n">
        <v>0</v>
      </c>
      <c r="P417" t="n">
        <v>0</v>
      </c>
      <c r="Q417" t="n">
        <v>0</v>
      </c>
      <c r="R417" s="2" t="inlineStr"/>
    </row>
    <row r="418" ht="15" customHeight="1">
      <c r="A418" t="inlineStr">
        <is>
          <t>A 65050-2019</t>
        </is>
      </c>
      <c r="B418" s="1" t="n">
        <v>43801</v>
      </c>
      <c r="C418" s="1" t="n">
        <v>45657</v>
      </c>
      <c r="D418" t="inlineStr">
        <is>
          <t>VÄSTERNORRLANDS LÄN</t>
        </is>
      </c>
      <c r="E418" t="inlineStr">
        <is>
          <t>ÅNGE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65046-2019</t>
        </is>
      </c>
      <c r="B419" s="1" t="n">
        <v>43801</v>
      </c>
      <c r="C419" s="1" t="n">
        <v>45657</v>
      </c>
      <c r="D419" t="inlineStr">
        <is>
          <t>VÄSTERNORRLANDS LÄN</t>
        </is>
      </c>
      <c r="E419" t="inlineStr">
        <is>
          <t>ÅNGE</t>
        </is>
      </c>
      <c r="G419" t="n">
        <v>17.3</v>
      </c>
      <c r="H419" t="n">
        <v>0</v>
      </c>
      <c r="I419" t="n">
        <v>0</v>
      </c>
      <c r="J419" t="n">
        <v>0</v>
      </c>
      <c r="K419" t="n">
        <v>0</v>
      </c>
      <c r="L419" t="n">
        <v>0</v>
      </c>
      <c r="M419" t="n">
        <v>0</v>
      </c>
      <c r="N419" t="n">
        <v>0</v>
      </c>
      <c r="O419" t="n">
        <v>0</v>
      </c>
      <c r="P419" t="n">
        <v>0</v>
      </c>
      <c r="Q419" t="n">
        <v>0</v>
      </c>
      <c r="R419" s="2" t="inlineStr"/>
    </row>
    <row r="420" ht="15" customHeight="1">
      <c r="A420" t="inlineStr">
        <is>
          <t>A 65049-2019</t>
        </is>
      </c>
      <c r="B420" s="1" t="n">
        <v>43801</v>
      </c>
      <c r="C420" s="1" t="n">
        <v>45657</v>
      </c>
      <c r="D420" t="inlineStr">
        <is>
          <t>VÄSTERNORRLANDS LÄN</t>
        </is>
      </c>
      <c r="E420" t="inlineStr">
        <is>
          <t>ÅNGE</t>
        </is>
      </c>
      <c r="G420" t="n">
        <v>3.3</v>
      </c>
      <c r="H420" t="n">
        <v>0</v>
      </c>
      <c r="I420" t="n">
        <v>0</v>
      </c>
      <c r="J420" t="n">
        <v>0</v>
      </c>
      <c r="K420" t="n">
        <v>0</v>
      </c>
      <c r="L420" t="n">
        <v>0</v>
      </c>
      <c r="M420" t="n">
        <v>0</v>
      </c>
      <c r="N420" t="n">
        <v>0</v>
      </c>
      <c r="O420" t="n">
        <v>0</v>
      </c>
      <c r="P420" t="n">
        <v>0</v>
      </c>
      <c r="Q420" t="n">
        <v>0</v>
      </c>
      <c r="R420" s="2" t="inlineStr"/>
    </row>
    <row r="421" ht="15" customHeight="1">
      <c r="A421" t="inlineStr">
        <is>
          <t>A 65048-2019</t>
        </is>
      </c>
      <c r="B421" s="1" t="n">
        <v>43801</v>
      </c>
      <c r="C421" s="1" t="n">
        <v>45657</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65951-2019</t>
        </is>
      </c>
      <c r="B422" s="1" t="n">
        <v>43805</v>
      </c>
      <c r="C422" s="1" t="n">
        <v>45657</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65909-2019</t>
        </is>
      </c>
      <c r="B423" s="1" t="n">
        <v>43805</v>
      </c>
      <c r="C423" s="1" t="n">
        <v>45657</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66048-2019</t>
        </is>
      </c>
      <c r="B424" s="1" t="n">
        <v>43805</v>
      </c>
      <c r="C424" s="1" t="n">
        <v>45657</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66017-2019</t>
        </is>
      </c>
      <c r="B425" s="1" t="n">
        <v>43805</v>
      </c>
      <c r="C425" s="1" t="n">
        <v>45657</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66013-2019</t>
        </is>
      </c>
      <c r="B426" s="1" t="n">
        <v>43805</v>
      </c>
      <c r="C426" s="1" t="n">
        <v>45657</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68809-2019</t>
        </is>
      </c>
      <c r="B427" s="1" t="n">
        <v>43815</v>
      </c>
      <c r="C427" s="1" t="n">
        <v>45657</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714-2020</t>
        </is>
      </c>
      <c r="B428" s="1" t="n">
        <v>43818</v>
      </c>
      <c r="C428" s="1" t="n">
        <v>45657</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68807-2019</t>
        </is>
      </c>
      <c r="B429" s="1" t="n">
        <v>43819</v>
      </c>
      <c r="C429" s="1" t="n">
        <v>45657</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69169-2019</t>
        </is>
      </c>
      <c r="B430" s="1" t="n">
        <v>43830</v>
      </c>
      <c r="C430" s="1" t="n">
        <v>45657</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69171-2019</t>
        </is>
      </c>
      <c r="B431" s="1" t="n">
        <v>43830</v>
      </c>
      <c r="C431" s="1" t="n">
        <v>45657</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114-2020</t>
        </is>
      </c>
      <c r="B432" s="1" t="n">
        <v>43832</v>
      </c>
      <c r="C432" s="1" t="n">
        <v>45657</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531-2020</t>
        </is>
      </c>
      <c r="B433" s="1" t="n">
        <v>43837</v>
      </c>
      <c r="C433" s="1" t="n">
        <v>45657</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664-2020</t>
        </is>
      </c>
      <c r="B434" s="1" t="n">
        <v>43838</v>
      </c>
      <c r="C434" s="1" t="n">
        <v>45657</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2650-2020</t>
        </is>
      </c>
      <c r="B435" s="1" t="n">
        <v>43847</v>
      </c>
      <c r="C435" s="1" t="n">
        <v>45657</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3658-2020</t>
        </is>
      </c>
      <c r="B436" s="1" t="n">
        <v>43853</v>
      </c>
      <c r="C436" s="1" t="n">
        <v>45657</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3664-2020</t>
        </is>
      </c>
      <c r="B437" s="1" t="n">
        <v>43853</v>
      </c>
      <c r="C437" s="1" t="n">
        <v>45657</v>
      </c>
      <c r="D437" t="inlineStr">
        <is>
          <t>VÄSTERNORRLANDS LÄN</t>
        </is>
      </c>
      <c r="E437" t="inlineStr">
        <is>
          <t>ÅNGE</t>
        </is>
      </c>
      <c r="G437" t="n">
        <v>10.8</v>
      </c>
      <c r="H437" t="n">
        <v>0</v>
      </c>
      <c r="I437" t="n">
        <v>0</v>
      </c>
      <c r="J437" t="n">
        <v>0</v>
      </c>
      <c r="K437" t="n">
        <v>0</v>
      </c>
      <c r="L437" t="n">
        <v>0</v>
      </c>
      <c r="M437" t="n">
        <v>0</v>
      </c>
      <c r="N437" t="n">
        <v>0</v>
      </c>
      <c r="O437" t="n">
        <v>0</v>
      </c>
      <c r="P437" t="n">
        <v>0</v>
      </c>
      <c r="Q437" t="n">
        <v>0</v>
      </c>
      <c r="R437" s="2" t="inlineStr"/>
    </row>
    <row r="438" ht="15" customHeight="1">
      <c r="A438" t="inlineStr">
        <is>
          <t>A 3993-2020</t>
        </is>
      </c>
      <c r="B438" s="1" t="n">
        <v>43856</v>
      </c>
      <c r="C438" s="1" t="n">
        <v>45657</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4365-2020</t>
        </is>
      </c>
      <c r="B439" s="1" t="n">
        <v>43857</v>
      </c>
      <c r="C439" s="1" t="n">
        <v>45657</v>
      </c>
      <c r="D439" t="inlineStr">
        <is>
          <t>VÄSTERNORRLANDS LÄN</t>
        </is>
      </c>
      <c r="E439" t="inlineStr">
        <is>
          <t>ÅNGE</t>
        </is>
      </c>
      <c r="G439" t="n">
        <v>0.3</v>
      </c>
      <c r="H439" t="n">
        <v>0</v>
      </c>
      <c r="I439" t="n">
        <v>0</v>
      </c>
      <c r="J439" t="n">
        <v>0</v>
      </c>
      <c r="K439" t="n">
        <v>0</v>
      </c>
      <c r="L439" t="n">
        <v>0</v>
      </c>
      <c r="M439" t="n">
        <v>0</v>
      </c>
      <c r="N439" t="n">
        <v>0</v>
      </c>
      <c r="O439" t="n">
        <v>0</v>
      </c>
      <c r="P439" t="n">
        <v>0</v>
      </c>
      <c r="Q439" t="n">
        <v>0</v>
      </c>
      <c r="R439" s="2" t="inlineStr"/>
    </row>
    <row r="440" ht="15" customHeight="1">
      <c r="A440" t="inlineStr">
        <is>
          <t>A 4458-2020</t>
        </is>
      </c>
      <c r="B440" s="1" t="n">
        <v>43858</v>
      </c>
      <c r="C440" s="1" t="n">
        <v>45657</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5102-2020</t>
        </is>
      </c>
      <c r="B441" s="1" t="n">
        <v>43859</v>
      </c>
      <c r="C441" s="1" t="n">
        <v>45657</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5975-2020</t>
        </is>
      </c>
      <c r="B442" s="1" t="n">
        <v>43864</v>
      </c>
      <c r="C442" s="1" t="n">
        <v>45657</v>
      </c>
      <c r="D442" t="inlineStr">
        <is>
          <t>VÄSTERNORRLANDS LÄN</t>
        </is>
      </c>
      <c r="E442" t="inlineStr">
        <is>
          <t>ÅNGE</t>
        </is>
      </c>
      <c r="G442" t="n">
        <v>6.5</v>
      </c>
      <c r="H442" t="n">
        <v>0</v>
      </c>
      <c r="I442" t="n">
        <v>0</v>
      </c>
      <c r="J442" t="n">
        <v>0</v>
      </c>
      <c r="K442" t="n">
        <v>0</v>
      </c>
      <c r="L442" t="n">
        <v>0</v>
      </c>
      <c r="M442" t="n">
        <v>0</v>
      </c>
      <c r="N442" t="n">
        <v>0</v>
      </c>
      <c r="O442" t="n">
        <v>0</v>
      </c>
      <c r="P442" t="n">
        <v>0</v>
      </c>
      <c r="Q442" t="n">
        <v>0</v>
      </c>
      <c r="R442" s="2" t="inlineStr"/>
    </row>
    <row r="443" ht="15" customHeight="1">
      <c r="A443" t="inlineStr">
        <is>
          <t>A 6393-2020</t>
        </is>
      </c>
      <c r="B443" s="1" t="n">
        <v>43866</v>
      </c>
      <c r="C443" s="1" t="n">
        <v>45657</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6557-2020</t>
        </is>
      </c>
      <c r="B444" s="1" t="n">
        <v>43867</v>
      </c>
      <c r="C444" s="1" t="n">
        <v>45657</v>
      </c>
      <c r="D444" t="inlineStr">
        <is>
          <t>VÄSTERNORRLANDS LÄN</t>
        </is>
      </c>
      <c r="E444" t="inlineStr">
        <is>
          <t>ÅNGE</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6551-2020</t>
        </is>
      </c>
      <c r="B445" s="1" t="n">
        <v>43867</v>
      </c>
      <c r="C445" s="1" t="n">
        <v>45657</v>
      </c>
      <c r="D445" t="inlineStr">
        <is>
          <t>VÄSTERNORRLANDS LÄN</t>
        </is>
      </c>
      <c r="E445" t="inlineStr">
        <is>
          <t>ÅNGE</t>
        </is>
      </c>
      <c r="G445" t="n">
        <v>12.5</v>
      </c>
      <c r="H445" t="n">
        <v>0</v>
      </c>
      <c r="I445" t="n">
        <v>0</v>
      </c>
      <c r="J445" t="n">
        <v>0</v>
      </c>
      <c r="K445" t="n">
        <v>0</v>
      </c>
      <c r="L445" t="n">
        <v>0</v>
      </c>
      <c r="M445" t="n">
        <v>0</v>
      </c>
      <c r="N445" t="n">
        <v>0</v>
      </c>
      <c r="O445" t="n">
        <v>0</v>
      </c>
      <c r="P445" t="n">
        <v>0</v>
      </c>
      <c r="Q445" t="n">
        <v>0</v>
      </c>
      <c r="R445" s="2" t="inlineStr"/>
    </row>
    <row r="446" ht="15" customHeight="1">
      <c r="A446" t="inlineStr">
        <is>
          <t>A 6563-2020</t>
        </is>
      </c>
      <c r="B446" s="1" t="n">
        <v>43867</v>
      </c>
      <c r="C446" s="1" t="n">
        <v>45657</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6555-2020</t>
        </is>
      </c>
      <c r="B447" s="1" t="n">
        <v>43867</v>
      </c>
      <c r="C447" s="1" t="n">
        <v>45657</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6562-2020</t>
        </is>
      </c>
      <c r="B448" s="1" t="n">
        <v>43867</v>
      </c>
      <c r="C448" s="1" t="n">
        <v>45657</v>
      </c>
      <c r="D448" t="inlineStr">
        <is>
          <t>VÄSTERNORRLANDS LÄN</t>
        </is>
      </c>
      <c r="E448" t="inlineStr">
        <is>
          <t>ÅNGE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6565-2020</t>
        </is>
      </c>
      <c r="B449" s="1" t="n">
        <v>43867</v>
      </c>
      <c r="C449" s="1" t="n">
        <v>45657</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7787-2020</t>
        </is>
      </c>
      <c r="B450" s="1" t="n">
        <v>43872</v>
      </c>
      <c r="C450" s="1" t="n">
        <v>45657</v>
      </c>
      <c r="D450" t="inlineStr">
        <is>
          <t>VÄSTERNORRLANDS LÄN</t>
        </is>
      </c>
      <c r="E450" t="inlineStr">
        <is>
          <t>ÅNGE</t>
        </is>
      </c>
      <c r="F450" t="inlineStr">
        <is>
          <t>SCA</t>
        </is>
      </c>
      <c r="G450" t="n">
        <v>22.8</v>
      </c>
      <c r="H450" t="n">
        <v>0</v>
      </c>
      <c r="I450" t="n">
        <v>0</v>
      </c>
      <c r="J450" t="n">
        <v>0</v>
      </c>
      <c r="K450" t="n">
        <v>0</v>
      </c>
      <c r="L450" t="n">
        <v>0</v>
      </c>
      <c r="M450" t="n">
        <v>0</v>
      </c>
      <c r="N450" t="n">
        <v>0</v>
      </c>
      <c r="O450" t="n">
        <v>0</v>
      </c>
      <c r="P450" t="n">
        <v>0</v>
      </c>
      <c r="Q450" t="n">
        <v>0</v>
      </c>
      <c r="R450" s="2" t="inlineStr"/>
    </row>
    <row r="451" ht="15" customHeight="1">
      <c r="A451" t="inlineStr">
        <is>
          <t>A 8533-2020</t>
        </is>
      </c>
      <c r="B451" s="1" t="n">
        <v>43875</v>
      </c>
      <c r="C451" s="1" t="n">
        <v>45657</v>
      </c>
      <c r="D451" t="inlineStr">
        <is>
          <t>VÄSTERNORRLANDS LÄN</t>
        </is>
      </c>
      <c r="E451" t="inlineStr">
        <is>
          <t>ÅNGE</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8534-2020</t>
        </is>
      </c>
      <c r="B452" s="1" t="n">
        <v>43875</v>
      </c>
      <c r="C452" s="1" t="n">
        <v>45657</v>
      </c>
      <c r="D452" t="inlineStr">
        <is>
          <t>VÄSTERNORRLANDS LÄN</t>
        </is>
      </c>
      <c r="E452" t="inlineStr">
        <is>
          <t>ÅNGE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10144-2020</t>
        </is>
      </c>
      <c r="B453" s="1" t="n">
        <v>43886</v>
      </c>
      <c r="C453" s="1" t="n">
        <v>45657</v>
      </c>
      <c r="D453" t="inlineStr">
        <is>
          <t>VÄSTERNORRLANDS LÄN</t>
        </is>
      </c>
      <c r="E453" t="inlineStr">
        <is>
          <t>ÅNGE</t>
        </is>
      </c>
      <c r="F453" t="inlineStr">
        <is>
          <t>SCA</t>
        </is>
      </c>
      <c r="G453" t="n">
        <v>21.7</v>
      </c>
      <c r="H453" t="n">
        <v>0</v>
      </c>
      <c r="I453" t="n">
        <v>0</v>
      </c>
      <c r="J453" t="n">
        <v>0</v>
      </c>
      <c r="K453" t="n">
        <v>0</v>
      </c>
      <c r="L453" t="n">
        <v>0</v>
      </c>
      <c r="M453" t="n">
        <v>0</v>
      </c>
      <c r="N453" t="n">
        <v>0</v>
      </c>
      <c r="O453" t="n">
        <v>0</v>
      </c>
      <c r="P453" t="n">
        <v>0</v>
      </c>
      <c r="Q453" t="n">
        <v>0</v>
      </c>
      <c r="R453" s="2" t="inlineStr"/>
    </row>
    <row r="454" ht="15" customHeight="1">
      <c r="A454" t="inlineStr">
        <is>
          <t>A 10145-2020</t>
        </is>
      </c>
      <c r="B454" s="1" t="n">
        <v>43886</v>
      </c>
      <c r="C454" s="1" t="n">
        <v>45657</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11101-2020</t>
        </is>
      </c>
      <c r="B455" s="1" t="n">
        <v>43889</v>
      </c>
      <c r="C455" s="1" t="n">
        <v>45657</v>
      </c>
      <c r="D455" t="inlineStr">
        <is>
          <t>VÄSTERNORRLANDS LÄN</t>
        </is>
      </c>
      <c r="E455" t="inlineStr">
        <is>
          <t>ÅNGE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12866-2020</t>
        </is>
      </c>
      <c r="B456" s="1" t="n">
        <v>43899</v>
      </c>
      <c r="C456" s="1" t="n">
        <v>45657</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12868-2020</t>
        </is>
      </c>
      <c r="B457" s="1" t="n">
        <v>43899</v>
      </c>
      <c r="C457" s="1" t="n">
        <v>45657</v>
      </c>
      <c r="D457" t="inlineStr">
        <is>
          <t>VÄSTERNORRLANDS LÄN</t>
        </is>
      </c>
      <c r="E457" t="inlineStr">
        <is>
          <t>ÅNGE</t>
        </is>
      </c>
      <c r="G457" t="n">
        <v>9.6</v>
      </c>
      <c r="H457" t="n">
        <v>0</v>
      </c>
      <c r="I457" t="n">
        <v>0</v>
      </c>
      <c r="J457" t="n">
        <v>0</v>
      </c>
      <c r="K457" t="n">
        <v>0</v>
      </c>
      <c r="L457" t="n">
        <v>0</v>
      </c>
      <c r="M457" t="n">
        <v>0</v>
      </c>
      <c r="N457" t="n">
        <v>0</v>
      </c>
      <c r="O457" t="n">
        <v>0</v>
      </c>
      <c r="P457" t="n">
        <v>0</v>
      </c>
      <c r="Q457" t="n">
        <v>0</v>
      </c>
      <c r="R457" s="2" t="inlineStr"/>
    </row>
    <row r="458" ht="15" customHeight="1">
      <c r="A458" t="inlineStr">
        <is>
          <t>A 13559-2020</t>
        </is>
      </c>
      <c r="B458" s="1" t="n">
        <v>43902</v>
      </c>
      <c r="C458" s="1" t="n">
        <v>45657</v>
      </c>
      <c r="D458" t="inlineStr">
        <is>
          <t>VÄSTERNORRLANDS LÄN</t>
        </is>
      </c>
      <c r="E458" t="inlineStr">
        <is>
          <t>ÅNGE</t>
        </is>
      </c>
      <c r="F458" t="inlineStr">
        <is>
          <t>SCA</t>
        </is>
      </c>
      <c r="G458" t="n">
        <v>24.5</v>
      </c>
      <c r="H458" t="n">
        <v>0</v>
      </c>
      <c r="I458" t="n">
        <v>0</v>
      </c>
      <c r="J458" t="n">
        <v>0</v>
      </c>
      <c r="K458" t="n">
        <v>0</v>
      </c>
      <c r="L458" t="n">
        <v>0</v>
      </c>
      <c r="M458" t="n">
        <v>0</v>
      </c>
      <c r="N458" t="n">
        <v>0</v>
      </c>
      <c r="O458" t="n">
        <v>0</v>
      </c>
      <c r="P458" t="n">
        <v>0</v>
      </c>
      <c r="Q458" t="n">
        <v>0</v>
      </c>
      <c r="R458" s="2" t="inlineStr"/>
    </row>
    <row r="459" ht="15" customHeight="1">
      <c r="A459" t="inlineStr">
        <is>
          <t>A 14586-2020</t>
        </is>
      </c>
      <c r="B459" s="1" t="n">
        <v>43908</v>
      </c>
      <c r="C459" s="1" t="n">
        <v>45657</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17101-2020</t>
        </is>
      </c>
      <c r="B460" s="1" t="n">
        <v>43914</v>
      </c>
      <c r="C460" s="1" t="n">
        <v>45657</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17098-2020</t>
        </is>
      </c>
      <c r="B461" s="1" t="n">
        <v>43914</v>
      </c>
      <c r="C461" s="1" t="n">
        <v>45657</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17007-2020</t>
        </is>
      </c>
      <c r="B462" s="1" t="n">
        <v>43921</v>
      </c>
      <c r="C462" s="1" t="n">
        <v>45657</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17069-2020</t>
        </is>
      </c>
      <c r="B463" s="1" t="n">
        <v>43921</v>
      </c>
      <c r="C463" s="1" t="n">
        <v>45657</v>
      </c>
      <c r="D463" t="inlineStr">
        <is>
          <t>VÄSTERNORRLANDS LÄN</t>
        </is>
      </c>
      <c r="E463" t="inlineStr">
        <is>
          <t>ÅNGE</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19125-2020</t>
        </is>
      </c>
      <c r="B464" s="1" t="n">
        <v>43936</v>
      </c>
      <c r="C464" s="1" t="n">
        <v>45657</v>
      </c>
      <c r="D464" t="inlineStr">
        <is>
          <t>VÄSTERNORRLANDS LÄN</t>
        </is>
      </c>
      <c r="E464" t="inlineStr">
        <is>
          <t>ÅNGE</t>
        </is>
      </c>
      <c r="G464" t="n">
        <v>1.9</v>
      </c>
      <c r="H464" t="n">
        <v>0</v>
      </c>
      <c r="I464" t="n">
        <v>0</v>
      </c>
      <c r="J464" t="n">
        <v>0</v>
      </c>
      <c r="K464" t="n">
        <v>0</v>
      </c>
      <c r="L464" t="n">
        <v>0</v>
      </c>
      <c r="M464" t="n">
        <v>0</v>
      </c>
      <c r="N464" t="n">
        <v>0</v>
      </c>
      <c r="O464" t="n">
        <v>0</v>
      </c>
      <c r="P464" t="n">
        <v>0</v>
      </c>
      <c r="Q464" t="n">
        <v>0</v>
      </c>
      <c r="R464" s="2" t="inlineStr"/>
    </row>
    <row r="465" ht="15" customHeight="1">
      <c r="A465" t="inlineStr">
        <is>
          <t>A 19619-2020</t>
        </is>
      </c>
      <c r="B465" s="1" t="n">
        <v>43941</v>
      </c>
      <c r="C465" s="1" t="n">
        <v>45657</v>
      </c>
      <c r="D465" t="inlineStr">
        <is>
          <t>VÄSTERNORRLANDS LÄN</t>
        </is>
      </c>
      <c r="E465" t="inlineStr">
        <is>
          <t>ÅNGE</t>
        </is>
      </c>
      <c r="G465" t="n">
        <v>4.6</v>
      </c>
      <c r="H465" t="n">
        <v>0</v>
      </c>
      <c r="I465" t="n">
        <v>0</v>
      </c>
      <c r="J465" t="n">
        <v>0</v>
      </c>
      <c r="K465" t="n">
        <v>0</v>
      </c>
      <c r="L465" t="n">
        <v>0</v>
      </c>
      <c r="M465" t="n">
        <v>0</v>
      </c>
      <c r="N465" t="n">
        <v>0</v>
      </c>
      <c r="O465" t="n">
        <v>0</v>
      </c>
      <c r="P465" t="n">
        <v>0</v>
      </c>
      <c r="Q465" t="n">
        <v>0</v>
      </c>
      <c r="R465" s="2" t="inlineStr"/>
    </row>
    <row r="466" ht="15" customHeight="1">
      <c r="A466" t="inlineStr">
        <is>
          <t>A 20079-2020</t>
        </is>
      </c>
      <c r="B466" s="1" t="n">
        <v>43943</v>
      </c>
      <c r="C466" s="1" t="n">
        <v>45657</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20211-2020</t>
        </is>
      </c>
      <c r="B467" s="1" t="n">
        <v>43944</v>
      </c>
      <c r="C467" s="1" t="n">
        <v>45657</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20192-2020</t>
        </is>
      </c>
      <c r="B468" s="1" t="n">
        <v>43944</v>
      </c>
      <c r="C468" s="1" t="n">
        <v>45657</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20820-2020</t>
        </is>
      </c>
      <c r="B469" s="1" t="n">
        <v>43949</v>
      </c>
      <c r="C469" s="1" t="n">
        <v>45657</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21207-2020</t>
        </is>
      </c>
      <c r="B470" s="1" t="n">
        <v>43951</v>
      </c>
      <c r="C470" s="1" t="n">
        <v>45657</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21763-2020</t>
        </is>
      </c>
      <c r="B471" s="1" t="n">
        <v>43957</v>
      </c>
      <c r="C471" s="1" t="n">
        <v>45657</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22041-2020</t>
        </is>
      </c>
      <c r="B472" s="1" t="n">
        <v>43959</v>
      </c>
      <c r="C472" s="1" t="n">
        <v>45657</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22039-2020</t>
        </is>
      </c>
      <c r="B473" s="1" t="n">
        <v>43959</v>
      </c>
      <c r="C473" s="1" t="n">
        <v>45657</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22552-2020</t>
        </is>
      </c>
      <c r="B474" s="1" t="n">
        <v>43963</v>
      </c>
      <c r="C474" s="1" t="n">
        <v>45657</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22690-2020</t>
        </is>
      </c>
      <c r="B475" s="1" t="n">
        <v>43963</v>
      </c>
      <c r="C475" s="1" t="n">
        <v>45657</v>
      </c>
      <c r="D475" t="inlineStr">
        <is>
          <t>VÄSTERNORRLANDS LÄN</t>
        </is>
      </c>
      <c r="E475" t="inlineStr">
        <is>
          <t>ÅNGE</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22911-2020</t>
        </is>
      </c>
      <c r="B476" s="1" t="n">
        <v>43964</v>
      </c>
      <c r="C476" s="1" t="n">
        <v>45657</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22907-2020</t>
        </is>
      </c>
      <c r="B477" s="1" t="n">
        <v>43964</v>
      </c>
      <c r="C477" s="1" t="n">
        <v>45657</v>
      </c>
      <c r="D477" t="inlineStr">
        <is>
          <t>VÄSTERNORRLANDS LÄN</t>
        </is>
      </c>
      <c r="E477" t="inlineStr">
        <is>
          <t>ÅNGE</t>
        </is>
      </c>
      <c r="G477" t="n">
        <v>2.9</v>
      </c>
      <c r="H477" t="n">
        <v>0</v>
      </c>
      <c r="I477" t="n">
        <v>0</v>
      </c>
      <c r="J477" t="n">
        <v>0</v>
      </c>
      <c r="K477" t="n">
        <v>0</v>
      </c>
      <c r="L477" t="n">
        <v>0</v>
      </c>
      <c r="M477" t="n">
        <v>0</v>
      </c>
      <c r="N477" t="n">
        <v>0</v>
      </c>
      <c r="O477" t="n">
        <v>0</v>
      </c>
      <c r="P477" t="n">
        <v>0</v>
      </c>
      <c r="Q477" t="n">
        <v>0</v>
      </c>
      <c r="R477" s="2" t="inlineStr"/>
    </row>
    <row r="478" ht="15" customHeight="1">
      <c r="A478" t="inlineStr">
        <is>
          <t>A 22909-2020</t>
        </is>
      </c>
      <c r="B478" s="1" t="n">
        <v>43964</v>
      </c>
      <c r="C478" s="1" t="n">
        <v>45657</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23352-2020</t>
        </is>
      </c>
      <c r="B479" s="1" t="n">
        <v>43966</v>
      </c>
      <c r="C479" s="1" t="n">
        <v>45657</v>
      </c>
      <c r="D479" t="inlineStr">
        <is>
          <t>VÄSTERNORRLANDS LÄN</t>
        </is>
      </c>
      <c r="E479" t="inlineStr">
        <is>
          <t>ÅNGE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23660-2020</t>
        </is>
      </c>
      <c r="B480" s="1" t="n">
        <v>43969</v>
      </c>
      <c r="C480" s="1" t="n">
        <v>45657</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24353-2020</t>
        </is>
      </c>
      <c r="B481" s="1" t="n">
        <v>43976</v>
      </c>
      <c r="C481" s="1" t="n">
        <v>45657</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24411-2020</t>
        </is>
      </c>
      <c r="B482" s="1" t="n">
        <v>43976</v>
      </c>
      <c r="C482" s="1" t="n">
        <v>45657</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24361-2020</t>
        </is>
      </c>
      <c r="B483" s="1" t="n">
        <v>43976</v>
      </c>
      <c r="C483" s="1" t="n">
        <v>45657</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24696-2020</t>
        </is>
      </c>
      <c r="B484" s="1" t="n">
        <v>43978</v>
      </c>
      <c r="C484" s="1" t="n">
        <v>45657</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24857-2020</t>
        </is>
      </c>
      <c r="B485" s="1" t="n">
        <v>43978</v>
      </c>
      <c r="C485" s="1" t="n">
        <v>45657</v>
      </c>
      <c r="D485" t="inlineStr">
        <is>
          <t>VÄSTERNORRLANDS LÄN</t>
        </is>
      </c>
      <c r="E485" t="inlineStr">
        <is>
          <t>ÅNGE</t>
        </is>
      </c>
      <c r="G485" t="n">
        <v>5</v>
      </c>
      <c r="H485" t="n">
        <v>0</v>
      </c>
      <c r="I485" t="n">
        <v>0</v>
      </c>
      <c r="J485" t="n">
        <v>0</v>
      </c>
      <c r="K485" t="n">
        <v>0</v>
      </c>
      <c r="L485" t="n">
        <v>0</v>
      </c>
      <c r="M485" t="n">
        <v>0</v>
      </c>
      <c r="N485" t="n">
        <v>0</v>
      </c>
      <c r="O485" t="n">
        <v>0</v>
      </c>
      <c r="P485" t="n">
        <v>0</v>
      </c>
      <c r="Q485" t="n">
        <v>0</v>
      </c>
      <c r="R485" s="2" t="inlineStr"/>
    </row>
    <row r="486" ht="15" customHeight="1">
      <c r="A486" t="inlineStr">
        <is>
          <t>A 24859-2020</t>
        </is>
      </c>
      <c r="B486" s="1" t="n">
        <v>43978</v>
      </c>
      <c r="C486" s="1" t="n">
        <v>45657</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25370-2020</t>
        </is>
      </c>
      <c r="B487" s="1" t="n">
        <v>43980</v>
      </c>
      <c r="C487" s="1" t="n">
        <v>45657</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26447-2020</t>
        </is>
      </c>
      <c r="B488" s="1" t="n">
        <v>43987</v>
      </c>
      <c r="C488" s="1" t="n">
        <v>45657</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27773-2020</t>
        </is>
      </c>
      <c r="B489" s="1" t="n">
        <v>43992</v>
      </c>
      <c r="C489" s="1" t="n">
        <v>45657</v>
      </c>
      <c r="D489" t="inlineStr">
        <is>
          <t>VÄSTERNORRLANDS LÄN</t>
        </is>
      </c>
      <c r="E489" t="inlineStr">
        <is>
          <t>ÅNGE</t>
        </is>
      </c>
      <c r="G489" t="n">
        <v>7.2</v>
      </c>
      <c r="H489" t="n">
        <v>0</v>
      </c>
      <c r="I489" t="n">
        <v>0</v>
      </c>
      <c r="J489" t="n">
        <v>0</v>
      </c>
      <c r="K489" t="n">
        <v>0</v>
      </c>
      <c r="L489" t="n">
        <v>0</v>
      </c>
      <c r="M489" t="n">
        <v>0</v>
      </c>
      <c r="N489" t="n">
        <v>0</v>
      </c>
      <c r="O489" t="n">
        <v>0</v>
      </c>
      <c r="P489" t="n">
        <v>0</v>
      </c>
      <c r="Q489" t="n">
        <v>0</v>
      </c>
      <c r="R489" s="2" t="inlineStr"/>
    </row>
    <row r="490" ht="15" customHeight="1">
      <c r="A490" t="inlineStr">
        <is>
          <t>A 28064-2020</t>
        </is>
      </c>
      <c r="B490" s="1" t="n">
        <v>43997</v>
      </c>
      <c r="C490" s="1" t="n">
        <v>45657</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28890-2020</t>
        </is>
      </c>
      <c r="B491" s="1" t="n">
        <v>44000</v>
      </c>
      <c r="C491" s="1" t="n">
        <v>45657</v>
      </c>
      <c r="D491" t="inlineStr">
        <is>
          <t>VÄSTERNORRLANDS LÄN</t>
        </is>
      </c>
      <c r="E491" t="inlineStr">
        <is>
          <t>ÅNGE</t>
        </is>
      </c>
      <c r="G491" t="n">
        <v>15.2</v>
      </c>
      <c r="H491" t="n">
        <v>0</v>
      </c>
      <c r="I491" t="n">
        <v>0</v>
      </c>
      <c r="J491" t="n">
        <v>0</v>
      </c>
      <c r="K491" t="n">
        <v>0</v>
      </c>
      <c r="L491" t="n">
        <v>0</v>
      </c>
      <c r="M491" t="n">
        <v>0</v>
      </c>
      <c r="N491" t="n">
        <v>0</v>
      </c>
      <c r="O491" t="n">
        <v>0</v>
      </c>
      <c r="P491" t="n">
        <v>0</v>
      </c>
      <c r="Q491" t="n">
        <v>0</v>
      </c>
      <c r="R491" s="2" t="inlineStr"/>
    </row>
    <row r="492" ht="15" customHeight="1">
      <c r="A492" t="inlineStr">
        <is>
          <t>A 28832-2020</t>
        </is>
      </c>
      <c r="B492" s="1" t="n">
        <v>44000</v>
      </c>
      <c r="C492" s="1" t="n">
        <v>45657</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29950-2020</t>
        </is>
      </c>
      <c r="B493" s="1" t="n">
        <v>44006</v>
      </c>
      <c r="C493" s="1" t="n">
        <v>45657</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31079-2020</t>
        </is>
      </c>
      <c r="B494" s="1" t="n">
        <v>44011</v>
      </c>
      <c r="C494" s="1" t="n">
        <v>45657</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31643-2020</t>
        </is>
      </c>
      <c r="B495" s="1" t="n">
        <v>44013</v>
      </c>
      <c r="C495" s="1" t="n">
        <v>45657</v>
      </c>
      <c r="D495" t="inlineStr">
        <is>
          <t>VÄSTERNORRLANDS LÄN</t>
        </is>
      </c>
      <c r="E495" t="inlineStr">
        <is>
          <t>ÅNGE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31867-2020</t>
        </is>
      </c>
      <c r="B496" s="1" t="n">
        <v>44014</v>
      </c>
      <c r="C496" s="1" t="n">
        <v>45657</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31926-2020</t>
        </is>
      </c>
      <c r="B497" s="1" t="n">
        <v>44014</v>
      </c>
      <c r="C497" s="1" t="n">
        <v>45657</v>
      </c>
      <c r="D497" t="inlineStr">
        <is>
          <t>VÄSTERNORRLANDS LÄN</t>
        </is>
      </c>
      <c r="E497" t="inlineStr">
        <is>
          <t>ÅNGE</t>
        </is>
      </c>
      <c r="G497" t="n">
        <v>2.3</v>
      </c>
      <c r="H497" t="n">
        <v>0</v>
      </c>
      <c r="I497" t="n">
        <v>0</v>
      </c>
      <c r="J497" t="n">
        <v>0</v>
      </c>
      <c r="K497" t="n">
        <v>0</v>
      </c>
      <c r="L497" t="n">
        <v>0</v>
      </c>
      <c r="M497" t="n">
        <v>0</v>
      </c>
      <c r="N497" t="n">
        <v>0</v>
      </c>
      <c r="O497" t="n">
        <v>0</v>
      </c>
      <c r="P497" t="n">
        <v>0</v>
      </c>
      <c r="Q497" t="n">
        <v>0</v>
      </c>
      <c r="R497" s="2" t="inlineStr"/>
    </row>
    <row r="498" ht="15" customHeight="1">
      <c r="A498" t="inlineStr">
        <is>
          <t>A 32299-2020</t>
        </is>
      </c>
      <c r="B498" s="1" t="n">
        <v>44015</v>
      </c>
      <c r="C498" s="1" t="n">
        <v>45657</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32303-2020</t>
        </is>
      </c>
      <c r="B499" s="1" t="n">
        <v>44015</v>
      </c>
      <c r="C499" s="1" t="n">
        <v>45657</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32760-2020</t>
        </is>
      </c>
      <c r="B500" s="1" t="n">
        <v>44019</v>
      </c>
      <c r="C500" s="1" t="n">
        <v>45657</v>
      </c>
      <c r="D500" t="inlineStr">
        <is>
          <t>VÄSTERNORRLANDS LÄN</t>
        </is>
      </c>
      <c r="E500" t="inlineStr">
        <is>
          <t>ÅNGE</t>
        </is>
      </c>
      <c r="F500" t="inlineStr">
        <is>
          <t>SCA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33442-2020</t>
        </is>
      </c>
      <c r="B501" s="1" t="n">
        <v>44023</v>
      </c>
      <c r="C501" s="1" t="n">
        <v>45657</v>
      </c>
      <c r="D501" t="inlineStr">
        <is>
          <t>VÄSTERNORRLANDS LÄN</t>
        </is>
      </c>
      <c r="E501" t="inlineStr">
        <is>
          <t>ÅNGE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33619-2020</t>
        </is>
      </c>
      <c r="B502" s="1" t="n">
        <v>44026</v>
      </c>
      <c r="C502" s="1" t="n">
        <v>45657</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33524-2020</t>
        </is>
      </c>
      <c r="B503" s="1" t="n">
        <v>44025</v>
      </c>
      <c r="C503" s="1" t="n">
        <v>45657</v>
      </c>
      <c r="D503" t="inlineStr">
        <is>
          <t>VÄSTERNORRLANDS LÄN</t>
        </is>
      </c>
      <c r="E503" t="inlineStr">
        <is>
          <t>ÅNGE</t>
        </is>
      </c>
      <c r="G503" t="n">
        <v>2.8</v>
      </c>
      <c r="H503" t="n">
        <v>0</v>
      </c>
      <c r="I503" t="n">
        <v>0</v>
      </c>
      <c r="J503" t="n">
        <v>0</v>
      </c>
      <c r="K503" t="n">
        <v>0</v>
      </c>
      <c r="L503" t="n">
        <v>0</v>
      </c>
      <c r="M503" t="n">
        <v>0</v>
      </c>
      <c r="N503" t="n">
        <v>0</v>
      </c>
      <c r="O503" t="n">
        <v>0</v>
      </c>
      <c r="P503" t="n">
        <v>0</v>
      </c>
      <c r="Q503" t="n">
        <v>0</v>
      </c>
      <c r="R503" s="2" t="inlineStr"/>
    </row>
    <row r="504" ht="15" customHeight="1">
      <c r="A504" t="inlineStr">
        <is>
          <t>A 34175-2020</t>
        </is>
      </c>
      <c r="B504" s="1" t="n">
        <v>44029</v>
      </c>
      <c r="C504" s="1" t="n">
        <v>45657</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34237-2020</t>
        </is>
      </c>
      <c r="B505" s="1" t="n">
        <v>44029</v>
      </c>
      <c r="C505" s="1" t="n">
        <v>45657</v>
      </c>
      <c r="D505" t="inlineStr">
        <is>
          <t>VÄSTERNORRLANDS LÄN</t>
        </is>
      </c>
      <c r="E505" t="inlineStr">
        <is>
          <t>ÅNGE</t>
        </is>
      </c>
      <c r="G505" t="n">
        <v>5.3</v>
      </c>
      <c r="H505" t="n">
        <v>0</v>
      </c>
      <c r="I505" t="n">
        <v>0</v>
      </c>
      <c r="J505" t="n">
        <v>0</v>
      </c>
      <c r="K505" t="n">
        <v>0</v>
      </c>
      <c r="L505" t="n">
        <v>0</v>
      </c>
      <c r="M505" t="n">
        <v>0</v>
      </c>
      <c r="N505" t="n">
        <v>0</v>
      </c>
      <c r="O505" t="n">
        <v>0</v>
      </c>
      <c r="P505" t="n">
        <v>0</v>
      </c>
      <c r="Q505" t="n">
        <v>0</v>
      </c>
      <c r="R505" s="2" t="inlineStr"/>
    </row>
    <row r="506" ht="15" customHeight="1">
      <c r="A506" t="inlineStr">
        <is>
          <t>A 34420-2020</t>
        </is>
      </c>
      <c r="B506" s="1" t="n">
        <v>44032</v>
      </c>
      <c r="C506" s="1" t="n">
        <v>45657</v>
      </c>
      <c r="D506" t="inlineStr">
        <is>
          <t>VÄSTERNORRLANDS LÄN</t>
        </is>
      </c>
      <c r="E506" t="inlineStr">
        <is>
          <t>ÅNGE</t>
        </is>
      </c>
      <c r="G506" t="n">
        <v>13.9</v>
      </c>
      <c r="H506" t="n">
        <v>0</v>
      </c>
      <c r="I506" t="n">
        <v>0</v>
      </c>
      <c r="J506" t="n">
        <v>0</v>
      </c>
      <c r="K506" t="n">
        <v>0</v>
      </c>
      <c r="L506" t="n">
        <v>0</v>
      </c>
      <c r="M506" t="n">
        <v>0</v>
      </c>
      <c r="N506" t="n">
        <v>0</v>
      </c>
      <c r="O506" t="n">
        <v>0</v>
      </c>
      <c r="P506" t="n">
        <v>0</v>
      </c>
      <c r="Q506" t="n">
        <v>0</v>
      </c>
      <c r="R506" s="2" t="inlineStr"/>
    </row>
    <row r="507" ht="15" customHeight="1">
      <c r="A507" t="inlineStr">
        <is>
          <t>A 34400-2020</t>
        </is>
      </c>
      <c r="B507" s="1" t="n">
        <v>44032</v>
      </c>
      <c r="C507" s="1" t="n">
        <v>45657</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34677-2020</t>
        </is>
      </c>
      <c r="B508" s="1" t="n">
        <v>44035</v>
      </c>
      <c r="C508" s="1" t="n">
        <v>45657</v>
      </c>
      <c r="D508" t="inlineStr">
        <is>
          <t>VÄSTERNORRLANDS LÄN</t>
        </is>
      </c>
      <c r="E508" t="inlineStr">
        <is>
          <t>ÅNGE</t>
        </is>
      </c>
      <c r="G508" t="n">
        <v>6.5</v>
      </c>
      <c r="H508" t="n">
        <v>0</v>
      </c>
      <c r="I508" t="n">
        <v>0</v>
      </c>
      <c r="J508" t="n">
        <v>0</v>
      </c>
      <c r="K508" t="n">
        <v>0</v>
      </c>
      <c r="L508" t="n">
        <v>0</v>
      </c>
      <c r="M508" t="n">
        <v>0</v>
      </c>
      <c r="N508" t="n">
        <v>0</v>
      </c>
      <c r="O508" t="n">
        <v>0</v>
      </c>
      <c r="P508" t="n">
        <v>0</v>
      </c>
      <c r="Q508" t="n">
        <v>0</v>
      </c>
      <c r="R508" s="2" t="inlineStr"/>
    </row>
    <row r="509" ht="15" customHeight="1">
      <c r="A509" t="inlineStr">
        <is>
          <t>A 34777-2020</t>
        </is>
      </c>
      <c r="B509" s="1" t="n">
        <v>44035</v>
      </c>
      <c r="C509" s="1" t="n">
        <v>45657</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34928-2020</t>
        </is>
      </c>
      <c r="B510" s="1" t="n">
        <v>44036</v>
      </c>
      <c r="C510" s="1" t="n">
        <v>45657</v>
      </c>
      <c r="D510" t="inlineStr">
        <is>
          <t>VÄSTERNORRLANDS LÄN</t>
        </is>
      </c>
      <c r="E510" t="inlineStr">
        <is>
          <t>ÅNGE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34974-2020</t>
        </is>
      </c>
      <c r="B511" s="1" t="n">
        <v>44039</v>
      </c>
      <c r="C511" s="1" t="n">
        <v>45657</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35419-2020</t>
        </is>
      </c>
      <c r="B512" s="1" t="n">
        <v>44042</v>
      </c>
      <c r="C512" s="1" t="n">
        <v>45657</v>
      </c>
      <c r="D512" t="inlineStr">
        <is>
          <t>VÄSTERNORRLANDS LÄN</t>
        </is>
      </c>
      <c r="E512" t="inlineStr">
        <is>
          <t>ÅNGE</t>
        </is>
      </c>
      <c r="F512" t="inlineStr">
        <is>
          <t>Holmen skog AB</t>
        </is>
      </c>
      <c r="G512" t="n">
        <v>7.8</v>
      </c>
      <c r="H512" t="n">
        <v>0</v>
      </c>
      <c r="I512" t="n">
        <v>0</v>
      </c>
      <c r="J512" t="n">
        <v>0</v>
      </c>
      <c r="K512" t="n">
        <v>0</v>
      </c>
      <c r="L512" t="n">
        <v>0</v>
      </c>
      <c r="M512" t="n">
        <v>0</v>
      </c>
      <c r="N512" t="n">
        <v>0</v>
      </c>
      <c r="O512" t="n">
        <v>0</v>
      </c>
      <c r="P512" t="n">
        <v>0</v>
      </c>
      <c r="Q512" t="n">
        <v>0</v>
      </c>
      <c r="R512" s="2" t="inlineStr"/>
    </row>
    <row r="513" ht="15" customHeight="1">
      <c r="A513" t="inlineStr">
        <is>
          <t>A 38871-2020</t>
        </is>
      </c>
      <c r="B513" s="1" t="n">
        <v>44062</v>
      </c>
      <c r="C513" s="1" t="n">
        <v>45657</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38894-2020</t>
        </is>
      </c>
      <c r="B514" s="1" t="n">
        <v>44062</v>
      </c>
      <c r="C514" s="1" t="n">
        <v>45657</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39919-2020</t>
        </is>
      </c>
      <c r="B515" s="1" t="n">
        <v>44063</v>
      </c>
      <c r="C515" s="1" t="n">
        <v>45657</v>
      </c>
      <c r="D515" t="inlineStr">
        <is>
          <t>VÄSTERNORRLANDS LÄN</t>
        </is>
      </c>
      <c r="E515" t="inlineStr">
        <is>
          <t>ÅNGE</t>
        </is>
      </c>
      <c r="G515" t="n">
        <v>4.9</v>
      </c>
      <c r="H515" t="n">
        <v>0</v>
      </c>
      <c r="I515" t="n">
        <v>0</v>
      </c>
      <c r="J515" t="n">
        <v>0</v>
      </c>
      <c r="K515" t="n">
        <v>0</v>
      </c>
      <c r="L515" t="n">
        <v>0</v>
      </c>
      <c r="M515" t="n">
        <v>0</v>
      </c>
      <c r="N515" t="n">
        <v>0</v>
      </c>
      <c r="O515" t="n">
        <v>0</v>
      </c>
      <c r="P515" t="n">
        <v>0</v>
      </c>
      <c r="Q515" t="n">
        <v>0</v>
      </c>
      <c r="R515" s="2" t="inlineStr"/>
    </row>
    <row r="516" ht="15" customHeight="1">
      <c r="A516" t="inlineStr">
        <is>
          <t>A 39561-2020</t>
        </is>
      </c>
      <c r="B516" s="1" t="n">
        <v>44064</v>
      </c>
      <c r="C516" s="1" t="n">
        <v>45657</v>
      </c>
      <c r="D516" t="inlineStr">
        <is>
          <t>VÄSTERNORRLANDS LÄN</t>
        </is>
      </c>
      <c r="E516" t="inlineStr">
        <is>
          <t>ÅNGE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41366-2020</t>
        </is>
      </c>
      <c r="B517" s="1" t="n">
        <v>44071</v>
      </c>
      <c r="C517" s="1" t="n">
        <v>45657</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42296-2020</t>
        </is>
      </c>
      <c r="B518" s="1" t="n">
        <v>44076</v>
      </c>
      <c r="C518" s="1" t="n">
        <v>45657</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42289-2020</t>
        </is>
      </c>
      <c r="B519" s="1" t="n">
        <v>44076</v>
      </c>
      <c r="C519" s="1" t="n">
        <v>45657</v>
      </c>
      <c r="D519" t="inlineStr">
        <is>
          <t>VÄSTERNORRLANDS LÄN</t>
        </is>
      </c>
      <c r="E519" t="inlineStr">
        <is>
          <t>ÅNGE</t>
        </is>
      </c>
      <c r="G519" t="n">
        <v>16.7</v>
      </c>
      <c r="H519" t="n">
        <v>0</v>
      </c>
      <c r="I519" t="n">
        <v>0</v>
      </c>
      <c r="J519" t="n">
        <v>0</v>
      </c>
      <c r="K519" t="n">
        <v>0</v>
      </c>
      <c r="L519" t="n">
        <v>0</v>
      </c>
      <c r="M519" t="n">
        <v>0</v>
      </c>
      <c r="N519" t="n">
        <v>0</v>
      </c>
      <c r="O519" t="n">
        <v>0</v>
      </c>
      <c r="P519" t="n">
        <v>0</v>
      </c>
      <c r="Q519" t="n">
        <v>0</v>
      </c>
      <c r="R519" s="2" t="inlineStr"/>
    </row>
    <row r="520" ht="15" customHeight="1">
      <c r="A520" t="inlineStr">
        <is>
          <t>A 42299-2020</t>
        </is>
      </c>
      <c r="B520" s="1" t="n">
        <v>44076</v>
      </c>
      <c r="C520" s="1" t="n">
        <v>45657</v>
      </c>
      <c r="D520" t="inlineStr">
        <is>
          <t>VÄSTERNORRLANDS LÄN</t>
        </is>
      </c>
      <c r="E520" t="inlineStr">
        <is>
          <t>ÅNGE</t>
        </is>
      </c>
      <c r="G520" t="n">
        <v>3.6</v>
      </c>
      <c r="H520" t="n">
        <v>0</v>
      </c>
      <c r="I520" t="n">
        <v>0</v>
      </c>
      <c r="J520" t="n">
        <v>0</v>
      </c>
      <c r="K520" t="n">
        <v>0</v>
      </c>
      <c r="L520" t="n">
        <v>0</v>
      </c>
      <c r="M520" t="n">
        <v>0</v>
      </c>
      <c r="N520" t="n">
        <v>0</v>
      </c>
      <c r="O520" t="n">
        <v>0</v>
      </c>
      <c r="P520" t="n">
        <v>0</v>
      </c>
      <c r="Q520" t="n">
        <v>0</v>
      </c>
      <c r="R520" s="2" t="inlineStr"/>
    </row>
    <row r="521" ht="15" customHeight="1">
      <c r="A521" t="inlineStr">
        <is>
          <t>A 42751-2020</t>
        </is>
      </c>
      <c r="B521" s="1" t="n">
        <v>44077</v>
      </c>
      <c r="C521" s="1" t="n">
        <v>45657</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43093-2020</t>
        </is>
      </c>
      <c r="B522" s="1" t="n">
        <v>44078</v>
      </c>
      <c r="C522" s="1" t="n">
        <v>45657</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45808-2020</t>
        </is>
      </c>
      <c r="B523" s="1" t="n">
        <v>44090</v>
      </c>
      <c r="C523" s="1" t="n">
        <v>45657</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45813-2020</t>
        </is>
      </c>
      <c r="B524" s="1" t="n">
        <v>44090</v>
      </c>
      <c r="C524" s="1" t="n">
        <v>45657</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45812-2020</t>
        </is>
      </c>
      <c r="B525" s="1" t="n">
        <v>44090</v>
      </c>
      <c r="C525" s="1" t="n">
        <v>45657</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45810-2020</t>
        </is>
      </c>
      <c r="B526" s="1" t="n">
        <v>44090</v>
      </c>
      <c r="C526" s="1" t="n">
        <v>45657</v>
      </c>
      <c r="D526" t="inlineStr">
        <is>
          <t>VÄSTERNORRLANDS LÄN</t>
        </is>
      </c>
      <c r="E526" t="inlineStr">
        <is>
          <t>ÅNGE</t>
        </is>
      </c>
      <c r="G526" t="n">
        <v>0.2</v>
      </c>
      <c r="H526" t="n">
        <v>0</v>
      </c>
      <c r="I526" t="n">
        <v>0</v>
      </c>
      <c r="J526" t="n">
        <v>0</v>
      </c>
      <c r="K526" t="n">
        <v>0</v>
      </c>
      <c r="L526" t="n">
        <v>0</v>
      </c>
      <c r="M526" t="n">
        <v>0</v>
      </c>
      <c r="N526" t="n">
        <v>0</v>
      </c>
      <c r="O526" t="n">
        <v>0</v>
      </c>
      <c r="P526" t="n">
        <v>0</v>
      </c>
      <c r="Q526" t="n">
        <v>0</v>
      </c>
      <c r="R526" s="2" t="inlineStr"/>
    </row>
    <row r="527" ht="15" customHeight="1">
      <c r="A527" t="inlineStr">
        <is>
          <t>A 47041-2020</t>
        </is>
      </c>
      <c r="B527" s="1" t="n">
        <v>44091</v>
      </c>
      <c r="C527" s="1" t="n">
        <v>45657</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46518-2020</t>
        </is>
      </c>
      <c r="B528" s="1" t="n">
        <v>44095</v>
      </c>
      <c r="C528" s="1" t="n">
        <v>45657</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47411-2020</t>
        </is>
      </c>
      <c r="B529" s="1" t="n">
        <v>44095</v>
      </c>
      <c r="C529" s="1" t="n">
        <v>45657</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47127-2020</t>
        </is>
      </c>
      <c r="B530" s="1" t="n">
        <v>44096</v>
      </c>
      <c r="C530" s="1" t="n">
        <v>45657</v>
      </c>
      <c r="D530" t="inlineStr">
        <is>
          <t>VÄSTERNORRLANDS LÄN</t>
        </is>
      </c>
      <c r="E530" t="inlineStr">
        <is>
          <t>ÅNGE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48238-2020</t>
        </is>
      </c>
      <c r="B531" s="1" t="n">
        <v>44097</v>
      </c>
      <c r="C531" s="1" t="n">
        <v>45657</v>
      </c>
      <c r="D531" t="inlineStr">
        <is>
          <t>VÄSTERNORRLANDS LÄN</t>
        </is>
      </c>
      <c r="E531" t="inlineStr">
        <is>
          <t>ÅNGE</t>
        </is>
      </c>
      <c r="G531" t="n">
        <v>5.1</v>
      </c>
      <c r="H531" t="n">
        <v>0</v>
      </c>
      <c r="I531" t="n">
        <v>0</v>
      </c>
      <c r="J531" t="n">
        <v>0</v>
      </c>
      <c r="K531" t="n">
        <v>0</v>
      </c>
      <c r="L531" t="n">
        <v>0</v>
      </c>
      <c r="M531" t="n">
        <v>0</v>
      </c>
      <c r="N531" t="n">
        <v>0</v>
      </c>
      <c r="O531" t="n">
        <v>0</v>
      </c>
      <c r="P531" t="n">
        <v>0</v>
      </c>
      <c r="Q531" t="n">
        <v>0</v>
      </c>
      <c r="R531" s="2" t="inlineStr"/>
    </row>
    <row r="532" ht="15" customHeight="1">
      <c r="A532" t="inlineStr">
        <is>
          <t>A 48810-2020</t>
        </is>
      </c>
      <c r="B532" s="1" t="n">
        <v>44103</v>
      </c>
      <c r="C532" s="1" t="n">
        <v>45657</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c r="U532">
        <f>HYPERLINK("https://klasma.github.io/Logging_2260/knärot/A 48810-2020 karta knärot.png", "A 48810-2020")</f>
        <v/>
      </c>
      <c r="V532">
        <f>HYPERLINK("https://klasma.github.io/Logging_2260/klagomål/A 48810-2020 FSC-klagomål.docx", "A 48810-2020")</f>
        <v/>
      </c>
      <c r="W532">
        <f>HYPERLINK("https://klasma.github.io/Logging_2260/klagomålsmail/A 48810-2020 FSC-klagomål mail.docx", "A 48810-2020")</f>
        <v/>
      </c>
      <c r="X532">
        <f>HYPERLINK("https://klasma.github.io/Logging_2260/tillsyn/A 48810-2020 tillsynsbegäran.docx", "A 48810-2020")</f>
        <v/>
      </c>
      <c r="Y532">
        <f>HYPERLINK("https://klasma.github.io/Logging_2260/tillsynsmail/A 48810-2020 tillsynsbegäran mail.docx", "A 48810-2020")</f>
        <v/>
      </c>
    </row>
    <row r="533" ht="15" customHeight="1">
      <c r="A533" t="inlineStr">
        <is>
          <t>A 49343-2020</t>
        </is>
      </c>
      <c r="B533" s="1" t="n">
        <v>44105</v>
      </c>
      <c r="C533" s="1" t="n">
        <v>45657</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49346-2020</t>
        </is>
      </c>
      <c r="B534" s="1" t="n">
        <v>44105</v>
      </c>
      <c r="C534" s="1" t="n">
        <v>45657</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49656-2020</t>
        </is>
      </c>
      <c r="B535" s="1" t="n">
        <v>44106</v>
      </c>
      <c r="C535" s="1" t="n">
        <v>45657</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49838-2020</t>
        </is>
      </c>
      <c r="B536" s="1" t="n">
        <v>44106</v>
      </c>
      <c r="C536" s="1" t="n">
        <v>45657</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50265-2020</t>
        </is>
      </c>
      <c r="B537" s="1" t="n">
        <v>44109</v>
      </c>
      <c r="C537" s="1" t="n">
        <v>45657</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50259-2020</t>
        </is>
      </c>
      <c r="B538" s="1" t="n">
        <v>44109</v>
      </c>
      <c r="C538" s="1" t="n">
        <v>45657</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50260-2020</t>
        </is>
      </c>
      <c r="B539" s="1" t="n">
        <v>44109</v>
      </c>
      <c r="C539" s="1" t="n">
        <v>45657</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50258-2020</t>
        </is>
      </c>
      <c r="B540" s="1" t="n">
        <v>44109</v>
      </c>
      <c r="C540" s="1" t="n">
        <v>45657</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50268-2020</t>
        </is>
      </c>
      <c r="B541" s="1" t="n">
        <v>44109</v>
      </c>
      <c r="C541" s="1" t="n">
        <v>45657</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52232-2020</t>
        </is>
      </c>
      <c r="B542" s="1" t="n">
        <v>44111</v>
      </c>
      <c r="C542" s="1" t="n">
        <v>45657</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51610-2020</t>
        </is>
      </c>
      <c r="B543" s="1" t="n">
        <v>44113</v>
      </c>
      <c r="C543" s="1" t="n">
        <v>45657</v>
      </c>
      <c r="D543" t="inlineStr">
        <is>
          <t>VÄSTERNORRLANDS LÄN</t>
        </is>
      </c>
      <c r="E543" t="inlineStr">
        <is>
          <t>ÅNGE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52504-2020</t>
        </is>
      </c>
      <c r="B544" s="1" t="n">
        <v>44113</v>
      </c>
      <c r="C544" s="1" t="n">
        <v>45657</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51755-2020</t>
        </is>
      </c>
      <c r="B545" s="1" t="n">
        <v>44114</v>
      </c>
      <c r="C545" s="1" t="n">
        <v>45657</v>
      </c>
      <c r="D545" t="inlineStr">
        <is>
          <t>VÄSTERNORRLANDS LÄN</t>
        </is>
      </c>
      <c r="E545" t="inlineStr">
        <is>
          <t>ÅNGE</t>
        </is>
      </c>
      <c r="G545" t="n">
        <v>6.4</v>
      </c>
      <c r="H545" t="n">
        <v>0</v>
      </c>
      <c r="I545" t="n">
        <v>0</v>
      </c>
      <c r="J545" t="n">
        <v>0</v>
      </c>
      <c r="K545" t="n">
        <v>0</v>
      </c>
      <c r="L545" t="n">
        <v>0</v>
      </c>
      <c r="M545" t="n">
        <v>0</v>
      </c>
      <c r="N545" t="n">
        <v>0</v>
      </c>
      <c r="O545" t="n">
        <v>0</v>
      </c>
      <c r="P545" t="n">
        <v>0</v>
      </c>
      <c r="Q545" t="n">
        <v>0</v>
      </c>
      <c r="R545" s="2" t="inlineStr"/>
    </row>
    <row r="546" ht="15" customHeight="1">
      <c r="A546" t="inlineStr">
        <is>
          <t>A 52637-2020</t>
        </is>
      </c>
      <c r="B546" s="1" t="n">
        <v>44118</v>
      </c>
      <c r="C546" s="1" t="n">
        <v>45657</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52629-2020</t>
        </is>
      </c>
      <c r="B547" s="1" t="n">
        <v>44118</v>
      </c>
      <c r="C547" s="1" t="n">
        <v>45657</v>
      </c>
      <c r="D547" t="inlineStr">
        <is>
          <t>VÄSTERNORRLANDS LÄN</t>
        </is>
      </c>
      <c r="E547" t="inlineStr">
        <is>
          <t>ÅNGE</t>
        </is>
      </c>
      <c r="G547" t="n">
        <v>2.4</v>
      </c>
      <c r="H547" t="n">
        <v>0</v>
      </c>
      <c r="I547" t="n">
        <v>0</v>
      </c>
      <c r="J547" t="n">
        <v>0</v>
      </c>
      <c r="K547" t="n">
        <v>0</v>
      </c>
      <c r="L547" t="n">
        <v>0</v>
      </c>
      <c r="M547" t="n">
        <v>0</v>
      </c>
      <c r="N547" t="n">
        <v>0</v>
      </c>
      <c r="O547" t="n">
        <v>0</v>
      </c>
      <c r="P547" t="n">
        <v>0</v>
      </c>
      <c r="Q547" t="n">
        <v>0</v>
      </c>
      <c r="R547" s="2" t="inlineStr"/>
    </row>
    <row r="548" ht="15" customHeight="1">
      <c r="A548" t="inlineStr">
        <is>
          <t>A 52633-2020</t>
        </is>
      </c>
      <c r="B548" s="1" t="n">
        <v>44118</v>
      </c>
      <c r="C548" s="1" t="n">
        <v>45657</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52627-2020</t>
        </is>
      </c>
      <c r="B549" s="1" t="n">
        <v>44118</v>
      </c>
      <c r="C549" s="1" t="n">
        <v>45657</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53171-2020</t>
        </is>
      </c>
      <c r="B550" s="1" t="n">
        <v>44120</v>
      </c>
      <c r="C550" s="1" t="n">
        <v>45657</v>
      </c>
      <c r="D550" t="inlineStr">
        <is>
          <t>VÄSTERNORRLANDS LÄN</t>
        </is>
      </c>
      <c r="E550" t="inlineStr">
        <is>
          <t>ÅNGE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53173-2020</t>
        </is>
      </c>
      <c r="B551" s="1" t="n">
        <v>44120</v>
      </c>
      <c r="C551" s="1" t="n">
        <v>45657</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53170-2020</t>
        </is>
      </c>
      <c r="B552" s="1" t="n">
        <v>44120</v>
      </c>
      <c r="C552" s="1" t="n">
        <v>45657</v>
      </c>
      <c r="D552" t="inlineStr">
        <is>
          <t>VÄSTERNORRLANDS LÄN</t>
        </is>
      </c>
      <c r="E552" t="inlineStr">
        <is>
          <t>ÅNGE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53175-2020</t>
        </is>
      </c>
      <c r="B553" s="1" t="n">
        <v>44120</v>
      </c>
      <c r="C553" s="1" t="n">
        <v>45657</v>
      </c>
      <c r="D553" t="inlineStr">
        <is>
          <t>VÄSTERNORRLANDS LÄN</t>
        </is>
      </c>
      <c r="E553" t="inlineStr">
        <is>
          <t>ÅNGE</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53174-2020</t>
        </is>
      </c>
      <c r="B554" s="1" t="n">
        <v>44120</v>
      </c>
      <c r="C554" s="1" t="n">
        <v>45657</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53474-2020</t>
        </is>
      </c>
      <c r="B555" s="1" t="n">
        <v>44123</v>
      </c>
      <c r="C555" s="1" t="n">
        <v>45657</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53660-2020</t>
        </is>
      </c>
      <c r="B556" s="1" t="n">
        <v>44124</v>
      </c>
      <c r="C556" s="1" t="n">
        <v>45657</v>
      </c>
      <c r="D556" t="inlineStr">
        <is>
          <t>VÄSTERNORRLANDS LÄN</t>
        </is>
      </c>
      <c r="E556" t="inlineStr">
        <is>
          <t>ÅNGE</t>
        </is>
      </c>
      <c r="G556" t="n">
        <v>5.4</v>
      </c>
      <c r="H556" t="n">
        <v>0</v>
      </c>
      <c r="I556" t="n">
        <v>0</v>
      </c>
      <c r="J556" t="n">
        <v>0</v>
      </c>
      <c r="K556" t="n">
        <v>0</v>
      </c>
      <c r="L556" t="n">
        <v>0</v>
      </c>
      <c r="M556" t="n">
        <v>0</v>
      </c>
      <c r="N556" t="n">
        <v>0</v>
      </c>
      <c r="O556" t="n">
        <v>0</v>
      </c>
      <c r="P556" t="n">
        <v>0</v>
      </c>
      <c r="Q556" t="n">
        <v>0</v>
      </c>
      <c r="R556" s="2" t="inlineStr"/>
    </row>
    <row r="557" ht="15" customHeight="1">
      <c r="A557" t="inlineStr">
        <is>
          <t>A 53661-2020</t>
        </is>
      </c>
      <c r="B557" s="1" t="n">
        <v>44124</v>
      </c>
      <c r="C557" s="1" t="n">
        <v>45657</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53962-2020</t>
        </is>
      </c>
      <c r="B558" s="1" t="n">
        <v>44125</v>
      </c>
      <c r="C558" s="1" t="n">
        <v>45657</v>
      </c>
      <c r="D558" t="inlineStr">
        <is>
          <t>VÄSTERNORRLANDS LÄN</t>
        </is>
      </c>
      <c r="E558" t="inlineStr">
        <is>
          <t>ÅNGE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54471-2020</t>
        </is>
      </c>
      <c r="B559" s="1" t="n">
        <v>44126</v>
      </c>
      <c r="C559" s="1" t="n">
        <v>45657</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54469-2020</t>
        </is>
      </c>
      <c r="B560" s="1" t="n">
        <v>44126</v>
      </c>
      <c r="C560" s="1" t="n">
        <v>45657</v>
      </c>
      <c r="D560" t="inlineStr">
        <is>
          <t>VÄSTERNORRLANDS LÄN</t>
        </is>
      </c>
      <c r="E560" t="inlineStr">
        <is>
          <t>ÅNGE</t>
        </is>
      </c>
      <c r="G560" t="n">
        <v>4</v>
      </c>
      <c r="H560" t="n">
        <v>0</v>
      </c>
      <c r="I560" t="n">
        <v>0</v>
      </c>
      <c r="J560" t="n">
        <v>0</v>
      </c>
      <c r="K560" t="n">
        <v>0</v>
      </c>
      <c r="L560" t="n">
        <v>0</v>
      </c>
      <c r="M560" t="n">
        <v>0</v>
      </c>
      <c r="N560" t="n">
        <v>0</v>
      </c>
      <c r="O560" t="n">
        <v>0</v>
      </c>
      <c r="P560" t="n">
        <v>0</v>
      </c>
      <c r="Q560" t="n">
        <v>0</v>
      </c>
      <c r="R560" s="2" t="inlineStr"/>
    </row>
    <row r="561" ht="15" customHeight="1">
      <c r="A561" t="inlineStr">
        <is>
          <t>A 55317-2020</t>
        </is>
      </c>
      <c r="B561" s="1" t="n">
        <v>44130</v>
      </c>
      <c r="C561" s="1" t="n">
        <v>45657</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57111-2020</t>
        </is>
      </c>
      <c r="B562" s="1" t="n">
        <v>44139</v>
      </c>
      <c r="C562" s="1" t="n">
        <v>45657</v>
      </c>
      <c r="D562" t="inlineStr">
        <is>
          <t>VÄSTERNORRLANDS LÄN</t>
        </is>
      </c>
      <c r="E562" t="inlineStr">
        <is>
          <t>ÅNGE</t>
        </is>
      </c>
      <c r="G562" t="n">
        <v>0.5</v>
      </c>
      <c r="H562" t="n">
        <v>0</v>
      </c>
      <c r="I562" t="n">
        <v>0</v>
      </c>
      <c r="J562" t="n">
        <v>0</v>
      </c>
      <c r="K562" t="n">
        <v>0</v>
      </c>
      <c r="L562" t="n">
        <v>0</v>
      </c>
      <c r="M562" t="n">
        <v>0</v>
      </c>
      <c r="N562" t="n">
        <v>0</v>
      </c>
      <c r="O562" t="n">
        <v>0</v>
      </c>
      <c r="P562" t="n">
        <v>0</v>
      </c>
      <c r="Q562" t="n">
        <v>0</v>
      </c>
      <c r="R562" s="2" t="inlineStr"/>
    </row>
    <row r="563" ht="15" customHeight="1">
      <c r="A563" t="inlineStr">
        <is>
          <t>A 59222-2020</t>
        </is>
      </c>
      <c r="B563" s="1" t="n">
        <v>44147</v>
      </c>
      <c r="C563" s="1" t="n">
        <v>45657</v>
      </c>
      <c r="D563" t="inlineStr">
        <is>
          <t>VÄSTERNORRLANDS LÄN</t>
        </is>
      </c>
      <c r="E563" t="inlineStr">
        <is>
          <t>ÅNGE</t>
        </is>
      </c>
      <c r="G563" t="n">
        <v>7.6</v>
      </c>
      <c r="H563" t="n">
        <v>0</v>
      </c>
      <c r="I563" t="n">
        <v>0</v>
      </c>
      <c r="J563" t="n">
        <v>0</v>
      </c>
      <c r="K563" t="n">
        <v>0</v>
      </c>
      <c r="L563" t="n">
        <v>0</v>
      </c>
      <c r="M563" t="n">
        <v>0</v>
      </c>
      <c r="N563" t="n">
        <v>0</v>
      </c>
      <c r="O563" t="n">
        <v>0</v>
      </c>
      <c r="P563" t="n">
        <v>0</v>
      </c>
      <c r="Q563" t="n">
        <v>0</v>
      </c>
      <c r="R563" s="2" t="inlineStr"/>
    </row>
    <row r="564" ht="15" customHeight="1">
      <c r="A564" t="inlineStr">
        <is>
          <t>A 60064-2020</t>
        </is>
      </c>
      <c r="B564" s="1" t="n">
        <v>44151</v>
      </c>
      <c r="C564" s="1" t="n">
        <v>45657</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60401-2020</t>
        </is>
      </c>
      <c r="B565" s="1" t="n">
        <v>44152</v>
      </c>
      <c r="C565" s="1" t="n">
        <v>45657</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63497-2020</t>
        </is>
      </c>
      <c r="B566" s="1" t="n">
        <v>44161</v>
      </c>
      <c r="C566" s="1" t="n">
        <v>45657</v>
      </c>
      <c r="D566" t="inlineStr">
        <is>
          <t>VÄSTERNORRLANDS LÄN</t>
        </is>
      </c>
      <c r="E566" t="inlineStr">
        <is>
          <t>ÅNGE</t>
        </is>
      </c>
      <c r="G566" t="n">
        <v>6.9</v>
      </c>
      <c r="H566" t="n">
        <v>0</v>
      </c>
      <c r="I566" t="n">
        <v>0</v>
      </c>
      <c r="J566" t="n">
        <v>0</v>
      </c>
      <c r="K566" t="n">
        <v>0</v>
      </c>
      <c r="L566" t="n">
        <v>0</v>
      </c>
      <c r="M566" t="n">
        <v>0</v>
      </c>
      <c r="N566" t="n">
        <v>0</v>
      </c>
      <c r="O566" t="n">
        <v>0</v>
      </c>
      <c r="P566" t="n">
        <v>0</v>
      </c>
      <c r="Q566" t="n">
        <v>0</v>
      </c>
      <c r="R566" s="2" t="inlineStr"/>
    </row>
    <row r="567" ht="15" customHeight="1">
      <c r="A567" t="inlineStr">
        <is>
          <t>A 64612-2020</t>
        </is>
      </c>
      <c r="B567" s="1" t="n">
        <v>44169</v>
      </c>
      <c r="C567" s="1" t="n">
        <v>45657</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65277-2020</t>
        </is>
      </c>
      <c r="B568" s="1" t="n">
        <v>44172</v>
      </c>
      <c r="C568" s="1" t="n">
        <v>45657</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65149-2020</t>
        </is>
      </c>
      <c r="B569" s="1" t="n">
        <v>44172</v>
      </c>
      <c r="C569" s="1" t="n">
        <v>45657</v>
      </c>
      <c r="D569" t="inlineStr">
        <is>
          <t>VÄSTERNORRLANDS LÄN</t>
        </is>
      </c>
      <c r="E569" t="inlineStr">
        <is>
          <t>ÅNGE</t>
        </is>
      </c>
      <c r="G569" t="n">
        <v>9.5</v>
      </c>
      <c r="H569" t="n">
        <v>0</v>
      </c>
      <c r="I569" t="n">
        <v>0</v>
      </c>
      <c r="J569" t="n">
        <v>0</v>
      </c>
      <c r="K569" t="n">
        <v>0</v>
      </c>
      <c r="L569" t="n">
        <v>0</v>
      </c>
      <c r="M569" t="n">
        <v>0</v>
      </c>
      <c r="N569" t="n">
        <v>0</v>
      </c>
      <c r="O569" t="n">
        <v>0</v>
      </c>
      <c r="P569" t="n">
        <v>0</v>
      </c>
      <c r="Q569" t="n">
        <v>0</v>
      </c>
      <c r="R569" s="2" t="inlineStr"/>
    </row>
    <row r="570" ht="15" customHeight="1">
      <c r="A570" t="inlineStr">
        <is>
          <t>A 65272-2020</t>
        </is>
      </c>
      <c r="B570" s="1" t="n">
        <v>44172</v>
      </c>
      <c r="C570" s="1" t="n">
        <v>45657</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65280-2020</t>
        </is>
      </c>
      <c r="B571" s="1" t="n">
        <v>44172</v>
      </c>
      <c r="C571" s="1" t="n">
        <v>45657</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65594-2020</t>
        </is>
      </c>
      <c r="B572" s="1" t="n">
        <v>44173</v>
      </c>
      <c r="C572" s="1" t="n">
        <v>45657</v>
      </c>
      <c r="D572" t="inlineStr">
        <is>
          <t>VÄSTERNORRLANDS LÄN</t>
        </is>
      </c>
      <c r="E572" t="inlineStr">
        <is>
          <t>ÅNGE</t>
        </is>
      </c>
      <c r="G572" t="n">
        <v>5.9</v>
      </c>
      <c r="H572" t="n">
        <v>0</v>
      </c>
      <c r="I572" t="n">
        <v>0</v>
      </c>
      <c r="J572" t="n">
        <v>0</v>
      </c>
      <c r="K572" t="n">
        <v>0</v>
      </c>
      <c r="L572" t="n">
        <v>0</v>
      </c>
      <c r="M572" t="n">
        <v>0</v>
      </c>
      <c r="N572" t="n">
        <v>0</v>
      </c>
      <c r="O572" t="n">
        <v>0</v>
      </c>
      <c r="P572" t="n">
        <v>0</v>
      </c>
      <c r="Q572" t="n">
        <v>0</v>
      </c>
      <c r="R572" s="2" t="inlineStr"/>
    </row>
    <row r="573" ht="15" customHeight="1">
      <c r="A573" t="inlineStr">
        <is>
          <t>A 65593-2020</t>
        </is>
      </c>
      <c r="B573" s="1" t="n">
        <v>44173</v>
      </c>
      <c r="C573" s="1" t="n">
        <v>45657</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65770-2020</t>
        </is>
      </c>
      <c r="B574" s="1" t="n">
        <v>44174</v>
      </c>
      <c r="C574" s="1" t="n">
        <v>45657</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66601-2020</t>
        </is>
      </c>
      <c r="B575" s="1" t="n">
        <v>44175</v>
      </c>
      <c r="C575" s="1" t="n">
        <v>45657</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68378-2020</t>
        </is>
      </c>
      <c r="B576" s="1" t="n">
        <v>44186</v>
      </c>
      <c r="C576" s="1" t="n">
        <v>45657</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68715-2020</t>
        </is>
      </c>
      <c r="B577" s="1" t="n">
        <v>44187</v>
      </c>
      <c r="C577" s="1" t="n">
        <v>45657</v>
      </c>
      <c r="D577" t="inlineStr">
        <is>
          <t>VÄSTERNORRLANDS LÄN</t>
        </is>
      </c>
      <c r="E577" t="inlineStr">
        <is>
          <t>ÅNGE</t>
        </is>
      </c>
      <c r="G577" t="n">
        <v>19.1</v>
      </c>
      <c r="H577" t="n">
        <v>0</v>
      </c>
      <c r="I577" t="n">
        <v>0</v>
      </c>
      <c r="J577" t="n">
        <v>0</v>
      </c>
      <c r="K577" t="n">
        <v>0</v>
      </c>
      <c r="L577" t="n">
        <v>0</v>
      </c>
      <c r="M577" t="n">
        <v>0</v>
      </c>
      <c r="N577" t="n">
        <v>0</v>
      </c>
      <c r="O577" t="n">
        <v>0</v>
      </c>
      <c r="P577" t="n">
        <v>0</v>
      </c>
      <c r="Q577" t="n">
        <v>0</v>
      </c>
      <c r="R577" s="2" t="inlineStr"/>
    </row>
    <row r="578" ht="15" customHeight="1">
      <c r="A578" t="inlineStr">
        <is>
          <t>A 68812-2020</t>
        </is>
      </c>
      <c r="B578" s="1" t="n">
        <v>44187</v>
      </c>
      <c r="C578" s="1" t="n">
        <v>45657</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69271-2020</t>
        </is>
      </c>
      <c r="B579" s="1" t="n">
        <v>44193</v>
      </c>
      <c r="C579" s="1" t="n">
        <v>45657</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2327-2021</t>
        </is>
      </c>
      <c r="B580" s="1" t="n">
        <v>44214</v>
      </c>
      <c r="C580" s="1" t="n">
        <v>45657</v>
      </c>
      <c r="D580" t="inlineStr">
        <is>
          <t>VÄSTERNORRLANDS LÄN</t>
        </is>
      </c>
      <c r="E580" t="inlineStr">
        <is>
          <t>ÅNGE</t>
        </is>
      </c>
      <c r="G580" t="n">
        <v>6.7</v>
      </c>
      <c r="H580" t="n">
        <v>0</v>
      </c>
      <c r="I580" t="n">
        <v>0</v>
      </c>
      <c r="J580" t="n">
        <v>0</v>
      </c>
      <c r="K580" t="n">
        <v>0</v>
      </c>
      <c r="L580" t="n">
        <v>0</v>
      </c>
      <c r="M580" t="n">
        <v>0</v>
      </c>
      <c r="N580" t="n">
        <v>0</v>
      </c>
      <c r="O580" t="n">
        <v>0</v>
      </c>
      <c r="P580" t="n">
        <v>0</v>
      </c>
      <c r="Q580" t="n">
        <v>0</v>
      </c>
      <c r="R580" s="2" t="inlineStr"/>
    </row>
    <row r="581" ht="15" customHeight="1">
      <c r="A581" t="inlineStr">
        <is>
          <t>A 3352-2021</t>
        </is>
      </c>
      <c r="B581" s="1" t="n">
        <v>44217</v>
      </c>
      <c r="C581" s="1" t="n">
        <v>45657</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5822-2021</t>
        </is>
      </c>
      <c r="B582" s="1" t="n">
        <v>44230</v>
      </c>
      <c r="C582" s="1" t="n">
        <v>45657</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6487-2021</t>
        </is>
      </c>
      <c r="B583" s="1" t="n">
        <v>44235</v>
      </c>
      <c r="C583" s="1" t="n">
        <v>45657</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6805-2021</t>
        </is>
      </c>
      <c r="B584" s="1" t="n">
        <v>44236</v>
      </c>
      <c r="C584" s="1" t="n">
        <v>45657</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8057-2021</t>
        </is>
      </c>
      <c r="B585" s="1" t="n">
        <v>44238</v>
      </c>
      <c r="C585" s="1" t="n">
        <v>45657</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7857-2021</t>
        </is>
      </c>
      <c r="B586" s="1" t="n">
        <v>44242</v>
      </c>
      <c r="C586" s="1" t="n">
        <v>45657</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9619-2021</t>
        </is>
      </c>
      <c r="B587" s="1" t="n">
        <v>44251</v>
      </c>
      <c r="C587" s="1" t="n">
        <v>45657</v>
      </c>
      <c r="D587" t="inlineStr">
        <is>
          <t>VÄSTERNORRLANDS LÄN</t>
        </is>
      </c>
      <c r="E587" t="inlineStr">
        <is>
          <t>ÅNGE</t>
        </is>
      </c>
      <c r="G587" t="n">
        <v>10.4</v>
      </c>
      <c r="H587" t="n">
        <v>0</v>
      </c>
      <c r="I587" t="n">
        <v>0</v>
      </c>
      <c r="J587" t="n">
        <v>0</v>
      </c>
      <c r="K587" t="n">
        <v>0</v>
      </c>
      <c r="L587" t="n">
        <v>0</v>
      </c>
      <c r="M587" t="n">
        <v>0</v>
      </c>
      <c r="N587" t="n">
        <v>0</v>
      </c>
      <c r="O587" t="n">
        <v>0</v>
      </c>
      <c r="P587" t="n">
        <v>0</v>
      </c>
      <c r="Q587" t="n">
        <v>0</v>
      </c>
      <c r="R587" s="2" t="inlineStr"/>
    </row>
    <row r="588" ht="15" customHeight="1">
      <c r="A588" t="inlineStr">
        <is>
          <t>A 10342-2021</t>
        </is>
      </c>
      <c r="B588" s="1" t="n">
        <v>44257</v>
      </c>
      <c r="C588" s="1" t="n">
        <v>45657</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11763-2021</t>
        </is>
      </c>
      <c r="B589" s="1" t="n">
        <v>44265</v>
      </c>
      <c r="C589" s="1" t="n">
        <v>45657</v>
      </c>
      <c r="D589" t="inlineStr">
        <is>
          <t>VÄSTERNORRLANDS LÄN</t>
        </is>
      </c>
      <c r="E589" t="inlineStr">
        <is>
          <t>ÅNGE</t>
        </is>
      </c>
      <c r="G589" t="n">
        <v>2.2</v>
      </c>
      <c r="H589" t="n">
        <v>0</v>
      </c>
      <c r="I589" t="n">
        <v>0</v>
      </c>
      <c r="J589" t="n">
        <v>0</v>
      </c>
      <c r="K589" t="n">
        <v>0</v>
      </c>
      <c r="L589" t="n">
        <v>0</v>
      </c>
      <c r="M589" t="n">
        <v>0</v>
      </c>
      <c r="N589" t="n">
        <v>0</v>
      </c>
      <c r="O589" t="n">
        <v>0</v>
      </c>
      <c r="P589" t="n">
        <v>0</v>
      </c>
      <c r="Q589" t="n">
        <v>0</v>
      </c>
      <c r="R589" s="2" t="inlineStr"/>
    </row>
    <row r="590" ht="15" customHeight="1">
      <c r="A590" t="inlineStr">
        <is>
          <t>A 12799-2021</t>
        </is>
      </c>
      <c r="B590" s="1" t="n">
        <v>44270</v>
      </c>
      <c r="C590" s="1" t="n">
        <v>45657</v>
      </c>
      <c r="D590" t="inlineStr">
        <is>
          <t>VÄSTERNORRLANDS LÄN</t>
        </is>
      </c>
      <c r="E590" t="inlineStr">
        <is>
          <t>ÅNGE</t>
        </is>
      </c>
      <c r="G590" t="n">
        <v>2</v>
      </c>
      <c r="H590" t="n">
        <v>0</v>
      </c>
      <c r="I590" t="n">
        <v>0</v>
      </c>
      <c r="J590" t="n">
        <v>0</v>
      </c>
      <c r="K590" t="n">
        <v>0</v>
      </c>
      <c r="L590" t="n">
        <v>0</v>
      </c>
      <c r="M590" t="n">
        <v>0</v>
      </c>
      <c r="N590" t="n">
        <v>0</v>
      </c>
      <c r="O590" t="n">
        <v>0</v>
      </c>
      <c r="P590" t="n">
        <v>0</v>
      </c>
      <c r="Q590" t="n">
        <v>0</v>
      </c>
      <c r="R590" s="2" t="inlineStr"/>
    </row>
    <row r="591" ht="15" customHeight="1">
      <c r="A591" t="inlineStr">
        <is>
          <t>A 12800-2021</t>
        </is>
      </c>
      <c r="B591" s="1" t="n">
        <v>44270</v>
      </c>
      <c r="C591" s="1" t="n">
        <v>45657</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13149-2021</t>
        </is>
      </c>
      <c r="B592" s="1" t="n">
        <v>44272</v>
      </c>
      <c r="C592" s="1" t="n">
        <v>45657</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13501-2021</t>
        </is>
      </c>
      <c r="B593" s="1" t="n">
        <v>44273</v>
      </c>
      <c r="C593" s="1" t="n">
        <v>45657</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13510-2021</t>
        </is>
      </c>
      <c r="B594" s="1" t="n">
        <v>44273</v>
      </c>
      <c r="C594" s="1" t="n">
        <v>45657</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13522-2021</t>
        </is>
      </c>
      <c r="B595" s="1" t="n">
        <v>44273</v>
      </c>
      <c r="C595" s="1" t="n">
        <v>45657</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13479-2021</t>
        </is>
      </c>
      <c r="B596" s="1" t="n">
        <v>44273</v>
      </c>
      <c r="C596" s="1" t="n">
        <v>45657</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13792-2021</t>
        </is>
      </c>
      <c r="B597" s="1" t="n">
        <v>44274</v>
      </c>
      <c r="C597" s="1" t="n">
        <v>45657</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14587-2021</t>
        </is>
      </c>
      <c r="B598" s="1" t="n">
        <v>44279</v>
      </c>
      <c r="C598" s="1" t="n">
        <v>45657</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14812-2021</t>
        </is>
      </c>
      <c r="B599" s="1" t="n">
        <v>44280</v>
      </c>
      <c r="C599" s="1" t="n">
        <v>45657</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16389-2021</t>
        </is>
      </c>
      <c r="B600" s="1" t="n">
        <v>44293</v>
      </c>
      <c r="C600" s="1" t="n">
        <v>45657</v>
      </c>
      <c r="D600" t="inlineStr">
        <is>
          <t>VÄSTERNORRLANDS LÄN</t>
        </is>
      </c>
      <c r="E600" t="inlineStr">
        <is>
          <t>ÅNGE</t>
        </is>
      </c>
      <c r="G600" t="n">
        <v>16.9</v>
      </c>
      <c r="H600" t="n">
        <v>0</v>
      </c>
      <c r="I600" t="n">
        <v>0</v>
      </c>
      <c r="J600" t="n">
        <v>0</v>
      </c>
      <c r="K600" t="n">
        <v>0</v>
      </c>
      <c r="L600" t="n">
        <v>0</v>
      </c>
      <c r="M600" t="n">
        <v>0</v>
      </c>
      <c r="N600" t="n">
        <v>0</v>
      </c>
      <c r="O600" t="n">
        <v>0</v>
      </c>
      <c r="P600" t="n">
        <v>0</v>
      </c>
      <c r="Q600" t="n">
        <v>0</v>
      </c>
      <c r="R600" s="2" t="inlineStr"/>
    </row>
    <row r="601" ht="15" customHeight="1">
      <c r="A601" t="inlineStr">
        <is>
          <t>A 17594-2021</t>
        </is>
      </c>
      <c r="B601" s="1" t="n">
        <v>44299</v>
      </c>
      <c r="C601" s="1" t="n">
        <v>45657</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17844-2021</t>
        </is>
      </c>
      <c r="B602" s="1" t="n">
        <v>44301</v>
      </c>
      <c r="C602" s="1" t="n">
        <v>45657</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18368-2021</t>
        </is>
      </c>
      <c r="B603" s="1" t="n">
        <v>44305</v>
      </c>
      <c r="C603" s="1" t="n">
        <v>45657</v>
      </c>
      <c r="D603" t="inlineStr">
        <is>
          <t>VÄSTERNORRLANDS LÄN</t>
        </is>
      </c>
      <c r="E603" t="inlineStr">
        <is>
          <t>ÅNGE</t>
        </is>
      </c>
      <c r="G603" t="n">
        <v>7.8</v>
      </c>
      <c r="H603" t="n">
        <v>0</v>
      </c>
      <c r="I603" t="n">
        <v>0</v>
      </c>
      <c r="J603" t="n">
        <v>0</v>
      </c>
      <c r="K603" t="n">
        <v>0</v>
      </c>
      <c r="L603" t="n">
        <v>0</v>
      </c>
      <c r="M603" t="n">
        <v>0</v>
      </c>
      <c r="N603" t="n">
        <v>0</v>
      </c>
      <c r="O603" t="n">
        <v>0</v>
      </c>
      <c r="P603" t="n">
        <v>0</v>
      </c>
      <c r="Q603" t="n">
        <v>0</v>
      </c>
      <c r="R603" s="2" t="inlineStr"/>
    </row>
    <row r="604" ht="15" customHeight="1">
      <c r="A604" t="inlineStr">
        <is>
          <t>A 18379-2021</t>
        </is>
      </c>
      <c r="B604" s="1" t="n">
        <v>44305</v>
      </c>
      <c r="C604" s="1" t="n">
        <v>45657</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18422-2021</t>
        </is>
      </c>
      <c r="B605" s="1" t="n">
        <v>44305</v>
      </c>
      <c r="C605" s="1" t="n">
        <v>45657</v>
      </c>
      <c r="D605" t="inlineStr">
        <is>
          <t>VÄSTERNORRLANDS LÄN</t>
        </is>
      </c>
      <c r="E605" t="inlineStr">
        <is>
          <t>ÅNGE</t>
        </is>
      </c>
      <c r="G605" t="n">
        <v>1.5</v>
      </c>
      <c r="H605" t="n">
        <v>0</v>
      </c>
      <c r="I605" t="n">
        <v>0</v>
      </c>
      <c r="J605" t="n">
        <v>0</v>
      </c>
      <c r="K605" t="n">
        <v>0</v>
      </c>
      <c r="L605" t="n">
        <v>0</v>
      </c>
      <c r="M605" t="n">
        <v>0</v>
      </c>
      <c r="N605" t="n">
        <v>0</v>
      </c>
      <c r="O605" t="n">
        <v>0</v>
      </c>
      <c r="P605" t="n">
        <v>0</v>
      </c>
      <c r="Q605" t="n">
        <v>0</v>
      </c>
      <c r="R605" s="2" t="inlineStr"/>
    </row>
    <row r="606" ht="15" customHeight="1">
      <c r="A606" t="inlineStr">
        <is>
          <t>A 19102-2021</t>
        </is>
      </c>
      <c r="B606" s="1" t="n">
        <v>44308</v>
      </c>
      <c r="C606" s="1" t="n">
        <v>45657</v>
      </c>
      <c r="D606" t="inlineStr">
        <is>
          <t>VÄSTERNORRLANDS LÄN</t>
        </is>
      </c>
      <c r="E606" t="inlineStr">
        <is>
          <t>ÅNGE</t>
        </is>
      </c>
      <c r="G606" t="n">
        <v>3.3</v>
      </c>
      <c r="H606" t="n">
        <v>0</v>
      </c>
      <c r="I606" t="n">
        <v>0</v>
      </c>
      <c r="J606" t="n">
        <v>0</v>
      </c>
      <c r="K606" t="n">
        <v>0</v>
      </c>
      <c r="L606" t="n">
        <v>0</v>
      </c>
      <c r="M606" t="n">
        <v>0</v>
      </c>
      <c r="N606" t="n">
        <v>0</v>
      </c>
      <c r="O606" t="n">
        <v>0</v>
      </c>
      <c r="P606" t="n">
        <v>0</v>
      </c>
      <c r="Q606" t="n">
        <v>0</v>
      </c>
      <c r="R606" s="2" t="inlineStr"/>
    </row>
    <row r="607" ht="15" customHeight="1">
      <c r="A607" t="inlineStr">
        <is>
          <t>A 20354-2021</t>
        </is>
      </c>
      <c r="B607" s="1" t="n">
        <v>44312</v>
      </c>
      <c r="C607" s="1" t="n">
        <v>45657</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19970-2021</t>
        </is>
      </c>
      <c r="B608" s="1" t="n">
        <v>44313</v>
      </c>
      <c r="C608" s="1" t="n">
        <v>45657</v>
      </c>
      <c r="D608" t="inlineStr">
        <is>
          <t>VÄSTERNORRLANDS LÄN</t>
        </is>
      </c>
      <c r="E608" t="inlineStr">
        <is>
          <t>ÅNGE</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20576-2021</t>
        </is>
      </c>
      <c r="B609" s="1" t="n">
        <v>44316</v>
      </c>
      <c r="C609" s="1" t="n">
        <v>45657</v>
      </c>
      <c r="D609" t="inlineStr">
        <is>
          <t>VÄSTERNORRLANDS LÄN</t>
        </is>
      </c>
      <c r="E609" t="inlineStr">
        <is>
          <t>ÅNGE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20807-2021</t>
        </is>
      </c>
      <c r="B610" s="1" t="n">
        <v>44317</v>
      </c>
      <c r="C610" s="1" t="n">
        <v>45657</v>
      </c>
      <c r="D610" t="inlineStr">
        <is>
          <t>VÄSTERNORRLANDS LÄN</t>
        </is>
      </c>
      <c r="E610" t="inlineStr">
        <is>
          <t>ÅNGE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21189-2021</t>
        </is>
      </c>
      <c r="B611" s="1" t="n">
        <v>44320</v>
      </c>
      <c r="C611" s="1" t="n">
        <v>45657</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21642-2021</t>
        </is>
      </c>
      <c r="B612" s="1" t="n">
        <v>44322</v>
      </c>
      <c r="C612" s="1" t="n">
        <v>45657</v>
      </c>
      <c r="D612" t="inlineStr">
        <is>
          <t>VÄSTERNORRLANDS LÄN</t>
        </is>
      </c>
      <c r="E612" t="inlineStr">
        <is>
          <t>ÅNGE</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21625-2021</t>
        </is>
      </c>
      <c r="B613" s="1" t="n">
        <v>44322</v>
      </c>
      <c r="C613" s="1" t="n">
        <v>45657</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21960-2021</t>
        </is>
      </c>
      <c r="B614" s="1" t="n">
        <v>44323</v>
      </c>
      <c r="C614" s="1" t="n">
        <v>45657</v>
      </c>
      <c r="D614" t="inlineStr">
        <is>
          <t>VÄSTERNORRLANDS LÄN</t>
        </is>
      </c>
      <c r="E614" t="inlineStr">
        <is>
          <t>ÅNGE</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22237-2021</t>
        </is>
      </c>
      <c r="B615" s="1" t="n">
        <v>44326</v>
      </c>
      <c r="C615" s="1" t="n">
        <v>45657</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22597-2021</t>
        </is>
      </c>
      <c r="B616" s="1" t="n">
        <v>44326</v>
      </c>
      <c r="C616" s="1" t="n">
        <v>45657</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23018-2021</t>
        </is>
      </c>
      <c r="B617" s="1" t="n">
        <v>44328</v>
      </c>
      <c r="C617" s="1" t="n">
        <v>45657</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23017-2021</t>
        </is>
      </c>
      <c r="B618" s="1" t="n">
        <v>44329</v>
      </c>
      <c r="C618" s="1" t="n">
        <v>45657</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23016-2021</t>
        </is>
      </c>
      <c r="B619" s="1" t="n">
        <v>44329</v>
      </c>
      <c r="C619" s="1" t="n">
        <v>45657</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24233-2021</t>
        </is>
      </c>
      <c r="B620" s="1" t="n">
        <v>44336</v>
      </c>
      <c r="C620" s="1" t="n">
        <v>45657</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24819-2021</t>
        </is>
      </c>
      <c r="B621" s="1" t="n">
        <v>44340</v>
      </c>
      <c r="C621" s="1" t="n">
        <v>45657</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24831-2021</t>
        </is>
      </c>
      <c r="B622" s="1" t="n">
        <v>44340</v>
      </c>
      <c r="C622" s="1" t="n">
        <v>45657</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25020-2021</t>
        </is>
      </c>
      <c r="B623" s="1" t="n">
        <v>44341</v>
      </c>
      <c r="C623" s="1" t="n">
        <v>45657</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24953-2021</t>
        </is>
      </c>
      <c r="B624" s="1" t="n">
        <v>44341</v>
      </c>
      <c r="C624" s="1" t="n">
        <v>45657</v>
      </c>
      <c r="D624" t="inlineStr">
        <is>
          <t>VÄSTERNORRLANDS LÄN</t>
        </is>
      </c>
      <c r="E624" t="inlineStr">
        <is>
          <t>ÅNGE</t>
        </is>
      </c>
      <c r="G624" t="n">
        <v>6.1</v>
      </c>
      <c r="H624" t="n">
        <v>0</v>
      </c>
      <c r="I624" t="n">
        <v>0</v>
      </c>
      <c r="J624" t="n">
        <v>0</v>
      </c>
      <c r="K624" t="n">
        <v>0</v>
      </c>
      <c r="L624" t="n">
        <v>0</v>
      </c>
      <c r="M624" t="n">
        <v>0</v>
      </c>
      <c r="N624" t="n">
        <v>0</v>
      </c>
      <c r="O624" t="n">
        <v>0</v>
      </c>
      <c r="P624" t="n">
        <v>0</v>
      </c>
      <c r="Q624" t="n">
        <v>0</v>
      </c>
      <c r="R624" s="2" t="inlineStr"/>
    </row>
    <row r="625" ht="15" customHeight="1">
      <c r="A625" t="inlineStr">
        <is>
          <t>A 24977-2021</t>
        </is>
      </c>
      <c r="B625" s="1" t="n">
        <v>44341</v>
      </c>
      <c r="C625" s="1" t="n">
        <v>45657</v>
      </c>
      <c r="D625" t="inlineStr">
        <is>
          <t>VÄSTERNORRLANDS LÄN</t>
        </is>
      </c>
      <c r="E625" t="inlineStr">
        <is>
          <t>ÅNGE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26088-2021</t>
        </is>
      </c>
      <c r="B626" s="1" t="n">
        <v>44345</v>
      </c>
      <c r="C626" s="1" t="n">
        <v>45657</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26193-2021</t>
        </is>
      </c>
      <c r="B627" s="1" t="n">
        <v>44347</v>
      </c>
      <c r="C627" s="1" t="n">
        <v>45657</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26966-2021</t>
        </is>
      </c>
      <c r="B628" s="1" t="n">
        <v>44350</v>
      </c>
      <c r="C628" s="1" t="n">
        <v>45657</v>
      </c>
      <c r="D628" t="inlineStr">
        <is>
          <t>VÄSTERNORRLANDS LÄN</t>
        </is>
      </c>
      <c r="E628" t="inlineStr">
        <is>
          <t>ÅNGE</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26969-2021</t>
        </is>
      </c>
      <c r="B629" s="1" t="n">
        <v>44350</v>
      </c>
      <c r="C629" s="1" t="n">
        <v>45657</v>
      </c>
      <c r="D629" t="inlineStr">
        <is>
          <t>VÄSTERNORRLANDS LÄN</t>
        </is>
      </c>
      <c r="E629" t="inlineStr">
        <is>
          <t>ÅNGE</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27288-2021</t>
        </is>
      </c>
      <c r="B630" s="1" t="n">
        <v>44351</v>
      </c>
      <c r="C630" s="1" t="n">
        <v>45657</v>
      </c>
      <c r="D630" t="inlineStr">
        <is>
          <t>VÄSTERNORRLANDS LÄN</t>
        </is>
      </c>
      <c r="E630" t="inlineStr">
        <is>
          <t>ÅNGE</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27951-2021</t>
        </is>
      </c>
      <c r="B631" s="1" t="n">
        <v>44354</v>
      </c>
      <c r="C631" s="1" t="n">
        <v>45657</v>
      </c>
      <c r="D631" t="inlineStr">
        <is>
          <t>VÄSTERNORRLANDS LÄN</t>
        </is>
      </c>
      <c r="E631" t="inlineStr">
        <is>
          <t>ÅNGE</t>
        </is>
      </c>
      <c r="G631" t="n">
        <v>3</v>
      </c>
      <c r="H631" t="n">
        <v>0</v>
      </c>
      <c r="I631" t="n">
        <v>0</v>
      </c>
      <c r="J631" t="n">
        <v>0</v>
      </c>
      <c r="K631" t="n">
        <v>0</v>
      </c>
      <c r="L631" t="n">
        <v>0</v>
      </c>
      <c r="M631" t="n">
        <v>0</v>
      </c>
      <c r="N631" t="n">
        <v>0</v>
      </c>
      <c r="O631" t="n">
        <v>0</v>
      </c>
      <c r="P631" t="n">
        <v>0</v>
      </c>
      <c r="Q631" t="n">
        <v>0</v>
      </c>
      <c r="R631" s="2" t="inlineStr"/>
    </row>
    <row r="632" ht="15" customHeight="1">
      <c r="A632" t="inlineStr">
        <is>
          <t>A 27953-2021</t>
        </is>
      </c>
      <c r="B632" s="1" t="n">
        <v>44355</v>
      </c>
      <c r="C632" s="1" t="n">
        <v>45657</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27957-2021</t>
        </is>
      </c>
      <c r="B633" s="1" t="n">
        <v>44354</v>
      </c>
      <c r="C633" s="1" t="n">
        <v>45657</v>
      </c>
      <c r="D633" t="inlineStr">
        <is>
          <t>VÄSTERNORRLANDS LÄN</t>
        </is>
      </c>
      <c r="E633" t="inlineStr">
        <is>
          <t>ÅNGE</t>
        </is>
      </c>
      <c r="G633" t="n">
        <v>13.5</v>
      </c>
      <c r="H633" t="n">
        <v>0</v>
      </c>
      <c r="I633" t="n">
        <v>0</v>
      </c>
      <c r="J633" t="n">
        <v>0</v>
      </c>
      <c r="K633" t="n">
        <v>0</v>
      </c>
      <c r="L633" t="n">
        <v>0</v>
      </c>
      <c r="M633" t="n">
        <v>0</v>
      </c>
      <c r="N633" t="n">
        <v>0</v>
      </c>
      <c r="O633" t="n">
        <v>0</v>
      </c>
      <c r="P633" t="n">
        <v>0</v>
      </c>
      <c r="Q633" t="n">
        <v>0</v>
      </c>
      <c r="R633" s="2" t="inlineStr"/>
    </row>
    <row r="634" ht="15" customHeight="1">
      <c r="A634" t="inlineStr">
        <is>
          <t>A 29048-2021</t>
        </is>
      </c>
      <c r="B634" s="1" t="n">
        <v>44358</v>
      </c>
      <c r="C634" s="1" t="n">
        <v>45657</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29180-2021</t>
        </is>
      </c>
      <c r="B635" s="1" t="n">
        <v>44358</v>
      </c>
      <c r="C635" s="1" t="n">
        <v>45657</v>
      </c>
      <c r="D635" t="inlineStr">
        <is>
          <t>VÄSTERNORRLANDS LÄN</t>
        </is>
      </c>
      <c r="E635" t="inlineStr">
        <is>
          <t>ÅNGE</t>
        </is>
      </c>
      <c r="G635" t="n">
        <v>5.3</v>
      </c>
      <c r="H635" t="n">
        <v>0</v>
      </c>
      <c r="I635" t="n">
        <v>0</v>
      </c>
      <c r="J635" t="n">
        <v>0</v>
      </c>
      <c r="K635" t="n">
        <v>0</v>
      </c>
      <c r="L635" t="n">
        <v>0</v>
      </c>
      <c r="M635" t="n">
        <v>0</v>
      </c>
      <c r="N635" t="n">
        <v>0</v>
      </c>
      <c r="O635" t="n">
        <v>0</v>
      </c>
      <c r="P635" t="n">
        <v>0</v>
      </c>
      <c r="Q635" t="n">
        <v>0</v>
      </c>
      <c r="R635" s="2" t="inlineStr"/>
    </row>
    <row r="636" ht="15" customHeight="1">
      <c r="A636" t="inlineStr">
        <is>
          <t>A 29187-2021</t>
        </is>
      </c>
      <c r="B636" s="1" t="n">
        <v>44358</v>
      </c>
      <c r="C636" s="1" t="n">
        <v>45657</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29191-2021</t>
        </is>
      </c>
      <c r="B637" s="1" t="n">
        <v>44358</v>
      </c>
      <c r="C637" s="1" t="n">
        <v>45657</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29390-2021</t>
        </is>
      </c>
      <c r="B638" s="1" t="n">
        <v>44361</v>
      </c>
      <c r="C638" s="1" t="n">
        <v>45657</v>
      </c>
      <c r="D638" t="inlineStr">
        <is>
          <t>VÄSTERNORRLANDS LÄN</t>
        </is>
      </c>
      <c r="E638" t="inlineStr">
        <is>
          <t>ÅNGE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29509-2021</t>
        </is>
      </c>
      <c r="B639" s="1" t="n">
        <v>44361</v>
      </c>
      <c r="C639" s="1" t="n">
        <v>45657</v>
      </c>
      <c r="D639" t="inlineStr">
        <is>
          <t>VÄSTERNORRLANDS LÄN</t>
        </is>
      </c>
      <c r="E639" t="inlineStr">
        <is>
          <t>ÅNGE</t>
        </is>
      </c>
      <c r="G639" t="n">
        <v>3.6</v>
      </c>
      <c r="H639" t="n">
        <v>0</v>
      </c>
      <c r="I639" t="n">
        <v>0</v>
      </c>
      <c r="J639" t="n">
        <v>0</v>
      </c>
      <c r="K639" t="n">
        <v>0</v>
      </c>
      <c r="L639" t="n">
        <v>0</v>
      </c>
      <c r="M639" t="n">
        <v>0</v>
      </c>
      <c r="N639" t="n">
        <v>0</v>
      </c>
      <c r="O639" t="n">
        <v>0</v>
      </c>
      <c r="P639" t="n">
        <v>0</v>
      </c>
      <c r="Q639" t="n">
        <v>0</v>
      </c>
      <c r="R639" s="2" t="inlineStr"/>
    </row>
    <row r="640" ht="15" customHeight="1">
      <c r="A640" t="inlineStr">
        <is>
          <t>A 30286-2021</t>
        </is>
      </c>
      <c r="B640" s="1" t="n">
        <v>44363</v>
      </c>
      <c r="C640" s="1" t="n">
        <v>45657</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30339-2021</t>
        </is>
      </c>
      <c r="B641" s="1" t="n">
        <v>44364</v>
      </c>
      <c r="C641" s="1" t="n">
        <v>45657</v>
      </c>
      <c r="D641" t="inlineStr">
        <is>
          <t>VÄSTERNORRLANDS LÄN</t>
        </is>
      </c>
      <c r="E641" t="inlineStr">
        <is>
          <t>ÅNGE</t>
        </is>
      </c>
      <c r="G641" t="n">
        <v>23.8</v>
      </c>
      <c r="H641" t="n">
        <v>0</v>
      </c>
      <c r="I641" t="n">
        <v>0</v>
      </c>
      <c r="J641" t="n">
        <v>0</v>
      </c>
      <c r="K641" t="n">
        <v>0</v>
      </c>
      <c r="L641" t="n">
        <v>0</v>
      </c>
      <c r="M641" t="n">
        <v>0</v>
      </c>
      <c r="N641" t="n">
        <v>0</v>
      </c>
      <c r="O641" t="n">
        <v>0</v>
      </c>
      <c r="P641" t="n">
        <v>0</v>
      </c>
      <c r="Q641" t="n">
        <v>0</v>
      </c>
      <c r="R641" s="2" t="inlineStr"/>
    </row>
    <row r="642" ht="15" customHeight="1">
      <c r="A642" t="inlineStr">
        <is>
          <t>A 30345-2021</t>
        </is>
      </c>
      <c r="B642" s="1" t="n">
        <v>44364</v>
      </c>
      <c r="C642" s="1" t="n">
        <v>45657</v>
      </c>
      <c r="D642" t="inlineStr">
        <is>
          <t>VÄSTERNORRLANDS LÄN</t>
        </is>
      </c>
      <c r="E642" t="inlineStr">
        <is>
          <t>ÅNGE</t>
        </is>
      </c>
      <c r="G642" t="n">
        <v>7.7</v>
      </c>
      <c r="H642" t="n">
        <v>0</v>
      </c>
      <c r="I642" t="n">
        <v>0</v>
      </c>
      <c r="J642" t="n">
        <v>0</v>
      </c>
      <c r="K642" t="n">
        <v>0</v>
      </c>
      <c r="L642" t="n">
        <v>0</v>
      </c>
      <c r="M642" t="n">
        <v>0</v>
      </c>
      <c r="N642" t="n">
        <v>0</v>
      </c>
      <c r="O642" t="n">
        <v>0</v>
      </c>
      <c r="P642" t="n">
        <v>0</v>
      </c>
      <c r="Q642" t="n">
        <v>0</v>
      </c>
      <c r="R642" s="2" t="inlineStr"/>
    </row>
    <row r="643" ht="15" customHeight="1">
      <c r="A643" t="inlineStr">
        <is>
          <t>A 30365-2021</t>
        </is>
      </c>
      <c r="B643" s="1" t="n">
        <v>44364</v>
      </c>
      <c r="C643" s="1" t="n">
        <v>45657</v>
      </c>
      <c r="D643" t="inlineStr">
        <is>
          <t>VÄSTERNORRLANDS LÄN</t>
        </is>
      </c>
      <c r="E643" t="inlineStr">
        <is>
          <t>ÅNGE</t>
        </is>
      </c>
      <c r="G643" t="n">
        <v>3.9</v>
      </c>
      <c r="H643" t="n">
        <v>0</v>
      </c>
      <c r="I643" t="n">
        <v>0</v>
      </c>
      <c r="J643" t="n">
        <v>0</v>
      </c>
      <c r="K643" t="n">
        <v>0</v>
      </c>
      <c r="L643" t="n">
        <v>0</v>
      </c>
      <c r="M643" t="n">
        <v>0</v>
      </c>
      <c r="N643" t="n">
        <v>0</v>
      </c>
      <c r="O643" t="n">
        <v>0</v>
      </c>
      <c r="P643" t="n">
        <v>0</v>
      </c>
      <c r="Q643" t="n">
        <v>0</v>
      </c>
      <c r="R643" s="2" t="inlineStr"/>
    </row>
    <row r="644" ht="15" customHeight="1">
      <c r="A644" t="inlineStr">
        <is>
          <t>A 31191-2021</t>
        </is>
      </c>
      <c r="B644" s="1" t="n">
        <v>44368</v>
      </c>
      <c r="C644" s="1" t="n">
        <v>45657</v>
      </c>
      <c r="D644" t="inlineStr">
        <is>
          <t>VÄSTERNORRLANDS LÄN</t>
        </is>
      </c>
      <c r="E644" t="inlineStr">
        <is>
          <t>ÅNGE</t>
        </is>
      </c>
      <c r="F644" t="inlineStr">
        <is>
          <t>Sveaskog</t>
        </is>
      </c>
      <c r="G644" t="n">
        <v>21.6</v>
      </c>
      <c r="H644" t="n">
        <v>0</v>
      </c>
      <c r="I644" t="n">
        <v>0</v>
      </c>
      <c r="J644" t="n">
        <v>0</v>
      </c>
      <c r="K644" t="n">
        <v>0</v>
      </c>
      <c r="L644" t="n">
        <v>0</v>
      </c>
      <c r="M644" t="n">
        <v>0</v>
      </c>
      <c r="N644" t="n">
        <v>0</v>
      </c>
      <c r="O644" t="n">
        <v>0</v>
      </c>
      <c r="P644" t="n">
        <v>0</v>
      </c>
      <c r="Q644" t="n">
        <v>0</v>
      </c>
      <c r="R644" s="2" t="inlineStr"/>
    </row>
    <row r="645" ht="15" customHeight="1">
      <c r="A645" t="inlineStr">
        <is>
          <t>A 31668-2021</t>
        </is>
      </c>
      <c r="B645" s="1" t="n">
        <v>44369</v>
      </c>
      <c r="C645" s="1" t="n">
        <v>45657</v>
      </c>
      <c r="D645" t="inlineStr">
        <is>
          <t>VÄSTERNORRLANDS LÄN</t>
        </is>
      </c>
      <c r="E645" t="inlineStr">
        <is>
          <t>ÅNGE</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32328-2021</t>
        </is>
      </c>
      <c r="B646" s="1" t="n">
        <v>44371</v>
      </c>
      <c r="C646" s="1" t="n">
        <v>45657</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33408-2021</t>
        </is>
      </c>
      <c r="B647" s="1" t="n">
        <v>44377</v>
      </c>
      <c r="C647" s="1" t="n">
        <v>45657</v>
      </c>
      <c r="D647" t="inlineStr">
        <is>
          <t>VÄSTERNORRLANDS LÄN</t>
        </is>
      </c>
      <c r="E647" t="inlineStr">
        <is>
          <t>ÅNGE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34315-2021</t>
        </is>
      </c>
      <c r="B648" s="1" t="n">
        <v>44379</v>
      </c>
      <c r="C648" s="1" t="n">
        <v>45657</v>
      </c>
      <c r="D648" t="inlineStr">
        <is>
          <t>VÄSTERNORRLANDS LÄN</t>
        </is>
      </c>
      <c r="E648" t="inlineStr">
        <is>
          <t>ÅNGE</t>
        </is>
      </c>
      <c r="G648" t="n">
        <v>16.4</v>
      </c>
      <c r="H648" t="n">
        <v>0</v>
      </c>
      <c r="I648" t="n">
        <v>0</v>
      </c>
      <c r="J648" t="n">
        <v>0</v>
      </c>
      <c r="K648" t="n">
        <v>0</v>
      </c>
      <c r="L648" t="n">
        <v>0</v>
      </c>
      <c r="M648" t="n">
        <v>0</v>
      </c>
      <c r="N648" t="n">
        <v>0</v>
      </c>
      <c r="O648" t="n">
        <v>0</v>
      </c>
      <c r="P648" t="n">
        <v>0</v>
      </c>
      <c r="Q648" t="n">
        <v>0</v>
      </c>
      <c r="R648" s="2" t="inlineStr"/>
    </row>
    <row r="649" ht="15" customHeight="1">
      <c r="A649" t="inlineStr">
        <is>
          <t>A 34320-2021</t>
        </is>
      </c>
      <c r="B649" s="1" t="n">
        <v>44379</v>
      </c>
      <c r="C649" s="1" t="n">
        <v>45657</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34783-2021</t>
        </is>
      </c>
      <c r="B650" s="1" t="n">
        <v>44382</v>
      </c>
      <c r="C650" s="1" t="n">
        <v>45657</v>
      </c>
      <c r="D650" t="inlineStr">
        <is>
          <t>VÄSTERNORRLANDS LÄN</t>
        </is>
      </c>
      <c r="E650" t="inlineStr">
        <is>
          <t>ÅNGE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35058-2021</t>
        </is>
      </c>
      <c r="B651" s="1" t="n">
        <v>44383</v>
      </c>
      <c r="C651" s="1" t="n">
        <v>45657</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35079-2021</t>
        </is>
      </c>
      <c r="B652" s="1" t="n">
        <v>44383</v>
      </c>
      <c r="C652" s="1" t="n">
        <v>45657</v>
      </c>
      <c r="D652" t="inlineStr">
        <is>
          <t>VÄSTERNORRLANDS LÄN</t>
        </is>
      </c>
      <c r="E652" t="inlineStr">
        <is>
          <t>ÅNGE</t>
        </is>
      </c>
      <c r="G652" t="n">
        <v>2.8</v>
      </c>
      <c r="H652" t="n">
        <v>0</v>
      </c>
      <c r="I652" t="n">
        <v>0</v>
      </c>
      <c r="J652" t="n">
        <v>0</v>
      </c>
      <c r="K652" t="n">
        <v>0</v>
      </c>
      <c r="L652" t="n">
        <v>0</v>
      </c>
      <c r="M652" t="n">
        <v>0</v>
      </c>
      <c r="N652" t="n">
        <v>0</v>
      </c>
      <c r="O652" t="n">
        <v>0</v>
      </c>
      <c r="P652" t="n">
        <v>0</v>
      </c>
      <c r="Q652" t="n">
        <v>0</v>
      </c>
      <c r="R652" s="2" t="inlineStr"/>
    </row>
    <row r="653" ht="15" customHeight="1">
      <c r="A653" t="inlineStr">
        <is>
          <t>A 35339-2021</t>
        </is>
      </c>
      <c r="B653" s="1" t="n">
        <v>44384</v>
      </c>
      <c r="C653" s="1" t="n">
        <v>45657</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35359-2021</t>
        </is>
      </c>
      <c r="B654" s="1" t="n">
        <v>44385</v>
      </c>
      <c r="C654" s="1" t="n">
        <v>45657</v>
      </c>
      <c r="D654" t="inlineStr">
        <is>
          <t>VÄSTERNORRLANDS LÄN</t>
        </is>
      </c>
      <c r="E654" t="inlineStr">
        <is>
          <t>ÅNGE</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36457-2021</t>
        </is>
      </c>
      <c r="B655" s="1" t="n">
        <v>44391</v>
      </c>
      <c r="C655" s="1" t="n">
        <v>45657</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37010-2021</t>
        </is>
      </c>
      <c r="B656" s="1" t="n">
        <v>44393</v>
      </c>
      <c r="C656" s="1" t="n">
        <v>45657</v>
      </c>
      <c r="D656" t="inlineStr">
        <is>
          <t>VÄSTERNORRLANDS LÄN</t>
        </is>
      </c>
      <c r="E656" t="inlineStr">
        <is>
          <t>ÅNGE</t>
        </is>
      </c>
      <c r="F656" t="inlineStr">
        <is>
          <t>Kyrkan</t>
        </is>
      </c>
      <c r="G656" t="n">
        <v>16.8</v>
      </c>
      <c r="H656" t="n">
        <v>0</v>
      </c>
      <c r="I656" t="n">
        <v>0</v>
      </c>
      <c r="J656" t="n">
        <v>0</v>
      </c>
      <c r="K656" t="n">
        <v>0</v>
      </c>
      <c r="L656" t="n">
        <v>0</v>
      </c>
      <c r="M656" t="n">
        <v>0</v>
      </c>
      <c r="N656" t="n">
        <v>0</v>
      </c>
      <c r="O656" t="n">
        <v>0</v>
      </c>
      <c r="P656" t="n">
        <v>0</v>
      </c>
      <c r="Q656" t="n">
        <v>0</v>
      </c>
      <c r="R656" s="2" t="inlineStr"/>
    </row>
    <row r="657" ht="15" customHeight="1">
      <c r="A657" t="inlineStr">
        <is>
          <t>A 37051-2021</t>
        </is>
      </c>
      <c r="B657" s="1" t="n">
        <v>44393</v>
      </c>
      <c r="C657" s="1" t="n">
        <v>45657</v>
      </c>
      <c r="D657" t="inlineStr">
        <is>
          <t>VÄSTERNORRLANDS LÄN</t>
        </is>
      </c>
      <c r="E657" t="inlineStr">
        <is>
          <t>ÅNGE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37013-2021</t>
        </is>
      </c>
      <c r="B658" s="1" t="n">
        <v>44393</v>
      </c>
      <c r="C658" s="1" t="n">
        <v>45657</v>
      </c>
      <c r="D658" t="inlineStr">
        <is>
          <t>VÄSTERNORRLANDS LÄN</t>
        </is>
      </c>
      <c r="E658" t="inlineStr">
        <is>
          <t>ÅNGE</t>
        </is>
      </c>
      <c r="G658" t="n">
        <v>8.6</v>
      </c>
      <c r="H658" t="n">
        <v>0</v>
      </c>
      <c r="I658" t="n">
        <v>0</v>
      </c>
      <c r="J658" t="n">
        <v>0</v>
      </c>
      <c r="K658" t="n">
        <v>0</v>
      </c>
      <c r="L658" t="n">
        <v>0</v>
      </c>
      <c r="M658" t="n">
        <v>0</v>
      </c>
      <c r="N658" t="n">
        <v>0</v>
      </c>
      <c r="O658" t="n">
        <v>0</v>
      </c>
      <c r="P658" t="n">
        <v>0</v>
      </c>
      <c r="Q658" t="n">
        <v>0</v>
      </c>
      <c r="R658" s="2" t="inlineStr"/>
    </row>
    <row r="659" ht="15" customHeight="1">
      <c r="A659" t="inlineStr">
        <is>
          <t>A 37382-2021</t>
        </is>
      </c>
      <c r="B659" s="1" t="n">
        <v>44397</v>
      </c>
      <c r="C659" s="1" t="n">
        <v>45657</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37605-2021</t>
        </is>
      </c>
      <c r="B660" s="1" t="n">
        <v>44399</v>
      </c>
      <c r="C660" s="1" t="n">
        <v>45657</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37620-2021</t>
        </is>
      </c>
      <c r="B661" s="1" t="n">
        <v>44399</v>
      </c>
      <c r="C661" s="1" t="n">
        <v>45657</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37624-2021</t>
        </is>
      </c>
      <c r="B662" s="1" t="n">
        <v>44399</v>
      </c>
      <c r="C662" s="1" t="n">
        <v>45657</v>
      </c>
      <c r="D662" t="inlineStr">
        <is>
          <t>VÄSTERNORRLANDS LÄN</t>
        </is>
      </c>
      <c r="E662" t="inlineStr">
        <is>
          <t>ÅNGE</t>
        </is>
      </c>
      <c r="G662" t="n">
        <v>4.1</v>
      </c>
      <c r="H662" t="n">
        <v>0</v>
      </c>
      <c r="I662" t="n">
        <v>0</v>
      </c>
      <c r="J662" t="n">
        <v>0</v>
      </c>
      <c r="K662" t="n">
        <v>0</v>
      </c>
      <c r="L662" t="n">
        <v>0</v>
      </c>
      <c r="M662" t="n">
        <v>0</v>
      </c>
      <c r="N662" t="n">
        <v>0</v>
      </c>
      <c r="O662" t="n">
        <v>0</v>
      </c>
      <c r="P662" t="n">
        <v>0</v>
      </c>
      <c r="Q662" t="n">
        <v>0</v>
      </c>
      <c r="R662" s="2" t="inlineStr"/>
    </row>
    <row r="663" ht="15" customHeight="1">
      <c r="A663" t="inlineStr">
        <is>
          <t>A 37621-2021</t>
        </is>
      </c>
      <c r="B663" s="1" t="n">
        <v>44399</v>
      </c>
      <c r="C663" s="1" t="n">
        <v>45657</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38237-2021</t>
        </is>
      </c>
      <c r="B664" s="1" t="n">
        <v>44405</v>
      </c>
      <c r="C664" s="1" t="n">
        <v>45657</v>
      </c>
      <c r="D664" t="inlineStr">
        <is>
          <t>VÄSTERNORRLANDS LÄN</t>
        </is>
      </c>
      <c r="E664" t="inlineStr">
        <is>
          <t>ÅNGE</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38369-2021</t>
        </is>
      </c>
      <c r="B665" s="1" t="n">
        <v>44406</v>
      </c>
      <c r="C665" s="1" t="n">
        <v>45657</v>
      </c>
      <c r="D665" t="inlineStr">
        <is>
          <t>VÄSTERNORRLANDS LÄN</t>
        </is>
      </c>
      <c r="E665" t="inlineStr">
        <is>
          <t>ÅNGE</t>
        </is>
      </c>
      <c r="G665" t="n">
        <v>5.6</v>
      </c>
      <c r="H665" t="n">
        <v>0</v>
      </c>
      <c r="I665" t="n">
        <v>0</v>
      </c>
      <c r="J665" t="n">
        <v>0</v>
      </c>
      <c r="K665" t="n">
        <v>0</v>
      </c>
      <c r="L665" t="n">
        <v>0</v>
      </c>
      <c r="M665" t="n">
        <v>0</v>
      </c>
      <c r="N665" t="n">
        <v>0</v>
      </c>
      <c r="O665" t="n">
        <v>0</v>
      </c>
      <c r="P665" t="n">
        <v>0</v>
      </c>
      <c r="Q665" t="n">
        <v>0</v>
      </c>
      <c r="R665" s="2" t="inlineStr"/>
    </row>
    <row r="666" ht="15" customHeight="1">
      <c r="A666" t="inlineStr">
        <is>
          <t>A 38432-2021</t>
        </is>
      </c>
      <c r="B666" s="1" t="n">
        <v>44406</v>
      </c>
      <c r="C666" s="1" t="n">
        <v>45657</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38960-2021</t>
        </is>
      </c>
      <c r="B667" s="1" t="n">
        <v>44411</v>
      </c>
      <c r="C667" s="1" t="n">
        <v>45657</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39729-2021</t>
        </is>
      </c>
      <c r="B668" s="1" t="n">
        <v>44417</v>
      </c>
      <c r="C668" s="1" t="n">
        <v>45657</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39744-2021</t>
        </is>
      </c>
      <c r="B669" s="1" t="n">
        <v>44417</v>
      </c>
      <c r="C669" s="1" t="n">
        <v>45657</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41070-2021</t>
        </is>
      </c>
      <c r="B670" s="1" t="n">
        <v>44422</v>
      </c>
      <c r="C670" s="1" t="n">
        <v>45657</v>
      </c>
      <c r="D670" t="inlineStr">
        <is>
          <t>VÄSTERNORRLANDS LÄN</t>
        </is>
      </c>
      <c r="E670" t="inlineStr">
        <is>
          <t>ÅNGE</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41831-2021</t>
        </is>
      </c>
      <c r="B671" s="1" t="n">
        <v>44426</v>
      </c>
      <c r="C671" s="1" t="n">
        <v>45657</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41829-2021</t>
        </is>
      </c>
      <c r="B672" s="1" t="n">
        <v>44426</v>
      </c>
      <c r="C672" s="1" t="n">
        <v>45657</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43076-2021</t>
        </is>
      </c>
      <c r="B673" s="1" t="n">
        <v>44431</v>
      </c>
      <c r="C673" s="1" t="n">
        <v>45657</v>
      </c>
      <c r="D673" t="inlineStr">
        <is>
          <t>VÄSTERNORRLANDS LÄN</t>
        </is>
      </c>
      <c r="E673" t="inlineStr">
        <is>
          <t>ÅNGE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42881-2021</t>
        </is>
      </c>
      <c r="B674" s="1" t="n">
        <v>44431</v>
      </c>
      <c r="C674" s="1" t="n">
        <v>45657</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43849-2021</t>
        </is>
      </c>
      <c r="B675" s="1" t="n">
        <v>44433</v>
      </c>
      <c r="C675" s="1" t="n">
        <v>45657</v>
      </c>
      <c r="D675" t="inlineStr">
        <is>
          <t>VÄSTERNORRLANDS LÄN</t>
        </is>
      </c>
      <c r="E675" t="inlineStr">
        <is>
          <t>ÅNGE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44415-2021</t>
        </is>
      </c>
      <c r="B676" s="1" t="n">
        <v>44435</v>
      </c>
      <c r="C676" s="1" t="n">
        <v>45657</v>
      </c>
      <c r="D676" t="inlineStr">
        <is>
          <t>VÄSTERNORRLANDS LÄN</t>
        </is>
      </c>
      <c r="E676" t="inlineStr">
        <is>
          <t>ÅNGE</t>
        </is>
      </c>
      <c r="G676" t="n">
        <v>5.2</v>
      </c>
      <c r="H676" t="n">
        <v>0</v>
      </c>
      <c r="I676" t="n">
        <v>0</v>
      </c>
      <c r="J676" t="n">
        <v>0</v>
      </c>
      <c r="K676" t="n">
        <v>0</v>
      </c>
      <c r="L676" t="n">
        <v>0</v>
      </c>
      <c r="M676" t="n">
        <v>0</v>
      </c>
      <c r="N676" t="n">
        <v>0</v>
      </c>
      <c r="O676" t="n">
        <v>0</v>
      </c>
      <c r="P676" t="n">
        <v>0</v>
      </c>
      <c r="Q676" t="n">
        <v>0</v>
      </c>
      <c r="R676" s="2" t="inlineStr"/>
    </row>
    <row r="677" ht="15" customHeight="1">
      <c r="A677" t="inlineStr">
        <is>
          <t>A 44608-2021</t>
        </is>
      </c>
      <c r="B677" s="1" t="n">
        <v>44436</v>
      </c>
      <c r="C677" s="1" t="n">
        <v>45657</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45145-2021</t>
        </is>
      </c>
      <c r="B678" s="1" t="n">
        <v>44439</v>
      </c>
      <c r="C678" s="1" t="n">
        <v>45657</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45353-2021</t>
        </is>
      </c>
      <c r="B679" s="1" t="n">
        <v>44439</v>
      </c>
      <c r="C679" s="1" t="n">
        <v>45657</v>
      </c>
      <c r="D679" t="inlineStr">
        <is>
          <t>VÄSTERNORRLANDS LÄN</t>
        </is>
      </c>
      <c r="E679" t="inlineStr">
        <is>
          <t>ÅNGE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45631-2021</t>
        </is>
      </c>
      <c r="B680" s="1" t="n">
        <v>44441</v>
      </c>
      <c r="C680" s="1" t="n">
        <v>45657</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45735-2021</t>
        </is>
      </c>
      <c r="B681" s="1" t="n">
        <v>44441</v>
      </c>
      <c r="C681" s="1" t="n">
        <v>45657</v>
      </c>
      <c r="D681" t="inlineStr">
        <is>
          <t>VÄSTERNORRLANDS LÄN</t>
        </is>
      </c>
      <c r="E681" t="inlineStr">
        <is>
          <t>ÅNGE</t>
        </is>
      </c>
      <c r="F681" t="inlineStr">
        <is>
          <t>Sveaskog</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45890-2021</t>
        </is>
      </c>
      <c r="B682" s="1" t="n">
        <v>44441</v>
      </c>
      <c r="C682" s="1" t="n">
        <v>45657</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46053-2021</t>
        </is>
      </c>
      <c r="B683" s="1" t="n">
        <v>44441</v>
      </c>
      <c r="C683" s="1" t="n">
        <v>45657</v>
      </c>
      <c r="D683" t="inlineStr">
        <is>
          <t>VÄSTERNORRLANDS LÄN</t>
        </is>
      </c>
      <c r="E683" t="inlineStr">
        <is>
          <t>ÅNGE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46865-2021</t>
        </is>
      </c>
      <c r="B684" s="1" t="n">
        <v>44446</v>
      </c>
      <c r="C684" s="1" t="n">
        <v>45657</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46824-2021</t>
        </is>
      </c>
      <c r="B685" s="1" t="n">
        <v>44446</v>
      </c>
      <c r="C685" s="1" t="n">
        <v>45657</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48876-2021</t>
        </is>
      </c>
      <c r="B686" s="1" t="n">
        <v>44452</v>
      </c>
      <c r="C686" s="1" t="n">
        <v>45657</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48990-2021</t>
        </is>
      </c>
      <c r="B687" s="1" t="n">
        <v>44453</v>
      </c>
      <c r="C687" s="1" t="n">
        <v>45657</v>
      </c>
      <c r="D687" t="inlineStr">
        <is>
          <t>VÄSTERNORRLANDS LÄN</t>
        </is>
      </c>
      <c r="E687" t="inlineStr">
        <is>
          <t>ÅNGE</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48988-2021</t>
        </is>
      </c>
      <c r="B688" s="1" t="n">
        <v>44453</v>
      </c>
      <c r="C688" s="1" t="n">
        <v>45657</v>
      </c>
      <c r="D688" t="inlineStr">
        <is>
          <t>VÄSTERNORRLANDS LÄN</t>
        </is>
      </c>
      <c r="E688" t="inlineStr">
        <is>
          <t>ÅNGE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49137-2021</t>
        </is>
      </c>
      <c r="B689" s="1" t="n">
        <v>44453</v>
      </c>
      <c r="C689" s="1" t="n">
        <v>45657</v>
      </c>
      <c r="D689" t="inlineStr">
        <is>
          <t>VÄSTERNORRLANDS LÄN</t>
        </is>
      </c>
      <c r="E689" t="inlineStr">
        <is>
          <t>ÅNGE</t>
        </is>
      </c>
      <c r="G689" t="n">
        <v>2.3</v>
      </c>
      <c r="H689" t="n">
        <v>0</v>
      </c>
      <c r="I689" t="n">
        <v>0</v>
      </c>
      <c r="J689" t="n">
        <v>0</v>
      </c>
      <c r="K689" t="n">
        <v>0</v>
      </c>
      <c r="L689" t="n">
        <v>0</v>
      </c>
      <c r="M689" t="n">
        <v>0</v>
      </c>
      <c r="N689" t="n">
        <v>0</v>
      </c>
      <c r="O689" t="n">
        <v>0</v>
      </c>
      <c r="P689" t="n">
        <v>0</v>
      </c>
      <c r="Q689" t="n">
        <v>0</v>
      </c>
      <c r="R689" s="2" t="inlineStr"/>
    </row>
    <row r="690" ht="15" customHeight="1">
      <c r="A690" t="inlineStr">
        <is>
          <t>A 50333-2021</t>
        </is>
      </c>
      <c r="B690" s="1" t="n">
        <v>44454</v>
      </c>
      <c r="C690" s="1" t="n">
        <v>45657</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50125-2021</t>
        </is>
      </c>
      <c r="B691" s="1" t="n">
        <v>44456</v>
      </c>
      <c r="C691" s="1" t="n">
        <v>45657</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50196-2021</t>
        </is>
      </c>
      <c r="B692" s="1" t="n">
        <v>44457</v>
      </c>
      <c r="C692" s="1" t="n">
        <v>45657</v>
      </c>
      <c r="D692" t="inlineStr">
        <is>
          <t>VÄSTERNORRLANDS LÄN</t>
        </is>
      </c>
      <c r="E692" t="inlineStr">
        <is>
          <t>ÅNGE</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50186-2021</t>
        </is>
      </c>
      <c r="B693" s="1" t="n">
        <v>44456</v>
      </c>
      <c r="C693" s="1" t="n">
        <v>45657</v>
      </c>
      <c r="D693" t="inlineStr">
        <is>
          <t>VÄSTERNORRLANDS LÄN</t>
        </is>
      </c>
      <c r="E693" t="inlineStr">
        <is>
          <t>ÅNGE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50234-2021</t>
        </is>
      </c>
      <c r="B694" s="1" t="n">
        <v>44458</v>
      </c>
      <c r="C694" s="1" t="n">
        <v>45657</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50235-2021</t>
        </is>
      </c>
      <c r="B695" s="1" t="n">
        <v>44457</v>
      </c>
      <c r="C695" s="1" t="n">
        <v>45657</v>
      </c>
      <c r="D695" t="inlineStr">
        <is>
          <t>VÄSTERNORRLANDS LÄN</t>
        </is>
      </c>
      <c r="E695" t="inlineStr">
        <is>
          <t>ÅNGE</t>
        </is>
      </c>
      <c r="G695" t="n">
        <v>3.8</v>
      </c>
      <c r="H695" t="n">
        <v>0</v>
      </c>
      <c r="I695" t="n">
        <v>0</v>
      </c>
      <c r="J695" t="n">
        <v>0</v>
      </c>
      <c r="K695" t="n">
        <v>0</v>
      </c>
      <c r="L695" t="n">
        <v>0</v>
      </c>
      <c r="M695" t="n">
        <v>0</v>
      </c>
      <c r="N695" t="n">
        <v>0</v>
      </c>
      <c r="O695" t="n">
        <v>0</v>
      </c>
      <c r="P695" t="n">
        <v>0</v>
      </c>
      <c r="Q695" t="n">
        <v>0</v>
      </c>
      <c r="R695" s="2" t="inlineStr"/>
    </row>
    <row r="696" ht="15" customHeight="1">
      <c r="A696" t="inlineStr">
        <is>
          <t>A 50651-2021</t>
        </is>
      </c>
      <c r="B696" s="1" t="n">
        <v>44459</v>
      </c>
      <c r="C696" s="1" t="n">
        <v>45657</v>
      </c>
      <c r="D696" t="inlineStr">
        <is>
          <t>VÄSTERNORRLANDS LÄN</t>
        </is>
      </c>
      <c r="E696" t="inlineStr">
        <is>
          <t>ÅNGE</t>
        </is>
      </c>
      <c r="G696" t="n">
        <v>20.6</v>
      </c>
      <c r="H696" t="n">
        <v>0</v>
      </c>
      <c r="I696" t="n">
        <v>0</v>
      </c>
      <c r="J696" t="n">
        <v>0</v>
      </c>
      <c r="K696" t="n">
        <v>0</v>
      </c>
      <c r="L696" t="n">
        <v>0</v>
      </c>
      <c r="M696" t="n">
        <v>0</v>
      </c>
      <c r="N696" t="n">
        <v>0</v>
      </c>
      <c r="O696" t="n">
        <v>0</v>
      </c>
      <c r="P696" t="n">
        <v>0</v>
      </c>
      <c r="Q696" t="n">
        <v>0</v>
      </c>
      <c r="R696" s="2" t="inlineStr"/>
    </row>
    <row r="697" ht="15" customHeight="1">
      <c r="A697" t="inlineStr">
        <is>
          <t>A 50733-2021</t>
        </is>
      </c>
      <c r="B697" s="1" t="n">
        <v>44460</v>
      </c>
      <c r="C697" s="1" t="n">
        <v>45657</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50960-2021</t>
        </is>
      </c>
      <c r="B698" s="1" t="n">
        <v>44460</v>
      </c>
      <c r="C698" s="1" t="n">
        <v>45657</v>
      </c>
      <c r="D698" t="inlineStr">
        <is>
          <t>VÄSTERNORRLANDS LÄN</t>
        </is>
      </c>
      <c r="E698" t="inlineStr">
        <is>
          <t>ÅNGE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51179-2021</t>
        </is>
      </c>
      <c r="B699" s="1" t="n">
        <v>44461</v>
      </c>
      <c r="C699" s="1" t="n">
        <v>45657</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51163-2021</t>
        </is>
      </c>
      <c r="B700" s="1" t="n">
        <v>44461</v>
      </c>
      <c r="C700" s="1" t="n">
        <v>45657</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51428-2021</t>
        </is>
      </c>
      <c r="B701" s="1" t="n">
        <v>44461</v>
      </c>
      <c r="C701" s="1" t="n">
        <v>45657</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51427-2021</t>
        </is>
      </c>
      <c r="B702" s="1" t="n">
        <v>44461</v>
      </c>
      <c r="C702" s="1" t="n">
        <v>45657</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52705-2021</t>
        </is>
      </c>
      <c r="B703" s="1" t="n">
        <v>44466</v>
      </c>
      <c r="C703" s="1" t="n">
        <v>45657</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52726-2021</t>
        </is>
      </c>
      <c r="B704" s="1" t="n">
        <v>44466</v>
      </c>
      <c r="C704" s="1" t="n">
        <v>45657</v>
      </c>
      <c r="D704" t="inlineStr">
        <is>
          <t>VÄSTERNORRLANDS LÄN</t>
        </is>
      </c>
      <c r="E704" t="inlineStr">
        <is>
          <t>ÅNGE</t>
        </is>
      </c>
      <c r="F704" t="inlineStr">
        <is>
          <t>SCA</t>
        </is>
      </c>
      <c r="G704" t="n">
        <v>9.5</v>
      </c>
      <c r="H704" t="n">
        <v>0</v>
      </c>
      <c r="I704" t="n">
        <v>0</v>
      </c>
      <c r="J704" t="n">
        <v>0</v>
      </c>
      <c r="K704" t="n">
        <v>0</v>
      </c>
      <c r="L704" t="n">
        <v>0</v>
      </c>
      <c r="M704" t="n">
        <v>0</v>
      </c>
      <c r="N704" t="n">
        <v>0</v>
      </c>
      <c r="O704" t="n">
        <v>0</v>
      </c>
      <c r="P704" t="n">
        <v>0</v>
      </c>
      <c r="Q704" t="n">
        <v>0</v>
      </c>
      <c r="R704" s="2" t="inlineStr"/>
    </row>
    <row r="705" ht="15" customHeight="1">
      <c r="A705" t="inlineStr">
        <is>
          <t>A 53970-2021</t>
        </is>
      </c>
      <c r="B705" s="1" t="n">
        <v>44469</v>
      </c>
      <c r="C705" s="1" t="n">
        <v>45657</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53969-2021</t>
        </is>
      </c>
      <c r="B706" s="1" t="n">
        <v>44469</v>
      </c>
      <c r="C706" s="1" t="n">
        <v>45657</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54750-2021</t>
        </is>
      </c>
      <c r="B707" s="1" t="n">
        <v>44473</v>
      </c>
      <c r="C707" s="1" t="n">
        <v>45657</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54800-2021</t>
        </is>
      </c>
      <c r="B708" s="1" t="n">
        <v>44474</v>
      </c>
      <c r="C708" s="1" t="n">
        <v>45657</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54908-2021</t>
        </is>
      </c>
      <c r="B709" s="1" t="n">
        <v>44474</v>
      </c>
      <c r="C709" s="1" t="n">
        <v>45657</v>
      </c>
      <c r="D709" t="inlineStr">
        <is>
          <t>VÄSTERNORRLANDS LÄN</t>
        </is>
      </c>
      <c r="E709" t="inlineStr">
        <is>
          <t>ÅNGE</t>
        </is>
      </c>
      <c r="G709" t="n">
        <v>7.8</v>
      </c>
      <c r="H709" t="n">
        <v>0</v>
      </c>
      <c r="I709" t="n">
        <v>0</v>
      </c>
      <c r="J709" t="n">
        <v>0</v>
      </c>
      <c r="K709" t="n">
        <v>0</v>
      </c>
      <c r="L709" t="n">
        <v>0</v>
      </c>
      <c r="M709" t="n">
        <v>0</v>
      </c>
      <c r="N709" t="n">
        <v>0</v>
      </c>
      <c r="O709" t="n">
        <v>0</v>
      </c>
      <c r="P709" t="n">
        <v>0</v>
      </c>
      <c r="Q709" t="n">
        <v>0</v>
      </c>
      <c r="R709" s="2" t="inlineStr"/>
    </row>
    <row r="710" ht="15" customHeight="1">
      <c r="A710" t="inlineStr">
        <is>
          <t>A 54946-2021</t>
        </is>
      </c>
      <c r="B710" s="1" t="n">
        <v>44474</v>
      </c>
      <c r="C710" s="1" t="n">
        <v>45657</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55316-2021</t>
        </is>
      </c>
      <c r="B711" s="1" t="n">
        <v>44475</v>
      </c>
      <c r="C711" s="1" t="n">
        <v>45657</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55593-2021</t>
        </is>
      </c>
      <c r="B712" s="1" t="n">
        <v>44476</v>
      </c>
      <c r="C712" s="1" t="n">
        <v>45657</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55905-2021</t>
        </is>
      </c>
      <c r="B713" s="1" t="n">
        <v>44477</v>
      </c>
      <c r="C713" s="1" t="n">
        <v>45657</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55912-2021</t>
        </is>
      </c>
      <c r="B714" s="1" t="n">
        <v>44477</v>
      </c>
      <c r="C714" s="1" t="n">
        <v>45657</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56434-2021</t>
        </is>
      </c>
      <c r="B715" s="1" t="n">
        <v>44477</v>
      </c>
      <c r="C715" s="1" t="n">
        <v>45657</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56437-2021</t>
        </is>
      </c>
      <c r="B716" s="1" t="n">
        <v>44477</v>
      </c>
      <c r="C716" s="1" t="n">
        <v>45657</v>
      </c>
      <c r="D716" t="inlineStr">
        <is>
          <t>VÄSTERNORRLANDS LÄN</t>
        </is>
      </c>
      <c r="E716" t="inlineStr">
        <is>
          <t>ÅNGE</t>
        </is>
      </c>
      <c r="G716" t="n">
        <v>18.7</v>
      </c>
      <c r="H716" t="n">
        <v>0</v>
      </c>
      <c r="I716" t="n">
        <v>0</v>
      </c>
      <c r="J716" t="n">
        <v>0</v>
      </c>
      <c r="K716" t="n">
        <v>0</v>
      </c>
      <c r="L716" t="n">
        <v>0</v>
      </c>
      <c r="M716" t="n">
        <v>0</v>
      </c>
      <c r="N716" t="n">
        <v>0</v>
      </c>
      <c r="O716" t="n">
        <v>0</v>
      </c>
      <c r="P716" t="n">
        <v>0</v>
      </c>
      <c r="Q716" t="n">
        <v>0</v>
      </c>
      <c r="R716" s="2" t="inlineStr"/>
    </row>
    <row r="717" ht="15" customHeight="1">
      <c r="A717" t="inlineStr">
        <is>
          <t>A 56907-2021</t>
        </is>
      </c>
      <c r="B717" s="1" t="n">
        <v>44482</v>
      </c>
      <c r="C717" s="1" t="n">
        <v>45657</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56908-2021</t>
        </is>
      </c>
      <c r="B718" s="1" t="n">
        <v>44482</v>
      </c>
      <c r="C718" s="1" t="n">
        <v>45657</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57162-2021</t>
        </is>
      </c>
      <c r="B719" s="1" t="n">
        <v>44482</v>
      </c>
      <c r="C719" s="1" t="n">
        <v>45657</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57418-2021</t>
        </is>
      </c>
      <c r="B720" s="1" t="n">
        <v>44483</v>
      </c>
      <c r="C720" s="1" t="n">
        <v>45657</v>
      </c>
      <c r="D720" t="inlineStr">
        <is>
          <t>VÄSTERNORRLANDS LÄN</t>
        </is>
      </c>
      <c r="E720" t="inlineStr">
        <is>
          <t>ÅNGE</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45657</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58941-2021</t>
        </is>
      </c>
      <c r="B722" s="1" t="n">
        <v>44490</v>
      </c>
      <c r="C722" s="1" t="n">
        <v>45657</v>
      </c>
      <c r="D722" t="inlineStr">
        <is>
          <t>VÄSTERNORRLANDS LÄN</t>
        </is>
      </c>
      <c r="E722" t="inlineStr">
        <is>
          <t>ÅNGE</t>
        </is>
      </c>
      <c r="G722" t="n">
        <v>6.7</v>
      </c>
      <c r="H722" t="n">
        <v>0</v>
      </c>
      <c r="I722" t="n">
        <v>0</v>
      </c>
      <c r="J722" t="n">
        <v>0</v>
      </c>
      <c r="K722" t="n">
        <v>0</v>
      </c>
      <c r="L722" t="n">
        <v>0</v>
      </c>
      <c r="M722" t="n">
        <v>0</v>
      </c>
      <c r="N722" t="n">
        <v>0</v>
      </c>
      <c r="O722" t="n">
        <v>0</v>
      </c>
      <c r="P722" t="n">
        <v>0</v>
      </c>
      <c r="Q722" t="n">
        <v>0</v>
      </c>
      <c r="R722" s="2" t="inlineStr"/>
    </row>
    <row r="723" ht="15" customHeight="1">
      <c r="A723" t="inlineStr">
        <is>
          <t>A 58942-2021</t>
        </is>
      </c>
      <c r="B723" s="1" t="n">
        <v>44490</v>
      </c>
      <c r="C723" s="1" t="n">
        <v>45657</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59982-2021</t>
        </is>
      </c>
      <c r="B724" s="1" t="n">
        <v>44495</v>
      </c>
      <c r="C724" s="1" t="n">
        <v>45657</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59972-2021</t>
        </is>
      </c>
      <c r="B725" s="1" t="n">
        <v>44495</v>
      </c>
      <c r="C725" s="1" t="n">
        <v>45657</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59979-2021</t>
        </is>
      </c>
      <c r="B726" s="1" t="n">
        <v>44494</v>
      </c>
      <c r="C726" s="1" t="n">
        <v>45657</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59986-2021</t>
        </is>
      </c>
      <c r="B727" s="1" t="n">
        <v>44494</v>
      </c>
      <c r="C727" s="1" t="n">
        <v>45657</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60296-2021</t>
        </is>
      </c>
      <c r="B728" s="1" t="n">
        <v>44495</v>
      </c>
      <c r="C728" s="1" t="n">
        <v>45657</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61404-2021</t>
        </is>
      </c>
      <c r="B729" s="1" t="n">
        <v>44500</v>
      </c>
      <c r="C729" s="1" t="n">
        <v>45657</v>
      </c>
      <c r="D729" t="inlineStr">
        <is>
          <t>VÄSTERNORRLANDS LÄN</t>
        </is>
      </c>
      <c r="E729" t="inlineStr">
        <is>
          <t>ÅNGE</t>
        </is>
      </c>
      <c r="G729" t="n">
        <v>6.1</v>
      </c>
      <c r="H729" t="n">
        <v>0</v>
      </c>
      <c r="I729" t="n">
        <v>0</v>
      </c>
      <c r="J729" t="n">
        <v>0</v>
      </c>
      <c r="K729" t="n">
        <v>0</v>
      </c>
      <c r="L729" t="n">
        <v>0</v>
      </c>
      <c r="M729" t="n">
        <v>0</v>
      </c>
      <c r="N729" t="n">
        <v>0</v>
      </c>
      <c r="O729" t="n">
        <v>0</v>
      </c>
      <c r="P729" t="n">
        <v>0</v>
      </c>
      <c r="Q729" t="n">
        <v>0</v>
      </c>
      <c r="R729" s="2" t="inlineStr"/>
    </row>
    <row r="730" ht="15" customHeight="1">
      <c r="A730" t="inlineStr">
        <is>
          <t>A 61761-2021</t>
        </is>
      </c>
      <c r="B730" s="1" t="n">
        <v>44501</v>
      </c>
      <c r="C730" s="1" t="n">
        <v>45657</v>
      </c>
      <c r="D730" t="inlineStr">
        <is>
          <t>VÄSTERNORRLANDS LÄN</t>
        </is>
      </c>
      <c r="E730" t="inlineStr">
        <is>
          <t>ÅNGE</t>
        </is>
      </c>
      <c r="G730" t="n">
        <v>0.3</v>
      </c>
      <c r="H730" t="n">
        <v>0</v>
      </c>
      <c r="I730" t="n">
        <v>0</v>
      </c>
      <c r="J730" t="n">
        <v>0</v>
      </c>
      <c r="K730" t="n">
        <v>0</v>
      </c>
      <c r="L730" t="n">
        <v>0</v>
      </c>
      <c r="M730" t="n">
        <v>0</v>
      </c>
      <c r="N730" t="n">
        <v>0</v>
      </c>
      <c r="O730" t="n">
        <v>0</v>
      </c>
      <c r="P730" t="n">
        <v>0</v>
      </c>
      <c r="Q730" t="n">
        <v>0</v>
      </c>
      <c r="R730" s="2" t="inlineStr"/>
    </row>
    <row r="731" ht="15" customHeight="1">
      <c r="A731" t="inlineStr">
        <is>
          <t>A 61909-2021</t>
        </is>
      </c>
      <c r="B731" s="1" t="n">
        <v>44502</v>
      </c>
      <c r="C731" s="1" t="n">
        <v>45657</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61928-2021</t>
        </is>
      </c>
      <c r="B732" s="1" t="n">
        <v>44502</v>
      </c>
      <c r="C732" s="1" t="n">
        <v>45657</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62069-2021</t>
        </is>
      </c>
      <c r="B733" s="1" t="n">
        <v>44502</v>
      </c>
      <c r="C733" s="1" t="n">
        <v>45657</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62127-2021</t>
        </is>
      </c>
      <c r="B734" s="1" t="n">
        <v>44502</v>
      </c>
      <c r="C734" s="1" t="n">
        <v>45657</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62834-2021</t>
        </is>
      </c>
      <c r="B735" s="1" t="n">
        <v>44503</v>
      </c>
      <c r="C735" s="1" t="n">
        <v>45657</v>
      </c>
      <c r="D735" t="inlineStr">
        <is>
          <t>VÄSTERNORRLANDS LÄN</t>
        </is>
      </c>
      <c r="E735" t="inlineStr">
        <is>
          <t>ÅNGE</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62870-2021</t>
        </is>
      </c>
      <c r="B736" s="1" t="n">
        <v>44503</v>
      </c>
      <c r="C736" s="1" t="n">
        <v>45657</v>
      </c>
      <c r="D736" t="inlineStr">
        <is>
          <t>VÄSTERNORRLANDS LÄN</t>
        </is>
      </c>
      <c r="E736" t="inlineStr">
        <is>
          <t>ÅNGE</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63148-2021</t>
        </is>
      </c>
      <c r="B737" s="1" t="n">
        <v>44505</v>
      </c>
      <c r="C737" s="1" t="n">
        <v>45657</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63550-2021</t>
        </is>
      </c>
      <c r="B738" s="1" t="n">
        <v>44508</v>
      </c>
      <c r="C738" s="1" t="n">
        <v>45657</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63597-2021</t>
        </is>
      </c>
      <c r="B739" s="1" t="n">
        <v>44508</v>
      </c>
      <c r="C739" s="1" t="n">
        <v>45657</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63522-2021</t>
        </is>
      </c>
      <c r="B740" s="1" t="n">
        <v>44508</v>
      </c>
      <c r="C740" s="1" t="n">
        <v>45657</v>
      </c>
      <c r="D740" t="inlineStr">
        <is>
          <t>VÄSTERNORRLANDS LÄN</t>
        </is>
      </c>
      <c r="E740" t="inlineStr">
        <is>
          <t>ÅNGE</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63556-2021</t>
        </is>
      </c>
      <c r="B741" s="1" t="n">
        <v>44508</v>
      </c>
      <c r="C741" s="1" t="n">
        <v>45657</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63598-2021</t>
        </is>
      </c>
      <c r="B742" s="1" t="n">
        <v>44508</v>
      </c>
      <c r="C742" s="1" t="n">
        <v>45657</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v>
      </c>
      <c r="C743" s="1" t="n">
        <v>45657</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63599-2021</t>
        </is>
      </c>
      <c r="B744" s="1" t="n">
        <v>44508</v>
      </c>
      <c r="C744" s="1" t="n">
        <v>45657</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63608-2021</t>
        </is>
      </c>
      <c r="B745" s="1" t="n">
        <v>44508</v>
      </c>
      <c r="C745" s="1" t="n">
        <v>45657</v>
      </c>
      <c r="D745" t="inlineStr">
        <is>
          <t>VÄSTERNORRLANDS LÄN</t>
        </is>
      </c>
      <c r="E745" t="inlineStr">
        <is>
          <t>ÅNGE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63609-2021</t>
        </is>
      </c>
      <c r="B746" s="1" t="n">
        <v>44508</v>
      </c>
      <c r="C746" s="1" t="n">
        <v>45657</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63836-2021</t>
        </is>
      </c>
      <c r="B747" s="1" t="n">
        <v>44509</v>
      </c>
      <c r="C747" s="1" t="n">
        <v>45657</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63897-2021</t>
        </is>
      </c>
      <c r="B748" s="1" t="n">
        <v>44509</v>
      </c>
      <c r="C748" s="1" t="n">
        <v>45657</v>
      </c>
      <c r="D748" t="inlineStr">
        <is>
          <t>VÄSTERNORRLANDS LÄN</t>
        </is>
      </c>
      <c r="E748" t="inlineStr">
        <is>
          <t>ÅNGE</t>
        </is>
      </c>
      <c r="G748" t="n">
        <v>4.1</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v>
      </c>
      <c r="C749" s="1" t="n">
        <v>45657</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64962-2021</t>
        </is>
      </c>
      <c r="B750" s="1" t="n">
        <v>44512</v>
      </c>
      <c r="C750" s="1" t="n">
        <v>45657</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65229-2021</t>
        </is>
      </c>
      <c r="B751" s="1" t="n">
        <v>44515</v>
      </c>
      <c r="C751" s="1" t="n">
        <v>45657</v>
      </c>
      <c r="D751" t="inlineStr">
        <is>
          <t>VÄSTERNORRLANDS LÄN</t>
        </is>
      </c>
      <c r="E751" t="inlineStr">
        <is>
          <t>ÅNGE</t>
        </is>
      </c>
      <c r="G751" t="n">
        <v>12.1</v>
      </c>
      <c r="H751" t="n">
        <v>0</v>
      </c>
      <c r="I751" t="n">
        <v>0</v>
      </c>
      <c r="J751" t="n">
        <v>0</v>
      </c>
      <c r="K751" t="n">
        <v>0</v>
      </c>
      <c r="L751" t="n">
        <v>0</v>
      </c>
      <c r="M751" t="n">
        <v>0</v>
      </c>
      <c r="N751" t="n">
        <v>0</v>
      </c>
      <c r="O751" t="n">
        <v>0</v>
      </c>
      <c r="P751" t="n">
        <v>0</v>
      </c>
      <c r="Q751" t="n">
        <v>0</v>
      </c>
      <c r="R751" s="2" t="inlineStr"/>
    </row>
    <row r="752" ht="15" customHeight="1">
      <c r="A752" t="inlineStr">
        <is>
          <t>A 65425-2021</t>
        </is>
      </c>
      <c r="B752" s="1" t="n">
        <v>44515</v>
      </c>
      <c r="C752" s="1" t="n">
        <v>45657</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65435-2021</t>
        </is>
      </c>
      <c r="B753" s="1" t="n">
        <v>44515</v>
      </c>
      <c r="C753" s="1" t="n">
        <v>45657</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65437-2021</t>
        </is>
      </c>
      <c r="B754" s="1" t="n">
        <v>44515</v>
      </c>
      <c r="C754" s="1" t="n">
        <v>45657</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65633-2021</t>
        </is>
      </c>
      <c r="B755" s="1" t="n">
        <v>44516</v>
      </c>
      <c r="C755" s="1" t="n">
        <v>45657</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65790-2021</t>
        </is>
      </c>
      <c r="B756" s="1" t="n">
        <v>44516</v>
      </c>
      <c r="C756" s="1" t="n">
        <v>45657</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66229-2021</t>
        </is>
      </c>
      <c r="B757" s="1" t="n">
        <v>44518</v>
      </c>
      <c r="C757" s="1" t="n">
        <v>45657</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66233-2021</t>
        </is>
      </c>
      <c r="B758" s="1" t="n">
        <v>44518</v>
      </c>
      <c r="C758" s="1" t="n">
        <v>45657</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66262-2021</t>
        </is>
      </c>
      <c r="B759" s="1" t="n">
        <v>44518</v>
      </c>
      <c r="C759" s="1" t="n">
        <v>45657</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66265-2021</t>
        </is>
      </c>
      <c r="B760" s="1" t="n">
        <v>44518</v>
      </c>
      <c r="C760" s="1" t="n">
        <v>45657</v>
      </c>
      <c r="D760" t="inlineStr">
        <is>
          <t>VÄSTERNORRLANDS LÄN</t>
        </is>
      </c>
      <c r="E760" t="inlineStr">
        <is>
          <t>ÅNGE</t>
        </is>
      </c>
      <c r="G760" t="n">
        <v>6</v>
      </c>
      <c r="H760" t="n">
        <v>0</v>
      </c>
      <c r="I760" t="n">
        <v>0</v>
      </c>
      <c r="J760" t="n">
        <v>0</v>
      </c>
      <c r="K760" t="n">
        <v>0</v>
      </c>
      <c r="L760" t="n">
        <v>0</v>
      </c>
      <c r="M760" t="n">
        <v>0</v>
      </c>
      <c r="N760" t="n">
        <v>0</v>
      </c>
      <c r="O760" t="n">
        <v>0</v>
      </c>
      <c r="P760" t="n">
        <v>0</v>
      </c>
      <c r="Q760" t="n">
        <v>0</v>
      </c>
      <c r="R760" s="2" t="inlineStr"/>
    </row>
    <row r="761" ht="15" customHeight="1">
      <c r="A761" t="inlineStr">
        <is>
          <t>A 66560-2021</t>
        </is>
      </c>
      <c r="B761" s="1" t="n">
        <v>44519</v>
      </c>
      <c r="C761" s="1" t="n">
        <v>45657</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67396-2021</t>
        </is>
      </c>
      <c r="B762" s="1" t="n">
        <v>44523</v>
      </c>
      <c r="C762" s="1" t="n">
        <v>45657</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67546-2021</t>
        </is>
      </c>
      <c r="B763" s="1" t="n">
        <v>44524</v>
      </c>
      <c r="C763" s="1" t="n">
        <v>45657</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67708-2021</t>
        </is>
      </c>
      <c r="B764" s="1" t="n">
        <v>44524</v>
      </c>
      <c r="C764" s="1" t="n">
        <v>45657</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67712-2021</t>
        </is>
      </c>
      <c r="B765" s="1" t="n">
        <v>44524</v>
      </c>
      <c r="C765" s="1" t="n">
        <v>45657</v>
      </c>
      <c r="D765" t="inlineStr">
        <is>
          <t>VÄSTERNORRLANDS LÄN</t>
        </is>
      </c>
      <c r="E765" t="inlineStr">
        <is>
          <t>ÅNGE</t>
        </is>
      </c>
      <c r="G765" t="n">
        <v>3</v>
      </c>
      <c r="H765" t="n">
        <v>0</v>
      </c>
      <c r="I765" t="n">
        <v>0</v>
      </c>
      <c r="J765" t="n">
        <v>0</v>
      </c>
      <c r="K765" t="n">
        <v>0</v>
      </c>
      <c r="L765" t="n">
        <v>0</v>
      </c>
      <c r="M765" t="n">
        <v>0</v>
      </c>
      <c r="N765" t="n">
        <v>0</v>
      </c>
      <c r="O765" t="n">
        <v>0</v>
      </c>
      <c r="P765" t="n">
        <v>0</v>
      </c>
      <c r="Q765" t="n">
        <v>0</v>
      </c>
      <c r="R765" s="2" t="inlineStr"/>
    </row>
    <row r="766" ht="15" customHeight="1">
      <c r="A766" t="inlineStr">
        <is>
          <t>A 68743-2021</t>
        </is>
      </c>
      <c r="B766" s="1" t="n">
        <v>44529</v>
      </c>
      <c r="C766" s="1" t="n">
        <v>45657</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69736-2021</t>
        </is>
      </c>
      <c r="B767" s="1" t="n">
        <v>44532</v>
      </c>
      <c r="C767" s="1" t="n">
        <v>45657</v>
      </c>
      <c r="D767" t="inlineStr">
        <is>
          <t>VÄSTERNORRLANDS LÄN</t>
        </is>
      </c>
      <c r="E767" t="inlineStr">
        <is>
          <t>ÅNGE</t>
        </is>
      </c>
      <c r="G767" t="n">
        <v>5</v>
      </c>
      <c r="H767" t="n">
        <v>0</v>
      </c>
      <c r="I767" t="n">
        <v>0</v>
      </c>
      <c r="J767" t="n">
        <v>0</v>
      </c>
      <c r="K767" t="n">
        <v>0</v>
      </c>
      <c r="L767" t="n">
        <v>0</v>
      </c>
      <c r="M767" t="n">
        <v>0</v>
      </c>
      <c r="N767" t="n">
        <v>0</v>
      </c>
      <c r="O767" t="n">
        <v>0</v>
      </c>
      <c r="P767" t="n">
        <v>0</v>
      </c>
      <c r="Q767" t="n">
        <v>0</v>
      </c>
      <c r="R767" s="2" t="inlineStr"/>
    </row>
    <row r="768" ht="15" customHeight="1">
      <c r="A768" t="inlineStr">
        <is>
          <t>A 69790-2021</t>
        </is>
      </c>
      <c r="B768" s="1" t="n">
        <v>44532</v>
      </c>
      <c r="C768" s="1" t="n">
        <v>45657</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70809-2021</t>
        </is>
      </c>
      <c r="B769" s="1" t="n">
        <v>44537</v>
      </c>
      <c r="C769" s="1" t="n">
        <v>45657</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70899-2021</t>
        </is>
      </c>
      <c r="B770" s="1" t="n">
        <v>44537</v>
      </c>
      <c r="C770" s="1" t="n">
        <v>45657</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70893-2021</t>
        </is>
      </c>
      <c r="B771" s="1" t="n">
        <v>44538</v>
      </c>
      <c r="C771" s="1" t="n">
        <v>45657</v>
      </c>
      <c r="D771" t="inlineStr">
        <is>
          <t>VÄSTERNORRLANDS LÄN</t>
        </is>
      </c>
      <c r="E771" t="inlineStr">
        <is>
          <t>ÅNGE</t>
        </is>
      </c>
      <c r="G771" t="n">
        <v>6.2</v>
      </c>
      <c r="H771" t="n">
        <v>0</v>
      </c>
      <c r="I771" t="n">
        <v>0</v>
      </c>
      <c r="J771" t="n">
        <v>0</v>
      </c>
      <c r="K771" t="n">
        <v>0</v>
      </c>
      <c r="L771" t="n">
        <v>0</v>
      </c>
      <c r="M771" t="n">
        <v>0</v>
      </c>
      <c r="N771" t="n">
        <v>0</v>
      </c>
      <c r="O771" t="n">
        <v>0</v>
      </c>
      <c r="P771" t="n">
        <v>0</v>
      </c>
      <c r="Q771" t="n">
        <v>0</v>
      </c>
      <c r="R771" s="2" t="inlineStr"/>
    </row>
    <row r="772" ht="15" customHeight="1">
      <c r="A772" t="inlineStr">
        <is>
          <t>A 71651-2021</t>
        </is>
      </c>
      <c r="B772" s="1" t="n">
        <v>44538</v>
      </c>
      <c r="C772" s="1" t="n">
        <v>45657</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71669-2021</t>
        </is>
      </c>
      <c r="B773" s="1" t="n">
        <v>44538</v>
      </c>
      <c r="C773" s="1" t="n">
        <v>45657</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71302-2021</t>
        </is>
      </c>
      <c r="B774" s="1" t="n">
        <v>44539</v>
      </c>
      <c r="C774" s="1" t="n">
        <v>45657</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71357-2021</t>
        </is>
      </c>
      <c r="B775" s="1" t="n">
        <v>44539</v>
      </c>
      <c r="C775" s="1" t="n">
        <v>45657</v>
      </c>
      <c r="D775" t="inlineStr">
        <is>
          <t>VÄSTERNORRLANDS LÄN</t>
        </is>
      </c>
      <c r="E775" t="inlineStr">
        <is>
          <t>ÅNGE</t>
        </is>
      </c>
      <c r="G775" t="n">
        <v>5.4</v>
      </c>
      <c r="H775" t="n">
        <v>0</v>
      </c>
      <c r="I775" t="n">
        <v>0</v>
      </c>
      <c r="J775" t="n">
        <v>0</v>
      </c>
      <c r="K775" t="n">
        <v>0</v>
      </c>
      <c r="L775" t="n">
        <v>0</v>
      </c>
      <c r="M775" t="n">
        <v>0</v>
      </c>
      <c r="N775" t="n">
        <v>0</v>
      </c>
      <c r="O775" t="n">
        <v>0</v>
      </c>
      <c r="P775" t="n">
        <v>0</v>
      </c>
      <c r="Q775" t="n">
        <v>0</v>
      </c>
      <c r="R775" s="2" t="inlineStr"/>
    </row>
    <row r="776" ht="15" customHeight="1">
      <c r="A776" t="inlineStr">
        <is>
          <t>A 71396-2021</t>
        </is>
      </c>
      <c r="B776" s="1" t="n">
        <v>44540</v>
      </c>
      <c r="C776" s="1" t="n">
        <v>45657</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71449-2021</t>
        </is>
      </c>
      <c r="B777" s="1" t="n">
        <v>44540</v>
      </c>
      <c r="C777" s="1" t="n">
        <v>45657</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71965-2021</t>
        </is>
      </c>
      <c r="B778" s="1" t="n">
        <v>44544</v>
      </c>
      <c r="C778" s="1" t="n">
        <v>45657</v>
      </c>
      <c r="D778" t="inlineStr">
        <is>
          <t>VÄSTERNORRLANDS LÄN</t>
        </is>
      </c>
      <c r="E778" t="inlineStr">
        <is>
          <t>ÅNGE</t>
        </is>
      </c>
      <c r="G778" t="n">
        <v>0.8</v>
      </c>
      <c r="H778" t="n">
        <v>0</v>
      </c>
      <c r="I778" t="n">
        <v>0</v>
      </c>
      <c r="J778" t="n">
        <v>0</v>
      </c>
      <c r="K778" t="n">
        <v>0</v>
      </c>
      <c r="L778" t="n">
        <v>0</v>
      </c>
      <c r="M778" t="n">
        <v>0</v>
      </c>
      <c r="N778" t="n">
        <v>0</v>
      </c>
      <c r="O778" t="n">
        <v>0</v>
      </c>
      <c r="P778" t="n">
        <v>0</v>
      </c>
      <c r="Q778" t="n">
        <v>0</v>
      </c>
      <c r="R778" s="2" t="inlineStr"/>
    </row>
    <row r="779" ht="15" customHeight="1">
      <c r="A779" t="inlineStr">
        <is>
          <t>A 72239-2021</t>
        </is>
      </c>
      <c r="B779" s="1" t="n">
        <v>44544</v>
      </c>
      <c r="C779" s="1" t="n">
        <v>45657</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74088-2021</t>
        </is>
      </c>
      <c r="B780" s="1" t="n">
        <v>44557</v>
      </c>
      <c r="C780" s="1" t="n">
        <v>45657</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74109-2021</t>
        </is>
      </c>
      <c r="B781" s="1" t="n">
        <v>44557</v>
      </c>
      <c r="C781" s="1" t="n">
        <v>45657</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74194-2021</t>
        </is>
      </c>
      <c r="B782" s="1" t="n">
        <v>44558</v>
      </c>
      <c r="C782" s="1" t="n">
        <v>45657</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1081-2022</t>
        </is>
      </c>
      <c r="B783" s="1" t="n">
        <v>44571</v>
      </c>
      <c r="C783" s="1" t="n">
        <v>45657</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1297-2022</t>
        </is>
      </c>
      <c r="B784" s="1" t="n">
        <v>44572</v>
      </c>
      <c r="C784" s="1" t="n">
        <v>45657</v>
      </c>
      <c r="D784" t="inlineStr">
        <is>
          <t>VÄSTERNORRLANDS LÄN</t>
        </is>
      </c>
      <c r="E784" t="inlineStr">
        <is>
          <t>ÅNGE</t>
        </is>
      </c>
      <c r="G784" t="n">
        <v>2.3</v>
      </c>
      <c r="H784" t="n">
        <v>0</v>
      </c>
      <c r="I784" t="n">
        <v>0</v>
      </c>
      <c r="J784" t="n">
        <v>0</v>
      </c>
      <c r="K784" t="n">
        <v>0</v>
      </c>
      <c r="L784" t="n">
        <v>0</v>
      </c>
      <c r="M784" t="n">
        <v>0</v>
      </c>
      <c r="N784" t="n">
        <v>0</v>
      </c>
      <c r="O784" t="n">
        <v>0</v>
      </c>
      <c r="P784" t="n">
        <v>0</v>
      </c>
      <c r="Q784" t="n">
        <v>0</v>
      </c>
      <c r="R784" s="2" t="inlineStr"/>
    </row>
    <row r="785" ht="15" customHeight="1">
      <c r="A785" t="inlineStr">
        <is>
          <t>A 1869-2022</t>
        </is>
      </c>
      <c r="B785" s="1" t="n">
        <v>44574</v>
      </c>
      <c r="C785" s="1" t="n">
        <v>45657</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1964-2022</t>
        </is>
      </c>
      <c r="B786" s="1" t="n">
        <v>44575</v>
      </c>
      <c r="C786" s="1" t="n">
        <v>45657</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45657</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4939-2022</t>
        </is>
      </c>
      <c r="B788" s="1" t="n">
        <v>44593</v>
      </c>
      <c r="C788" s="1" t="n">
        <v>45657</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5113-2022</t>
        </is>
      </c>
      <c r="B789" s="1" t="n">
        <v>44593</v>
      </c>
      <c r="C789" s="1" t="n">
        <v>45657</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5112-2022</t>
        </is>
      </c>
      <c r="B790" s="1" t="n">
        <v>44593</v>
      </c>
      <c r="C790" s="1" t="n">
        <v>45657</v>
      </c>
      <c r="D790" t="inlineStr">
        <is>
          <t>VÄSTERNORRLANDS LÄN</t>
        </is>
      </c>
      <c r="E790" t="inlineStr">
        <is>
          <t>ÅNGE</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5279-2022</t>
        </is>
      </c>
      <c r="B791" s="1" t="n">
        <v>44594</v>
      </c>
      <c r="C791" s="1" t="n">
        <v>45657</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5369-2022</t>
        </is>
      </c>
      <c r="B792" s="1" t="n">
        <v>44594</v>
      </c>
      <c r="C792" s="1" t="n">
        <v>45657</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5381-2022</t>
        </is>
      </c>
      <c r="B793" s="1" t="n">
        <v>44594</v>
      </c>
      <c r="C793" s="1" t="n">
        <v>45657</v>
      </c>
      <c r="D793" t="inlineStr">
        <is>
          <t>VÄSTERNORRLANDS LÄN</t>
        </is>
      </c>
      <c r="E793" t="inlineStr">
        <is>
          <t>ÅNGE</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5367-2022</t>
        </is>
      </c>
      <c r="B794" s="1" t="n">
        <v>44594</v>
      </c>
      <c r="C794" s="1" t="n">
        <v>45657</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5366-2022</t>
        </is>
      </c>
      <c r="B795" s="1" t="n">
        <v>44594</v>
      </c>
      <c r="C795" s="1" t="n">
        <v>45657</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5520-2022</t>
        </is>
      </c>
      <c r="B796" s="1" t="n">
        <v>44595</v>
      </c>
      <c r="C796" s="1" t="n">
        <v>45657</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5552-2022</t>
        </is>
      </c>
      <c r="B797" s="1" t="n">
        <v>44595</v>
      </c>
      <c r="C797" s="1" t="n">
        <v>45657</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5565-2022</t>
        </is>
      </c>
      <c r="B798" s="1" t="n">
        <v>44595</v>
      </c>
      <c r="C798" s="1" t="n">
        <v>45657</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6113-2022</t>
        </is>
      </c>
      <c r="B799" s="1" t="n">
        <v>44599</v>
      </c>
      <c r="C799" s="1" t="n">
        <v>45657</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6112-2022</t>
        </is>
      </c>
      <c r="B800" s="1" t="n">
        <v>44599</v>
      </c>
      <c r="C800" s="1" t="n">
        <v>45657</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6115-2022</t>
        </is>
      </c>
      <c r="B801" s="1" t="n">
        <v>44599</v>
      </c>
      <c r="C801" s="1" t="n">
        <v>45657</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6263-2022</t>
        </is>
      </c>
      <c r="B802" s="1" t="n">
        <v>44600</v>
      </c>
      <c r="C802" s="1" t="n">
        <v>45657</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6443-2022</t>
        </is>
      </c>
      <c r="B803" s="1" t="n">
        <v>44601</v>
      </c>
      <c r="C803" s="1" t="n">
        <v>45657</v>
      </c>
      <c r="D803" t="inlineStr">
        <is>
          <t>VÄSTERNORRLANDS LÄN</t>
        </is>
      </c>
      <c r="E803" t="inlineStr">
        <is>
          <t>ÅNGE</t>
        </is>
      </c>
      <c r="G803" t="n">
        <v>3.3</v>
      </c>
      <c r="H803" t="n">
        <v>0</v>
      </c>
      <c r="I803" t="n">
        <v>0</v>
      </c>
      <c r="J803" t="n">
        <v>0</v>
      </c>
      <c r="K803" t="n">
        <v>0</v>
      </c>
      <c r="L803" t="n">
        <v>0</v>
      </c>
      <c r="M803" t="n">
        <v>0</v>
      </c>
      <c r="N803" t="n">
        <v>0</v>
      </c>
      <c r="O803" t="n">
        <v>0</v>
      </c>
      <c r="P803" t="n">
        <v>0</v>
      </c>
      <c r="Q803" t="n">
        <v>0</v>
      </c>
      <c r="R803" s="2" t="inlineStr"/>
    </row>
    <row r="804" ht="15" customHeight="1">
      <c r="A804" t="inlineStr">
        <is>
          <t>A 6677-2022</t>
        </is>
      </c>
      <c r="B804" s="1" t="n">
        <v>44602</v>
      </c>
      <c r="C804" s="1" t="n">
        <v>45657</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6732-2022</t>
        </is>
      </c>
      <c r="B805" s="1" t="n">
        <v>44602</v>
      </c>
      <c r="C805" s="1" t="n">
        <v>45657</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6899-2022</t>
        </is>
      </c>
      <c r="B806" s="1" t="n">
        <v>44602</v>
      </c>
      <c r="C806" s="1" t="n">
        <v>45657</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6898-2022</t>
        </is>
      </c>
      <c r="B807" s="1" t="n">
        <v>44602</v>
      </c>
      <c r="C807" s="1" t="n">
        <v>45657</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7158-2022</t>
        </is>
      </c>
      <c r="B808" s="1" t="n">
        <v>44604</v>
      </c>
      <c r="C808" s="1" t="n">
        <v>45657</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7205-2022</t>
        </is>
      </c>
      <c r="B809" s="1" t="n">
        <v>44606</v>
      </c>
      <c r="C809" s="1" t="n">
        <v>45657</v>
      </c>
      <c r="D809" t="inlineStr">
        <is>
          <t>VÄSTERNORRLANDS LÄN</t>
        </is>
      </c>
      <c r="E809" t="inlineStr">
        <is>
          <t>ÅNGE</t>
        </is>
      </c>
      <c r="G809" t="n">
        <v>20.5</v>
      </c>
      <c r="H809" t="n">
        <v>0</v>
      </c>
      <c r="I809" t="n">
        <v>0</v>
      </c>
      <c r="J809" t="n">
        <v>0</v>
      </c>
      <c r="K809" t="n">
        <v>0</v>
      </c>
      <c r="L809" t="n">
        <v>0</v>
      </c>
      <c r="M809" t="n">
        <v>0</v>
      </c>
      <c r="N809" t="n">
        <v>0</v>
      </c>
      <c r="O809" t="n">
        <v>0</v>
      </c>
      <c r="P809" t="n">
        <v>0</v>
      </c>
      <c r="Q809" t="n">
        <v>0</v>
      </c>
      <c r="R809" s="2" t="inlineStr"/>
    </row>
    <row r="810" ht="15" customHeight="1">
      <c r="A810" t="inlineStr">
        <is>
          <t>A 7298-2022</t>
        </is>
      </c>
      <c r="B810" s="1" t="n">
        <v>44606</v>
      </c>
      <c r="C810" s="1" t="n">
        <v>45657</v>
      </c>
      <c r="D810" t="inlineStr">
        <is>
          <t>VÄSTERNORRLANDS LÄN</t>
        </is>
      </c>
      <c r="E810" t="inlineStr">
        <is>
          <t>ÅNGE</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7633-2022</t>
        </is>
      </c>
      <c r="B811" s="1" t="n">
        <v>44607</v>
      </c>
      <c r="C811" s="1" t="n">
        <v>45657</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7649-2022</t>
        </is>
      </c>
      <c r="B812" s="1" t="n">
        <v>44607</v>
      </c>
      <c r="C812" s="1" t="n">
        <v>45657</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8070-2022</t>
        </is>
      </c>
      <c r="B813" s="1" t="n">
        <v>44609</v>
      </c>
      <c r="C813" s="1" t="n">
        <v>45657</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8755-2022</t>
        </is>
      </c>
      <c r="B814" s="1" t="n">
        <v>44614</v>
      </c>
      <c r="C814" s="1" t="n">
        <v>45657</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8747-2022</t>
        </is>
      </c>
      <c r="B815" s="1" t="n">
        <v>44614</v>
      </c>
      <c r="C815" s="1" t="n">
        <v>45657</v>
      </c>
      <c r="D815" t="inlineStr">
        <is>
          <t>VÄSTERNORRLANDS LÄN</t>
        </is>
      </c>
      <c r="E815" t="inlineStr">
        <is>
          <t>ÅNGE</t>
        </is>
      </c>
      <c r="G815" t="n">
        <v>1.5</v>
      </c>
      <c r="H815" t="n">
        <v>0</v>
      </c>
      <c r="I815" t="n">
        <v>0</v>
      </c>
      <c r="J815" t="n">
        <v>0</v>
      </c>
      <c r="K815" t="n">
        <v>0</v>
      </c>
      <c r="L815" t="n">
        <v>0</v>
      </c>
      <c r="M815" t="n">
        <v>0</v>
      </c>
      <c r="N815" t="n">
        <v>0</v>
      </c>
      <c r="O815" t="n">
        <v>0</v>
      </c>
      <c r="P815" t="n">
        <v>0</v>
      </c>
      <c r="Q815" t="n">
        <v>0</v>
      </c>
      <c r="R815" s="2" t="inlineStr"/>
    </row>
    <row r="816" ht="15" customHeight="1">
      <c r="A816" t="inlineStr">
        <is>
          <t>A 9480-2022</t>
        </is>
      </c>
      <c r="B816" s="1" t="n">
        <v>44616</v>
      </c>
      <c r="C816" s="1" t="n">
        <v>45657</v>
      </c>
      <c r="D816" t="inlineStr">
        <is>
          <t>VÄSTERNORRLANDS LÄN</t>
        </is>
      </c>
      <c r="E816" t="inlineStr">
        <is>
          <t>ÅNGE</t>
        </is>
      </c>
      <c r="G816" t="n">
        <v>0.3</v>
      </c>
      <c r="H816" t="n">
        <v>0</v>
      </c>
      <c r="I816" t="n">
        <v>0</v>
      </c>
      <c r="J816" t="n">
        <v>0</v>
      </c>
      <c r="K816" t="n">
        <v>0</v>
      </c>
      <c r="L816" t="n">
        <v>0</v>
      </c>
      <c r="M816" t="n">
        <v>0</v>
      </c>
      <c r="N816" t="n">
        <v>0</v>
      </c>
      <c r="O816" t="n">
        <v>0</v>
      </c>
      <c r="P816" t="n">
        <v>0</v>
      </c>
      <c r="Q816" t="n">
        <v>0</v>
      </c>
      <c r="R816" s="2" t="inlineStr"/>
    </row>
    <row r="817" ht="15" customHeight="1">
      <c r="A817" t="inlineStr">
        <is>
          <t>A 9544-2022</t>
        </is>
      </c>
      <c r="B817" s="1" t="n">
        <v>44617</v>
      </c>
      <c r="C817" s="1" t="n">
        <v>45657</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9911-2022</t>
        </is>
      </c>
      <c r="B818" s="1" t="n">
        <v>44620</v>
      </c>
      <c r="C818" s="1" t="n">
        <v>45657</v>
      </c>
      <c r="D818" t="inlineStr">
        <is>
          <t>VÄSTERNORRLANDS LÄN</t>
        </is>
      </c>
      <c r="E818" t="inlineStr">
        <is>
          <t>ÅNGE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9998-2022</t>
        </is>
      </c>
      <c r="B819" s="1" t="n">
        <v>44621</v>
      </c>
      <c r="C819" s="1" t="n">
        <v>45657</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10113-2022</t>
        </is>
      </c>
      <c r="B820" s="1" t="n">
        <v>44621</v>
      </c>
      <c r="C820" s="1" t="n">
        <v>45657</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10313-2022</t>
        </is>
      </c>
      <c r="B821" s="1" t="n">
        <v>44622</v>
      </c>
      <c r="C821" s="1" t="n">
        <v>45657</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10331-2022</t>
        </is>
      </c>
      <c r="B822" s="1" t="n">
        <v>44622</v>
      </c>
      <c r="C822" s="1" t="n">
        <v>45657</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10680-2022</t>
        </is>
      </c>
      <c r="B823" s="1" t="n">
        <v>44624</v>
      </c>
      <c r="C823" s="1" t="n">
        <v>45657</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10686-2022</t>
        </is>
      </c>
      <c r="B824" s="1" t="n">
        <v>44624</v>
      </c>
      <c r="C824" s="1" t="n">
        <v>45657</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10687-2022</t>
        </is>
      </c>
      <c r="B825" s="1" t="n">
        <v>44624</v>
      </c>
      <c r="C825" s="1" t="n">
        <v>45657</v>
      </c>
      <c r="D825" t="inlineStr">
        <is>
          <t>VÄSTERNORRLANDS LÄN</t>
        </is>
      </c>
      <c r="E825" t="inlineStr">
        <is>
          <t>ÅNGE</t>
        </is>
      </c>
      <c r="G825" t="n">
        <v>0.7</v>
      </c>
      <c r="H825" t="n">
        <v>0</v>
      </c>
      <c r="I825" t="n">
        <v>0</v>
      </c>
      <c r="J825" t="n">
        <v>0</v>
      </c>
      <c r="K825" t="n">
        <v>0</v>
      </c>
      <c r="L825" t="n">
        <v>0</v>
      </c>
      <c r="M825" t="n">
        <v>0</v>
      </c>
      <c r="N825" t="n">
        <v>0</v>
      </c>
      <c r="O825" t="n">
        <v>0</v>
      </c>
      <c r="P825" t="n">
        <v>0</v>
      </c>
      <c r="Q825" t="n">
        <v>0</v>
      </c>
      <c r="R825" s="2" t="inlineStr"/>
    </row>
    <row r="826" ht="15" customHeight="1">
      <c r="A826" t="inlineStr">
        <is>
          <t>A 10933-2022</t>
        </is>
      </c>
      <c r="B826" s="1" t="n">
        <v>44627</v>
      </c>
      <c r="C826" s="1" t="n">
        <v>45657</v>
      </c>
      <c r="D826" t="inlineStr">
        <is>
          <t>VÄSTERNORRLANDS LÄN</t>
        </is>
      </c>
      <c r="E826" t="inlineStr">
        <is>
          <t>ÅNGE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11098-2022</t>
        </is>
      </c>
      <c r="B827" s="1" t="n">
        <v>44628</v>
      </c>
      <c r="C827" s="1" t="n">
        <v>45657</v>
      </c>
      <c r="D827" t="inlineStr">
        <is>
          <t>VÄSTERNORRLANDS LÄN</t>
        </is>
      </c>
      <c r="E827" t="inlineStr">
        <is>
          <t>ÅNGE</t>
        </is>
      </c>
      <c r="G827" t="n">
        <v>8.9</v>
      </c>
      <c r="H827" t="n">
        <v>0</v>
      </c>
      <c r="I827" t="n">
        <v>0</v>
      </c>
      <c r="J827" t="n">
        <v>0</v>
      </c>
      <c r="K827" t="n">
        <v>0</v>
      </c>
      <c r="L827" t="n">
        <v>0</v>
      </c>
      <c r="M827" t="n">
        <v>0</v>
      </c>
      <c r="N827" t="n">
        <v>0</v>
      </c>
      <c r="O827" t="n">
        <v>0</v>
      </c>
      <c r="P827" t="n">
        <v>0</v>
      </c>
      <c r="Q827" t="n">
        <v>0</v>
      </c>
      <c r="R827" s="2" t="inlineStr"/>
    </row>
    <row r="828" ht="15" customHeight="1">
      <c r="A828" t="inlineStr">
        <is>
          <t>A 11306-2022</t>
        </is>
      </c>
      <c r="B828" s="1" t="n">
        <v>44629</v>
      </c>
      <c r="C828" s="1" t="n">
        <v>45657</v>
      </c>
      <c r="D828" t="inlineStr">
        <is>
          <t>VÄSTERNORRLANDS LÄN</t>
        </is>
      </c>
      <c r="E828" t="inlineStr">
        <is>
          <t>ÅNGE</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11843-2022</t>
        </is>
      </c>
      <c r="B829" s="1" t="n">
        <v>44634</v>
      </c>
      <c r="C829" s="1" t="n">
        <v>45657</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12021-2022</t>
        </is>
      </c>
      <c r="B830" s="1" t="n">
        <v>44635</v>
      </c>
      <c r="C830" s="1" t="n">
        <v>45657</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12797-2022</t>
        </is>
      </c>
      <c r="B831" s="1" t="n">
        <v>44641</v>
      </c>
      <c r="C831" s="1" t="n">
        <v>45657</v>
      </c>
      <c r="D831" t="inlineStr">
        <is>
          <t>VÄSTERNORRLANDS LÄN</t>
        </is>
      </c>
      <c r="E831" t="inlineStr">
        <is>
          <t>ÅNGE</t>
        </is>
      </c>
      <c r="G831" t="n">
        <v>7.1</v>
      </c>
      <c r="H831" t="n">
        <v>0</v>
      </c>
      <c r="I831" t="n">
        <v>0</v>
      </c>
      <c r="J831" t="n">
        <v>0</v>
      </c>
      <c r="K831" t="n">
        <v>0</v>
      </c>
      <c r="L831" t="n">
        <v>0</v>
      </c>
      <c r="M831" t="n">
        <v>0</v>
      </c>
      <c r="N831" t="n">
        <v>0</v>
      </c>
      <c r="O831" t="n">
        <v>0</v>
      </c>
      <c r="P831" t="n">
        <v>0</v>
      </c>
      <c r="Q831" t="n">
        <v>0</v>
      </c>
      <c r="R831" s="2" t="inlineStr"/>
    </row>
    <row r="832" ht="15" customHeight="1">
      <c r="A832" t="inlineStr">
        <is>
          <t>A 12948-2022</t>
        </is>
      </c>
      <c r="B832" s="1" t="n">
        <v>44642</v>
      </c>
      <c r="C832" s="1" t="n">
        <v>45657</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45657</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13628-2022</t>
        </is>
      </c>
      <c r="B834" s="1" t="n">
        <v>44648</v>
      </c>
      <c r="C834" s="1" t="n">
        <v>45657</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13648-2022</t>
        </is>
      </c>
      <c r="B835" s="1" t="n">
        <v>44648</v>
      </c>
      <c r="C835" s="1" t="n">
        <v>45657</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13641-2022</t>
        </is>
      </c>
      <c r="B836" s="1" t="n">
        <v>44648</v>
      </c>
      <c r="C836" s="1" t="n">
        <v>45657</v>
      </c>
      <c r="D836" t="inlineStr">
        <is>
          <t>VÄSTERNORRLANDS LÄN</t>
        </is>
      </c>
      <c r="E836" t="inlineStr">
        <is>
          <t>ÅNGE</t>
        </is>
      </c>
      <c r="G836" t="n">
        <v>4.9</v>
      </c>
      <c r="H836" t="n">
        <v>0</v>
      </c>
      <c r="I836" t="n">
        <v>0</v>
      </c>
      <c r="J836" t="n">
        <v>0</v>
      </c>
      <c r="K836" t="n">
        <v>0</v>
      </c>
      <c r="L836" t="n">
        <v>0</v>
      </c>
      <c r="M836" t="n">
        <v>0</v>
      </c>
      <c r="N836" t="n">
        <v>0</v>
      </c>
      <c r="O836" t="n">
        <v>0</v>
      </c>
      <c r="P836" t="n">
        <v>0</v>
      </c>
      <c r="Q836" t="n">
        <v>0</v>
      </c>
      <c r="R836" s="2" t="inlineStr"/>
    </row>
    <row r="837" ht="15" customHeight="1">
      <c r="A837" t="inlineStr">
        <is>
          <t>A 13680-2022</t>
        </is>
      </c>
      <c r="B837" s="1" t="n">
        <v>44648</v>
      </c>
      <c r="C837" s="1" t="n">
        <v>45657</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13872-2022</t>
        </is>
      </c>
      <c r="B838" s="1" t="n">
        <v>44650</v>
      </c>
      <c r="C838" s="1" t="n">
        <v>45657</v>
      </c>
      <c r="D838" t="inlineStr">
        <is>
          <t>VÄSTERNORRLANDS LÄN</t>
        </is>
      </c>
      <c r="E838" t="inlineStr">
        <is>
          <t>ÅNGE</t>
        </is>
      </c>
      <c r="G838" t="n">
        <v>10.3</v>
      </c>
      <c r="H838" t="n">
        <v>0</v>
      </c>
      <c r="I838" t="n">
        <v>0</v>
      </c>
      <c r="J838" t="n">
        <v>0</v>
      </c>
      <c r="K838" t="n">
        <v>0</v>
      </c>
      <c r="L838" t="n">
        <v>0</v>
      </c>
      <c r="M838" t="n">
        <v>0</v>
      </c>
      <c r="N838" t="n">
        <v>0</v>
      </c>
      <c r="O838" t="n">
        <v>0</v>
      </c>
      <c r="P838" t="n">
        <v>0</v>
      </c>
      <c r="Q838" t="n">
        <v>0</v>
      </c>
      <c r="R838" s="2" t="inlineStr"/>
    </row>
    <row r="839" ht="15" customHeight="1">
      <c r="A839" t="inlineStr">
        <is>
          <t>A 13874-2022</t>
        </is>
      </c>
      <c r="B839" s="1" t="n">
        <v>44649</v>
      </c>
      <c r="C839" s="1" t="n">
        <v>45657</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13875-2022</t>
        </is>
      </c>
      <c r="B840" s="1" t="n">
        <v>44649</v>
      </c>
      <c r="C840" s="1" t="n">
        <v>45657</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14091-2022</t>
        </is>
      </c>
      <c r="B841" s="1" t="n">
        <v>44651</v>
      </c>
      <c r="C841" s="1" t="n">
        <v>45657</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14097-2022</t>
        </is>
      </c>
      <c r="B842" s="1" t="n">
        <v>44651</v>
      </c>
      <c r="C842" s="1" t="n">
        <v>45657</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14084-2022</t>
        </is>
      </c>
      <c r="B843" s="1" t="n">
        <v>44651</v>
      </c>
      <c r="C843" s="1" t="n">
        <v>45657</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14433-2022</t>
        </is>
      </c>
      <c r="B844" s="1" t="n">
        <v>44652</v>
      </c>
      <c r="C844" s="1" t="n">
        <v>45657</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14813-2022</t>
        </is>
      </c>
      <c r="B845" s="1" t="n">
        <v>44656</v>
      </c>
      <c r="C845" s="1" t="n">
        <v>45657</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14888-2022</t>
        </is>
      </c>
      <c r="B846" s="1" t="n">
        <v>44656</v>
      </c>
      <c r="C846" s="1" t="n">
        <v>45657</v>
      </c>
      <c r="D846" t="inlineStr">
        <is>
          <t>VÄSTERNORRLANDS LÄN</t>
        </is>
      </c>
      <c r="E846" t="inlineStr">
        <is>
          <t>ÅNGE</t>
        </is>
      </c>
      <c r="G846" t="n">
        <v>6.2</v>
      </c>
      <c r="H846" t="n">
        <v>0</v>
      </c>
      <c r="I846" t="n">
        <v>0</v>
      </c>
      <c r="J846" t="n">
        <v>0</v>
      </c>
      <c r="K846" t="n">
        <v>0</v>
      </c>
      <c r="L846" t="n">
        <v>0</v>
      </c>
      <c r="M846" t="n">
        <v>0</v>
      </c>
      <c r="N846" t="n">
        <v>0</v>
      </c>
      <c r="O846" t="n">
        <v>0</v>
      </c>
      <c r="P846" t="n">
        <v>0</v>
      </c>
      <c r="Q846" t="n">
        <v>0</v>
      </c>
      <c r="R846" s="2" t="inlineStr"/>
    </row>
    <row r="847" ht="15" customHeight="1">
      <c r="A847" t="inlineStr">
        <is>
          <t>A 14885-2022</t>
        </is>
      </c>
      <c r="B847" s="1" t="n">
        <v>44656</v>
      </c>
      <c r="C847" s="1" t="n">
        <v>45657</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14889-2022</t>
        </is>
      </c>
      <c r="B848" s="1" t="n">
        <v>44656</v>
      </c>
      <c r="C848" s="1" t="n">
        <v>45657</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14949-2022</t>
        </is>
      </c>
      <c r="B849" s="1" t="n">
        <v>44657</v>
      </c>
      <c r="C849" s="1" t="n">
        <v>45657</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45657</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16038-2022</t>
        </is>
      </c>
      <c r="B851" s="1" t="n">
        <v>44665</v>
      </c>
      <c r="C851" s="1" t="n">
        <v>45657</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16058-2022</t>
        </is>
      </c>
      <c r="B852" s="1" t="n">
        <v>44665</v>
      </c>
      <c r="C852" s="1" t="n">
        <v>45657</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17047-2022</t>
        </is>
      </c>
      <c r="B853" s="1" t="n">
        <v>44677</v>
      </c>
      <c r="C853" s="1" t="n">
        <v>45657</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17044-2022</t>
        </is>
      </c>
      <c r="B854" s="1" t="n">
        <v>44676</v>
      </c>
      <c r="C854" s="1" t="n">
        <v>45657</v>
      </c>
      <c r="D854" t="inlineStr">
        <is>
          <t>VÄSTERNORRLANDS LÄN</t>
        </is>
      </c>
      <c r="E854" t="inlineStr">
        <is>
          <t>ÅNGE</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17144-2022</t>
        </is>
      </c>
      <c r="B855" s="1" t="n">
        <v>44677</v>
      </c>
      <c r="C855" s="1" t="n">
        <v>45657</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17210-2022</t>
        </is>
      </c>
      <c r="B856" s="1" t="n">
        <v>44678</v>
      </c>
      <c r="C856" s="1" t="n">
        <v>45657</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17220-2022</t>
        </is>
      </c>
      <c r="B857" s="1" t="n">
        <v>44678</v>
      </c>
      <c r="C857" s="1" t="n">
        <v>45657</v>
      </c>
      <c r="D857" t="inlineStr">
        <is>
          <t>VÄSTERNORRLANDS LÄN</t>
        </is>
      </c>
      <c r="E857" t="inlineStr">
        <is>
          <t>ÅNGE</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17242-2022</t>
        </is>
      </c>
      <c r="B858" s="1" t="n">
        <v>44679</v>
      </c>
      <c r="C858" s="1" t="n">
        <v>45657</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17580-2022</t>
        </is>
      </c>
      <c r="B859" s="1" t="n">
        <v>44679</v>
      </c>
      <c r="C859" s="1" t="n">
        <v>45657</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18020-2022</t>
        </is>
      </c>
      <c r="B860" s="1" t="n">
        <v>44684</v>
      </c>
      <c r="C860" s="1" t="n">
        <v>45657</v>
      </c>
      <c r="D860" t="inlineStr">
        <is>
          <t>VÄSTERNORRLANDS LÄN</t>
        </is>
      </c>
      <c r="E860" t="inlineStr">
        <is>
          <t>ÅNGE</t>
        </is>
      </c>
      <c r="F860" t="inlineStr">
        <is>
          <t>SCA</t>
        </is>
      </c>
      <c r="G860" t="n">
        <v>28.8</v>
      </c>
      <c r="H860" t="n">
        <v>0</v>
      </c>
      <c r="I860" t="n">
        <v>0</v>
      </c>
      <c r="J860" t="n">
        <v>0</v>
      </c>
      <c r="K860" t="n">
        <v>0</v>
      </c>
      <c r="L860" t="n">
        <v>0</v>
      </c>
      <c r="M860" t="n">
        <v>0</v>
      </c>
      <c r="N860" t="n">
        <v>0</v>
      </c>
      <c r="O860" t="n">
        <v>0</v>
      </c>
      <c r="P860" t="n">
        <v>0</v>
      </c>
      <c r="Q860" t="n">
        <v>0</v>
      </c>
      <c r="R860" s="2" t="inlineStr"/>
    </row>
    <row r="861" ht="15" customHeight="1">
      <c r="A861" t="inlineStr">
        <is>
          <t>A 18024-2022</t>
        </is>
      </c>
      <c r="B861" s="1" t="n">
        <v>44684</v>
      </c>
      <c r="C861" s="1" t="n">
        <v>45657</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17963-2022</t>
        </is>
      </c>
      <c r="B862" s="1" t="n">
        <v>44683</v>
      </c>
      <c r="C862" s="1" t="n">
        <v>45657</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18562-2022</t>
        </is>
      </c>
      <c r="B863" s="1" t="n">
        <v>44686</v>
      </c>
      <c r="C863" s="1" t="n">
        <v>45657</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18542-2022</t>
        </is>
      </c>
      <c r="B864" s="1" t="n">
        <v>44686</v>
      </c>
      <c r="C864" s="1" t="n">
        <v>45657</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18989-2022</t>
        </is>
      </c>
      <c r="B865" s="1" t="n">
        <v>44690</v>
      </c>
      <c r="C865" s="1" t="n">
        <v>45657</v>
      </c>
      <c r="D865" t="inlineStr">
        <is>
          <t>VÄSTERNORRLANDS LÄN</t>
        </is>
      </c>
      <c r="E865" t="inlineStr">
        <is>
          <t>ÅNGE</t>
        </is>
      </c>
      <c r="F865" t="inlineStr">
        <is>
          <t>SCA</t>
        </is>
      </c>
      <c r="G865" t="n">
        <v>37.8</v>
      </c>
      <c r="H865" t="n">
        <v>0</v>
      </c>
      <c r="I865" t="n">
        <v>0</v>
      </c>
      <c r="J865" t="n">
        <v>0</v>
      </c>
      <c r="K865" t="n">
        <v>0</v>
      </c>
      <c r="L865" t="n">
        <v>0</v>
      </c>
      <c r="M865" t="n">
        <v>0</v>
      </c>
      <c r="N865" t="n">
        <v>0</v>
      </c>
      <c r="O865" t="n">
        <v>0</v>
      </c>
      <c r="P865" t="n">
        <v>0</v>
      </c>
      <c r="Q865" t="n">
        <v>0</v>
      </c>
      <c r="R865" s="2" t="inlineStr"/>
      <c r="U865">
        <f>HYPERLINK("https://klasma.github.io/Logging_2260/knärot/A 18989-2022 karta knärot.png", "A 18989-2022")</f>
        <v/>
      </c>
      <c r="V865">
        <f>HYPERLINK("https://klasma.github.io/Logging_2260/klagomål/A 18989-2022 FSC-klagomål.docx", "A 18989-2022")</f>
        <v/>
      </c>
      <c r="W865">
        <f>HYPERLINK("https://klasma.github.io/Logging_2260/klagomålsmail/A 18989-2022 FSC-klagomål mail.docx", "A 18989-2022")</f>
        <v/>
      </c>
      <c r="X865">
        <f>HYPERLINK("https://klasma.github.io/Logging_2260/tillsyn/A 18989-2022 tillsynsbegäran.docx", "A 18989-2022")</f>
        <v/>
      </c>
      <c r="Y865">
        <f>HYPERLINK("https://klasma.github.io/Logging_2260/tillsynsmail/A 18989-2022 tillsynsbegäran mail.docx", "A 18989-2022")</f>
        <v/>
      </c>
    </row>
    <row r="866" ht="15" customHeight="1">
      <c r="A866" t="inlineStr">
        <is>
          <t>A 19166-2022</t>
        </is>
      </c>
      <c r="B866" s="1" t="n">
        <v>44691</v>
      </c>
      <c r="C866" s="1" t="n">
        <v>45657</v>
      </c>
      <c r="D866" t="inlineStr">
        <is>
          <t>VÄSTERNORRLANDS LÄN</t>
        </is>
      </c>
      <c r="E866" t="inlineStr">
        <is>
          <t>ÅNGE</t>
        </is>
      </c>
      <c r="F866" t="inlineStr">
        <is>
          <t>Holmen skog AB</t>
        </is>
      </c>
      <c r="G866" t="n">
        <v>5.4</v>
      </c>
      <c r="H866" t="n">
        <v>0</v>
      </c>
      <c r="I866" t="n">
        <v>0</v>
      </c>
      <c r="J866" t="n">
        <v>0</v>
      </c>
      <c r="K866" t="n">
        <v>0</v>
      </c>
      <c r="L866" t="n">
        <v>0</v>
      </c>
      <c r="M866" t="n">
        <v>0</v>
      </c>
      <c r="N866" t="n">
        <v>0</v>
      </c>
      <c r="O866" t="n">
        <v>0</v>
      </c>
      <c r="P866" t="n">
        <v>0</v>
      </c>
      <c r="Q866" t="n">
        <v>0</v>
      </c>
      <c r="R866" s="2" t="inlineStr"/>
    </row>
    <row r="867" ht="15" customHeight="1">
      <c r="A867" t="inlineStr">
        <is>
          <t>A 19035-2022</t>
        </is>
      </c>
      <c r="B867" s="1" t="n">
        <v>44691</v>
      </c>
      <c r="C867" s="1" t="n">
        <v>45657</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19236-2022</t>
        </is>
      </c>
      <c r="B868" s="1" t="n">
        <v>44692</v>
      </c>
      <c r="C868" s="1" t="n">
        <v>45657</v>
      </c>
      <c r="D868" t="inlineStr">
        <is>
          <t>VÄSTERNORRLANDS LÄN</t>
        </is>
      </c>
      <c r="E868" t="inlineStr">
        <is>
          <t>ÅNGE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19592-2022</t>
        </is>
      </c>
      <c r="B869" s="1" t="n">
        <v>44694</v>
      </c>
      <c r="C869" s="1" t="n">
        <v>45657</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20231-2022</t>
        </is>
      </c>
      <c r="B870" s="1" t="n">
        <v>44698</v>
      </c>
      <c r="C870" s="1" t="n">
        <v>45657</v>
      </c>
      <c r="D870" t="inlineStr">
        <is>
          <t>VÄSTERNORRLANDS LÄN</t>
        </is>
      </c>
      <c r="E870" t="inlineStr">
        <is>
          <t>ÅNGE</t>
        </is>
      </c>
      <c r="G870" t="n">
        <v>4.2</v>
      </c>
      <c r="H870" t="n">
        <v>0</v>
      </c>
      <c r="I870" t="n">
        <v>0</v>
      </c>
      <c r="J870" t="n">
        <v>0</v>
      </c>
      <c r="K870" t="n">
        <v>0</v>
      </c>
      <c r="L870" t="n">
        <v>0</v>
      </c>
      <c r="M870" t="n">
        <v>0</v>
      </c>
      <c r="N870" t="n">
        <v>0</v>
      </c>
      <c r="O870" t="n">
        <v>0</v>
      </c>
      <c r="P870" t="n">
        <v>0</v>
      </c>
      <c r="Q870" t="n">
        <v>0</v>
      </c>
      <c r="R870" s="2" t="inlineStr"/>
    </row>
    <row r="871" ht="15" customHeight="1">
      <c r="A871" t="inlineStr">
        <is>
          <t>A 20229-2022</t>
        </is>
      </c>
      <c r="B871" s="1" t="n">
        <v>44698</v>
      </c>
      <c r="C871" s="1" t="n">
        <v>45657</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20369-2022</t>
        </is>
      </c>
      <c r="B872" s="1" t="n">
        <v>44699</v>
      </c>
      <c r="C872" s="1" t="n">
        <v>45657</v>
      </c>
      <c r="D872" t="inlineStr">
        <is>
          <t>VÄSTERNORRLANDS LÄN</t>
        </is>
      </c>
      <c r="E872" t="inlineStr">
        <is>
          <t>ÅNGE</t>
        </is>
      </c>
      <c r="G872" t="n">
        <v>5.5</v>
      </c>
      <c r="H872" t="n">
        <v>0</v>
      </c>
      <c r="I872" t="n">
        <v>0</v>
      </c>
      <c r="J872" t="n">
        <v>0</v>
      </c>
      <c r="K872" t="n">
        <v>0</v>
      </c>
      <c r="L872" t="n">
        <v>0</v>
      </c>
      <c r="M872" t="n">
        <v>0</v>
      </c>
      <c r="N872" t="n">
        <v>0</v>
      </c>
      <c r="O872" t="n">
        <v>0</v>
      </c>
      <c r="P872" t="n">
        <v>0</v>
      </c>
      <c r="Q872" t="n">
        <v>0</v>
      </c>
      <c r="R872" s="2" t="inlineStr"/>
    </row>
    <row r="873" ht="15" customHeight="1">
      <c r="A873" t="inlineStr">
        <is>
          <t>A 20393-2022</t>
        </is>
      </c>
      <c r="B873" s="1" t="n">
        <v>44699</v>
      </c>
      <c r="C873" s="1" t="n">
        <v>45657</v>
      </c>
      <c r="D873" t="inlineStr">
        <is>
          <t>VÄSTERNORRLANDS LÄN</t>
        </is>
      </c>
      <c r="E873" t="inlineStr">
        <is>
          <t>ÅNGE</t>
        </is>
      </c>
      <c r="G873" t="n">
        <v>6.9</v>
      </c>
      <c r="H873" t="n">
        <v>0</v>
      </c>
      <c r="I873" t="n">
        <v>0</v>
      </c>
      <c r="J873" t="n">
        <v>0</v>
      </c>
      <c r="K873" t="n">
        <v>0</v>
      </c>
      <c r="L873" t="n">
        <v>0</v>
      </c>
      <c r="M873" t="n">
        <v>0</v>
      </c>
      <c r="N873" t="n">
        <v>0</v>
      </c>
      <c r="O873" t="n">
        <v>0</v>
      </c>
      <c r="P873" t="n">
        <v>0</v>
      </c>
      <c r="Q873" t="n">
        <v>0</v>
      </c>
      <c r="R873" s="2" t="inlineStr"/>
    </row>
    <row r="874" ht="15" customHeight="1">
      <c r="A874" t="inlineStr">
        <is>
          <t>A 20943-2022</t>
        </is>
      </c>
      <c r="B874" s="1" t="n">
        <v>44701</v>
      </c>
      <c r="C874" s="1" t="n">
        <v>45657</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21412-2022</t>
        </is>
      </c>
      <c r="B875" s="1" t="n">
        <v>44705</v>
      </c>
      <c r="C875" s="1" t="n">
        <v>45657</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21406-2022</t>
        </is>
      </c>
      <c r="B876" s="1" t="n">
        <v>44706</v>
      </c>
      <c r="C876" s="1" t="n">
        <v>45657</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21409-2022</t>
        </is>
      </c>
      <c r="B877" s="1" t="n">
        <v>44706</v>
      </c>
      <c r="C877" s="1" t="n">
        <v>45657</v>
      </c>
      <c r="D877" t="inlineStr">
        <is>
          <t>VÄSTERNORRLANDS LÄN</t>
        </is>
      </c>
      <c r="E877" t="inlineStr">
        <is>
          <t>ÅNGE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21740-2022</t>
        </is>
      </c>
      <c r="B878" s="1" t="n">
        <v>44708</v>
      </c>
      <c r="C878" s="1" t="n">
        <v>45657</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21744-2022</t>
        </is>
      </c>
      <c r="B879" s="1" t="n">
        <v>44708</v>
      </c>
      <c r="C879" s="1" t="n">
        <v>45657</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23999-2022</t>
        </is>
      </c>
      <c r="B880" s="1" t="n">
        <v>44723</v>
      </c>
      <c r="C880" s="1" t="n">
        <v>45657</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24324-2022</t>
        </is>
      </c>
      <c r="B881" s="1" t="n">
        <v>44726</v>
      </c>
      <c r="C881" s="1" t="n">
        <v>45657</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24325-2022</t>
        </is>
      </c>
      <c r="B882" s="1" t="n">
        <v>44726</v>
      </c>
      <c r="C882" s="1" t="n">
        <v>45657</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24355-2022</t>
        </is>
      </c>
      <c r="B883" s="1" t="n">
        <v>44726</v>
      </c>
      <c r="C883" s="1" t="n">
        <v>45657</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24353-2022</t>
        </is>
      </c>
      <c r="B884" s="1" t="n">
        <v>44726</v>
      </c>
      <c r="C884" s="1" t="n">
        <v>45657</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24527-2022</t>
        </is>
      </c>
      <c r="B885" s="1" t="n">
        <v>44726</v>
      </c>
      <c r="C885" s="1" t="n">
        <v>45657</v>
      </c>
      <c r="D885" t="inlineStr">
        <is>
          <t>VÄSTERNORRLANDS LÄN</t>
        </is>
      </c>
      <c r="E885" t="inlineStr">
        <is>
          <t>ÅNGE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25023-2022</t>
        </is>
      </c>
      <c r="B886" s="1" t="n">
        <v>44728</v>
      </c>
      <c r="C886" s="1" t="n">
        <v>45657</v>
      </c>
      <c r="D886" t="inlineStr">
        <is>
          <t>VÄSTERNORRLANDS LÄN</t>
        </is>
      </c>
      <c r="E886" t="inlineStr">
        <is>
          <t>ÅNGE</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45657</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25900-2022</t>
        </is>
      </c>
      <c r="B888" s="1" t="n">
        <v>44734</v>
      </c>
      <c r="C888" s="1" t="n">
        <v>45657</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25973-2022</t>
        </is>
      </c>
      <c r="B889" s="1" t="n">
        <v>44734</v>
      </c>
      <c r="C889" s="1" t="n">
        <v>45657</v>
      </c>
      <c r="D889" t="inlineStr">
        <is>
          <t>VÄSTERNORRLANDS LÄN</t>
        </is>
      </c>
      <c r="E889" t="inlineStr">
        <is>
          <t>ÅNGE</t>
        </is>
      </c>
      <c r="G889" t="n">
        <v>4.1</v>
      </c>
      <c r="H889" t="n">
        <v>0</v>
      </c>
      <c r="I889" t="n">
        <v>0</v>
      </c>
      <c r="J889" t="n">
        <v>0</v>
      </c>
      <c r="K889" t="n">
        <v>0</v>
      </c>
      <c r="L889" t="n">
        <v>0</v>
      </c>
      <c r="M889" t="n">
        <v>0</v>
      </c>
      <c r="N889" t="n">
        <v>0</v>
      </c>
      <c r="O889" t="n">
        <v>0</v>
      </c>
      <c r="P889" t="n">
        <v>0</v>
      </c>
      <c r="Q889" t="n">
        <v>0</v>
      </c>
      <c r="R889" s="2" t="inlineStr"/>
    </row>
    <row r="890" ht="15" customHeight="1">
      <c r="A890" t="inlineStr">
        <is>
          <t>A 26489-2022</t>
        </is>
      </c>
      <c r="B890" s="1" t="n">
        <v>44739</v>
      </c>
      <c r="C890" s="1" t="n">
        <v>45657</v>
      </c>
      <c r="D890" t="inlineStr">
        <is>
          <t>VÄSTERNORRLANDS LÄN</t>
        </is>
      </c>
      <c r="E890" t="inlineStr">
        <is>
          <t>ÅNGE</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26676-2022</t>
        </is>
      </c>
      <c r="B891" s="1" t="n">
        <v>44739</v>
      </c>
      <c r="C891" s="1" t="n">
        <v>45657</v>
      </c>
      <c r="D891" t="inlineStr">
        <is>
          <t>VÄSTERNORRLANDS LÄN</t>
        </is>
      </c>
      <c r="E891" t="inlineStr">
        <is>
          <t>ÅNGE</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26498-2022</t>
        </is>
      </c>
      <c r="B892" s="1" t="n">
        <v>44739</v>
      </c>
      <c r="C892" s="1" t="n">
        <v>45657</v>
      </c>
      <c r="D892" t="inlineStr">
        <is>
          <t>VÄSTERNORRLANDS LÄN</t>
        </is>
      </c>
      <c r="E892" t="inlineStr">
        <is>
          <t>ÅNGE</t>
        </is>
      </c>
      <c r="F892" t="inlineStr">
        <is>
          <t>Sveaskog</t>
        </is>
      </c>
      <c r="G892" t="n">
        <v>6.9</v>
      </c>
      <c r="H892" t="n">
        <v>0</v>
      </c>
      <c r="I892" t="n">
        <v>0</v>
      </c>
      <c r="J892" t="n">
        <v>0</v>
      </c>
      <c r="K892" t="n">
        <v>0</v>
      </c>
      <c r="L892" t="n">
        <v>0</v>
      </c>
      <c r="M892" t="n">
        <v>0</v>
      </c>
      <c r="N892" t="n">
        <v>0</v>
      </c>
      <c r="O892" t="n">
        <v>0</v>
      </c>
      <c r="P892" t="n">
        <v>0</v>
      </c>
      <c r="Q892" t="n">
        <v>0</v>
      </c>
      <c r="R892" s="2" t="inlineStr"/>
    </row>
    <row r="893" ht="15" customHeight="1">
      <c r="A893" t="inlineStr">
        <is>
          <t>A 27357-2022</t>
        </is>
      </c>
      <c r="B893" s="1" t="n">
        <v>44742</v>
      </c>
      <c r="C893" s="1" t="n">
        <v>45657</v>
      </c>
      <c r="D893" t="inlineStr">
        <is>
          <t>VÄSTERNORRLANDS LÄN</t>
        </is>
      </c>
      <c r="E893" t="inlineStr">
        <is>
          <t>ÅNGE</t>
        </is>
      </c>
      <c r="F893" t="inlineStr">
        <is>
          <t>Holmen skog AB</t>
        </is>
      </c>
      <c r="G893" t="n">
        <v>8</v>
      </c>
      <c r="H893" t="n">
        <v>0</v>
      </c>
      <c r="I893" t="n">
        <v>0</v>
      </c>
      <c r="J893" t="n">
        <v>0</v>
      </c>
      <c r="K893" t="n">
        <v>0</v>
      </c>
      <c r="L893" t="n">
        <v>0</v>
      </c>
      <c r="M893" t="n">
        <v>0</v>
      </c>
      <c r="N893" t="n">
        <v>0</v>
      </c>
      <c r="O893" t="n">
        <v>0</v>
      </c>
      <c r="P893" t="n">
        <v>0</v>
      </c>
      <c r="Q893" t="n">
        <v>0</v>
      </c>
      <c r="R893" s="2" t="inlineStr"/>
    </row>
    <row r="894" ht="15" customHeight="1">
      <c r="A894" t="inlineStr">
        <is>
          <t>A 27588-2022</t>
        </is>
      </c>
      <c r="B894" s="1" t="n">
        <v>44743</v>
      </c>
      <c r="C894" s="1" t="n">
        <v>45657</v>
      </c>
      <c r="D894" t="inlineStr">
        <is>
          <t>VÄSTERNORRLANDS LÄN</t>
        </is>
      </c>
      <c r="E894" t="inlineStr">
        <is>
          <t>ÅNGE</t>
        </is>
      </c>
      <c r="F894" t="inlineStr">
        <is>
          <t>SCA</t>
        </is>
      </c>
      <c r="G894" t="n">
        <v>17.2</v>
      </c>
      <c r="H894" t="n">
        <v>0</v>
      </c>
      <c r="I894" t="n">
        <v>0</v>
      </c>
      <c r="J894" t="n">
        <v>0</v>
      </c>
      <c r="K894" t="n">
        <v>0</v>
      </c>
      <c r="L894" t="n">
        <v>0</v>
      </c>
      <c r="M894" t="n">
        <v>0</v>
      </c>
      <c r="N894" t="n">
        <v>0</v>
      </c>
      <c r="O894" t="n">
        <v>0</v>
      </c>
      <c r="P894" t="n">
        <v>0</v>
      </c>
      <c r="Q894" t="n">
        <v>0</v>
      </c>
      <c r="R894" s="2" t="inlineStr"/>
    </row>
    <row r="895" ht="15" customHeight="1">
      <c r="A895" t="inlineStr">
        <is>
          <t>A 29221-2022</t>
        </is>
      </c>
      <c r="B895" s="1" t="n">
        <v>44750</v>
      </c>
      <c r="C895" s="1" t="n">
        <v>45657</v>
      </c>
      <c r="D895" t="inlineStr">
        <is>
          <t>VÄSTERNORRLANDS LÄN</t>
        </is>
      </c>
      <c r="E895" t="inlineStr">
        <is>
          <t>ÅNGE</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29216-2022</t>
        </is>
      </c>
      <c r="B896" s="1" t="n">
        <v>44750</v>
      </c>
      <c r="C896" s="1" t="n">
        <v>45657</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29500-2022</t>
        </is>
      </c>
      <c r="B897" s="1" t="n">
        <v>44753</v>
      </c>
      <c r="C897" s="1" t="n">
        <v>45657</v>
      </c>
      <c r="D897" t="inlineStr">
        <is>
          <t>VÄSTERNORRLANDS LÄN</t>
        </is>
      </c>
      <c r="E897" t="inlineStr">
        <is>
          <t>ÅNGE</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29824-2022</t>
        </is>
      </c>
      <c r="B898" s="1" t="n">
        <v>44756</v>
      </c>
      <c r="C898" s="1" t="n">
        <v>45657</v>
      </c>
      <c r="D898" t="inlineStr">
        <is>
          <t>VÄSTERNORRLANDS LÄN</t>
        </is>
      </c>
      <c r="E898" t="inlineStr">
        <is>
          <t>ÅNGE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29831-2022</t>
        </is>
      </c>
      <c r="B899" s="1" t="n">
        <v>44756</v>
      </c>
      <c r="C899" s="1" t="n">
        <v>45657</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29832-2022</t>
        </is>
      </c>
      <c r="B900" s="1" t="n">
        <v>44756</v>
      </c>
      <c r="C900" s="1" t="n">
        <v>45657</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30221-2022</t>
        </is>
      </c>
      <c r="B901" s="1" t="n">
        <v>44757</v>
      </c>
      <c r="C901" s="1" t="n">
        <v>45657</v>
      </c>
      <c r="D901" t="inlineStr">
        <is>
          <t>VÄSTERNORRLANDS LÄN</t>
        </is>
      </c>
      <c r="E901" t="inlineStr">
        <is>
          <t>ÅNGE</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30358-2022</t>
        </is>
      </c>
      <c r="B902" s="1" t="n">
        <v>44760</v>
      </c>
      <c r="C902" s="1" t="n">
        <v>45657</v>
      </c>
      <c r="D902" t="inlineStr">
        <is>
          <t>VÄSTERNORRLANDS LÄN</t>
        </is>
      </c>
      <c r="E902" t="inlineStr">
        <is>
          <t>ÅNGE</t>
        </is>
      </c>
      <c r="G902" t="n">
        <v>3.8</v>
      </c>
      <c r="H902" t="n">
        <v>0</v>
      </c>
      <c r="I902" t="n">
        <v>0</v>
      </c>
      <c r="J902" t="n">
        <v>0</v>
      </c>
      <c r="K902" t="n">
        <v>0</v>
      </c>
      <c r="L902" t="n">
        <v>0</v>
      </c>
      <c r="M902" t="n">
        <v>0</v>
      </c>
      <c r="N902" t="n">
        <v>0</v>
      </c>
      <c r="O902" t="n">
        <v>0</v>
      </c>
      <c r="P902" t="n">
        <v>0</v>
      </c>
      <c r="Q902" t="n">
        <v>0</v>
      </c>
      <c r="R902" s="2" t="inlineStr"/>
    </row>
    <row r="903" ht="15" customHeight="1">
      <c r="A903" t="inlineStr">
        <is>
          <t>A 30495-2022</t>
        </is>
      </c>
      <c r="B903" s="1" t="n">
        <v>44762</v>
      </c>
      <c r="C903" s="1" t="n">
        <v>45657</v>
      </c>
      <c r="D903" t="inlineStr">
        <is>
          <t>VÄSTERNORRLANDS LÄN</t>
        </is>
      </c>
      <c r="E903" t="inlineStr">
        <is>
          <t>ÅNGE</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30768-2022</t>
        </is>
      </c>
      <c r="B904" s="1" t="n">
        <v>44764</v>
      </c>
      <c r="C904" s="1" t="n">
        <v>45657</v>
      </c>
      <c r="D904" t="inlineStr">
        <is>
          <t>VÄSTERNORRLANDS LÄN</t>
        </is>
      </c>
      <c r="E904" t="inlineStr">
        <is>
          <t>ÅNGE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30803-2022</t>
        </is>
      </c>
      <c r="B905" s="1" t="n">
        <v>44764</v>
      </c>
      <c r="C905" s="1" t="n">
        <v>45657</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30804-2022</t>
        </is>
      </c>
      <c r="B906" s="1" t="n">
        <v>44765</v>
      </c>
      <c r="C906" s="1" t="n">
        <v>45657</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31136-2022</t>
        </is>
      </c>
      <c r="B907" s="1" t="n">
        <v>44770</v>
      </c>
      <c r="C907" s="1" t="n">
        <v>45657</v>
      </c>
      <c r="D907" t="inlineStr">
        <is>
          <t>VÄSTERNORRLANDS LÄN</t>
        </is>
      </c>
      <c r="E907" t="inlineStr">
        <is>
          <t>ÅNGE</t>
        </is>
      </c>
      <c r="F907" t="inlineStr">
        <is>
          <t>Övriga Aktiebolag</t>
        </is>
      </c>
      <c r="G907" t="n">
        <v>4.4</v>
      </c>
      <c r="H907" t="n">
        <v>0</v>
      </c>
      <c r="I907" t="n">
        <v>0</v>
      </c>
      <c r="J907" t="n">
        <v>0</v>
      </c>
      <c r="K907" t="n">
        <v>0</v>
      </c>
      <c r="L907" t="n">
        <v>0</v>
      </c>
      <c r="M907" t="n">
        <v>0</v>
      </c>
      <c r="N907" t="n">
        <v>0</v>
      </c>
      <c r="O907" t="n">
        <v>0</v>
      </c>
      <c r="P907" t="n">
        <v>0</v>
      </c>
      <c r="Q907" t="n">
        <v>0</v>
      </c>
      <c r="R907" s="2" t="inlineStr"/>
    </row>
    <row r="908" ht="15" customHeight="1">
      <c r="A908" t="inlineStr">
        <is>
          <t>A 31325-2022</t>
        </is>
      </c>
      <c r="B908" s="1" t="n">
        <v>44774</v>
      </c>
      <c r="C908" s="1" t="n">
        <v>45657</v>
      </c>
      <c r="D908" t="inlineStr">
        <is>
          <t>VÄSTERNORRLANDS LÄN</t>
        </is>
      </c>
      <c r="E908" t="inlineStr">
        <is>
          <t>ÅNGE</t>
        </is>
      </c>
      <c r="G908" t="n">
        <v>6.3</v>
      </c>
      <c r="H908" t="n">
        <v>0</v>
      </c>
      <c r="I908" t="n">
        <v>0</v>
      </c>
      <c r="J908" t="n">
        <v>0</v>
      </c>
      <c r="K908" t="n">
        <v>0</v>
      </c>
      <c r="L908" t="n">
        <v>0</v>
      </c>
      <c r="M908" t="n">
        <v>0</v>
      </c>
      <c r="N908" t="n">
        <v>0</v>
      </c>
      <c r="O908" t="n">
        <v>0</v>
      </c>
      <c r="P908" t="n">
        <v>0</v>
      </c>
      <c r="Q908" t="n">
        <v>0</v>
      </c>
      <c r="R908" s="2" t="inlineStr"/>
    </row>
    <row r="909" ht="15" customHeight="1">
      <c r="A909" t="inlineStr">
        <is>
          <t>A 31366-2022</t>
        </is>
      </c>
      <c r="B909" s="1" t="n">
        <v>44774</v>
      </c>
      <c r="C909" s="1" t="n">
        <v>45657</v>
      </c>
      <c r="D909" t="inlineStr">
        <is>
          <t>VÄSTERNORRLANDS LÄN</t>
        </is>
      </c>
      <c r="E909" t="inlineStr">
        <is>
          <t>ÅNGE</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31368-2022</t>
        </is>
      </c>
      <c r="B910" s="1" t="n">
        <v>44774</v>
      </c>
      <c r="C910" s="1" t="n">
        <v>45657</v>
      </c>
      <c r="D910" t="inlineStr">
        <is>
          <t>VÄSTERNORRLANDS LÄN</t>
        </is>
      </c>
      <c r="E910" t="inlineStr">
        <is>
          <t>ÅNGE</t>
        </is>
      </c>
      <c r="F910" t="inlineStr">
        <is>
          <t>Sveaskog</t>
        </is>
      </c>
      <c r="G910" t="n">
        <v>3.8</v>
      </c>
      <c r="H910" t="n">
        <v>0</v>
      </c>
      <c r="I910" t="n">
        <v>0</v>
      </c>
      <c r="J910" t="n">
        <v>0</v>
      </c>
      <c r="K910" t="n">
        <v>0</v>
      </c>
      <c r="L910" t="n">
        <v>0</v>
      </c>
      <c r="M910" t="n">
        <v>0</v>
      </c>
      <c r="N910" t="n">
        <v>0</v>
      </c>
      <c r="O910" t="n">
        <v>0</v>
      </c>
      <c r="P910" t="n">
        <v>0</v>
      </c>
      <c r="Q910" t="n">
        <v>0</v>
      </c>
      <c r="R910" s="2" t="inlineStr"/>
    </row>
    <row r="911" ht="15" customHeight="1">
      <c r="A911" t="inlineStr">
        <is>
          <t>A 31647-2022</t>
        </is>
      </c>
      <c r="B911" s="1" t="n">
        <v>44776</v>
      </c>
      <c r="C911" s="1" t="n">
        <v>45657</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31649-2022</t>
        </is>
      </c>
      <c r="B912" s="1" t="n">
        <v>44776</v>
      </c>
      <c r="C912" s="1" t="n">
        <v>45657</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31696-2022</t>
        </is>
      </c>
      <c r="B913" s="1" t="n">
        <v>44776</v>
      </c>
      <c r="C913" s="1" t="n">
        <v>45657</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31845-2022</t>
        </is>
      </c>
      <c r="B914" s="1" t="n">
        <v>44777</v>
      </c>
      <c r="C914" s="1" t="n">
        <v>45657</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32535-2022</t>
        </is>
      </c>
      <c r="B915" s="1" t="n">
        <v>44783</v>
      </c>
      <c r="C915" s="1" t="n">
        <v>45657</v>
      </c>
      <c r="D915" t="inlineStr">
        <is>
          <t>VÄSTERNORRLANDS LÄN</t>
        </is>
      </c>
      <c r="E915" t="inlineStr">
        <is>
          <t>ÅNGE</t>
        </is>
      </c>
      <c r="G915" t="n">
        <v>10.3</v>
      </c>
      <c r="H915" t="n">
        <v>0</v>
      </c>
      <c r="I915" t="n">
        <v>0</v>
      </c>
      <c r="J915" t="n">
        <v>0</v>
      </c>
      <c r="K915" t="n">
        <v>0</v>
      </c>
      <c r="L915" t="n">
        <v>0</v>
      </c>
      <c r="M915" t="n">
        <v>0</v>
      </c>
      <c r="N915" t="n">
        <v>0</v>
      </c>
      <c r="O915" t="n">
        <v>0</v>
      </c>
      <c r="P915" t="n">
        <v>0</v>
      </c>
      <c r="Q915" t="n">
        <v>0</v>
      </c>
      <c r="R915" s="2" t="inlineStr"/>
    </row>
    <row r="916" ht="15" customHeight="1">
      <c r="A916" t="inlineStr">
        <is>
          <t>A 32536-2022</t>
        </is>
      </c>
      <c r="B916" s="1" t="n">
        <v>44783</v>
      </c>
      <c r="C916" s="1" t="n">
        <v>45657</v>
      </c>
      <c r="D916" t="inlineStr">
        <is>
          <t>VÄSTERNORRLANDS LÄN</t>
        </is>
      </c>
      <c r="E916" t="inlineStr">
        <is>
          <t>ÅNGE</t>
        </is>
      </c>
      <c r="G916" t="n">
        <v>0.4</v>
      </c>
      <c r="H916" t="n">
        <v>0</v>
      </c>
      <c r="I916" t="n">
        <v>0</v>
      </c>
      <c r="J916" t="n">
        <v>0</v>
      </c>
      <c r="K916" t="n">
        <v>0</v>
      </c>
      <c r="L916" t="n">
        <v>0</v>
      </c>
      <c r="M916" t="n">
        <v>0</v>
      </c>
      <c r="N916" t="n">
        <v>0</v>
      </c>
      <c r="O916" t="n">
        <v>0</v>
      </c>
      <c r="P916" t="n">
        <v>0</v>
      </c>
      <c r="Q916" t="n">
        <v>0</v>
      </c>
      <c r="R916" s="2" t="inlineStr"/>
    </row>
    <row r="917" ht="15" customHeight="1">
      <c r="A917" t="inlineStr">
        <is>
          <t>A 32538-2022</t>
        </is>
      </c>
      <c r="B917" s="1" t="n">
        <v>44783</v>
      </c>
      <c r="C917" s="1" t="n">
        <v>45657</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32631-2022</t>
        </is>
      </c>
      <c r="B918" s="1" t="n">
        <v>44783</v>
      </c>
      <c r="C918" s="1" t="n">
        <v>45657</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32776-2022</t>
        </is>
      </c>
      <c r="B919" s="1" t="n">
        <v>44784</v>
      </c>
      <c r="C919" s="1" t="n">
        <v>45657</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33112-2022</t>
        </is>
      </c>
      <c r="B920" s="1" t="n">
        <v>44785</v>
      </c>
      <c r="C920" s="1" t="n">
        <v>45657</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33062-2022</t>
        </is>
      </c>
      <c r="B921" s="1" t="n">
        <v>44785</v>
      </c>
      <c r="C921" s="1" t="n">
        <v>45657</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33229-2022</t>
        </is>
      </c>
      <c r="B922" s="1" t="n">
        <v>44785</v>
      </c>
      <c r="C922" s="1" t="n">
        <v>45657</v>
      </c>
      <c r="D922" t="inlineStr">
        <is>
          <t>VÄSTERNORRLANDS LÄN</t>
        </is>
      </c>
      <c r="E922" t="inlineStr">
        <is>
          <t>ÅNGE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33274-2022</t>
        </is>
      </c>
      <c r="B923" s="1" t="n">
        <v>44788</v>
      </c>
      <c r="C923" s="1" t="n">
        <v>45657</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34091-2022</t>
        </is>
      </c>
      <c r="B924" s="1" t="n">
        <v>44791</v>
      </c>
      <c r="C924" s="1" t="n">
        <v>45657</v>
      </c>
      <c r="D924" t="inlineStr">
        <is>
          <t>VÄSTERNORRLANDS LÄN</t>
        </is>
      </c>
      <c r="E924" t="inlineStr">
        <is>
          <t>ÅNGE</t>
        </is>
      </c>
      <c r="G924" t="n">
        <v>10.1</v>
      </c>
      <c r="H924" t="n">
        <v>0</v>
      </c>
      <c r="I924" t="n">
        <v>0</v>
      </c>
      <c r="J924" t="n">
        <v>0</v>
      </c>
      <c r="K924" t="n">
        <v>0</v>
      </c>
      <c r="L924" t="n">
        <v>0</v>
      </c>
      <c r="M924" t="n">
        <v>0</v>
      </c>
      <c r="N924" t="n">
        <v>0</v>
      </c>
      <c r="O924" t="n">
        <v>0</v>
      </c>
      <c r="P924" t="n">
        <v>0</v>
      </c>
      <c r="Q924" t="n">
        <v>0</v>
      </c>
      <c r="R924" s="2" t="inlineStr"/>
    </row>
    <row r="925" ht="15" customHeight="1">
      <c r="A925" t="inlineStr">
        <is>
          <t>A 35002-2022</t>
        </is>
      </c>
      <c r="B925" s="1" t="n">
        <v>44796</v>
      </c>
      <c r="C925" s="1" t="n">
        <v>45657</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35026-2022</t>
        </is>
      </c>
      <c r="B926" s="1" t="n">
        <v>44796</v>
      </c>
      <c r="C926" s="1" t="n">
        <v>45657</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35283-2022</t>
        </is>
      </c>
      <c r="B927" s="1" t="n">
        <v>44798</v>
      </c>
      <c r="C927" s="1" t="n">
        <v>45657</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35276-2022</t>
        </is>
      </c>
      <c r="B928" s="1" t="n">
        <v>44798</v>
      </c>
      <c r="C928" s="1" t="n">
        <v>45657</v>
      </c>
      <c r="D928" t="inlineStr">
        <is>
          <t>VÄSTERNORRLANDS LÄN</t>
        </is>
      </c>
      <c r="E928" t="inlineStr">
        <is>
          <t>ÅNGE</t>
        </is>
      </c>
      <c r="G928" t="n">
        <v>15.2</v>
      </c>
      <c r="H928" t="n">
        <v>0</v>
      </c>
      <c r="I928" t="n">
        <v>0</v>
      </c>
      <c r="J928" t="n">
        <v>0</v>
      </c>
      <c r="K928" t="n">
        <v>0</v>
      </c>
      <c r="L928" t="n">
        <v>0</v>
      </c>
      <c r="M928" t="n">
        <v>0</v>
      </c>
      <c r="N928" t="n">
        <v>0</v>
      </c>
      <c r="O928" t="n">
        <v>0</v>
      </c>
      <c r="P928" t="n">
        <v>0</v>
      </c>
      <c r="Q928" t="n">
        <v>0</v>
      </c>
      <c r="R928" s="2" t="inlineStr"/>
    </row>
    <row r="929" ht="15" customHeight="1">
      <c r="A929" t="inlineStr">
        <is>
          <t>A 35497-2022</t>
        </is>
      </c>
      <c r="B929" s="1" t="n">
        <v>44798</v>
      </c>
      <c r="C929" s="1" t="n">
        <v>45657</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35496-2022</t>
        </is>
      </c>
      <c r="B930" s="1" t="n">
        <v>44798</v>
      </c>
      <c r="C930" s="1" t="n">
        <v>45657</v>
      </c>
      <c r="D930" t="inlineStr">
        <is>
          <t>VÄSTERNORRLANDS LÄN</t>
        </is>
      </c>
      <c r="E930" t="inlineStr">
        <is>
          <t>ÅNGE</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35509-2022</t>
        </is>
      </c>
      <c r="B931" s="1" t="n">
        <v>44798</v>
      </c>
      <c r="C931" s="1" t="n">
        <v>45657</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35507-2022</t>
        </is>
      </c>
      <c r="B932" s="1" t="n">
        <v>44798</v>
      </c>
      <c r="C932" s="1" t="n">
        <v>45657</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35498-2022</t>
        </is>
      </c>
      <c r="B933" s="1" t="n">
        <v>44799</v>
      </c>
      <c r="C933" s="1" t="n">
        <v>45657</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35508-2022</t>
        </is>
      </c>
      <c r="B934" s="1" t="n">
        <v>44798</v>
      </c>
      <c r="C934" s="1" t="n">
        <v>45657</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36937-2022</t>
        </is>
      </c>
      <c r="B935" s="1" t="n">
        <v>44806</v>
      </c>
      <c r="C935" s="1" t="n">
        <v>45657</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36924-2022</t>
        </is>
      </c>
      <c r="B936" s="1" t="n">
        <v>44805</v>
      </c>
      <c r="C936" s="1" t="n">
        <v>45657</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36936-2022</t>
        </is>
      </c>
      <c r="B937" s="1" t="n">
        <v>44805</v>
      </c>
      <c r="C937" s="1" t="n">
        <v>45657</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v>
      </c>
      <c r="C938" s="1" t="n">
        <v>45657</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38680-2022</t>
        </is>
      </c>
      <c r="B939" s="1" t="n">
        <v>44813</v>
      </c>
      <c r="C939" s="1" t="n">
        <v>45657</v>
      </c>
      <c r="D939" t="inlineStr">
        <is>
          <t>VÄSTERNORRLANDS LÄN</t>
        </is>
      </c>
      <c r="E939" t="inlineStr">
        <is>
          <t>ÅNGE</t>
        </is>
      </c>
      <c r="F939" t="inlineStr">
        <is>
          <t>SCA</t>
        </is>
      </c>
      <c r="G939" t="n">
        <v>12.3</v>
      </c>
      <c r="H939" t="n">
        <v>0</v>
      </c>
      <c r="I939" t="n">
        <v>0</v>
      </c>
      <c r="J939" t="n">
        <v>0</v>
      </c>
      <c r="K939" t="n">
        <v>0</v>
      </c>
      <c r="L939" t="n">
        <v>0</v>
      </c>
      <c r="M939" t="n">
        <v>0</v>
      </c>
      <c r="N939" t="n">
        <v>0</v>
      </c>
      <c r="O939" t="n">
        <v>0</v>
      </c>
      <c r="P939" t="n">
        <v>0</v>
      </c>
      <c r="Q939" t="n">
        <v>0</v>
      </c>
      <c r="R939" s="2" t="inlineStr"/>
    </row>
    <row r="940" ht="15" customHeight="1">
      <c r="A940" t="inlineStr">
        <is>
          <t>A 39374-2022</t>
        </is>
      </c>
      <c r="B940" s="1" t="n">
        <v>44817</v>
      </c>
      <c r="C940" s="1" t="n">
        <v>45657</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39594-2022</t>
        </is>
      </c>
      <c r="B941" s="1" t="n">
        <v>44818</v>
      </c>
      <c r="C941" s="1" t="n">
        <v>45657</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39681-2022</t>
        </is>
      </c>
      <c r="B942" s="1" t="n">
        <v>44818</v>
      </c>
      <c r="C942" s="1" t="n">
        <v>45657</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39589-2022</t>
        </is>
      </c>
      <c r="B943" s="1" t="n">
        <v>44818</v>
      </c>
      <c r="C943" s="1" t="n">
        <v>45657</v>
      </c>
      <c r="D943" t="inlineStr">
        <is>
          <t>VÄSTERNORRLANDS LÄN</t>
        </is>
      </c>
      <c r="E943" t="inlineStr">
        <is>
          <t>ÅNGE</t>
        </is>
      </c>
      <c r="G943" t="n">
        <v>4.8</v>
      </c>
      <c r="H943" t="n">
        <v>0</v>
      </c>
      <c r="I943" t="n">
        <v>0</v>
      </c>
      <c r="J943" t="n">
        <v>0</v>
      </c>
      <c r="K943" t="n">
        <v>0</v>
      </c>
      <c r="L943" t="n">
        <v>0</v>
      </c>
      <c r="M943" t="n">
        <v>0</v>
      </c>
      <c r="N943" t="n">
        <v>0</v>
      </c>
      <c r="O943" t="n">
        <v>0</v>
      </c>
      <c r="P943" t="n">
        <v>0</v>
      </c>
      <c r="Q943" t="n">
        <v>0</v>
      </c>
      <c r="R943" s="2" t="inlineStr"/>
    </row>
    <row r="944" ht="15" customHeight="1">
      <c r="A944" t="inlineStr">
        <is>
          <t>A 39685-2022</t>
        </is>
      </c>
      <c r="B944" s="1" t="n">
        <v>44818</v>
      </c>
      <c r="C944" s="1" t="n">
        <v>45657</v>
      </c>
      <c r="D944" t="inlineStr">
        <is>
          <t>VÄSTERNORRLANDS LÄN</t>
        </is>
      </c>
      <c r="E944" t="inlineStr">
        <is>
          <t>ÅNGE</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40475-2022</t>
        </is>
      </c>
      <c r="B945" s="1" t="n">
        <v>44823</v>
      </c>
      <c r="C945" s="1" t="n">
        <v>45657</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40476-2022</t>
        </is>
      </c>
      <c r="B946" s="1" t="n">
        <v>44823</v>
      </c>
      <c r="C946" s="1" t="n">
        <v>45657</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41261-2022</t>
        </is>
      </c>
      <c r="B947" s="1" t="n">
        <v>44825</v>
      </c>
      <c r="C947" s="1" t="n">
        <v>45657</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41464-2022</t>
        </is>
      </c>
      <c r="B948" s="1" t="n">
        <v>44827</v>
      </c>
      <c r="C948" s="1" t="n">
        <v>45657</v>
      </c>
      <c r="D948" t="inlineStr">
        <is>
          <t>VÄSTERNORRLANDS LÄN</t>
        </is>
      </c>
      <c r="E948" t="inlineStr">
        <is>
          <t>ÅNGE</t>
        </is>
      </c>
      <c r="F948" t="inlineStr">
        <is>
          <t>SCA</t>
        </is>
      </c>
      <c r="G948" t="n">
        <v>32.2</v>
      </c>
      <c r="H948" t="n">
        <v>0</v>
      </c>
      <c r="I948" t="n">
        <v>0</v>
      </c>
      <c r="J948" t="n">
        <v>0</v>
      </c>
      <c r="K948" t="n">
        <v>0</v>
      </c>
      <c r="L948" t="n">
        <v>0</v>
      </c>
      <c r="M948" t="n">
        <v>0</v>
      </c>
      <c r="N948" t="n">
        <v>0</v>
      </c>
      <c r="O948" t="n">
        <v>0</v>
      </c>
      <c r="P948" t="n">
        <v>0</v>
      </c>
      <c r="Q948" t="n">
        <v>0</v>
      </c>
      <c r="R948" s="2" t="inlineStr"/>
    </row>
    <row r="949" ht="15" customHeight="1">
      <c r="A949" t="inlineStr">
        <is>
          <t>A 41825-2022</t>
        </is>
      </c>
      <c r="B949" s="1" t="n">
        <v>44827</v>
      </c>
      <c r="C949" s="1" t="n">
        <v>45657</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c r="U949">
        <f>HYPERLINK("https://klasma.github.io/Logging_2260/knärot/A 41825-2022 karta knärot.png", "A 41825-2022")</f>
        <v/>
      </c>
      <c r="V949">
        <f>HYPERLINK("https://klasma.github.io/Logging_2260/klagomål/A 41825-2022 FSC-klagomål.docx", "A 41825-2022")</f>
        <v/>
      </c>
      <c r="W949">
        <f>HYPERLINK("https://klasma.github.io/Logging_2260/klagomålsmail/A 41825-2022 FSC-klagomål mail.docx", "A 41825-2022")</f>
        <v/>
      </c>
      <c r="X949">
        <f>HYPERLINK("https://klasma.github.io/Logging_2260/tillsyn/A 41825-2022 tillsynsbegäran.docx", "A 41825-2022")</f>
        <v/>
      </c>
      <c r="Y949">
        <f>HYPERLINK("https://klasma.github.io/Logging_2260/tillsynsmail/A 41825-2022 tillsynsbegäran mail.docx", "A 41825-2022")</f>
        <v/>
      </c>
    </row>
    <row r="950" ht="15" customHeight="1">
      <c r="A950" t="inlineStr">
        <is>
          <t>A 42857-2022</t>
        </is>
      </c>
      <c r="B950" s="1" t="n">
        <v>44832</v>
      </c>
      <c r="C950" s="1" t="n">
        <v>45657</v>
      </c>
      <c r="D950" t="inlineStr">
        <is>
          <t>VÄSTERNORRLANDS LÄN</t>
        </is>
      </c>
      <c r="E950" t="inlineStr">
        <is>
          <t>ÅNGE</t>
        </is>
      </c>
      <c r="G950" t="n">
        <v>3.4</v>
      </c>
      <c r="H950" t="n">
        <v>0</v>
      </c>
      <c r="I950" t="n">
        <v>0</v>
      </c>
      <c r="J950" t="n">
        <v>0</v>
      </c>
      <c r="K950" t="n">
        <v>0</v>
      </c>
      <c r="L950" t="n">
        <v>0</v>
      </c>
      <c r="M950" t="n">
        <v>0</v>
      </c>
      <c r="N950" t="n">
        <v>0</v>
      </c>
      <c r="O950" t="n">
        <v>0</v>
      </c>
      <c r="P950" t="n">
        <v>0</v>
      </c>
      <c r="Q950" t="n">
        <v>0</v>
      </c>
      <c r="R950" s="2" t="inlineStr"/>
    </row>
    <row r="951" ht="15" customHeight="1">
      <c r="A951" t="inlineStr">
        <is>
          <t>A 43066-2022</t>
        </is>
      </c>
      <c r="B951" s="1" t="n">
        <v>44833</v>
      </c>
      <c r="C951" s="1" t="n">
        <v>45657</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43775-2022</t>
        </is>
      </c>
      <c r="B952" s="1" t="n">
        <v>44838</v>
      </c>
      <c r="C952" s="1" t="n">
        <v>45657</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43788-2022</t>
        </is>
      </c>
      <c r="B953" s="1" t="n">
        <v>44837</v>
      </c>
      <c r="C953" s="1" t="n">
        <v>45657</v>
      </c>
      <c r="D953" t="inlineStr">
        <is>
          <t>VÄSTERNORRLANDS LÄN</t>
        </is>
      </c>
      <c r="E953" t="inlineStr">
        <is>
          <t>ÅNGE</t>
        </is>
      </c>
      <c r="F953" t="inlineStr">
        <is>
          <t>SCA</t>
        </is>
      </c>
      <c r="G953" t="n">
        <v>7.7</v>
      </c>
      <c r="H953" t="n">
        <v>0</v>
      </c>
      <c r="I953" t="n">
        <v>0</v>
      </c>
      <c r="J953" t="n">
        <v>0</v>
      </c>
      <c r="K953" t="n">
        <v>0</v>
      </c>
      <c r="L953" t="n">
        <v>0</v>
      </c>
      <c r="M953" t="n">
        <v>0</v>
      </c>
      <c r="N953" t="n">
        <v>0</v>
      </c>
      <c r="O953" t="n">
        <v>0</v>
      </c>
      <c r="P953" t="n">
        <v>0</v>
      </c>
      <c r="Q953" t="n">
        <v>0</v>
      </c>
      <c r="R953" s="2" t="inlineStr"/>
    </row>
    <row r="954" ht="15" customHeight="1">
      <c r="A954" t="inlineStr">
        <is>
          <t>A 44412-2022</t>
        </is>
      </c>
      <c r="B954" s="1" t="n">
        <v>44840</v>
      </c>
      <c r="C954" s="1" t="n">
        <v>45657</v>
      </c>
      <c r="D954" t="inlineStr">
        <is>
          <t>VÄSTERNORRLANDS LÄN</t>
        </is>
      </c>
      <c r="E954" t="inlineStr">
        <is>
          <t>ÅNGE</t>
        </is>
      </c>
      <c r="G954" t="n">
        <v>1.6</v>
      </c>
      <c r="H954" t="n">
        <v>0</v>
      </c>
      <c r="I954" t="n">
        <v>0</v>
      </c>
      <c r="J954" t="n">
        <v>0</v>
      </c>
      <c r="K954" t="n">
        <v>0</v>
      </c>
      <c r="L954" t="n">
        <v>0</v>
      </c>
      <c r="M954" t="n">
        <v>0</v>
      </c>
      <c r="N954" t="n">
        <v>0</v>
      </c>
      <c r="O954" t="n">
        <v>0</v>
      </c>
      <c r="P954" t="n">
        <v>0</v>
      </c>
      <c r="Q954" t="n">
        <v>0</v>
      </c>
      <c r="R954" s="2" t="inlineStr"/>
    </row>
    <row r="955" ht="15" customHeight="1">
      <c r="A955" t="inlineStr">
        <is>
          <t>A 44414-2022</t>
        </is>
      </c>
      <c r="B955" s="1" t="n">
        <v>44840</v>
      </c>
      <c r="C955" s="1" t="n">
        <v>45657</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44413-2022</t>
        </is>
      </c>
      <c r="B956" s="1" t="n">
        <v>44840</v>
      </c>
      <c r="C956" s="1" t="n">
        <v>45657</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45086-2022</t>
        </is>
      </c>
      <c r="B957" s="1" t="n">
        <v>44841</v>
      </c>
      <c r="C957" s="1" t="n">
        <v>45657</v>
      </c>
      <c r="D957" t="inlineStr">
        <is>
          <t>VÄSTERNORRLANDS LÄN</t>
        </is>
      </c>
      <c r="E957" t="inlineStr">
        <is>
          <t>ÅNGE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45087-2022</t>
        </is>
      </c>
      <c r="B958" s="1" t="n">
        <v>44841</v>
      </c>
      <c r="C958" s="1" t="n">
        <v>45657</v>
      </c>
      <c r="D958" t="inlineStr">
        <is>
          <t>VÄSTERNORRLANDS LÄN</t>
        </is>
      </c>
      <c r="E958" t="inlineStr">
        <is>
          <t>ÅNGE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45128-2022</t>
        </is>
      </c>
      <c r="B959" s="1" t="n">
        <v>44844</v>
      </c>
      <c r="C959" s="1" t="n">
        <v>45657</v>
      </c>
      <c r="D959" t="inlineStr">
        <is>
          <t>VÄSTERNORRLANDS LÄN</t>
        </is>
      </c>
      <c r="E959" t="inlineStr">
        <is>
          <t>ÅNGE</t>
        </is>
      </c>
      <c r="G959" t="n">
        <v>4.1</v>
      </c>
      <c r="H959" t="n">
        <v>0</v>
      </c>
      <c r="I959" t="n">
        <v>0</v>
      </c>
      <c r="J959" t="n">
        <v>0</v>
      </c>
      <c r="K959" t="n">
        <v>0</v>
      </c>
      <c r="L959" t="n">
        <v>0</v>
      </c>
      <c r="M959" t="n">
        <v>0</v>
      </c>
      <c r="N959" t="n">
        <v>0</v>
      </c>
      <c r="O959" t="n">
        <v>0</v>
      </c>
      <c r="P959" t="n">
        <v>0</v>
      </c>
      <c r="Q959" t="n">
        <v>0</v>
      </c>
      <c r="R959" s="2" t="inlineStr"/>
    </row>
    <row r="960" ht="15" customHeight="1">
      <c r="A960" t="inlineStr">
        <is>
          <t>A 45432-2022</t>
        </is>
      </c>
      <c r="B960" s="1" t="n">
        <v>44844</v>
      </c>
      <c r="C960" s="1" t="n">
        <v>45657</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45459-2022</t>
        </is>
      </c>
      <c r="B961" s="1" t="n">
        <v>44845</v>
      </c>
      <c r="C961" s="1" t="n">
        <v>45657</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45703-2022</t>
        </is>
      </c>
      <c r="B962" s="1" t="n">
        <v>44845</v>
      </c>
      <c r="C962" s="1" t="n">
        <v>45657</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45931-2022</t>
        </is>
      </c>
      <c r="B963" s="1" t="n">
        <v>44846</v>
      </c>
      <c r="C963" s="1" t="n">
        <v>45657</v>
      </c>
      <c r="D963" t="inlineStr">
        <is>
          <t>VÄSTERNORRLANDS LÄN</t>
        </is>
      </c>
      <c r="E963" t="inlineStr">
        <is>
          <t>ÅNGE</t>
        </is>
      </c>
      <c r="G963" t="n">
        <v>27.6</v>
      </c>
      <c r="H963" t="n">
        <v>0</v>
      </c>
      <c r="I963" t="n">
        <v>0</v>
      </c>
      <c r="J963" t="n">
        <v>0</v>
      </c>
      <c r="K963" t="n">
        <v>0</v>
      </c>
      <c r="L963" t="n">
        <v>0</v>
      </c>
      <c r="M963" t="n">
        <v>0</v>
      </c>
      <c r="N963" t="n">
        <v>0</v>
      </c>
      <c r="O963" t="n">
        <v>0</v>
      </c>
      <c r="P963" t="n">
        <v>0</v>
      </c>
      <c r="Q963" t="n">
        <v>0</v>
      </c>
      <c r="R963" s="2" t="inlineStr"/>
    </row>
    <row r="964" ht="15" customHeight="1">
      <c r="A964" t="inlineStr">
        <is>
          <t>A 46334-2022</t>
        </is>
      </c>
      <c r="B964" s="1" t="n">
        <v>44848</v>
      </c>
      <c r="C964" s="1" t="n">
        <v>45657</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46352-2022</t>
        </is>
      </c>
      <c r="B965" s="1" t="n">
        <v>44848</v>
      </c>
      <c r="C965" s="1" t="n">
        <v>45657</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46351-2022</t>
        </is>
      </c>
      <c r="B966" s="1" t="n">
        <v>44847</v>
      </c>
      <c r="C966" s="1" t="n">
        <v>45657</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46350-2022</t>
        </is>
      </c>
      <c r="B967" s="1" t="n">
        <v>44848</v>
      </c>
      <c r="C967" s="1" t="n">
        <v>45657</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47282-2022</t>
        </is>
      </c>
      <c r="B968" s="1" t="n">
        <v>44853</v>
      </c>
      <c r="C968" s="1" t="n">
        <v>45657</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47106-2022</t>
        </is>
      </c>
      <c r="B969" s="1" t="n">
        <v>44852</v>
      </c>
      <c r="C969" s="1" t="n">
        <v>45657</v>
      </c>
      <c r="D969" t="inlineStr">
        <is>
          <t>VÄSTERNORRLANDS LÄN</t>
        </is>
      </c>
      <c r="E969" t="inlineStr">
        <is>
          <t>ÅNGE</t>
        </is>
      </c>
      <c r="G969" t="n">
        <v>11.9</v>
      </c>
      <c r="H969" t="n">
        <v>0</v>
      </c>
      <c r="I969" t="n">
        <v>0</v>
      </c>
      <c r="J969" t="n">
        <v>0</v>
      </c>
      <c r="K969" t="n">
        <v>0</v>
      </c>
      <c r="L969" t="n">
        <v>0</v>
      </c>
      <c r="M969" t="n">
        <v>0</v>
      </c>
      <c r="N969" t="n">
        <v>0</v>
      </c>
      <c r="O969" t="n">
        <v>0</v>
      </c>
      <c r="P969" t="n">
        <v>0</v>
      </c>
      <c r="Q969" t="n">
        <v>0</v>
      </c>
      <c r="R969" s="2" t="inlineStr"/>
    </row>
    <row r="970" ht="15" customHeight="1">
      <c r="A970" t="inlineStr">
        <is>
          <t>A 47443-2022</t>
        </is>
      </c>
      <c r="B970" s="1" t="n">
        <v>44853</v>
      </c>
      <c r="C970" s="1" t="n">
        <v>45657</v>
      </c>
      <c r="D970" t="inlineStr">
        <is>
          <t>VÄSTERNORRLANDS LÄN</t>
        </is>
      </c>
      <c r="E970" t="inlineStr">
        <is>
          <t>ÅNGE</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47576-2022</t>
        </is>
      </c>
      <c r="B971" s="1" t="n">
        <v>44854</v>
      </c>
      <c r="C971" s="1" t="n">
        <v>45657</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47605-2022</t>
        </is>
      </c>
      <c r="B972" s="1" t="n">
        <v>44854</v>
      </c>
      <c r="C972" s="1" t="n">
        <v>45657</v>
      </c>
      <c r="D972" t="inlineStr">
        <is>
          <t>VÄSTERNORRLANDS LÄN</t>
        </is>
      </c>
      <c r="E972" t="inlineStr">
        <is>
          <t>ÅNGE</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47660-2022</t>
        </is>
      </c>
      <c r="B973" s="1" t="n">
        <v>44854</v>
      </c>
      <c r="C973" s="1" t="n">
        <v>45657</v>
      </c>
      <c r="D973" t="inlineStr">
        <is>
          <t>VÄSTERNORRLANDS LÄN</t>
        </is>
      </c>
      <c r="E973" t="inlineStr">
        <is>
          <t>ÅNGE</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47654-2022</t>
        </is>
      </c>
      <c r="B974" s="1" t="n">
        <v>44854</v>
      </c>
      <c r="C974" s="1" t="n">
        <v>45657</v>
      </c>
      <c r="D974" t="inlineStr">
        <is>
          <t>VÄSTERNORRLANDS LÄN</t>
        </is>
      </c>
      <c r="E974" t="inlineStr">
        <is>
          <t>ÅNGE</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47785-2022</t>
        </is>
      </c>
      <c r="B975" s="1" t="n">
        <v>44855</v>
      </c>
      <c r="C975" s="1" t="n">
        <v>45657</v>
      </c>
      <c r="D975" t="inlineStr">
        <is>
          <t>VÄSTERNORRLANDS LÄN</t>
        </is>
      </c>
      <c r="E975" t="inlineStr">
        <is>
          <t>ÅNGE</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47792-2022</t>
        </is>
      </c>
      <c r="B976" s="1" t="n">
        <v>44855</v>
      </c>
      <c r="C976" s="1" t="n">
        <v>45657</v>
      </c>
      <c r="D976" t="inlineStr">
        <is>
          <t>VÄSTERNORRLANDS LÄN</t>
        </is>
      </c>
      <c r="E976" t="inlineStr">
        <is>
          <t>ÅNGE</t>
        </is>
      </c>
      <c r="F976" t="inlineStr">
        <is>
          <t>SCA</t>
        </is>
      </c>
      <c r="G976" t="n">
        <v>10.9</v>
      </c>
      <c r="H976" t="n">
        <v>0</v>
      </c>
      <c r="I976" t="n">
        <v>0</v>
      </c>
      <c r="J976" t="n">
        <v>0</v>
      </c>
      <c r="K976" t="n">
        <v>0</v>
      </c>
      <c r="L976" t="n">
        <v>0</v>
      </c>
      <c r="M976" t="n">
        <v>0</v>
      </c>
      <c r="N976" t="n">
        <v>0</v>
      </c>
      <c r="O976" t="n">
        <v>0</v>
      </c>
      <c r="P976" t="n">
        <v>0</v>
      </c>
      <c r="Q976" t="n">
        <v>0</v>
      </c>
      <c r="R976" s="2" t="inlineStr"/>
    </row>
    <row r="977" ht="15" customHeight="1">
      <c r="A977" t="inlineStr">
        <is>
          <t>A 47791-2022</t>
        </is>
      </c>
      <c r="B977" s="1" t="n">
        <v>44855</v>
      </c>
      <c r="C977" s="1" t="n">
        <v>45657</v>
      </c>
      <c r="D977" t="inlineStr">
        <is>
          <t>VÄSTERNORRLANDS LÄN</t>
        </is>
      </c>
      <c r="E977" t="inlineStr">
        <is>
          <t>ÅNGE</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48521-2022</t>
        </is>
      </c>
      <c r="B978" s="1" t="n">
        <v>44858</v>
      </c>
      <c r="C978" s="1" t="n">
        <v>45657</v>
      </c>
      <c r="D978" t="inlineStr">
        <is>
          <t>VÄSTERNORRLANDS LÄN</t>
        </is>
      </c>
      <c r="E978" t="inlineStr">
        <is>
          <t>ÅNGE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50357-2022</t>
        </is>
      </c>
      <c r="B979" s="1" t="n">
        <v>44860</v>
      </c>
      <c r="C979" s="1" t="n">
        <v>45657</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49503-2022</t>
        </is>
      </c>
      <c r="B980" s="1" t="n">
        <v>44862</v>
      </c>
      <c r="C980" s="1" t="n">
        <v>45657</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49502-2022</t>
        </is>
      </c>
      <c r="B981" s="1" t="n">
        <v>44862</v>
      </c>
      <c r="C981" s="1" t="n">
        <v>45657</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50419-2022</t>
        </is>
      </c>
      <c r="B982" s="1" t="n">
        <v>44861</v>
      </c>
      <c r="C982" s="1" t="n">
        <v>45657</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49865-2022</t>
        </is>
      </c>
      <c r="B983" s="1" t="n">
        <v>44863</v>
      </c>
      <c r="C983" s="1" t="n">
        <v>45657</v>
      </c>
      <c r="D983" t="inlineStr">
        <is>
          <t>VÄSTERNORRLANDS LÄN</t>
        </is>
      </c>
      <c r="E983" t="inlineStr">
        <is>
          <t>ÅNGE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50332-2022</t>
        </is>
      </c>
      <c r="B984" s="1" t="n">
        <v>44865</v>
      </c>
      <c r="C984" s="1" t="n">
        <v>45657</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50643-2022</t>
        </is>
      </c>
      <c r="B985" s="1" t="n">
        <v>44866</v>
      </c>
      <c r="C985" s="1" t="n">
        <v>45657</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50640-2022</t>
        </is>
      </c>
      <c r="B986" s="1" t="n">
        <v>44866</v>
      </c>
      <c r="C986" s="1" t="n">
        <v>45657</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50665-2022</t>
        </is>
      </c>
      <c r="B987" s="1" t="n">
        <v>44866</v>
      </c>
      <c r="C987" s="1" t="n">
        <v>45657</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51383-2022</t>
        </is>
      </c>
      <c r="B988" s="1" t="n">
        <v>44866</v>
      </c>
      <c r="C988" s="1" t="n">
        <v>45657</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51131-2022</t>
        </is>
      </c>
      <c r="B989" s="1" t="n">
        <v>44868</v>
      </c>
      <c r="C989" s="1" t="n">
        <v>45657</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51263-2022</t>
        </is>
      </c>
      <c r="B990" s="1" t="n">
        <v>44868</v>
      </c>
      <c r="C990" s="1" t="n">
        <v>45657</v>
      </c>
      <c r="D990" t="inlineStr">
        <is>
          <t>VÄSTERNORRLANDS LÄN</t>
        </is>
      </c>
      <c r="E990" t="inlineStr">
        <is>
          <t>ÅNGE</t>
        </is>
      </c>
      <c r="F990" t="inlineStr">
        <is>
          <t>Holmen skog AB</t>
        </is>
      </c>
      <c r="G990" t="n">
        <v>12.1</v>
      </c>
      <c r="H990" t="n">
        <v>0</v>
      </c>
      <c r="I990" t="n">
        <v>0</v>
      </c>
      <c r="J990" t="n">
        <v>0</v>
      </c>
      <c r="K990" t="n">
        <v>0</v>
      </c>
      <c r="L990" t="n">
        <v>0</v>
      </c>
      <c r="M990" t="n">
        <v>0</v>
      </c>
      <c r="N990" t="n">
        <v>0</v>
      </c>
      <c r="O990" t="n">
        <v>0</v>
      </c>
      <c r="P990" t="n">
        <v>0</v>
      </c>
      <c r="Q990" t="n">
        <v>0</v>
      </c>
      <c r="R990" s="2" t="inlineStr"/>
    </row>
    <row r="991" ht="15" customHeight="1">
      <c r="A991" t="inlineStr">
        <is>
          <t>A 51311-2022</t>
        </is>
      </c>
      <c r="B991" s="1" t="n">
        <v>44868</v>
      </c>
      <c r="C991" s="1" t="n">
        <v>45657</v>
      </c>
      <c r="D991" t="inlineStr">
        <is>
          <t>VÄSTERNORRLANDS LÄN</t>
        </is>
      </c>
      <c r="E991" t="inlineStr">
        <is>
          <t>ÅNGE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51261-2022</t>
        </is>
      </c>
      <c r="B992" s="1" t="n">
        <v>44868</v>
      </c>
      <c r="C992" s="1" t="n">
        <v>45657</v>
      </c>
      <c r="D992" t="inlineStr">
        <is>
          <t>VÄSTERNORRLANDS LÄN</t>
        </is>
      </c>
      <c r="E992" t="inlineStr">
        <is>
          <t>ÅNGE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51313-2022</t>
        </is>
      </c>
      <c r="B993" s="1" t="n">
        <v>44868</v>
      </c>
      <c r="C993" s="1" t="n">
        <v>45657</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51393-2022</t>
        </is>
      </c>
      <c r="B994" s="1" t="n">
        <v>44869</v>
      </c>
      <c r="C994" s="1" t="n">
        <v>45657</v>
      </c>
      <c r="D994" t="inlineStr">
        <is>
          <t>VÄSTERNORRLANDS LÄN</t>
        </is>
      </c>
      <c r="E994" t="inlineStr">
        <is>
          <t>ÅNGE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51542-2022</t>
        </is>
      </c>
      <c r="B995" s="1" t="n">
        <v>44869</v>
      </c>
      <c r="C995" s="1" t="n">
        <v>45657</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51555-2022</t>
        </is>
      </c>
      <c r="B996" s="1" t="n">
        <v>44869</v>
      </c>
      <c r="C996" s="1" t="n">
        <v>45657</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51494-2022</t>
        </is>
      </c>
      <c r="B997" s="1" t="n">
        <v>44869</v>
      </c>
      <c r="C997" s="1" t="n">
        <v>45657</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51997-2022</t>
        </is>
      </c>
      <c r="B998" s="1" t="n">
        <v>44872</v>
      </c>
      <c r="C998" s="1" t="n">
        <v>45657</v>
      </c>
      <c r="D998" t="inlineStr">
        <is>
          <t>VÄSTERNORRLANDS LÄN</t>
        </is>
      </c>
      <c r="E998" t="inlineStr">
        <is>
          <t>ÅNGE</t>
        </is>
      </c>
      <c r="G998" t="n">
        <v>3.3</v>
      </c>
      <c r="H998" t="n">
        <v>0</v>
      </c>
      <c r="I998" t="n">
        <v>0</v>
      </c>
      <c r="J998" t="n">
        <v>0</v>
      </c>
      <c r="K998" t="n">
        <v>0</v>
      </c>
      <c r="L998" t="n">
        <v>0</v>
      </c>
      <c r="M998" t="n">
        <v>0</v>
      </c>
      <c r="N998" t="n">
        <v>0</v>
      </c>
      <c r="O998" t="n">
        <v>0</v>
      </c>
      <c r="P998" t="n">
        <v>0</v>
      </c>
      <c r="Q998" t="n">
        <v>0</v>
      </c>
      <c r="R998" s="2" t="inlineStr"/>
    </row>
    <row r="999" ht="15" customHeight="1">
      <c r="A999" t="inlineStr">
        <is>
          <t>A 51996-2022</t>
        </is>
      </c>
      <c r="B999" s="1" t="n">
        <v>44872</v>
      </c>
      <c r="C999" s="1" t="n">
        <v>45657</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52015-2022</t>
        </is>
      </c>
      <c r="B1000" s="1" t="n">
        <v>44872</v>
      </c>
      <c r="C1000" s="1" t="n">
        <v>45657</v>
      </c>
      <c r="D1000" t="inlineStr">
        <is>
          <t>VÄSTERNORRLANDS LÄN</t>
        </is>
      </c>
      <c r="E1000" t="inlineStr">
        <is>
          <t>ÅNGE</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52182-2022</t>
        </is>
      </c>
      <c r="B1001" s="1" t="n">
        <v>44873</v>
      </c>
      <c r="C1001" s="1" t="n">
        <v>45657</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52179-2022</t>
        </is>
      </c>
      <c r="B1002" s="1" t="n">
        <v>44873</v>
      </c>
      <c r="C1002" s="1" t="n">
        <v>45657</v>
      </c>
      <c r="D1002" t="inlineStr">
        <is>
          <t>VÄSTERNORRLANDS LÄN</t>
        </is>
      </c>
      <c r="E1002" t="inlineStr">
        <is>
          <t>ÅNGE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52347-2022</t>
        </is>
      </c>
      <c r="B1003" s="1" t="n">
        <v>44873</v>
      </c>
      <c r="C1003" s="1" t="n">
        <v>45657</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52346-2022</t>
        </is>
      </c>
      <c r="B1004" s="1" t="n">
        <v>44873</v>
      </c>
      <c r="C1004" s="1" t="n">
        <v>45657</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53010-2022</t>
        </is>
      </c>
      <c r="B1005" s="1" t="n">
        <v>44875</v>
      </c>
      <c r="C1005" s="1" t="n">
        <v>45657</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53304-2022</t>
        </is>
      </c>
      <c r="B1006" s="1" t="n">
        <v>44878</v>
      </c>
      <c r="C1006" s="1" t="n">
        <v>45657</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53439-2022</t>
        </is>
      </c>
      <c r="B1007" s="1" t="n">
        <v>44879</v>
      </c>
      <c r="C1007" s="1" t="n">
        <v>45657</v>
      </c>
      <c r="D1007" t="inlineStr">
        <is>
          <t>VÄSTERNORRLANDS LÄN</t>
        </is>
      </c>
      <c r="E1007" t="inlineStr">
        <is>
          <t>ÅNGE</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53663-2022</t>
        </is>
      </c>
      <c r="B1008" s="1" t="n">
        <v>44879</v>
      </c>
      <c r="C1008" s="1" t="n">
        <v>45657</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53664-2022</t>
        </is>
      </c>
      <c r="B1009" s="1" t="n">
        <v>44879</v>
      </c>
      <c r="C1009" s="1" t="n">
        <v>45657</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53854-2022</t>
        </is>
      </c>
      <c r="B1010" s="1" t="n">
        <v>44880</v>
      </c>
      <c r="C1010" s="1" t="n">
        <v>45657</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53950-2022</t>
        </is>
      </c>
      <c r="B1011" s="1" t="n">
        <v>44880</v>
      </c>
      <c r="C1011" s="1" t="n">
        <v>45657</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54027-2022</t>
        </is>
      </c>
      <c r="B1012" s="1" t="n">
        <v>44881</v>
      </c>
      <c r="C1012" s="1" t="n">
        <v>45657</v>
      </c>
      <c r="D1012" t="inlineStr">
        <is>
          <t>VÄSTERNORRLANDS LÄN</t>
        </is>
      </c>
      <c r="E1012" t="inlineStr">
        <is>
          <t>ÅNGE</t>
        </is>
      </c>
      <c r="F1012" t="inlineStr">
        <is>
          <t>Holmen skog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54250-2022</t>
        </is>
      </c>
      <c r="B1013" s="1" t="n">
        <v>44881</v>
      </c>
      <c r="C1013" s="1" t="n">
        <v>45657</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55007-2022</t>
        </is>
      </c>
      <c r="B1014" s="1" t="n">
        <v>44881</v>
      </c>
      <c r="C1014" s="1" t="n">
        <v>45657</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54453-2022</t>
        </is>
      </c>
      <c r="B1015" s="1" t="n">
        <v>44882</v>
      </c>
      <c r="C1015" s="1" t="n">
        <v>45657</v>
      </c>
      <c r="D1015" t="inlineStr">
        <is>
          <t>VÄSTERNORRLANDS LÄN</t>
        </is>
      </c>
      <c r="E1015" t="inlineStr">
        <is>
          <t>ÅNGE</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54575-2022</t>
        </is>
      </c>
      <c r="B1016" s="1" t="n">
        <v>44882</v>
      </c>
      <c r="C1016" s="1" t="n">
        <v>45657</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54579-2022</t>
        </is>
      </c>
      <c r="B1017" s="1" t="n">
        <v>44882</v>
      </c>
      <c r="C1017" s="1" t="n">
        <v>45657</v>
      </c>
      <c r="D1017" t="inlineStr">
        <is>
          <t>VÄSTERNORRLANDS LÄN</t>
        </is>
      </c>
      <c r="E1017" t="inlineStr">
        <is>
          <t>ÅNGE</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54821-2022</t>
        </is>
      </c>
      <c r="B1018" s="1" t="n">
        <v>44883</v>
      </c>
      <c r="C1018" s="1" t="n">
        <v>45657</v>
      </c>
      <c r="D1018" t="inlineStr">
        <is>
          <t>VÄSTERNORRLANDS LÄN</t>
        </is>
      </c>
      <c r="E1018" t="inlineStr">
        <is>
          <t>ÅNGE</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55197-2022</t>
        </is>
      </c>
      <c r="B1019" s="1" t="n">
        <v>44886</v>
      </c>
      <c r="C1019" s="1" t="n">
        <v>45657</v>
      </c>
      <c r="D1019" t="inlineStr">
        <is>
          <t>VÄSTERNORRLANDS LÄN</t>
        </is>
      </c>
      <c r="E1019" t="inlineStr">
        <is>
          <t>ÅNGE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55112-2022</t>
        </is>
      </c>
      <c r="B1020" s="1" t="n">
        <v>44886</v>
      </c>
      <c r="C1020" s="1" t="n">
        <v>45657</v>
      </c>
      <c r="D1020" t="inlineStr">
        <is>
          <t>VÄSTERNORRLANDS LÄN</t>
        </is>
      </c>
      <c r="E1020" t="inlineStr">
        <is>
          <t>ÅNGE</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55213-2022</t>
        </is>
      </c>
      <c r="B1021" s="1" t="n">
        <v>44887</v>
      </c>
      <c r="C1021" s="1" t="n">
        <v>45657</v>
      </c>
      <c r="D1021" t="inlineStr">
        <is>
          <t>VÄSTERNORRLANDS LÄN</t>
        </is>
      </c>
      <c r="E1021" t="inlineStr">
        <is>
          <t>ÅNGE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55212-2022</t>
        </is>
      </c>
      <c r="B1022" s="1" t="n">
        <v>44886</v>
      </c>
      <c r="C1022" s="1" t="n">
        <v>45657</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55361-2022</t>
        </is>
      </c>
      <c r="B1023" s="1" t="n">
        <v>44887</v>
      </c>
      <c r="C1023" s="1" t="n">
        <v>45657</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55526-2022</t>
        </is>
      </c>
      <c r="B1024" s="1" t="n">
        <v>44887</v>
      </c>
      <c r="C1024" s="1" t="n">
        <v>45657</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55474-2022</t>
        </is>
      </c>
      <c r="B1025" s="1" t="n">
        <v>44887</v>
      </c>
      <c r="C1025" s="1" t="n">
        <v>45657</v>
      </c>
      <c r="D1025" t="inlineStr">
        <is>
          <t>VÄSTERNORRLANDS LÄN</t>
        </is>
      </c>
      <c r="E1025" t="inlineStr">
        <is>
          <t>ÅNGE</t>
        </is>
      </c>
      <c r="F1025" t="inlineStr">
        <is>
          <t>Holmen skog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55527-2022</t>
        </is>
      </c>
      <c r="B1026" s="1" t="n">
        <v>44887</v>
      </c>
      <c r="C1026" s="1" t="n">
        <v>45657</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55729-2022</t>
        </is>
      </c>
      <c r="B1027" s="1" t="n">
        <v>44888</v>
      </c>
      <c r="C1027" s="1" t="n">
        <v>45657</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55754-2022</t>
        </is>
      </c>
      <c r="B1028" s="1" t="n">
        <v>44888</v>
      </c>
      <c r="C1028" s="1" t="n">
        <v>45657</v>
      </c>
      <c r="D1028" t="inlineStr">
        <is>
          <t>VÄSTERNORRLANDS LÄN</t>
        </is>
      </c>
      <c r="E1028" t="inlineStr">
        <is>
          <t>ÅNGE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55816-2022</t>
        </is>
      </c>
      <c r="B1029" s="1" t="n">
        <v>44888</v>
      </c>
      <c r="C1029" s="1" t="n">
        <v>45657</v>
      </c>
      <c r="D1029" t="inlineStr">
        <is>
          <t>VÄSTERNORRLANDS LÄN</t>
        </is>
      </c>
      <c r="E1029" t="inlineStr">
        <is>
          <t>ÅNGE</t>
        </is>
      </c>
      <c r="F1029" t="inlineStr">
        <is>
          <t>Holmen skog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55883-2022</t>
        </is>
      </c>
      <c r="B1030" s="1" t="n">
        <v>44888</v>
      </c>
      <c r="C1030" s="1" t="n">
        <v>45657</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55882-2022</t>
        </is>
      </c>
      <c r="B1031" s="1" t="n">
        <v>44888</v>
      </c>
      <c r="C1031" s="1" t="n">
        <v>45657</v>
      </c>
      <c r="D1031" t="inlineStr">
        <is>
          <t>VÄSTERNORRLANDS LÄN</t>
        </is>
      </c>
      <c r="E1031" t="inlineStr">
        <is>
          <t>ÅNGE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55907-2022</t>
        </is>
      </c>
      <c r="B1032" s="1" t="n">
        <v>44888</v>
      </c>
      <c r="C1032" s="1" t="n">
        <v>45657</v>
      </c>
      <c r="D1032" t="inlineStr">
        <is>
          <t>VÄSTERNORRLANDS LÄN</t>
        </is>
      </c>
      <c r="E1032" t="inlineStr">
        <is>
          <t>ÅNGE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55906-2022</t>
        </is>
      </c>
      <c r="B1033" s="1" t="n">
        <v>44888</v>
      </c>
      <c r="C1033" s="1" t="n">
        <v>45657</v>
      </c>
      <c r="D1033" t="inlineStr">
        <is>
          <t>VÄSTERNORRLANDS LÄN</t>
        </is>
      </c>
      <c r="E1033" t="inlineStr">
        <is>
          <t>ÅNGE</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56181-2022</t>
        </is>
      </c>
      <c r="B1034" s="1" t="n">
        <v>44889</v>
      </c>
      <c r="C1034" s="1" t="n">
        <v>45657</v>
      </c>
      <c r="D1034" t="inlineStr">
        <is>
          <t>VÄSTERNORRLANDS LÄN</t>
        </is>
      </c>
      <c r="E1034" t="inlineStr">
        <is>
          <t>ÅNGE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55934-2022</t>
        </is>
      </c>
      <c r="B1035" s="1" t="n">
        <v>44889</v>
      </c>
      <c r="C1035" s="1" t="n">
        <v>45657</v>
      </c>
      <c r="D1035" t="inlineStr">
        <is>
          <t>VÄSTERNORRLANDS LÄN</t>
        </is>
      </c>
      <c r="E1035" t="inlineStr">
        <is>
          <t>ÅNGE</t>
        </is>
      </c>
      <c r="F1035" t="inlineStr">
        <is>
          <t>Holmen skog AB</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56399-2022</t>
        </is>
      </c>
      <c r="B1036" s="1" t="n">
        <v>44890</v>
      </c>
      <c r="C1036" s="1" t="n">
        <v>45657</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56403-2022</t>
        </is>
      </c>
      <c r="B1037" s="1" t="n">
        <v>44890</v>
      </c>
      <c r="C1037" s="1" t="n">
        <v>45657</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56400-2022</t>
        </is>
      </c>
      <c r="B1038" s="1" t="n">
        <v>44890</v>
      </c>
      <c r="C1038" s="1" t="n">
        <v>45657</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56401-2022</t>
        </is>
      </c>
      <c r="B1039" s="1" t="n">
        <v>44890</v>
      </c>
      <c r="C1039" s="1" t="n">
        <v>45657</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56591-2022</t>
        </is>
      </c>
      <c r="B1040" s="1" t="n">
        <v>44893</v>
      </c>
      <c r="C1040" s="1" t="n">
        <v>45657</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56666-2022</t>
        </is>
      </c>
      <c r="B1041" s="1" t="n">
        <v>44893</v>
      </c>
      <c r="C1041" s="1" t="n">
        <v>45657</v>
      </c>
      <c r="D1041" t="inlineStr">
        <is>
          <t>VÄSTERNORRLANDS LÄN</t>
        </is>
      </c>
      <c r="E1041" t="inlineStr">
        <is>
          <t>ÅNGE</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56731-2022</t>
        </is>
      </c>
      <c r="B1042" s="1" t="n">
        <v>44893</v>
      </c>
      <c r="C1042" s="1" t="n">
        <v>45657</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56775-2022</t>
        </is>
      </c>
      <c r="B1043" s="1" t="n">
        <v>44894</v>
      </c>
      <c r="C1043" s="1" t="n">
        <v>45657</v>
      </c>
      <c r="D1043" t="inlineStr">
        <is>
          <t>VÄSTERNORRLANDS LÄN</t>
        </is>
      </c>
      <c r="E1043" t="inlineStr">
        <is>
          <t>ÅNGE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56946-2022</t>
        </is>
      </c>
      <c r="B1044" s="1" t="n">
        <v>44894</v>
      </c>
      <c r="C1044" s="1" t="n">
        <v>45657</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56956-2022</t>
        </is>
      </c>
      <c r="B1045" s="1" t="n">
        <v>44894</v>
      </c>
      <c r="C1045" s="1" t="n">
        <v>45657</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57289-2022</t>
        </is>
      </c>
      <c r="B1046" s="1" t="n">
        <v>44895</v>
      </c>
      <c r="C1046" s="1" t="n">
        <v>45657</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57250-2022</t>
        </is>
      </c>
      <c r="B1047" s="1" t="n">
        <v>44895</v>
      </c>
      <c r="C1047" s="1" t="n">
        <v>45657</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57287-2022</t>
        </is>
      </c>
      <c r="B1048" s="1" t="n">
        <v>44895</v>
      </c>
      <c r="C1048" s="1" t="n">
        <v>45657</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v>
      </c>
      <c r="C1049" s="1" t="n">
        <v>45657</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57291-2022</t>
        </is>
      </c>
      <c r="B1050" s="1" t="n">
        <v>44895</v>
      </c>
      <c r="C1050" s="1" t="n">
        <v>45657</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57288-2022</t>
        </is>
      </c>
      <c r="B1051" s="1" t="n">
        <v>44895</v>
      </c>
      <c r="C1051" s="1" t="n">
        <v>45657</v>
      </c>
      <c r="D1051" t="inlineStr">
        <is>
          <t>VÄSTERNORRLANDS LÄN</t>
        </is>
      </c>
      <c r="E1051" t="inlineStr">
        <is>
          <t>ÅNGE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57592-2022</t>
        </is>
      </c>
      <c r="B1052" s="1" t="n">
        <v>44897</v>
      </c>
      <c r="C1052" s="1" t="n">
        <v>45657</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57596-2022</t>
        </is>
      </c>
      <c r="B1053" s="1" t="n">
        <v>44897</v>
      </c>
      <c r="C1053" s="1" t="n">
        <v>45657</v>
      </c>
      <c r="D1053" t="inlineStr">
        <is>
          <t>VÄSTERNORRLANDS LÄN</t>
        </is>
      </c>
      <c r="E1053" t="inlineStr">
        <is>
          <t>ÅNGE</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57601-2022</t>
        </is>
      </c>
      <c r="B1054" s="1" t="n">
        <v>44896</v>
      </c>
      <c r="C1054" s="1" t="n">
        <v>45657</v>
      </c>
      <c r="D1054" t="inlineStr">
        <is>
          <t>VÄSTERNORRLANDS LÄN</t>
        </is>
      </c>
      <c r="E1054" t="inlineStr">
        <is>
          <t>ÅNGE</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57593-2022</t>
        </is>
      </c>
      <c r="B1055" s="1" t="n">
        <v>44897</v>
      </c>
      <c r="C1055" s="1" t="n">
        <v>45657</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57602-2022</t>
        </is>
      </c>
      <c r="B1056" s="1" t="n">
        <v>44896</v>
      </c>
      <c r="C1056" s="1" t="n">
        <v>45657</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57591-2022</t>
        </is>
      </c>
      <c r="B1057" s="1" t="n">
        <v>44897</v>
      </c>
      <c r="C1057" s="1" t="n">
        <v>45657</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44897</v>
      </c>
      <c r="C1058" s="1" t="n">
        <v>45657</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57598-2022</t>
        </is>
      </c>
      <c r="B1059" s="1" t="n">
        <v>44896</v>
      </c>
      <c r="C1059" s="1" t="n">
        <v>45657</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45657</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v>
      </c>
      <c r="C1061" s="1" t="n">
        <v>45657</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v>
      </c>
      <c r="C1062" s="1" t="n">
        <v>45657</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58445-2022</t>
        </is>
      </c>
      <c r="B1063" s="1" t="n">
        <v>44901</v>
      </c>
      <c r="C1063" s="1" t="n">
        <v>45657</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58444-2022</t>
        </is>
      </c>
      <c r="B1064" s="1" t="n">
        <v>44901</v>
      </c>
      <c r="C1064" s="1" t="n">
        <v>45657</v>
      </c>
      <c r="D1064" t="inlineStr">
        <is>
          <t>VÄSTERNORRLANDS LÄN</t>
        </is>
      </c>
      <c r="E1064" t="inlineStr">
        <is>
          <t>ÅNGE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58469-2022</t>
        </is>
      </c>
      <c r="B1065" s="1" t="n">
        <v>44902</v>
      </c>
      <c r="C1065" s="1" t="n">
        <v>45657</v>
      </c>
      <c r="D1065" t="inlineStr">
        <is>
          <t>VÄSTERNORRLANDS LÄN</t>
        </is>
      </c>
      <c r="E1065" t="inlineStr">
        <is>
          <t>ÅNGE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58943-2022</t>
        </is>
      </c>
      <c r="B1066" s="1" t="n">
        <v>44903</v>
      </c>
      <c r="C1066" s="1" t="n">
        <v>45657</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59520-2022</t>
        </is>
      </c>
      <c r="B1067" s="1" t="n">
        <v>44907</v>
      </c>
      <c r="C1067" s="1" t="n">
        <v>45657</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59626-2022</t>
        </is>
      </c>
      <c r="B1068" s="1" t="n">
        <v>44907</v>
      </c>
      <c r="C1068" s="1" t="n">
        <v>45657</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60369-2022</t>
        </is>
      </c>
      <c r="B1069" s="1" t="n">
        <v>44910</v>
      </c>
      <c r="C1069" s="1" t="n">
        <v>45657</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60658-2022</t>
        </is>
      </c>
      <c r="B1070" s="1" t="n">
        <v>44911</v>
      </c>
      <c r="C1070" s="1" t="n">
        <v>45657</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60770-2022</t>
        </is>
      </c>
      <c r="B1071" s="1" t="n">
        <v>44914</v>
      </c>
      <c r="C1071" s="1" t="n">
        <v>45657</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60860-2022</t>
        </is>
      </c>
      <c r="B1072" s="1" t="n">
        <v>44914</v>
      </c>
      <c r="C1072" s="1" t="n">
        <v>45657</v>
      </c>
      <c r="D1072" t="inlineStr">
        <is>
          <t>VÄSTERNORRLANDS LÄN</t>
        </is>
      </c>
      <c r="E1072" t="inlineStr">
        <is>
          <t>ÅNGE</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61585-2022</t>
        </is>
      </c>
      <c r="B1073" s="1" t="n">
        <v>44916</v>
      </c>
      <c r="C1073" s="1" t="n">
        <v>45657</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62261-2022</t>
        </is>
      </c>
      <c r="B1074" s="1" t="n">
        <v>44922</v>
      </c>
      <c r="C1074" s="1" t="n">
        <v>45657</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62290-2022</t>
        </is>
      </c>
      <c r="B1075" s="1" t="n">
        <v>44923</v>
      </c>
      <c r="C1075" s="1" t="n">
        <v>45657</v>
      </c>
      <c r="D1075" t="inlineStr">
        <is>
          <t>VÄSTERNORRLANDS LÄN</t>
        </is>
      </c>
      <c r="E1075" t="inlineStr">
        <is>
          <t>ÅNGE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62441-2022</t>
        </is>
      </c>
      <c r="B1076" s="1" t="n">
        <v>44924</v>
      </c>
      <c r="C1076" s="1" t="n">
        <v>45657</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62438-2022</t>
        </is>
      </c>
      <c r="B1077" s="1" t="n">
        <v>44924</v>
      </c>
      <c r="C1077" s="1" t="n">
        <v>45657</v>
      </c>
      <c r="D1077" t="inlineStr">
        <is>
          <t>VÄSTERNORRLANDS LÄN</t>
        </is>
      </c>
      <c r="E1077" t="inlineStr">
        <is>
          <t>ÅNGE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1116-2023</t>
        </is>
      </c>
      <c r="B1078" s="1" t="n">
        <v>44929</v>
      </c>
      <c r="C1078" s="1" t="n">
        <v>45657</v>
      </c>
      <c r="D1078" t="inlineStr">
        <is>
          <t>VÄSTERNORRLANDS LÄN</t>
        </is>
      </c>
      <c r="E1078" t="inlineStr">
        <is>
          <t>ÅNGE</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1103-2023</t>
        </is>
      </c>
      <c r="B1079" s="1" t="n">
        <v>44929</v>
      </c>
      <c r="C1079" s="1" t="n">
        <v>45657</v>
      </c>
      <c r="D1079" t="inlineStr">
        <is>
          <t>VÄSTERNORRLANDS LÄN</t>
        </is>
      </c>
      <c r="E1079" t="inlineStr">
        <is>
          <t>ÅNGE</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1090-2023</t>
        </is>
      </c>
      <c r="B1080" s="1" t="n">
        <v>44929</v>
      </c>
      <c r="C1080" s="1" t="n">
        <v>45657</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482-2023</t>
        </is>
      </c>
      <c r="B1081" s="1" t="n">
        <v>44929</v>
      </c>
      <c r="C1081" s="1" t="n">
        <v>45657</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1127-2023</t>
        </is>
      </c>
      <c r="B1082" s="1" t="n">
        <v>44929</v>
      </c>
      <c r="C1082" s="1" t="n">
        <v>45657</v>
      </c>
      <c r="D1082" t="inlineStr">
        <is>
          <t>VÄSTERNORRLANDS LÄN</t>
        </is>
      </c>
      <c r="E1082" t="inlineStr">
        <is>
          <t>ÅNGE</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1095-2023</t>
        </is>
      </c>
      <c r="B1083" s="1" t="n">
        <v>44929</v>
      </c>
      <c r="C1083" s="1" t="n">
        <v>45657</v>
      </c>
      <c r="D1083" t="inlineStr">
        <is>
          <t>VÄSTERNORRLANDS LÄN</t>
        </is>
      </c>
      <c r="E1083" t="inlineStr">
        <is>
          <t>ÅNGE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723-2023</t>
        </is>
      </c>
      <c r="B1084" s="1" t="n">
        <v>44930</v>
      </c>
      <c r="C1084" s="1" t="n">
        <v>45657</v>
      </c>
      <c r="D1084" t="inlineStr">
        <is>
          <t>VÄSTERNORRLANDS LÄN</t>
        </is>
      </c>
      <c r="E1084" t="inlineStr">
        <is>
          <t>ÅNGE</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721-2023</t>
        </is>
      </c>
      <c r="B1085" s="1" t="n">
        <v>44930</v>
      </c>
      <c r="C1085" s="1" t="n">
        <v>45657</v>
      </c>
      <c r="D1085" t="inlineStr">
        <is>
          <t>VÄSTERNORRLANDS LÄN</t>
        </is>
      </c>
      <c r="E1085" t="inlineStr">
        <is>
          <t>ÅNGE</t>
        </is>
      </c>
      <c r="F1085" t="inlineStr">
        <is>
          <t>SCA</t>
        </is>
      </c>
      <c r="G1085" t="n">
        <v>23.6</v>
      </c>
      <c r="H1085" t="n">
        <v>0</v>
      </c>
      <c r="I1085" t="n">
        <v>0</v>
      </c>
      <c r="J1085" t="n">
        <v>0</v>
      </c>
      <c r="K1085" t="n">
        <v>0</v>
      </c>
      <c r="L1085" t="n">
        <v>0</v>
      </c>
      <c r="M1085" t="n">
        <v>0</v>
      </c>
      <c r="N1085" t="n">
        <v>0</v>
      </c>
      <c r="O1085" t="n">
        <v>0</v>
      </c>
      <c r="P1085" t="n">
        <v>0</v>
      </c>
      <c r="Q1085" t="n">
        <v>0</v>
      </c>
      <c r="R1085" s="2" t="inlineStr"/>
    </row>
    <row r="1086" ht="15" customHeight="1">
      <c r="A1086" t="inlineStr">
        <is>
          <t>A 722-2023</t>
        </is>
      </c>
      <c r="B1086" s="1" t="n">
        <v>44930</v>
      </c>
      <c r="C1086" s="1" t="n">
        <v>45657</v>
      </c>
      <c r="D1086" t="inlineStr">
        <is>
          <t>VÄSTERNORRLANDS LÄN</t>
        </is>
      </c>
      <c r="E1086" t="inlineStr">
        <is>
          <t>ÅNGE</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720-2023</t>
        </is>
      </c>
      <c r="B1087" s="1" t="n">
        <v>44930</v>
      </c>
      <c r="C1087" s="1" t="n">
        <v>45657</v>
      </c>
      <c r="D1087" t="inlineStr">
        <is>
          <t>VÄSTERNORRLANDS LÄN</t>
        </is>
      </c>
      <c r="E1087" t="inlineStr">
        <is>
          <t>ÅNGE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732-2023</t>
        </is>
      </c>
      <c r="B1088" s="1" t="n">
        <v>44931</v>
      </c>
      <c r="C1088" s="1" t="n">
        <v>45657</v>
      </c>
      <c r="D1088" t="inlineStr">
        <is>
          <t>VÄSTERNORRLANDS LÄN</t>
        </is>
      </c>
      <c r="E1088" t="inlineStr">
        <is>
          <t>ÅNGE</t>
        </is>
      </c>
      <c r="F1088" t="inlineStr">
        <is>
          <t>Sveaskog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1235-2023</t>
        </is>
      </c>
      <c r="B1089" s="1" t="n">
        <v>44935</v>
      </c>
      <c r="C1089" s="1" t="n">
        <v>45657</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1412-2023</t>
        </is>
      </c>
      <c r="B1090" s="1" t="n">
        <v>44936</v>
      </c>
      <c r="C1090" s="1" t="n">
        <v>45657</v>
      </c>
      <c r="D1090" t="inlineStr">
        <is>
          <t>VÄSTERNORRLANDS LÄN</t>
        </is>
      </c>
      <c r="E1090" t="inlineStr">
        <is>
          <t>ÅNGE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1420-2023</t>
        </is>
      </c>
      <c r="B1091" s="1" t="n">
        <v>44936</v>
      </c>
      <c r="C1091" s="1" t="n">
        <v>45657</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1769-2023</t>
        </is>
      </c>
      <c r="B1092" s="1" t="n">
        <v>44938</v>
      </c>
      <c r="C1092" s="1" t="n">
        <v>45657</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1775-2023</t>
        </is>
      </c>
      <c r="B1093" s="1" t="n">
        <v>44938</v>
      </c>
      <c r="C1093" s="1" t="n">
        <v>45657</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2140-2023</t>
        </is>
      </c>
      <c r="B1094" s="1" t="n">
        <v>44940</v>
      </c>
      <c r="C1094" s="1" t="n">
        <v>45657</v>
      </c>
      <c r="D1094" t="inlineStr">
        <is>
          <t>VÄSTERNORRLANDS LÄN</t>
        </is>
      </c>
      <c r="E1094" t="inlineStr">
        <is>
          <t>ÅNGE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3022-2023</t>
        </is>
      </c>
      <c r="B1095" s="1" t="n">
        <v>44945</v>
      </c>
      <c r="C1095" s="1" t="n">
        <v>45657</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3023-2023</t>
        </is>
      </c>
      <c r="B1096" s="1" t="n">
        <v>44945</v>
      </c>
      <c r="C1096" s="1" t="n">
        <v>45657</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3025-2023</t>
        </is>
      </c>
      <c r="B1097" s="1" t="n">
        <v>44945</v>
      </c>
      <c r="C1097" s="1" t="n">
        <v>45657</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3323-2023</t>
        </is>
      </c>
      <c r="B1098" s="1" t="n">
        <v>44945</v>
      </c>
      <c r="C1098" s="1" t="n">
        <v>45657</v>
      </c>
      <c r="D1098" t="inlineStr">
        <is>
          <t>VÄSTERNORRLANDS LÄN</t>
        </is>
      </c>
      <c r="E1098" t="inlineStr">
        <is>
          <t>ÅNGE</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45657</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3631-2023</t>
        </is>
      </c>
      <c r="B1100" s="1" t="n">
        <v>44950</v>
      </c>
      <c r="C1100" s="1" t="n">
        <v>45657</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3629-2023</t>
        </is>
      </c>
      <c r="B1101" s="1" t="n">
        <v>44950</v>
      </c>
      <c r="C1101" s="1" t="n">
        <v>45657</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3686-2023</t>
        </is>
      </c>
      <c r="B1102" s="1" t="n">
        <v>44950</v>
      </c>
      <c r="C1102" s="1" t="n">
        <v>45657</v>
      </c>
      <c r="D1102" t="inlineStr">
        <is>
          <t>VÄSTERNORRLANDS LÄN</t>
        </is>
      </c>
      <c r="E1102" t="inlineStr">
        <is>
          <t>ÅNGE</t>
        </is>
      </c>
      <c r="F1102" t="inlineStr">
        <is>
          <t>SCA</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4095-2023</t>
        </is>
      </c>
      <c r="B1103" s="1" t="n">
        <v>44952</v>
      </c>
      <c r="C1103" s="1" t="n">
        <v>45657</v>
      </c>
      <c r="D1103" t="inlineStr">
        <is>
          <t>VÄSTERNORRLANDS LÄN</t>
        </is>
      </c>
      <c r="E1103" t="inlineStr">
        <is>
          <t>ÅNGE</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4727-2023</t>
        </is>
      </c>
      <c r="B1104" s="1" t="n">
        <v>44953</v>
      </c>
      <c r="C1104" s="1" t="n">
        <v>45657</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4876-2023</t>
        </is>
      </c>
      <c r="B1105" s="1" t="n">
        <v>44957</v>
      </c>
      <c r="C1105" s="1" t="n">
        <v>45657</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4877-2023</t>
        </is>
      </c>
      <c r="B1106" s="1" t="n">
        <v>44957</v>
      </c>
      <c r="C1106" s="1" t="n">
        <v>45657</v>
      </c>
      <c r="D1106" t="inlineStr">
        <is>
          <t>VÄSTERNORRLANDS LÄN</t>
        </is>
      </c>
      <c r="E1106" t="inlineStr">
        <is>
          <t>ÅNGE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4883-2023</t>
        </is>
      </c>
      <c r="B1107" s="1" t="n">
        <v>44957</v>
      </c>
      <c r="C1107" s="1" t="n">
        <v>45657</v>
      </c>
      <c r="D1107" t="inlineStr">
        <is>
          <t>VÄSTERNORRLANDS LÄN</t>
        </is>
      </c>
      <c r="E1107" t="inlineStr">
        <is>
          <t>ÅNGE</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5083-2023</t>
        </is>
      </c>
      <c r="B1108" s="1" t="n">
        <v>44958</v>
      </c>
      <c r="C1108" s="1" t="n">
        <v>45657</v>
      </c>
      <c r="D1108" t="inlineStr">
        <is>
          <t>VÄSTERNORRLANDS LÄN</t>
        </is>
      </c>
      <c r="E1108" t="inlineStr">
        <is>
          <t>ÅNGE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5455-2023</t>
        </is>
      </c>
      <c r="B1109" s="1" t="n">
        <v>44959</v>
      </c>
      <c r="C1109" s="1" t="n">
        <v>45657</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5868-2023</t>
        </is>
      </c>
      <c r="B1110" s="1" t="n">
        <v>44963</v>
      </c>
      <c r="C1110" s="1" t="n">
        <v>45657</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6179-2023</t>
        </is>
      </c>
      <c r="B1111" s="1" t="n">
        <v>44964</v>
      </c>
      <c r="C1111" s="1" t="n">
        <v>45657</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6186-2023</t>
        </is>
      </c>
      <c r="B1112" s="1" t="n">
        <v>44964</v>
      </c>
      <c r="C1112" s="1" t="n">
        <v>45657</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6790-2023</t>
        </is>
      </c>
      <c r="B1113" s="1" t="n">
        <v>44966</v>
      </c>
      <c r="C1113" s="1" t="n">
        <v>45657</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6789-2023</t>
        </is>
      </c>
      <c r="B1114" s="1" t="n">
        <v>44966</v>
      </c>
      <c r="C1114" s="1" t="n">
        <v>45657</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6791-2023</t>
        </is>
      </c>
      <c r="B1115" s="1" t="n">
        <v>44966</v>
      </c>
      <c r="C1115" s="1" t="n">
        <v>45657</v>
      </c>
      <c r="D1115" t="inlineStr">
        <is>
          <t>VÄSTERNORRLANDS LÄN</t>
        </is>
      </c>
      <c r="E1115" t="inlineStr">
        <is>
          <t>ÅNGE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6799-2023</t>
        </is>
      </c>
      <c r="B1116" s="1" t="n">
        <v>44966</v>
      </c>
      <c r="C1116" s="1" t="n">
        <v>45657</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6787-2023</t>
        </is>
      </c>
      <c r="B1117" s="1" t="n">
        <v>44966</v>
      </c>
      <c r="C1117" s="1" t="n">
        <v>45657</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7025-2023</t>
        </is>
      </c>
      <c r="B1118" s="1" t="n">
        <v>44968</v>
      </c>
      <c r="C1118" s="1" t="n">
        <v>45657</v>
      </c>
      <c r="D1118" t="inlineStr">
        <is>
          <t>VÄSTERNORRLANDS LÄN</t>
        </is>
      </c>
      <c r="E1118" t="inlineStr">
        <is>
          <t>ÅNGE</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7528-2023</t>
        </is>
      </c>
      <c r="B1119" s="1" t="n">
        <v>44972</v>
      </c>
      <c r="C1119" s="1" t="n">
        <v>45657</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7529-2023</t>
        </is>
      </c>
      <c r="B1120" s="1" t="n">
        <v>44972</v>
      </c>
      <c r="C1120" s="1" t="n">
        <v>45657</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7527-2023</t>
        </is>
      </c>
      <c r="B1121" s="1" t="n">
        <v>44971</v>
      </c>
      <c r="C1121" s="1" t="n">
        <v>45657</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7535-2023</t>
        </is>
      </c>
      <c r="B1122" s="1" t="n">
        <v>44971</v>
      </c>
      <c r="C1122" s="1" t="n">
        <v>45657</v>
      </c>
      <c r="D1122" t="inlineStr">
        <is>
          <t>VÄSTERNORRLANDS LÄN</t>
        </is>
      </c>
      <c r="E1122" t="inlineStr">
        <is>
          <t>ÅNGE</t>
        </is>
      </c>
      <c r="F1122" t="inlineStr">
        <is>
          <t>SCA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7526-2023</t>
        </is>
      </c>
      <c r="B1123" s="1" t="n">
        <v>44972</v>
      </c>
      <c r="C1123" s="1" t="n">
        <v>45657</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8406-2023</t>
        </is>
      </c>
      <c r="B1124" s="1" t="n">
        <v>44971</v>
      </c>
      <c r="C1124" s="1" t="n">
        <v>45657</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8418-2023</t>
        </is>
      </c>
      <c r="B1125" s="1" t="n">
        <v>44971</v>
      </c>
      <c r="C1125" s="1" t="n">
        <v>45657</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7720-2023</t>
        </is>
      </c>
      <c r="B1126" s="1" t="n">
        <v>44972</v>
      </c>
      <c r="C1126" s="1" t="n">
        <v>45657</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7723-2023</t>
        </is>
      </c>
      <c r="B1127" s="1" t="n">
        <v>44972</v>
      </c>
      <c r="C1127" s="1" t="n">
        <v>45657</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8627-2023</t>
        </is>
      </c>
      <c r="B1128" s="1" t="n">
        <v>44977</v>
      </c>
      <c r="C1128" s="1" t="n">
        <v>45657</v>
      </c>
      <c r="D1128" t="inlineStr">
        <is>
          <t>VÄSTERNORRLANDS LÄN</t>
        </is>
      </c>
      <c r="E1128" t="inlineStr">
        <is>
          <t>ÅNGE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8666-2023</t>
        </is>
      </c>
      <c r="B1129" s="1" t="n">
        <v>44977</v>
      </c>
      <c r="C1129" s="1" t="n">
        <v>45657</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8869-2023</t>
        </is>
      </c>
      <c r="B1130" s="1" t="n">
        <v>44978</v>
      </c>
      <c r="C1130" s="1" t="n">
        <v>45657</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45657</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8867-2023</t>
        </is>
      </c>
      <c r="B1132" s="1" t="n">
        <v>44978</v>
      </c>
      <c r="C1132" s="1" t="n">
        <v>45657</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9211-2023</t>
        </is>
      </c>
      <c r="B1133" s="1" t="n">
        <v>44980</v>
      </c>
      <c r="C1133" s="1" t="n">
        <v>45657</v>
      </c>
      <c r="D1133" t="inlineStr">
        <is>
          <t>VÄSTERNORRLANDS LÄN</t>
        </is>
      </c>
      <c r="E1133" t="inlineStr">
        <is>
          <t>ÅNGE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9215-2023</t>
        </is>
      </c>
      <c r="B1134" s="1" t="n">
        <v>44980</v>
      </c>
      <c r="C1134" s="1" t="n">
        <v>45657</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9861-2023</t>
        </is>
      </c>
      <c r="B1135" s="1" t="n">
        <v>44984</v>
      </c>
      <c r="C1135" s="1" t="n">
        <v>45657</v>
      </c>
      <c r="D1135" t="inlineStr">
        <is>
          <t>VÄSTERNORRLANDS LÄN</t>
        </is>
      </c>
      <c r="E1135" t="inlineStr">
        <is>
          <t>ÅNGE</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10067-2023</t>
        </is>
      </c>
      <c r="B1136" s="1" t="n">
        <v>44985</v>
      </c>
      <c r="C1136" s="1" t="n">
        <v>45657</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10071-2023</t>
        </is>
      </c>
      <c r="B1137" s="1" t="n">
        <v>44985</v>
      </c>
      <c r="C1137" s="1" t="n">
        <v>45657</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v>
      </c>
      <c r="C1138" s="1" t="n">
        <v>45657</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45657</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10068-2023</t>
        </is>
      </c>
      <c r="B1140" s="1" t="n">
        <v>44985</v>
      </c>
      <c r="C1140" s="1" t="n">
        <v>45657</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10090-2023</t>
        </is>
      </c>
      <c r="B1141" s="1" t="n">
        <v>44985</v>
      </c>
      <c r="C1141" s="1" t="n">
        <v>45657</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10070-2023</t>
        </is>
      </c>
      <c r="B1142" s="1" t="n">
        <v>44985</v>
      </c>
      <c r="C1142" s="1" t="n">
        <v>45657</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10087-2023</t>
        </is>
      </c>
      <c r="B1143" s="1" t="n">
        <v>44985</v>
      </c>
      <c r="C1143" s="1" t="n">
        <v>45657</v>
      </c>
      <c r="D1143" t="inlineStr">
        <is>
          <t>VÄSTERNORRLANDS LÄN</t>
        </is>
      </c>
      <c r="E1143" t="inlineStr">
        <is>
          <t>ÅNGE</t>
        </is>
      </c>
      <c r="F1143" t="inlineStr">
        <is>
          <t>SCA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10558-2023</t>
        </is>
      </c>
      <c r="B1144" s="1" t="n">
        <v>44987</v>
      </c>
      <c r="C1144" s="1" t="n">
        <v>45657</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45657</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10778-2023</t>
        </is>
      </c>
      <c r="B1146" s="1" t="n">
        <v>44988</v>
      </c>
      <c r="C1146" s="1" t="n">
        <v>45657</v>
      </c>
      <c r="D1146" t="inlineStr">
        <is>
          <t>VÄSTERNORRLANDS LÄN</t>
        </is>
      </c>
      <c r="E1146" t="inlineStr">
        <is>
          <t>ÅNGE</t>
        </is>
      </c>
      <c r="F1146" t="inlineStr">
        <is>
          <t>SCA</t>
        </is>
      </c>
      <c r="G1146" t="n">
        <v>46.4</v>
      </c>
      <c r="H1146" t="n">
        <v>0</v>
      </c>
      <c r="I1146" t="n">
        <v>0</v>
      </c>
      <c r="J1146" t="n">
        <v>0</v>
      </c>
      <c r="K1146" t="n">
        <v>0</v>
      </c>
      <c r="L1146" t="n">
        <v>0</v>
      </c>
      <c r="M1146" t="n">
        <v>0</v>
      </c>
      <c r="N1146" t="n">
        <v>0</v>
      </c>
      <c r="O1146" t="n">
        <v>0</v>
      </c>
      <c r="P1146" t="n">
        <v>0</v>
      </c>
      <c r="Q1146" t="n">
        <v>0</v>
      </c>
      <c r="R1146" s="2" t="inlineStr"/>
    </row>
    <row r="1147" ht="15" customHeight="1">
      <c r="A1147" t="inlineStr">
        <is>
          <t>A 11300-2023</t>
        </is>
      </c>
      <c r="B1147" s="1" t="n">
        <v>44993</v>
      </c>
      <c r="C1147" s="1" t="n">
        <v>45657</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v>
      </c>
      <c r="C1148" s="1" t="n">
        <v>45657</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11529-2023</t>
        </is>
      </c>
      <c r="B1149" s="1" t="n">
        <v>44993</v>
      </c>
      <c r="C1149" s="1" t="n">
        <v>45657</v>
      </c>
      <c r="D1149" t="inlineStr">
        <is>
          <t>VÄSTERNORRLANDS LÄN</t>
        </is>
      </c>
      <c r="E1149" t="inlineStr">
        <is>
          <t>ÅNGE</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11299-2023</t>
        </is>
      </c>
      <c r="B1150" s="1" t="n">
        <v>44993</v>
      </c>
      <c r="C1150" s="1" t="n">
        <v>45657</v>
      </c>
      <c r="D1150" t="inlineStr">
        <is>
          <t>VÄSTERNORRLANDS LÄN</t>
        </is>
      </c>
      <c r="E1150" t="inlineStr">
        <is>
          <t>ÅNGE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11310-2023</t>
        </is>
      </c>
      <c r="B1151" s="1" t="n">
        <v>44993</v>
      </c>
      <c r="C1151" s="1" t="n">
        <v>45657</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11531-2023</t>
        </is>
      </c>
      <c r="B1152" s="1" t="n">
        <v>44993</v>
      </c>
      <c r="C1152" s="1" t="n">
        <v>45657</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11532-2023</t>
        </is>
      </c>
      <c r="B1153" s="1" t="n">
        <v>44993</v>
      </c>
      <c r="C1153" s="1" t="n">
        <v>45657</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12749-2023</t>
        </is>
      </c>
      <c r="B1154" s="1" t="n">
        <v>45000</v>
      </c>
      <c r="C1154" s="1" t="n">
        <v>45657</v>
      </c>
      <c r="D1154" t="inlineStr">
        <is>
          <t>VÄSTERNORRLANDS LÄN</t>
        </is>
      </c>
      <c r="E1154" t="inlineStr">
        <is>
          <t>ÅNGE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12748-2023</t>
        </is>
      </c>
      <c r="B1155" s="1" t="n">
        <v>45000</v>
      </c>
      <c r="C1155" s="1" t="n">
        <v>45657</v>
      </c>
      <c r="D1155" t="inlineStr">
        <is>
          <t>VÄSTERNORRLANDS LÄN</t>
        </is>
      </c>
      <c r="E1155" t="inlineStr">
        <is>
          <t>ÅNGE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12742-2023</t>
        </is>
      </c>
      <c r="B1156" s="1" t="n">
        <v>45000</v>
      </c>
      <c r="C1156" s="1" t="n">
        <v>45657</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12997-2023</t>
        </is>
      </c>
      <c r="B1157" s="1" t="n">
        <v>45002</v>
      </c>
      <c r="C1157" s="1" t="n">
        <v>45657</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12987-2023</t>
        </is>
      </c>
      <c r="B1158" s="1" t="n">
        <v>45002</v>
      </c>
      <c r="C1158" s="1" t="n">
        <v>45657</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12999-2023</t>
        </is>
      </c>
      <c r="B1159" s="1" t="n">
        <v>45002</v>
      </c>
      <c r="C1159" s="1" t="n">
        <v>45657</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12998-2023</t>
        </is>
      </c>
      <c r="B1160" s="1" t="n">
        <v>45002</v>
      </c>
      <c r="C1160" s="1" t="n">
        <v>45657</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13485-2023</t>
        </is>
      </c>
      <c r="B1161" s="1" t="n">
        <v>45005</v>
      </c>
      <c r="C1161" s="1" t="n">
        <v>45657</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13491-2023</t>
        </is>
      </c>
      <c r="B1162" s="1" t="n">
        <v>45005</v>
      </c>
      <c r="C1162" s="1" t="n">
        <v>45657</v>
      </c>
      <c r="D1162" t="inlineStr">
        <is>
          <t>VÄSTERNORRLANDS LÄN</t>
        </is>
      </c>
      <c r="E1162" t="inlineStr">
        <is>
          <t>ÅNGE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13705-2023</t>
        </is>
      </c>
      <c r="B1163" s="1" t="n">
        <v>45006</v>
      </c>
      <c r="C1163" s="1" t="n">
        <v>45657</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13704-2023</t>
        </is>
      </c>
      <c r="B1164" s="1" t="n">
        <v>45006</v>
      </c>
      <c r="C1164" s="1" t="n">
        <v>45657</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13706-2023</t>
        </is>
      </c>
      <c r="B1165" s="1" t="n">
        <v>45006</v>
      </c>
      <c r="C1165" s="1" t="n">
        <v>45657</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14183-2023</t>
        </is>
      </c>
      <c r="B1166" s="1" t="n">
        <v>45009</v>
      </c>
      <c r="C1166" s="1" t="n">
        <v>45657</v>
      </c>
      <c r="D1166" t="inlineStr">
        <is>
          <t>VÄSTERNORRLANDS LÄN</t>
        </is>
      </c>
      <c r="E1166" t="inlineStr">
        <is>
          <t>ÅNGE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14257-2023</t>
        </is>
      </c>
      <c r="B1167" s="1" t="n">
        <v>45009</v>
      </c>
      <c r="C1167" s="1" t="n">
        <v>45657</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14258-2023</t>
        </is>
      </c>
      <c r="B1168" s="1" t="n">
        <v>45009</v>
      </c>
      <c r="C1168" s="1" t="n">
        <v>45657</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14260-2023</t>
        </is>
      </c>
      <c r="B1169" s="1" t="n">
        <v>45009</v>
      </c>
      <c r="C1169" s="1" t="n">
        <v>45657</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14527-2023</t>
        </is>
      </c>
      <c r="B1170" s="1" t="n">
        <v>45013</v>
      </c>
      <c r="C1170" s="1" t="n">
        <v>45657</v>
      </c>
      <c r="D1170" t="inlineStr">
        <is>
          <t>VÄSTERNORRLANDS LÄN</t>
        </is>
      </c>
      <c r="E1170" t="inlineStr">
        <is>
          <t>ÅNGE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14667-2023</t>
        </is>
      </c>
      <c r="B1171" s="1" t="n">
        <v>45013</v>
      </c>
      <c r="C1171" s="1" t="n">
        <v>45657</v>
      </c>
      <c r="D1171" t="inlineStr">
        <is>
          <t>VÄSTERNORRLANDS LÄN</t>
        </is>
      </c>
      <c r="E1171" t="inlineStr">
        <is>
          <t>ÅNGE</t>
        </is>
      </c>
      <c r="F1171" t="inlineStr">
        <is>
          <t>SCA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14676-2023</t>
        </is>
      </c>
      <c r="B1172" s="1" t="n">
        <v>45013</v>
      </c>
      <c r="C1172" s="1" t="n">
        <v>45657</v>
      </c>
      <c r="D1172" t="inlineStr">
        <is>
          <t>VÄSTERNORRLANDS LÄN</t>
        </is>
      </c>
      <c r="E1172" t="inlineStr">
        <is>
          <t>ÅNGE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14879-2023</t>
        </is>
      </c>
      <c r="B1173" s="1" t="n">
        <v>45015</v>
      </c>
      <c r="C1173" s="1" t="n">
        <v>45657</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14885-2023</t>
        </is>
      </c>
      <c r="B1174" s="1" t="n">
        <v>45015</v>
      </c>
      <c r="C1174" s="1" t="n">
        <v>45657</v>
      </c>
      <c r="D1174" t="inlineStr">
        <is>
          <t>VÄSTERNORRLANDS LÄN</t>
        </is>
      </c>
      <c r="E1174" t="inlineStr">
        <is>
          <t>ÅNGE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14870-2023</t>
        </is>
      </c>
      <c r="B1175" s="1" t="n">
        <v>45015</v>
      </c>
      <c r="C1175" s="1" t="n">
        <v>45657</v>
      </c>
      <c r="D1175" t="inlineStr">
        <is>
          <t>VÄSTERNORRLANDS LÄN</t>
        </is>
      </c>
      <c r="E1175" t="inlineStr">
        <is>
          <t>ÅNGE</t>
        </is>
      </c>
      <c r="F1175" t="inlineStr">
        <is>
          <t>SCA</t>
        </is>
      </c>
      <c r="G1175" t="n">
        <v>30.5</v>
      </c>
      <c r="H1175" t="n">
        <v>0</v>
      </c>
      <c r="I1175" t="n">
        <v>0</v>
      </c>
      <c r="J1175" t="n">
        <v>0</v>
      </c>
      <c r="K1175" t="n">
        <v>0</v>
      </c>
      <c r="L1175" t="n">
        <v>0</v>
      </c>
      <c r="M1175" t="n">
        <v>0</v>
      </c>
      <c r="N1175" t="n">
        <v>0</v>
      </c>
      <c r="O1175" t="n">
        <v>0</v>
      </c>
      <c r="P1175" t="n">
        <v>0</v>
      </c>
      <c r="Q1175" t="n">
        <v>0</v>
      </c>
      <c r="R1175" s="2" t="inlineStr"/>
    </row>
    <row r="1176" ht="15" customHeight="1">
      <c r="A1176" t="inlineStr">
        <is>
          <t>A 16192-2023</t>
        </is>
      </c>
      <c r="B1176" s="1" t="n">
        <v>45028</v>
      </c>
      <c r="C1176" s="1" t="n">
        <v>45657</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16191-2023</t>
        </is>
      </c>
      <c r="B1177" s="1" t="n">
        <v>45028</v>
      </c>
      <c r="C1177" s="1" t="n">
        <v>45657</v>
      </c>
      <c r="D1177" t="inlineStr">
        <is>
          <t>VÄSTERNORRLANDS LÄN</t>
        </is>
      </c>
      <c r="E1177" t="inlineStr">
        <is>
          <t>ÅNGE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16361-2023</t>
        </is>
      </c>
      <c r="B1178" s="1" t="n">
        <v>45029</v>
      </c>
      <c r="C1178" s="1" t="n">
        <v>45657</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16365-2023</t>
        </is>
      </c>
      <c r="B1179" s="1" t="n">
        <v>45028</v>
      </c>
      <c r="C1179" s="1" t="n">
        <v>45657</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16281-2023</t>
        </is>
      </c>
      <c r="B1180" s="1" t="n">
        <v>45028</v>
      </c>
      <c r="C1180" s="1" t="n">
        <v>45657</v>
      </c>
      <c r="D1180" t="inlineStr">
        <is>
          <t>VÄSTERNORRLANDS LÄN</t>
        </is>
      </c>
      <c r="E1180" t="inlineStr">
        <is>
          <t>ÅNGE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16362-2023</t>
        </is>
      </c>
      <c r="B1181" s="1" t="n">
        <v>45029</v>
      </c>
      <c r="C1181" s="1" t="n">
        <v>45657</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16360-2023</t>
        </is>
      </c>
      <c r="B1182" s="1" t="n">
        <v>45029</v>
      </c>
      <c r="C1182" s="1" t="n">
        <v>45657</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16378-2023</t>
        </is>
      </c>
      <c r="B1183" s="1" t="n">
        <v>45028</v>
      </c>
      <c r="C1183" s="1" t="n">
        <v>45657</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16380-2023</t>
        </is>
      </c>
      <c r="B1184" s="1" t="n">
        <v>45028</v>
      </c>
      <c r="C1184" s="1" t="n">
        <v>45657</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16571-2023</t>
        </is>
      </c>
      <c r="B1185" s="1" t="n">
        <v>45030</v>
      </c>
      <c r="C1185" s="1" t="n">
        <v>45657</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45030</v>
      </c>
      <c r="C1186" s="1" t="n">
        <v>45657</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16576-2023</t>
        </is>
      </c>
      <c r="B1187" s="1" t="n">
        <v>45030</v>
      </c>
      <c r="C1187" s="1" t="n">
        <v>45657</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16600-2023</t>
        </is>
      </c>
      <c r="B1188" s="1" t="n">
        <v>45030</v>
      </c>
      <c r="C1188" s="1" t="n">
        <v>45657</v>
      </c>
      <c r="D1188" t="inlineStr">
        <is>
          <t>VÄSTERNORRLANDS LÄN</t>
        </is>
      </c>
      <c r="E1188" t="inlineStr">
        <is>
          <t>ÅNGE</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16606-2023</t>
        </is>
      </c>
      <c r="B1189" s="1" t="n">
        <v>45030</v>
      </c>
      <c r="C1189" s="1" t="n">
        <v>45657</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16763-2023</t>
        </is>
      </c>
      <c r="B1190" s="1" t="n">
        <v>45030</v>
      </c>
      <c r="C1190" s="1" t="n">
        <v>45657</v>
      </c>
      <c r="D1190" t="inlineStr">
        <is>
          <t>VÄSTERNORRLANDS LÄN</t>
        </is>
      </c>
      <c r="E1190" t="inlineStr">
        <is>
          <t>ÅNGE</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45657</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16762-2023</t>
        </is>
      </c>
      <c r="B1192" s="1" t="n">
        <v>45030</v>
      </c>
      <c r="C1192" s="1" t="n">
        <v>45657</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16815-2023</t>
        </is>
      </c>
      <c r="B1193" s="1" t="n">
        <v>45033</v>
      </c>
      <c r="C1193" s="1" t="n">
        <v>45657</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16812-2023</t>
        </is>
      </c>
      <c r="B1194" s="1" t="n">
        <v>45033</v>
      </c>
      <c r="C1194" s="1" t="n">
        <v>45657</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16853-2023</t>
        </is>
      </c>
      <c r="B1195" s="1" t="n">
        <v>45033</v>
      </c>
      <c r="C1195" s="1" t="n">
        <v>45657</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17009-2023</t>
        </is>
      </c>
      <c r="B1196" s="1" t="n">
        <v>45034</v>
      </c>
      <c r="C1196" s="1" t="n">
        <v>45657</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17044-2023</t>
        </is>
      </c>
      <c r="B1197" s="1" t="n">
        <v>45034</v>
      </c>
      <c r="C1197" s="1" t="n">
        <v>45657</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17103-2023</t>
        </is>
      </c>
      <c r="B1198" s="1" t="n">
        <v>45034</v>
      </c>
      <c r="C1198" s="1" t="n">
        <v>45657</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17668-2023</t>
        </is>
      </c>
      <c r="B1199" s="1" t="n">
        <v>45036</v>
      </c>
      <c r="C1199" s="1" t="n">
        <v>45657</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17669-2023</t>
        </is>
      </c>
      <c r="B1200" s="1" t="n">
        <v>45037</v>
      </c>
      <c r="C1200" s="1" t="n">
        <v>45657</v>
      </c>
      <c r="D1200" t="inlineStr">
        <is>
          <t>VÄSTERNORRLANDS LÄN</t>
        </is>
      </c>
      <c r="E1200" t="inlineStr">
        <is>
          <t>ÅNGE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17670-2023</t>
        </is>
      </c>
      <c r="B1201" s="1" t="n">
        <v>45036</v>
      </c>
      <c r="C1201" s="1" t="n">
        <v>45657</v>
      </c>
      <c r="D1201" t="inlineStr">
        <is>
          <t>VÄSTERNORRLANDS LÄN</t>
        </is>
      </c>
      <c r="E1201" t="inlineStr">
        <is>
          <t>ÅNGE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17934-2023</t>
        </is>
      </c>
      <c r="B1202" s="1" t="n">
        <v>45037</v>
      </c>
      <c r="C1202" s="1" t="n">
        <v>45657</v>
      </c>
      <c r="D1202" t="inlineStr">
        <is>
          <t>VÄSTERNORRLANDS LÄN</t>
        </is>
      </c>
      <c r="E1202" t="inlineStr">
        <is>
          <t>ÅNGE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18033-2023</t>
        </is>
      </c>
      <c r="B1203" s="1" t="n">
        <v>45037</v>
      </c>
      <c r="C1203" s="1" t="n">
        <v>45657</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17860-2023</t>
        </is>
      </c>
      <c r="B1204" s="1" t="n">
        <v>45038</v>
      </c>
      <c r="C1204" s="1" t="n">
        <v>45657</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18061-2023</t>
        </is>
      </c>
      <c r="B1205" s="1" t="n">
        <v>45037</v>
      </c>
      <c r="C1205" s="1" t="n">
        <v>45657</v>
      </c>
      <c r="D1205" t="inlineStr">
        <is>
          <t>VÄSTERNORRLANDS LÄN</t>
        </is>
      </c>
      <c r="E1205" t="inlineStr">
        <is>
          <t>ÅNGE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18168-2023</t>
        </is>
      </c>
      <c r="B1206" s="1" t="n">
        <v>45040</v>
      </c>
      <c r="C1206" s="1" t="n">
        <v>45657</v>
      </c>
      <c r="D1206" t="inlineStr">
        <is>
          <t>VÄSTERNORRLANDS LÄN</t>
        </is>
      </c>
      <c r="E1206" t="inlineStr">
        <is>
          <t>ÅNGE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18169-2023</t>
        </is>
      </c>
      <c r="B1207" s="1" t="n">
        <v>45040</v>
      </c>
      <c r="C1207" s="1" t="n">
        <v>45657</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18170-2023</t>
        </is>
      </c>
      <c r="B1208" s="1" t="n">
        <v>45040</v>
      </c>
      <c r="C1208" s="1" t="n">
        <v>45657</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18305-2023</t>
        </is>
      </c>
      <c r="B1209" s="1" t="n">
        <v>45041</v>
      </c>
      <c r="C1209" s="1" t="n">
        <v>45657</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18370-2023</t>
        </is>
      </c>
      <c r="B1210" s="1" t="n">
        <v>45041</v>
      </c>
      <c r="C1210" s="1" t="n">
        <v>45657</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18487-2023</t>
        </is>
      </c>
      <c r="B1211" s="1" t="n">
        <v>45042</v>
      </c>
      <c r="C1211" s="1" t="n">
        <v>45657</v>
      </c>
      <c r="D1211" t="inlineStr">
        <is>
          <t>VÄSTERNORRLANDS LÄN</t>
        </is>
      </c>
      <c r="E1211" t="inlineStr">
        <is>
          <t>ÅNGE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18560-2023</t>
        </is>
      </c>
      <c r="B1212" s="1" t="n">
        <v>45042</v>
      </c>
      <c r="C1212" s="1" t="n">
        <v>45657</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v>
      </c>
      <c r="C1213" s="1" t="n">
        <v>45657</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19231-2023</t>
        </is>
      </c>
      <c r="B1214" s="1" t="n">
        <v>45048</v>
      </c>
      <c r="C1214" s="1" t="n">
        <v>45657</v>
      </c>
      <c r="D1214" t="inlineStr">
        <is>
          <t>VÄSTERNORRLANDS LÄN</t>
        </is>
      </c>
      <c r="E1214" t="inlineStr">
        <is>
          <t>ÅNGE</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19624-2023</t>
        </is>
      </c>
      <c r="B1215" s="1" t="n">
        <v>45051</v>
      </c>
      <c r="C1215" s="1" t="n">
        <v>45657</v>
      </c>
      <c r="D1215" t="inlineStr">
        <is>
          <t>VÄSTERNORRLANDS LÄN</t>
        </is>
      </c>
      <c r="E1215" t="inlineStr">
        <is>
          <t>ÅNGE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19622-2023</t>
        </is>
      </c>
      <c r="B1216" s="1" t="n">
        <v>45051</v>
      </c>
      <c r="C1216" s="1" t="n">
        <v>45657</v>
      </c>
      <c r="D1216" t="inlineStr">
        <is>
          <t>VÄSTERNORRLANDS LÄN</t>
        </is>
      </c>
      <c r="E1216" t="inlineStr">
        <is>
          <t>ÅNGE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19811-2023</t>
        </is>
      </c>
      <c r="B1217" s="1" t="n">
        <v>45052</v>
      </c>
      <c r="C1217" s="1" t="n">
        <v>45657</v>
      </c>
      <c r="D1217" t="inlineStr">
        <is>
          <t>VÄSTERNORRLANDS LÄN</t>
        </is>
      </c>
      <c r="E1217" t="inlineStr">
        <is>
          <t>ÅNGE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19810-2023</t>
        </is>
      </c>
      <c r="B1218" s="1" t="n">
        <v>45052</v>
      </c>
      <c r="C1218" s="1" t="n">
        <v>45657</v>
      </c>
      <c r="D1218" t="inlineStr">
        <is>
          <t>VÄSTERNORRLANDS LÄN</t>
        </is>
      </c>
      <c r="E1218" t="inlineStr">
        <is>
          <t>ÅNGE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19827-2023</t>
        </is>
      </c>
      <c r="B1219" s="1" t="n">
        <v>45052</v>
      </c>
      <c r="C1219" s="1" t="n">
        <v>45657</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20009-2023</t>
        </is>
      </c>
      <c r="B1220" s="1" t="n">
        <v>45051</v>
      </c>
      <c r="C1220" s="1" t="n">
        <v>45657</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20110-2023</t>
        </is>
      </c>
      <c r="B1221" s="1" t="n">
        <v>45051</v>
      </c>
      <c r="C1221" s="1" t="n">
        <v>45657</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20024-2023</t>
        </is>
      </c>
      <c r="B1222" s="1" t="n">
        <v>45051</v>
      </c>
      <c r="C1222" s="1" t="n">
        <v>45657</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19997-2023</t>
        </is>
      </c>
      <c r="B1223" s="1" t="n">
        <v>45054</v>
      </c>
      <c r="C1223" s="1" t="n">
        <v>45657</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20099-2023</t>
        </is>
      </c>
      <c r="B1224" s="1" t="n">
        <v>45055</v>
      </c>
      <c r="C1224" s="1" t="n">
        <v>45657</v>
      </c>
      <c r="D1224" t="inlineStr">
        <is>
          <t>VÄSTERNORRLANDS LÄN</t>
        </is>
      </c>
      <c r="E1224" t="inlineStr">
        <is>
          <t>ÅNGE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20255-2023</t>
        </is>
      </c>
      <c r="B1225" s="1" t="n">
        <v>45055</v>
      </c>
      <c r="C1225" s="1" t="n">
        <v>45657</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20256-2023</t>
        </is>
      </c>
      <c r="B1226" s="1" t="n">
        <v>45055</v>
      </c>
      <c r="C1226" s="1" t="n">
        <v>45657</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20453-2023</t>
        </is>
      </c>
      <c r="B1227" s="1" t="n">
        <v>45057</v>
      </c>
      <c r="C1227" s="1" t="n">
        <v>45657</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20627-2023</t>
        </is>
      </c>
      <c r="B1228" s="1" t="n">
        <v>45057</v>
      </c>
      <c r="C1228" s="1" t="n">
        <v>45657</v>
      </c>
      <c r="D1228" t="inlineStr">
        <is>
          <t>VÄSTERNORRLANDS LÄN</t>
        </is>
      </c>
      <c r="E1228" t="inlineStr">
        <is>
          <t>ÅNGE</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20853-2023</t>
        </is>
      </c>
      <c r="B1229" s="1" t="n">
        <v>45058</v>
      </c>
      <c r="C1229" s="1" t="n">
        <v>45657</v>
      </c>
      <c r="D1229" t="inlineStr">
        <is>
          <t>VÄSTERNORRLANDS LÄN</t>
        </is>
      </c>
      <c r="E1229" t="inlineStr">
        <is>
          <t>ÅNGE</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20881-2023</t>
        </is>
      </c>
      <c r="B1230" s="1" t="n">
        <v>45059</v>
      </c>
      <c r="C1230" s="1" t="n">
        <v>45657</v>
      </c>
      <c r="D1230" t="inlineStr">
        <is>
          <t>VÄSTERNORRLANDS LÄN</t>
        </is>
      </c>
      <c r="E1230" t="inlineStr">
        <is>
          <t>ÅNGE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20885-2023</t>
        </is>
      </c>
      <c r="B1231" s="1" t="n">
        <v>45058</v>
      </c>
      <c r="C1231" s="1" t="n">
        <v>45657</v>
      </c>
      <c r="D1231" t="inlineStr">
        <is>
          <t>VÄSTERNORRLANDS LÄN</t>
        </is>
      </c>
      <c r="E1231" t="inlineStr">
        <is>
          <t>ÅNGE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20883-2023</t>
        </is>
      </c>
      <c r="B1232" s="1" t="n">
        <v>45059</v>
      </c>
      <c r="C1232" s="1" t="n">
        <v>45657</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20890-2023</t>
        </is>
      </c>
      <c r="B1233" s="1" t="n">
        <v>45058</v>
      </c>
      <c r="C1233" s="1" t="n">
        <v>45657</v>
      </c>
      <c r="D1233" t="inlineStr">
        <is>
          <t>VÄSTERNORRLANDS LÄN</t>
        </is>
      </c>
      <c r="E1233" t="inlineStr">
        <is>
          <t>ÅNGE</t>
        </is>
      </c>
      <c r="F1233" t="inlineStr">
        <is>
          <t>SCA</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20884-2023</t>
        </is>
      </c>
      <c r="B1234" s="1" t="n">
        <v>45059</v>
      </c>
      <c r="C1234" s="1" t="n">
        <v>45657</v>
      </c>
      <c r="D1234" t="inlineStr">
        <is>
          <t>VÄSTERNORRLANDS LÄN</t>
        </is>
      </c>
      <c r="E1234" t="inlineStr">
        <is>
          <t>ÅNGE</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21354-2023</t>
        </is>
      </c>
      <c r="B1235" s="1" t="n">
        <v>45063</v>
      </c>
      <c r="C1235" s="1" t="n">
        <v>45657</v>
      </c>
      <c r="D1235" t="inlineStr">
        <is>
          <t>VÄSTERNORRLANDS LÄN</t>
        </is>
      </c>
      <c r="E1235" t="inlineStr">
        <is>
          <t>ÅNGE</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21352-2023</t>
        </is>
      </c>
      <c r="B1236" s="1" t="n">
        <v>45062</v>
      </c>
      <c r="C1236" s="1" t="n">
        <v>45657</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21355-2023</t>
        </is>
      </c>
      <c r="B1237" s="1" t="n">
        <v>45063</v>
      </c>
      <c r="C1237" s="1" t="n">
        <v>45657</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21694-2023</t>
        </is>
      </c>
      <c r="B1238" s="1" t="n">
        <v>45063</v>
      </c>
      <c r="C1238" s="1" t="n">
        <v>45657</v>
      </c>
      <c r="D1238" t="inlineStr">
        <is>
          <t>VÄSTERNORRLANDS LÄN</t>
        </is>
      </c>
      <c r="E1238" t="inlineStr">
        <is>
          <t>ÅNGE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21681-2023</t>
        </is>
      </c>
      <c r="B1239" s="1" t="n">
        <v>45064</v>
      </c>
      <c r="C1239" s="1" t="n">
        <v>45657</v>
      </c>
      <c r="D1239" t="inlineStr">
        <is>
          <t>VÄSTERNORRLANDS LÄN</t>
        </is>
      </c>
      <c r="E1239" t="inlineStr">
        <is>
          <t>ÅNGE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21691-2023</t>
        </is>
      </c>
      <c r="B1240" s="1" t="n">
        <v>45063</v>
      </c>
      <c r="C1240" s="1" t="n">
        <v>45657</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21695-2023</t>
        </is>
      </c>
      <c r="B1241" s="1" t="n">
        <v>45063</v>
      </c>
      <c r="C1241" s="1" t="n">
        <v>45657</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21668-2023</t>
        </is>
      </c>
      <c r="B1242" s="1" t="n">
        <v>45064</v>
      </c>
      <c r="C1242" s="1" t="n">
        <v>45657</v>
      </c>
      <c r="D1242" t="inlineStr">
        <is>
          <t>VÄSTERNORRLANDS LÄN</t>
        </is>
      </c>
      <c r="E1242" t="inlineStr">
        <is>
          <t>ÅNGE</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21692-2023</t>
        </is>
      </c>
      <c r="B1243" s="1" t="n">
        <v>45063</v>
      </c>
      <c r="C1243" s="1" t="n">
        <v>45657</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21680-2023</t>
        </is>
      </c>
      <c r="B1244" s="1" t="n">
        <v>45064</v>
      </c>
      <c r="C1244" s="1" t="n">
        <v>45657</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21693-2023</t>
        </is>
      </c>
      <c r="B1245" s="1" t="n">
        <v>45063</v>
      </c>
      <c r="C1245" s="1" t="n">
        <v>45657</v>
      </c>
      <c r="D1245" t="inlineStr">
        <is>
          <t>VÄSTERNORRLANDS LÄN</t>
        </is>
      </c>
      <c r="E1245" t="inlineStr">
        <is>
          <t>ÅNGE</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22005-2023</t>
        </is>
      </c>
      <c r="B1246" s="1" t="n">
        <v>45069</v>
      </c>
      <c r="C1246" s="1" t="n">
        <v>45657</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22013-2023</t>
        </is>
      </c>
      <c r="B1247" s="1" t="n">
        <v>45069</v>
      </c>
      <c r="C1247" s="1" t="n">
        <v>45657</v>
      </c>
      <c r="D1247" t="inlineStr">
        <is>
          <t>VÄSTERNORRLANDS LÄN</t>
        </is>
      </c>
      <c r="E1247" t="inlineStr">
        <is>
          <t>ÅNGE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22248-2023</t>
        </is>
      </c>
      <c r="B1248" s="1" t="n">
        <v>45070</v>
      </c>
      <c r="C1248" s="1" t="n">
        <v>45657</v>
      </c>
      <c r="D1248" t="inlineStr">
        <is>
          <t>VÄSTERNORRLANDS LÄN</t>
        </is>
      </c>
      <c r="E1248" t="inlineStr">
        <is>
          <t>ÅNGE</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22411-2023</t>
        </is>
      </c>
      <c r="B1249" s="1" t="n">
        <v>45070</v>
      </c>
      <c r="C1249" s="1" t="n">
        <v>45657</v>
      </c>
      <c r="D1249" t="inlineStr">
        <is>
          <t>VÄSTERNORRLANDS LÄN</t>
        </is>
      </c>
      <c r="E1249" t="inlineStr">
        <is>
          <t>ÅNGE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22740-2023</t>
        </is>
      </c>
      <c r="B1250" s="1" t="n">
        <v>45072</v>
      </c>
      <c r="C1250" s="1" t="n">
        <v>45657</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22755-2023</t>
        </is>
      </c>
      <c r="B1251" s="1" t="n">
        <v>45072</v>
      </c>
      <c r="C1251" s="1" t="n">
        <v>45657</v>
      </c>
      <c r="D1251" t="inlineStr">
        <is>
          <t>VÄSTERNORRLANDS LÄN</t>
        </is>
      </c>
      <c r="E1251" t="inlineStr">
        <is>
          <t>ÅNGE</t>
        </is>
      </c>
      <c r="F1251" t="inlineStr">
        <is>
          <t>SCA</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22752-2023</t>
        </is>
      </c>
      <c r="B1252" s="1" t="n">
        <v>45072</v>
      </c>
      <c r="C1252" s="1" t="n">
        <v>45657</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22756-2023</t>
        </is>
      </c>
      <c r="B1253" s="1" t="n">
        <v>45072</v>
      </c>
      <c r="C1253" s="1" t="n">
        <v>45657</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22753-2023</t>
        </is>
      </c>
      <c r="B1254" s="1" t="n">
        <v>45072</v>
      </c>
      <c r="C1254" s="1" t="n">
        <v>45657</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22987-2023</t>
        </is>
      </c>
      <c r="B1255" s="1" t="n">
        <v>45072</v>
      </c>
      <c r="C1255" s="1" t="n">
        <v>45657</v>
      </c>
      <c r="D1255" t="inlineStr">
        <is>
          <t>VÄSTERNORRLANDS LÄN</t>
        </is>
      </c>
      <c r="E1255" t="inlineStr">
        <is>
          <t>ÅNGE</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22997-2023</t>
        </is>
      </c>
      <c r="B1256" s="1" t="n">
        <v>45073</v>
      </c>
      <c r="C1256" s="1" t="n">
        <v>45657</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23308-2023</t>
        </is>
      </c>
      <c r="B1257" s="1" t="n">
        <v>45075</v>
      </c>
      <c r="C1257" s="1" t="n">
        <v>45657</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23307-2023</t>
        </is>
      </c>
      <c r="B1258" s="1" t="n">
        <v>45075</v>
      </c>
      <c r="C1258" s="1" t="n">
        <v>45657</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23520-2023</t>
        </is>
      </c>
      <c r="B1259" s="1" t="n">
        <v>45077</v>
      </c>
      <c r="C1259" s="1" t="n">
        <v>45657</v>
      </c>
      <c r="D1259" t="inlineStr">
        <is>
          <t>VÄSTERNORRLANDS LÄN</t>
        </is>
      </c>
      <c r="E1259" t="inlineStr">
        <is>
          <t>ÅNGE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23671-2023</t>
        </is>
      </c>
      <c r="B1260" s="1" t="n">
        <v>45077</v>
      </c>
      <c r="C1260" s="1" t="n">
        <v>45657</v>
      </c>
      <c r="D1260" t="inlineStr">
        <is>
          <t>VÄSTERNORRLANDS LÄN</t>
        </is>
      </c>
      <c r="E1260" t="inlineStr">
        <is>
          <t>ÅNGE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23746-2023</t>
        </is>
      </c>
      <c r="B1261" s="1" t="n">
        <v>45077</v>
      </c>
      <c r="C1261" s="1" t="n">
        <v>45657</v>
      </c>
      <c r="D1261" t="inlineStr">
        <is>
          <t>VÄSTERNORRLANDS LÄN</t>
        </is>
      </c>
      <c r="E1261" t="inlineStr">
        <is>
          <t>ÅNGE</t>
        </is>
      </c>
      <c r="F1261" t="inlineStr">
        <is>
          <t>Holmen skog AB</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24037-2023</t>
        </is>
      </c>
      <c r="B1262" s="1" t="n">
        <v>45078</v>
      </c>
      <c r="C1262" s="1" t="n">
        <v>45657</v>
      </c>
      <c r="D1262" t="inlineStr">
        <is>
          <t>VÄSTERNORRLANDS LÄN</t>
        </is>
      </c>
      <c r="E1262" t="inlineStr">
        <is>
          <t>ÅNGE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24058-2023</t>
        </is>
      </c>
      <c r="B1263" s="1" t="n">
        <v>45079</v>
      </c>
      <c r="C1263" s="1" t="n">
        <v>45657</v>
      </c>
      <c r="D1263" t="inlineStr">
        <is>
          <t>VÄSTERNORRLANDS LÄN</t>
        </is>
      </c>
      <c r="E1263" t="inlineStr">
        <is>
          <t>ÅNGE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24060-2023</t>
        </is>
      </c>
      <c r="B1264" s="1" t="n">
        <v>45079</v>
      </c>
      <c r="C1264" s="1" t="n">
        <v>45657</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24061-2023</t>
        </is>
      </c>
      <c r="B1265" s="1" t="n">
        <v>45079</v>
      </c>
      <c r="C1265" s="1" t="n">
        <v>45657</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24059-2023</t>
        </is>
      </c>
      <c r="B1266" s="1" t="n">
        <v>45079</v>
      </c>
      <c r="C1266" s="1" t="n">
        <v>45657</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24063-2023</t>
        </is>
      </c>
      <c r="B1267" s="1" t="n">
        <v>45079</v>
      </c>
      <c r="C1267" s="1" t="n">
        <v>45657</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24062-2023</t>
        </is>
      </c>
      <c r="B1268" s="1" t="n">
        <v>45079</v>
      </c>
      <c r="C1268" s="1" t="n">
        <v>45657</v>
      </c>
      <c r="D1268" t="inlineStr">
        <is>
          <t>VÄSTERNORRLANDS LÄN</t>
        </is>
      </c>
      <c r="E1268" t="inlineStr">
        <is>
          <t>ÅNGE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24066-2023</t>
        </is>
      </c>
      <c r="B1269" s="1" t="n">
        <v>45078</v>
      </c>
      <c r="C1269" s="1" t="n">
        <v>45657</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24064-2023</t>
        </is>
      </c>
      <c r="B1270" s="1" t="n">
        <v>45078</v>
      </c>
      <c r="C1270" s="1" t="n">
        <v>45657</v>
      </c>
      <c r="D1270" t="inlineStr">
        <is>
          <t>VÄSTERNORRLANDS LÄN</t>
        </is>
      </c>
      <c r="E1270" t="inlineStr">
        <is>
          <t>ÅNGE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24068-2023</t>
        </is>
      </c>
      <c r="B1271" s="1" t="n">
        <v>45078</v>
      </c>
      <c r="C1271" s="1" t="n">
        <v>45657</v>
      </c>
      <c r="D1271" t="inlineStr">
        <is>
          <t>VÄSTERNORRLANDS LÄN</t>
        </is>
      </c>
      <c r="E1271" t="inlineStr">
        <is>
          <t>ÅNGE</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24995-2023</t>
        </is>
      </c>
      <c r="B1272" s="1" t="n">
        <v>45078</v>
      </c>
      <c r="C1272" s="1" t="n">
        <v>45657</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24971-2023</t>
        </is>
      </c>
      <c r="B1273" s="1" t="n">
        <v>45078</v>
      </c>
      <c r="C1273" s="1" t="n">
        <v>45657</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24290-2023</t>
        </is>
      </c>
      <c r="B1274" s="1" t="n">
        <v>45080</v>
      </c>
      <c r="C1274" s="1" t="n">
        <v>45657</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24293-2023</t>
        </is>
      </c>
      <c r="B1275" s="1" t="n">
        <v>45080</v>
      </c>
      <c r="C1275" s="1" t="n">
        <v>45657</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25266-2023</t>
        </is>
      </c>
      <c r="B1276" s="1" t="n">
        <v>45079</v>
      </c>
      <c r="C1276" s="1" t="n">
        <v>45657</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24552-2023</t>
        </is>
      </c>
      <c r="B1277" s="1" t="n">
        <v>45083</v>
      </c>
      <c r="C1277" s="1" t="n">
        <v>45657</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24554-2023</t>
        </is>
      </c>
      <c r="B1278" s="1" t="n">
        <v>45083</v>
      </c>
      <c r="C1278" s="1" t="n">
        <v>45657</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24541-2023</t>
        </is>
      </c>
      <c r="B1279" s="1" t="n">
        <v>45083</v>
      </c>
      <c r="C1279" s="1" t="n">
        <v>45657</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24553-2023</t>
        </is>
      </c>
      <c r="B1280" s="1" t="n">
        <v>45083</v>
      </c>
      <c r="C1280" s="1" t="n">
        <v>45657</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24614-2023</t>
        </is>
      </c>
      <c r="B1281" s="1" t="n">
        <v>45084</v>
      </c>
      <c r="C1281" s="1" t="n">
        <v>45657</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24817-2023</t>
        </is>
      </c>
      <c r="B1282" s="1" t="n">
        <v>45084</v>
      </c>
      <c r="C1282" s="1" t="n">
        <v>45657</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24904-2023</t>
        </is>
      </c>
      <c r="B1283" s="1" t="n">
        <v>45085</v>
      </c>
      <c r="C1283" s="1" t="n">
        <v>45657</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25035-2023</t>
        </is>
      </c>
      <c r="B1284" s="1" t="n">
        <v>45085</v>
      </c>
      <c r="C1284" s="1" t="n">
        <v>45657</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25047-2023</t>
        </is>
      </c>
      <c r="B1285" s="1" t="n">
        <v>45086</v>
      </c>
      <c r="C1285" s="1" t="n">
        <v>45657</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25063-2023</t>
        </is>
      </c>
      <c r="B1286" s="1" t="n">
        <v>45086</v>
      </c>
      <c r="C1286" s="1" t="n">
        <v>45657</v>
      </c>
      <c r="D1286" t="inlineStr">
        <is>
          <t>VÄSTERNORRLANDS LÄN</t>
        </is>
      </c>
      <c r="E1286" t="inlineStr">
        <is>
          <t>ÅNGE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25034-2023</t>
        </is>
      </c>
      <c r="B1287" s="1" t="n">
        <v>45085</v>
      </c>
      <c r="C1287" s="1" t="n">
        <v>45657</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25311-2023</t>
        </is>
      </c>
      <c r="B1288" s="1" t="n">
        <v>45087</v>
      </c>
      <c r="C1288" s="1" t="n">
        <v>45657</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25320-2023</t>
        </is>
      </c>
      <c r="B1289" s="1" t="n">
        <v>45087</v>
      </c>
      <c r="C1289" s="1" t="n">
        <v>45657</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25324-2023</t>
        </is>
      </c>
      <c r="B1290" s="1" t="n">
        <v>45087</v>
      </c>
      <c r="C1290" s="1" t="n">
        <v>45657</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25312-2023</t>
        </is>
      </c>
      <c r="B1291" s="1" t="n">
        <v>45087</v>
      </c>
      <c r="C1291" s="1" t="n">
        <v>45657</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25321-2023</t>
        </is>
      </c>
      <c r="B1292" s="1" t="n">
        <v>45087</v>
      </c>
      <c r="C1292" s="1" t="n">
        <v>45657</v>
      </c>
      <c r="D1292" t="inlineStr">
        <is>
          <t>VÄSTERNORRLANDS LÄN</t>
        </is>
      </c>
      <c r="E1292" t="inlineStr">
        <is>
          <t>ÅNGE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25325-2023</t>
        </is>
      </c>
      <c r="B1293" s="1" t="n">
        <v>45087</v>
      </c>
      <c r="C1293" s="1" t="n">
        <v>45657</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25680-2023</t>
        </is>
      </c>
      <c r="B1294" s="1" t="n">
        <v>45089</v>
      </c>
      <c r="C1294" s="1" t="n">
        <v>45657</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25779-2023</t>
        </is>
      </c>
      <c r="B1295" s="1" t="n">
        <v>45090</v>
      </c>
      <c r="C1295" s="1" t="n">
        <v>45657</v>
      </c>
      <c r="D1295" t="inlineStr">
        <is>
          <t>VÄSTERNORRLANDS LÄN</t>
        </is>
      </c>
      <c r="E1295" t="inlineStr">
        <is>
          <t>ÅNGE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25771-2023</t>
        </is>
      </c>
      <c r="B1296" s="1" t="n">
        <v>45090</v>
      </c>
      <c r="C1296" s="1" t="n">
        <v>45657</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26014-2023</t>
        </is>
      </c>
      <c r="B1297" s="1" t="n">
        <v>45091</v>
      </c>
      <c r="C1297" s="1" t="n">
        <v>45657</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26371-2023</t>
        </is>
      </c>
      <c r="B1298" s="1" t="n">
        <v>45092</v>
      </c>
      <c r="C1298" s="1" t="n">
        <v>45657</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26365-2023</t>
        </is>
      </c>
      <c r="B1299" s="1" t="n">
        <v>45092</v>
      </c>
      <c r="C1299" s="1" t="n">
        <v>45657</v>
      </c>
      <c r="D1299" t="inlineStr">
        <is>
          <t>VÄSTERNORRLANDS LÄN</t>
        </is>
      </c>
      <c r="E1299" t="inlineStr">
        <is>
          <t>ÅNGE</t>
        </is>
      </c>
      <c r="F1299" t="inlineStr">
        <is>
          <t>SCA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26364-2023</t>
        </is>
      </c>
      <c r="B1300" s="1" t="n">
        <v>45092</v>
      </c>
      <c r="C1300" s="1" t="n">
        <v>45657</v>
      </c>
      <c r="D1300" t="inlineStr">
        <is>
          <t>VÄSTERNORRLANDS LÄN</t>
        </is>
      </c>
      <c r="E1300" t="inlineStr">
        <is>
          <t>ÅNGE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26360-2023</t>
        </is>
      </c>
      <c r="B1301" s="1" t="n">
        <v>45092</v>
      </c>
      <c r="C1301" s="1" t="n">
        <v>45657</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26513-2023</t>
        </is>
      </c>
      <c r="B1302" s="1" t="n">
        <v>45092</v>
      </c>
      <c r="C1302" s="1" t="n">
        <v>45657</v>
      </c>
      <c r="D1302" t="inlineStr">
        <is>
          <t>VÄSTERNORRLANDS LÄN</t>
        </is>
      </c>
      <c r="E1302" t="inlineStr">
        <is>
          <t>ÅNGE</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27260-2023</t>
        </is>
      </c>
      <c r="B1303" s="1" t="n">
        <v>45092</v>
      </c>
      <c r="C1303" s="1" t="n">
        <v>45657</v>
      </c>
      <c r="D1303" t="inlineStr">
        <is>
          <t>VÄSTERNORRLANDS LÄN</t>
        </is>
      </c>
      <c r="E1303" t="inlineStr">
        <is>
          <t>ÅNGE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26898-2023</t>
        </is>
      </c>
      <c r="B1304" s="1" t="n">
        <v>45093</v>
      </c>
      <c r="C1304" s="1" t="n">
        <v>45657</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26865-2023</t>
        </is>
      </c>
      <c r="B1305" s="1" t="n">
        <v>45093</v>
      </c>
      <c r="C1305" s="1" t="n">
        <v>45657</v>
      </c>
      <c r="D1305" t="inlineStr">
        <is>
          <t>VÄSTERNORRLANDS LÄN</t>
        </is>
      </c>
      <c r="E1305" t="inlineStr">
        <is>
          <t>ÅNGE</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27002-2023</t>
        </is>
      </c>
      <c r="B1306" s="1" t="n">
        <v>45093</v>
      </c>
      <c r="C1306" s="1" t="n">
        <v>45657</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27016-2023</t>
        </is>
      </c>
      <c r="B1307" s="1" t="n">
        <v>45094</v>
      </c>
      <c r="C1307" s="1" t="n">
        <v>45657</v>
      </c>
      <c r="D1307" t="inlineStr">
        <is>
          <t>VÄSTERNORRLANDS LÄN</t>
        </is>
      </c>
      <c r="E1307" t="inlineStr">
        <is>
          <t>ÅNGE</t>
        </is>
      </c>
      <c r="F1307" t="inlineStr">
        <is>
          <t>Holmen skog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27356-2023</t>
        </is>
      </c>
      <c r="B1308" s="1" t="n">
        <v>45097</v>
      </c>
      <c r="C1308" s="1" t="n">
        <v>45657</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27645-2023</t>
        </is>
      </c>
      <c r="B1309" s="1" t="n">
        <v>45097</v>
      </c>
      <c r="C1309" s="1" t="n">
        <v>45657</v>
      </c>
      <c r="D1309" t="inlineStr">
        <is>
          <t>VÄSTERNORRLANDS LÄN</t>
        </is>
      </c>
      <c r="E1309" t="inlineStr">
        <is>
          <t>ÅNGE</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27682-2023</t>
        </is>
      </c>
      <c r="B1310" s="1" t="n">
        <v>45098</v>
      </c>
      <c r="C1310" s="1" t="n">
        <v>45657</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28367-2023</t>
        </is>
      </c>
      <c r="B1311" s="1" t="n">
        <v>45099</v>
      </c>
      <c r="C1311" s="1" t="n">
        <v>45657</v>
      </c>
      <c r="D1311" t="inlineStr">
        <is>
          <t>VÄSTERNORRLANDS LÄN</t>
        </is>
      </c>
      <c r="E1311" t="inlineStr">
        <is>
          <t>ÅNGE</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30273-2023</t>
        </is>
      </c>
      <c r="B1312" s="1" t="n">
        <v>45099</v>
      </c>
      <c r="C1312" s="1" t="n">
        <v>45657</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28427-2023</t>
        </is>
      </c>
      <c r="B1313" s="1" t="n">
        <v>45102</v>
      </c>
      <c r="C1313" s="1" t="n">
        <v>45657</v>
      </c>
      <c r="D1313" t="inlineStr">
        <is>
          <t>VÄSTERNORRLANDS LÄN</t>
        </is>
      </c>
      <c r="E1313" t="inlineStr">
        <is>
          <t>ÅNGE</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28435-2023</t>
        </is>
      </c>
      <c r="B1314" s="1" t="n">
        <v>45102</v>
      </c>
      <c r="C1314" s="1" t="n">
        <v>45657</v>
      </c>
      <c r="D1314" t="inlineStr">
        <is>
          <t>VÄSTERNORRLANDS LÄN</t>
        </is>
      </c>
      <c r="E1314" t="inlineStr">
        <is>
          <t>ÅNGE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28428-2023</t>
        </is>
      </c>
      <c r="B1315" s="1" t="n">
        <v>45102</v>
      </c>
      <c r="C1315" s="1" t="n">
        <v>45657</v>
      </c>
      <c r="D1315" t="inlineStr">
        <is>
          <t>VÄSTERNORRLANDS LÄN</t>
        </is>
      </c>
      <c r="E1315" t="inlineStr">
        <is>
          <t>ÅNGE</t>
        </is>
      </c>
      <c r="F1315" t="inlineStr">
        <is>
          <t>Kyrkan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28699-2023</t>
        </is>
      </c>
      <c r="B1316" s="1" t="n">
        <v>45103</v>
      </c>
      <c r="C1316" s="1" t="n">
        <v>45657</v>
      </c>
      <c r="D1316" t="inlineStr">
        <is>
          <t>VÄSTERNORRLANDS LÄN</t>
        </is>
      </c>
      <c r="E1316" t="inlineStr">
        <is>
          <t>ÅNGE</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28707-2023</t>
        </is>
      </c>
      <c r="B1317" s="1" t="n">
        <v>45103</v>
      </c>
      <c r="C1317" s="1" t="n">
        <v>45657</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28784-2023</t>
        </is>
      </c>
      <c r="B1318" s="1" t="n">
        <v>45104</v>
      </c>
      <c r="C1318" s="1" t="n">
        <v>45657</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28779-2023</t>
        </is>
      </c>
      <c r="B1319" s="1" t="n">
        <v>45104</v>
      </c>
      <c r="C1319" s="1" t="n">
        <v>45657</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28821-2023</t>
        </is>
      </c>
      <c r="B1320" s="1" t="n">
        <v>45104</v>
      </c>
      <c r="C1320" s="1" t="n">
        <v>45657</v>
      </c>
      <c r="D1320" t="inlineStr">
        <is>
          <t>VÄSTERNORRLANDS LÄN</t>
        </is>
      </c>
      <c r="E1320" t="inlineStr">
        <is>
          <t>ÅNGE</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29063-2023</t>
        </is>
      </c>
      <c r="B1321" s="1" t="n">
        <v>45105</v>
      </c>
      <c r="C1321" s="1" t="n">
        <v>45657</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29321-2023</t>
        </is>
      </c>
      <c r="B1322" s="1" t="n">
        <v>45106</v>
      </c>
      <c r="C1322" s="1" t="n">
        <v>45657</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29330-2023</t>
        </is>
      </c>
      <c r="B1323" s="1" t="n">
        <v>45105</v>
      </c>
      <c r="C1323" s="1" t="n">
        <v>45657</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29342-2023</t>
        </is>
      </c>
      <c r="B1324" s="1" t="n">
        <v>45105</v>
      </c>
      <c r="C1324" s="1" t="n">
        <v>45657</v>
      </c>
      <c r="D1324" t="inlineStr">
        <is>
          <t>VÄSTERNORRLANDS LÄN</t>
        </is>
      </c>
      <c r="E1324" t="inlineStr">
        <is>
          <t>ÅNGE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29320-2023</t>
        </is>
      </c>
      <c r="B1325" s="1" t="n">
        <v>45106</v>
      </c>
      <c r="C1325" s="1" t="n">
        <v>45657</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29331-2023</t>
        </is>
      </c>
      <c r="B1326" s="1" t="n">
        <v>45105</v>
      </c>
      <c r="C1326" s="1" t="n">
        <v>45657</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29395-2023</t>
        </is>
      </c>
      <c r="B1327" s="1" t="n">
        <v>45106</v>
      </c>
      <c r="C1327" s="1" t="n">
        <v>45657</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29610-2023</t>
        </is>
      </c>
      <c r="B1328" s="1" t="n">
        <v>45106</v>
      </c>
      <c r="C1328" s="1" t="n">
        <v>45657</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29618-2023</t>
        </is>
      </c>
      <c r="B1329" s="1" t="n">
        <v>45107</v>
      </c>
      <c r="C1329" s="1" t="n">
        <v>45657</v>
      </c>
      <c r="D1329" t="inlineStr">
        <is>
          <t>VÄSTERNORRLANDS LÄN</t>
        </is>
      </c>
      <c r="E1329" t="inlineStr">
        <is>
          <t>ÅNGE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29609-2023</t>
        </is>
      </c>
      <c r="B1330" s="1" t="n">
        <v>45107</v>
      </c>
      <c r="C1330" s="1" t="n">
        <v>45657</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29945-2023</t>
        </is>
      </c>
      <c r="B1331" s="1" t="n">
        <v>45108</v>
      </c>
      <c r="C1331" s="1" t="n">
        <v>45657</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32069-2023</t>
        </is>
      </c>
      <c r="B1332" s="1" t="n">
        <v>45107</v>
      </c>
      <c r="C1332" s="1" t="n">
        <v>45657</v>
      </c>
      <c r="D1332" t="inlineStr">
        <is>
          <t>VÄSTERNORRLANDS LÄN</t>
        </is>
      </c>
      <c r="E1332" t="inlineStr">
        <is>
          <t>ÅNGE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30304-2023</t>
        </is>
      </c>
      <c r="B1333" s="1" t="n">
        <v>45111</v>
      </c>
      <c r="C1333" s="1" t="n">
        <v>45657</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30303-2023</t>
        </is>
      </c>
      <c r="B1334" s="1" t="n">
        <v>45111</v>
      </c>
      <c r="C1334" s="1" t="n">
        <v>45657</v>
      </c>
      <c r="D1334" t="inlineStr">
        <is>
          <t>VÄSTERNORRLANDS LÄN</t>
        </is>
      </c>
      <c r="E1334" t="inlineStr">
        <is>
          <t>ÅNGE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30556-2023</t>
        </is>
      </c>
      <c r="B1335" s="1" t="n">
        <v>45111</v>
      </c>
      <c r="C1335" s="1" t="n">
        <v>45657</v>
      </c>
      <c r="D1335" t="inlineStr">
        <is>
          <t>VÄSTERNORRLANDS LÄN</t>
        </is>
      </c>
      <c r="E1335" t="inlineStr">
        <is>
          <t>ÅNGE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30558-2023</t>
        </is>
      </c>
      <c r="B1336" s="1" t="n">
        <v>45111</v>
      </c>
      <c r="C1336" s="1" t="n">
        <v>45657</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30817-2023</t>
        </is>
      </c>
      <c r="B1337" s="1" t="n">
        <v>45112</v>
      </c>
      <c r="C1337" s="1" t="n">
        <v>45657</v>
      </c>
      <c r="D1337" t="inlineStr">
        <is>
          <t>VÄSTERNORRLANDS LÄN</t>
        </is>
      </c>
      <c r="E1337" t="inlineStr">
        <is>
          <t>ÅNGE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30853-2023</t>
        </is>
      </c>
      <c r="B1338" s="1" t="n">
        <v>45113</v>
      </c>
      <c r="C1338" s="1" t="n">
        <v>45657</v>
      </c>
      <c r="D1338" t="inlineStr">
        <is>
          <t>VÄSTERNORRLANDS LÄN</t>
        </is>
      </c>
      <c r="E1338" t="inlineStr">
        <is>
          <t>ÅNGE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30844-2023</t>
        </is>
      </c>
      <c r="B1339" s="1" t="n">
        <v>45112</v>
      </c>
      <c r="C1339" s="1" t="n">
        <v>45657</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30852-2023</t>
        </is>
      </c>
      <c r="B1340" s="1" t="n">
        <v>45113</v>
      </c>
      <c r="C1340" s="1" t="n">
        <v>45657</v>
      </c>
      <c r="D1340" t="inlineStr">
        <is>
          <t>VÄSTERNORRLANDS LÄN</t>
        </is>
      </c>
      <c r="E1340" t="inlineStr">
        <is>
          <t>ÅNGE</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31224-2023</t>
        </is>
      </c>
      <c r="B1341" s="1" t="n">
        <v>45114</v>
      </c>
      <c r="C1341" s="1" t="n">
        <v>45657</v>
      </c>
      <c r="D1341" t="inlineStr">
        <is>
          <t>VÄSTERNORRLANDS LÄN</t>
        </is>
      </c>
      <c r="E1341" t="inlineStr">
        <is>
          <t>ÅNGE</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31225-2023</t>
        </is>
      </c>
      <c r="B1342" s="1" t="n">
        <v>45114</v>
      </c>
      <c r="C1342" s="1" t="n">
        <v>45657</v>
      </c>
      <c r="D1342" t="inlineStr">
        <is>
          <t>VÄSTERNORRLANDS LÄN</t>
        </is>
      </c>
      <c r="E1342" t="inlineStr">
        <is>
          <t>ÅNGE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31229-2023</t>
        </is>
      </c>
      <c r="B1343" s="1" t="n">
        <v>45114</v>
      </c>
      <c r="C1343" s="1" t="n">
        <v>45657</v>
      </c>
      <c r="D1343" t="inlineStr">
        <is>
          <t>VÄSTERNORRLANDS LÄN</t>
        </is>
      </c>
      <c r="E1343" t="inlineStr">
        <is>
          <t>ÅNGE</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31740-2023</t>
        </is>
      </c>
      <c r="B1344" s="1" t="n">
        <v>45118</v>
      </c>
      <c r="C1344" s="1" t="n">
        <v>45657</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31735-2023</t>
        </is>
      </c>
      <c r="B1345" s="1" t="n">
        <v>45117</v>
      </c>
      <c r="C1345" s="1" t="n">
        <v>45657</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32227-2023</t>
        </is>
      </c>
      <c r="B1346" s="1" t="n">
        <v>45120</v>
      </c>
      <c r="C1346" s="1" t="n">
        <v>45657</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32587-2023</t>
        </is>
      </c>
      <c r="B1347" s="1" t="n">
        <v>45121</v>
      </c>
      <c r="C1347" s="1" t="n">
        <v>45657</v>
      </c>
      <c r="D1347" t="inlineStr">
        <is>
          <t>VÄSTERNORRLANDS LÄN</t>
        </is>
      </c>
      <c r="E1347" t="inlineStr">
        <is>
          <t>ÅNGE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32901-2023</t>
        </is>
      </c>
      <c r="B1348" s="1" t="n">
        <v>45125</v>
      </c>
      <c r="C1348" s="1" t="n">
        <v>45657</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33429-2023</t>
        </is>
      </c>
      <c r="B1349" s="1" t="n">
        <v>45129</v>
      </c>
      <c r="C1349" s="1" t="n">
        <v>45657</v>
      </c>
      <c r="D1349" t="inlineStr">
        <is>
          <t>VÄSTERNORRLANDS LÄN</t>
        </is>
      </c>
      <c r="E1349" t="inlineStr">
        <is>
          <t>ÅNGE</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33428-2023</t>
        </is>
      </c>
      <c r="B1350" s="1" t="n">
        <v>45129</v>
      </c>
      <c r="C1350" s="1" t="n">
        <v>45657</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33586-2023</t>
        </is>
      </c>
      <c r="B1351" s="1" t="n">
        <v>45132</v>
      </c>
      <c r="C1351" s="1" t="n">
        <v>45657</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33587-2023</t>
        </is>
      </c>
      <c r="B1352" s="1" t="n">
        <v>45132</v>
      </c>
      <c r="C1352" s="1" t="n">
        <v>45657</v>
      </c>
      <c r="D1352" t="inlineStr">
        <is>
          <t>VÄSTERNORRLANDS LÄN</t>
        </is>
      </c>
      <c r="E1352" t="inlineStr">
        <is>
          <t>ÅNGE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34355-2023</t>
        </is>
      </c>
      <c r="B1353" s="1" t="n">
        <v>45131</v>
      </c>
      <c r="C1353" s="1" t="n">
        <v>45657</v>
      </c>
      <c r="D1353" t="inlineStr">
        <is>
          <t>VÄSTERNORRLANDS LÄN</t>
        </is>
      </c>
      <c r="E1353" t="inlineStr">
        <is>
          <t>ÅNGE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33864-2023</t>
        </is>
      </c>
      <c r="B1354" s="1" t="n">
        <v>45133</v>
      </c>
      <c r="C1354" s="1" t="n">
        <v>45657</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33866-2023</t>
        </is>
      </c>
      <c r="B1355" s="1" t="n">
        <v>45133</v>
      </c>
      <c r="C1355" s="1" t="n">
        <v>45657</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33936-2023</t>
        </is>
      </c>
      <c r="B1356" s="1" t="n">
        <v>45134</v>
      </c>
      <c r="C1356" s="1" t="n">
        <v>45657</v>
      </c>
      <c r="D1356" t="inlineStr">
        <is>
          <t>VÄSTERNORRLANDS LÄN</t>
        </is>
      </c>
      <c r="E1356" t="inlineStr">
        <is>
          <t>ÅNGE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34318-2023</t>
        </is>
      </c>
      <c r="B1357" s="1" t="n">
        <v>45138</v>
      </c>
      <c r="C1357" s="1" t="n">
        <v>45657</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34316-2023</t>
        </is>
      </c>
      <c r="B1358" s="1" t="n">
        <v>45138</v>
      </c>
      <c r="C1358" s="1" t="n">
        <v>45657</v>
      </c>
      <c r="D1358" t="inlineStr">
        <is>
          <t>VÄSTERNORRLANDS LÄN</t>
        </is>
      </c>
      <c r="E1358" t="inlineStr">
        <is>
          <t>ÅNGE</t>
        </is>
      </c>
      <c r="F1358" t="inlineStr">
        <is>
          <t>SCA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34317-2023</t>
        </is>
      </c>
      <c r="B1359" s="1" t="n">
        <v>45138</v>
      </c>
      <c r="C1359" s="1" t="n">
        <v>45657</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34620-2023</t>
        </is>
      </c>
      <c r="B1360" s="1" t="n">
        <v>45138</v>
      </c>
      <c r="C1360" s="1" t="n">
        <v>45657</v>
      </c>
      <c r="D1360" t="inlineStr">
        <is>
          <t>VÄSTERNORRLANDS LÄN</t>
        </is>
      </c>
      <c r="E1360" t="inlineStr">
        <is>
          <t>ÅNGE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34269-2023</t>
        </is>
      </c>
      <c r="B1361" s="1" t="n">
        <v>45138</v>
      </c>
      <c r="C1361" s="1" t="n">
        <v>45657</v>
      </c>
      <c r="D1361" t="inlineStr">
        <is>
          <t>VÄSTERNORRLANDS LÄN</t>
        </is>
      </c>
      <c r="E1361" t="inlineStr">
        <is>
          <t>ÅNGE</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34315-2023</t>
        </is>
      </c>
      <c r="B1362" s="1" t="n">
        <v>45138</v>
      </c>
      <c r="C1362" s="1" t="n">
        <v>45657</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34319-2023</t>
        </is>
      </c>
      <c r="B1363" s="1" t="n">
        <v>45138</v>
      </c>
      <c r="C1363" s="1" t="n">
        <v>45657</v>
      </c>
      <c r="D1363" t="inlineStr">
        <is>
          <t>VÄSTERNORRLANDS LÄN</t>
        </is>
      </c>
      <c r="E1363" t="inlineStr">
        <is>
          <t>ÅNGE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34491-2023</t>
        </is>
      </c>
      <c r="B1364" s="1" t="n">
        <v>45140</v>
      </c>
      <c r="C1364" s="1" t="n">
        <v>45657</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34755-2023</t>
        </is>
      </c>
      <c r="B1365" s="1" t="n">
        <v>45139</v>
      </c>
      <c r="C1365" s="1" t="n">
        <v>45657</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34490-2023</t>
        </is>
      </c>
      <c r="B1366" s="1" t="n">
        <v>45139</v>
      </c>
      <c r="C1366" s="1" t="n">
        <v>45657</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34750-2023</t>
        </is>
      </c>
      <c r="B1367" s="1" t="n">
        <v>45139</v>
      </c>
      <c r="C1367" s="1" t="n">
        <v>45657</v>
      </c>
      <c r="D1367" t="inlineStr">
        <is>
          <t>VÄSTERNORRLANDS LÄN</t>
        </is>
      </c>
      <c r="E1367" t="inlineStr">
        <is>
          <t>ÅNGE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34754-2023</t>
        </is>
      </c>
      <c r="B1368" s="1" t="n">
        <v>45139</v>
      </c>
      <c r="C1368" s="1" t="n">
        <v>45657</v>
      </c>
      <c r="D1368" t="inlineStr">
        <is>
          <t>VÄSTERNORRLANDS LÄN</t>
        </is>
      </c>
      <c r="E1368" t="inlineStr">
        <is>
          <t>ÅNGE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34705-2023</t>
        </is>
      </c>
      <c r="B1369" s="1" t="n">
        <v>45141</v>
      </c>
      <c r="C1369" s="1" t="n">
        <v>45657</v>
      </c>
      <c r="D1369" t="inlineStr">
        <is>
          <t>VÄSTERNORRLANDS LÄN</t>
        </is>
      </c>
      <c r="E1369" t="inlineStr">
        <is>
          <t>ÅNGE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34703-2023</t>
        </is>
      </c>
      <c r="B1370" s="1" t="n">
        <v>45141</v>
      </c>
      <c r="C1370" s="1" t="n">
        <v>45657</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34690-2023</t>
        </is>
      </c>
      <c r="B1371" s="1" t="n">
        <v>45141</v>
      </c>
      <c r="C1371" s="1" t="n">
        <v>45657</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34698-2023</t>
        </is>
      </c>
      <c r="B1372" s="1" t="n">
        <v>45140</v>
      </c>
      <c r="C1372" s="1" t="n">
        <v>45657</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34692-2023</t>
        </is>
      </c>
      <c r="B1373" s="1" t="n">
        <v>45140</v>
      </c>
      <c r="C1373" s="1" t="n">
        <v>45657</v>
      </c>
      <c r="D1373" t="inlineStr">
        <is>
          <t>VÄSTERNORRLANDS LÄN</t>
        </is>
      </c>
      <c r="E1373" t="inlineStr">
        <is>
          <t>ÅNGE</t>
        </is>
      </c>
      <c r="F1373" t="inlineStr">
        <is>
          <t>SCA</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34851-2023</t>
        </is>
      </c>
      <c r="B1374" s="1" t="n">
        <v>45141</v>
      </c>
      <c r="C1374" s="1" t="n">
        <v>45657</v>
      </c>
      <c r="D1374" t="inlineStr">
        <is>
          <t>VÄSTERNORRLANDS LÄN</t>
        </is>
      </c>
      <c r="E1374" t="inlineStr">
        <is>
          <t>ÅNGE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34850-2023</t>
        </is>
      </c>
      <c r="B1375" s="1" t="n">
        <v>45141</v>
      </c>
      <c r="C1375" s="1" t="n">
        <v>45657</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34852-2023</t>
        </is>
      </c>
      <c r="B1376" s="1" t="n">
        <v>45141</v>
      </c>
      <c r="C1376" s="1" t="n">
        <v>45657</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34959-2023</t>
        </is>
      </c>
      <c r="B1377" s="1" t="n">
        <v>45142</v>
      </c>
      <c r="C1377" s="1" t="n">
        <v>45657</v>
      </c>
      <c r="D1377" t="inlineStr">
        <is>
          <t>VÄSTERNORRLANDS LÄN</t>
        </is>
      </c>
      <c r="E1377" t="inlineStr">
        <is>
          <t>ÅNGE</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34965-2023</t>
        </is>
      </c>
      <c r="B1378" s="1" t="n">
        <v>45142</v>
      </c>
      <c r="C1378" s="1" t="n">
        <v>45657</v>
      </c>
      <c r="D1378" t="inlineStr">
        <is>
          <t>VÄSTERNORRLANDS LÄN</t>
        </is>
      </c>
      <c r="E1378" t="inlineStr">
        <is>
          <t>ÅNGE</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34971-2023</t>
        </is>
      </c>
      <c r="B1379" s="1" t="n">
        <v>45142</v>
      </c>
      <c r="C1379" s="1" t="n">
        <v>45657</v>
      </c>
      <c r="D1379" t="inlineStr">
        <is>
          <t>VÄSTERNORRLANDS LÄN</t>
        </is>
      </c>
      <c r="E1379" t="inlineStr">
        <is>
          <t>ÅNGE</t>
        </is>
      </c>
      <c r="F1379" t="inlineStr">
        <is>
          <t>Sveaskog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34954-2023</t>
        </is>
      </c>
      <c r="B1380" s="1" t="n">
        <v>45142</v>
      </c>
      <c r="C1380" s="1" t="n">
        <v>45657</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34962-2023</t>
        </is>
      </c>
      <c r="B1381" s="1" t="n">
        <v>45142</v>
      </c>
      <c r="C1381" s="1" t="n">
        <v>45657</v>
      </c>
      <c r="D1381" t="inlineStr">
        <is>
          <t>VÄSTERNORRLANDS LÄN</t>
        </is>
      </c>
      <c r="E1381" t="inlineStr">
        <is>
          <t>ÅNGE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35100-2023</t>
        </is>
      </c>
      <c r="B1382" s="1" t="n">
        <v>45142</v>
      </c>
      <c r="C1382" s="1" t="n">
        <v>45657</v>
      </c>
      <c r="D1382" t="inlineStr">
        <is>
          <t>VÄSTERNORRLANDS LÄN</t>
        </is>
      </c>
      <c r="E1382" t="inlineStr">
        <is>
          <t>ÅNGE</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35259-2023</t>
        </is>
      </c>
      <c r="B1383" s="1" t="n">
        <v>45145</v>
      </c>
      <c r="C1383" s="1" t="n">
        <v>45657</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35260-2023</t>
        </is>
      </c>
      <c r="B1384" s="1" t="n">
        <v>45145</v>
      </c>
      <c r="C1384" s="1" t="n">
        <v>45657</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35261-2023</t>
        </is>
      </c>
      <c r="B1385" s="1" t="n">
        <v>45145</v>
      </c>
      <c r="C1385" s="1" t="n">
        <v>45657</v>
      </c>
      <c r="D1385" t="inlineStr">
        <is>
          <t>VÄSTERNORRLANDS LÄN</t>
        </is>
      </c>
      <c r="E1385" t="inlineStr">
        <is>
          <t>ÅNGE</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35328-2023</t>
        </is>
      </c>
      <c r="B1386" s="1" t="n">
        <v>45145</v>
      </c>
      <c r="C1386" s="1" t="n">
        <v>45657</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35366-2023</t>
        </is>
      </c>
      <c r="B1387" s="1" t="n">
        <v>45145</v>
      </c>
      <c r="C1387" s="1" t="n">
        <v>45657</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35258-2023</t>
        </is>
      </c>
      <c r="B1388" s="1" t="n">
        <v>45145</v>
      </c>
      <c r="C1388" s="1" t="n">
        <v>45657</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35762-2023</t>
        </is>
      </c>
      <c r="B1389" s="1" t="n">
        <v>45147</v>
      </c>
      <c r="C1389" s="1" t="n">
        <v>45657</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35747-2023</t>
        </is>
      </c>
      <c r="B1390" s="1" t="n">
        <v>45147</v>
      </c>
      <c r="C1390" s="1" t="n">
        <v>45657</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35748-2023</t>
        </is>
      </c>
      <c r="B1391" s="1" t="n">
        <v>45148</v>
      </c>
      <c r="C1391" s="1" t="n">
        <v>45657</v>
      </c>
      <c r="D1391" t="inlineStr">
        <is>
          <t>VÄSTERNORRLANDS LÄN</t>
        </is>
      </c>
      <c r="E1391" t="inlineStr">
        <is>
          <t>ÅNGE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35749-2023</t>
        </is>
      </c>
      <c r="B1392" s="1" t="n">
        <v>45147</v>
      </c>
      <c r="C1392" s="1" t="n">
        <v>45657</v>
      </c>
      <c r="D1392" t="inlineStr">
        <is>
          <t>VÄSTERNORRLANDS LÄN</t>
        </is>
      </c>
      <c r="E1392" t="inlineStr">
        <is>
          <t>ÅNGE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35979-2023</t>
        </is>
      </c>
      <c r="B1393" s="1" t="n">
        <v>45148</v>
      </c>
      <c r="C1393" s="1" t="n">
        <v>45657</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35970-2023</t>
        </is>
      </c>
      <c r="B1394" s="1" t="n">
        <v>45148</v>
      </c>
      <c r="C1394" s="1" t="n">
        <v>45657</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36210-2023</t>
        </is>
      </c>
      <c r="B1395" s="1" t="n">
        <v>45149</v>
      </c>
      <c r="C1395" s="1" t="n">
        <v>45657</v>
      </c>
      <c r="D1395" t="inlineStr">
        <is>
          <t>VÄSTERNORRLANDS LÄN</t>
        </is>
      </c>
      <c r="E1395" t="inlineStr">
        <is>
          <t>ÅNGE</t>
        </is>
      </c>
      <c r="F1395" t="inlineStr">
        <is>
          <t>SCA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36290-2023</t>
        </is>
      </c>
      <c r="B1396" s="1" t="n">
        <v>45152</v>
      </c>
      <c r="C1396" s="1" t="n">
        <v>45657</v>
      </c>
      <c r="D1396" t="inlineStr">
        <is>
          <t>VÄSTERNORRLANDS LÄN</t>
        </is>
      </c>
      <c r="E1396" t="inlineStr">
        <is>
          <t>ÅNGE</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36494-2023</t>
        </is>
      </c>
      <c r="B1397" s="1" t="n">
        <v>45153</v>
      </c>
      <c r="C1397" s="1" t="n">
        <v>45657</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36492-2023</t>
        </is>
      </c>
      <c r="B1398" s="1" t="n">
        <v>45153</v>
      </c>
      <c r="C1398" s="1" t="n">
        <v>45657</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36766-2023</t>
        </is>
      </c>
      <c r="B1399" s="1" t="n">
        <v>45153</v>
      </c>
      <c r="C1399" s="1" t="n">
        <v>45657</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36760-2023</t>
        </is>
      </c>
      <c r="B1400" s="1" t="n">
        <v>45153</v>
      </c>
      <c r="C1400" s="1" t="n">
        <v>45657</v>
      </c>
      <c r="D1400" t="inlineStr">
        <is>
          <t>VÄSTERNORRLANDS LÄN</t>
        </is>
      </c>
      <c r="E1400" t="inlineStr">
        <is>
          <t>ÅNGE</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36801-2023</t>
        </is>
      </c>
      <c r="B1401" s="1" t="n">
        <v>45153</v>
      </c>
      <c r="C1401" s="1" t="n">
        <v>45657</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36790-2023</t>
        </is>
      </c>
      <c r="B1402" s="1" t="n">
        <v>45154</v>
      </c>
      <c r="C1402" s="1" t="n">
        <v>45657</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36973-2023</t>
        </is>
      </c>
      <c r="B1403" s="1" t="n">
        <v>45154</v>
      </c>
      <c r="C1403" s="1" t="n">
        <v>45657</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36987-2023</t>
        </is>
      </c>
      <c r="B1404" s="1" t="n">
        <v>45155</v>
      </c>
      <c r="C1404" s="1" t="n">
        <v>45657</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37252-2023</t>
        </is>
      </c>
      <c r="B1405" s="1" t="n">
        <v>45155</v>
      </c>
      <c r="C1405" s="1" t="n">
        <v>45657</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37471-2023</t>
        </is>
      </c>
      <c r="B1406" s="1" t="n">
        <v>45157</v>
      </c>
      <c r="C1406" s="1" t="n">
        <v>45657</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37503-2023</t>
        </is>
      </c>
      <c r="B1407" s="1" t="n">
        <v>45157</v>
      </c>
      <c r="C1407" s="1" t="n">
        <v>45657</v>
      </c>
      <c r="D1407" t="inlineStr">
        <is>
          <t>VÄSTERNORRLANDS LÄN</t>
        </is>
      </c>
      <c r="E1407" t="inlineStr">
        <is>
          <t>ÅNGE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37800-2023</t>
        </is>
      </c>
      <c r="B1408" s="1" t="n">
        <v>45159</v>
      </c>
      <c r="C1408" s="1" t="n">
        <v>45657</v>
      </c>
      <c r="D1408" t="inlineStr">
        <is>
          <t>VÄSTERNORRLANDS LÄN</t>
        </is>
      </c>
      <c r="E1408" t="inlineStr">
        <is>
          <t>ÅNGE</t>
        </is>
      </c>
      <c r="F1408" t="inlineStr">
        <is>
          <t>SCA</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37558-2023</t>
        </is>
      </c>
      <c r="B1409" s="1" t="n">
        <v>45159</v>
      </c>
      <c r="C1409" s="1" t="n">
        <v>45657</v>
      </c>
      <c r="D1409" t="inlineStr">
        <is>
          <t>VÄSTERNORRLANDS LÄN</t>
        </is>
      </c>
      <c r="E1409" t="inlineStr">
        <is>
          <t>ÅNGE</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37801-2023</t>
        </is>
      </c>
      <c r="B1410" s="1" t="n">
        <v>45159</v>
      </c>
      <c r="C1410" s="1" t="n">
        <v>45657</v>
      </c>
      <c r="D1410" t="inlineStr">
        <is>
          <t>VÄSTERNORRLANDS LÄN</t>
        </is>
      </c>
      <c r="E1410" t="inlineStr">
        <is>
          <t>ÅNGE</t>
        </is>
      </c>
      <c r="F1410" t="inlineStr">
        <is>
          <t>SCA</t>
        </is>
      </c>
      <c r="G1410" t="n">
        <v>33.4</v>
      </c>
      <c r="H1410" t="n">
        <v>0</v>
      </c>
      <c r="I1410" t="n">
        <v>0</v>
      </c>
      <c r="J1410" t="n">
        <v>0</v>
      </c>
      <c r="K1410" t="n">
        <v>0</v>
      </c>
      <c r="L1410" t="n">
        <v>0</v>
      </c>
      <c r="M1410" t="n">
        <v>0</v>
      </c>
      <c r="N1410" t="n">
        <v>0</v>
      </c>
      <c r="O1410" t="n">
        <v>0</v>
      </c>
      <c r="P1410" t="n">
        <v>0</v>
      </c>
      <c r="Q1410" t="n">
        <v>0</v>
      </c>
      <c r="R1410" s="2" t="inlineStr"/>
    </row>
    <row r="1411" ht="15" customHeight="1">
      <c r="A1411" t="inlineStr">
        <is>
          <t>A 38090-2023</t>
        </is>
      </c>
      <c r="B1411" s="1" t="n">
        <v>45161</v>
      </c>
      <c r="C1411" s="1" t="n">
        <v>45657</v>
      </c>
      <c r="D1411" t="inlineStr">
        <is>
          <t>VÄSTERNORRLANDS LÄN</t>
        </is>
      </c>
      <c r="E1411" t="inlineStr">
        <is>
          <t>ÅNGE</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39245-2023</t>
        </is>
      </c>
      <c r="B1412" s="1" t="n">
        <v>45162</v>
      </c>
      <c r="C1412" s="1" t="n">
        <v>45657</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38886-2023</t>
        </is>
      </c>
      <c r="B1413" s="1" t="n">
        <v>45162</v>
      </c>
      <c r="C1413" s="1" t="n">
        <v>45657</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38871-2023</t>
        </is>
      </c>
      <c r="B1414" s="1" t="n">
        <v>45162</v>
      </c>
      <c r="C1414" s="1" t="n">
        <v>45657</v>
      </c>
      <c r="D1414" t="inlineStr">
        <is>
          <t>VÄSTERNORRLANDS LÄN</t>
        </is>
      </c>
      <c r="E1414" t="inlineStr">
        <is>
          <t>ÅNGE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39206-2023</t>
        </is>
      </c>
      <c r="B1415" s="1" t="n">
        <v>45162</v>
      </c>
      <c r="C1415" s="1" t="n">
        <v>45657</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39261-2023</t>
        </is>
      </c>
      <c r="B1416" s="1" t="n">
        <v>45162</v>
      </c>
      <c r="C1416" s="1" t="n">
        <v>45657</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39254-2023</t>
        </is>
      </c>
      <c r="B1417" s="1" t="n">
        <v>45162</v>
      </c>
      <c r="C1417" s="1" t="n">
        <v>45657</v>
      </c>
      <c r="D1417" t="inlineStr">
        <is>
          <t>VÄSTERNORRLANDS LÄN</t>
        </is>
      </c>
      <c r="E1417" t="inlineStr">
        <is>
          <t>ÅNGE</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38795-2023</t>
        </is>
      </c>
      <c r="B1418" s="1" t="n">
        <v>45162</v>
      </c>
      <c r="C1418" s="1" t="n">
        <v>45657</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39112-2023</t>
        </is>
      </c>
      <c r="B1419" s="1" t="n">
        <v>45164</v>
      </c>
      <c r="C1419" s="1" t="n">
        <v>45657</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39500-2023</t>
        </is>
      </c>
      <c r="B1420" s="1" t="n">
        <v>45166</v>
      </c>
      <c r="C1420" s="1" t="n">
        <v>45657</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39811-2023</t>
        </is>
      </c>
      <c r="B1421" s="1" t="n">
        <v>45167</v>
      </c>
      <c r="C1421" s="1" t="n">
        <v>45657</v>
      </c>
      <c r="D1421" t="inlineStr">
        <is>
          <t>VÄSTERNORRLANDS LÄN</t>
        </is>
      </c>
      <c r="E1421" t="inlineStr">
        <is>
          <t>ÅNGE</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39813-2023</t>
        </is>
      </c>
      <c r="B1422" s="1" t="n">
        <v>45168</v>
      </c>
      <c r="C1422" s="1" t="n">
        <v>45657</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39812-2023</t>
        </is>
      </c>
      <c r="B1423" s="1" t="n">
        <v>45168</v>
      </c>
      <c r="C1423" s="1" t="n">
        <v>45657</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40013-2023</t>
        </is>
      </c>
      <c r="B1424" s="1" t="n">
        <v>45167</v>
      </c>
      <c r="C1424" s="1" t="n">
        <v>45657</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39814-2023</t>
        </is>
      </c>
      <c r="B1425" s="1" t="n">
        <v>45168</v>
      </c>
      <c r="C1425" s="1" t="n">
        <v>45657</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39991-2023</t>
        </is>
      </c>
      <c r="B1426" s="1" t="n">
        <v>45168</v>
      </c>
      <c r="C1426" s="1" t="n">
        <v>45657</v>
      </c>
      <c r="D1426" t="inlineStr">
        <is>
          <t>VÄSTERNORRLANDS LÄN</t>
        </is>
      </c>
      <c r="E1426" t="inlineStr">
        <is>
          <t>ÅNGE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39996-2023</t>
        </is>
      </c>
      <c r="B1427" s="1" t="n">
        <v>45168</v>
      </c>
      <c r="C1427" s="1" t="n">
        <v>45657</v>
      </c>
      <c r="D1427" t="inlineStr">
        <is>
          <t>VÄSTERNORRLANDS LÄN</t>
        </is>
      </c>
      <c r="E1427" t="inlineStr">
        <is>
          <t>ÅNGE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39842-2023</t>
        </is>
      </c>
      <c r="B1428" s="1" t="n">
        <v>45168</v>
      </c>
      <c r="C1428" s="1" t="n">
        <v>45657</v>
      </c>
      <c r="D1428" t="inlineStr">
        <is>
          <t>VÄSTERNORRLANDS LÄN</t>
        </is>
      </c>
      <c r="E1428" t="inlineStr">
        <is>
          <t>ÅNGE</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39843-2023</t>
        </is>
      </c>
      <c r="B1429" s="1" t="n">
        <v>45168</v>
      </c>
      <c r="C1429" s="1" t="n">
        <v>45657</v>
      </c>
      <c r="D1429" t="inlineStr">
        <is>
          <t>VÄSTERNORRLANDS LÄN</t>
        </is>
      </c>
      <c r="E1429" t="inlineStr">
        <is>
          <t>ÅNGE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40005-2023</t>
        </is>
      </c>
      <c r="B1430" s="1" t="n">
        <v>45168</v>
      </c>
      <c r="C1430" s="1" t="n">
        <v>45657</v>
      </c>
      <c r="D1430" t="inlineStr">
        <is>
          <t>VÄSTERNORRLANDS LÄN</t>
        </is>
      </c>
      <c r="E1430" t="inlineStr">
        <is>
          <t>ÅNGE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39936-2023</t>
        </is>
      </c>
      <c r="B1431" s="1" t="n">
        <v>45168</v>
      </c>
      <c r="C1431" s="1" t="n">
        <v>45657</v>
      </c>
      <c r="D1431" t="inlineStr">
        <is>
          <t>VÄSTERNORRLANDS LÄN</t>
        </is>
      </c>
      <c r="E1431" t="inlineStr">
        <is>
          <t>ÅNGE</t>
        </is>
      </c>
      <c r="F1431" t="inlineStr">
        <is>
          <t>Sveaskog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39975-2023</t>
        </is>
      </c>
      <c r="B1432" s="1" t="n">
        <v>45168</v>
      </c>
      <c r="C1432" s="1" t="n">
        <v>45657</v>
      </c>
      <c r="D1432" t="inlineStr">
        <is>
          <t>VÄSTERNORRLANDS LÄN</t>
        </is>
      </c>
      <c r="E1432" t="inlineStr">
        <is>
          <t>ÅNGE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40208-2023</t>
        </is>
      </c>
      <c r="B1433" s="1" t="n">
        <v>45168</v>
      </c>
      <c r="C1433" s="1" t="n">
        <v>45657</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v>
      </c>
      <c r="C1434" s="1" t="n">
        <v>45657</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39985-2023</t>
        </is>
      </c>
      <c r="B1435" s="1" t="n">
        <v>45168</v>
      </c>
      <c r="C1435" s="1" t="n">
        <v>45657</v>
      </c>
      <c r="D1435" t="inlineStr">
        <is>
          <t>VÄSTERNORRLANDS LÄN</t>
        </is>
      </c>
      <c r="E1435" t="inlineStr">
        <is>
          <t>ÅNGE</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39995-2023</t>
        </is>
      </c>
      <c r="B1436" s="1" t="n">
        <v>45168</v>
      </c>
      <c r="C1436" s="1" t="n">
        <v>45657</v>
      </c>
      <c r="D1436" t="inlineStr">
        <is>
          <t>VÄSTERNORRLANDS LÄN</t>
        </is>
      </c>
      <c r="E1436" t="inlineStr">
        <is>
          <t>ÅNGE</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40378-2023</t>
        </is>
      </c>
      <c r="B1437" s="1" t="n">
        <v>45169</v>
      </c>
      <c r="C1437" s="1" t="n">
        <v>45657</v>
      </c>
      <c r="D1437" t="inlineStr">
        <is>
          <t>VÄSTERNORRLANDS LÄN</t>
        </is>
      </c>
      <c r="E1437" t="inlineStr">
        <is>
          <t>ÅNGE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40663-2023</t>
        </is>
      </c>
      <c r="B1438" s="1" t="n">
        <v>45169</v>
      </c>
      <c r="C1438" s="1" t="n">
        <v>45657</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40626-2023</t>
        </is>
      </c>
      <c r="B1439" s="1" t="n">
        <v>45170</v>
      </c>
      <c r="C1439" s="1" t="n">
        <v>45657</v>
      </c>
      <c r="D1439" t="inlineStr">
        <is>
          <t>VÄSTERNORRLANDS LÄN</t>
        </is>
      </c>
      <c r="E1439" t="inlineStr">
        <is>
          <t>ÅNGE</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40622-2023</t>
        </is>
      </c>
      <c r="B1440" s="1" t="n">
        <v>45170</v>
      </c>
      <c r="C1440" s="1" t="n">
        <v>45657</v>
      </c>
      <c r="D1440" t="inlineStr">
        <is>
          <t>VÄSTERNORRLANDS LÄN</t>
        </is>
      </c>
      <c r="E1440" t="inlineStr">
        <is>
          <t>ÅNGE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40789-2023</t>
        </is>
      </c>
      <c r="B1441" s="1" t="n">
        <v>45171</v>
      </c>
      <c r="C1441" s="1" t="n">
        <v>45657</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40790-2023</t>
        </is>
      </c>
      <c r="B1442" s="1" t="n">
        <v>45171</v>
      </c>
      <c r="C1442" s="1" t="n">
        <v>45657</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40755-2023</t>
        </is>
      </c>
      <c r="B1443" s="1" t="n">
        <v>45170</v>
      </c>
      <c r="C1443" s="1" t="n">
        <v>45657</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40791-2023</t>
        </is>
      </c>
      <c r="B1444" s="1" t="n">
        <v>45171</v>
      </c>
      <c r="C1444" s="1" t="n">
        <v>45657</v>
      </c>
      <c r="D1444" t="inlineStr">
        <is>
          <t>VÄSTERNORRLANDS LÄN</t>
        </is>
      </c>
      <c r="E1444" t="inlineStr">
        <is>
          <t>ÅNGE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40834-2023</t>
        </is>
      </c>
      <c r="B1445" s="1" t="n">
        <v>45172</v>
      </c>
      <c r="C1445" s="1" t="n">
        <v>45657</v>
      </c>
      <c r="D1445" t="inlineStr">
        <is>
          <t>VÄSTERNORRLANDS LÄN</t>
        </is>
      </c>
      <c r="E1445" t="inlineStr">
        <is>
          <t>ÅNGE</t>
        </is>
      </c>
      <c r="F1445" t="inlineStr">
        <is>
          <t>Kyrkan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40831-2023</t>
        </is>
      </c>
      <c r="B1446" s="1" t="n">
        <v>45172</v>
      </c>
      <c r="C1446" s="1" t="n">
        <v>45657</v>
      </c>
      <c r="D1446" t="inlineStr">
        <is>
          <t>VÄSTERNORRLANDS LÄN</t>
        </is>
      </c>
      <c r="E1446" t="inlineStr">
        <is>
          <t>ÅNGE</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40832-2023</t>
        </is>
      </c>
      <c r="B1447" s="1" t="n">
        <v>45172</v>
      </c>
      <c r="C1447" s="1" t="n">
        <v>45657</v>
      </c>
      <c r="D1447" t="inlineStr">
        <is>
          <t>VÄSTERNORRLANDS LÄN</t>
        </is>
      </c>
      <c r="E1447" t="inlineStr">
        <is>
          <t>ÅNGE</t>
        </is>
      </c>
      <c r="F1447" t="inlineStr">
        <is>
          <t>Kyrkan</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42081-2023</t>
        </is>
      </c>
      <c r="B1448" s="1" t="n">
        <v>45174</v>
      </c>
      <c r="C1448" s="1" t="n">
        <v>45657</v>
      </c>
      <c r="D1448" t="inlineStr">
        <is>
          <t>VÄSTERNORRLANDS LÄN</t>
        </is>
      </c>
      <c r="E1448" t="inlineStr">
        <is>
          <t>ÅNGE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41370-2023</t>
        </is>
      </c>
      <c r="B1449" s="1" t="n">
        <v>45174</v>
      </c>
      <c r="C1449" s="1" t="n">
        <v>45657</v>
      </c>
      <c r="D1449" t="inlineStr">
        <is>
          <t>VÄSTERNORRLANDS LÄN</t>
        </is>
      </c>
      <c r="E1449" t="inlineStr">
        <is>
          <t>ÅNGE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42073-2023</t>
        </is>
      </c>
      <c r="B1450" s="1" t="n">
        <v>45174</v>
      </c>
      <c r="C1450" s="1" t="n">
        <v>45657</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42100-2023</t>
        </is>
      </c>
      <c r="B1451" s="1" t="n">
        <v>45174</v>
      </c>
      <c r="C1451" s="1" t="n">
        <v>45657</v>
      </c>
      <c r="D1451" t="inlineStr">
        <is>
          <t>VÄSTERNORRLANDS LÄN</t>
        </is>
      </c>
      <c r="E1451" t="inlineStr">
        <is>
          <t>ÅNGE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41659-2023</t>
        </is>
      </c>
      <c r="B1452" s="1" t="n">
        <v>45176</v>
      </c>
      <c r="C1452" s="1" t="n">
        <v>45657</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41741-2023</t>
        </is>
      </c>
      <c r="B1453" s="1" t="n">
        <v>45176</v>
      </c>
      <c r="C1453" s="1" t="n">
        <v>45657</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42559-2023</t>
        </is>
      </c>
      <c r="B1454" s="1" t="n">
        <v>45176</v>
      </c>
      <c r="C1454" s="1" t="n">
        <v>45657</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42699-2023</t>
        </is>
      </c>
      <c r="B1455" s="1" t="n">
        <v>45176</v>
      </c>
      <c r="C1455" s="1" t="n">
        <v>45657</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42130-2023</t>
        </is>
      </c>
      <c r="B1456" s="1" t="n">
        <v>45177</v>
      </c>
      <c r="C1456" s="1" t="n">
        <v>45657</v>
      </c>
      <c r="D1456" t="inlineStr">
        <is>
          <t>VÄSTERNORRLANDS LÄN</t>
        </is>
      </c>
      <c r="E1456" t="inlineStr">
        <is>
          <t>ÅNGE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42139-2023</t>
        </is>
      </c>
      <c r="B1457" s="1" t="n">
        <v>45177</v>
      </c>
      <c r="C1457" s="1" t="n">
        <v>45657</v>
      </c>
      <c r="D1457" t="inlineStr">
        <is>
          <t>VÄSTERNORRLANDS LÄN</t>
        </is>
      </c>
      <c r="E1457" t="inlineStr">
        <is>
          <t>ÅNGE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42346-2023</t>
        </is>
      </c>
      <c r="B1458" s="1" t="n">
        <v>45180</v>
      </c>
      <c r="C1458" s="1" t="n">
        <v>45657</v>
      </c>
      <c r="D1458" t="inlineStr">
        <is>
          <t>VÄSTERNORRLANDS LÄN</t>
        </is>
      </c>
      <c r="E1458" t="inlineStr">
        <is>
          <t>ÅNGE</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42242-2023</t>
        </is>
      </c>
      <c r="B1459" s="1" t="n">
        <v>45180</v>
      </c>
      <c r="C1459" s="1" t="n">
        <v>45657</v>
      </c>
      <c r="D1459" t="inlineStr">
        <is>
          <t>VÄSTERNORRLANDS LÄN</t>
        </is>
      </c>
      <c r="E1459" t="inlineStr">
        <is>
          <t>ÅNGE</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42506-2023</t>
        </is>
      </c>
      <c r="B1460" s="1" t="n">
        <v>45180</v>
      </c>
      <c r="C1460" s="1" t="n">
        <v>45657</v>
      </c>
      <c r="D1460" t="inlineStr">
        <is>
          <t>VÄSTERNORRLANDS LÄN</t>
        </is>
      </c>
      <c r="E1460" t="inlineStr">
        <is>
          <t>ÅNGE</t>
        </is>
      </c>
      <c r="F1460" t="inlineStr">
        <is>
          <t>SCA</t>
        </is>
      </c>
      <c r="G1460" t="n">
        <v>20.9</v>
      </c>
      <c r="H1460" t="n">
        <v>0</v>
      </c>
      <c r="I1460" t="n">
        <v>0</v>
      </c>
      <c r="J1460" t="n">
        <v>0</v>
      </c>
      <c r="K1460" t="n">
        <v>0</v>
      </c>
      <c r="L1460" t="n">
        <v>0</v>
      </c>
      <c r="M1460" t="n">
        <v>0</v>
      </c>
      <c r="N1460" t="n">
        <v>0</v>
      </c>
      <c r="O1460" t="n">
        <v>0</v>
      </c>
      <c r="P1460" t="n">
        <v>0</v>
      </c>
      <c r="Q1460" t="n">
        <v>0</v>
      </c>
      <c r="R1460" s="2" t="inlineStr"/>
    </row>
    <row r="1461" ht="15" customHeight="1">
      <c r="A1461" t="inlineStr">
        <is>
          <t>A 43053-2023</t>
        </is>
      </c>
      <c r="B1461" s="1" t="n">
        <v>45180</v>
      </c>
      <c r="C1461" s="1" t="n">
        <v>45657</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43218-2023</t>
        </is>
      </c>
      <c r="B1462" s="1" t="n">
        <v>45180</v>
      </c>
      <c r="C1462" s="1" t="n">
        <v>45657</v>
      </c>
      <c r="D1462" t="inlineStr">
        <is>
          <t>VÄSTERNORRLANDS LÄN</t>
        </is>
      </c>
      <c r="E1462" t="inlineStr">
        <is>
          <t>ÅNGE</t>
        </is>
      </c>
      <c r="F1462" t="inlineStr">
        <is>
          <t>SCA</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43186-2023</t>
        </is>
      </c>
      <c r="B1463" s="1" t="n">
        <v>45180</v>
      </c>
      <c r="C1463" s="1" t="n">
        <v>45657</v>
      </c>
      <c r="D1463" t="inlineStr">
        <is>
          <t>VÄSTERNORRLANDS LÄN</t>
        </is>
      </c>
      <c r="E1463" t="inlineStr">
        <is>
          <t>ÅNGE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43552-2023</t>
        </is>
      </c>
      <c r="B1464" s="1" t="n">
        <v>45181</v>
      </c>
      <c r="C1464" s="1" t="n">
        <v>45657</v>
      </c>
      <c r="D1464" t="inlineStr">
        <is>
          <t>VÄSTERNORRLANDS LÄN</t>
        </is>
      </c>
      <c r="E1464" t="inlineStr">
        <is>
          <t>ÅNGE</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42881-2023</t>
        </is>
      </c>
      <c r="B1465" s="1" t="n">
        <v>45182</v>
      </c>
      <c r="C1465" s="1" t="n">
        <v>45657</v>
      </c>
      <c r="D1465" t="inlineStr">
        <is>
          <t>VÄSTERNORRLANDS LÄN</t>
        </is>
      </c>
      <c r="E1465" t="inlineStr">
        <is>
          <t>ÅNGE</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43096-2023</t>
        </is>
      </c>
      <c r="B1466" s="1" t="n">
        <v>45182</v>
      </c>
      <c r="C1466" s="1" t="n">
        <v>45657</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44178-2023</t>
        </is>
      </c>
      <c r="B1467" s="1" t="n">
        <v>45183</v>
      </c>
      <c r="C1467" s="1" t="n">
        <v>45657</v>
      </c>
      <c r="D1467" t="inlineStr">
        <is>
          <t>VÄSTERNORRLANDS LÄN</t>
        </is>
      </c>
      <c r="E1467" t="inlineStr">
        <is>
          <t>ÅNGE</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44180-2023</t>
        </is>
      </c>
      <c r="B1468" s="1" t="n">
        <v>45183</v>
      </c>
      <c r="C1468" s="1" t="n">
        <v>45657</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43615-2023</t>
        </is>
      </c>
      <c r="B1469" s="1" t="n">
        <v>45184</v>
      </c>
      <c r="C1469" s="1" t="n">
        <v>45657</v>
      </c>
      <c r="D1469" t="inlineStr">
        <is>
          <t>VÄSTERNORRLANDS LÄN</t>
        </is>
      </c>
      <c r="E1469" t="inlineStr">
        <is>
          <t>ÅNGE</t>
        </is>
      </c>
      <c r="F1469" t="inlineStr">
        <is>
          <t>Holmen skog AB</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43618-2023</t>
        </is>
      </c>
      <c r="B1470" s="1" t="n">
        <v>45184</v>
      </c>
      <c r="C1470" s="1" t="n">
        <v>45657</v>
      </c>
      <c r="D1470" t="inlineStr">
        <is>
          <t>VÄSTERNORRLANDS LÄN</t>
        </is>
      </c>
      <c r="E1470" t="inlineStr">
        <is>
          <t>ÅNGE</t>
        </is>
      </c>
      <c r="G1470" t="n">
        <v>22.6</v>
      </c>
      <c r="H1470" t="n">
        <v>0</v>
      </c>
      <c r="I1470" t="n">
        <v>0</v>
      </c>
      <c r="J1470" t="n">
        <v>0</v>
      </c>
      <c r="K1470" t="n">
        <v>0</v>
      </c>
      <c r="L1470" t="n">
        <v>0</v>
      </c>
      <c r="M1470" t="n">
        <v>0</v>
      </c>
      <c r="N1470" t="n">
        <v>0</v>
      </c>
      <c r="O1470" t="n">
        <v>0</v>
      </c>
      <c r="P1470" t="n">
        <v>0</v>
      </c>
      <c r="Q1470" t="n">
        <v>0</v>
      </c>
      <c r="R1470" s="2" t="inlineStr"/>
    </row>
    <row r="1471" ht="15" customHeight="1">
      <c r="A1471" t="inlineStr">
        <is>
          <t>A 43622-2023</t>
        </is>
      </c>
      <c r="B1471" s="1" t="n">
        <v>45184</v>
      </c>
      <c r="C1471" s="1" t="n">
        <v>45657</v>
      </c>
      <c r="D1471" t="inlineStr">
        <is>
          <t>VÄSTERNORRLANDS LÄN</t>
        </is>
      </c>
      <c r="E1471" t="inlineStr">
        <is>
          <t>ÅNGE</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44639-2023</t>
        </is>
      </c>
      <c r="B1472" s="1" t="n">
        <v>45184</v>
      </c>
      <c r="C1472" s="1" t="n">
        <v>45657</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43916-2023</t>
        </is>
      </c>
      <c r="B1473" s="1" t="n">
        <v>45187</v>
      </c>
      <c r="C1473" s="1" t="n">
        <v>45657</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43984-2023</t>
        </is>
      </c>
      <c r="B1474" s="1" t="n">
        <v>45187</v>
      </c>
      <c r="C1474" s="1" t="n">
        <v>45657</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44013-2023</t>
        </is>
      </c>
      <c r="B1475" s="1" t="n">
        <v>45188</v>
      </c>
      <c r="C1475" s="1" t="n">
        <v>45657</v>
      </c>
      <c r="D1475" t="inlineStr">
        <is>
          <t>VÄSTERNORRLANDS LÄN</t>
        </is>
      </c>
      <c r="E1475" t="inlineStr">
        <is>
          <t>ÅNGE</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44268-2023</t>
        </is>
      </c>
      <c r="B1476" s="1" t="n">
        <v>45188</v>
      </c>
      <c r="C1476" s="1" t="n">
        <v>45657</v>
      </c>
      <c r="D1476" t="inlineStr">
        <is>
          <t>VÄSTERNORRLANDS LÄN</t>
        </is>
      </c>
      <c r="E1476" t="inlineStr">
        <is>
          <t>ÅNGE</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45572-2023</t>
        </is>
      </c>
      <c r="B1477" s="1" t="n">
        <v>45188</v>
      </c>
      <c r="C1477" s="1" t="n">
        <v>45657</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45598-2023</t>
        </is>
      </c>
      <c r="B1478" s="1" t="n">
        <v>45188</v>
      </c>
      <c r="C1478" s="1" t="n">
        <v>45657</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44979-2023</t>
        </is>
      </c>
      <c r="B1479" s="1" t="n">
        <v>45191</v>
      </c>
      <c r="C1479" s="1" t="n">
        <v>45657</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45027-2023</t>
        </is>
      </c>
      <c r="B1480" s="1" t="n">
        <v>45191</v>
      </c>
      <c r="C1480" s="1" t="n">
        <v>45657</v>
      </c>
      <c r="D1480" t="inlineStr">
        <is>
          <t>VÄSTERNORRLANDS LÄN</t>
        </is>
      </c>
      <c r="E1480" t="inlineStr">
        <is>
          <t>ÅNGE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45933-2023</t>
        </is>
      </c>
      <c r="B1481" s="1" t="n">
        <v>45195</v>
      </c>
      <c r="C1481" s="1" t="n">
        <v>45657</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45941-2023</t>
        </is>
      </c>
      <c r="B1482" s="1" t="n">
        <v>45196</v>
      </c>
      <c r="C1482" s="1" t="n">
        <v>45657</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45932-2023</t>
        </is>
      </c>
      <c r="B1483" s="1" t="n">
        <v>45195</v>
      </c>
      <c r="C1483" s="1" t="n">
        <v>45657</v>
      </c>
      <c r="D1483" t="inlineStr">
        <is>
          <t>VÄSTERNORRLANDS LÄN</t>
        </is>
      </c>
      <c r="E1483" t="inlineStr">
        <is>
          <t>ÅNGE</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45940-2023</t>
        </is>
      </c>
      <c r="B1484" s="1" t="n">
        <v>45196</v>
      </c>
      <c r="C1484" s="1" t="n">
        <v>45657</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45717-2023</t>
        </is>
      </c>
      <c r="B1485" s="1" t="n">
        <v>45195</v>
      </c>
      <c r="C1485" s="1" t="n">
        <v>45657</v>
      </c>
      <c r="D1485" t="inlineStr">
        <is>
          <t>VÄSTERNORRLANDS LÄN</t>
        </is>
      </c>
      <c r="E1485" t="inlineStr">
        <is>
          <t>ÅNGE</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45939-2023</t>
        </is>
      </c>
      <c r="B1486" s="1" t="n">
        <v>45196</v>
      </c>
      <c r="C1486" s="1" t="n">
        <v>45657</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46254-2023</t>
        </is>
      </c>
      <c r="B1487" s="1" t="n">
        <v>45196</v>
      </c>
      <c r="C1487" s="1" t="n">
        <v>45657</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46262-2023</t>
        </is>
      </c>
      <c r="B1488" s="1" t="n">
        <v>45197</v>
      </c>
      <c r="C1488" s="1" t="n">
        <v>45657</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46332-2023</t>
        </is>
      </c>
      <c r="B1489" s="1" t="n">
        <v>45196</v>
      </c>
      <c r="C1489" s="1" t="n">
        <v>45657</v>
      </c>
      <c r="D1489" t="inlineStr">
        <is>
          <t>VÄSTERNORRLANDS LÄN</t>
        </is>
      </c>
      <c r="E1489" t="inlineStr">
        <is>
          <t>ÅNGE</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46255-2023</t>
        </is>
      </c>
      <c r="B1490" s="1" t="n">
        <v>45196</v>
      </c>
      <c r="C1490" s="1" t="n">
        <v>45657</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47324-2023</t>
        </is>
      </c>
      <c r="B1491" s="1" t="n">
        <v>45196</v>
      </c>
      <c r="C1491" s="1" t="n">
        <v>45657</v>
      </c>
      <c r="D1491" t="inlineStr">
        <is>
          <t>VÄSTERNORRLANDS LÄN</t>
        </is>
      </c>
      <c r="E1491" t="inlineStr">
        <is>
          <t>ÅNGE</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46211-2023</t>
        </is>
      </c>
      <c r="B1492" s="1" t="n">
        <v>45196</v>
      </c>
      <c r="C1492" s="1" t="n">
        <v>45657</v>
      </c>
      <c r="D1492" t="inlineStr">
        <is>
          <t>VÄSTERNORRLANDS LÄN</t>
        </is>
      </c>
      <c r="E1492" t="inlineStr">
        <is>
          <t>ÅNGE</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47432-2023</t>
        </is>
      </c>
      <c r="B1493" s="1" t="n">
        <v>45197</v>
      </c>
      <c r="C1493" s="1" t="n">
        <v>45657</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46679-2023</t>
        </is>
      </c>
      <c r="B1494" s="1" t="n">
        <v>45198</v>
      </c>
      <c r="C1494" s="1" t="n">
        <v>45657</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46689-2023</t>
        </is>
      </c>
      <c r="B1495" s="1" t="n">
        <v>45198</v>
      </c>
      <c r="C1495" s="1" t="n">
        <v>45657</v>
      </c>
      <c r="D1495" t="inlineStr">
        <is>
          <t>VÄSTERNORRLANDS LÄN</t>
        </is>
      </c>
      <c r="E1495" t="inlineStr">
        <is>
          <t>ÅNGE</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46681-2023</t>
        </is>
      </c>
      <c r="B1496" s="1" t="n">
        <v>45198</v>
      </c>
      <c r="C1496" s="1" t="n">
        <v>45657</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46667-2023</t>
        </is>
      </c>
      <c r="B1497" s="1" t="n">
        <v>45198</v>
      </c>
      <c r="C1497" s="1" t="n">
        <v>45657</v>
      </c>
      <c r="D1497" t="inlineStr">
        <is>
          <t>VÄSTERNORRLANDS LÄN</t>
        </is>
      </c>
      <c r="E1497" t="inlineStr">
        <is>
          <t>ÅNGE</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46795-2023</t>
        </is>
      </c>
      <c r="B1498" s="1" t="n">
        <v>45198</v>
      </c>
      <c r="C1498" s="1" t="n">
        <v>45657</v>
      </c>
      <c r="D1498" t="inlineStr">
        <is>
          <t>VÄSTERNORRLANDS LÄN</t>
        </is>
      </c>
      <c r="E1498" t="inlineStr">
        <is>
          <t>ÅNGE</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47153-2023</t>
        </is>
      </c>
      <c r="B1499" s="1" t="n">
        <v>45202</v>
      </c>
      <c r="C1499" s="1" t="n">
        <v>45657</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47233-2023</t>
        </is>
      </c>
      <c r="B1500" s="1" t="n">
        <v>45202</v>
      </c>
      <c r="C1500" s="1" t="n">
        <v>45657</v>
      </c>
      <c r="D1500" t="inlineStr">
        <is>
          <t>VÄSTERNORRLANDS LÄN</t>
        </is>
      </c>
      <c r="E1500" t="inlineStr">
        <is>
          <t>ÅNGE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47489-2023</t>
        </is>
      </c>
      <c r="B1501" s="1" t="n">
        <v>45203</v>
      </c>
      <c r="C1501" s="1" t="n">
        <v>45657</v>
      </c>
      <c r="D1501" t="inlineStr">
        <is>
          <t>VÄSTERNORRLANDS LÄN</t>
        </is>
      </c>
      <c r="E1501" t="inlineStr">
        <is>
          <t>ÅNGE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47488-2023</t>
        </is>
      </c>
      <c r="B1502" s="1" t="n">
        <v>45203</v>
      </c>
      <c r="C1502" s="1" t="n">
        <v>45657</v>
      </c>
      <c r="D1502" t="inlineStr">
        <is>
          <t>VÄSTERNORRLANDS LÄN</t>
        </is>
      </c>
      <c r="E1502" t="inlineStr">
        <is>
          <t>ÅNGE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47779-2023</t>
        </is>
      </c>
      <c r="B1503" s="1" t="n">
        <v>45204</v>
      </c>
      <c r="C1503" s="1" t="n">
        <v>45657</v>
      </c>
      <c r="D1503" t="inlineStr">
        <is>
          <t>VÄSTERNORRLANDS LÄN</t>
        </is>
      </c>
      <c r="E1503" t="inlineStr">
        <is>
          <t>ÅNGE</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47787-2023</t>
        </is>
      </c>
      <c r="B1504" s="1" t="n">
        <v>45203</v>
      </c>
      <c r="C1504" s="1" t="n">
        <v>45657</v>
      </c>
      <c r="D1504" t="inlineStr">
        <is>
          <t>VÄSTERNORRLANDS LÄN</t>
        </is>
      </c>
      <c r="E1504" t="inlineStr">
        <is>
          <t>ÅNGE</t>
        </is>
      </c>
      <c r="F1504" t="inlineStr">
        <is>
          <t>SCA</t>
        </is>
      </c>
      <c r="G1504" t="n">
        <v>50.1</v>
      </c>
      <c r="H1504" t="n">
        <v>0</v>
      </c>
      <c r="I1504" t="n">
        <v>0</v>
      </c>
      <c r="J1504" t="n">
        <v>0</v>
      </c>
      <c r="K1504" t="n">
        <v>0</v>
      </c>
      <c r="L1504" t="n">
        <v>0</v>
      </c>
      <c r="M1504" t="n">
        <v>0</v>
      </c>
      <c r="N1504" t="n">
        <v>0</v>
      </c>
      <c r="O1504" t="n">
        <v>0</v>
      </c>
      <c r="P1504" t="n">
        <v>0</v>
      </c>
      <c r="Q1504" t="n">
        <v>0</v>
      </c>
      <c r="R1504" s="2" t="inlineStr"/>
    </row>
    <row r="1505" ht="15" customHeight="1">
      <c r="A1505" t="inlineStr">
        <is>
          <t>A 47786-2023</t>
        </is>
      </c>
      <c r="B1505" s="1" t="n">
        <v>45203</v>
      </c>
      <c r="C1505" s="1" t="n">
        <v>45657</v>
      </c>
      <c r="D1505" t="inlineStr">
        <is>
          <t>VÄSTERNORRLANDS LÄN</t>
        </is>
      </c>
      <c r="E1505" t="inlineStr">
        <is>
          <t>ÅNGE</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48815-2023</t>
        </is>
      </c>
      <c r="B1506" s="1" t="n">
        <v>45203</v>
      </c>
      <c r="C1506" s="1" t="n">
        <v>45657</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48811-2023</t>
        </is>
      </c>
      <c r="B1507" s="1" t="n">
        <v>45203</v>
      </c>
      <c r="C1507" s="1" t="n">
        <v>45657</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48061-2023</t>
        </is>
      </c>
      <c r="B1508" s="1" t="n">
        <v>45205</v>
      </c>
      <c r="C1508" s="1" t="n">
        <v>45657</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48773-2023</t>
        </is>
      </c>
      <c r="B1509" s="1" t="n">
        <v>45209</v>
      </c>
      <c r="C1509" s="1" t="n">
        <v>45657</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48774-2023</t>
        </is>
      </c>
      <c r="B1510" s="1" t="n">
        <v>45208</v>
      </c>
      <c r="C1510" s="1" t="n">
        <v>45657</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48632-2023</t>
        </is>
      </c>
      <c r="B1511" s="1" t="n">
        <v>45208</v>
      </c>
      <c r="C1511" s="1" t="n">
        <v>45657</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50095-2023</t>
        </is>
      </c>
      <c r="B1512" s="1" t="n">
        <v>45208</v>
      </c>
      <c r="C1512" s="1" t="n">
        <v>45657</v>
      </c>
      <c r="D1512" t="inlineStr">
        <is>
          <t>VÄSTERNORRLANDS LÄN</t>
        </is>
      </c>
      <c r="E1512" t="inlineStr">
        <is>
          <t>ÅNGE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49038-2023</t>
        </is>
      </c>
      <c r="B1513" s="1" t="n">
        <v>45209</v>
      </c>
      <c r="C1513" s="1" t="n">
        <v>45657</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49945-2023</t>
        </is>
      </c>
      <c r="B1514" s="1" t="n">
        <v>45215</v>
      </c>
      <c r="C1514" s="1" t="n">
        <v>45657</v>
      </c>
      <c r="D1514" t="inlineStr">
        <is>
          <t>VÄSTERNORRLANDS LÄN</t>
        </is>
      </c>
      <c r="E1514" t="inlineStr">
        <is>
          <t>ÅNGE</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50215-2023</t>
        </is>
      </c>
      <c r="B1515" s="1" t="n">
        <v>45216</v>
      </c>
      <c r="C1515" s="1" t="n">
        <v>45657</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51890-2023</t>
        </is>
      </c>
      <c r="B1516" s="1" t="n">
        <v>45215</v>
      </c>
      <c r="C1516" s="1" t="n">
        <v>45657</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51887-2023</t>
        </is>
      </c>
      <c r="B1517" s="1" t="n">
        <v>45215</v>
      </c>
      <c r="C1517" s="1" t="n">
        <v>45657</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51895-2023</t>
        </is>
      </c>
      <c r="B1518" s="1" t="n">
        <v>45215</v>
      </c>
      <c r="C1518" s="1" t="n">
        <v>45657</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51609-2023</t>
        </is>
      </c>
      <c r="B1519" s="1" t="n">
        <v>45215</v>
      </c>
      <c r="C1519" s="1" t="n">
        <v>45657</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51899-2023</t>
        </is>
      </c>
      <c r="B1520" s="1" t="n">
        <v>45215</v>
      </c>
      <c r="C1520" s="1" t="n">
        <v>45657</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50508-2023</t>
        </is>
      </c>
      <c r="B1521" s="1" t="n">
        <v>45217</v>
      </c>
      <c r="C1521" s="1" t="n">
        <v>45657</v>
      </c>
      <c r="D1521" t="inlineStr">
        <is>
          <t>VÄSTERNORRLANDS LÄN</t>
        </is>
      </c>
      <c r="E1521" t="inlineStr">
        <is>
          <t>ÅNGE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51011-2023</t>
        </is>
      </c>
      <c r="B1522" s="1" t="n">
        <v>45218</v>
      </c>
      <c r="C1522" s="1" t="n">
        <v>45657</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51055-2023</t>
        </is>
      </c>
      <c r="B1523" s="1" t="n">
        <v>45218</v>
      </c>
      <c r="C1523" s="1" t="n">
        <v>45657</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51411-2023</t>
        </is>
      </c>
      <c r="B1524" s="1" t="n">
        <v>45219</v>
      </c>
      <c r="C1524" s="1" t="n">
        <v>45657</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51270-2023</t>
        </is>
      </c>
      <c r="B1525" s="1" t="n">
        <v>45219</v>
      </c>
      <c r="C1525" s="1" t="n">
        <v>45657</v>
      </c>
      <c r="D1525" t="inlineStr">
        <is>
          <t>VÄSTERNORRLANDS LÄN</t>
        </is>
      </c>
      <c r="E1525" t="inlineStr">
        <is>
          <t>ÅNGE</t>
        </is>
      </c>
      <c r="F1525" t="inlineStr">
        <is>
          <t>Kyrkan</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51453-2023</t>
        </is>
      </c>
      <c r="B1526" s="1" t="n">
        <v>45220</v>
      </c>
      <c r="C1526" s="1" t="n">
        <v>45657</v>
      </c>
      <c r="D1526" t="inlineStr">
        <is>
          <t>VÄSTERNORRLANDS LÄN</t>
        </is>
      </c>
      <c r="E1526" t="inlineStr">
        <is>
          <t>ÅNGE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51575-2023</t>
        </is>
      </c>
      <c r="B1527" s="1" t="n">
        <v>45222</v>
      </c>
      <c r="C1527" s="1" t="n">
        <v>45657</v>
      </c>
      <c r="D1527" t="inlineStr">
        <is>
          <t>VÄSTERNORRLANDS LÄN</t>
        </is>
      </c>
      <c r="E1527" t="inlineStr">
        <is>
          <t>ÅNGE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53246-2023</t>
        </is>
      </c>
      <c r="B1528" s="1" t="n">
        <v>45222</v>
      </c>
      <c r="C1528" s="1" t="n">
        <v>45657</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51810-2023</t>
        </is>
      </c>
      <c r="B1529" s="1" t="n">
        <v>45223</v>
      </c>
      <c r="C1529" s="1" t="n">
        <v>45657</v>
      </c>
      <c r="D1529" t="inlineStr">
        <is>
          <t>VÄSTERNORRLANDS LÄN</t>
        </is>
      </c>
      <c r="E1529" t="inlineStr">
        <is>
          <t>ÅNGE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51907-2023</t>
        </is>
      </c>
      <c r="B1530" s="1" t="n">
        <v>45223</v>
      </c>
      <c r="C1530" s="1" t="n">
        <v>45657</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52742-2023</t>
        </is>
      </c>
      <c r="B1531" s="1" t="n">
        <v>45226</v>
      </c>
      <c r="C1531" s="1" t="n">
        <v>45657</v>
      </c>
      <c r="D1531" t="inlineStr">
        <is>
          <t>VÄSTERNORRLANDS LÄN</t>
        </is>
      </c>
      <c r="E1531" t="inlineStr">
        <is>
          <t>ÅNGE</t>
        </is>
      </c>
      <c r="F1531" t="inlineStr">
        <is>
          <t>SCA</t>
        </is>
      </c>
      <c r="G1531" t="n">
        <v>19.8</v>
      </c>
      <c r="H1531" t="n">
        <v>0</v>
      </c>
      <c r="I1531" t="n">
        <v>0</v>
      </c>
      <c r="J1531" t="n">
        <v>0</v>
      </c>
      <c r="K1531" t="n">
        <v>0</v>
      </c>
      <c r="L1531" t="n">
        <v>0</v>
      </c>
      <c r="M1531" t="n">
        <v>0</v>
      </c>
      <c r="N1531" t="n">
        <v>0</v>
      </c>
      <c r="O1531" t="n">
        <v>0</v>
      </c>
      <c r="P1531" t="n">
        <v>0</v>
      </c>
      <c r="Q1531" t="n">
        <v>0</v>
      </c>
      <c r="R1531" s="2" t="inlineStr"/>
    </row>
    <row r="1532" ht="15" customHeight="1">
      <c r="A1532" t="inlineStr">
        <is>
          <t>A 54771-2023</t>
        </is>
      </c>
      <c r="B1532" s="1" t="n">
        <v>45229</v>
      </c>
      <c r="C1532" s="1" t="n">
        <v>45657</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54754-2023</t>
        </is>
      </c>
      <c r="B1533" s="1" t="n">
        <v>45229</v>
      </c>
      <c r="C1533" s="1" t="n">
        <v>45657</v>
      </c>
      <c r="D1533" t="inlineStr">
        <is>
          <t>VÄSTERNORRLANDS LÄN</t>
        </is>
      </c>
      <c r="E1533" t="inlineStr">
        <is>
          <t>ÅNGE</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54761-2023</t>
        </is>
      </c>
      <c r="B1534" s="1" t="n">
        <v>45229</v>
      </c>
      <c r="C1534" s="1" t="n">
        <v>45657</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54823-2023</t>
        </is>
      </c>
      <c r="B1535" s="1" t="n">
        <v>45229</v>
      </c>
      <c r="C1535" s="1" t="n">
        <v>45657</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54769-2023</t>
        </is>
      </c>
      <c r="B1536" s="1" t="n">
        <v>45229</v>
      </c>
      <c r="C1536" s="1" t="n">
        <v>45657</v>
      </c>
      <c r="D1536" t="inlineStr">
        <is>
          <t>VÄSTERNORRLANDS LÄN</t>
        </is>
      </c>
      <c r="E1536" t="inlineStr">
        <is>
          <t>ÅNGE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54773-2023</t>
        </is>
      </c>
      <c r="B1537" s="1" t="n">
        <v>45229</v>
      </c>
      <c r="C1537" s="1" t="n">
        <v>45657</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53651-2023</t>
        </is>
      </c>
      <c r="B1538" s="1" t="n">
        <v>45230</v>
      </c>
      <c r="C1538" s="1" t="n">
        <v>45657</v>
      </c>
      <c r="D1538" t="inlineStr">
        <is>
          <t>VÄSTERNORRLANDS LÄN</t>
        </is>
      </c>
      <c r="E1538" t="inlineStr">
        <is>
          <t>ÅNGE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53627-2023</t>
        </is>
      </c>
      <c r="B1539" s="1" t="n">
        <v>45230</v>
      </c>
      <c r="C1539" s="1" t="n">
        <v>45657</v>
      </c>
      <c r="D1539" t="inlineStr">
        <is>
          <t>VÄSTERNORRLANDS LÄN</t>
        </is>
      </c>
      <c r="E1539" t="inlineStr">
        <is>
          <t>ÅNGE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53549-2023</t>
        </is>
      </c>
      <c r="B1540" s="1" t="n">
        <v>45230</v>
      </c>
      <c r="C1540" s="1" t="n">
        <v>45657</v>
      </c>
      <c r="D1540" t="inlineStr">
        <is>
          <t>VÄSTERNORRLANDS LÄN</t>
        </is>
      </c>
      <c r="E1540" t="inlineStr">
        <is>
          <t>ÅNGE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53765-2023</t>
        </is>
      </c>
      <c r="B1541" s="1" t="n">
        <v>45231</v>
      </c>
      <c r="C1541" s="1" t="n">
        <v>45657</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53512-2023</t>
        </is>
      </c>
      <c r="B1542" s="1" t="n">
        <v>45230</v>
      </c>
      <c r="C1542" s="1" t="n">
        <v>45657</v>
      </c>
      <c r="D1542" t="inlineStr">
        <is>
          <t>VÄSTERNORRLANDS LÄN</t>
        </is>
      </c>
      <c r="E1542" t="inlineStr">
        <is>
          <t>ÅNGE</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54079-2023</t>
        </is>
      </c>
      <c r="B1543" s="1" t="n">
        <v>45231</v>
      </c>
      <c r="C1543" s="1" t="n">
        <v>45657</v>
      </c>
      <c r="D1543" t="inlineStr">
        <is>
          <t>VÄSTERNORRLANDS LÄN</t>
        </is>
      </c>
      <c r="E1543" t="inlineStr">
        <is>
          <t>ÅNGE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54060-2023</t>
        </is>
      </c>
      <c r="B1544" s="1" t="n">
        <v>45232</v>
      </c>
      <c r="C1544" s="1" t="n">
        <v>45657</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54065-2023</t>
        </is>
      </c>
      <c r="B1545" s="1" t="n">
        <v>45232</v>
      </c>
      <c r="C1545" s="1" t="n">
        <v>45657</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54338-2023</t>
        </is>
      </c>
      <c r="B1546" s="1" t="n">
        <v>45232</v>
      </c>
      <c r="C1546" s="1" t="n">
        <v>45657</v>
      </c>
      <c r="D1546" t="inlineStr">
        <is>
          <t>VÄSTERNORRLANDS LÄN</t>
        </is>
      </c>
      <c r="E1546" t="inlineStr">
        <is>
          <t>ÅNGE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54342-2023</t>
        </is>
      </c>
      <c r="B1547" s="1" t="n">
        <v>45232</v>
      </c>
      <c r="C1547" s="1" t="n">
        <v>45657</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54346-2023</t>
        </is>
      </c>
      <c r="B1548" s="1" t="n">
        <v>45233</v>
      </c>
      <c r="C1548" s="1" t="n">
        <v>45657</v>
      </c>
      <c r="D1548" t="inlineStr">
        <is>
          <t>VÄSTERNORRLANDS LÄN</t>
        </is>
      </c>
      <c r="E1548" t="inlineStr">
        <is>
          <t>ÅNGE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54336-2023</t>
        </is>
      </c>
      <c r="B1549" s="1" t="n">
        <v>45233</v>
      </c>
      <c r="C1549" s="1" t="n">
        <v>45657</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54341-2023</t>
        </is>
      </c>
      <c r="B1550" s="1" t="n">
        <v>45232</v>
      </c>
      <c r="C1550" s="1" t="n">
        <v>45657</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54339-2023</t>
        </is>
      </c>
      <c r="B1551" s="1" t="n">
        <v>45233</v>
      </c>
      <c r="C1551" s="1" t="n">
        <v>45657</v>
      </c>
      <c r="D1551" t="inlineStr">
        <is>
          <t>VÄSTERNORRLANDS LÄN</t>
        </is>
      </c>
      <c r="E1551" t="inlineStr">
        <is>
          <t>ÅNGE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54613-2023</t>
        </is>
      </c>
      <c r="B1552" s="1" t="n">
        <v>45233</v>
      </c>
      <c r="C1552" s="1" t="n">
        <v>45657</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54611-2023</t>
        </is>
      </c>
      <c r="B1553" s="1" t="n">
        <v>45233</v>
      </c>
      <c r="C1553" s="1" t="n">
        <v>45657</v>
      </c>
      <c r="D1553" t="inlineStr">
        <is>
          <t>VÄSTERNORRLANDS LÄN</t>
        </is>
      </c>
      <c r="E1553" t="inlineStr">
        <is>
          <t>ÅNGE</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54614-2023</t>
        </is>
      </c>
      <c r="B1554" s="1" t="n">
        <v>45233</v>
      </c>
      <c r="C1554" s="1" t="n">
        <v>45657</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54602-2023</t>
        </is>
      </c>
      <c r="B1555" s="1" t="n">
        <v>45233</v>
      </c>
      <c r="C1555" s="1" t="n">
        <v>45657</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54566-2023</t>
        </is>
      </c>
      <c r="B1556" s="1" t="n">
        <v>45233</v>
      </c>
      <c r="C1556" s="1" t="n">
        <v>45657</v>
      </c>
      <c r="D1556" t="inlineStr">
        <is>
          <t>VÄSTERNORRLANDS LÄN</t>
        </is>
      </c>
      <c r="E1556" t="inlineStr">
        <is>
          <t>ÅNGE</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45657</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55329-2023</t>
        </is>
      </c>
      <c r="B1558" s="1" t="n">
        <v>45237</v>
      </c>
      <c r="C1558" s="1" t="n">
        <v>45657</v>
      </c>
      <c r="D1558" t="inlineStr">
        <is>
          <t>VÄSTERNORRLANDS LÄN</t>
        </is>
      </c>
      <c r="E1558" t="inlineStr">
        <is>
          <t>ÅNGE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55324-2023</t>
        </is>
      </c>
      <c r="B1559" s="1" t="n">
        <v>45238</v>
      </c>
      <c r="C1559" s="1" t="n">
        <v>45657</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55328-2023</t>
        </is>
      </c>
      <c r="B1560" s="1" t="n">
        <v>45237</v>
      </c>
      <c r="C1560" s="1" t="n">
        <v>45657</v>
      </c>
      <c r="D1560" t="inlineStr">
        <is>
          <t>VÄSTERNORRLANDS LÄN</t>
        </is>
      </c>
      <c r="E1560" t="inlineStr">
        <is>
          <t>ÅNGE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55664-2023</t>
        </is>
      </c>
      <c r="B1561" s="1" t="n">
        <v>45239</v>
      </c>
      <c r="C1561" s="1" t="n">
        <v>45657</v>
      </c>
      <c r="D1561" t="inlineStr">
        <is>
          <t>VÄSTERNORRLANDS LÄN</t>
        </is>
      </c>
      <c r="E1561" t="inlineStr">
        <is>
          <t>ÅNGE</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55670-2023</t>
        </is>
      </c>
      <c r="B1562" s="1" t="n">
        <v>45239</v>
      </c>
      <c r="C1562" s="1" t="n">
        <v>45657</v>
      </c>
      <c r="D1562" t="inlineStr">
        <is>
          <t>VÄSTERNORRLANDS LÄN</t>
        </is>
      </c>
      <c r="E1562" t="inlineStr">
        <is>
          <t>ÅNGE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56519-2023</t>
        </is>
      </c>
      <c r="B1563" s="1" t="n">
        <v>45238</v>
      </c>
      <c r="C1563" s="1" t="n">
        <v>45657</v>
      </c>
      <c r="D1563" t="inlineStr">
        <is>
          <t>VÄSTERNORRLANDS LÄN</t>
        </is>
      </c>
      <c r="E1563" t="inlineStr">
        <is>
          <t>ÅNGE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55924-2023</t>
        </is>
      </c>
      <c r="B1564" s="1" t="n">
        <v>45239</v>
      </c>
      <c r="C1564" s="1" t="n">
        <v>45657</v>
      </c>
      <c r="D1564" t="inlineStr">
        <is>
          <t>VÄSTERNORRLANDS LÄN</t>
        </is>
      </c>
      <c r="E1564" t="inlineStr">
        <is>
          <t>ÅNGE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55932-2023</t>
        </is>
      </c>
      <c r="B1565" s="1" t="n">
        <v>45239</v>
      </c>
      <c r="C1565" s="1" t="n">
        <v>45657</v>
      </c>
      <c r="D1565" t="inlineStr">
        <is>
          <t>VÄSTERNORRLANDS LÄN</t>
        </is>
      </c>
      <c r="E1565" t="inlineStr">
        <is>
          <t>ÅNGE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55925-2023</t>
        </is>
      </c>
      <c r="B1566" s="1" t="n">
        <v>45240</v>
      </c>
      <c r="C1566" s="1" t="n">
        <v>45657</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57109-2023</t>
        </is>
      </c>
      <c r="B1567" s="1" t="n">
        <v>45239</v>
      </c>
      <c r="C1567" s="1" t="n">
        <v>45657</v>
      </c>
      <c r="D1567" t="inlineStr">
        <is>
          <t>VÄSTERNORRLANDS LÄN</t>
        </is>
      </c>
      <c r="E1567" t="inlineStr">
        <is>
          <t>ÅNGE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56585-2023</t>
        </is>
      </c>
      <c r="B1568" s="1" t="n">
        <v>45243</v>
      </c>
      <c r="C1568" s="1" t="n">
        <v>45657</v>
      </c>
      <c r="D1568" t="inlineStr">
        <is>
          <t>VÄSTERNORRLANDS LÄN</t>
        </is>
      </c>
      <c r="E1568" t="inlineStr">
        <is>
          <t>ÅNGE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56615-2023</t>
        </is>
      </c>
      <c r="B1569" s="1" t="n">
        <v>45243</v>
      </c>
      <c r="C1569" s="1" t="n">
        <v>45657</v>
      </c>
      <c r="D1569" t="inlineStr">
        <is>
          <t>VÄSTERNORRLANDS LÄN</t>
        </is>
      </c>
      <c r="E1569" t="inlineStr">
        <is>
          <t>ÅNGE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56683-2023</t>
        </is>
      </c>
      <c r="B1570" s="1" t="n">
        <v>45243</v>
      </c>
      <c r="C1570" s="1" t="n">
        <v>45657</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56699-2023</t>
        </is>
      </c>
      <c r="B1571" s="1" t="n">
        <v>45243</v>
      </c>
      <c r="C1571" s="1" t="n">
        <v>45657</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57560-2023</t>
        </is>
      </c>
      <c r="B1572" s="1" t="n">
        <v>45243</v>
      </c>
      <c r="C1572" s="1" t="n">
        <v>45657</v>
      </c>
      <c r="D1572" t="inlineStr">
        <is>
          <t>VÄSTERNORRLANDS LÄN</t>
        </is>
      </c>
      <c r="E1572" t="inlineStr">
        <is>
          <t>ÅNGE</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56696-2023</t>
        </is>
      </c>
      <c r="B1573" s="1" t="n">
        <v>45244</v>
      </c>
      <c r="C1573" s="1" t="n">
        <v>45657</v>
      </c>
      <c r="D1573" t="inlineStr">
        <is>
          <t>VÄSTERNORRLANDS LÄN</t>
        </is>
      </c>
      <c r="E1573" t="inlineStr">
        <is>
          <t>ÅNGE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56700-2023</t>
        </is>
      </c>
      <c r="B1574" s="1" t="n">
        <v>45244</v>
      </c>
      <c r="C1574" s="1" t="n">
        <v>45657</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57396-2023</t>
        </is>
      </c>
      <c r="B1575" s="1" t="n">
        <v>45245</v>
      </c>
      <c r="C1575" s="1" t="n">
        <v>45657</v>
      </c>
      <c r="D1575" t="inlineStr">
        <is>
          <t>VÄSTERNORRLANDS LÄN</t>
        </is>
      </c>
      <c r="E1575" t="inlineStr">
        <is>
          <t>ÅNGE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57408-2023</t>
        </is>
      </c>
      <c r="B1576" s="1" t="n">
        <v>45245</v>
      </c>
      <c r="C1576" s="1" t="n">
        <v>45657</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57406-2023</t>
        </is>
      </c>
      <c r="B1577" s="1" t="n">
        <v>45245</v>
      </c>
      <c r="C1577" s="1" t="n">
        <v>45657</v>
      </c>
      <c r="D1577" t="inlineStr">
        <is>
          <t>VÄSTERNORRLANDS LÄN</t>
        </is>
      </c>
      <c r="E1577" t="inlineStr">
        <is>
          <t>ÅNGE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57410-2023</t>
        </is>
      </c>
      <c r="B1578" s="1" t="n">
        <v>45245</v>
      </c>
      <c r="C1578" s="1" t="n">
        <v>45657</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57516-2023</t>
        </is>
      </c>
      <c r="B1579" s="1" t="n">
        <v>45246</v>
      </c>
      <c r="C1579" s="1" t="n">
        <v>45657</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57568-2023</t>
        </is>
      </c>
      <c r="B1580" s="1" t="n">
        <v>45246</v>
      </c>
      <c r="C1580" s="1" t="n">
        <v>45657</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57791-2023</t>
        </is>
      </c>
      <c r="B1581" s="1" t="n">
        <v>45247</v>
      </c>
      <c r="C1581" s="1" t="n">
        <v>45657</v>
      </c>
      <c r="D1581" t="inlineStr">
        <is>
          <t>VÄSTERNORRLANDS LÄN</t>
        </is>
      </c>
      <c r="E1581" t="inlineStr">
        <is>
          <t>ÅNGE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57780-2023</t>
        </is>
      </c>
      <c r="B1582" s="1" t="n">
        <v>45247</v>
      </c>
      <c r="C1582" s="1" t="n">
        <v>45657</v>
      </c>
      <c r="D1582" t="inlineStr">
        <is>
          <t>VÄSTERNORRLANDS LÄN</t>
        </is>
      </c>
      <c r="E1582" t="inlineStr">
        <is>
          <t>ÅNGE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57927-2023</t>
        </is>
      </c>
      <c r="B1583" s="1" t="n">
        <v>45247</v>
      </c>
      <c r="C1583" s="1" t="n">
        <v>45657</v>
      </c>
      <c r="D1583" t="inlineStr">
        <is>
          <t>VÄSTERNORRLANDS LÄN</t>
        </is>
      </c>
      <c r="E1583" t="inlineStr">
        <is>
          <t>ÅNGE</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57956-2023</t>
        </is>
      </c>
      <c r="B1584" s="1" t="n">
        <v>45247</v>
      </c>
      <c r="C1584" s="1" t="n">
        <v>45657</v>
      </c>
      <c r="D1584" t="inlineStr">
        <is>
          <t>VÄSTERNORRLANDS LÄN</t>
        </is>
      </c>
      <c r="E1584" t="inlineStr">
        <is>
          <t>ÅNGE</t>
        </is>
      </c>
      <c r="F1584" t="inlineStr">
        <is>
          <t>Holmen skog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58086-2023</t>
        </is>
      </c>
      <c r="B1585" s="1" t="n">
        <v>45248</v>
      </c>
      <c r="C1585" s="1" t="n">
        <v>45657</v>
      </c>
      <c r="D1585" t="inlineStr">
        <is>
          <t>VÄSTERNORRLANDS LÄN</t>
        </is>
      </c>
      <c r="E1585" t="inlineStr">
        <is>
          <t>ÅNGE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58098-2023</t>
        </is>
      </c>
      <c r="B1586" s="1" t="n">
        <v>45248</v>
      </c>
      <c r="C1586" s="1" t="n">
        <v>45657</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58287-2023</t>
        </is>
      </c>
      <c r="B1587" s="1" t="n">
        <v>45250</v>
      </c>
      <c r="C1587" s="1" t="n">
        <v>45657</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58469-2023</t>
        </is>
      </c>
      <c r="B1588" s="1" t="n">
        <v>45250</v>
      </c>
      <c r="C1588" s="1" t="n">
        <v>45657</v>
      </c>
      <c r="D1588" t="inlineStr">
        <is>
          <t>VÄSTERNORRLANDS LÄN</t>
        </is>
      </c>
      <c r="E1588" t="inlineStr">
        <is>
          <t>ÅNGE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58522-2023</t>
        </is>
      </c>
      <c r="B1589" s="1" t="n">
        <v>45251</v>
      </c>
      <c r="C1589" s="1" t="n">
        <v>45657</v>
      </c>
      <c r="D1589" t="inlineStr">
        <is>
          <t>VÄSTERNORRLANDS LÄN</t>
        </is>
      </c>
      <c r="E1589" t="inlineStr">
        <is>
          <t>ÅNGE</t>
        </is>
      </c>
      <c r="F1589" t="inlineStr">
        <is>
          <t>Övriga Aktiebolag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58550-2023</t>
        </is>
      </c>
      <c r="B1590" s="1" t="n">
        <v>45251</v>
      </c>
      <c r="C1590" s="1" t="n">
        <v>45657</v>
      </c>
      <c r="D1590" t="inlineStr">
        <is>
          <t>VÄSTERNORRLANDS LÄN</t>
        </is>
      </c>
      <c r="E1590" t="inlineStr">
        <is>
          <t>ÅNGE</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58613-2023</t>
        </is>
      </c>
      <c r="B1591" s="1" t="n">
        <v>45251</v>
      </c>
      <c r="C1591" s="1" t="n">
        <v>45657</v>
      </c>
      <c r="D1591" t="inlineStr">
        <is>
          <t>VÄSTERNORRLANDS LÄN</t>
        </is>
      </c>
      <c r="E1591" t="inlineStr">
        <is>
          <t>ÅNGE</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58634-2023</t>
        </is>
      </c>
      <c r="B1592" s="1" t="n">
        <v>45251</v>
      </c>
      <c r="C1592" s="1" t="n">
        <v>45657</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58637-2023</t>
        </is>
      </c>
      <c r="B1593" s="1" t="n">
        <v>45251</v>
      </c>
      <c r="C1593" s="1" t="n">
        <v>45657</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45657</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58748-2023</t>
        </is>
      </c>
      <c r="B1595" s="1" t="n">
        <v>45251</v>
      </c>
      <c r="C1595" s="1" t="n">
        <v>45657</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58639-2023</t>
        </is>
      </c>
      <c r="B1596" s="1" t="n">
        <v>45251</v>
      </c>
      <c r="C1596" s="1" t="n">
        <v>45657</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v>
      </c>
      <c r="C1597" s="1" t="n">
        <v>45657</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59099-2023</t>
        </is>
      </c>
      <c r="B1598" s="1" t="n">
        <v>45253</v>
      </c>
      <c r="C1598" s="1" t="n">
        <v>45657</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59264-2023</t>
        </is>
      </c>
      <c r="B1599" s="1" t="n">
        <v>45253</v>
      </c>
      <c r="C1599" s="1" t="n">
        <v>45657</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59491-2023</t>
        </is>
      </c>
      <c r="B1600" s="1" t="n">
        <v>45254</v>
      </c>
      <c r="C1600" s="1" t="n">
        <v>45657</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60005-2023</t>
        </is>
      </c>
      <c r="B1601" s="1" t="n">
        <v>45258</v>
      </c>
      <c r="C1601" s="1" t="n">
        <v>45657</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60004-2023</t>
        </is>
      </c>
      <c r="B1602" s="1" t="n">
        <v>45257</v>
      </c>
      <c r="C1602" s="1" t="n">
        <v>45657</v>
      </c>
      <c r="D1602" t="inlineStr">
        <is>
          <t>VÄSTERNORRLANDS LÄN</t>
        </is>
      </c>
      <c r="E1602" t="inlineStr">
        <is>
          <t>ÅNGE</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45657</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60216-2023</t>
        </is>
      </c>
      <c r="B1604" s="1" t="n">
        <v>45257</v>
      </c>
      <c r="C1604" s="1" t="n">
        <v>45657</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60001-2023</t>
        </is>
      </c>
      <c r="B1605" s="1" t="n">
        <v>45257</v>
      </c>
      <c r="C1605" s="1" t="n">
        <v>45657</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60209-2023</t>
        </is>
      </c>
      <c r="B1606" s="1" t="n">
        <v>45257</v>
      </c>
      <c r="C1606" s="1" t="n">
        <v>45657</v>
      </c>
      <c r="D1606" t="inlineStr">
        <is>
          <t>VÄSTERNORRLANDS LÄN</t>
        </is>
      </c>
      <c r="E1606" t="inlineStr">
        <is>
          <t>ÅNGE</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60003-2023</t>
        </is>
      </c>
      <c r="B1607" s="1" t="n">
        <v>45257</v>
      </c>
      <c r="C1607" s="1" t="n">
        <v>45657</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59999-2023</t>
        </is>
      </c>
      <c r="B1608" s="1" t="n">
        <v>45258</v>
      </c>
      <c r="C1608" s="1" t="n">
        <v>45657</v>
      </c>
      <c r="D1608" t="inlineStr">
        <is>
          <t>VÄSTERNORRLANDS LÄN</t>
        </is>
      </c>
      <c r="E1608" t="inlineStr">
        <is>
          <t>ÅNGE</t>
        </is>
      </c>
      <c r="F1608" t="inlineStr">
        <is>
          <t>SCA</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60156-2023</t>
        </is>
      </c>
      <c r="B1609" s="1" t="n">
        <v>45258</v>
      </c>
      <c r="C1609" s="1" t="n">
        <v>45657</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60153-2023</t>
        </is>
      </c>
      <c r="B1610" s="1" t="n">
        <v>45258</v>
      </c>
      <c r="C1610" s="1" t="n">
        <v>45657</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60568-2023</t>
        </is>
      </c>
      <c r="B1611" s="1" t="n">
        <v>45259</v>
      </c>
      <c r="C1611" s="1" t="n">
        <v>45657</v>
      </c>
      <c r="D1611" t="inlineStr">
        <is>
          <t>VÄSTERNORRLANDS LÄN</t>
        </is>
      </c>
      <c r="E1611" t="inlineStr">
        <is>
          <t>ÅNGE</t>
        </is>
      </c>
      <c r="F1611" t="inlineStr">
        <is>
          <t>Kyrkan</t>
        </is>
      </c>
      <c r="G1611" t="n">
        <v>23.2</v>
      </c>
      <c r="H1611" t="n">
        <v>0</v>
      </c>
      <c r="I1611" t="n">
        <v>0</v>
      </c>
      <c r="J1611" t="n">
        <v>0</v>
      </c>
      <c r="K1611" t="n">
        <v>0</v>
      </c>
      <c r="L1611" t="n">
        <v>0</v>
      </c>
      <c r="M1611" t="n">
        <v>0</v>
      </c>
      <c r="N1611" t="n">
        <v>0</v>
      </c>
      <c r="O1611" t="n">
        <v>0</v>
      </c>
      <c r="P1611" t="n">
        <v>0</v>
      </c>
      <c r="Q1611" t="n">
        <v>0</v>
      </c>
      <c r="R1611" s="2" t="inlineStr"/>
    </row>
    <row r="1612" ht="15" customHeight="1">
      <c r="A1612" t="inlineStr">
        <is>
          <t>A 61335-2023</t>
        </is>
      </c>
      <c r="B1612" s="1" t="n">
        <v>45264</v>
      </c>
      <c r="C1612" s="1" t="n">
        <v>45657</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61461-2023</t>
        </is>
      </c>
      <c r="B1613" s="1" t="n">
        <v>45264</v>
      </c>
      <c r="C1613" s="1" t="n">
        <v>45657</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61577-2023</t>
        </is>
      </c>
      <c r="B1614" s="1" t="n">
        <v>45265</v>
      </c>
      <c r="C1614" s="1" t="n">
        <v>45657</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61781-2023</t>
        </is>
      </c>
      <c r="B1615" s="1" t="n">
        <v>45265</v>
      </c>
      <c r="C1615" s="1" t="n">
        <v>45657</v>
      </c>
      <c r="D1615" t="inlineStr">
        <is>
          <t>VÄSTERNORRLANDS LÄN</t>
        </is>
      </c>
      <c r="E1615" t="inlineStr">
        <is>
          <t>ÅNGE</t>
        </is>
      </c>
      <c r="F1615" t="inlineStr">
        <is>
          <t>SCA</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61797-2023</t>
        </is>
      </c>
      <c r="B1616" s="1" t="n">
        <v>45265</v>
      </c>
      <c r="C1616" s="1" t="n">
        <v>45657</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61782-2023</t>
        </is>
      </c>
      <c r="B1617" s="1" t="n">
        <v>45265</v>
      </c>
      <c r="C1617" s="1" t="n">
        <v>45657</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62111-2023</t>
        </is>
      </c>
      <c r="B1618" s="1" t="n">
        <v>45266</v>
      </c>
      <c r="C1618" s="1" t="n">
        <v>45657</v>
      </c>
      <c r="D1618" t="inlineStr">
        <is>
          <t>VÄSTERNORRLANDS LÄN</t>
        </is>
      </c>
      <c r="E1618" t="inlineStr">
        <is>
          <t>ÅNGE</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62551-2023</t>
        </is>
      </c>
      <c r="B1619" s="1" t="n">
        <v>45268</v>
      </c>
      <c r="C1619" s="1" t="n">
        <v>45657</v>
      </c>
      <c r="D1619" t="inlineStr">
        <is>
          <t>VÄSTERNORRLANDS LÄN</t>
        </is>
      </c>
      <c r="E1619" t="inlineStr">
        <is>
          <t>ÅNGE</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62562-2023</t>
        </is>
      </c>
      <c r="B1620" s="1" t="n">
        <v>45268</v>
      </c>
      <c r="C1620" s="1" t="n">
        <v>45657</v>
      </c>
      <c r="D1620" t="inlineStr">
        <is>
          <t>VÄSTERNORRLANDS LÄN</t>
        </is>
      </c>
      <c r="E1620" t="inlineStr">
        <is>
          <t>ÅNGE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63066-2023</t>
        </is>
      </c>
      <c r="B1621" s="1" t="n">
        <v>45272</v>
      </c>
      <c r="C1621" s="1" t="n">
        <v>45657</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63064-2023</t>
        </is>
      </c>
      <c r="B1622" s="1" t="n">
        <v>45272</v>
      </c>
      <c r="C1622" s="1" t="n">
        <v>45657</v>
      </c>
      <c r="D1622" t="inlineStr">
        <is>
          <t>VÄSTERNORRLANDS LÄN</t>
        </is>
      </c>
      <c r="E1622" t="inlineStr">
        <is>
          <t>ÅNGE</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63057-2023</t>
        </is>
      </c>
      <c r="B1623" s="1" t="n">
        <v>45272</v>
      </c>
      <c r="C1623" s="1" t="n">
        <v>45657</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63065-2023</t>
        </is>
      </c>
      <c r="B1624" s="1" t="n">
        <v>45272</v>
      </c>
      <c r="C1624" s="1" t="n">
        <v>45657</v>
      </c>
      <c r="D1624" t="inlineStr">
        <is>
          <t>VÄSTERNORRLANDS LÄN</t>
        </is>
      </c>
      <c r="E1624" t="inlineStr">
        <is>
          <t>ÅNGE</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63170-2023</t>
        </is>
      </c>
      <c r="B1625" s="1" t="n">
        <v>45273</v>
      </c>
      <c r="C1625" s="1" t="n">
        <v>45657</v>
      </c>
      <c r="D1625" t="inlineStr">
        <is>
          <t>VÄSTERNORRLANDS LÄN</t>
        </is>
      </c>
      <c r="E1625" t="inlineStr">
        <is>
          <t>ÅNGE</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63216-2023</t>
        </is>
      </c>
      <c r="B1626" s="1" t="n">
        <v>45273</v>
      </c>
      <c r="C1626" s="1" t="n">
        <v>45657</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63290-2023</t>
        </is>
      </c>
      <c r="B1627" s="1" t="n">
        <v>45273</v>
      </c>
      <c r="C1627" s="1" t="n">
        <v>45657</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63374-2023</t>
        </is>
      </c>
      <c r="B1628" s="1" t="n">
        <v>45274</v>
      </c>
      <c r="C1628" s="1" t="n">
        <v>45657</v>
      </c>
      <c r="D1628" t="inlineStr">
        <is>
          <t>VÄSTERNORRLANDS LÄN</t>
        </is>
      </c>
      <c r="E1628" t="inlineStr">
        <is>
          <t>ÅNGE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63531-2023</t>
        </is>
      </c>
      <c r="B1629" s="1" t="n">
        <v>45274</v>
      </c>
      <c r="C1629" s="1" t="n">
        <v>45657</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63530-2023</t>
        </is>
      </c>
      <c r="B1630" s="1" t="n">
        <v>45274</v>
      </c>
      <c r="C1630" s="1" t="n">
        <v>45657</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63535-2023</t>
        </is>
      </c>
      <c r="B1631" s="1" t="n">
        <v>45274</v>
      </c>
      <c r="C1631" s="1" t="n">
        <v>45657</v>
      </c>
      <c r="D1631" t="inlineStr">
        <is>
          <t>VÄSTERNORRLANDS LÄN</t>
        </is>
      </c>
      <c r="E1631" t="inlineStr">
        <is>
          <t>ÅNGE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63709-2023</t>
        </is>
      </c>
      <c r="B1632" s="1" t="n">
        <v>45275</v>
      </c>
      <c r="C1632" s="1" t="n">
        <v>45657</v>
      </c>
      <c r="D1632" t="inlineStr">
        <is>
          <t>VÄSTERNORRLANDS LÄN</t>
        </is>
      </c>
      <c r="E1632" t="inlineStr">
        <is>
          <t>ÅNGE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64392-2023</t>
        </is>
      </c>
      <c r="B1633" s="1" t="n">
        <v>45280</v>
      </c>
      <c r="C1633" s="1" t="n">
        <v>45657</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64375-2023</t>
        </is>
      </c>
      <c r="B1634" s="1" t="n">
        <v>45280</v>
      </c>
      <c r="C1634" s="1" t="n">
        <v>45657</v>
      </c>
      <c r="D1634" t="inlineStr">
        <is>
          <t>VÄSTERNORRLANDS LÄN</t>
        </is>
      </c>
      <c r="E1634" t="inlineStr">
        <is>
          <t>ÅNGE</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64510-2023</t>
        </is>
      </c>
      <c r="B1635" s="1" t="n">
        <v>45281</v>
      </c>
      <c r="C1635" s="1" t="n">
        <v>45657</v>
      </c>
      <c r="D1635" t="inlineStr">
        <is>
          <t>VÄSTERNORRLANDS LÄN</t>
        </is>
      </c>
      <c r="E1635" t="inlineStr">
        <is>
          <t>ÅNGE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64523-2023</t>
        </is>
      </c>
      <c r="B1636" s="1" t="n">
        <v>45281</v>
      </c>
      <c r="C1636" s="1" t="n">
        <v>45657</v>
      </c>
      <c r="D1636" t="inlineStr">
        <is>
          <t>VÄSTERNORRLANDS LÄN</t>
        </is>
      </c>
      <c r="E1636" t="inlineStr">
        <is>
          <t>ÅNGE</t>
        </is>
      </c>
      <c r="G1636" t="n">
        <v>62.6</v>
      </c>
      <c r="H1636" t="n">
        <v>0</v>
      </c>
      <c r="I1636" t="n">
        <v>0</v>
      </c>
      <c r="J1636" t="n">
        <v>0</v>
      </c>
      <c r="K1636" t="n">
        <v>0</v>
      </c>
      <c r="L1636" t="n">
        <v>0</v>
      </c>
      <c r="M1636" t="n">
        <v>0</v>
      </c>
      <c r="N1636" t="n">
        <v>0</v>
      </c>
      <c r="O1636" t="n">
        <v>0</v>
      </c>
      <c r="P1636" t="n">
        <v>0</v>
      </c>
      <c r="Q1636" t="n">
        <v>0</v>
      </c>
      <c r="R1636" s="2" t="inlineStr"/>
    </row>
    <row r="1637" ht="15" customHeight="1">
      <c r="A1637" t="inlineStr">
        <is>
          <t>A 64946-2023</t>
        </is>
      </c>
      <c r="B1637" s="1" t="n">
        <v>45282</v>
      </c>
      <c r="C1637" s="1" t="n">
        <v>45657</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64950-2023</t>
        </is>
      </c>
      <c r="B1638" s="1" t="n">
        <v>45282</v>
      </c>
      <c r="C1638" s="1" t="n">
        <v>45657</v>
      </c>
      <c r="D1638" t="inlineStr">
        <is>
          <t>VÄSTERNORRLANDS LÄN</t>
        </is>
      </c>
      <c r="E1638" t="inlineStr">
        <is>
          <t>ÅNGE</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64947-2023</t>
        </is>
      </c>
      <c r="B1639" s="1" t="n">
        <v>45282</v>
      </c>
      <c r="C1639" s="1" t="n">
        <v>45657</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64945-2023</t>
        </is>
      </c>
      <c r="B1640" s="1" t="n">
        <v>45282</v>
      </c>
      <c r="C1640" s="1" t="n">
        <v>45657</v>
      </c>
      <c r="D1640" t="inlineStr">
        <is>
          <t>VÄSTERNORRLANDS LÄN</t>
        </is>
      </c>
      <c r="E1640" t="inlineStr">
        <is>
          <t>ÅNGE</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65021-2023</t>
        </is>
      </c>
      <c r="B1641" s="1" t="n">
        <v>45287</v>
      </c>
      <c r="C1641" s="1" t="n">
        <v>45657</v>
      </c>
      <c r="D1641" t="inlineStr">
        <is>
          <t>VÄSTERNORRLANDS LÄN</t>
        </is>
      </c>
      <c r="E1641" t="inlineStr">
        <is>
          <t>ÅNGE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213-2024</t>
        </is>
      </c>
      <c r="B1642" s="1" t="n">
        <v>45293</v>
      </c>
      <c r="C1642" s="1" t="n">
        <v>45657</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253-2024</t>
        </is>
      </c>
      <c r="B1643" s="1" t="n">
        <v>45294</v>
      </c>
      <c r="C1643" s="1" t="n">
        <v>45657</v>
      </c>
      <c r="D1643" t="inlineStr">
        <is>
          <t>VÄSTERNORRLANDS LÄN</t>
        </is>
      </c>
      <c r="E1643" t="inlineStr">
        <is>
          <t>ÅNGE</t>
        </is>
      </c>
      <c r="F1643" t="inlineStr">
        <is>
          <t>SCA</t>
        </is>
      </c>
      <c r="G1643" t="n">
        <v>54.6</v>
      </c>
      <c r="H1643" t="n">
        <v>0</v>
      </c>
      <c r="I1643" t="n">
        <v>0</v>
      </c>
      <c r="J1643" t="n">
        <v>0</v>
      </c>
      <c r="K1643" t="n">
        <v>0</v>
      </c>
      <c r="L1643" t="n">
        <v>0</v>
      </c>
      <c r="M1643" t="n">
        <v>0</v>
      </c>
      <c r="N1643" t="n">
        <v>0</v>
      </c>
      <c r="O1643" t="n">
        <v>0</v>
      </c>
      <c r="P1643" t="n">
        <v>0</v>
      </c>
      <c r="Q1643" t="n">
        <v>0</v>
      </c>
      <c r="R1643" s="2" t="inlineStr"/>
    </row>
    <row r="1644" ht="15" customHeight="1">
      <c r="A1644" t="inlineStr">
        <is>
          <t>A 251-2024</t>
        </is>
      </c>
      <c r="B1644" s="1" t="n">
        <v>45294</v>
      </c>
      <c r="C1644" s="1" t="n">
        <v>45657</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256-2024</t>
        </is>
      </c>
      <c r="B1645" s="1" t="n">
        <v>45295</v>
      </c>
      <c r="C1645" s="1" t="n">
        <v>45657</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405-2024</t>
        </is>
      </c>
      <c r="B1646" s="1" t="n">
        <v>45296</v>
      </c>
      <c r="C1646" s="1" t="n">
        <v>45657</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741-2024</t>
        </is>
      </c>
      <c r="B1647" s="1" t="n">
        <v>45300</v>
      </c>
      <c r="C1647" s="1" t="n">
        <v>45657</v>
      </c>
      <c r="D1647" t="inlineStr">
        <is>
          <t>VÄSTERNORRLANDS LÄN</t>
        </is>
      </c>
      <c r="E1647" t="inlineStr">
        <is>
          <t>ÅNGE</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832-2024</t>
        </is>
      </c>
      <c r="B1648" s="1" t="n">
        <v>45300</v>
      </c>
      <c r="C1648" s="1" t="n">
        <v>45657</v>
      </c>
      <c r="D1648" t="inlineStr">
        <is>
          <t>VÄSTERNORRLANDS LÄN</t>
        </is>
      </c>
      <c r="E1648" t="inlineStr">
        <is>
          <t>ÅNGE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1030-2024</t>
        </is>
      </c>
      <c r="B1649" s="1" t="n">
        <v>45301</v>
      </c>
      <c r="C1649" s="1" t="n">
        <v>45657</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1524-2024</t>
        </is>
      </c>
      <c r="B1650" s="1" t="n">
        <v>45306</v>
      </c>
      <c r="C1650" s="1" t="n">
        <v>45657</v>
      </c>
      <c r="D1650" t="inlineStr">
        <is>
          <t>VÄSTERNORRLANDS LÄN</t>
        </is>
      </c>
      <c r="E1650" t="inlineStr">
        <is>
          <t>ÅNGE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1886-2024</t>
        </is>
      </c>
      <c r="B1651" s="1" t="n">
        <v>45308</v>
      </c>
      <c r="C1651" s="1" t="n">
        <v>45657</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2060-2024</t>
        </is>
      </c>
      <c r="B1652" s="1" t="n">
        <v>45309</v>
      </c>
      <c r="C1652" s="1" t="n">
        <v>45657</v>
      </c>
      <c r="D1652" t="inlineStr">
        <is>
          <t>VÄSTERNORRLANDS LÄN</t>
        </is>
      </c>
      <c r="E1652" t="inlineStr">
        <is>
          <t>ÅNGE</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2124-2024</t>
        </is>
      </c>
      <c r="B1653" s="1" t="n">
        <v>45309</v>
      </c>
      <c r="C1653" s="1" t="n">
        <v>45657</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2121-2024</t>
        </is>
      </c>
      <c r="B1654" s="1" t="n">
        <v>45309</v>
      </c>
      <c r="C1654" s="1" t="n">
        <v>45657</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2372-2024</t>
        </is>
      </c>
      <c r="B1655" s="1" t="n">
        <v>45310</v>
      </c>
      <c r="C1655" s="1" t="n">
        <v>45657</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2365-2024</t>
        </is>
      </c>
      <c r="B1656" s="1" t="n">
        <v>45310</v>
      </c>
      <c r="C1656" s="1" t="n">
        <v>45657</v>
      </c>
      <c r="D1656" t="inlineStr">
        <is>
          <t>VÄSTERNORRLANDS LÄN</t>
        </is>
      </c>
      <c r="E1656" t="inlineStr">
        <is>
          <t>ÅNGE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2432-2024</t>
        </is>
      </c>
      <c r="B1657" s="1" t="n">
        <v>45310</v>
      </c>
      <c r="C1657" s="1" t="n">
        <v>45657</v>
      </c>
      <c r="D1657" t="inlineStr">
        <is>
          <t>VÄSTERNORRLANDS LÄN</t>
        </is>
      </c>
      <c r="E1657" t="inlineStr">
        <is>
          <t>ÅNGE</t>
        </is>
      </c>
      <c r="F1657" t="inlineStr">
        <is>
          <t>SCA</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2415-2024</t>
        </is>
      </c>
      <c r="B1658" s="1" t="n">
        <v>45310</v>
      </c>
      <c r="C1658" s="1" t="n">
        <v>45657</v>
      </c>
      <c r="D1658" t="inlineStr">
        <is>
          <t>VÄSTERNORRLANDS LÄN</t>
        </is>
      </c>
      <c r="E1658" t="inlineStr">
        <is>
          <t>ÅNGE</t>
        </is>
      </c>
      <c r="F1658" t="inlineStr">
        <is>
          <t>Kyrkan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2436-2024</t>
        </is>
      </c>
      <c r="B1659" s="1" t="n">
        <v>45310</v>
      </c>
      <c r="C1659" s="1" t="n">
        <v>45657</v>
      </c>
      <c r="D1659" t="inlineStr">
        <is>
          <t>VÄSTERNORRLANDS LÄN</t>
        </is>
      </c>
      <c r="E1659" t="inlineStr">
        <is>
          <t>ÅNGE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2435-2024</t>
        </is>
      </c>
      <c r="B1660" s="1" t="n">
        <v>45310</v>
      </c>
      <c r="C1660" s="1" t="n">
        <v>45657</v>
      </c>
      <c r="D1660" t="inlineStr">
        <is>
          <t>VÄSTERNORRLANDS LÄN</t>
        </is>
      </c>
      <c r="E1660" t="inlineStr">
        <is>
          <t>ÅNGE</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2434-2024</t>
        </is>
      </c>
      <c r="B1661" s="1" t="n">
        <v>45310</v>
      </c>
      <c r="C1661" s="1" t="n">
        <v>45657</v>
      </c>
      <c r="D1661" t="inlineStr">
        <is>
          <t>VÄSTERNORRLANDS LÄN</t>
        </is>
      </c>
      <c r="E1661" t="inlineStr">
        <is>
          <t>ÅNGE</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2433-2024</t>
        </is>
      </c>
      <c r="B1662" s="1" t="n">
        <v>45310</v>
      </c>
      <c r="C1662" s="1" t="n">
        <v>45657</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2451-2024</t>
        </is>
      </c>
      <c r="B1663" s="1" t="n">
        <v>45312</v>
      </c>
      <c r="C1663" s="1" t="n">
        <v>45657</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2788-2024</t>
        </is>
      </c>
      <c r="B1664" s="1" t="n">
        <v>45314</v>
      </c>
      <c r="C1664" s="1" t="n">
        <v>45657</v>
      </c>
      <c r="D1664" t="inlineStr">
        <is>
          <t>VÄSTERNORRLANDS LÄN</t>
        </is>
      </c>
      <c r="E1664" t="inlineStr">
        <is>
          <t>ÅNGE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3133-2024</t>
        </is>
      </c>
      <c r="B1665" s="1" t="n">
        <v>45316</v>
      </c>
      <c r="C1665" s="1" t="n">
        <v>45657</v>
      </c>
      <c r="D1665" t="inlineStr">
        <is>
          <t>VÄSTERNORRLANDS LÄN</t>
        </is>
      </c>
      <c r="E1665" t="inlineStr">
        <is>
          <t>ÅNGE</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3238-2024</t>
        </is>
      </c>
      <c r="B1666" s="1" t="n">
        <v>45316</v>
      </c>
      <c r="C1666" s="1" t="n">
        <v>45657</v>
      </c>
      <c r="D1666" t="inlineStr">
        <is>
          <t>VÄSTERNORRLANDS LÄN</t>
        </is>
      </c>
      <c r="E1666" t="inlineStr">
        <is>
          <t>ÅNGE</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3253-2024</t>
        </is>
      </c>
      <c r="B1667" s="1" t="n">
        <v>45316</v>
      </c>
      <c r="C1667" s="1" t="n">
        <v>45657</v>
      </c>
      <c r="D1667" t="inlineStr">
        <is>
          <t>VÄSTERNORRLANDS LÄN</t>
        </is>
      </c>
      <c r="E1667" t="inlineStr">
        <is>
          <t>ÅNGE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3249-2024</t>
        </is>
      </c>
      <c r="B1668" s="1" t="n">
        <v>45316</v>
      </c>
      <c r="C1668" s="1" t="n">
        <v>45657</v>
      </c>
      <c r="D1668" t="inlineStr">
        <is>
          <t>VÄSTERNORRLANDS LÄN</t>
        </is>
      </c>
      <c r="E1668" t="inlineStr">
        <is>
          <t>ÅNGE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3256-2024</t>
        </is>
      </c>
      <c r="B1669" s="1" t="n">
        <v>45316</v>
      </c>
      <c r="C1669" s="1" t="n">
        <v>45657</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3347-2024</t>
        </is>
      </c>
      <c r="B1670" s="1" t="n">
        <v>45317</v>
      </c>
      <c r="C1670" s="1" t="n">
        <v>45657</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3354-2024</t>
        </is>
      </c>
      <c r="B1671" s="1" t="n">
        <v>45317</v>
      </c>
      <c r="C1671" s="1" t="n">
        <v>45657</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3357-2024</t>
        </is>
      </c>
      <c r="B1672" s="1" t="n">
        <v>45317</v>
      </c>
      <c r="C1672" s="1" t="n">
        <v>45657</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3523-2024</t>
        </is>
      </c>
      <c r="B1673" s="1" t="n">
        <v>45320</v>
      </c>
      <c r="C1673" s="1" t="n">
        <v>45657</v>
      </c>
      <c r="D1673" t="inlineStr">
        <is>
          <t>VÄSTERNORRLANDS LÄN</t>
        </is>
      </c>
      <c r="E1673" t="inlineStr">
        <is>
          <t>ÅNGE</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3532-2024</t>
        </is>
      </c>
      <c r="B1674" s="1" t="n">
        <v>45320</v>
      </c>
      <c r="C1674" s="1" t="n">
        <v>45657</v>
      </c>
      <c r="D1674" t="inlineStr">
        <is>
          <t>VÄSTERNORRLANDS LÄN</t>
        </is>
      </c>
      <c r="E1674" t="inlineStr">
        <is>
          <t>ÅNGE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3580-2024</t>
        </is>
      </c>
      <c r="B1675" s="1" t="n">
        <v>45320</v>
      </c>
      <c r="C1675" s="1" t="n">
        <v>45657</v>
      </c>
      <c r="D1675" t="inlineStr">
        <is>
          <t>VÄSTERNORRLANDS LÄN</t>
        </is>
      </c>
      <c r="E1675" t="inlineStr">
        <is>
          <t>ÅNGE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3624-2024</t>
        </is>
      </c>
      <c r="B1676" s="1" t="n">
        <v>45320</v>
      </c>
      <c r="C1676" s="1" t="n">
        <v>45657</v>
      </c>
      <c r="D1676" t="inlineStr">
        <is>
          <t>VÄSTERNORRLANDS LÄN</t>
        </is>
      </c>
      <c r="E1676" t="inlineStr">
        <is>
          <t>ÅNGE</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3996-2024</t>
        </is>
      </c>
      <c r="B1677" s="1" t="n">
        <v>45322</v>
      </c>
      <c r="C1677" s="1" t="n">
        <v>45657</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4142-2024</t>
        </is>
      </c>
      <c r="B1678" s="1" t="n">
        <v>45323</v>
      </c>
      <c r="C1678" s="1" t="n">
        <v>45657</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4140-2024</t>
        </is>
      </c>
      <c r="B1679" s="1" t="n">
        <v>45323</v>
      </c>
      <c r="C1679" s="1" t="n">
        <v>45657</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4166-2024</t>
        </is>
      </c>
      <c r="B1680" s="1" t="n">
        <v>45323</v>
      </c>
      <c r="C1680" s="1" t="n">
        <v>45657</v>
      </c>
      <c r="D1680" t="inlineStr">
        <is>
          <t>VÄSTERNORRLANDS LÄN</t>
        </is>
      </c>
      <c r="E1680" t="inlineStr">
        <is>
          <t>ÅNGE</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4165-2024</t>
        </is>
      </c>
      <c r="B1681" s="1" t="n">
        <v>45323</v>
      </c>
      <c r="C1681" s="1" t="n">
        <v>45657</v>
      </c>
      <c r="D1681" t="inlineStr">
        <is>
          <t>VÄSTERNORRLANDS LÄN</t>
        </is>
      </c>
      <c r="E1681" t="inlineStr">
        <is>
          <t>ÅNGE</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4169-2024</t>
        </is>
      </c>
      <c r="B1682" s="1" t="n">
        <v>45323</v>
      </c>
      <c r="C1682" s="1" t="n">
        <v>45657</v>
      </c>
      <c r="D1682" t="inlineStr">
        <is>
          <t>VÄSTERNORRLANDS LÄN</t>
        </is>
      </c>
      <c r="E1682" t="inlineStr">
        <is>
          <t>ÅNGE</t>
        </is>
      </c>
      <c r="F1682" t="inlineStr">
        <is>
          <t>SCA</t>
        </is>
      </c>
      <c r="G1682" t="n">
        <v>23.2</v>
      </c>
      <c r="H1682" t="n">
        <v>0</v>
      </c>
      <c r="I1682" t="n">
        <v>0</v>
      </c>
      <c r="J1682" t="n">
        <v>0</v>
      </c>
      <c r="K1682" t="n">
        <v>0</v>
      </c>
      <c r="L1682" t="n">
        <v>0</v>
      </c>
      <c r="M1682" t="n">
        <v>0</v>
      </c>
      <c r="N1682" t="n">
        <v>0</v>
      </c>
      <c r="O1682" t="n">
        <v>0</v>
      </c>
      <c r="P1682" t="n">
        <v>0</v>
      </c>
      <c r="Q1682" t="n">
        <v>0</v>
      </c>
      <c r="R1682" s="2" t="inlineStr"/>
    </row>
    <row r="1683" ht="15" customHeight="1">
      <c r="A1683" t="inlineStr">
        <is>
          <t>A 4361-2024</t>
        </is>
      </c>
      <c r="B1683" s="1" t="n">
        <v>45325</v>
      </c>
      <c r="C1683" s="1" t="n">
        <v>45657</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4589-2024</t>
        </is>
      </c>
      <c r="B1684" s="1" t="n">
        <v>45327</v>
      </c>
      <c r="C1684" s="1" t="n">
        <v>45657</v>
      </c>
      <c r="D1684" t="inlineStr">
        <is>
          <t>VÄSTERNORRLANDS LÄN</t>
        </is>
      </c>
      <c r="E1684" t="inlineStr">
        <is>
          <t>ÅNGE</t>
        </is>
      </c>
      <c r="F1684" t="inlineStr">
        <is>
          <t>SCA</t>
        </is>
      </c>
      <c r="G1684" t="n">
        <v>23.5</v>
      </c>
      <c r="H1684" t="n">
        <v>0</v>
      </c>
      <c r="I1684" t="n">
        <v>0</v>
      </c>
      <c r="J1684" t="n">
        <v>0</v>
      </c>
      <c r="K1684" t="n">
        <v>0</v>
      </c>
      <c r="L1684" t="n">
        <v>0</v>
      </c>
      <c r="M1684" t="n">
        <v>0</v>
      </c>
      <c r="N1684" t="n">
        <v>0</v>
      </c>
      <c r="O1684" t="n">
        <v>0</v>
      </c>
      <c r="P1684" t="n">
        <v>0</v>
      </c>
      <c r="Q1684" t="n">
        <v>0</v>
      </c>
      <c r="R1684" s="2" t="inlineStr"/>
    </row>
    <row r="1685" ht="15" customHeight="1">
      <c r="A1685" t="inlineStr">
        <is>
          <t>A 4810-2024</t>
        </is>
      </c>
      <c r="B1685" s="1" t="n">
        <v>45328</v>
      </c>
      <c r="C1685" s="1" t="n">
        <v>45657</v>
      </c>
      <c r="D1685" t="inlineStr">
        <is>
          <t>VÄSTERNORRLANDS LÄN</t>
        </is>
      </c>
      <c r="E1685" t="inlineStr">
        <is>
          <t>ÅNGE</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4807-2024</t>
        </is>
      </c>
      <c r="B1686" s="1" t="n">
        <v>45328</v>
      </c>
      <c r="C1686" s="1" t="n">
        <v>45657</v>
      </c>
      <c r="D1686" t="inlineStr">
        <is>
          <t>VÄSTERNORRLANDS LÄN</t>
        </is>
      </c>
      <c r="E1686" t="inlineStr">
        <is>
          <t>ÅNGE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4904-2024</t>
        </is>
      </c>
      <c r="B1687" s="1" t="n">
        <v>45329</v>
      </c>
      <c r="C1687" s="1" t="n">
        <v>45657</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4898-2024</t>
        </is>
      </c>
      <c r="B1688" s="1" t="n">
        <v>45329</v>
      </c>
      <c r="C1688" s="1" t="n">
        <v>45657</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5268-2024</t>
        </is>
      </c>
      <c r="B1689" s="1" t="n">
        <v>45330</v>
      </c>
      <c r="C1689" s="1" t="n">
        <v>45657</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5433-2024</t>
        </is>
      </c>
      <c r="B1690" s="1" t="n">
        <v>45331</v>
      </c>
      <c r="C1690" s="1" t="n">
        <v>45657</v>
      </c>
      <c r="D1690" t="inlineStr">
        <is>
          <t>VÄSTERNORRLANDS LÄN</t>
        </is>
      </c>
      <c r="E1690" t="inlineStr">
        <is>
          <t>ÅNGE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5456-2024</t>
        </is>
      </c>
      <c r="B1691" s="1" t="n">
        <v>45331</v>
      </c>
      <c r="C1691" s="1" t="n">
        <v>45657</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5613-2024</t>
        </is>
      </c>
      <c r="B1692" s="1" t="n">
        <v>45334</v>
      </c>
      <c r="C1692" s="1" t="n">
        <v>45657</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5647-2024</t>
        </is>
      </c>
      <c r="B1693" s="1" t="n">
        <v>45334</v>
      </c>
      <c r="C1693" s="1" t="n">
        <v>45657</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5659-2024</t>
        </is>
      </c>
      <c r="B1694" s="1" t="n">
        <v>45334</v>
      </c>
      <c r="C1694" s="1" t="n">
        <v>45657</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6028-2024</t>
        </is>
      </c>
      <c r="B1695" s="1" t="n">
        <v>45336</v>
      </c>
      <c r="C1695" s="1" t="n">
        <v>45657</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6462-2024</t>
        </is>
      </c>
      <c r="B1696" s="1" t="n">
        <v>45338</v>
      </c>
      <c r="C1696" s="1" t="n">
        <v>45657</v>
      </c>
      <c r="D1696" t="inlineStr">
        <is>
          <t>VÄSTERNORRLANDS LÄN</t>
        </is>
      </c>
      <c r="E1696" t="inlineStr">
        <is>
          <t>ÅNGE</t>
        </is>
      </c>
      <c r="F1696" t="inlineStr">
        <is>
          <t>Kyrkan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45657</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45657</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45657</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45657</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6680-2024</t>
        </is>
      </c>
      <c r="B1701" s="1" t="n">
        <v>45341</v>
      </c>
      <c r="C1701" s="1" t="n">
        <v>45657</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6684-2024</t>
        </is>
      </c>
      <c r="B1702" s="1" t="n">
        <v>45341</v>
      </c>
      <c r="C1702" s="1" t="n">
        <v>45657</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6702-2024</t>
        </is>
      </c>
      <c r="B1703" s="1" t="n">
        <v>45341</v>
      </c>
      <c r="C1703" s="1" t="n">
        <v>45657</v>
      </c>
      <c r="D1703" t="inlineStr">
        <is>
          <t>VÄSTERNORRLANDS LÄN</t>
        </is>
      </c>
      <c r="E1703" t="inlineStr">
        <is>
          <t>ÅNGE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6701-2024</t>
        </is>
      </c>
      <c r="B1704" s="1" t="n">
        <v>45341</v>
      </c>
      <c r="C1704" s="1" t="n">
        <v>45657</v>
      </c>
      <c r="D1704" t="inlineStr">
        <is>
          <t>VÄSTERNORRLANDS LÄN</t>
        </is>
      </c>
      <c r="E1704" t="inlineStr">
        <is>
          <t>ÅNGE</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6691-2024</t>
        </is>
      </c>
      <c r="B1705" s="1" t="n">
        <v>45341</v>
      </c>
      <c r="C1705" s="1" t="n">
        <v>45657</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6735-2024</t>
        </is>
      </c>
      <c r="B1706" s="1" t="n">
        <v>45342</v>
      </c>
      <c r="C1706" s="1" t="n">
        <v>45657</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6892-2024</t>
        </is>
      </c>
      <c r="B1707" s="1" t="n">
        <v>45342</v>
      </c>
      <c r="C1707" s="1" t="n">
        <v>45657</v>
      </c>
      <c r="D1707" t="inlineStr">
        <is>
          <t>VÄSTERNORRLANDS LÄN</t>
        </is>
      </c>
      <c r="E1707" t="inlineStr">
        <is>
          <t>ÅNGE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6995-2024</t>
        </is>
      </c>
      <c r="B1708" s="1" t="n">
        <v>45343</v>
      </c>
      <c r="C1708" s="1" t="n">
        <v>45657</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7110-2024</t>
        </is>
      </c>
      <c r="B1709" s="1" t="n">
        <v>45343</v>
      </c>
      <c r="C1709" s="1" t="n">
        <v>45657</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7300-2024</t>
        </is>
      </c>
      <c r="B1710" s="1" t="n">
        <v>45344</v>
      </c>
      <c r="C1710" s="1" t="n">
        <v>45657</v>
      </c>
      <c r="D1710" t="inlineStr">
        <is>
          <t>VÄSTERNORRLANDS LÄN</t>
        </is>
      </c>
      <c r="E1710" t="inlineStr">
        <is>
          <t>ÅNGE</t>
        </is>
      </c>
      <c r="F1710" t="inlineStr">
        <is>
          <t>SCA</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7692-2024</t>
        </is>
      </c>
      <c r="B1711" s="1" t="n">
        <v>45349</v>
      </c>
      <c r="C1711" s="1" t="n">
        <v>45657</v>
      </c>
      <c r="D1711" t="inlineStr">
        <is>
          <t>VÄSTERNORRLANDS LÄN</t>
        </is>
      </c>
      <c r="E1711" t="inlineStr">
        <is>
          <t>ÅNGE</t>
        </is>
      </c>
      <c r="F1711" t="inlineStr">
        <is>
          <t>SCA</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8025-2024</t>
        </is>
      </c>
      <c r="B1712" s="1" t="n">
        <v>45350</v>
      </c>
      <c r="C1712" s="1" t="n">
        <v>45657</v>
      </c>
      <c r="D1712" t="inlineStr">
        <is>
          <t>VÄSTERNORRLANDS LÄN</t>
        </is>
      </c>
      <c r="E1712" t="inlineStr">
        <is>
          <t>ÅNGE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8226-2024</t>
        </is>
      </c>
      <c r="B1713" s="1" t="n">
        <v>45351</v>
      </c>
      <c r="C1713" s="1" t="n">
        <v>45657</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8426-2024</t>
        </is>
      </c>
      <c r="B1714" s="1" t="n">
        <v>45353</v>
      </c>
      <c r="C1714" s="1" t="n">
        <v>45657</v>
      </c>
      <c r="D1714" t="inlineStr">
        <is>
          <t>VÄSTERNORRLANDS LÄN</t>
        </is>
      </c>
      <c r="E1714" t="inlineStr">
        <is>
          <t>ÅNGE</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8427-2024</t>
        </is>
      </c>
      <c r="B1715" s="1" t="n">
        <v>45353</v>
      </c>
      <c r="C1715" s="1" t="n">
        <v>45657</v>
      </c>
      <c r="D1715" t="inlineStr">
        <is>
          <t>VÄSTERNORRLANDS LÄN</t>
        </is>
      </c>
      <c r="E1715" t="inlineStr">
        <is>
          <t>ÅNGE</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8413-2024</t>
        </is>
      </c>
      <c r="B1716" s="1" t="n">
        <v>45352</v>
      </c>
      <c r="C1716" s="1" t="n">
        <v>45657</v>
      </c>
      <c r="D1716" t="inlineStr">
        <is>
          <t>VÄSTERNORRLANDS LÄN</t>
        </is>
      </c>
      <c r="E1716" t="inlineStr">
        <is>
          <t>ÅNGE</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8425-2024</t>
        </is>
      </c>
      <c r="B1717" s="1" t="n">
        <v>45353</v>
      </c>
      <c r="C1717" s="1" t="n">
        <v>45657</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8435-2024</t>
        </is>
      </c>
      <c r="B1718" s="1" t="n">
        <v>45353</v>
      </c>
      <c r="C1718" s="1" t="n">
        <v>45657</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8647-2024</t>
        </is>
      </c>
      <c r="B1719" s="1" t="n">
        <v>45356</v>
      </c>
      <c r="C1719" s="1" t="n">
        <v>45657</v>
      </c>
      <c r="D1719" t="inlineStr">
        <is>
          <t>VÄSTERNORRLANDS LÄN</t>
        </is>
      </c>
      <c r="E1719" t="inlineStr">
        <is>
          <t>ÅNGE</t>
        </is>
      </c>
      <c r="F1719" t="inlineStr">
        <is>
          <t>SCA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8651-2024</t>
        </is>
      </c>
      <c r="B1720" s="1" t="n">
        <v>45356</v>
      </c>
      <c r="C1720" s="1" t="n">
        <v>45657</v>
      </c>
      <c r="D1720" t="inlineStr">
        <is>
          <t>VÄSTERNORRLANDS LÄN</t>
        </is>
      </c>
      <c r="E1720" t="inlineStr">
        <is>
          <t>ÅNGE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8650-2024</t>
        </is>
      </c>
      <c r="B1721" s="1" t="n">
        <v>45356</v>
      </c>
      <c r="C1721" s="1" t="n">
        <v>45657</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9116-2024</t>
        </is>
      </c>
      <c r="B1722" s="1" t="n">
        <v>45358</v>
      </c>
      <c r="C1722" s="1" t="n">
        <v>45657</v>
      </c>
      <c r="D1722" t="inlineStr">
        <is>
          <t>VÄSTERNORRLANDS LÄN</t>
        </is>
      </c>
      <c r="E1722" t="inlineStr">
        <is>
          <t>ÅNGE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9117-2024</t>
        </is>
      </c>
      <c r="B1723" s="1" t="n">
        <v>45358</v>
      </c>
      <c r="C1723" s="1" t="n">
        <v>45657</v>
      </c>
      <c r="D1723" t="inlineStr">
        <is>
          <t>VÄSTERNORRLANDS LÄN</t>
        </is>
      </c>
      <c r="E1723" t="inlineStr">
        <is>
          <t>ÅNGE</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9115-2024</t>
        </is>
      </c>
      <c r="B1724" s="1" t="n">
        <v>45358</v>
      </c>
      <c r="C1724" s="1" t="n">
        <v>45657</v>
      </c>
      <c r="D1724" t="inlineStr">
        <is>
          <t>VÄSTERNORRLANDS LÄN</t>
        </is>
      </c>
      <c r="E1724" t="inlineStr">
        <is>
          <t>ÅNGE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9345-2024</t>
        </is>
      </c>
      <c r="B1725" s="1" t="n">
        <v>45359</v>
      </c>
      <c r="C1725" s="1" t="n">
        <v>45657</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9344-2024</t>
        </is>
      </c>
      <c r="B1726" s="1" t="n">
        <v>45359</v>
      </c>
      <c r="C1726" s="1" t="n">
        <v>45657</v>
      </c>
      <c r="D1726" t="inlineStr">
        <is>
          <t>VÄSTERNORRLANDS LÄN</t>
        </is>
      </c>
      <c r="E1726" t="inlineStr">
        <is>
          <t>ÅNGE</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9475-2024</t>
        </is>
      </c>
      <c r="B1727" s="1" t="n">
        <v>45359</v>
      </c>
      <c r="C1727" s="1" t="n">
        <v>45657</v>
      </c>
      <c r="D1727" t="inlineStr">
        <is>
          <t>VÄSTERNORRLANDS LÄN</t>
        </is>
      </c>
      <c r="E1727" t="inlineStr">
        <is>
          <t>ÅNGE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9567-2024</t>
        </is>
      </c>
      <c r="B1728" s="1" t="n">
        <v>45360</v>
      </c>
      <c r="C1728" s="1" t="n">
        <v>45657</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9568-2024</t>
        </is>
      </c>
      <c r="B1729" s="1" t="n">
        <v>45360</v>
      </c>
      <c r="C1729" s="1" t="n">
        <v>45657</v>
      </c>
      <c r="D1729" t="inlineStr">
        <is>
          <t>VÄSTERNORRLANDS LÄN</t>
        </is>
      </c>
      <c r="E1729" t="inlineStr">
        <is>
          <t>ÅNGE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9566-2024</t>
        </is>
      </c>
      <c r="B1730" s="1" t="n">
        <v>45360</v>
      </c>
      <c r="C1730" s="1" t="n">
        <v>45657</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9759-2024</t>
        </is>
      </c>
      <c r="B1731" s="1" t="n">
        <v>45362</v>
      </c>
      <c r="C1731" s="1" t="n">
        <v>45657</v>
      </c>
      <c r="D1731" t="inlineStr">
        <is>
          <t>VÄSTERNORRLANDS LÄN</t>
        </is>
      </c>
      <c r="E1731" t="inlineStr">
        <is>
          <t>ÅNGE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10023-2024</t>
        </is>
      </c>
      <c r="B1732" s="1" t="n">
        <v>45364</v>
      </c>
      <c r="C1732" s="1" t="n">
        <v>45657</v>
      </c>
      <c r="D1732" t="inlineStr">
        <is>
          <t>VÄSTERNORRLANDS LÄN</t>
        </is>
      </c>
      <c r="E1732" t="inlineStr">
        <is>
          <t>ÅNGE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10195-2024</t>
        </is>
      </c>
      <c r="B1733" s="1" t="n">
        <v>45364</v>
      </c>
      <c r="C1733" s="1" t="n">
        <v>45657</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10199-2024</t>
        </is>
      </c>
      <c r="B1734" s="1" t="n">
        <v>45364</v>
      </c>
      <c r="C1734" s="1" t="n">
        <v>45657</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10198-2024</t>
        </is>
      </c>
      <c r="B1735" s="1" t="n">
        <v>45364</v>
      </c>
      <c r="C1735" s="1" t="n">
        <v>45657</v>
      </c>
      <c r="D1735" t="inlineStr">
        <is>
          <t>VÄSTERNORRLANDS LÄN</t>
        </is>
      </c>
      <c r="E1735" t="inlineStr">
        <is>
          <t>ÅNGE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10202-2024</t>
        </is>
      </c>
      <c r="B1736" s="1" t="n">
        <v>45364</v>
      </c>
      <c r="C1736" s="1" t="n">
        <v>45657</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10781-2024</t>
        </is>
      </c>
      <c r="B1737" s="1" t="n">
        <v>45369</v>
      </c>
      <c r="C1737" s="1" t="n">
        <v>45657</v>
      </c>
      <c r="D1737" t="inlineStr">
        <is>
          <t>VÄSTERNORRLANDS LÄN</t>
        </is>
      </c>
      <c r="E1737" t="inlineStr">
        <is>
          <t>ÅNGE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10878-2024</t>
        </is>
      </c>
      <c r="B1738" s="1" t="n">
        <v>45370</v>
      </c>
      <c r="C1738" s="1" t="n">
        <v>45657</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10914-2024</t>
        </is>
      </c>
      <c r="B1739" s="1" t="n">
        <v>45370</v>
      </c>
      <c r="C1739" s="1" t="n">
        <v>45657</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10922-2024</t>
        </is>
      </c>
      <c r="B1740" s="1" t="n">
        <v>45370</v>
      </c>
      <c r="C1740" s="1" t="n">
        <v>45657</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10917-2024</t>
        </is>
      </c>
      <c r="B1741" s="1" t="n">
        <v>45370</v>
      </c>
      <c r="C1741" s="1" t="n">
        <v>45657</v>
      </c>
      <c r="D1741" t="inlineStr">
        <is>
          <t>VÄSTERNORRLANDS LÄN</t>
        </is>
      </c>
      <c r="E1741" t="inlineStr">
        <is>
          <t>ÅNGE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10919-2024</t>
        </is>
      </c>
      <c r="B1742" s="1" t="n">
        <v>45370</v>
      </c>
      <c r="C1742" s="1" t="n">
        <v>45657</v>
      </c>
      <c r="D1742" t="inlineStr">
        <is>
          <t>VÄSTERNORRLANDS LÄN</t>
        </is>
      </c>
      <c r="E1742" t="inlineStr">
        <is>
          <t>ÅNGE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11088-2024</t>
        </is>
      </c>
      <c r="B1743" s="1" t="n">
        <v>45370</v>
      </c>
      <c r="C1743" s="1" t="n">
        <v>45657</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11339-2024</t>
        </is>
      </c>
      <c r="B1744" s="1" t="n">
        <v>45372</v>
      </c>
      <c r="C1744" s="1" t="n">
        <v>45657</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11396-2024</t>
        </is>
      </c>
      <c r="B1745" s="1" t="n">
        <v>45372</v>
      </c>
      <c r="C1745" s="1" t="n">
        <v>45657</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11548-2024</t>
        </is>
      </c>
      <c r="B1746" s="1" t="n">
        <v>45372</v>
      </c>
      <c r="C1746" s="1" t="n">
        <v>45657</v>
      </c>
      <c r="D1746" t="inlineStr">
        <is>
          <t>VÄSTERNORRLANDS LÄN</t>
        </is>
      </c>
      <c r="E1746" t="inlineStr">
        <is>
          <t>ÅNGE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11764-2024</t>
        </is>
      </c>
      <c r="B1747" s="1" t="n">
        <v>45373</v>
      </c>
      <c r="C1747" s="1" t="n">
        <v>45657</v>
      </c>
      <c r="D1747" t="inlineStr">
        <is>
          <t>VÄSTERNORRLANDS LÄN</t>
        </is>
      </c>
      <c r="E1747" t="inlineStr">
        <is>
          <t>ÅNGE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12123-2024</t>
        </is>
      </c>
      <c r="B1748" s="1" t="n">
        <v>45377</v>
      </c>
      <c r="C1748" s="1" t="n">
        <v>45657</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12581-2024</t>
        </is>
      </c>
      <c r="B1749" s="1" t="n">
        <v>45379</v>
      </c>
      <c r="C1749" s="1" t="n">
        <v>45657</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12794-2024</t>
        </is>
      </c>
      <c r="B1750" s="1" t="n">
        <v>45384</v>
      </c>
      <c r="C1750" s="1" t="n">
        <v>45657</v>
      </c>
      <c r="D1750" t="inlineStr">
        <is>
          <t>VÄSTERNORRLANDS LÄN</t>
        </is>
      </c>
      <c r="E1750" t="inlineStr">
        <is>
          <t>ÅNGE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13088-2024</t>
        </is>
      </c>
      <c r="B1751" s="1" t="n">
        <v>45385</v>
      </c>
      <c r="C1751" s="1" t="n">
        <v>45657</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13096-2024</t>
        </is>
      </c>
      <c r="B1752" s="1" t="n">
        <v>45385</v>
      </c>
      <c r="C1752" s="1" t="n">
        <v>45657</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13091-2024</t>
        </is>
      </c>
      <c r="B1753" s="1" t="n">
        <v>45385</v>
      </c>
      <c r="C1753" s="1" t="n">
        <v>45657</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13056-2024</t>
        </is>
      </c>
      <c r="B1754" s="1" t="n">
        <v>45385</v>
      </c>
      <c r="C1754" s="1" t="n">
        <v>45657</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13101-2024</t>
        </is>
      </c>
      <c r="B1755" s="1" t="n">
        <v>45385</v>
      </c>
      <c r="C1755" s="1" t="n">
        <v>45657</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13128-2024</t>
        </is>
      </c>
      <c r="B1756" s="1" t="n">
        <v>45386</v>
      </c>
      <c r="C1756" s="1" t="n">
        <v>45657</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13759-2024</t>
        </is>
      </c>
      <c r="B1757" s="1" t="n">
        <v>45390</v>
      </c>
      <c r="C1757" s="1" t="n">
        <v>45657</v>
      </c>
      <c r="D1757" t="inlineStr">
        <is>
          <t>VÄSTERNORRLANDS LÄN</t>
        </is>
      </c>
      <c r="E1757" t="inlineStr">
        <is>
          <t>ÅNGE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13761-2024</t>
        </is>
      </c>
      <c r="B1758" s="1" t="n">
        <v>45390</v>
      </c>
      <c r="C1758" s="1" t="n">
        <v>45657</v>
      </c>
      <c r="D1758" t="inlineStr">
        <is>
          <t>VÄSTERNORRLANDS LÄN</t>
        </is>
      </c>
      <c r="E1758" t="inlineStr">
        <is>
          <t>ÅNGE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13765-2024</t>
        </is>
      </c>
      <c r="B1759" s="1" t="n">
        <v>45390</v>
      </c>
      <c r="C1759" s="1" t="n">
        <v>45657</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13769-2024</t>
        </is>
      </c>
      <c r="B1760" s="1" t="n">
        <v>45390</v>
      </c>
      <c r="C1760" s="1" t="n">
        <v>45657</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13773-2024</t>
        </is>
      </c>
      <c r="B1761" s="1" t="n">
        <v>45391</v>
      </c>
      <c r="C1761" s="1" t="n">
        <v>45657</v>
      </c>
      <c r="D1761" t="inlineStr">
        <is>
          <t>VÄSTERNORRLANDS LÄN</t>
        </is>
      </c>
      <c r="E1761" t="inlineStr">
        <is>
          <t>ÅNGE</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13760-2024</t>
        </is>
      </c>
      <c r="B1762" s="1" t="n">
        <v>45390</v>
      </c>
      <c r="C1762" s="1" t="n">
        <v>45657</v>
      </c>
      <c r="D1762" t="inlineStr">
        <is>
          <t>VÄSTERNORRLANDS LÄN</t>
        </is>
      </c>
      <c r="E1762" t="inlineStr">
        <is>
          <t>ÅNGE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13764-2024</t>
        </is>
      </c>
      <c r="B1763" s="1" t="n">
        <v>45390</v>
      </c>
      <c r="C1763" s="1" t="n">
        <v>45657</v>
      </c>
      <c r="D1763" t="inlineStr">
        <is>
          <t>VÄSTERNORRLANDS LÄN</t>
        </is>
      </c>
      <c r="E1763" t="inlineStr">
        <is>
          <t>ÅNGE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13772-2024</t>
        </is>
      </c>
      <c r="B1764" s="1" t="n">
        <v>45391</v>
      </c>
      <c r="C1764" s="1" t="n">
        <v>45657</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13771-2024</t>
        </is>
      </c>
      <c r="B1765" s="1" t="n">
        <v>45391</v>
      </c>
      <c r="C1765" s="1" t="n">
        <v>45657</v>
      </c>
      <c r="D1765" t="inlineStr">
        <is>
          <t>VÄSTERNORRLANDS LÄN</t>
        </is>
      </c>
      <c r="E1765" t="inlineStr">
        <is>
          <t>ÅNGE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14199-2024</t>
        </is>
      </c>
      <c r="B1766" s="1" t="n">
        <v>45393</v>
      </c>
      <c r="C1766" s="1" t="n">
        <v>45657</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14829-2024</t>
        </is>
      </c>
      <c r="B1767" s="1" t="n">
        <v>45397</v>
      </c>
      <c r="C1767" s="1" t="n">
        <v>45657</v>
      </c>
      <c r="D1767" t="inlineStr">
        <is>
          <t>VÄSTERNORRLANDS LÄN</t>
        </is>
      </c>
      <c r="E1767" t="inlineStr">
        <is>
          <t>ÅNGE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14856-2024</t>
        </is>
      </c>
      <c r="B1768" s="1" t="n">
        <v>45398</v>
      </c>
      <c r="C1768" s="1" t="n">
        <v>45657</v>
      </c>
      <c r="D1768" t="inlineStr">
        <is>
          <t>VÄSTERNORRLANDS LÄN</t>
        </is>
      </c>
      <c r="E1768" t="inlineStr">
        <is>
          <t>ÅNGE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15157-2024</t>
        </is>
      </c>
      <c r="B1769" s="1" t="n">
        <v>45400</v>
      </c>
      <c r="C1769" s="1" t="n">
        <v>45657</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15369-2024</t>
        </is>
      </c>
      <c r="B1770" s="1" t="n">
        <v>45401</v>
      </c>
      <c r="C1770" s="1" t="n">
        <v>45657</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15367-2024</t>
        </is>
      </c>
      <c r="B1771" s="1" t="n">
        <v>45401</v>
      </c>
      <c r="C1771" s="1" t="n">
        <v>45657</v>
      </c>
      <c r="D1771" t="inlineStr">
        <is>
          <t>VÄSTERNORRLANDS LÄN</t>
        </is>
      </c>
      <c r="E1771" t="inlineStr">
        <is>
          <t>ÅNGE</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15368-2024</t>
        </is>
      </c>
      <c r="B1772" s="1" t="n">
        <v>45401</v>
      </c>
      <c r="C1772" s="1" t="n">
        <v>45657</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15603-2024</t>
        </is>
      </c>
      <c r="B1773" s="1" t="n">
        <v>45402</v>
      </c>
      <c r="C1773" s="1" t="n">
        <v>45657</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15630-2024</t>
        </is>
      </c>
      <c r="B1774" s="1" t="n">
        <v>45403</v>
      </c>
      <c r="C1774" s="1" t="n">
        <v>45657</v>
      </c>
      <c r="D1774" t="inlineStr">
        <is>
          <t>VÄSTERNORRLANDS LÄN</t>
        </is>
      </c>
      <c r="E1774" t="inlineStr">
        <is>
          <t>ÅNGE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15860-2024</t>
        </is>
      </c>
      <c r="B1775" s="1" t="n">
        <v>45405</v>
      </c>
      <c r="C1775" s="1" t="n">
        <v>45657</v>
      </c>
      <c r="D1775" t="inlineStr">
        <is>
          <t>VÄSTERNORRLANDS LÄN</t>
        </is>
      </c>
      <c r="E1775" t="inlineStr">
        <is>
          <t>ÅNGE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16045-2024</t>
        </is>
      </c>
      <c r="B1776" s="1" t="n">
        <v>45405</v>
      </c>
      <c r="C1776" s="1" t="n">
        <v>45657</v>
      </c>
      <c r="D1776" t="inlineStr">
        <is>
          <t>VÄSTERNORRLANDS LÄN</t>
        </is>
      </c>
      <c r="E1776" t="inlineStr">
        <is>
          <t>ÅNGE</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16243-2024</t>
        </is>
      </c>
      <c r="B1777" s="1" t="n">
        <v>45407</v>
      </c>
      <c r="C1777" s="1" t="n">
        <v>45657</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16694-2024</t>
        </is>
      </c>
      <c r="B1778" s="1" t="n">
        <v>45408</v>
      </c>
      <c r="C1778" s="1" t="n">
        <v>45657</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16460-2024</t>
        </is>
      </c>
      <c r="B1779" s="1" t="n">
        <v>45408</v>
      </c>
      <c r="C1779" s="1" t="n">
        <v>45657</v>
      </c>
      <c r="D1779" t="inlineStr">
        <is>
          <t>VÄSTERNORRLANDS LÄN</t>
        </is>
      </c>
      <c r="E1779" t="inlineStr">
        <is>
          <t>ÅNGE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16695-2024</t>
        </is>
      </c>
      <c r="B1780" s="1" t="n">
        <v>45408</v>
      </c>
      <c r="C1780" s="1" t="n">
        <v>45657</v>
      </c>
      <c r="D1780" t="inlineStr">
        <is>
          <t>VÄSTERNORRLANDS LÄN</t>
        </is>
      </c>
      <c r="E1780" t="inlineStr">
        <is>
          <t>ÅNGE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16706-2024</t>
        </is>
      </c>
      <c r="B1781" s="1" t="n">
        <v>45409</v>
      </c>
      <c r="C1781" s="1" t="n">
        <v>45657</v>
      </c>
      <c r="D1781" t="inlineStr">
        <is>
          <t>VÄSTERNORRLANDS LÄN</t>
        </is>
      </c>
      <c r="E1781" t="inlineStr">
        <is>
          <t>ÅNGE</t>
        </is>
      </c>
      <c r="F1781" t="inlineStr">
        <is>
          <t>SCA</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16718-2024</t>
        </is>
      </c>
      <c r="B1782" s="1" t="n">
        <v>45409</v>
      </c>
      <c r="C1782" s="1" t="n">
        <v>45657</v>
      </c>
      <c r="D1782" t="inlineStr">
        <is>
          <t>VÄSTERNORRLANDS LÄN</t>
        </is>
      </c>
      <c r="E1782" t="inlineStr">
        <is>
          <t>ÅNGE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16705-2024</t>
        </is>
      </c>
      <c r="B1783" s="1" t="n">
        <v>45409</v>
      </c>
      <c r="C1783" s="1" t="n">
        <v>45657</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16915-2024</t>
        </is>
      </c>
      <c r="B1784" s="1" t="n">
        <v>45411</v>
      </c>
      <c r="C1784" s="1" t="n">
        <v>45657</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16903-2024</t>
        </is>
      </c>
      <c r="B1785" s="1" t="n">
        <v>45411</v>
      </c>
      <c r="C1785" s="1" t="n">
        <v>45657</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16902-2024</t>
        </is>
      </c>
      <c r="B1786" s="1" t="n">
        <v>45411</v>
      </c>
      <c r="C1786" s="1" t="n">
        <v>45657</v>
      </c>
      <c r="D1786" t="inlineStr">
        <is>
          <t>VÄSTERNORRLANDS LÄN</t>
        </is>
      </c>
      <c r="E1786" t="inlineStr">
        <is>
          <t>ÅNGE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17171-2024</t>
        </is>
      </c>
      <c r="B1787" s="1" t="n">
        <v>45413</v>
      </c>
      <c r="C1787" s="1" t="n">
        <v>45657</v>
      </c>
      <c r="D1787" t="inlineStr">
        <is>
          <t>VÄSTERNORRLANDS LÄN</t>
        </is>
      </c>
      <c r="E1787" t="inlineStr">
        <is>
          <t>ÅNGE</t>
        </is>
      </c>
      <c r="F1787" t="inlineStr">
        <is>
          <t>SCA</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16978-2024</t>
        </is>
      </c>
      <c r="B1788" s="1" t="n">
        <v>45412</v>
      </c>
      <c r="C1788" s="1" t="n">
        <v>45657</v>
      </c>
      <c r="D1788" t="inlineStr">
        <is>
          <t>VÄSTERNORRLANDS LÄN</t>
        </is>
      </c>
      <c r="E1788" t="inlineStr">
        <is>
          <t>ÅNGE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17421-2024</t>
        </is>
      </c>
      <c r="B1789" s="1" t="n">
        <v>45415</v>
      </c>
      <c r="C1789" s="1" t="n">
        <v>45657</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17601-2024</t>
        </is>
      </c>
      <c r="B1790" s="1" t="n">
        <v>45415</v>
      </c>
      <c r="C1790" s="1" t="n">
        <v>45657</v>
      </c>
      <c r="D1790" t="inlineStr">
        <is>
          <t>VÄSTERNORRLANDS LÄN</t>
        </is>
      </c>
      <c r="E1790" t="inlineStr">
        <is>
          <t>ÅNGE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17605-2024</t>
        </is>
      </c>
      <c r="B1791" s="1" t="n">
        <v>45415</v>
      </c>
      <c r="C1791" s="1" t="n">
        <v>45657</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17602-2024</t>
        </is>
      </c>
      <c r="B1792" s="1" t="n">
        <v>45415</v>
      </c>
      <c r="C1792" s="1" t="n">
        <v>45657</v>
      </c>
      <c r="D1792" t="inlineStr">
        <is>
          <t>VÄSTERNORRLANDS LÄN</t>
        </is>
      </c>
      <c r="E1792" t="inlineStr">
        <is>
          <t>ÅNGE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17603-2024</t>
        </is>
      </c>
      <c r="B1793" s="1" t="n">
        <v>45415</v>
      </c>
      <c r="C1793" s="1" t="n">
        <v>45657</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17604-2024</t>
        </is>
      </c>
      <c r="B1794" s="1" t="n">
        <v>45415</v>
      </c>
      <c r="C1794" s="1" t="n">
        <v>45657</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17589-2024</t>
        </is>
      </c>
      <c r="B1795" s="1" t="n">
        <v>45416</v>
      </c>
      <c r="C1795" s="1" t="n">
        <v>45657</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17819-2024</t>
        </is>
      </c>
      <c r="B1796" s="1" t="n">
        <v>45419</v>
      </c>
      <c r="C1796" s="1" t="n">
        <v>45657</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18002-2024</t>
        </is>
      </c>
      <c r="B1797" s="1" t="n">
        <v>45420</v>
      </c>
      <c r="C1797" s="1" t="n">
        <v>45657</v>
      </c>
      <c r="D1797" t="inlineStr">
        <is>
          <t>VÄSTERNORRLANDS LÄN</t>
        </is>
      </c>
      <c r="E1797" t="inlineStr">
        <is>
          <t>ÅNGE</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18619-2024</t>
        </is>
      </c>
      <c r="B1798" s="1" t="n">
        <v>45426</v>
      </c>
      <c r="C1798" s="1" t="n">
        <v>45657</v>
      </c>
      <c r="D1798" t="inlineStr">
        <is>
          <t>VÄSTERNORRLANDS LÄN</t>
        </is>
      </c>
      <c r="E1798" t="inlineStr">
        <is>
          <t>ÅNGE</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18617-2024</t>
        </is>
      </c>
      <c r="B1799" s="1" t="n">
        <v>45425</v>
      </c>
      <c r="C1799" s="1" t="n">
        <v>45657</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18639-2024</t>
        </is>
      </c>
      <c r="B1800" s="1" t="n">
        <v>45426</v>
      </c>
      <c r="C1800" s="1" t="n">
        <v>45657</v>
      </c>
      <c r="D1800" t="inlineStr">
        <is>
          <t>VÄSTERNORRLANDS LÄN</t>
        </is>
      </c>
      <c r="E1800" t="inlineStr">
        <is>
          <t>ÅNGE</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18456-2024</t>
        </is>
      </c>
      <c r="B1801" s="1" t="n">
        <v>45425</v>
      </c>
      <c r="C1801" s="1" t="n">
        <v>45657</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18632-2024</t>
        </is>
      </c>
      <c r="B1802" s="1" t="n">
        <v>45426</v>
      </c>
      <c r="C1802" s="1" t="n">
        <v>45657</v>
      </c>
      <c r="D1802" t="inlineStr">
        <is>
          <t>VÄSTERNORRLANDS LÄN</t>
        </is>
      </c>
      <c r="E1802" t="inlineStr">
        <is>
          <t>ÅNGE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18666-2024</t>
        </is>
      </c>
      <c r="B1803" s="1" t="n">
        <v>45425</v>
      </c>
      <c r="C1803" s="1" t="n">
        <v>45657</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18618-2024</t>
        </is>
      </c>
      <c r="B1804" s="1" t="n">
        <v>45426</v>
      </c>
      <c r="C1804" s="1" t="n">
        <v>45657</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18878-2024</t>
        </is>
      </c>
      <c r="B1805" s="1" t="n">
        <v>45426</v>
      </c>
      <c r="C1805" s="1" t="n">
        <v>45657</v>
      </c>
      <c r="D1805" t="inlineStr">
        <is>
          <t>VÄSTERNORRLANDS LÄN</t>
        </is>
      </c>
      <c r="E1805" t="inlineStr">
        <is>
          <t>ÅNGE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18872-2024</t>
        </is>
      </c>
      <c r="B1806" s="1" t="n">
        <v>45427</v>
      </c>
      <c r="C1806" s="1" t="n">
        <v>45657</v>
      </c>
      <c r="D1806" t="inlineStr">
        <is>
          <t>VÄSTERNORRLANDS LÄN</t>
        </is>
      </c>
      <c r="E1806" t="inlineStr">
        <is>
          <t>ÅNGE</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18880-2024</t>
        </is>
      </c>
      <c r="B1807" s="1" t="n">
        <v>45426</v>
      </c>
      <c r="C1807" s="1" t="n">
        <v>45657</v>
      </c>
      <c r="D1807" t="inlineStr">
        <is>
          <t>VÄSTERNORRLANDS LÄN</t>
        </is>
      </c>
      <c r="E1807" t="inlineStr">
        <is>
          <t>ÅNGE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18869-2024</t>
        </is>
      </c>
      <c r="B1808" s="1" t="n">
        <v>45426</v>
      </c>
      <c r="C1808" s="1" t="n">
        <v>45657</v>
      </c>
      <c r="D1808" t="inlineStr">
        <is>
          <t>VÄSTERNORRLANDS LÄN</t>
        </is>
      </c>
      <c r="E1808" t="inlineStr">
        <is>
          <t>ÅNGE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18881-2024</t>
        </is>
      </c>
      <c r="B1809" s="1" t="n">
        <v>45427</v>
      </c>
      <c r="C1809" s="1" t="n">
        <v>45657</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18879-2024</t>
        </is>
      </c>
      <c r="B1810" s="1" t="n">
        <v>45426</v>
      </c>
      <c r="C1810" s="1" t="n">
        <v>45657</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19066-2024</t>
        </is>
      </c>
      <c r="B1811" s="1" t="n">
        <v>45427</v>
      </c>
      <c r="C1811" s="1" t="n">
        <v>45657</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19343-2024</t>
        </is>
      </c>
      <c r="B1812" s="1" t="n">
        <v>45428</v>
      </c>
      <c r="C1812" s="1" t="n">
        <v>45657</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19342-2024</t>
        </is>
      </c>
      <c r="B1813" s="1" t="n">
        <v>45428</v>
      </c>
      <c r="C1813" s="1" t="n">
        <v>45657</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19396-2024</t>
        </is>
      </c>
      <c r="B1814" s="1" t="n">
        <v>45428</v>
      </c>
      <c r="C1814" s="1" t="n">
        <v>45657</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19557-2024</t>
        </is>
      </c>
      <c r="B1815" s="1" t="n">
        <v>45429</v>
      </c>
      <c r="C1815" s="1" t="n">
        <v>45657</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20276-2024</t>
        </is>
      </c>
      <c r="B1816" s="1" t="n">
        <v>45435</v>
      </c>
      <c r="C1816" s="1" t="n">
        <v>45657</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20761-2024</t>
        </is>
      </c>
      <c r="B1817" s="1" t="n">
        <v>45436</v>
      </c>
      <c r="C1817" s="1" t="n">
        <v>45657</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20927-2024</t>
        </is>
      </c>
      <c r="B1818" s="1" t="n">
        <v>45439</v>
      </c>
      <c r="C1818" s="1" t="n">
        <v>45657</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20915-2024</t>
        </is>
      </c>
      <c r="B1819" s="1" t="n">
        <v>45439</v>
      </c>
      <c r="C1819" s="1" t="n">
        <v>45657</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20925-2024</t>
        </is>
      </c>
      <c r="B1820" s="1" t="n">
        <v>45439</v>
      </c>
      <c r="C1820" s="1" t="n">
        <v>45657</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20932-2024</t>
        </is>
      </c>
      <c r="B1821" s="1" t="n">
        <v>45439</v>
      </c>
      <c r="C1821" s="1" t="n">
        <v>45657</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21089-2024</t>
        </is>
      </c>
      <c r="B1822" s="1" t="n">
        <v>45440</v>
      </c>
      <c r="C1822" s="1" t="n">
        <v>45657</v>
      </c>
      <c r="D1822" t="inlineStr">
        <is>
          <t>VÄSTERNORRLANDS LÄN</t>
        </is>
      </c>
      <c r="E1822" t="inlineStr">
        <is>
          <t>ÅNGE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20815-2024</t>
        </is>
      </c>
      <c r="B1823" s="1" t="n">
        <v>45439</v>
      </c>
      <c r="C1823" s="1" t="n">
        <v>45657</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21200-2024</t>
        </is>
      </c>
      <c r="B1824" s="1" t="n">
        <v>45440</v>
      </c>
      <c r="C1824" s="1" t="n">
        <v>45657</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21179-2024</t>
        </is>
      </c>
      <c r="B1825" s="1" t="n">
        <v>45440</v>
      </c>
      <c r="C1825" s="1" t="n">
        <v>45657</v>
      </c>
      <c r="D1825" t="inlineStr">
        <is>
          <t>VÄSTERNORRLANDS LÄN</t>
        </is>
      </c>
      <c r="E1825" t="inlineStr">
        <is>
          <t>ÅNGE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21151-2024</t>
        </is>
      </c>
      <c r="B1826" s="1" t="n">
        <v>45440</v>
      </c>
      <c r="C1826" s="1" t="n">
        <v>45657</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21387-2024</t>
        </is>
      </c>
      <c r="B1827" s="1" t="n">
        <v>45440</v>
      </c>
      <c r="C1827" s="1" t="n">
        <v>45657</v>
      </c>
      <c r="D1827" t="inlineStr">
        <is>
          <t>VÄSTERNORRLANDS LÄN</t>
        </is>
      </c>
      <c r="E1827" t="inlineStr">
        <is>
          <t>ÅNGE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21833-2024</t>
        </is>
      </c>
      <c r="B1828" s="1" t="n">
        <v>45442</v>
      </c>
      <c r="C1828" s="1" t="n">
        <v>45657</v>
      </c>
      <c r="D1828" t="inlineStr">
        <is>
          <t>VÄSTERNORRLANDS LÄN</t>
        </is>
      </c>
      <c r="E1828" t="inlineStr">
        <is>
          <t>ÅNGE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22122-2024</t>
        </is>
      </c>
      <c r="B1829" s="1" t="n">
        <v>45443</v>
      </c>
      <c r="C1829" s="1" t="n">
        <v>45657</v>
      </c>
      <c r="D1829" t="inlineStr">
        <is>
          <t>VÄSTERNORRLANDS LÄN</t>
        </is>
      </c>
      <c r="E1829" t="inlineStr">
        <is>
          <t>ÅNGE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22463-2024</t>
        </is>
      </c>
      <c r="B1830" s="1" t="n">
        <v>45446</v>
      </c>
      <c r="C1830" s="1" t="n">
        <v>45657</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22187-2024</t>
        </is>
      </c>
      <c r="B1831" s="1" t="n">
        <v>45446</v>
      </c>
      <c r="C1831" s="1" t="n">
        <v>45657</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22465-2024</t>
        </is>
      </c>
      <c r="B1832" s="1" t="n">
        <v>45446</v>
      </c>
      <c r="C1832" s="1" t="n">
        <v>45657</v>
      </c>
      <c r="D1832" t="inlineStr">
        <is>
          <t>VÄSTERNORRLANDS LÄN</t>
        </is>
      </c>
      <c r="E1832" t="inlineStr">
        <is>
          <t>ÅNGE</t>
        </is>
      </c>
      <c r="F1832" t="inlineStr">
        <is>
          <t>SCA</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22461-2024</t>
        </is>
      </c>
      <c r="B1833" s="1" t="n">
        <v>45447</v>
      </c>
      <c r="C1833" s="1" t="n">
        <v>45657</v>
      </c>
      <c r="D1833" t="inlineStr">
        <is>
          <t>VÄSTERNORRLANDS LÄN</t>
        </is>
      </c>
      <c r="E1833" t="inlineStr">
        <is>
          <t>ÅNGE</t>
        </is>
      </c>
      <c r="F1833" t="inlineStr">
        <is>
          <t>SCA</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22460-2024</t>
        </is>
      </c>
      <c r="B1834" s="1" t="n">
        <v>45446</v>
      </c>
      <c r="C1834" s="1" t="n">
        <v>45657</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22464-2024</t>
        </is>
      </c>
      <c r="B1835" s="1" t="n">
        <v>45447</v>
      </c>
      <c r="C1835" s="1" t="n">
        <v>45657</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22679-2024</t>
        </is>
      </c>
      <c r="B1836" s="1" t="n">
        <v>45447</v>
      </c>
      <c r="C1836" s="1" t="n">
        <v>45657</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22678-2024</t>
        </is>
      </c>
      <c r="B1837" s="1" t="n">
        <v>45448</v>
      </c>
      <c r="C1837" s="1" t="n">
        <v>45657</v>
      </c>
      <c r="D1837" t="inlineStr">
        <is>
          <t>VÄSTERNORRLANDS LÄN</t>
        </is>
      </c>
      <c r="E1837" t="inlineStr">
        <is>
          <t>ÅNGE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22680-2024</t>
        </is>
      </c>
      <c r="B1838" s="1" t="n">
        <v>45448</v>
      </c>
      <c r="C1838" s="1" t="n">
        <v>45657</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22681-2024</t>
        </is>
      </c>
      <c r="B1839" s="1" t="n">
        <v>45447</v>
      </c>
      <c r="C1839" s="1" t="n">
        <v>45657</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22986-2024</t>
        </is>
      </c>
      <c r="B1840" s="1" t="n">
        <v>45450</v>
      </c>
      <c r="C1840" s="1" t="n">
        <v>45657</v>
      </c>
      <c r="D1840" t="inlineStr">
        <is>
          <t>VÄSTERNORRLANDS LÄN</t>
        </is>
      </c>
      <c r="E1840" t="inlineStr">
        <is>
          <t>ÅNGE</t>
        </is>
      </c>
      <c r="F1840" t="inlineStr">
        <is>
          <t>SCA</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22990-2024</t>
        </is>
      </c>
      <c r="B1841" s="1" t="n">
        <v>45450</v>
      </c>
      <c r="C1841" s="1" t="n">
        <v>45657</v>
      </c>
      <c r="D1841" t="inlineStr">
        <is>
          <t>VÄSTERNORRLANDS LÄN</t>
        </is>
      </c>
      <c r="E1841" t="inlineStr">
        <is>
          <t>ÅNGE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22989-2024</t>
        </is>
      </c>
      <c r="B1842" s="1" t="n">
        <v>45450</v>
      </c>
      <c r="C1842" s="1" t="n">
        <v>45657</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22987-2024</t>
        </is>
      </c>
      <c r="B1843" s="1" t="n">
        <v>45450</v>
      </c>
      <c r="C1843" s="1" t="n">
        <v>45657</v>
      </c>
      <c r="D1843" t="inlineStr">
        <is>
          <t>VÄSTERNORRLANDS LÄN</t>
        </is>
      </c>
      <c r="E1843" t="inlineStr">
        <is>
          <t>ÅNGE</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22991-2024</t>
        </is>
      </c>
      <c r="B1844" s="1" t="n">
        <v>45450</v>
      </c>
      <c r="C1844" s="1" t="n">
        <v>45657</v>
      </c>
      <c r="D1844" t="inlineStr">
        <is>
          <t>VÄSTERNORRLANDS LÄN</t>
        </is>
      </c>
      <c r="E1844" t="inlineStr">
        <is>
          <t>ÅNGE</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22988-2024</t>
        </is>
      </c>
      <c r="B1845" s="1" t="n">
        <v>45450</v>
      </c>
      <c r="C1845" s="1" t="n">
        <v>45657</v>
      </c>
      <c r="D1845" t="inlineStr">
        <is>
          <t>VÄSTERNORRLANDS LÄN</t>
        </is>
      </c>
      <c r="E1845" t="inlineStr">
        <is>
          <t>ÅNGE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22984-2024</t>
        </is>
      </c>
      <c r="B1846" s="1" t="n">
        <v>45450</v>
      </c>
      <c r="C1846" s="1" t="n">
        <v>45657</v>
      </c>
      <c r="D1846" t="inlineStr">
        <is>
          <t>VÄSTERNORRLANDS LÄN</t>
        </is>
      </c>
      <c r="E1846" t="inlineStr">
        <is>
          <t>ÅNGE</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23035-2024</t>
        </is>
      </c>
      <c r="B1847" s="1" t="n">
        <v>45450</v>
      </c>
      <c r="C1847" s="1" t="n">
        <v>45657</v>
      </c>
      <c r="D1847" t="inlineStr">
        <is>
          <t>VÄSTERNORRLANDS LÄN</t>
        </is>
      </c>
      <c r="E1847" t="inlineStr">
        <is>
          <t>ÅNGE</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23045-2024</t>
        </is>
      </c>
      <c r="B1848" s="1" t="n">
        <v>45450</v>
      </c>
      <c r="C1848" s="1" t="n">
        <v>45657</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23058-2024</t>
        </is>
      </c>
      <c r="B1849" s="1" t="n">
        <v>45450</v>
      </c>
      <c r="C1849" s="1" t="n">
        <v>45657</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23063-2024</t>
        </is>
      </c>
      <c r="B1850" s="1" t="n">
        <v>45450</v>
      </c>
      <c r="C1850" s="1" t="n">
        <v>45657</v>
      </c>
      <c r="D1850" t="inlineStr">
        <is>
          <t>VÄSTERNORRLANDS LÄN</t>
        </is>
      </c>
      <c r="E1850" t="inlineStr">
        <is>
          <t>ÅNGE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23069-2024</t>
        </is>
      </c>
      <c r="B1851" s="1" t="n">
        <v>45450</v>
      </c>
      <c r="C1851" s="1" t="n">
        <v>45657</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23225-2024</t>
        </is>
      </c>
      <c r="B1852" s="1" t="n">
        <v>45453</v>
      </c>
      <c r="C1852" s="1" t="n">
        <v>45657</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23224-2024</t>
        </is>
      </c>
      <c r="B1853" s="1" t="n">
        <v>45452</v>
      </c>
      <c r="C1853" s="1" t="n">
        <v>45657</v>
      </c>
      <c r="D1853" t="inlineStr">
        <is>
          <t>VÄSTERNORRLANDS LÄN</t>
        </is>
      </c>
      <c r="E1853" t="inlineStr">
        <is>
          <t>ÅNGE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23353-2024</t>
        </is>
      </c>
      <c r="B1854" s="1" t="n">
        <v>45453</v>
      </c>
      <c r="C1854" s="1" t="n">
        <v>45657</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23419-2024</t>
        </is>
      </c>
      <c r="B1855" s="1" t="n">
        <v>45453</v>
      </c>
      <c r="C1855" s="1" t="n">
        <v>45657</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23933-2024</t>
        </is>
      </c>
      <c r="B1856" s="1" t="n">
        <v>45455</v>
      </c>
      <c r="C1856" s="1" t="n">
        <v>45657</v>
      </c>
      <c r="D1856" t="inlineStr">
        <is>
          <t>VÄSTERNORRLANDS LÄN</t>
        </is>
      </c>
      <c r="E1856" t="inlineStr">
        <is>
          <t>ÅNGE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23961-2024</t>
        </is>
      </c>
      <c r="B1857" s="1" t="n">
        <v>45456</v>
      </c>
      <c r="C1857" s="1" t="n">
        <v>45657</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24131-2024</t>
        </is>
      </c>
      <c r="B1858" s="1" t="n">
        <v>45456</v>
      </c>
      <c r="C1858" s="1" t="n">
        <v>45657</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24231-2024</t>
        </is>
      </c>
      <c r="B1859" s="1" t="n">
        <v>45457</v>
      </c>
      <c r="C1859" s="1" t="n">
        <v>45657</v>
      </c>
      <c r="D1859" t="inlineStr">
        <is>
          <t>VÄSTERNORRLANDS LÄN</t>
        </is>
      </c>
      <c r="E1859" t="inlineStr">
        <is>
          <t>ÅNGE</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24436-2024</t>
        </is>
      </c>
      <c r="B1860" s="1" t="n">
        <v>45458</v>
      </c>
      <c r="C1860" s="1" t="n">
        <v>45657</v>
      </c>
      <c r="D1860" t="inlineStr">
        <is>
          <t>VÄSTERNORRLANDS LÄN</t>
        </is>
      </c>
      <c r="E1860" t="inlineStr">
        <is>
          <t>ÅNGE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24229-2024</t>
        </is>
      </c>
      <c r="B1861" s="1" t="n">
        <v>45457</v>
      </c>
      <c r="C1861" s="1" t="n">
        <v>45657</v>
      </c>
      <c r="D1861" t="inlineStr">
        <is>
          <t>VÄSTERNORRLANDS LÄN</t>
        </is>
      </c>
      <c r="E1861" t="inlineStr">
        <is>
          <t>ÅNGE</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24232-2024</t>
        </is>
      </c>
      <c r="B1862" s="1" t="n">
        <v>45457</v>
      </c>
      <c r="C1862" s="1" t="n">
        <v>45657</v>
      </c>
      <c r="D1862" t="inlineStr">
        <is>
          <t>VÄSTERNORRLANDS LÄN</t>
        </is>
      </c>
      <c r="E1862" t="inlineStr">
        <is>
          <t>ÅNGE</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24498-2024</t>
        </is>
      </c>
      <c r="B1863" s="1" t="n">
        <v>45460</v>
      </c>
      <c r="C1863" s="1" t="n">
        <v>45657</v>
      </c>
      <c r="D1863" t="inlineStr">
        <is>
          <t>VÄSTERNORRLANDS LÄN</t>
        </is>
      </c>
      <c r="E1863" t="inlineStr">
        <is>
          <t>ÅNGE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24798-2024</t>
        </is>
      </c>
      <c r="B1864" s="1" t="n">
        <v>45461</v>
      </c>
      <c r="C1864" s="1" t="n">
        <v>45657</v>
      </c>
      <c r="D1864" t="inlineStr">
        <is>
          <t>VÄSTERNORRLANDS LÄN</t>
        </is>
      </c>
      <c r="E1864" t="inlineStr">
        <is>
          <t>ÅNGE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24797-2024</t>
        </is>
      </c>
      <c r="B1865" s="1" t="n">
        <v>45461</v>
      </c>
      <c r="C1865" s="1" t="n">
        <v>45657</v>
      </c>
      <c r="D1865" t="inlineStr">
        <is>
          <t>VÄSTERNORRLANDS LÄN</t>
        </is>
      </c>
      <c r="E1865" t="inlineStr">
        <is>
          <t>ÅNGE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25033-2024</t>
        </is>
      </c>
      <c r="B1866" s="1" t="n">
        <v>45462</v>
      </c>
      <c r="C1866" s="1" t="n">
        <v>45657</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25025-2024</t>
        </is>
      </c>
      <c r="B1867" s="1" t="n">
        <v>45462</v>
      </c>
      <c r="C1867" s="1" t="n">
        <v>45657</v>
      </c>
      <c r="D1867" t="inlineStr">
        <is>
          <t>VÄSTERNORRLANDS LÄN</t>
        </is>
      </c>
      <c r="E1867" t="inlineStr">
        <is>
          <t>ÅNGE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25376-2024</t>
        </is>
      </c>
      <c r="B1868" s="1" t="n">
        <v>45463</v>
      </c>
      <c r="C1868" s="1" t="n">
        <v>45657</v>
      </c>
      <c r="D1868" t="inlineStr">
        <is>
          <t>VÄSTERNORRLANDS LÄN</t>
        </is>
      </c>
      <c r="E1868" t="inlineStr">
        <is>
          <t>ÅNGE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25377-2024</t>
        </is>
      </c>
      <c r="B1869" s="1" t="n">
        <v>45463</v>
      </c>
      <c r="C1869" s="1" t="n">
        <v>45657</v>
      </c>
      <c r="D1869" t="inlineStr">
        <is>
          <t>VÄSTERNORRLANDS LÄN</t>
        </is>
      </c>
      <c r="E1869" t="inlineStr">
        <is>
          <t>ÅNGE</t>
        </is>
      </c>
      <c r="F1869" t="inlineStr">
        <is>
          <t>SCA</t>
        </is>
      </c>
      <c r="G1869" t="n">
        <v>20.7</v>
      </c>
      <c r="H1869" t="n">
        <v>0</v>
      </c>
      <c r="I1869" t="n">
        <v>0</v>
      </c>
      <c r="J1869" t="n">
        <v>0</v>
      </c>
      <c r="K1869" t="n">
        <v>0</v>
      </c>
      <c r="L1869" t="n">
        <v>0</v>
      </c>
      <c r="M1869" t="n">
        <v>0</v>
      </c>
      <c r="N1869" t="n">
        <v>0</v>
      </c>
      <c r="O1869" t="n">
        <v>0</v>
      </c>
      <c r="P1869" t="n">
        <v>0</v>
      </c>
      <c r="Q1869" t="n">
        <v>0</v>
      </c>
      <c r="R1869" s="2" t="inlineStr"/>
    </row>
    <row r="1870" ht="15" customHeight="1">
      <c r="A1870" t="inlineStr">
        <is>
          <t>A 25700-2024</t>
        </is>
      </c>
      <c r="B1870" s="1" t="n">
        <v>45463</v>
      </c>
      <c r="C1870" s="1" t="n">
        <v>45657</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25867-2024</t>
        </is>
      </c>
      <c r="B1871" s="1" t="n">
        <v>45463</v>
      </c>
      <c r="C1871" s="1" t="n">
        <v>45657</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26013-2024</t>
        </is>
      </c>
      <c r="B1872" s="1" t="n">
        <v>45467</v>
      </c>
      <c r="C1872" s="1" t="n">
        <v>45657</v>
      </c>
      <c r="D1872" t="inlineStr">
        <is>
          <t>VÄSTERNORRLANDS LÄN</t>
        </is>
      </c>
      <c r="E1872" t="inlineStr">
        <is>
          <t>ÅNGE</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26017-2024</t>
        </is>
      </c>
      <c r="B1873" s="1" t="n">
        <v>45468</v>
      </c>
      <c r="C1873" s="1" t="n">
        <v>45657</v>
      </c>
      <c r="D1873" t="inlineStr">
        <is>
          <t>VÄSTERNORRLANDS LÄN</t>
        </is>
      </c>
      <c r="E1873" t="inlineStr">
        <is>
          <t>ÅNGE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26021-2024</t>
        </is>
      </c>
      <c r="B1874" s="1" t="n">
        <v>45467</v>
      </c>
      <c r="C1874" s="1" t="n">
        <v>45657</v>
      </c>
      <c r="D1874" t="inlineStr">
        <is>
          <t>VÄSTERNORRLANDS LÄN</t>
        </is>
      </c>
      <c r="E1874" t="inlineStr">
        <is>
          <t>ÅNGE</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26010-2024</t>
        </is>
      </c>
      <c r="B1875" s="1" t="n">
        <v>45468</v>
      </c>
      <c r="C1875" s="1" t="n">
        <v>45657</v>
      </c>
      <c r="D1875" t="inlineStr">
        <is>
          <t>VÄSTERNORRLANDS LÄN</t>
        </is>
      </c>
      <c r="E1875" t="inlineStr">
        <is>
          <t>ÅNGE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26011-2024</t>
        </is>
      </c>
      <c r="B1876" s="1" t="n">
        <v>45468</v>
      </c>
      <c r="C1876" s="1" t="n">
        <v>45657</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26015-2024</t>
        </is>
      </c>
      <c r="B1877" s="1" t="n">
        <v>45468</v>
      </c>
      <c r="C1877" s="1" t="n">
        <v>45657</v>
      </c>
      <c r="D1877" t="inlineStr">
        <is>
          <t>VÄSTERNORRLANDS LÄN</t>
        </is>
      </c>
      <c r="E1877" t="inlineStr">
        <is>
          <t>ÅNGE</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26019-2024</t>
        </is>
      </c>
      <c r="B1878" s="1" t="n">
        <v>45468</v>
      </c>
      <c r="C1878" s="1" t="n">
        <v>45657</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26012-2024</t>
        </is>
      </c>
      <c r="B1879" s="1" t="n">
        <v>45467</v>
      </c>
      <c r="C1879" s="1" t="n">
        <v>45657</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26016-2024</t>
        </is>
      </c>
      <c r="B1880" s="1" t="n">
        <v>45467</v>
      </c>
      <c r="C1880" s="1" t="n">
        <v>45657</v>
      </c>
      <c r="D1880" t="inlineStr">
        <is>
          <t>VÄSTERNORRLANDS LÄN</t>
        </is>
      </c>
      <c r="E1880" t="inlineStr">
        <is>
          <t>ÅNGE</t>
        </is>
      </c>
      <c r="F1880" t="inlineStr">
        <is>
          <t>SCA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26014-2024</t>
        </is>
      </c>
      <c r="B1881" s="1" t="n">
        <v>45468</v>
      </c>
      <c r="C1881" s="1" t="n">
        <v>45657</v>
      </c>
      <c r="D1881" t="inlineStr">
        <is>
          <t>VÄSTERNORRLANDS LÄN</t>
        </is>
      </c>
      <c r="E1881" t="inlineStr">
        <is>
          <t>ÅNGE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26018-2024</t>
        </is>
      </c>
      <c r="B1882" s="1" t="n">
        <v>45468</v>
      </c>
      <c r="C1882" s="1" t="n">
        <v>45657</v>
      </c>
      <c r="D1882" t="inlineStr">
        <is>
          <t>VÄSTERNORRLANDS LÄN</t>
        </is>
      </c>
      <c r="E1882" t="inlineStr">
        <is>
          <t>ÅNGE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26321-2024</t>
        </is>
      </c>
      <c r="B1883" s="1" t="n">
        <v>45468</v>
      </c>
      <c r="C1883" s="1" t="n">
        <v>45657</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26641-2024</t>
        </is>
      </c>
      <c r="B1884" s="1" t="n">
        <v>45470</v>
      </c>
      <c r="C1884" s="1" t="n">
        <v>45657</v>
      </c>
      <c r="D1884" t="inlineStr">
        <is>
          <t>VÄSTERNORRLANDS LÄN</t>
        </is>
      </c>
      <c r="E1884" t="inlineStr">
        <is>
          <t>ÅNGE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26424-2024</t>
        </is>
      </c>
      <c r="B1885" s="1" t="n">
        <v>45469</v>
      </c>
      <c r="C1885" s="1" t="n">
        <v>45657</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26490-2024</t>
        </is>
      </c>
      <c r="B1886" s="1" t="n">
        <v>45469</v>
      </c>
      <c r="C1886" s="1" t="n">
        <v>45657</v>
      </c>
      <c r="D1886" t="inlineStr">
        <is>
          <t>VÄSTERNORRLANDS LÄN</t>
        </is>
      </c>
      <c r="E1886" t="inlineStr">
        <is>
          <t>ÅNGE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26639-2024</t>
        </is>
      </c>
      <c r="B1887" s="1" t="n">
        <v>45470</v>
      </c>
      <c r="C1887" s="1" t="n">
        <v>45657</v>
      </c>
      <c r="D1887" t="inlineStr">
        <is>
          <t>VÄSTERNORRLANDS LÄN</t>
        </is>
      </c>
      <c r="E1887" t="inlineStr">
        <is>
          <t>ÅNGE</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26640-2024</t>
        </is>
      </c>
      <c r="B1888" s="1" t="n">
        <v>45470</v>
      </c>
      <c r="C1888" s="1" t="n">
        <v>45657</v>
      </c>
      <c r="D1888" t="inlineStr">
        <is>
          <t>VÄSTERNORRLANDS LÄN</t>
        </is>
      </c>
      <c r="E1888" t="inlineStr">
        <is>
          <t>ÅNGE</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26950-2024</t>
        </is>
      </c>
      <c r="B1889" s="1" t="n">
        <v>45470</v>
      </c>
      <c r="C1889" s="1" t="n">
        <v>45657</v>
      </c>
      <c r="D1889" t="inlineStr">
        <is>
          <t>VÄSTERNORRLANDS LÄN</t>
        </is>
      </c>
      <c r="E1889" t="inlineStr">
        <is>
          <t>ÅNGE</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26943-2024</t>
        </is>
      </c>
      <c r="B1890" s="1" t="n">
        <v>45470</v>
      </c>
      <c r="C1890" s="1" t="n">
        <v>45657</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26942-2024</t>
        </is>
      </c>
      <c r="B1891" s="1" t="n">
        <v>45470</v>
      </c>
      <c r="C1891" s="1" t="n">
        <v>45657</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26951-2024</t>
        </is>
      </c>
      <c r="B1892" s="1" t="n">
        <v>45471</v>
      </c>
      <c r="C1892" s="1" t="n">
        <v>45657</v>
      </c>
      <c r="D1892" t="inlineStr">
        <is>
          <t>VÄSTERNORRLANDS LÄN</t>
        </is>
      </c>
      <c r="E1892" t="inlineStr">
        <is>
          <t>ÅNGE</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26952-2024</t>
        </is>
      </c>
      <c r="B1893" s="1" t="n">
        <v>45470</v>
      </c>
      <c r="C1893" s="1" t="n">
        <v>45657</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26957-2024</t>
        </is>
      </c>
      <c r="B1894" s="1" t="n">
        <v>45470</v>
      </c>
      <c r="C1894" s="1" t="n">
        <v>45657</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26945-2024</t>
        </is>
      </c>
      <c r="B1895" s="1" t="n">
        <v>45471</v>
      </c>
      <c r="C1895" s="1" t="n">
        <v>45657</v>
      </c>
      <c r="D1895" t="inlineStr">
        <is>
          <t>VÄSTERNORRLANDS LÄN</t>
        </is>
      </c>
      <c r="E1895" t="inlineStr">
        <is>
          <t>ÅNGE</t>
        </is>
      </c>
      <c r="F1895" t="inlineStr">
        <is>
          <t>SCA</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27306-2024</t>
        </is>
      </c>
      <c r="B1896" s="1" t="n">
        <v>45472</v>
      </c>
      <c r="C1896" s="1" t="n">
        <v>45657</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27321-2024</t>
        </is>
      </c>
      <c r="B1897" s="1" t="n">
        <v>45471</v>
      </c>
      <c r="C1897" s="1" t="n">
        <v>45657</v>
      </c>
      <c r="D1897" t="inlineStr">
        <is>
          <t>VÄSTERNORRLANDS LÄN</t>
        </is>
      </c>
      <c r="E1897" t="inlineStr">
        <is>
          <t>ÅNGE</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27668-2024</t>
        </is>
      </c>
      <c r="B1898" s="1" t="n">
        <v>45475</v>
      </c>
      <c r="C1898" s="1" t="n">
        <v>45657</v>
      </c>
      <c r="D1898" t="inlineStr">
        <is>
          <t>VÄSTERNORRLANDS LÄN</t>
        </is>
      </c>
      <c r="E1898" t="inlineStr">
        <is>
          <t>ÅNGE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27468-2024</t>
        </is>
      </c>
      <c r="B1899" s="1" t="n">
        <v>45474</v>
      </c>
      <c r="C1899" s="1" t="n">
        <v>45657</v>
      </c>
      <c r="D1899" t="inlineStr">
        <is>
          <t>VÄSTERNORRLANDS LÄN</t>
        </is>
      </c>
      <c r="E1899" t="inlineStr">
        <is>
          <t>ÅNGE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27461-2024</t>
        </is>
      </c>
      <c r="B1900" s="1" t="n">
        <v>45474</v>
      </c>
      <c r="C1900" s="1" t="n">
        <v>45657</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27630-2024</t>
        </is>
      </c>
      <c r="B1901" s="1" t="n">
        <v>45474</v>
      </c>
      <c r="C1901" s="1" t="n">
        <v>45657</v>
      </c>
      <c r="D1901" t="inlineStr">
        <is>
          <t>VÄSTERNORRLANDS LÄN</t>
        </is>
      </c>
      <c r="E1901" t="inlineStr">
        <is>
          <t>ÅNGE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27629-2024</t>
        </is>
      </c>
      <c r="B1902" s="1" t="n">
        <v>45474</v>
      </c>
      <c r="C1902" s="1" t="n">
        <v>45657</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27661-2024</t>
        </is>
      </c>
      <c r="B1903" s="1" t="n">
        <v>45475</v>
      </c>
      <c r="C1903" s="1" t="n">
        <v>45657</v>
      </c>
      <c r="D1903" t="inlineStr">
        <is>
          <t>VÄSTERNORRLANDS LÄN</t>
        </is>
      </c>
      <c r="E1903" t="inlineStr">
        <is>
          <t>ÅNGE</t>
        </is>
      </c>
      <c r="F1903" t="inlineStr">
        <is>
          <t>SCA</t>
        </is>
      </c>
      <c r="G1903" t="n">
        <v>19.1</v>
      </c>
      <c r="H1903" t="n">
        <v>0</v>
      </c>
      <c r="I1903" t="n">
        <v>0</v>
      </c>
      <c r="J1903" t="n">
        <v>0</v>
      </c>
      <c r="K1903" t="n">
        <v>0</v>
      </c>
      <c r="L1903" t="n">
        <v>0</v>
      </c>
      <c r="M1903" t="n">
        <v>0</v>
      </c>
      <c r="N1903" t="n">
        <v>0</v>
      </c>
      <c r="O1903" t="n">
        <v>0</v>
      </c>
      <c r="P1903" t="n">
        <v>0</v>
      </c>
      <c r="Q1903" t="n">
        <v>0</v>
      </c>
      <c r="R1903" s="2" t="inlineStr"/>
    </row>
    <row r="1904" ht="15" customHeight="1">
      <c r="A1904" t="inlineStr">
        <is>
          <t>A 27935-2024</t>
        </is>
      </c>
      <c r="B1904" s="1" t="n">
        <v>45475</v>
      </c>
      <c r="C1904" s="1" t="n">
        <v>45657</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c r="U1904">
        <f>HYPERLINK("https://klasma.github.io/Logging_2260/knärot/A 27935-2024 karta knärot.png", "A 27935-2024")</f>
        <v/>
      </c>
      <c r="V1904">
        <f>HYPERLINK("https://klasma.github.io/Logging_2260/klagomål/A 27935-2024 FSC-klagomål.docx", "A 27935-2024")</f>
        <v/>
      </c>
      <c r="W1904">
        <f>HYPERLINK("https://klasma.github.io/Logging_2260/klagomålsmail/A 27935-2024 FSC-klagomål mail.docx", "A 27935-2024")</f>
        <v/>
      </c>
      <c r="X1904">
        <f>HYPERLINK("https://klasma.github.io/Logging_2260/tillsyn/A 27935-2024 tillsynsbegäran.docx", "A 27935-2024")</f>
        <v/>
      </c>
      <c r="Y1904">
        <f>HYPERLINK("https://klasma.github.io/Logging_2260/tillsynsmail/A 27935-2024 tillsynsbegäran mail.docx", "A 27935-2024")</f>
        <v/>
      </c>
    </row>
    <row r="1905" ht="15" customHeight="1">
      <c r="A1905" t="inlineStr">
        <is>
          <t>A 27915-2024</t>
        </is>
      </c>
      <c r="B1905" s="1" t="n">
        <v>45475</v>
      </c>
      <c r="C1905" s="1" t="n">
        <v>45657</v>
      </c>
      <c r="D1905" t="inlineStr">
        <is>
          <t>VÄSTERNORRLANDS LÄN</t>
        </is>
      </c>
      <c r="E1905" t="inlineStr">
        <is>
          <t>ÅNGE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27853-2024</t>
        </is>
      </c>
      <c r="B1906" s="1" t="n">
        <v>45475</v>
      </c>
      <c r="C1906" s="1" t="n">
        <v>45657</v>
      </c>
      <c r="D1906" t="inlineStr">
        <is>
          <t>VÄSTERNORRLANDS LÄN</t>
        </is>
      </c>
      <c r="E1906" t="inlineStr">
        <is>
          <t>ÅNGE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28171-2024</t>
        </is>
      </c>
      <c r="B1907" s="1" t="n">
        <v>45477</v>
      </c>
      <c r="C1907" s="1" t="n">
        <v>45657</v>
      </c>
      <c r="D1907" t="inlineStr">
        <is>
          <t>VÄSTERNORRLANDS LÄN</t>
        </is>
      </c>
      <c r="E1907" t="inlineStr">
        <is>
          <t>ÅNGE</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27952-2024</t>
        </is>
      </c>
      <c r="B1908" s="1" t="n">
        <v>45476</v>
      </c>
      <c r="C1908" s="1" t="n">
        <v>45657</v>
      </c>
      <c r="D1908" t="inlineStr">
        <is>
          <t>VÄSTERNORRLANDS LÄN</t>
        </is>
      </c>
      <c r="E1908" t="inlineStr">
        <is>
          <t>ÅNGE</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28506-2024</t>
        </is>
      </c>
      <c r="B1909" s="1" t="n">
        <v>45478</v>
      </c>
      <c r="C1909" s="1" t="n">
        <v>45657</v>
      </c>
      <c r="D1909" t="inlineStr">
        <is>
          <t>VÄSTERNORRLANDS LÄN</t>
        </is>
      </c>
      <c r="E1909" t="inlineStr">
        <is>
          <t>ÅNGE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28504-2024</t>
        </is>
      </c>
      <c r="B1910" s="1" t="n">
        <v>45477</v>
      </c>
      <c r="C1910" s="1" t="n">
        <v>45657</v>
      </c>
      <c r="D1910" t="inlineStr">
        <is>
          <t>VÄSTERNORRLANDS LÄN</t>
        </is>
      </c>
      <c r="E1910" t="inlineStr">
        <is>
          <t>ÅNGE</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28873-2024</t>
        </is>
      </c>
      <c r="B1911" s="1" t="n">
        <v>45479</v>
      </c>
      <c r="C1911" s="1" t="n">
        <v>45657</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28604-2024</t>
        </is>
      </c>
      <c r="B1912" s="1" t="n">
        <v>45478</v>
      </c>
      <c r="C1912" s="1" t="n">
        <v>45657</v>
      </c>
      <c r="D1912" t="inlineStr">
        <is>
          <t>VÄSTERNORRLANDS LÄN</t>
        </is>
      </c>
      <c r="E1912" t="inlineStr">
        <is>
          <t>ÅNGE</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29088-2024</t>
        </is>
      </c>
      <c r="B1913" s="1" t="n">
        <v>45481</v>
      </c>
      <c r="C1913" s="1" t="n">
        <v>45657</v>
      </c>
      <c r="D1913" t="inlineStr">
        <is>
          <t>VÄSTERNORRLANDS LÄN</t>
        </is>
      </c>
      <c r="E1913" t="inlineStr">
        <is>
          <t>ÅNGE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29270-2024</t>
        </is>
      </c>
      <c r="B1914" s="1" t="n">
        <v>45483</v>
      </c>
      <c r="C1914" s="1" t="n">
        <v>45657</v>
      </c>
      <c r="D1914" t="inlineStr">
        <is>
          <t>VÄSTERNORRLANDS LÄN</t>
        </is>
      </c>
      <c r="E1914" t="inlineStr">
        <is>
          <t>ÅNGE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29193-2024</t>
        </is>
      </c>
      <c r="B1915" s="1" t="n">
        <v>45482</v>
      </c>
      <c r="C1915" s="1" t="n">
        <v>45657</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29268-2024</t>
        </is>
      </c>
      <c r="B1916" s="1" t="n">
        <v>45482</v>
      </c>
      <c r="C1916" s="1" t="n">
        <v>45657</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29196-2024</t>
        </is>
      </c>
      <c r="B1917" s="1" t="n">
        <v>45482</v>
      </c>
      <c r="C1917" s="1" t="n">
        <v>45657</v>
      </c>
      <c r="D1917" t="inlineStr">
        <is>
          <t>VÄSTERNORRLANDS LÄN</t>
        </is>
      </c>
      <c r="E1917" t="inlineStr">
        <is>
          <t>ÅNGE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29251-2024</t>
        </is>
      </c>
      <c r="B1918" s="1" t="n">
        <v>45483</v>
      </c>
      <c r="C1918" s="1" t="n">
        <v>45657</v>
      </c>
      <c r="D1918" t="inlineStr">
        <is>
          <t>VÄSTERNORRLANDS LÄN</t>
        </is>
      </c>
      <c r="E1918" t="inlineStr">
        <is>
          <t>ÅNGE</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29259-2024</t>
        </is>
      </c>
      <c r="B1919" s="1" t="n">
        <v>45483</v>
      </c>
      <c r="C1919" s="1" t="n">
        <v>45657</v>
      </c>
      <c r="D1919" t="inlineStr">
        <is>
          <t>VÄSTERNORRLANDS LÄN</t>
        </is>
      </c>
      <c r="E1919" t="inlineStr">
        <is>
          <t>ÅNGE</t>
        </is>
      </c>
      <c r="F1919" t="inlineStr">
        <is>
          <t>SCA</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29271-2024</t>
        </is>
      </c>
      <c r="B1920" s="1" t="n">
        <v>45482</v>
      </c>
      <c r="C1920" s="1" t="n">
        <v>45657</v>
      </c>
      <c r="D1920" t="inlineStr">
        <is>
          <t>VÄSTERNORRLANDS LÄN</t>
        </is>
      </c>
      <c r="E1920" t="inlineStr">
        <is>
          <t>ÅNGE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29395-2024</t>
        </is>
      </c>
      <c r="B1921" s="1" t="n">
        <v>45483</v>
      </c>
      <c r="C1921" s="1" t="n">
        <v>45657</v>
      </c>
      <c r="D1921" t="inlineStr">
        <is>
          <t>VÄSTERNORRLANDS LÄN</t>
        </is>
      </c>
      <c r="E1921" t="inlineStr">
        <is>
          <t>ÅNGE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29421-2024</t>
        </is>
      </c>
      <c r="B1922" s="1" t="n">
        <v>45483</v>
      </c>
      <c r="C1922" s="1" t="n">
        <v>45657</v>
      </c>
      <c r="D1922" t="inlineStr">
        <is>
          <t>VÄSTERNORRLANDS LÄN</t>
        </is>
      </c>
      <c r="E1922" t="inlineStr">
        <is>
          <t>ÅNGE</t>
        </is>
      </c>
      <c r="F1922" t="inlineStr">
        <is>
          <t>Kyrkan</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29458-2024</t>
        </is>
      </c>
      <c r="B1923" s="1" t="n">
        <v>45484</v>
      </c>
      <c r="C1923" s="1" t="n">
        <v>45657</v>
      </c>
      <c r="D1923" t="inlineStr">
        <is>
          <t>VÄSTERNORRLANDS LÄN</t>
        </is>
      </c>
      <c r="E1923" t="inlineStr">
        <is>
          <t>ÅNGE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29462-2024</t>
        </is>
      </c>
      <c r="B1924" s="1" t="n">
        <v>45484</v>
      </c>
      <c r="C1924" s="1" t="n">
        <v>45657</v>
      </c>
      <c r="D1924" t="inlineStr">
        <is>
          <t>VÄSTERNORRLANDS LÄN</t>
        </is>
      </c>
      <c r="E1924" t="inlineStr">
        <is>
          <t>ÅNGE</t>
        </is>
      </c>
      <c r="F1924" t="inlineStr">
        <is>
          <t>SCA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29470-2024</t>
        </is>
      </c>
      <c r="B1925" s="1" t="n">
        <v>45484</v>
      </c>
      <c r="C1925" s="1" t="n">
        <v>45657</v>
      </c>
      <c r="D1925" t="inlineStr">
        <is>
          <t>VÄSTERNORRLANDS LÄN</t>
        </is>
      </c>
      <c r="E1925" t="inlineStr">
        <is>
          <t>ÅNGE</t>
        </is>
      </c>
      <c r="F1925" t="inlineStr">
        <is>
          <t>SCA</t>
        </is>
      </c>
      <c r="G1925" t="n">
        <v>24.5</v>
      </c>
      <c r="H1925" t="n">
        <v>0</v>
      </c>
      <c r="I1925" t="n">
        <v>0</v>
      </c>
      <c r="J1925" t="n">
        <v>0</v>
      </c>
      <c r="K1925" t="n">
        <v>0</v>
      </c>
      <c r="L1925" t="n">
        <v>0</v>
      </c>
      <c r="M1925" t="n">
        <v>0</v>
      </c>
      <c r="N1925" t="n">
        <v>0</v>
      </c>
      <c r="O1925" t="n">
        <v>0</v>
      </c>
      <c r="P1925" t="n">
        <v>0</v>
      </c>
      <c r="Q1925" t="n">
        <v>0</v>
      </c>
      <c r="R1925" s="2" t="inlineStr"/>
    </row>
    <row r="1926" ht="15" customHeight="1">
      <c r="A1926" t="inlineStr">
        <is>
          <t>A 29673-2024</t>
        </is>
      </c>
      <c r="B1926" s="1" t="n">
        <v>45485</v>
      </c>
      <c r="C1926" s="1" t="n">
        <v>45657</v>
      </c>
      <c r="D1926" t="inlineStr">
        <is>
          <t>VÄSTERNORRLANDS LÄN</t>
        </is>
      </c>
      <c r="E1926" t="inlineStr">
        <is>
          <t>ÅNGE</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29667-2024</t>
        </is>
      </c>
      <c r="B1927" s="1" t="n">
        <v>45485</v>
      </c>
      <c r="C1927" s="1" t="n">
        <v>45657</v>
      </c>
      <c r="D1927" t="inlineStr">
        <is>
          <t>VÄSTERNORRLANDS LÄN</t>
        </is>
      </c>
      <c r="E1927" t="inlineStr">
        <is>
          <t>ÅNGE</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29699-2024</t>
        </is>
      </c>
      <c r="B1928" s="1" t="n">
        <v>45484</v>
      </c>
      <c r="C1928" s="1" t="n">
        <v>45657</v>
      </c>
      <c r="D1928" t="inlineStr">
        <is>
          <t>VÄSTERNORRLANDS LÄN</t>
        </is>
      </c>
      <c r="E1928" t="inlineStr">
        <is>
          <t>ÅNGE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29666-2024</t>
        </is>
      </c>
      <c r="B1929" s="1" t="n">
        <v>45484</v>
      </c>
      <c r="C1929" s="1" t="n">
        <v>45657</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29664-2024</t>
        </is>
      </c>
      <c r="B1930" s="1" t="n">
        <v>45484</v>
      </c>
      <c r="C1930" s="1" t="n">
        <v>45657</v>
      </c>
      <c r="D1930" t="inlineStr">
        <is>
          <t>VÄSTERNORRLANDS LÄN</t>
        </is>
      </c>
      <c r="E1930" t="inlineStr">
        <is>
          <t>ÅNGE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29697-2024</t>
        </is>
      </c>
      <c r="B1931" s="1" t="n">
        <v>45484</v>
      </c>
      <c r="C1931" s="1" t="n">
        <v>45657</v>
      </c>
      <c r="D1931" t="inlineStr">
        <is>
          <t>VÄSTERNORRLANDS LÄN</t>
        </is>
      </c>
      <c r="E1931" t="inlineStr">
        <is>
          <t>ÅNGE</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29696-2024</t>
        </is>
      </c>
      <c r="B1932" s="1" t="n">
        <v>45485</v>
      </c>
      <c r="C1932" s="1" t="n">
        <v>45657</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29702-2024</t>
        </is>
      </c>
      <c r="B1933" s="1" t="n">
        <v>45485</v>
      </c>
      <c r="C1933" s="1" t="n">
        <v>45657</v>
      </c>
      <c r="D1933" t="inlineStr">
        <is>
          <t>VÄSTERNORRLANDS LÄN</t>
        </is>
      </c>
      <c r="E1933" t="inlineStr">
        <is>
          <t>ÅNGE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29848-2024</t>
        </is>
      </c>
      <c r="B1934" s="1" t="n">
        <v>45485</v>
      </c>
      <c r="C1934" s="1" t="n">
        <v>45657</v>
      </c>
      <c r="D1934" t="inlineStr">
        <is>
          <t>VÄSTERNORRLANDS LÄN</t>
        </is>
      </c>
      <c r="E1934" t="inlineStr">
        <is>
          <t>ÅNGE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30055-2024</t>
        </is>
      </c>
      <c r="B1935" s="1" t="n">
        <v>45489</v>
      </c>
      <c r="C1935" s="1" t="n">
        <v>45657</v>
      </c>
      <c r="D1935" t="inlineStr">
        <is>
          <t>VÄSTERNORRLANDS LÄN</t>
        </is>
      </c>
      <c r="E1935" t="inlineStr">
        <is>
          <t>ÅNGE</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30054-2024</t>
        </is>
      </c>
      <c r="B1936" s="1" t="n">
        <v>45489</v>
      </c>
      <c r="C1936" s="1" t="n">
        <v>45657</v>
      </c>
      <c r="D1936" t="inlineStr">
        <is>
          <t>VÄSTERNORRLANDS LÄN</t>
        </is>
      </c>
      <c r="E1936" t="inlineStr">
        <is>
          <t>ÅNGE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30235-2024</t>
        </is>
      </c>
      <c r="B1937" s="1" t="n">
        <v>45490</v>
      </c>
      <c r="C1937" s="1" t="n">
        <v>45657</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30256-2024</t>
        </is>
      </c>
      <c r="B1938" s="1" t="n">
        <v>45490</v>
      </c>
      <c r="C1938" s="1" t="n">
        <v>45657</v>
      </c>
      <c r="D1938" t="inlineStr">
        <is>
          <t>VÄSTERNORRLANDS LÄN</t>
        </is>
      </c>
      <c r="E1938" t="inlineStr">
        <is>
          <t>ÅNGE</t>
        </is>
      </c>
      <c r="G1938" t="n">
        <v>22.8</v>
      </c>
      <c r="H1938" t="n">
        <v>0</v>
      </c>
      <c r="I1938" t="n">
        <v>0</v>
      </c>
      <c r="J1938" t="n">
        <v>0</v>
      </c>
      <c r="K1938" t="n">
        <v>0</v>
      </c>
      <c r="L1938" t="n">
        <v>0</v>
      </c>
      <c r="M1938" t="n">
        <v>0</v>
      </c>
      <c r="N1938" t="n">
        <v>0</v>
      </c>
      <c r="O1938" t="n">
        <v>0</v>
      </c>
      <c r="P1938" t="n">
        <v>0</v>
      </c>
      <c r="Q1938" t="n">
        <v>0</v>
      </c>
      <c r="R1938" s="2" t="inlineStr"/>
    </row>
    <row r="1939" ht="15" customHeight="1">
      <c r="A1939" t="inlineStr">
        <is>
          <t>A 30222-2024</t>
        </is>
      </c>
      <c r="B1939" s="1" t="n">
        <v>45490</v>
      </c>
      <c r="C1939" s="1" t="n">
        <v>45657</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30217-2024</t>
        </is>
      </c>
      <c r="B1940" s="1" t="n">
        <v>45490</v>
      </c>
      <c r="C1940" s="1" t="n">
        <v>45657</v>
      </c>
      <c r="D1940" t="inlineStr">
        <is>
          <t>VÄSTERNORRLANDS LÄN</t>
        </is>
      </c>
      <c r="E1940" t="inlineStr">
        <is>
          <t>ÅNGE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30346-2024</t>
        </is>
      </c>
      <c r="B1941" s="1" t="n">
        <v>45491</v>
      </c>
      <c r="C1941" s="1" t="n">
        <v>45657</v>
      </c>
      <c r="D1941" t="inlineStr">
        <is>
          <t>VÄSTERNORRLANDS LÄN</t>
        </is>
      </c>
      <c r="E1941" t="inlineStr">
        <is>
          <t>ÅNGE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30348-2024</t>
        </is>
      </c>
      <c r="B1942" s="1" t="n">
        <v>45491</v>
      </c>
      <c r="C1942" s="1" t="n">
        <v>45657</v>
      </c>
      <c r="D1942" t="inlineStr">
        <is>
          <t>VÄSTERNORRLANDS LÄN</t>
        </is>
      </c>
      <c r="E1942" t="inlineStr">
        <is>
          <t>ÅNGE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30353-2024</t>
        </is>
      </c>
      <c r="B1943" s="1" t="n">
        <v>45491</v>
      </c>
      <c r="C1943" s="1" t="n">
        <v>45657</v>
      </c>
      <c r="D1943" t="inlineStr">
        <is>
          <t>VÄSTERNORRLANDS LÄN</t>
        </is>
      </c>
      <c r="E1943" t="inlineStr">
        <is>
          <t>ÅNGE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30347-2024</t>
        </is>
      </c>
      <c r="B1944" s="1" t="n">
        <v>45491</v>
      </c>
      <c r="C1944" s="1" t="n">
        <v>45657</v>
      </c>
      <c r="D1944" t="inlineStr">
        <is>
          <t>VÄSTERNORRLANDS LÄN</t>
        </is>
      </c>
      <c r="E1944" t="inlineStr">
        <is>
          <t>ÅNGE</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30469-2024</t>
        </is>
      </c>
      <c r="B1945" s="1" t="n">
        <v>45491</v>
      </c>
      <c r="C1945" s="1" t="n">
        <v>45657</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30481-2024</t>
        </is>
      </c>
      <c r="B1946" s="1" t="n">
        <v>45492</v>
      </c>
      <c r="C1946" s="1" t="n">
        <v>45657</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30474-2024</t>
        </is>
      </c>
      <c r="B1947" s="1" t="n">
        <v>45491</v>
      </c>
      <c r="C1947" s="1" t="n">
        <v>45657</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30478-2024</t>
        </is>
      </c>
      <c r="B1948" s="1" t="n">
        <v>45492</v>
      </c>
      <c r="C1948" s="1" t="n">
        <v>45657</v>
      </c>
      <c r="D1948" t="inlineStr">
        <is>
          <t>VÄSTERNORRLANDS LÄN</t>
        </is>
      </c>
      <c r="E1948" t="inlineStr">
        <is>
          <t>ÅNGE</t>
        </is>
      </c>
      <c r="F1948" t="inlineStr">
        <is>
          <t>SCA</t>
        </is>
      </c>
      <c r="G1948" t="n">
        <v>2</v>
      </c>
      <c r="H1948" t="n">
        <v>0</v>
      </c>
      <c r="I1948" t="n">
        <v>0</v>
      </c>
      <c r="J1948" t="n">
        <v>0</v>
      </c>
      <c r="K1948" t="n">
        <v>0</v>
      </c>
      <c r="L1948" t="n">
        <v>0</v>
      </c>
      <c r="M1948" t="n">
        <v>0</v>
      </c>
      <c r="N1948" t="n">
        <v>0</v>
      </c>
      <c r="O1948" t="n">
        <v>0</v>
      </c>
      <c r="P1948" t="n">
        <v>0</v>
      </c>
      <c r="Q1948" t="n">
        <v>0</v>
      </c>
      <c r="R1948" s="2" t="inlineStr"/>
      <c r="U1948">
        <f>HYPERLINK("https://klasma.github.io/Logging_2260/knärot/A 30478-2024 karta knärot.png", "A 30478-2024")</f>
        <v/>
      </c>
      <c r="V1948">
        <f>HYPERLINK("https://klasma.github.io/Logging_2260/klagomål/A 30478-2024 FSC-klagomål.docx", "A 30478-2024")</f>
        <v/>
      </c>
      <c r="W1948">
        <f>HYPERLINK("https://klasma.github.io/Logging_2260/klagomålsmail/A 30478-2024 FSC-klagomål mail.docx", "A 30478-2024")</f>
        <v/>
      </c>
      <c r="X1948">
        <f>HYPERLINK("https://klasma.github.io/Logging_2260/tillsyn/A 30478-2024 tillsynsbegäran.docx", "A 30478-2024")</f>
        <v/>
      </c>
      <c r="Y1948">
        <f>HYPERLINK("https://klasma.github.io/Logging_2260/tillsynsmail/A 30478-2024 tillsynsbegäran mail.docx", "A 30478-2024")</f>
        <v/>
      </c>
    </row>
    <row r="1949" ht="15" customHeight="1">
      <c r="A1949" t="inlineStr">
        <is>
          <t>A 30467-2024</t>
        </is>
      </c>
      <c r="B1949" s="1" t="n">
        <v>45492</v>
      </c>
      <c r="C1949" s="1" t="n">
        <v>45657</v>
      </c>
      <c r="D1949" t="inlineStr">
        <is>
          <t>VÄSTERNORRLANDS LÄN</t>
        </is>
      </c>
      <c r="E1949" t="inlineStr">
        <is>
          <t>ÅNGE</t>
        </is>
      </c>
      <c r="F1949" t="inlineStr">
        <is>
          <t>SCA</t>
        </is>
      </c>
      <c r="G1949" t="n">
        <v>2.4</v>
      </c>
      <c r="H1949" t="n">
        <v>0</v>
      </c>
      <c r="I1949" t="n">
        <v>0</v>
      </c>
      <c r="J1949" t="n">
        <v>0</v>
      </c>
      <c r="K1949" t="n">
        <v>0</v>
      </c>
      <c r="L1949" t="n">
        <v>0</v>
      </c>
      <c r="M1949" t="n">
        <v>0</v>
      </c>
      <c r="N1949" t="n">
        <v>0</v>
      </c>
      <c r="O1949" t="n">
        <v>0</v>
      </c>
      <c r="P1949" t="n">
        <v>0</v>
      </c>
      <c r="Q1949" t="n">
        <v>0</v>
      </c>
      <c r="R1949" s="2" t="inlineStr"/>
      <c r="U1949">
        <f>HYPERLINK("https://klasma.github.io/Logging_2260/knärot/A 30467-2024 karta knärot.png", "A 30467-2024")</f>
        <v/>
      </c>
      <c r="V1949">
        <f>HYPERLINK("https://klasma.github.io/Logging_2260/klagomål/A 30467-2024 FSC-klagomål.docx", "A 30467-2024")</f>
        <v/>
      </c>
      <c r="W1949">
        <f>HYPERLINK("https://klasma.github.io/Logging_2260/klagomålsmail/A 30467-2024 FSC-klagomål mail.docx", "A 30467-2024")</f>
        <v/>
      </c>
      <c r="X1949">
        <f>HYPERLINK("https://klasma.github.io/Logging_2260/tillsyn/A 30467-2024 tillsynsbegäran.docx", "A 30467-2024")</f>
        <v/>
      </c>
      <c r="Y1949">
        <f>HYPERLINK("https://klasma.github.io/Logging_2260/tillsynsmail/A 30467-2024 tillsynsbegäran mail.docx", "A 30467-2024")</f>
        <v/>
      </c>
    </row>
    <row r="1950" ht="15" customHeight="1">
      <c r="A1950" t="inlineStr">
        <is>
          <t>A 30475-2024</t>
        </is>
      </c>
      <c r="B1950" s="1" t="n">
        <v>45491</v>
      </c>
      <c r="C1950" s="1" t="n">
        <v>45657</v>
      </c>
      <c r="D1950" t="inlineStr">
        <is>
          <t>VÄSTERNORRLANDS LÄN</t>
        </is>
      </c>
      <c r="E1950" t="inlineStr">
        <is>
          <t>ÅNGE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30568-2024</t>
        </is>
      </c>
      <c r="B1951" s="1" t="n">
        <v>45493</v>
      </c>
      <c r="C1951" s="1" t="n">
        <v>45657</v>
      </c>
      <c r="D1951" t="inlineStr">
        <is>
          <t>VÄSTERNORRLANDS LÄN</t>
        </is>
      </c>
      <c r="E1951" t="inlineStr">
        <is>
          <t>ÅNGE</t>
        </is>
      </c>
      <c r="F1951" t="inlineStr">
        <is>
          <t>SCA</t>
        </is>
      </c>
      <c r="G1951" t="n">
        <v>7.9</v>
      </c>
      <c r="H1951" t="n">
        <v>0</v>
      </c>
      <c r="I1951" t="n">
        <v>0</v>
      </c>
      <c r="J1951" t="n">
        <v>0</v>
      </c>
      <c r="K1951" t="n">
        <v>0</v>
      </c>
      <c r="L1951" t="n">
        <v>0</v>
      </c>
      <c r="M1951" t="n">
        <v>0</v>
      </c>
      <c r="N1951" t="n">
        <v>0</v>
      </c>
      <c r="O1951" t="n">
        <v>0</v>
      </c>
      <c r="P1951" t="n">
        <v>0</v>
      </c>
      <c r="Q1951" t="n">
        <v>0</v>
      </c>
      <c r="R1951" s="2" t="inlineStr"/>
      <c r="U1951">
        <f>HYPERLINK("https://klasma.github.io/Logging_2260/knärot/A 30568-2024 karta knärot.png", "A 30568-2024")</f>
        <v/>
      </c>
      <c r="V1951">
        <f>HYPERLINK("https://klasma.github.io/Logging_2260/klagomål/A 30568-2024 FSC-klagomål.docx", "A 30568-2024")</f>
        <v/>
      </c>
      <c r="W1951">
        <f>HYPERLINK("https://klasma.github.io/Logging_2260/klagomålsmail/A 30568-2024 FSC-klagomål mail.docx", "A 30568-2024")</f>
        <v/>
      </c>
      <c r="X1951">
        <f>HYPERLINK("https://klasma.github.io/Logging_2260/tillsyn/A 30568-2024 tillsynsbegäran.docx", "A 30568-2024")</f>
        <v/>
      </c>
      <c r="Y1951">
        <f>HYPERLINK("https://klasma.github.io/Logging_2260/tillsynsmail/A 30568-2024 tillsynsbegäran mail.docx", "A 30568-2024")</f>
        <v/>
      </c>
    </row>
    <row r="1952" ht="15" customHeight="1">
      <c r="A1952" t="inlineStr">
        <is>
          <t>A 30683-2024</t>
        </is>
      </c>
      <c r="B1952" s="1" t="n">
        <v>45495</v>
      </c>
      <c r="C1952" s="1" t="n">
        <v>45657</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30687-2024</t>
        </is>
      </c>
      <c r="B1953" s="1" t="n">
        <v>45496</v>
      </c>
      <c r="C1953" s="1" t="n">
        <v>45657</v>
      </c>
      <c r="D1953" t="inlineStr">
        <is>
          <t>VÄSTERNORRLANDS LÄN</t>
        </is>
      </c>
      <c r="E1953" t="inlineStr">
        <is>
          <t>ÅNGE</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30682-2024</t>
        </is>
      </c>
      <c r="B1954" s="1" t="n">
        <v>45496</v>
      </c>
      <c r="C1954" s="1" t="n">
        <v>45657</v>
      </c>
      <c r="D1954" t="inlineStr">
        <is>
          <t>VÄSTERNORRLANDS LÄN</t>
        </is>
      </c>
      <c r="E1954" t="inlineStr">
        <is>
          <t>ÅNGE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30754-2024</t>
        </is>
      </c>
      <c r="B1955" s="1" t="n">
        <v>45496</v>
      </c>
      <c r="C1955" s="1" t="n">
        <v>45657</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30774-2024</t>
        </is>
      </c>
      <c r="B1956" s="1" t="n">
        <v>45497</v>
      </c>
      <c r="C1956" s="1" t="n">
        <v>45657</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30751-2024</t>
        </is>
      </c>
      <c r="B1957" s="1" t="n">
        <v>45496</v>
      </c>
      <c r="C1957" s="1" t="n">
        <v>45657</v>
      </c>
      <c r="D1957" t="inlineStr">
        <is>
          <t>VÄSTERNORRLANDS LÄN</t>
        </is>
      </c>
      <c r="E1957" t="inlineStr">
        <is>
          <t>ÅNGE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30747-2024</t>
        </is>
      </c>
      <c r="B1958" s="1" t="n">
        <v>45496</v>
      </c>
      <c r="C1958" s="1" t="n">
        <v>45657</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30753-2024</t>
        </is>
      </c>
      <c r="B1959" s="1" t="n">
        <v>45496</v>
      </c>
      <c r="C1959" s="1" t="n">
        <v>45657</v>
      </c>
      <c r="D1959" t="inlineStr">
        <is>
          <t>VÄSTERNORRLANDS LÄN</t>
        </is>
      </c>
      <c r="E1959" t="inlineStr">
        <is>
          <t>ÅNGE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31177-2024</t>
        </is>
      </c>
      <c r="B1960" s="1" t="n">
        <v>45503</v>
      </c>
      <c r="C1960" s="1" t="n">
        <v>45657</v>
      </c>
      <c r="D1960" t="inlineStr">
        <is>
          <t>VÄSTERNORRLANDS LÄN</t>
        </is>
      </c>
      <c r="E1960" t="inlineStr">
        <is>
          <t>ÅNGE</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31182-2024</t>
        </is>
      </c>
      <c r="B1961" s="1" t="n">
        <v>45503</v>
      </c>
      <c r="C1961" s="1" t="n">
        <v>45657</v>
      </c>
      <c r="D1961" t="inlineStr">
        <is>
          <t>VÄSTERNORRLANDS LÄN</t>
        </is>
      </c>
      <c r="E1961" t="inlineStr">
        <is>
          <t>ÅNGE</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31184-2024</t>
        </is>
      </c>
      <c r="B1962" s="1" t="n">
        <v>45503</v>
      </c>
      <c r="C1962" s="1" t="n">
        <v>45657</v>
      </c>
      <c r="D1962" t="inlineStr">
        <is>
          <t>VÄSTERNORRLANDS LÄN</t>
        </is>
      </c>
      <c r="E1962" t="inlineStr">
        <is>
          <t>ÅNGE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31568-2024</t>
        </is>
      </c>
      <c r="B1963" s="1" t="n">
        <v>45506</v>
      </c>
      <c r="C1963" s="1" t="n">
        <v>45657</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31492-2024</t>
        </is>
      </c>
      <c r="B1964" s="1" t="n">
        <v>45505</v>
      </c>
      <c r="C1964" s="1" t="n">
        <v>45657</v>
      </c>
      <c r="D1964" t="inlineStr">
        <is>
          <t>VÄSTERNORRLANDS LÄN</t>
        </is>
      </c>
      <c r="E1964" t="inlineStr">
        <is>
          <t>ÅNGE</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31545-2024</t>
        </is>
      </c>
      <c r="B1965" s="1" t="n">
        <v>45505</v>
      </c>
      <c r="C1965" s="1" t="n">
        <v>45657</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31457-2024</t>
        </is>
      </c>
      <c r="B1966" s="1" t="n">
        <v>45505</v>
      </c>
      <c r="C1966" s="1" t="n">
        <v>45657</v>
      </c>
      <c r="D1966" t="inlineStr">
        <is>
          <t>VÄSTERNORRLANDS LÄN</t>
        </is>
      </c>
      <c r="E1966" t="inlineStr">
        <is>
          <t>ÅNGE</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31563-2024</t>
        </is>
      </c>
      <c r="B1967" s="1" t="n">
        <v>45505</v>
      </c>
      <c r="C1967" s="1" t="n">
        <v>45657</v>
      </c>
      <c r="D1967" t="inlineStr">
        <is>
          <t>VÄSTERNORRLANDS LÄN</t>
        </is>
      </c>
      <c r="E1967" t="inlineStr">
        <is>
          <t>ÅNGE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31447-2024</t>
        </is>
      </c>
      <c r="B1968" s="1" t="n">
        <v>45506</v>
      </c>
      <c r="C1968" s="1" t="n">
        <v>45657</v>
      </c>
      <c r="D1968" t="inlineStr">
        <is>
          <t>VÄSTERNORRLANDS LÄN</t>
        </is>
      </c>
      <c r="E1968" t="inlineStr">
        <is>
          <t>ÅNGE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31671-2024</t>
        </is>
      </c>
      <c r="B1969" s="1" t="n">
        <v>45507</v>
      </c>
      <c r="C1969" s="1" t="n">
        <v>45657</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31729-2024</t>
        </is>
      </c>
      <c r="B1970" s="1" t="n">
        <v>45509</v>
      </c>
      <c r="C1970" s="1" t="n">
        <v>45657</v>
      </c>
      <c r="D1970" t="inlineStr">
        <is>
          <t>VÄSTERNORRLANDS LÄN</t>
        </is>
      </c>
      <c r="E1970" t="inlineStr">
        <is>
          <t>ÅNGE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31863-2024</t>
        </is>
      </c>
      <c r="B1971" s="1" t="n">
        <v>45509</v>
      </c>
      <c r="C1971" s="1" t="n">
        <v>45657</v>
      </c>
      <c r="D1971" t="inlineStr">
        <is>
          <t>VÄSTERNORRLANDS LÄN</t>
        </is>
      </c>
      <c r="E1971" t="inlineStr">
        <is>
          <t>ÅNGE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31864-2024</t>
        </is>
      </c>
      <c r="B1972" s="1" t="n">
        <v>45509</v>
      </c>
      <c r="C1972" s="1" t="n">
        <v>45657</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31866-2024</t>
        </is>
      </c>
      <c r="B1973" s="1" t="n">
        <v>45509</v>
      </c>
      <c r="C1973" s="1" t="n">
        <v>45657</v>
      </c>
      <c r="D1973" t="inlineStr">
        <is>
          <t>VÄSTERNORRLANDS LÄN</t>
        </is>
      </c>
      <c r="E1973" t="inlineStr">
        <is>
          <t>ÅNGE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31867-2024</t>
        </is>
      </c>
      <c r="B1974" s="1" t="n">
        <v>45509</v>
      </c>
      <c r="C1974" s="1" t="n">
        <v>45657</v>
      </c>
      <c r="D1974" t="inlineStr">
        <is>
          <t>VÄSTERNORRLANDS LÄN</t>
        </is>
      </c>
      <c r="E1974" t="inlineStr">
        <is>
          <t>ÅNGE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32053-2024</t>
        </is>
      </c>
      <c r="B1975" s="1" t="n">
        <v>45510</v>
      </c>
      <c r="C1975" s="1" t="n">
        <v>45657</v>
      </c>
      <c r="D1975" t="inlineStr">
        <is>
          <t>VÄSTERNORRLANDS LÄN</t>
        </is>
      </c>
      <c r="E1975" t="inlineStr">
        <is>
          <t>ÅNGE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32054-2024</t>
        </is>
      </c>
      <c r="B1976" s="1" t="n">
        <v>45510</v>
      </c>
      <c r="C1976" s="1" t="n">
        <v>45657</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32055-2024</t>
        </is>
      </c>
      <c r="B1977" s="1" t="n">
        <v>45510</v>
      </c>
      <c r="C1977" s="1" t="n">
        <v>45657</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32245-2024</t>
        </is>
      </c>
      <c r="B1978" s="1" t="n">
        <v>45511</v>
      </c>
      <c r="C1978" s="1" t="n">
        <v>45657</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32257-2024</t>
        </is>
      </c>
      <c r="B1979" s="1" t="n">
        <v>45511</v>
      </c>
      <c r="C1979" s="1" t="n">
        <v>45657</v>
      </c>
      <c r="D1979" t="inlineStr">
        <is>
          <t>VÄSTERNORRLANDS LÄN</t>
        </is>
      </c>
      <c r="E1979" t="inlineStr">
        <is>
          <t>ÅNGE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32458-2024</t>
        </is>
      </c>
      <c r="B1980" s="1" t="n">
        <v>45512</v>
      </c>
      <c r="C1980" s="1" t="n">
        <v>45657</v>
      </c>
      <c r="D1980" t="inlineStr">
        <is>
          <t>VÄSTERNORRLANDS LÄN</t>
        </is>
      </c>
      <c r="E1980" t="inlineStr">
        <is>
          <t>ÅNGE</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32442-2024</t>
        </is>
      </c>
      <c r="B1981" s="1" t="n">
        <v>45512</v>
      </c>
      <c r="C1981" s="1" t="n">
        <v>45657</v>
      </c>
      <c r="D1981" t="inlineStr">
        <is>
          <t>VÄSTERNORRLANDS LÄN</t>
        </is>
      </c>
      <c r="E1981" t="inlineStr">
        <is>
          <t>ÅNGE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32439-2024</t>
        </is>
      </c>
      <c r="B1982" s="1" t="n">
        <v>45512</v>
      </c>
      <c r="C1982" s="1" t="n">
        <v>45657</v>
      </c>
      <c r="D1982" t="inlineStr">
        <is>
          <t>VÄSTERNORRLANDS LÄN</t>
        </is>
      </c>
      <c r="E1982" t="inlineStr">
        <is>
          <t>ÅNGE</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32447-2024</t>
        </is>
      </c>
      <c r="B1983" s="1" t="n">
        <v>45513</v>
      </c>
      <c r="C1983" s="1" t="n">
        <v>45657</v>
      </c>
      <c r="D1983" t="inlineStr">
        <is>
          <t>VÄSTERNORRLANDS LÄN</t>
        </is>
      </c>
      <c r="E1983" t="inlineStr">
        <is>
          <t>ÅNGE</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32384-2024</t>
        </is>
      </c>
      <c r="B1984" s="1" t="n">
        <v>45512</v>
      </c>
      <c r="C1984" s="1" t="n">
        <v>45657</v>
      </c>
      <c r="D1984" t="inlineStr">
        <is>
          <t>VÄSTERNORRLANDS LÄN</t>
        </is>
      </c>
      <c r="E1984" t="inlineStr">
        <is>
          <t>ÅNGE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32640-2024</t>
        </is>
      </c>
      <c r="B1985" s="1" t="n">
        <v>45514</v>
      </c>
      <c r="C1985" s="1" t="n">
        <v>45657</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32641-2024</t>
        </is>
      </c>
      <c r="B1986" s="1" t="n">
        <v>45513</v>
      </c>
      <c r="C1986" s="1" t="n">
        <v>45657</v>
      </c>
      <c r="D1986" t="inlineStr">
        <is>
          <t>VÄSTERNORRLANDS LÄN</t>
        </is>
      </c>
      <c r="E1986" t="inlineStr">
        <is>
          <t>ÅNGE</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32658-2024</t>
        </is>
      </c>
      <c r="B1987" s="1" t="n">
        <v>45513</v>
      </c>
      <c r="C1987" s="1" t="n">
        <v>45657</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32897-2024</t>
        </is>
      </c>
      <c r="B1988" s="1" t="n">
        <v>45517</v>
      </c>
      <c r="C1988" s="1" t="n">
        <v>45657</v>
      </c>
      <c r="D1988" t="inlineStr">
        <is>
          <t>VÄSTERNORRLANDS LÄN</t>
        </is>
      </c>
      <c r="E1988" t="inlineStr">
        <is>
          <t>ÅNGE</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32922-2024</t>
        </is>
      </c>
      <c r="B1989" s="1" t="n">
        <v>45517</v>
      </c>
      <c r="C1989" s="1" t="n">
        <v>45657</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32909-2024</t>
        </is>
      </c>
      <c r="B1990" s="1" t="n">
        <v>45516</v>
      </c>
      <c r="C1990" s="1" t="n">
        <v>45657</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33302-2024</t>
        </is>
      </c>
      <c r="B1991" s="1" t="n">
        <v>45519</v>
      </c>
      <c r="C1991" s="1" t="n">
        <v>45657</v>
      </c>
      <c r="D1991" t="inlineStr">
        <is>
          <t>VÄSTERNORRLANDS LÄN</t>
        </is>
      </c>
      <c r="E1991" t="inlineStr">
        <is>
          <t>ÅNGE</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33210-2024</t>
        </is>
      </c>
      <c r="B1992" s="1" t="n">
        <v>45518</v>
      </c>
      <c r="C1992" s="1" t="n">
        <v>45657</v>
      </c>
      <c r="D1992" t="inlineStr">
        <is>
          <t>VÄSTERNORRLANDS LÄN</t>
        </is>
      </c>
      <c r="E1992" t="inlineStr">
        <is>
          <t>ÅNGE</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33313-2024</t>
        </is>
      </c>
      <c r="B1993" s="1" t="n">
        <v>45519</v>
      </c>
      <c r="C1993" s="1" t="n">
        <v>45657</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33305-2024</t>
        </is>
      </c>
      <c r="B1994" s="1" t="n">
        <v>45518</v>
      </c>
      <c r="C1994" s="1" t="n">
        <v>45657</v>
      </c>
      <c r="D1994" t="inlineStr">
        <is>
          <t>VÄSTERNORRLANDS LÄN</t>
        </is>
      </c>
      <c r="E1994" t="inlineStr">
        <is>
          <t>ÅNGE</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33306-2024</t>
        </is>
      </c>
      <c r="B1995" s="1" t="n">
        <v>45518</v>
      </c>
      <c r="C1995" s="1" t="n">
        <v>45657</v>
      </c>
      <c r="D1995" t="inlineStr">
        <is>
          <t>VÄSTERNORRLANDS LÄN</t>
        </is>
      </c>
      <c r="E1995" t="inlineStr">
        <is>
          <t>ÅNGE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33395-2024</t>
        </is>
      </c>
      <c r="B1996" s="1" t="n">
        <v>45519</v>
      </c>
      <c r="C1996" s="1" t="n">
        <v>45657</v>
      </c>
      <c r="D1996" t="inlineStr">
        <is>
          <t>VÄSTERNORRLANDS LÄN</t>
        </is>
      </c>
      <c r="E1996" t="inlineStr">
        <is>
          <t>ÅNGE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33373-2024</t>
        </is>
      </c>
      <c r="B1997" s="1" t="n">
        <v>45519</v>
      </c>
      <c r="C1997" s="1" t="n">
        <v>45657</v>
      </c>
      <c r="D1997" t="inlineStr">
        <is>
          <t>VÄSTERNORRLANDS LÄN</t>
        </is>
      </c>
      <c r="E1997" t="inlineStr">
        <is>
          <t>ÅNGE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33468-2024</t>
        </is>
      </c>
      <c r="B1998" s="1" t="n">
        <v>45519</v>
      </c>
      <c r="C1998" s="1" t="n">
        <v>45657</v>
      </c>
      <c r="D1998" t="inlineStr">
        <is>
          <t>VÄSTERNORRLANDS LÄN</t>
        </is>
      </c>
      <c r="E1998" t="inlineStr">
        <is>
          <t>ÅNGE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33747-2024</t>
        </is>
      </c>
      <c r="B1999" s="1" t="n">
        <v>45520</v>
      </c>
      <c r="C1999" s="1" t="n">
        <v>45657</v>
      </c>
      <c r="D1999" t="inlineStr">
        <is>
          <t>VÄSTERNORRLANDS LÄN</t>
        </is>
      </c>
      <c r="E1999" t="inlineStr">
        <is>
          <t>ÅNGE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33631-2024</t>
        </is>
      </c>
      <c r="B2000" s="1" t="n">
        <v>45520</v>
      </c>
      <c r="C2000" s="1" t="n">
        <v>45657</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33783-2024</t>
        </is>
      </c>
      <c r="B2001" s="1" t="n">
        <v>45520</v>
      </c>
      <c r="C2001" s="1" t="n">
        <v>45657</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33740-2024</t>
        </is>
      </c>
      <c r="B2002" s="1" t="n">
        <v>45520</v>
      </c>
      <c r="C2002" s="1" t="n">
        <v>45657</v>
      </c>
      <c r="D2002" t="inlineStr">
        <is>
          <t>VÄSTERNORRLANDS LÄN</t>
        </is>
      </c>
      <c r="E2002" t="inlineStr">
        <is>
          <t>ÅNGE</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33750-2024</t>
        </is>
      </c>
      <c r="B2003" s="1" t="n">
        <v>45520</v>
      </c>
      <c r="C2003" s="1" t="n">
        <v>45657</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33967-2024</t>
        </is>
      </c>
      <c r="B2004" s="1" t="n">
        <v>45523</v>
      </c>
      <c r="C2004" s="1" t="n">
        <v>45657</v>
      </c>
      <c r="D2004" t="inlineStr">
        <is>
          <t>VÄSTERNORRLANDS LÄN</t>
        </is>
      </c>
      <c r="E2004" t="inlineStr">
        <is>
          <t>ÅNGE</t>
        </is>
      </c>
      <c r="F2004" t="inlineStr">
        <is>
          <t>SCA</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34107-2024</t>
        </is>
      </c>
      <c r="B2005" s="1" t="n">
        <v>45523</v>
      </c>
      <c r="C2005" s="1" t="n">
        <v>45657</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34251-2024</t>
        </is>
      </c>
      <c r="B2006" s="1" t="n">
        <v>45524</v>
      </c>
      <c r="C2006" s="1" t="n">
        <v>45657</v>
      </c>
      <c r="D2006" t="inlineStr">
        <is>
          <t>VÄSTERNORRLANDS LÄN</t>
        </is>
      </c>
      <c r="E2006" t="inlineStr">
        <is>
          <t>ÅNGE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34457-2024</t>
        </is>
      </c>
      <c r="B2007" s="1" t="n">
        <v>45525</v>
      </c>
      <c r="C2007" s="1" t="n">
        <v>45657</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34559-2024</t>
        </is>
      </c>
      <c r="B2008" s="1" t="n">
        <v>45526</v>
      </c>
      <c r="C2008" s="1" t="n">
        <v>45657</v>
      </c>
      <c r="D2008" t="inlineStr">
        <is>
          <t>VÄSTERNORRLANDS LÄN</t>
        </is>
      </c>
      <c r="E2008" t="inlineStr">
        <is>
          <t>ÅNGE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34754-2024</t>
        </is>
      </c>
      <c r="B2009" s="1" t="n">
        <v>45526</v>
      </c>
      <c r="C2009" s="1" t="n">
        <v>45657</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34815-2024</t>
        </is>
      </c>
      <c r="B2010" s="1" t="n">
        <v>45526</v>
      </c>
      <c r="C2010" s="1" t="n">
        <v>45657</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34649-2024</t>
        </is>
      </c>
      <c r="B2011" s="1" t="n">
        <v>45526</v>
      </c>
      <c r="C2011" s="1" t="n">
        <v>45657</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34726-2024</t>
        </is>
      </c>
      <c r="B2012" s="1" t="n">
        <v>45526</v>
      </c>
      <c r="C2012" s="1" t="n">
        <v>45657</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34820-2024</t>
        </is>
      </c>
      <c r="B2013" s="1" t="n">
        <v>45526</v>
      </c>
      <c r="C2013" s="1" t="n">
        <v>45657</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34655-2024</t>
        </is>
      </c>
      <c r="B2014" s="1" t="n">
        <v>45526</v>
      </c>
      <c r="C2014" s="1" t="n">
        <v>45657</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34679-2024</t>
        </is>
      </c>
      <c r="B2015" s="1" t="n">
        <v>45526</v>
      </c>
      <c r="C2015" s="1" t="n">
        <v>45657</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34691-2024</t>
        </is>
      </c>
      <c r="B2016" s="1" t="n">
        <v>45526</v>
      </c>
      <c r="C2016" s="1" t="n">
        <v>45657</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34727-2024</t>
        </is>
      </c>
      <c r="B2017" s="1" t="n">
        <v>45526</v>
      </c>
      <c r="C2017" s="1" t="n">
        <v>45657</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34861-2024</t>
        </is>
      </c>
      <c r="B2018" s="1" t="n">
        <v>45527</v>
      </c>
      <c r="C2018" s="1" t="n">
        <v>45657</v>
      </c>
      <c r="D2018" t="inlineStr">
        <is>
          <t>VÄSTERNORRLANDS LÄN</t>
        </is>
      </c>
      <c r="E2018" t="inlineStr">
        <is>
          <t>ÅNGE</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35257-2024</t>
        </is>
      </c>
      <c r="B2019" s="1" t="n">
        <v>45530</v>
      </c>
      <c r="C2019" s="1" t="n">
        <v>45657</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35390-2024</t>
        </is>
      </c>
      <c r="B2020" s="1" t="n">
        <v>45531</v>
      </c>
      <c r="C2020" s="1" t="n">
        <v>45657</v>
      </c>
      <c r="D2020" t="inlineStr">
        <is>
          <t>VÄSTERNORRLANDS LÄN</t>
        </is>
      </c>
      <c r="E2020" t="inlineStr">
        <is>
          <t>ÅNGE</t>
        </is>
      </c>
      <c r="F2020" t="inlineStr">
        <is>
          <t>SCA</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35402-2024</t>
        </is>
      </c>
      <c r="B2021" s="1" t="n">
        <v>45531</v>
      </c>
      <c r="C2021" s="1" t="n">
        <v>45657</v>
      </c>
      <c r="D2021" t="inlineStr">
        <is>
          <t>VÄSTERNORRLANDS LÄN</t>
        </is>
      </c>
      <c r="E2021" t="inlineStr">
        <is>
          <t>ÅNGE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35414-2024</t>
        </is>
      </c>
      <c r="B2022" s="1" t="n">
        <v>45531</v>
      </c>
      <c r="C2022" s="1" t="n">
        <v>45657</v>
      </c>
      <c r="D2022" t="inlineStr">
        <is>
          <t>VÄSTERNORRLANDS LÄN</t>
        </is>
      </c>
      <c r="E2022" t="inlineStr">
        <is>
          <t>ÅNGE</t>
        </is>
      </c>
      <c r="F2022" t="inlineStr">
        <is>
          <t>SCA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35426-2024</t>
        </is>
      </c>
      <c r="B2023" s="1" t="n">
        <v>45531</v>
      </c>
      <c r="C2023" s="1" t="n">
        <v>45657</v>
      </c>
      <c r="D2023" t="inlineStr">
        <is>
          <t>VÄSTERNORRLANDS LÄN</t>
        </is>
      </c>
      <c r="E2023" t="inlineStr">
        <is>
          <t>ÅNGE</t>
        </is>
      </c>
      <c r="F2023" t="inlineStr">
        <is>
          <t>SCA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35582-2024</t>
        </is>
      </c>
      <c r="B2024" s="1" t="n">
        <v>45531</v>
      </c>
      <c r="C2024" s="1" t="n">
        <v>45657</v>
      </c>
      <c r="D2024" t="inlineStr">
        <is>
          <t>VÄSTERNORRLANDS LÄN</t>
        </is>
      </c>
      <c r="E2024" t="inlineStr">
        <is>
          <t>ÅNGE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35399-2024</t>
        </is>
      </c>
      <c r="B2025" s="1" t="n">
        <v>45531</v>
      </c>
      <c r="C2025" s="1" t="n">
        <v>45657</v>
      </c>
      <c r="D2025" t="inlineStr">
        <is>
          <t>VÄSTERNORRLANDS LÄN</t>
        </is>
      </c>
      <c r="E2025" t="inlineStr">
        <is>
          <t>ÅNGE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35401-2024</t>
        </is>
      </c>
      <c r="B2026" s="1" t="n">
        <v>45531</v>
      </c>
      <c r="C2026" s="1" t="n">
        <v>45657</v>
      </c>
      <c r="D2026" t="inlineStr">
        <is>
          <t>VÄSTERNORRLANDS LÄN</t>
        </is>
      </c>
      <c r="E2026" t="inlineStr">
        <is>
          <t>ÅNGE</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35429-2024</t>
        </is>
      </c>
      <c r="B2027" s="1" t="n">
        <v>45531</v>
      </c>
      <c r="C2027" s="1" t="n">
        <v>45657</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35392-2024</t>
        </is>
      </c>
      <c r="B2028" s="1" t="n">
        <v>45531</v>
      </c>
      <c r="C2028" s="1" t="n">
        <v>45657</v>
      </c>
      <c r="D2028" t="inlineStr">
        <is>
          <t>VÄSTERNORRLANDS LÄN</t>
        </is>
      </c>
      <c r="E2028" t="inlineStr">
        <is>
          <t>ÅNGE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35488-2024</t>
        </is>
      </c>
      <c r="B2029" s="1" t="n">
        <v>45531</v>
      </c>
      <c r="C2029" s="1" t="n">
        <v>45657</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35577-2024</t>
        </is>
      </c>
      <c r="B2030" s="1" t="n">
        <v>45531</v>
      </c>
      <c r="C2030" s="1" t="n">
        <v>45657</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35581-2024</t>
        </is>
      </c>
      <c r="B2031" s="1" t="n">
        <v>45531</v>
      </c>
      <c r="C2031" s="1" t="n">
        <v>45657</v>
      </c>
      <c r="D2031" t="inlineStr">
        <is>
          <t>VÄSTERNORRLANDS LÄN</t>
        </is>
      </c>
      <c r="E2031" t="inlineStr">
        <is>
          <t>ÅNGE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35593-2024</t>
        </is>
      </c>
      <c r="B2032" s="1" t="n">
        <v>45531</v>
      </c>
      <c r="C2032" s="1" t="n">
        <v>45657</v>
      </c>
      <c r="D2032" t="inlineStr">
        <is>
          <t>VÄSTERNORRLANDS LÄN</t>
        </is>
      </c>
      <c r="E2032" t="inlineStr">
        <is>
          <t>ÅNGE</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35579-2024</t>
        </is>
      </c>
      <c r="B2033" s="1" t="n">
        <v>45531</v>
      </c>
      <c r="C2033" s="1" t="n">
        <v>45657</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35576-2024</t>
        </is>
      </c>
      <c r="B2034" s="1" t="n">
        <v>45531</v>
      </c>
      <c r="C2034" s="1" t="n">
        <v>45657</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35580-2024</t>
        </is>
      </c>
      <c r="B2035" s="1" t="n">
        <v>45531</v>
      </c>
      <c r="C2035" s="1" t="n">
        <v>45657</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35592-2024</t>
        </is>
      </c>
      <c r="B2036" s="1" t="n">
        <v>45531</v>
      </c>
      <c r="C2036" s="1" t="n">
        <v>45657</v>
      </c>
      <c r="D2036" t="inlineStr">
        <is>
          <t>VÄSTERNORRLANDS LÄN</t>
        </is>
      </c>
      <c r="E2036" t="inlineStr">
        <is>
          <t>ÅNGE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35596-2024</t>
        </is>
      </c>
      <c r="B2037" s="1" t="n">
        <v>45531</v>
      </c>
      <c r="C2037" s="1" t="n">
        <v>45657</v>
      </c>
      <c r="D2037" t="inlineStr">
        <is>
          <t>VÄSTERNORRLANDS LÄN</t>
        </is>
      </c>
      <c r="E2037" t="inlineStr">
        <is>
          <t>ÅNGE</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35674-2024</t>
        </is>
      </c>
      <c r="B2038" s="1" t="n">
        <v>45532</v>
      </c>
      <c r="C2038" s="1" t="n">
        <v>45657</v>
      </c>
      <c r="D2038" t="inlineStr">
        <is>
          <t>VÄSTERNORRLANDS LÄN</t>
        </is>
      </c>
      <c r="E2038" t="inlineStr">
        <is>
          <t>ÅNGE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35650-2024</t>
        </is>
      </c>
      <c r="B2039" s="1" t="n">
        <v>45532</v>
      </c>
      <c r="C2039" s="1" t="n">
        <v>45657</v>
      </c>
      <c r="D2039" t="inlineStr">
        <is>
          <t>VÄSTERNORRLANDS LÄN</t>
        </is>
      </c>
      <c r="E2039" t="inlineStr">
        <is>
          <t>ÅNGE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35672-2024</t>
        </is>
      </c>
      <c r="B2040" s="1" t="n">
        <v>45532</v>
      </c>
      <c r="C2040" s="1" t="n">
        <v>45657</v>
      </c>
      <c r="D2040" t="inlineStr">
        <is>
          <t>VÄSTERNORRLANDS LÄN</t>
        </is>
      </c>
      <c r="E2040" t="inlineStr">
        <is>
          <t>ÅNGE</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35979-2024</t>
        </is>
      </c>
      <c r="B2041" s="1" t="n">
        <v>45533</v>
      </c>
      <c r="C2041" s="1" t="n">
        <v>45657</v>
      </c>
      <c r="D2041" t="inlineStr">
        <is>
          <t>VÄSTERNORRLANDS LÄN</t>
        </is>
      </c>
      <c r="E2041" t="inlineStr">
        <is>
          <t>ÅNGE</t>
        </is>
      </c>
      <c r="F2041" t="inlineStr">
        <is>
          <t>Kyrkan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36321-2024</t>
        </is>
      </c>
      <c r="B2042" s="1" t="n">
        <v>45534</v>
      </c>
      <c r="C2042" s="1" t="n">
        <v>45657</v>
      </c>
      <c r="D2042" t="inlineStr">
        <is>
          <t>VÄSTERNORRLANDS LÄN</t>
        </is>
      </c>
      <c r="E2042" t="inlineStr">
        <is>
          <t>ÅNGE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36342-2024</t>
        </is>
      </c>
      <c r="B2043" s="1" t="n">
        <v>45534</v>
      </c>
      <c r="C2043" s="1" t="n">
        <v>45657</v>
      </c>
      <c r="D2043" t="inlineStr">
        <is>
          <t>VÄSTERNORRLANDS LÄN</t>
        </is>
      </c>
      <c r="E2043" t="inlineStr">
        <is>
          <t>ÅNGE</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36466-2024</t>
        </is>
      </c>
      <c r="B2044" s="1" t="n">
        <v>45537</v>
      </c>
      <c r="C2044" s="1" t="n">
        <v>45657</v>
      </c>
      <c r="D2044" t="inlineStr">
        <is>
          <t>VÄSTERNORRLANDS LÄN</t>
        </is>
      </c>
      <c r="E2044" t="inlineStr">
        <is>
          <t>ÅNGE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36468-2024</t>
        </is>
      </c>
      <c r="B2045" s="1" t="n">
        <v>45537</v>
      </c>
      <c r="C2045" s="1" t="n">
        <v>45657</v>
      </c>
      <c r="D2045" t="inlineStr">
        <is>
          <t>VÄSTERNORRLANDS LÄN</t>
        </is>
      </c>
      <c r="E2045" t="inlineStr">
        <is>
          <t>ÅNGE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36786-2024</t>
        </is>
      </c>
      <c r="B2046" s="1" t="n">
        <v>45538</v>
      </c>
      <c r="C2046" s="1" t="n">
        <v>45657</v>
      </c>
      <c r="D2046" t="inlineStr">
        <is>
          <t>VÄSTERNORRLANDS LÄN</t>
        </is>
      </c>
      <c r="E2046" t="inlineStr">
        <is>
          <t>ÅNGE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36787-2024</t>
        </is>
      </c>
      <c r="B2047" s="1" t="n">
        <v>45538</v>
      </c>
      <c r="C2047" s="1" t="n">
        <v>45657</v>
      </c>
      <c r="D2047" t="inlineStr">
        <is>
          <t>VÄSTERNORRLANDS LÄN</t>
        </is>
      </c>
      <c r="E2047" t="inlineStr">
        <is>
          <t>ÅNGE</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36877-2024</t>
        </is>
      </c>
      <c r="B2048" s="1" t="n">
        <v>45538</v>
      </c>
      <c r="C2048" s="1" t="n">
        <v>45657</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36876-2024</t>
        </is>
      </c>
      <c r="B2049" s="1" t="n">
        <v>45538</v>
      </c>
      <c r="C2049" s="1" t="n">
        <v>45657</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36875-2024</t>
        </is>
      </c>
      <c r="B2050" s="1" t="n">
        <v>45538</v>
      </c>
      <c r="C2050" s="1" t="n">
        <v>45657</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37000-2024</t>
        </is>
      </c>
      <c r="B2051" s="1" t="n">
        <v>45539</v>
      </c>
      <c r="C2051" s="1" t="n">
        <v>45657</v>
      </c>
      <c r="D2051" t="inlineStr">
        <is>
          <t>VÄSTERNORRLANDS LÄN</t>
        </is>
      </c>
      <c r="E2051" t="inlineStr">
        <is>
          <t>ÅNGE</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37009-2024</t>
        </is>
      </c>
      <c r="B2052" s="1" t="n">
        <v>45539</v>
      </c>
      <c r="C2052" s="1" t="n">
        <v>45657</v>
      </c>
      <c r="D2052" t="inlineStr">
        <is>
          <t>VÄSTERNORRLANDS LÄN</t>
        </is>
      </c>
      <c r="E2052" t="inlineStr">
        <is>
          <t>ÅNGE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37038-2024</t>
        </is>
      </c>
      <c r="B2053" s="1" t="n">
        <v>45539</v>
      </c>
      <c r="C2053" s="1" t="n">
        <v>45657</v>
      </c>
      <c r="D2053" t="inlineStr">
        <is>
          <t>VÄSTERNORRLANDS LÄN</t>
        </is>
      </c>
      <c r="E2053" t="inlineStr">
        <is>
          <t>ÅNGE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37010-2024</t>
        </is>
      </c>
      <c r="B2054" s="1" t="n">
        <v>45539</v>
      </c>
      <c r="C2054" s="1" t="n">
        <v>45657</v>
      </c>
      <c r="D2054" t="inlineStr">
        <is>
          <t>VÄSTERNORRLANDS LÄN</t>
        </is>
      </c>
      <c r="E2054" t="inlineStr">
        <is>
          <t>ÅNGE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36999-2024</t>
        </is>
      </c>
      <c r="B2055" s="1" t="n">
        <v>45539</v>
      </c>
      <c r="C2055" s="1" t="n">
        <v>45657</v>
      </c>
      <c r="D2055" t="inlineStr">
        <is>
          <t>VÄSTERNORRLANDS LÄN</t>
        </is>
      </c>
      <c r="E2055" t="inlineStr">
        <is>
          <t>ÅNGE</t>
        </is>
      </c>
      <c r="F2055" t="inlineStr">
        <is>
          <t>SCA</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37540-2024</t>
        </is>
      </c>
      <c r="B2056" s="1" t="n">
        <v>45541</v>
      </c>
      <c r="C2056" s="1" t="n">
        <v>45657</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37577-2024</t>
        </is>
      </c>
      <c r="B2057" s="1" t="n">
        <v>45541</v>
      </c>
      <c r="C2057" s="1" t="n">
        <v>45657</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37992-2024</t>
        </is>
      </c>
      <c r="B2058" s="1" t="n">
        <v>45544</v>
      </c>
      <c r="C2058" s="1" t="n">
        <v>45657</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37991-2024</t>
        </is>
      </c>
      <c r="B2059" s="1" t="n">
        <v>45544</v>
      </c>
      <c r="C2059" s="1" t="n">
        <v>45657</v>
      </c>
      <c r="D2059" t="inlineStr">
        <is>
          <t>VÄSTERNORRLANDS LÄN</t>
        </is>
      </c>
      <c r="E2059" t="inlineStr">
        <is>
          <t>ÅNGE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38002-2024</t>
        </is>
      </c>
      <c r="B2060" s="1" t="n">
        <v>45544</v>
      </c>
      <c r="C2060" s="1" t="n">
        <v>45657</v>
      </c>
      <c r="D2060" t="inlineStr">
        <is>
          <t>VÄSTERNORRLANDS LÄN</t>
        </is>
      </c>
      <c r="E2060" t="inlineStr">
        <is>
          <t>ÅNGE</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38099-2024</t>
        </is>
      </c>
      <c r="B2061" s="1" t="n">
        <v>45545</v>
      </c>
      <c r="C2061" s="1" t="n">
        <v>45657</v>
      </c>
      <c r="D2061" t="inlineStr">
        <is>
          <t>VÄSTERNORRLANDS LÄN</t>
        </is>
      </c>
      <c r="E2061" t="inlineStr">
        <is>
          <t>ÅNGE</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38246-2024</t>
        </is>
      </c>
      <c r="B2062" s="1" t="n">
        <v>45545</v>
      </c>
      <c r="C2062" s="1" t="n">
        <v>45657</v>
      </c>
      <c r="D2062" t="inlineStr">
        <is>
          <t>VÄSTERNORRLANDS LÄN</t>
        </is>
      </c>
      <c r="E2062" t="inlineStr">
        <is>
          <t>ÅNGE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38262-2024</t>
        </is>
      </c>
      <c r="B2063" s="1" t="n">
        <v>45545</v>
      </c>
      <c r="C2063" s="1" t="n">
        <v>45657</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38272-2024</t>
        </is>
      </c>
      <c r="B2064" s="1" t="n">
        <v>45545</v>
      </c>
      <c r="C2064" s="1" t="n">
        <v>45657</v>
      </c>
      <c r="D2064" t="inlineStr">
        <is>
          <t>VÄSTERNORRLANDS LÄN</t>
        </is>
      </c>
      <c r="E2064" t="inlineStr">
        <is>
          <t>ÅNGE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38510-2024</t>
        </is>
      </c>
      <c r="B2065" s="1" t="n">
        <v>45546</v>
      </c>
      <c r="C2065" s="1" t="n">
        <v>45657</v>
      </c>
      <c r="D2065" t="inlineStr">
        <is>
          <t>VÄSTERNORRLANDS LÄN</t>
        </is>
      </c>
      <c r="E2065" t="inlineStr">
        <is>
          <t>ÅNGE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38403-2024</t>
        </is>
      </c>
      <c r="B2066" s="1" t="n">
        <v>45546</v>
      </c>
      <c r="C2066" s="1" t="n">
        <v>45657</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38604-2024</t>
        </is>
      </c>
      <c r="B2067" s="1" t="n">
        <v>45546</v>
      </c>
      <c r="C2067" s="1" t="n">
        <v>45657</v>
      </c>
      <c r="D2067" t="inlineStr">
        <is>
          <t>VÄSTERNORRLANDS LÄN</t>
        </is>
      </c>
      <c r="E2067" t="inlineStr">
        <is>
          <t>ÅNGE</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38607-2024</t>
        </is>
      </c>
      <c r="B2068" s="1" t="n">
        <v>45546</v>
      </c>
      <c r="C2068" s="1" t="n">
        <v>45657</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c r="U2068">
        <f>HYPERLINK("https://klasma.github.io/Logging_2260/knärot/A 38607-2024 karta knärot.png", "A 38607-2024")</f>
        <v/>
      </c>
      <c r="V2068">
        <f>HYPERLINK("https://klasma.github.io/Logging_2260/klagomål/A 38607-2024 FSC-klagomål.docx", "A 38607-2024")</f>
        <v/>
      </c>
      <c r="W2068">
        <f>HYPERLINK("https://klasma.github.io/Logging_2260/klagomålsmail/A 38607-2024 FSC-klagomål mail.docx", "A 38607-2024")</f>
        <v/>
      </c>
      <c r="X2068">
        <f>HYPERLINK("https://klasma.github.io/Logging_2260/tillsyn/A 38607-2024 tillsynsbegäran.docx", "A 38607-2024")</f>
        <v/>
      </c>
      <c r="Y2068">
        <f>HYPERLINK("https://klasma.github.io/Logging_2260/tillsynsmail/A 38607-2024 tillsynsbegäran mail.docx", "A 38607-2024")</f>
        <v/>
      </c>
    </row>
    <row r="2069" ht="15" customHeight="1">
      <c r="A2069" t="inlineStr">
        <is>
          <t>A 38688-2024</t>
        </is>
      </c>
      <c r="B2069" s="1" t="n">
        <v>45547</v>
      </c>
      <c r="C2069" s="1" t="n">
        <v>45657</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38800-2024</t>
        </is>
      </c>
      <c r="B2070" s="1" t="n">
        <v>45547</v>
      </c>
      <c r="C2070" s="1" t="n">
        <v>45657</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38990-2024</t>
        </is>
      </c>
      <c r="B2071" s="1" t="n">
        <v>45548</v>
      </c>
      <c r="C2071" s="1" t="n">
        <v>45657</v>
      </c>
      <c r="D2071" t="inlineStr">
        <is>
          <t>VÄSTERNORRLANDS LÄN</t>
        </is>
      </c>
      <c r="E2071" t="inlineStr">
        <is>
          <t>ÅNGE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39005-2024</t>
        </is>
      </c>
      <c r="B2072" s="1" t="n">
        <v>45548</v>
      </c>
      <c r="C2072" s="1" t="n">
        <v>45657</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39021-2024</t>
        </is>
      </c>
      <c r="B2073" s="1" t="n">
        <v>45548</v>
      </c>
      <c r="C2073" s="1" t="n">
        <v>45657</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39119-2024</t>
        </is>
      </c>
      <c r="B2074" s="1" t="n">
        <v>45548</v>
      </c>
      <c r="C2074" s="1" t="n">
        <v>45657</v>
      </c>
      <c r="D2074" t="inlineStr">
        <is>
          <t>VÄSTERNORRLANDS LÄN</t>
        </is>
      </c>
      <c r="E2074" t="inlineStr">
        <is>
          <t>ÅNGE</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39174-2024</t>
        </is>
      </c>
      <c r="B2075" s="1" t="n">
        <v>45548</v>
      </c>
      <c r="C2075" s="1" t="n">
        <v>45657</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39178-2024</t>
        </is>
      </c>
      <c r="B2076" s="1" t="n">
        <v>45548</v>
      </c>
      <c r="C2076" s="1" t="n">
        <v>45657</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39603-2024</t>
        </is>
      </c>
      <c r="B2077" s="1" t="n">
        <v>45552</v>
      </c>
      <c r="C2077" s="1" t="n">
        <v>45657</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39619-2024</t>
        </is>
      </c>
      <c r="B2078" s="1" t="n">
        <v>45552</v>
      </c>
      <c r="C2078" s="1" t="n">
        <v>45657</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39707-2024</t>
        </is>
      </c>
      <c r="B2079" s="1" t="n">
        <v>45552</v>
      </c>
      <c r="C2079" s="1" t="n">
        <v>45657</v>
      </c>
      <c r="D2079" t="inlineStr">
        <is>
          <t>VÄSTERNORRLANDS LÄN</t>
        </is>
      </c>
      <c r="E2079" t="inlineStr">
        <is>
          <t>ÅNGE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39682-2024</t>
        </is>
      </c>
      <c r="B2080" s="1" t="n">
        <v>45552</v>
      </c>
      <c r="C2080" s="1" t="n">
        <v>45657</v>
      </c>
      <c r="D2080" t="inlineStr">
        <is>
          <t>VÄSTERNORRLANDS LÄN</t>
        </is>
      </c>
      <c r="E2080" t="inlineStr">
        <is>
          <t>ÅNGE</t>
        </is>
      </c>
      <c r="G2080" t="n">
        <v>35.4</v>
      </c>
      <c r="H2080" t="n">
        <v>0</v>
      </c>
      <c r="I2080" t="n">
        <v>0</v>
      </c>
      <c r="J2080" t="n">
        <v>0</v>
      </c>
      <c r="K2080" t="n">
        <v>0</v>
      </c>
      <c r="L2080" t="n">
        <v>0</v>
      </c>
      <c r="M2080" t="n">
        <v>0</v>
      </c>
      <c r="N2080" t="n">
        <v>0</v>
      </c>
      <c r="O2080" t="n">
        <v>0</v>
      </c>
      <c r="P2080" t="n">
        <v>0</v>
      </c>
      <c r="Q2080" t="n">
        <v>0</v>
      </c>
      <c r="R2080" s="2" t="inlineStr"/>
    </row>
    <row r="2081" ht="15" customHeight="1">
      <c r="A2081" t="inlineStr">
        <is>
          <t>A 39764-2024</t>
        </is>
      </c>
      <c r="B2081" s="1" t="n">
        <v>45552</v>
      </c>
      <c r="C2081" s="1" t="n">
        <v>45657</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40428-2024</t>
        </is>
      </c>
      <c r="B2082" s="1" t="n">
        <v>45555</v>
      </c>
      <c r="C2082" s="1" t="n">
        <v>45657</v>
      </c>
      <c r="D2082" t="inlineStr">
        <is>
          <t>VÄSTERNORRLANDS LÄN</t>
        </is>
      </c>
      <c r="E2082" t="inlineStr">
        <is>
          <t>ÅNGE</t>
        </is>
      </c>
      <c r="F2082" t="inlineStr">
        <is>
          <t>SCA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40656-2024</t>
        </is>
      </c>
      <c r="B2083" s="1" t="n">
        <v>45558</v>
      </c>
      <c r="C2083" s="1" t="n">
        <v>45657</v>
      </c>
      <c r="D2083" t="inlineStr">
        <is>
          <t>VÄSTERNORRLANDS LÄN</t>
        </is>
      </c>
      <c r="E2083" t="inlineStr">
        <is>
          <t>ÅNGE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40788-2024</t>
        </is>
      </c>
      <c r="B2084" s="1" t="n">
        <v>45558</v>
      </c>
      <c r="C2084" s="1" t="n">
        <v>45657</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40803-2024</t>
        </is>
      </c>
      <c r="B2085" s="1" t="n">
        <v>45558</v>
      </c>
      <c r="C2085" s="1" t="n">
        <v>45657</v>
      </c>
      <c r="D2085" t="inlineStr">
        <is>
          <t>VÄSTERNORRLANDS LÄN</t>
        </is>
      </c>
      <c r="E2085" t="inlineStr">
        <is>
          <t>ÅNGE</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40802-2024</t>
        </is>
      </c>
      <c r="B2086" s="1" t="n">
        <v>45558</v>
      </c>
      <c r="C2086" s="1" t="n">
        <v>45657</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41083-2024</t>
        </is>
      </c>
      <c r="B2087" s="1" t="n">
        <v>45559</v>
      </c>
      <c r="C2087" s="1" t="n">
        <v>45657</v>
      </c>
      <c r="D2087" t="inlineStr">
        <is>
          <t>VÄSTERNORRLANDS LÄN</t>
        </is>
      </c>
      <c r="E2087" t="inlineStr">
        <is>
          <t>ÅNGE</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41153-2024</t>
        </is>
      </c>
      <c r="B2088" s="1" t="n">
        <v>45559</v>
      </c>
      <c r="C2088" s="1" t="n">
        <v>45657</v>
      </c>
      <c r="D2088" t="inlineStr">
        <is>
          <t>VÄSTERNORRLANDS LÄN</t>
        </is>
      </c>
      <c r="E2088" t="inlineStr">
        <is>
          <t>ÅNGE</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41284-2024</t>
        </is>
      </c>
      <c r="B2089" s="1" t="n">
        <v>45559</v>
      </c>
      <c r="C2089" s="1" t="n">
        <v>45657</v>
      </c>
      <c r="D2089" t="inlineStr">
        <is>
          <t>VÄSTERNORRLANDS LÄN</t>
        </is>
      </c>
      <c r="E2089" t="inlineStr">
        <is>
          <t>ÅNGE</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41222-2024</t>
        </is>
      </c>
      <c r="B2090" s="1" t="n">
        <v>45559</v>
      </c>
      <c r="C2090" s="1" t="n">
        <v>45657</v>
      </c>
      <c r="D2090" t="inlineStr">
        <is>
          <t>VÄSTERNORRLANDS LÄN</t>
        </is>
      </c>
      <c r="E2090" t="inlineStr">
        <is>
          <t>ÅNGE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41355-2024</t>
        </is>
      </c>
      <c r="B2091" s="1" t="n">
        <v>45559</v>
      </c>
      <c r="C2091" s="1" t="n">
        <v>45657</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41302-2024</t>
        </is>
      </c>
      <c r="B2092" s="1" t="n">
        <v>45559</v>
      </c>
      <c r="C2092" s="1" t="n">
        <v>45657</v>
      </c>
      <c r="D2092" t="inlineStr">
        <is>
          <t>VÄSTERNORRLANDS LÄN</t>
        </is>
      </c>
      <c r="E2092" t="inlineStr">
        <is>
          <t>ÅNGE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41586-2024</t>
        </is>
      </c>
      <c r="B2093" s="1" t="n">
        <v>45560</v>
      </c>
      <c r="C2093" s="1" t="n">
        <v>45657</v>
      </c>
      <c r="D2093" t="inlineStr">
        <is>
          <t>VÄSTERNORRLANDS LÄN</t>
        </is>
      </c>
      <c r="E2093" t="inlineStr">
        <is>
          <t>ÅNGE</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41564-2024</t>
        </is>
      </c>
      <c r="B2094" s="1" t="n">
        <v>45560</v>
      </c>
      <c r="C2094" s="1" t="n">
        <v>45657</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41507-2024</t>
        </is>
      </c>
      <c r="B2095" s="1" t="n">
        <v>45560</v>
      </c>
      <c r="C2095" s="1" t="n">
        <v>45657</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41575-2024</t>
        </is>
      </c>
      <c r="B2096" s="1" t="n">
        <v>45560</v>
      </c>
      <c r="C2096" s="1" t="n">
        <v>45657</v>
      </c>
      <c r="D2096" t="inlineStr">
        <is>
          <t>VÄSTERNORRLANDS LÄN</t>
        </is>
      </c>
      <c r="E2096" t="inlineStr">
        <is>
          <t>ÅNGE</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41781-2024</t>
        </is>
      </c>
      <c r="B2097" s="1" t="n">
        <v>45561</v>
      </c>
      <c r="C2097" s="1" t="n">
        <v>45657</v>
      </c>
      <c r="D2097" t="inlineStr">
        <is>
          <t>VÄSTERNORRLANDS LÄN</t>
        </is>
      </c>
      <c r="E2097" t="inlineStr">
        <is>
          <t>ÅNGE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41758-2024</t>
        </is>
      </c>
      <c r="B2098" s="1" t="n">
        <v>45561</v>
      </c>
      <c r="C2098" s="1" t="n">
        <v>45657</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41766-2024</t>
        </is>
      </c>
      <c r="B2099" s="1" t="n">
        <v>45561</v>
      </c>
      <c r="C2099" s="1" t="n">
        <v>45657</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42046-2024</t>
        </is>
      </c>
      <c r="B2100" s="1" t="n">
        <v>45561</v>
      </c>
      <c r="C2100" s="1" t="n">
        <v>45657</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42043-2024</t>
        </is>
      </c>
      <c r="B2101" s="1" t="n">
        <v>45561</v>
      </c>
      <c r="C2101" s="1" t="n">
        <v>45657</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41764-2024</t>
        </is>
      </c>
      <c r="B2102" s="1" t="n">
        <v>45561</v>
      </c>
      <c r="C2102" s="1" t="n">
        <v>45657</v>
      </c>
      <c r="D2102" t="inlineStr">
        <is>
          <t>VÄSTERNORRLANDS LÄN</t>
        </is>
      </c>
      <c r="E2102" t="inlineStr">
        <is>
          <t>ÅNGE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42004-2024</t>
        </is>
      </c>
      <c r="B2103" s="1" t="n">
        <v>45561</v>
      </c>
      <c r="C2103" s="1" t="n">
        <v>45657</v>
      </c>
      <c r="D2103" t="inlineStr">
        <is>
          <t>VÄSTERNORRLANDS LÄN</t>
        </is>
      </c>
      <c r="E2103" t="inlineStr">
        <is>
          <t>ÅNGE</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42040-2024</t>
        </is>
      </c>
      <c r="B2104" s="1" t="n">
        <v>45561</v>
      </c>
      <c r="C2104" s="1" t="n">
        <v>45657</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42044-2024</t>
        </is>
      </c>
      <c r="B2105" s="1" t="n">
        <v>45561</v>
      </c>
      <c r="C2105" s="1" t="n">
        <v>45657</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42090-2024</t>
        </is>
      </c>
      <c r="B2106" s="1" t="n">
        <v>45562</v>
      </c>
      <c r="C2106" s="1" t="n">
        <v>45657</v>
      </c>
      <c r="D2106" t="inlineStr">
        <is>
          <t>VÄSTERNORRLANDS LÄN</t>
        </is>
      </c>
      <c r="E2106" t="inlineStr">
        <is>
          <t>ÅNGE</t>
        </is>
      </c>
      <c r="F2106" t="inlineStr">
        <is>
          <t>SCA</t>
        </is>
      </c>
      <c r="G2106" t="n">
        <v>20.2</v>
      </c>
      <c r="H2106" t="n">
        <v>0</v>
      </c>
      <c r="I2106" t="n">
        <v>0</v>
      </c>
      <c r="J2106" t="n">
        <v>0</v>
      </c>
      <c r="K2106" t="n">
        <v>0</v>
      </c>
      <c r="L2106" t="n">
        <v>0</v>
      </c>
      <c r="M2106" t="n">
        <v>0</v>
      </c>
      <c r="N2106" t="n">
        <v>0</v>
      </c>
      <c r="O2106" t="n">
        <v>0</v>
      </c>
      <c r="P2106" t="n">
        <v>0</v>
      </c>
      <c r="Q2106" t="n">
        <v>0</v>
      </c>
      <c r="R2106" s="2" t="inlineStr"/>
    </row>
    <row r="2107" ht="15" customHeight="1">
      <c r="A2107" t="inlineStr">
        <is>
          <t>A 42098-2024</t>
        </is>
      </c>
      <c r="B2107" s="1" t="n">
        <v>45562</v>
      </c>
      <c r="C2107" s="1" t="n">
        <v>45657</v>
      </c>
      <c r="D2107" t="inlineStr">
        <is>
          <t>VÄSTERNORRLANDS LÄN</t>
        </is>
      </c>
      <c r="E2107" t="inlineStr">
        <is>
          <t>ÅNGE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42529-2024</t>
        </is>
      </c>
      <c r="B2108" s="1" t="n">
        <v>45565</v>
      </c>
      <c r="C2108" s="1" t="n">
        <v>45657</v>
      </c>
      <c r="D2108" t="inlineStr">
        <is>
          <t>VÄSTERNORRLANDS LÄN</t>
        </is>
      </c>
      <c r="E2108" t="inlineStr">
        <is>
          <t>ÅNGE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42488-2024</t>
        </is>
      </c>
      <c r="B2109" s="1" t="n">
        <v>45565</v>
      </c>
      <c r="C2109" s="1" t="n">
        <v>45657</v>
      </c>
      <c r="D2109" t="inlineStr">
        <is>
          <t>VÄSTERNORRLANDS LÄN</t>
        </is>
      </c>
      <c r="E2109" t="inlineStr">
        <is>
          <t>ÅNGE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42881-2024</t>
        </is>
      </c>
      <c r="B2110" s="1" t="n">
        <v>45566</v>
      </c>
      <c r="C2110" s="1" t="n">
        <v>45657</v>
      </c>
      <c r="D2110" t="inlineStr">
        <is>
          <t>VÄSTERNORRLANDS LÄN</t>
        </is>
      </c>
      <c r="E2110" t="inlineStr">
        <is>
          <t>ÅNGE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42880-2024</t>
        </is>
      </c>
      <c r="B2111" s="1" t="n">
        <v>45566</v>
      </c>
      <c r="C2111" s="1" t="n">
        <v>45657</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42948-2024</t>
        </is>
      </c>
      <c r="B2112" s="1" t="n">
        <v>45567</v>
      </c>
      <c r="C2112" s="1" t="n">
        <v>45657</v>
      </c>
      <c r="D2112" t="inlineStr">
        <is>
          <t>VÄSTERNORRLANDS LÄN</t>
        </is>
      </c>
      <c r="E2112" t="inlineStr">
        <is>
          <t>ÅNGE</t>
        </is>
      </c>
      <c r="F2112" t="inlineStr">
        <is>
          <t>SCA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43139-2024</t>
        </is>
      </c>
      <c r="B2113" s="1" t="n">
        <v>45567</v>
      </c>
      <c r="C2113" s="1" t="n">
        <v>45657</v>
      </c>
      <c r="D2113" t="inlineStr">
        <is>
          <t>VÄSTERNORRLANDS LÄN</t>
        </is>
      </c>
      <c r="E2113" t="inlineStr">
        <is>
          <t>ÅNGE</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43190-2024</t>
        </is>
      </c>
      <c r="B2114" s="1" t="n">
        <v>45567</v>
      </c>
      <c r="C2114" s="1" t="n">
        <v>45657</v>
      </c>
      <c r="D2114" t="inlineStr">
        <is>
          <t>VÄSTERNORRLANDS LÄN</t>
        </is>
      </c>
      <c r="E2114" t="inlineStr">
        <is>
          <t>ÅNGE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42968-2024</t>
        </is>
      </c>
      <c r="B2115" s="1" t="n">
        <v>45567</v>
      </c>
      <c r="C2115" s="1" t="n">
        <v>45657</v>
      </c>
      <c r="D2115" t="inlineStr">
        <is>
          <t>VÄSTERNORRLANDS LÄN</t>
        </is>
      </c>
      <c r="E2115" t="inlineStr">
        <is>
          <t>ÅNGE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42969-2024</t>
        </is>
      </c>
      <c r="B2116" s="1" t="n">
        <v>45567</v>
      </c>
      <c r="C2116" s="1" t="n">
        <v>45657</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42953-2024</t>
        </is>
      </c>
      <c r="B2117" s="1" t="n">
        <v>45567</v>
      </c>
      <c r="C2117" s="1" t="n">
        <v>45657</v>
      </c>
      <c r="D2117" t="inlineStr">
        <is>
          <t>VÄSTERNORRLANDS LÄN</t>
        </is>
      </c>
      <c r="E2117" t="inlineStr">
        <is>
          <t>ÅNGE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43145-2024</t>
        </is>
      </c>
      <c r="B2118" s="1" t="n">
        <v>45567</v>
      </c>
      <c r="C2118" s="1" t="n">
        <v>45657</v>
      </c>
      <c r="D2118" t="inlineStr">
        <is>
          <t>VÄSTERNORRLANDS LÄN</t>
        </is>
      </c>
      <c r="E2118" t="inlineStr">
        <is>
          <t>ÅNGE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42999-2024</t>
        </is>
      </c>
      <c r="B2119" s="1" t="n">
        <v>45567</v>
      </c>
      <c r="C2119" s="1" t="n">
        <v>45657</v>
      </c>
      <c r="D2119" t="inlineStr">
        <is>
          <t>VÄSTERNORRLANDS LÄN</t>
        </is>
      </c>
      <c r="E2119" t="inlineStr">
        <is>
          <t>ÅNGE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43184-2024</t>
        </is>
      </c>
      <c r="B2120" s="1" t="n">
        <v>45567</v>
      </c>
      <c r="C2120" s="1" t="n">
        <v>45657</v>
      </c>
      <c r="D2120" t="inlineStr">
        <is>
          <t>VÄSTERNORRLANDS LÄN</t>
        </is>
      </c>
      <c r="E2120" t="inlineStr">
        <is>
          <t>ÅNGE</t>
        </is>
      </c>
      <c r="G2120" t="n">
        <v>15.3</v>
      </c>
      <c r="H2120" t="n">
        <v>0</v>
      </c>
      <c r="I2120" t="n">
        <v>0</v>
      </c>
      <c r="J2120" t="n">
        <v>0</v>
      </c>
      <c r="K2120" t="n">
        <v>0</v>
      </c>
      <c r="L2120" t="n">
        <v>0</v>
      </c>
      <c r="M2120" t="n">
        <v>0</v>
      </c>
      <c r="N2120" t="n">
        <v>0</v>
      </c>
      <c r="O2120" t="n">
        <v>0</v>
      </c>
      <c r="P2120" t="n">
        <v>0</v>
      </c>
      <c r="Q2120" t="n">
        <v>0</v>
      </c>
      <c r="R2120" s="2" t="inlineStr"/>
    </row>
    <row r="2121" ht="15" customHeight="1">
      <c r="A2121" t="inlineStr">
        <is>
          <t>A 42958-2024</t>
        </is>
      </c>
      <c r="B2121" s="1" t="n">
        <v>45567</v>
      </c>
      <c r="C2121" s="1" t="n">
        <v>45657</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43343-2024</t>
        </is>
      </c>
      <c r="B2122" s="1" t="n">
        <v>45568</v>
      </c>
      <c r="C2122" s="1" t="n">
        <v>45657</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43366-2024</t>
        </is>
      </c>
      <c r="B2123" s="1" t="n">
        <v>45568</v>
      </c>
      <c r="C2123" s="1" t="n">
        <v>45657</v>
      </c>
      <c r="D2123" t="inlineStr">
        <is>
          <t>VÄSTERNORRLANDS LÄN</t>
        </is>
      </c>
      <c r="E2123" t="inlineStr">
        <is>
          <t>ÅNGE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43970-2024</t>
        </is>
      </c>
      <c r="B2124" s="1" t="n">
        <v>45571</v>
      </c>
      <c r="C2124" s="1" t="n">
        <v>45657</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43842-2024</t>
        </is>
      </c>
      <c r="B2125" s="1" t="n">
        <v>45572</v>
      </c>
      <c r="C2125" s="1" t="n">
        <v>45657</v>
      </c>
      <c r="D2125" t="inlineStr">
        <is>
          <t>VÄSTERNORRLANDS LÄN</t>
        </is>
      </c>
      <c r="E2125" t="inlineStr">
        <is>
          <t>ÅNGE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44158-2024</t>
        </is>
      </c>
      <c r="B2126" s="1" t="n">
        <v>45572</v>
      </c>
      <c r="C2126" s="1" t="n">
        <v>45657</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44389-2024</t>
        </is>
      </c>
      <c r="B2127" s="1" t="n">
        <v>45573</v>
      </c>
      <c r="C2127" s="1" t="n">
        <v>45657</v>
      </c>
      <c r="D2127" t="inlineStr">
        <is>
          <t>VÄSTERNORRLANDS LÄN</t>
        </is>
      </c>
      <c r="E2127" t="inlineStr">
        <is>
          <t>ÅNGE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44386-2024</t>
        </is>
      </c>
      <c r="B2128" s="1" t="n">
        <v>45573</v>
      </c>
      <c r="C2128" s="1" t="n">
        <v>45657</v>
      </c>
      <c r="D2128" t="inlineStr">
        <is>
          <t>VÄSTERNORRLANDS LÄN</t>
        </is>
      </c>
      <c r="E2128" t="inlineStr">
        <is>
          <t>ÅNGE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44512-2024</t>
        </is>
      </c>
      <c r="B2129" s="1" t="n">
        <v>45574</v>
      </c>
      <c r="C2129" s="1" t="n">
        <v>45657</v>
      </c>
      <c r="D2129" t="inlineStr">
        <is>
          <t>VÄSTERNORRLANDS LÄN</t>
        </is>
      </c>
      <c r="E2129" t="inlineStr">
        <is>
          <t>ÅNGE</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44611-2024</t>
        </is>
      </c>
      <c r="B2130" s="1" t="n">
        <v>45574</v>
      </c>
      <c r="C2130" s="1" t="n">
        <v>45657</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44636-2024</t>
        </is>
      </c>
      <c r="B2131" s="1" t="n">
        <v>45574</v>
      </c>
      <c r="C2131" s="1" t="n">
        <v>45657</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44606-2024</t>
        </is>
      </c>
      <c r="B2132" s="1" t="n">
        <v>45574</v>
      </c>
      <c r="C2132" s="1" t="n">
        <v>45657</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44626-2024</t>
        </is>
      </c>
      <c r="B2133" s="1" t="n">
        <v>45574</v>
      </c>
      <c r="C2133" s="1" t="n">
        <v>45657</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44635-2024</t>
        </is>
      </c>
      <c r="B2134" s="1" t="n">
        <v>45574</v>
      </c>
      <c r="C2134" s="1" t="n">
        <v>45657</v>
      </c>
      <c r="D2134" t="inlineStr">
        <is>
          <t>VÄSTERNORRLANDS LÄN</t>
        </is>
      </c>
      <c r="E2134" t="inlineStr">
        <is>
          <t>ÅNGE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44565-2024</t>
        </is>
      </c>
      <c r="B2135" s="1" t="n">
        <v>45574</v>
      </c>
      <c r="C2135" s="1" t="n">
        <v>45657</v>
      </c>
      <c r="D2135" t="inlineStr">
        <is>
          <t>VÄSTERNORRLANDS LÄN</t>
        </is>
      </c>
      <c r="E2135" t="inlineStr">
        <is>
          <t>ÅNGE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44518-2024</t>
        </is>
      </c>
      <c r="B2136" s="1" t="n">
        <v>45574</v>
      </c>
      <c r="C2136" s="1" t="n">
        <v>45657</v>
      </c>
      <c r="D2136" t="inlineStr">
        <is>
          <t>VÄSTERNORRLANDS LÄN</t>
        </is>
      </c>
      <c r="E2136" t="inlineStr">
        <is>
          <t>ÅNGE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44552-2024</t>
        </is>
      </c>
      <c r="B2137" s="1" t="n">
        <v>45574</v>
      </c>
      <c r="C2137" s="1" t="n">
        <v>45657</v>
      </c>
      <c r="D2137" t="inlineStr">
        <is>
          <t>VÄSTERNORRLANDS LÄN</t>
        </is>
      </c>
      <c r="E2137" t="inlineStr">
        <is>
          <t>ÅNGE</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44568-2024</t>
        </is>
      </c>
      <c r="B2138" s="1" t="n">
        <v>45574</v>
      </c>
      <c r="C2138" s="1" t="n">
        <v>45657</v>
      </c>
      <c r="D2138" t="inlineStr">
        <is>
          <t>VÄSTERNORRLANDS LÄN</t>
        </is>
      </c>
      <c r="E2138" t="inlineStr">
        <is>
          <t>ÅNGE</t>
        </is>
      </c>
      <c r="F2138" t="inlineStr">
        <is>
          <t>SCA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44600-2024</t>
        </is>
      </c>
      <c r="B2139" s="1" t="n">
        <v>45574</v>
      </c>
      <c r="C2139" s="1" t="n">
        <v>45657</v>
      </c>
      <c r="D2139" t="inlineStr">
        <is>
          <t>VÄSTERNORRLANDS LÄN</t>
        </is>
      </c>
      <c r="E2139" t="inlineStr">
        <is>
          <t>ÅNGE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44604-2024</t>
        </is>
      </c>
      <c r="B2140" s="1" t="n">
        <v>45574</v>
      </c>
      <c r="C2140" s="1" t="n">
        <v>45657</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44876-2024</t>
        </is>
      </c>
      <c r="B2141" s="1" t="n">
        <v>45575</v>
      </c>
      <c r="C2141" s="1" t="n">
        <v>45657</v>
      </c>
      <c r="D2141" t="inlineStr">
        <is>
          <t>VÄSTERNORRLANDS LÄN</t>
        </is>
      </c>
      <c r="E2141" t="inlineStr">
        <is>
          <t>ÅNGE</t>
        </is>
      </c>
      <c r="F2141" t="inlineStr">
        <is>
          <t>SCA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45030-2024</t>
        </is>
      </c>
      <c r="B2142" s="1" t="n">
        <v>45575</v>
      </c>
      <c r="C2142" s="1" t="n">
        <v>45657</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45928-2024</t>
        </is>
      </c>
      <c r="B2143" s="1" t="n">
        <v>45580</v>
      </c>
      <c r="C2143" s="1" t="n">
        <v>45657</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45993-2024</t>
        </is>
      </c>
      <c r="B2144" s="1" t="n">
        <v>45580</v>
      </c>
      <c r="C2144" s="1" t="n">
        <v>45657</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46015-2024</t>
        </is>
      </c>
      <c r="B2145" s="1" t="n">
        <v>45580</v>
      </c>
      <c r="C2145" s="1" t="n">
        <v>45657</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46172-2024</t>
        </is>
      </c>
      <c r="B2146" s="1" t="n">
        <v>45581</v>
      </c>
      <c r="C2146" s="1" t="n">
        <v>45657</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46198-2024</t>
        </is>
      </c>
      <c r="B2147" s="1" t="n">
        <v>45581</v>
      </c>
      <c r="C2147" s="1" t="n">
        <v>45657</v>
      </c>
      <c r="D2147" t="inlineStr">
        <is>
          <t>VÄSTERNORRLANDS LÄN</t>
        </is>
      </c>
      <c r="E2147" t="inlineStr">
        <is>
          <t>ÅNGE</t>
        </is>
      </c>
      <c r="F2147" t="inlineStr">
        <is>
          <t>Övriga Aktiebolag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46249-2024</t>
        </is>
      </c>
      <c r="B2148" s="1" t="n">
        <v>45581</v>
      </c>
      <c r="C2148" s="1" t="n">
        <v>45657</v>
      </c>
      <c r="D2148" t="inlineStr">
        <is>
          <t>VÄSTERNORRLANDS LÄN</t>
        </is>
      </c>
      <c r="E2148" t="inlineStr">
        <is>
          <t>ÅNGE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46354-2024</t>
        </is>
      </c>
      <c r="B2149" s="1" t="n">
        <v>45582</v>
      </c>
      <c r="C2149" s="1" t="n">
        <v>45657</v>
      </c>
      <c r="D2149" t="inlineStr">
        <is>
          <t>VÄSTERNORRLANDS LÄN</t>
        </is>
      </c>
      <c r="E2149" t="inlineStr">
        <is>
          <t>ÅNGE</t>
        </is>
      </c>
      <c r="F2149" t="inlineStr">
        <is>
          <t>SCA</t>
        </is>
      </c>
      <c r="G2149" t="n">
        <v>32.8</v>
      </c>
      <c r="H2149" t="n">
        <v>0</v>
      </c>
      <c r="I2149" t="n">
        <v>0</v>
      </c>
      <c r="J2149" t="n">
        <v>0</v>
      </c>
      <c r="K2149" t="n">
        <v>0</v>
      </c>
      <c r="L2149" t="n">
        <v>0</v>
      </c>
      <c r="M2149" t="n">
        <v>0</v>
      </c>
      <c r="N2149" t="n">
        <v>0</v>
      </c>
      <c r="O2149" t="n">
        <v>0</v>
      </c>
      <c r="P2149" t="n">
        <v>0</v>
      </c>
      <c r="Q2149" t="n">
        <v>0</v>
      </c>
      <c r="R2149" s="2" t="inlineStr"/>
    </row>
    <row r="2150" ht="15" customHeight="1">
      <c r="A2150" t="inlineStr">
        <is>
          <t>A 46780-2024</t>
        </is>
      </c>
      <c r="B2150" s="1" t="n">
        <v>45583</v>
      </c>
      <c r="C2150" s="1" t="n">
        <v>45657</v>
      </c>
      <c r="D2150" t="inlineStr">
        <is>
          <t>VÄSTERNORRLANDS LÄN</t>
        </is>
      </c>
      <c r="E2150" t="inlineStr">
        <is>
          <t>ÅNGE</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46733-2024</t>
        </is>
      </c>
      <c r="B2151" s="1" t="n">
        <v>45583</v>
      </c>
      <c r="C2151" s="1" t="n">
        <v>45657</v>
      </c>
      <c r="D2151" t="inlineStr">
        <is>
          <t>VÄSTERNORRLANDS LÄN</t>
        </is>
      </c>
      <c r="E2151" t="inlineStr">
        <is>
          <t>ÅNGE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46775-2024</t>
        </is>
      </c>
      <c r="B2152" s="1" t="n">
        <v>45583</v>
      </c>
      <c r="C2152" s="1" t="n">
        <v>45657</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46678-2024</t>
        </is>
      </c>
      <c r="B2153" s="1" t="n">
        <v>45583</v>
      </c>
      <c r="C2153" s="1" t="n">
        <v>45657</v>
      </c>
      <c r="D2153" t="inlineStr">
        <is>
          <t>VÄSTERNORRLANDS LÄN</t>
        </is>
      </c>
      <c r="E2153" t="inlineStr">
        <is>
          <t>ÅNGE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47243-2024</t>
        </is>
      </c>
      <c r="B2154" s="1" t="n">
        <v>45586</v>
      </c>
      <c r="C2154" s="1" t="n">
        <v>45657</v>
      </c>
      <c r="D2154" t="inlineStr">
        <is>
          <t>VÄSTERNORRLANDS LÄN</t>
        </is>
      </c>
      <c r="E2154" t="inlineStr">
        <is>
          <t>ÅNGE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47298-2024</t>
        </is>
      </c>
      <c r="B2155" s="1" t="n">
        <v>45587</v>
      </c>
      <c r="C2155" s="1" t="n">
        <v>45657</v>
      </c>
      <c r="D2155" t="inlineStr">
        <is>
          <t>VÄSTERNORRLANDS LÄN</t>
        </is>
      </c>
      <c r="E2155" t="inlineStr">
        <is>
          <t>ÅNGE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47296-2024</t>
        </is>
      </c>
      <c r="B2156" s="1" t="n">
        <v>45587</v>
      </c>
      <c r="C2156" s="1" t="n">
        <v>45657</v>
      </c>
      <c r="D2156" t="inlineStr">
        <is>
          <t>VÄSTERNORRLANDS LÄN</t>
        </is>
      </c>
      <c r="E2156" t="inlineStr">
        <is>
          <t>ÅNGE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47624-2024</t>
        </is>
      </c>
      <c r="B2157" s="1" t="n">
        <v>45588</v>
      </c>
      <c r="C2157" s="1" t="n">
        <v>45657</v>
      </c>
      <c r="D2157" t="inlineStr">
        <is>
          <t>VÄSTERNORRLANDS LÄN</t>
        </is>
      </c>
      <c r="E2157" t="inlineStr">
        <is>
          <t>ÅNGE</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47786-2024</t>
        </is>
      </c>
      <c r="B2158" s="1" t="n">
        <v>45588</v>
      </c>
      <c r="C2158" s="1" t="n">
        <v>45657</v>
      </c>
      <c r="D2158" t="inlineStr">
        <is>
          <t>VÄSTERNORRLANDS LÄN</t>
        </is>
      </c>
      <c r="E2158" t="inlineStr">
        <is>
          <t>ÅNGE</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47874-2024</t>
        </is>
      </c>
      <c r="B2159" s="1" t="n">
        <v>45588</v>
      </c>
      <c r="C2159" s="1" t="n">
        <v>45657</v>
      </c>
      <c r="D2159" t="inlineStr">
        <is>
          <t>VÄSTERNORRLANDS LÄN</t>
        </is>
      </c>
      <c r="E2159" t="inlineStr">
        <is>
          <t>ÅNGE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48050-2024</t>
        </is>
      </c>
      <c r="B2160" s="1" t="n">
        <v>45589</v>
      </c>
      <c r="C2160" s="1" t="n">
        <v>45657</v>
      </c>
      <c r="D2160" t="inlineStr">
        <is>
          <t>VÄSTERNORRLANDS LÄN</t>
        </is>
      </c>
      <c r="E2160" t="inlineStr">
        <is>
          <t>ÅNGE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47950-2024</t>
        </is>
      </c>
      <c r="B2161" s="1" t="n">
        <v>45589</v>
      </c>
      <c r="C2161" s="1" t="n">
        <v>45657</v>
      </c>
      <c r="D2161" t="inlineStr">
        <is>
          <t>VÄSTERNORRLANDS LÄN</t>
        </is>
      </c>
      <c r="E2161" t="inlineStr">
        <is>
          <t>ÅNGE</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48252-2024</t>
        </is>
      </c>
      <c r="B2162" s="1" t="n">
        <v>45590</v>
      </c>
      <c r="C2162" s="1" t="n">
        <v>45657</v>
      </c>
      <c r="D2162" t="inlineStr">
        <is>
          <t>VÄSTERNORRLANDS LÄN</t>
        </is>
      </c>
      <c r="E2162" t="inlineStr">
        <is>
          <t>ÅNGE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48369-2024</t>
        </is>
      </c>
      <c r="B2163" s="1" t="n">
        <v>45590</v>
      </c>
      <c r="C2163" s="1" t="n">
        <v>45657</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48374-2024</t>
        </is>
      </c>
      <c r="B2164" s="1" t="n">
        <v>45590</v>
      </c>
      <c r="C2164" s="1" t="n">
        <v>45657</v>
      </c>
      <c r="D2164" t="inlineStr">
        <is>
          <t>VÄSTERNORRLANDS LÄN</t>
        </is>
      </c>
      <c r="E2164" t="inlineStr">
        <is>
          <t>ÅNGE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48697-2024</t>
        </is>
      </c>
      <c r="B2165" s="1" t="n">
        <v>45593</v>
      </c>
      <c r="C2165" s="1" t="n">
        <v>45657</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48725-2024</t>
        </is>
      </c>
      <c r="B2166" s="1" t="n">
        <v>45593</v>
      </c>
      <c r="C2166" s="1" t="n">
        <v>45657</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48770-2024</t>
        </is>
      </c>
      <c r="B2167" s="1" t="n">
        <v>45593</v>
      </c>
      <c r="C2167" s="1" t="n">
        <v>45657</v>
      </c>
      <c r="D2167" t="inlineStr">
        <is>
          <t>VÄSTERNORRLANDS LÄN</t>
        </is>
      </c>
      <c r="E2167" t="inlineStr">
        <is>
          <t>ÅNGE</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48690-2024</t>
        </is>
      </c>
      <c r="B2168" s="1" t="n">
        <v>45593</v>
      </c>
      <c r="C2168" s="1" t="n">
        <v>45657</v>
      </c>
      <c r="D2168" t="inlineStr">
        <is>
          <t>VÄSTERNORRLANDS LÄN</t>
        </is>
      </c>
      <c r="E2168" t="inlineStr">
        <is>
          <t>ÅNGE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48787-2024</t>
        </is>
      </c>
      <c r="B2169" s="1" t="n">
        <v>45593</v>
      </c>
      <c r="C2169" s="1" t="n">
        <v>45657</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48946-2024</t>
        </is>
      </c>
      <c r="B2170" s="1" t="n">
        <v>45594</v>
      </c>
      <c r="C2170" s="1" t="n">
        <v>45657</v>
      </c>
      <c r="D2170" t="inlineStr">
        <is>
          <t>VÄSTERNORRLANDS LÄN</t>
        </is>
      </c>
      <c r="E2170" t="inlineStr">
        <is>
          <t>ÅNGE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48898-2024</t>
        </is>
      </c>
      <c r="B2171" s="1" t="n">
        <v>45594</v>
      </c>
      <c r="C2171" s="1" t="n">
        <v>45657</v>
      </c>
      <c r="D2171" t="inlineStr">
        <is>
          <t>VÄSTERNORRLANDS LÄN</t>
        </is>
      </c>
      <c r="E2171" t="inlineStr">
        <is>
          <t>ÅNGE</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49128-2024</t>
        </is>
      </c>
      <c r="B2172" s="1" t="n">
        <v>45594</v>
      </c>
      <c r="C2172" s="1" t="n">
        <v>45657</v>
      </c>
      <c r="D2172" t="inlineStr">
        <is>
          <t>VÄSTERNORRLANDS LÄN</t>
        </is>
      </c>
      <c r="E2172" t="inlineStr">
        <is>
          <t>ÅNGE</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49187-2024</t>
        </is>
      </c>
      <c r="B2173" s="1" t="n">
        <v>45595</v>
      </c>
      <c r="C2173" s="1" t="n">
        <v>45657</v>
      </c>
      <c r="D2173" t="inlineStr">
        <is>
          <t>VÄSTERNORRLANDS LÄN</t>
        </is>
      </c>
      <c r="E2173" t="inlineStr">
        <is>
          <t>ÅNGE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49711-2024</t>
        </is>
      </c>
      <c r="B2174" s="1" t="n">
        <v>45596</v>
      </c>
      <c r="C2174" s="1" t="n">
        <v>45657</v>
      </c>
      <c r="D2174" t="inlineStr">
        <is>
          <t>VÄSTERNORRLANDS LÄN</t>
        </is>
      </c>
      <c r="E2174" t="inlineStr">
        <is>
          <t>ÅNGE</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49487-2024</t>
        </is>
      </c>
      <c r="B2175" s="1" t="n">
        <v>45596</v>
      </c>
      <c r="C2175" s="1" t="n">
        <v>45657</v>
      </c>
      <c r="D2175" t="inlineStr">
        <is>
          <t>VÄSTERNORRLANDS LÄN</t>
        </is>
      </c>
      <c r="E2175" t="inlineStr">
        <is>
          <t>ÅNGE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49532-2024</t>
        </is>
      </c>
      <c r="B2176" s="1" t="n">
        <v>45596</v>
      </c>
      <c r="C2176" s="1" t="n">
        <v>45657</v>
      </c>
      <c r="D2176" t="inlineStr">
        <is>
          <t>VÄSTERNORRLANDS LÄN</t>
        </is>
      </c>
      <c r="E2176" t="inlineStr">
        <is>
          <t>ÅNGE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49871-2024</t>
        </is>
      </c>
      <c r="B2177" s="1" t="n">
        <v>45597</v>
      </c>
      <c r="C2177" s="1" t="n">
        <v>45657</v>
      </c>
      <c r="D2177" t="inlineStr">
        <is>
          <t>VÄSTERNORRLANDS LÄN</t>
        </is>
      </c>
      <c r="E2177" t="inlineStr">
        <is>
          <t>ÅNGE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50179-2024</t>
        </is>
      </c>
      <c r="B2178" s="1" t="n">
        <v>45600</v>
      </c>
      <c r="C2178" s="1" t="n">
        <v>45657</v>
      </c>
      <c r="D2178" t="inlineStr">
        <is>
          <t>VÄSTERNORRLANDS LÄN</t>
        </is>
      </c>
      <c r="E2178" t="inlineStr">
        <is>
          <t>ÅNGE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50231-2024</t>
        </is>
      </c>
      <c r="B2179" s="1" t="n">
        <v>45600</v>
      </c>
      <c r="C2179" s="1" t="n">
        <v>45657</v>
      </c>
      <c r="D2179" t="inlineStr">
        <is>
          <t>VÄSTERNORRLANDS LÄN</t>
        </is>
      </c>
      <c r="E2179" t="inlineStr">
        <is>
          <t>ÅNGE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50612-2024</t>
        </is>
      </c>
      <c r="B2180" s="1" t="n">
        <v>45601</v>
      </c>
      <c r="C2180" s="1" t="n">
        <v>45657</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50674-2024</t>
        </is>
      </c>
      <c r="B2181" s="1" t="n">
        <v>45601</v>
      </c>
      <c r="C2181" s="1" t="n">
        <v>45657</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50710-2024</t>
        </is>
      </c>
      <c r="B2182" s="1" t="n">
        <v>45602</v>
      </c>
      <c r="C2182" s="1" t="n">
        <v>45657</v>
      </c>
      <c r="D2182" t="inlineStr">
        <is>
          <t>VÄSTERNORRLANDS LÄN</t>
        </is>
      </c>
      <c r="E2182" t="inlineStr">
        <is>
          <t>ÅNGE</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50742-2024</t>
        </is>
      </c>
      <c r="B2183" s="1" t="n">
        <v>45602</v>
      </c>
      <c r="C2183" s="1" t="n">
        <v>45657</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45657</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45657</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45657</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51024-2024</t>
        </is>
      </c>
      <c r="B2187" s="1" t="n">
        <v>45603</v>
      </c>
      <c r="C2187" s="1" t="n">
        <v>45657</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51052-2024</t>
        </is>
      </c>
      <c r="B2188" s="1" t="n">
        <v>45603</v>
      </c>
      <c r="C2188" s="1" t="n">
        <v>45657</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51124-2024</t>
        </is>
      </c>
      <c r="B2189" s="1" t="n">
        <v>45603</v>
      </c>
      <c r="C2189" s="1" t="n">
        <v>45657</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45657</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45657</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51377-2024</t>
        </is>
      </c>
      <c r="B2192" s="1" t="n">
        <v>45604</v>
      </c>
      <c r="C2192" s="1" t="n">
        <v>45657</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45657</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45657</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45657</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51870-2024</t>
        </is>
      </c>
      <c r="B2196" s="1" t="n">
        <v>45607</v>
      </c>
      <c r="C2196" s="1" t="n">
        <v>45657</v>
      </c>
      <c r="D2196" t="inlineStr">
        <is>
          <t>VÄSTERNORRLANDS LÄN</t>
        </is>
      </c>
      <c r="E2196" t="inlineStr">
        <is>
          <t>ÅNGE</t>
        </is>
      </c>
      <c r="F2196" t="inlineStr">
        <is>
          <t>SCA</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52230-2024</t>
        </is>
      </c>
      <c r="B2197" s="1" t="n">
        <v>45608</v>
      </c>
      <c r="C2197" s="1" t="n">
        <v>45657</v>
      </c>
      <c r="D2197" t="inlineStr">
        <is>
          <t>VÄSTERNORRLANDS LÄN</t>
        </is>
      </c>
      <c r="E2197" t="inlineStr">
        <is>
          <t>ÅNGE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52665-2024</t>
        </is>
      </c>
      <c r="B2198" s="1" t="n">
        <v>45610</v>
      </c>
      <c r="C2198" s="1" t="n">
        <v>45657</v>
      </c>
      <c r="D2198" t="inlineStr">
        <is>
          <t>VÄSTERNORRLANDS LÄN</t>
        </is>
      </c>
      <c r="E2198" t="inlineStr">
        <is>
          <t>ÅNGE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52685-2024</t>
        </is>
      </c>
      <c r="B2199" s="1" t="n">
        <v>45610</v>
      </c>
      <c r="C2199" s="1" t="n">
        <v>45657</v>
      </c>
      <c r="D2199" t="inlineStr">
        <is>
          <t>VÄSTERNORRLANDS LÄN</t>
        </is>
      </c>
      <c r="E2199" t="inlineStr">
        <is>
          <t>ÅNGE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52664-2024</t>
        </is>
      </c>
      <c r="B2200" s="1" t="n">
        <v>45610</v>
      </c>
      <c r="C2200" s="1" t="n">
        <v>45657</v>
      </c>
      <c r="D2200" t="inlineStr">
        <is>
          <t>VÄSTERNORRLANDS LÄN</t>
        </is>
      </c>
      <c r="E2200" t="inlineStr">
        <is>
          <t>ÅNGE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45657</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45657</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45657</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45657</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45657</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52687-2024</t>
        </is>
      </c>
      <c r="B2206" s="1" t="n">
        <v>45610</v>
      </c>
      <c r="C2206" s="1" t="n">
        <v>45657</v>
      </c>
      <c r="D2206" t="inlineStr">
        <is>
          <t>VÄSTERNORRLANDS LÄN</t>
        </is>
      </c>
      <c r="E2206" t="inlineStr">
        <is>
          <t>ÅNGE</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52683-2024</t>
        </is>
      </c>
      <c r="B2207" s="1" t="n">
        <v>45610</v>
      </c>
      <c r="C2207" s="1" t="n">
        <v>45657</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52786-2024</t>
        </is>
      </c>
      <c r="B2208" s="1" t="n">
        <v>45610</v>
      </c>
      <c r="C2208" s="1" t="n">
        <v>45657</v>
      </c>
      <c r="D2208" t="inlineStr">
        <is>
          <t>VÄSTERNORRLANDS LÄN</t>
        </is>
      </c>
      <c r="E2208" t="inlineStr">
        <is>
          <t>ÅNGE</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45657</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53017-2024</t>
        </is>
      </c>
      <c r="B2210" s="1" t="n">
        <v>45611</v>
      </c>
      <c r="C2210" s="1" t="n">
        <v>45657</v>
      </c>
      <c r="D2210" t="inlineStr">
        <is>
          <t>VÄSTERNORRLANDS LÄN</t>
        </is>
      </c>
      <c r="E2210" t="inlineStr">
        <is>
          <t>ÅNGE</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53209-2024</t>
        </is>
      </c>
      <c r="B2211" s="1" t="n">
        <v>45612</v>
      </c>
      <c r="C2211" s="1" t="n">
        <v>45657</v>
      </c>
      <c r="D2211" t="inlineStr">
        <is>
          <t>VÄSTERNORRLANDS LÄN</t>
        </is>
      </c>
      <c r="E2211" t="inlineStr">
        <is>
          <t>ÅNGE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45657</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45657</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53417-2024</t>
        </is>
      </c>
      <c r="B2214" s="1" t="n">
        <v>45614</v>
      </c>
      <c r="C2214" s="1" t="n">
        <v>45657</v>
      </c>
      <c r="D2214" t="inlineStr">
        <is>
          <t>VÄSTERNORRLANDS LÄN</t>
        </is>
      </c>
      <c r="E2214" t="inlineStr">
        <is>
          <t>ÅNGE</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45657</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45657</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53858-2024</t>
        </is>
      </c>
      <c r="B2217" s="1" t="n">
        <v>45615</v>
      </c>
      <c r="C2217" s="1" t="n">
        <v>45657</v>
      </c>
      <c r="D2217" t="inlineStr">
        <is>
          <t>VÄSTERNORRLANDS LÄN</t>
        </is>
      </c>
      <c r="E2217" t="inlineStr">
        <is>
          <t>ÅNGE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45657</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45657</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45657</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53988-2024</t>
        </is>
      </c>
      <c r="B2221" s="1" t="n">
        <v>45616</v>
      </c>
      <c r="C2221" s="1" t="n">
        <v>45657</v>
      </c>
      <c r="D2221" t="inlineStr">
        <is>
          <t>VÄSTERNORRLANDS LÄN</t>
        </is>
      </c>
      <c r="E2221" t="inlineStr">
        <is>
          <t>ÅNGE</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45657</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45657</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45657</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45657</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54585-2024</t>
        </is>
      </c>
      <c r="B2226" s="1" t="n">
        <v>45617</v>
      </c>
      <c r="C2226" s="1" t="n">
        <v>45657</v>
      </c>
      <c r="D2226" t="inlineStr">
        <is>
          <t>VÄSTERNORRLANDS LÄN</t>
        </is>
      </c>
      <c r="E2226" t="inlineStr">
        <is>
          <t>ÅNGE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45657</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54720-2024</t>
        </is>
      </c>
      <c r="B2228" s="1" t="n">
        <v>45618</v>
      </c>
      <c r="C2228" s="1" t="n">
        <v>45657</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55177-2024</t>
        </is>
      </c>
      <c r="B2229" s="1" t="n">
        <v>45621</v>
      </c>
      <c r="C2229" s="1" t="n">
        <v>45657</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55380-2024</t>
        </is>
      </c>
      <c r="B2230" s="1" t="n">
        <v>45622</v>
      </c>
      <c r="C2230" s="1" t="n">
        <v>45657</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45657</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55592-2024</t>
        </is>
      </c>
      <c r="B2232" s="1" t="n">
        <v>45622</v>
      </c>
      <c r="C2232" s="1" t="n">
        <v>45657</v>
      </c>
      <c r="D2232" t="inlineStr">
        <is>
          <t>VÄSTERNORRLANDS LÄN</t>
        </is>
      </c>
      <c r="E2232" t="inlineStr">
        <is>
          <t>ÅNGE</t>
        </is>
      </c>
      <c r="F2232" t="inlineStr">
        <is>
          <t>Holmen skog AB</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55664-2024</t>
        </is>
      </c>
      <c r="B2233" s="1" t="n">
        <v>45622</v>
      </c>
      <c r="C2233" s="1" t="n">
        <v>45657</v>
      </c>
      <c r="D2233" t="inlineStr">
        <is>
          <t>VÄSTERNORRLANDS LÄN</t>
        </is>
      </c>
      <c r="E2233" t="inlineStr">
        <is>
          <t>ÅNGE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55751-2024</t>
        </is>
      </c>
      <c r="B2234" s="1" t="n">
        <v>45623</v>
      </c>
      <c r="C2234" s="1" t="n">
        <v>45657</v>
      </c>
      <c r="D2234" t="inlineStr">
        <is>
          <t>VÄSTERNORRLANDS LÄN</t>
        </is>
      </c>
      <c r="E2234" t="inlineStr">
        <is>
          <t>ÅNGE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45657</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56199-2024</t>
        </is>
      </c>
      <c r="B2236" s="1" t="n">
        <v>45624</v>
      </c>
      <c r="C2236" s="1" t="n">
        <v>45657</v>
      </c>
      <c r="D2236" t="inlineStr">
        <is>
          <t>VÄSTERNORRLANDS LÄN</t>
        </is>
      </c>
      <c r="E2236" t="inlineStr">
        <is>
          <t>ÅNGE</t>
        </is>
      </c>
      <c r="F2236" t="inlineStr">
        <is>
          <t>SCA</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56191-2024</t>
        </is>
      </c>
      <c r="B2237" s="1" t="n">
        <v>45624</v>
      </c>
      <c r="C2237" s="1" t="n">
        <v>45657</v>
      </c>
      <c r="D2237" t="inlineStr">
        <is>
          <t>VÄSTERNORRLANDS LÄN</t>
        </is>
      </c>
      <c r="E2237" t="inlineStr">
        <is>
          <t>ÅNGE</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56232-2024</t>
        </is>
      </c>
      <c r="B2238" s="1" t="n">
        <v>45624</v>
      </c>
      <c r="C2238" s="1" t="n">
        <v>45657</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56271-2024</t>
        </is>
      </c>
      <c r="B2239" s="1" t="n">
        <v>45624</v>
      </c>
      <c r="C2239" s="1" t="n">
        <v>45657</v>
      </c>
      <c r="D2239" t="inlineStr">
        <is>
          <t>VÄSTERNORRLANDS LÄN</t>
        </is>
      </c>
      <c r="E2239" t="inlineStr">
        <is>
          <t>ÅNGE</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56044-2024</t>
        </is>
      </c>
      <c r="B2240" s="1" t="n">
        <v>45624</v>
      </c>
      <c r="C2240" s="1" t="n">
        <v>45657</v>
      </c>
      <c r="D2240" t="inlineStr">
        <is>
          <t>VÄSTERNORRLANDS LÄN</t>
        </is>
      </c>
      <c r="E2240" t="inlineStr">
        <is>
          <t>ÅNGE</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56111-2024</t>
        </is>
      </c>
      <c r="B2241" s="1" t="n">
        <v>45624</v>
      </c>
      <c r="C2241" s="1" t="n">
        <v>45657</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56189-2024</t>
        </is>
      </c>
      <c r="B2242" s="1" t="n">
        <v>45624</v>
      </c>
      <c r="C2242" s="1" t="n">
        <v>45657</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56188-2024</t>
        </is>
      </c>
      <c r="B2243" s="1" t="n">
        <v>45624</v>
      </c>
      <c r="C2243" s="1" t="n">
        <v>45657</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45657</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56569-2024</t>
        </is>
      </c>
      <c r="B2245" s="1" t="n">
        <v>45625</v>
      </c>
      <c r="C2245" s="1" t="n">
        <v>45657</v>
      </c>
      <c r="D2245" t="inlineStr">
        <is>
          <t>VÄSTERNORRLANDS LÄN</t>
        </is>
      </c>
      <c r="E2245" t="inlineStr">
        <is>
          <t>ÅNGE</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56874-2024</t>
        </is>
      </c>
      <c r="B2246" s="1" t="n">
        <v>45628</v>
      </c>
      <c r="C2246" s="1" t="n">
        <v>45657</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57067-2024</t>
        </is>
      </c>
      <c r="B2247" s="1" t="n">
        <v>45629</v>
      </c>
      <c r="C2247" s="1" t="n">
        <v>45657</v>
      </c>
      <c r="D2247" t="inlineStr">
        <is>
          <t>VÄSTERNORRLANDS LÄN</t>
        </is>
      </c>
      <c r="E2247" t="inlineStr">
        <is>
          <t>ÅNGE</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57271-2024</t>
        </is>
      </c>
      <c r="B2248" s="1" t="n">
        <v>45629</v>
      </c>
      <c r="C2248" s="1" t="n">
        <v>45657</v>
      </c>
      <c r="D2248" t="inlineStr">
        <is>
          <t>VÄSTERNORRLANDS LÄN</t>
        </is>
      </c>
      <c r="E2248" t="inlineStr">
        <is>
          <t>ÅNGE</t>
        </is>
      </c>
      <c r="F2248" t="inlineStr">
        <is>
          <t>SCA</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57396-2024</t>
        </is>
      </c>
      <c r="B2249" s="1" t="n">
        <v>45629</v>
      </c>
      <c r="C2249" s="1" t="n">
        <v>45657</v>
      </c>
      <c r="D2249" t="inlineStr">
        <is>
          <t>VÄSTERNORRLANDS LÄN</t>
        </is>
      </c>
      <c r="E2249" t="inlineStr">
        <is>
          <t>ÅNGE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45657</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57526-2024</t>
        </is>
      </c>
      <c r="B2251" s="1" t="n">
        <v>45630</v>
      </c>
      <c r="C2251" s="1" t="n">
        <v>45657</v>
      </c>
      <c r="D2251" t="inlineStr">
        <is>
          <t>VÄSTERNORRLANDS LÄN</t>
        </is>
      </c>
      <c r="E2251" t="inlineStr">
        <is>
          <t>ÅNGE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57815-2024</t>
        </is>
      </c>
      <c r="B2252" s="1" t="n">
        <v>45631</v>
      </c>
      <c r="C2252" s="1" t="n">
        <v>45657</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45657</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58338-2024</t>
        </is>
      </c>
      <c r="B2254" s="1" t="n">
        <v>45632</v>
      </c>
      <c r="C2254" s="1" t="n">
        <v>45657</v>
      </c>
      <c r="D2254" t="inlineStr">
        <is>
          <t>VÄSTERNORRLANDS LÄN</t>
        </is>
      </c>
      <c r="E2254" t="inlineStr">
        <is>
          <t>ÅNGE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58929-2024</t>
        </is>
      </c>
      <c r="B2255" s="1" t="n">
        <v>45636</v>
      </c>
      <c r="C2255" s="1" t="n">
        <v>45657</v>
      </c>
      <c r="D2255" t="inlineStr">
        <is>
          <t>VÄSTERNORRLANDS LÄN</t>
        </is>
      </c>
      <c r="E2255" t="inlineStr">
        <is>
          <t>ÅNGE</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59006-2024</t>
        </is>
      </c>
      <c r="B2256" s="1" t="n">
        <v>45636</v>
      </c>
      <c r="C2256" s="1" t="n">
        <v>45657</v>
      </c>
      <c r="D2256" t="inlineStr">
        <is>
          <t>VÄSTERNORRLANDS LÄN</t>
        </is>
      </c>
      <c r="E2256" t="inlineStr">
        <is>
          <t>ÅNGE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59412-2024</t>
        </is>
      </c>
      <c r="B2257" s="1" t="n">
        <v>45638</v>
      </c>
      <c r="C2257" s="1" t="n">
        <v>45657</v>
      </c>
      <c r="D2257" t="inlineStr">
        <is>
          <t>VÄSTERNORRLANDS LÄN</t>
        </is>
      </c>
      <c r="E2257" t="inlineStr">
        <is>
          <t>ÅNGE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59600-2024</t>
        </is>
      </c>
      <c r="B2258" s="1" t="n">
        <v>45638</v>
      </c>
      <c r="C2258" s="1" t="n">
        <v>45657</v>
      </c>
      <c r="D2258" t="inlineStr">
        <is>
          <t>VÄSTERNORRLANDS LÄN</t>
        </is>
      </c>
      <c r="E2258" t="inlineStr">
        <is>
          <t>ÅNGE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59820-2024</t>
        </is>
      </c>
      <c r="B2259" s="1" t="n">
        <v>45639</v>
      </c>
      <c r="C2259" s="1" t="n">
        <v>45657</v>
      </c>
      <c r="D2259" t="inlineStr">
        <is>
          <t>VÄSTERNORRLANDS LÄN</t>
        </is>
      </c>
      <c r="E2259" t="inlineStr">
        <is>
          <t>ÅNGE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59818-2024</t>
        </is>
      </c>
      <c r="B2260" s="1" t="n">
        <v>45639</v>
      </c>
      <c r="C2260" s="1" t="n">
        <v>45657</v>
      </c>
      <c r="D2260" t="inlineStr">
        <is>
          <t>VÄSTERNORRLANDS LÄN</t>
        </is>
      </c>
      <c r="E2260" t="inlineStr">
        <is>
          <t>ÅNGE</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60365-2024</t>
        </is>
      </c>
      <c r="B2261" s="1" t="n">
        <v>45643</v>
      </c>
      <c r="C2261" s="1" t="n">
        <v>45657</v>
      </c>
      <c r="D2261" t="inlineStr">
        <is>
          <t>VÄSTERNORRLANDS LÄN</t>
        </is>
      </c>
      <c r="E2261" t="inlineStr">
        <is>
          <t>ÅNGE</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60514-2024</t>
        </is>
      </c>
      <c r="B2262" s="1" t="n">
        <v>45643</v>
      </c>
      <c r="C2262" s="1" t="n">
        <v>45657</v>
      </c>
      <c r="D2262" t="inlineStr">
        <is>
          <t>VÄSTERNORRLANDS LÄN</t>
        </is>
      </c>
      <c r="E2262" t="inlineStr">
        <is>
          <t>ÅNGE</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60368-2024</t>
        </is>
      </c>
      <c r="B2263" s="1" t="n">
        <v>45643</v>
      </c>
      <c r="C2263" s="1" t="n">
        <v>45657</v>
      </c>
      <c r="D2263" t="inlineStr">
        <is>
          <t>VÄSTERNORRLANDS LÄN</t>
        </is>
      </c>
      <c r="E2263" t="inlineStr">
        <is>
          <t>ÅNGE</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60363-2024</t>
        </is>
      </c>
      <c r="B2264" s="1" t="n">
        <v>45643</v>
      </c>
      <c r="C2264" s="1" t="n">
        <v>45657</v>
      </c>
      <c r="D2264" t="inlineStr">
        <is>
          <t>VÄSTERNORRLANDS LÄN</t>
        </is>
      </c>
      <c r="E2264" t="inlineStr">
        <is>
          <t>ÅNGE</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60578-2024</t>
        </is>
      </c>
      <c r="B2265" s="1" t="n">
        <v>45644</v>
      </c>
      <c r="C2265" s="1" t="n">
        <v>45657</v>
      </c>
      <c r="D2265" t="inlineStr">
        <is>
          <t>VÄSTERNORRLANDS LÄN</t>
        </is>
      </c>
      <c r="E2265" t="inlineStr">
        <is>
          <t>ÅNGE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60779-2024</t>
        </is>
      </c>
      <c r="B2266" s="1" t="n">
        <v>45644</v>
      </c>
      <c r="C2266" s="1" t="n">
        <v>45657</v>
      </c>
      <c r="D2266" t="inlineStr">
        <is>
          <t>VÄSTERNORRLANDS LÄN</t>
        </is>
      </c>
      <c r="E2266" t="inlineStr">
        <is>
          <t>ÅNGE</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60812-2024</t>
        </is>
      </c>
      <c r="B2267" s="1" t="n">
        <v>45644</v>
      </c>
      <c r="C2267" s="1" t="n">
        <v>45657</v>
      </c>
      <c r="D2267" t="inlineStr">
        <is>
          <t>VÄSTERNORRLANDS LÄN</t>
        </is>
      </c>
      <c r="E2267" t="inlineStr">
        <is>
          <t>ÅNGE</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60817-2024</t>
        </is>
      </c>
      <c r="B2268" s="1" t="n">
        <v>45644</v>
      </c>
      <c r="C2268" s="1" t="n">
        <v>45657</v>
      </c>
      <c r="D2268" t="inlineStr">
        <is>
          <t>VÄSTERNORRLANDS LÄN</t>
        </is>
      </c>
      <c r="E2268" t="inlineStr">
        <is>
          <t>ÅNGE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61100-2024</t>
        </is>
      </c>
      <c r="B2269" s="1" t="n">
        <v>45645</v>
      </c>
      <c r="C2269" s="1" t="n">
        <v>45657</v>
      </c>
      <c r="D2269" t="inlineStr">
        <is>
          <t>VÄSTERNORRLANDS LÄN</t>
        </is>
      </c>
      <c r="E2269" t="inlineStr">
        <is>
          <t>ÅNGE</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61208-2024</t>
        </is>
      </c>
      <c r="B2270" s="1" t="n">
        <v>45645</v>
      </c>
      <c r="C2270" s="1" t="n">
        <v>45657</v>
      </c>
      <c r="D2270" t="inlineStr">
        <is>
          <t>VÄSTERNORRLANDS LÄN</t>
        </is>
      </c>
      <c r="E2270" t="inlineStr">
        <is>
          <t>ÅNGE</t>
        </is>
      </c>
      <c r="G2270" t="n">
        <v>7.1</v>
      </c>
      <c r="H2270" t="n">
        <v>0</v>
      </c>
      <c r="I2270" t="n">
        <v>0</v>
      </c>
      <c r="J2270" t="n">
        <v>0</v>
      </c>
      <c r="K2270" t="n">
        <v>0</v>
      </c>
      <c r="L2270" t="n">
        <v>0</v>
      </c>
      <c r="M2270" t="n">
        <v>0</v>
      </c>
      <c r="N2270" t="n">
        <v>0</v>
      </c>
      <c r="O2270" t="n">
        <v>0</v>
      </c>
      <c r="P2270" t="n">
        <v>0</v>
      </c>
      <c r="Q2270" t="n">
        <v>0</v>
      </c>
      <c r="R2270" s="2" t="inlineStr"/>
    </row>
    <row r="2271">
      <c r="A2271" t="inlineStr">
        <is>
          <t>A 61057-2024</t>
        </is>
      </c>
      <c r="B2271" s="1" t="n">
        <v>45645</v>
      </c>
      <c r="C2271" s="1" t="n">
        <v>45657</v>
      </c>
      <c r="D2271" t="inlineStr">
        <is>
          <t>VÄSTERNORRLANDS LÄN</t>
        </is>
      </c>
      <c r="E2271" t="inlineStr">
        <is>
          <t>ÅNGE</t>
        </is>
      </c>
      <c r="F2271" t="inlineStr">
        <is>
          <t>SCA</t>
        </is>
      </c>
      <c r="G2271" t="n">
        <v>16.9</v>
      </c>
      <c r="H2271" t="n">
        <v>0</v>
      </c>
      <c r="I2271" t="n">
        <v>0</v>
      </c>
      <c r="J2271" t="n">
        <v>0</v>
      </c>
      <c r="K2271" t="n">
        <v>0</v>
      </c>
      <c r="L2271" t="n">
        <v>0</v>
      </c>
      <c r="M2271" t="n">
        <v>0</v>
      </c>
      <c r="N2271" t="n">
        <v>0</v>
      </c>
      <c r="O2271" t="n">
        <v>0</v>
      </c>
      <c r="P2271" t="n">
        <v>0</v>
      </c>
      <c r="Q2271" t="n">
        <v>0</v>
      </c>
      <c r="R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2024-12-31T15:46:19Z</dcterms:created>
  <dcterms:modified xmlns:dcterms="http://purl.org/dc/terms/" xmlns:xsi="http://www.w3.org/2001/XMLSchema-instance" xsi:type="dcterms:W3CDTF">2024-12-31T15:46:21Z</dcterms:modified>
</cp:coreProperties>
</file>